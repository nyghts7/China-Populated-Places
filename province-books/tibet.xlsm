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D9D5EB55-D8A9-415A-8AC5-1421299C2320}" xr6:coauthVersionLast="47" xr6:coauthVersionMax="47" xr10:uidLastSave="{00000000-0000-0000-0000-000000000000}"/>
  <bookViews>
    <workbookView xWindow="-120" yWindow="480" windowWidth="24240" windowHeight="13140" tabRatio="1000" activeTab="7" xr2:uid="{42132050-6DB8-43D4-96E2-94FA1A2B350A}"/>
  </bookViews>
  <sheets>
    <sheet name="ali" sheetId="1" r:id="rId1"/>
    <sheet name="changdu" sheetId="2" r:id="rId2"/>
    <sheet name="lasa" sheetId="3" r:id="rId3"/>
    <sheet name="linzhi" sheetId="4" r:id="rId4"/>
    <sheet name="naqu" sheetId="5" r:id="rId5"/>
    <sheet name="rikaze" sheetId="6" r:id="rId6"/>
    <sheet name="shannan" sheetId="7" r:id="rId7"/>
    <sheet name="main table" sheetId="9" r:id="rId8"/>
    <sheet name="cities" sheetId="10" r:id="rId9"/>
    <sheet name="json" sheetId="11" r:id="rId10"/>
    <sheet name="county-naming" sheetId="8" r:id="rId11"/>
  </sheets>
  <externalReferences>
    <externalReference r:id="rId12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9" l="1"/>
  <c r="B89" i="9"/>
  <c r="B7" i="9"/>
  <c r="B103" i="9"/>
  <c r="B124" i="9"/>
  <c r="B137" i="9"/>
  <c r="B139" i="9"/>
  <c r="B144" i="9"/>
  <c r="B13" i="9"/>
  <c r="B19" i="9"/>
  <c r="B203" i="9"/>
  <c r="B209" i="9"/>
  <c r="B228" i="9"/>
  <c r="B294" i="9"/>
  <c r="B354" i="9"/>
  <c r="B371" i="9"/>
  <c r="B20" i="9"/>
  <c r="B470" i="9"/>
  <c r="B478" i="9"/>
  <c r="B494" i="9"/>
  <c r="B25" i="9"/>
  <c r="B524" i="9"/>
  <c r="B31" i="9"/>
  <c r="B37" i="9"/>
  <c r="B573" i="9"/>
  <c r="B575" i="9"/>
  <c r="B587" i="9"/>
  <c r="B588" i="9"/>
  <c r="B625" i="9"/>
  <c r="B692" i="9"/>
  <c r="B3" i="9"/>
  <c r="B6" i="9"/>
  <c r="B9" i="9"/>
  <c r="B14" i="9"/>
  <c r="B16" i="9"/>
  <c r="B21" i="9"/>
  <c r="B41" i="9"/>
  <c r="B30" i="9"/>
  <c r="B44" i="9"/>
  <c r="B36" i="9"/>
  <c r="B48" i="9"/>
  <c r="B47" i="9"/>
  <c r="B49" i="9"/>
  <c r="B50" i="9"/>
  <c r="B54" i="9"/>
  <c r="B57" i="9"/>
  <c r="B64" i="9"/>
  <c r="B65" i="9"/>
  <c r="B70" i="9"/>
  <c r="B72" i="9"/>
  <c r="B79" i="9"/>
  <c r="B100" i="9"/>
  <c r="B108" i="9"/>
  <c r="B116" i="9"/>
  <c r="B127" i="9"/>
  <c r="B129" i="9"/>
  <c r="B81" i="9"/>
  <c r="B138" i="9"/>
  <c r="B160" i="9"/>
  <c r="B84" i="9"/>
  <c r="B163" i="9"/>
  <c r="B168" i="9"/>
  <c r="B179" i="9"/>
  <c r="B97" i="9"/>
  <c r="B181" i="9"/>
  <c r="B183" i="9"/>
  <c r="B98" i="9"/>
  <c r="B185" i="9"/>
  <c r="B205" i="9"/>
  <c r="B208" i="9"/>
  <c r="B215" i="9"/>
  <c r="B99" i="9"/>
  <c r="B236" i="9"/>
  <c r="B242" i="9"/>
  <c r="B244" i="9"/>
  <c r="B253" i="9"/>
  <c r="B101" i="9"/>
  <c r="B260" i="9"/>
  <c r="B261" i="9"/>
  <c r="B272" i="9"/>
  <c r="B104" i="9"/>
  <c r="B109" i="9"/>
  <c r="B284" i="9"/>
  <c r="B288" i="9"/>
  <c r="B289" i="9"/>
  <c r="B295" i="9"/>
  <c r="B299" i="9"/>
  <c r="B302" i="9"/>
  <c r="B312" i="9"/>
  <c r="B316" i="9"/>
  <c r="B118" i="9"/>
  <c r="B328" i="9"/>
  <c r="B343" i="9"/>
  <c r="B344" i="9"/>
  <c r="B128" i="9"/>
  <c r="B355" i="9"/>
  <c r="B356" i="9"/>
  <c r="B363" i="9"/>
  <c r="B364" i="9"/>
  <c r="B367" i="9"/>
  <c r="B372" i="9"/>
  <c r="B374" i="9"/>
  <c r="B380" i="9"/>
  <c r="B381" i="9"/>
  <c r="B382" i="9"/>
  <c r="B399" i="9"/>
  <c r="B403" i="9"/>
  <c r="B453" i="9"/>
  <c r="B462" i="9"/>
  <c r="B474" i="9"/>
  <c r="B477" i="9"/>
  <c r="B484" i="9"/>
  <c r="B490" i="9"/>
  <c r="B495" i="9"/>
  <c r="B506" i="9"/>
  <c r="B509" i="9"/>
  <c r="B512" i="9"/>
  <c r="B518" i="9"/>
  <c r="B136" i="9"/>
  <c r="B529" i="9"/>
  <c r="B530" i="9"/>
  <c r="B531" i="9"/>
  <c r="B535" i="9"/>
  <c r="B538" i="9"/>
  <c r="B142" i="9"/>
  <c r="B546" i="9"/>
  <c r="B162" i="9"/>
  <c r="B165" i="9"/>
  <c r="B562" i="9"/>
  <c r="B565" i="9"/>
  <c r="B568" i="9"/>
  <c r="B166" i="9"/>
  <c r="B571" i="9"/>
  <c r="B567" i="9"/>
  <c r="B581" i="9"/>
  <c r="B580" i="9"/>
  <c r="B172" i="9"/>
  <c r="B585" i="9"/>
  <c r="B598" i="9"/>
  <c r="B600" i="9"/>
  <c r="B601" i="9"/>
  <c r="B608" i="9"/>
  <c r="B614" i="9"/>
  <c r="B620" i="9"/>
  <c r="B174" i="9"/>
  <c r="B631" i="9"/>
  <c r="B632" i="9"/>
  <c r="B633" i="9"/>
  <c r="B636" i="9"/>
  <c r="B639" i="9"/>
  <c r="B644" i="9"/>
  <c r="B175" i="9"/>
  <c r="B677" i="9"/>
  <c r="B679" i="9"/>
  <c r="B680" i="9"/>
  <c r="B686" i="9"/>
  <c r="B176" i="9"/>
  <c r="B690" i="9"/>
  <c r="B691" i="9"/>
  <c r="B4" i="9"/>
  <c r="B27" i="9"/>
  <c r="B32" i="9"/>
  <c r="B45" i="9"/>
  <c r="B55" i="9"/>
  <c r="B56" i="9"/>
  <c r="B59" i="9"/>
  <c r="B87" i="9"/>
  <c r="B180" i="9"/>
  <c r="B184" i="9"/>
  <c r="B188" i="9"/>
  <c r="B191" i="9"/>
  <c r="B140" i="9"/>
  <c r="B151" i="9"/>
  <c r="B169" i="9"/>
  <c r="B195" i="9"/>
  <c r="B186" i="9"/>
  <c r="B193" i="9"/>
  <c r="B202" i="9"/>
  <c r="B198" i="9"/>
  <c r="B206" i="9"/>
  <c r="B220" i="9"/>
  <c r="B230" i="9"/>
  <c r="B241" i="9"/>
  <c r="B254" i="9"/>
  <c r="B282" i="9"/>
  <c r="B322" i="9"/>
  <c r="B331" i="9"/>
  <c r="B334" i="9"/>
  <c r="B351" i="9"/>
  <c r="B211" i="9"/>
  <c r="B368" i="9"/>
  <c r="B386" i="9"/>
  <c r="B388" i="9"/>
  <c r="B391" i="9"/>
  <c r="B392" i="9"/>
  <c r="B401" i="9"/>
  <c r="B406" i="9"/>
  <c r="B417" i="9"/>
  <c r="B420" i="9"/>
  <c r="B425" i="9"/>
  <c r="B430" i="9"/>
  <c r="B443" i="9"/>
  <c r="B217" i="9"/>
  <c r="B492" i="9"/>
  <c r="B544" i="9"/>
  <c r="B553" i="9"/>
  <c r="B555" i="9"/>
  <c r="B556" i="9"/>
  <c r="B557" i="9"/>
  <c r="B219" i="9"/>
  <c r="B224" i="9"/>
  <c r="B576" i="9"/>
  <c r="B611" i="9"/>
  <c r="B613" i="9"/>
  <c r="B226" i="9"/>
  <c r="B623" i="9"/>
  <c r="B652" i="9"/>
  <c r="B660" i="9"/>
  <c r="B669" i="9"/>
  <c r="B18" i="9"/>
  <c r="B231" i="9"/>
  <c r="B232" i="9"/>
  <c r="B33" i="9"/>
  <c r="B234" i="9"/>
  <c r="B40" i="9"/>
  <c r="B53" i="9"/>
  <c r="B75" i="9"/>
  <c r="B93" i="9"/>
  <c r="B110" i="9"/>
  <c r="B119" i="9"/>
  <c r="B130" i="9"/>
  <c r="B134" i="9"/>
  <c r="B239" i="9"/>
  <c r="B152" i="9"/>
  <c r="B173" i="9"/>
  <c r="B187" i="9"/>
  <c r="B189" i="9"/>
  <c r="B243" i="9"/>
  <c r="B201" i="9"/>
  <c r="B199" i="9"/>
  <c r="B207" i="9"/>
  <c r="B235" i="9"/>
  <c r="B237" i="9"/>
  <c r="B246" i="9"/>
  <c r="B251" i="9"/>
  <c r="B279" i="9"/>
  <c r="B248" i="9"/>
  <c r="B326" i="9"/>
  <c r="B250" i="9"/>
  <c r="B257" i="9"/>
  <c r="B259" i="9"/>
  <c r="B375" i="9"/>
  <c r="B396" i="9"/>
  <c r="B400" i="9"/>
  <c r="B445" i="9"/>
  <c r="B275" i="9"/>
  <c r="B277" i="9"/>
  <c r="B283" i="9"/>
  <c r="B303" i="9"/>
  <c r="B305" i="9"/>
  <c r="B630" i="9"/>
  <c r="B638" i="9"/>
  <c r="B640" i="9"/>
  <c r="B307" i="9"/>
  <c r="B666" i="9"/>
  <c r="B313" i="9"/>
  <c r="B678" i="9"/>
  <c r="B681" i="9"/>
  <c r="B317" i="9"/>
  <c r="B8" i="9"/>
  <c r="B10" i="9"/>
  <c r="B318" i="9"/>
  <c r="B24" i="9"/>
  <c r="B26" i="9"/>
  <c r="B28" i="9"/>
  <c r="B29" i="9"/>
  <c r="B34" i="9"/>
  <c r="B35" i="9"/>
  <c r="B329" i="9"/>
  <c r="B42" i="9"/>
  <c r="B336" i="9"/>
  <c r="B62" i="9"/>
  <c r="B73" i="9"/>
  <c r="B85" i="9"/>
  <c r="B92" i="9"/>
  <c r="B95" i="9"/>
  <c r="B337" i="9"/>
  <c r="B102" i="9"/>
  <c r="B105" i="9"/>
  <c r="B117" i="9"/>
  <c r="B120" i="9"/>
  <c r="B122" i="9"/>
  <c r="B123" i="9"/>
  <c r="B339" i="9"/>
  <c r="B156" i="9"/>
  <c r="B161" i="9"/>
  <c r="B164" i="9"/>
  <c r="B170" i="9"/>
  <c r="B171" i="9"/>
  <c r="B177" i="9"/>
  <c r="B178" i="9"/>
  <c r="B190" i="9"/>
  <c r="B196" i="9"/>
  <c r="B340" i="9"/>
  <c r="B216" i="9"/>
  <c r="B342" i="9"/>
  <c r="B227" i="9"/>
  <c r="B233" i="9"/>
  <c r="B345" i="9"/>
  <c r="B258" i="9"/>
  <c r="B263" i="9"/>
  <c r="B264" i="9"/>
  <c r="B300" i="9"/>
  <c r="B309" i="9"/>
  <c r="B347" i="9"/>
  <c r="B323" i="9"/>
  <c r="B327" i="9"/>
  <c r="B352" i="9"/>
  <c r="B349" i="9"/>
  <c r="B350" i="9"/>
  <c r="B359" i="9"/>
  <c r="B360" i="9"/>
  <c r="B361" i="9"/>
  <c r="B362" i="9"/>
  <c r="B365" i="9"/>
  <c r="B370" i="9"/>
  <c r="B390" i="9"/>
  <c r="B373" i="9"/>
  <c r="B376" i="9"/>
  <c r="B377" i="9"/>
  <c r="B421" i="9"/>
  <c r="B393" i="9"/>
  <c r="B397" i="9"/>
  <c r="B407" i="9"/>
  <c r="B446" i="9"/>
  <c r="B452" i="9"/>
  <c r="B489" i="9"/>
  <c r="B409" i="9"/>
  <c r="B502" i="9"/>
  <c r="B510" i="9"/>
  <c r="B521" i="9"/>
  <c r="B526" i="9"/>
  <c r="B527" i="9"/>
  <c r="B528" i="9"/>
  <c r="B540" i="9"/>
  <c r="B416" i="9"/>
  <c r="B548" i="9"/>
  <c r="B552" i="9"/>
  <c r="B554" i="9"/>
  <c r="B572" i="9"/>
  <c r="B578" i="9"/>
  <c r="B582" i="9"/>
  <c r="B584" i="9"/>
  <c r="B586" i="9"/>
  <c r="B589" i="9"/>
  <c r="B426" i="9"/>
  <c r="B595" i="9"/>
  <c r="B596" i="9"/>
  <c r="B599" i="9"/>
  <c r="B428" i="9"/>
  <c r="B429" i="9"/>
  <c r="B431" i="9"/>
  <c r="B624" i="9"/>
  <c r="B436" i="9"/>
  <c r="B627" i="9"/>
  <c r="B634" i="9"/>
  <c r="B635" i="9"/>
  <c r="B641" i="9"/>
  <c r="B438" i="9"/>
  <c r="B649" i="9"/>
  <c r="B655" i="9"/>
  <c r="B444" i="9"/>
  <c r="B675" i="9"/>
  <c r="B683" i="9"/>
  <c r="B684" i="9"/>
  <c r="B2" i="9"/>
  <c r="B5" i="9"/>
  <c r="B46" i="9"/>
  <c r="B51" i="9"/>
  <c r="B52" i="9"/>
  <c r="B58" i="9"/>
  <c r="B63" i="9"/>
  <c r="B66" i="9"/>
  <c r="B69" i="9"/>
  <c r="B71" i="9"/>
  <c r="B74" i="9"/>
  <c r="B76" i="9"/>
  <c r="B77" i="9"/>
  <c r="B78" i="9"/>
  <c r="B80" i="9"/>
  <c r="B451" i="9"/>
  <c r="B82" i="9"/>
  <c r="B83" i="9"/>
  <c r="B86" i="9"/>
  <c r="B88" i="9"/>
  <c r="B91" i="9"/>
  <c r="B94" i="9"/>
  <c r="B96" i="9"/>
  <c r="B106" i="9"/>
  <c r="B107" i="9"/>
  <c r="B111" i="9"/>
  <c r="B112" i="9"/>
  <c r="B113" i="9"/>
  <c r="B114" i="9"/>
  <c r="B115" i="9"/>
  <c r="B121" i="9"/>
  <c r="B455" i="9"/>
  <c r="B135" i="9"/>
  <c r="B141" i="9"/>
  <c r="B145" i="9"/>
  <c r="B147" i="9"/>
  <c r="B149" i="9"/>
  <c r="B150" i="9"/>
  <c r="B153" i="9"/>
  <c r="B159" i="9"/>
  <c r="B469" i="9"/>
  <c r="B167" i="9"/>
  <c r="B471" i="9"/>
  <c r="B472" i="9"/>
  <c r="B182" i="9"/>
  <c r="B192" i="9"/>
  <c r="B194" i="9"/>
  <c r="B204" i="9"/>
  <c r="B210" i="9"/>
  <c r="B212" i="9"/>
  <c r="B213" i="9"/>
  <c r="B214" i="9"/>
  <c r="B476" i="9"/>
  <c r="B218" i="9"/>
  <c r="B225" i="9"/>
  <c r="B491" i="9"/>
  <c r="B229" i="9"/>
  <c r="B496" i="9"/>
  <c r="B497" i="9"/>
  <c r="B247" i="9"/>
  <c r="B501" i="9"/>
  <c r="B249" i="9"/>
  <c r="B252" i="9"/>
  <c r="B266" i="9"/>
  <c r="B508" i="9"/>
  <c r="B515" i="9"/>
  <c r="B273" i="9"/>
  <c r="B274" i="9"/>
  <c r="B519" i="9"/>
  <c r="B276" i="9"/>
  <c r="B278" i="9"/>
  <c r="B280" i="9"/>
  <c r="B287" i="9"/>
  <c r="B290" i="9"/>
  <c r="B296" i="9"/>
  <c r="B304" i="9"/>
  <c r="B310" i="9"/>
  <c r="B315" i="9"/>
  <c r="B520" i="9"/>
  <c r="B321" i="9"/>
  <c r="B324" i="9"/>
  <c r="B330" i="9"/>
  <c r="B332" i="9"/>
  <c r="B333" i="9"/>
  <c r="B335" i="9"/>
  <c r="B522" i="9"/>
  <c r="B348" i="9"/>
  <c r="B357" i="9"/>
  <c r="B358" i="9"/>
  <c r="B346" i="9"/>
  <c r="B366" i="9"/>
  <c r="B369" i="9"/>
  <c r="B379" i="9"/>
  <c r="B378" i="9"/>
  <c r="B383" i="9"/>
  <c r="B384" i="9"/>
  <c r="B385" i="9"/>
  <c r="B389" i="9"/>
  <c r="B523" i="9"/>
  <c r="B394" i="9"/>
  <c r="B395" i="9"/>
  <c r="B398" i="9"/>
  <c r="B402" i="9"/>
  <c r="B404" i="9"/>
  <c r="B405" i="9"/>
  <c r="B534" i="9"/>
  <c r="B408" i="9"/>
  <c r="B410" i="9"/>
  <c r="B411" i="9"/>
  <c r="B412" i="9"/>
  <c r="B422" i="9"/>
  <c r="B423" i="9"/>
  <c r="B424" i="9"/>
  <c r="B427" i="9"/>
  <c r="B541" i="9"/>
  <c r="B542" i="9"/>
  <c r="B432" i="9"/>
  <c r="B433" i="9"/>
  <c r="B434" i="9"/>
  <c r="B437" i="9"/>
  <c r="B442" i="9"/>
  <c r="B447" i="9"/>
  <c r="B448" i="9"/>
  <c r="B449" i="9"/>
  <c r="B450" i="9"/>
  <c r="B454" i="9"/>
  <c r="B456" i="9"/>
  <c r="B458" i="9"/>
  <c r="B459" i="9"/>
  <c r="B460" i="9"/>
  <c r="B461" i="9"/>
  <c r="B463" i="9"/>
  <c r="B466" i="9"/>
  <c r="B467" i="9"/>
  <c r="B468" i="9"/>
  <c r="B543" i="9"/>
  <c r="B475" i="9"/>
  <c r="B479" i="9"/>
  <c r="B480" i="9"/>
  <c r="B481" i="9"/>
  <c r="B482" i="9"/>
  <c r="B483" i="9"/>
  <c r="B485" i="9"/>
  <c r="B487" i="9"/>
  <c r="B488" i="9"/>
  <c r="B493" i="9"/>
  <c r="B498" i="9"/>
  <c r="B545" i="9"/>
  <c r="B499" i="9"/>
  <c r="B505" i="9"/>
  <c r="B507" i="9"/>
  <c r="B511" i="9"/>
  <c r="B513" i="9"/>
  <c r="B514" i="9"/>
  <c r="B558" i="9"/>
  <c r="B516" i="9"/>
  <c r="B559" i="9"/>
  <c r="B536" i="9"/>
  <c r="B537" i="9"/>
  <c r="B547" i="9"/>
  <c r="B550" i="9"/>
  <c r="B551" i="9"/>
  <c r="B561" i="9"/>
  <c r="B563" i="9"/>
  <c r="B570" i="9"/>
  <c r="B591" i="9"/>
  <c r="B560" i="9"/>
  <c r="B594" i="9"/>
  <c r="B564" i="9"/>
  <c r="B605" i="9"/>
  <c r="B604" i="9"/>
  <c r="B607" i="9"/>
  <c r="B609" i="9"/>
  <c r="B610" i="9"/>
  <c r="B618" i="9"/>
  <c r="B619" i="9"/>
  <c r="B642" i="9"/>
  <c r="B647" i="9"/>
  <c r="B648" i="9"/>
  <c r="B566" i="9"/>
  <c r="B671" i="9"/>
  <c r="B673" i="9"/>
  <c r="B674" i="9"/>
  <c r="B687" i="9"/>
  <c r="B569" i="9"/>
  <c r="B574" i="9"/>
  <c r="B22" i="9"/>
  <c r="B23" i="9"/>
  <c r="B15" i="9"/>
  <c r="B43" i="9"/>
  <c r="B577" i="9"/>
  <c r="B90" i="9"/>
  <c r="B583" i="9"/>
  <c r="B590" i="9"/>
  <c r="B593" i="9"/>
  <c r="B143" i="9"/>
  <c r="B146" i="9"/>
  <c r="B148" i="9"/>
  <c r="B157" i="9"/>
  <c r="B158" i="9"/>
  <c r="B597" i="9"/>
  <c r="B197" i="9"/>
  <c r="B200" i="9"/>
  <c r="B606" i="9"/>
  <c r="B221" i="9"/>
  <c r="B615" i="9"/>
  <c r="B238" i="9"/>
  <c r="B617" i="9"/>
  <c r="B240" i="9"/>
  <c r="B245" i="9"/>
  <c r="B621" i="9"/>
  <c r="B622" i="9"/>
  <c r="B262" i="9"/>
  <c r="B265" i="9"/>
  <c r="B271" i="9"/>
  <c r="B281" i="9"/>
  <c r="B293" i="9"/>
  <c r="B301" i="9"/>
  <c r="B626" i="9"/>
  <c r="B306" i="9"/>
  <c r="B643" i="9"/>
  <c r="B308" i="9"/>
  <c r="B311" i="9"/>
  <c r="B314" i="9"/>
  <c r="B319" i="9"/>
  <c r="B320" i="9"/>
  <c r="B325" i="9"/>
  <c r="B650" i="9"/>
  <c r="B338" i="9"/>
  <c r="B653" i="9"/>
  <c r="B341" i="9"/>
  <c r="B656" i="9"/>
  <c r="B353" i="9"/>
  <c r="B387" i="9"/>
  <c r="B435" i="9"/>
  <c r="B439" i="9"/>
  <c r="B659" i="9"/>
  <c r="B457" i="9"/>
  <c r="B670" i="9"/>
  <c r="B473" i="9"/>
  <c r="B486" i="9"/>
  <c r="B672" i="9"/>
  <c r="B500" i="9"/>
  <c r="B517" i="9"/>
  <c r="B676" i="9"/>
  <c r="B685" i="9"/>
  <c r="B525" i="9"/>
  <c r="B539" i="9"/>
  <c r="B549" i="9"/>
  <c r="B579" i="9"/>
  <c r="B592" i="9"/>
  <c r="B612" i="9"/>
  <c r="B616" i="9"/>
  <c r="B637" i="9"/>
  <c r="B645" i="9"/>
  <c r="B646" i="9"/>
  <c r="B651" i="9"/>
  <c r="B654" i="9"/>
  <c r="B688" i="9"/>
  <c r="B689" i="9"/>
  <c r="B682" i="9"/>
  <c r="N17" i="9"/>
  <c r="O17" i="9" s="1"/>
  <c r="N60" i="9"/>
  <c r="N89" i="9"/>
  <c r="O89" i="9" s="1"/>
  <c r="N7" i="9"/>
  <c r="O7" i="9" s="1"/>
  <c r="N103" i="9"/>
  <c r="O103" i="9" s="1"/>
  <c r="N124" i="9"/>
  <c r="O124" i="9" s="1"/>
  <c r="N137" i="9"/>
  <c r="O137" i="9" s="1"/>
  <c r="N139" i="9"/>
  <c r="O139" i="9" s="1"/>
  <c r="N144" i="9"/>
  <c r="O144" i="9" s="1"/>
  <c r="N154" i="9"/>
  <c r="N13" i="9"/>
  <c r="O13" i="9" s="1"/>
  <c r="N19" i="9"/>
  <c r="O19" i="9" s="1"/>
  <c r="N203" i="9"/>
  <c r="O203" i="9" s="1"/>
  <c r="N209" i="9"/>
  <c r="O209" i="9" s="1"/>
  <c r="N228" i="9"/>
  <c r="O228" i="9" s="1"/>
  <c r="N294" i="9"/>
  <c r="O294" i="9" s="1"/>
  <c r="N354" i="9"/>
  <c r="O354" i="9" s="1"/>
  <c r="N371" i="9"/>
  <c r="O371" i="9" s="1"/>
  <c r="N20" i="9"/>
  <c r="O20" i="9" s="1"/>
  <c r="N464" i="9"/>
  <c r="N470" i="9"/>
  <c r="O470" i="9" s="1"/>
  <c r="N478" i="9"/>
  <c r="O478" i="9" s="1"/>
  <c r="N494" i="9"/>
  <c r="O494" i="9" s="1"/>
  <c r="N25" i="9"/>
  <c r="O25" i="9" s="1"/>
  <c r="N524" i="9"/>
  <c r="O524" i="9" s="1"/>
  <c r="N31" i="9"/>
  <c r="O31" i="9" s="1"/>
  <c r="N37" i="9"/>
  <c r="O37" i="9" s="1"/>
  <c r="N573" i="9"/>
  <c r="O573" i="9" s="1"/>
  <c r="N575" i="9"/>
  <c r="O575" i="9" s="1"/>
  <c r="N587" i="9"/>
  <c r="O587" i="9" s="1"/>
  <c r="N588" i="9"/>
  <c r="O588" i="9" s="1"/>
  <c r="N602" i="9"/>
  <c r="B602" i="9" s="1"/>
  <c r="N625" i="9"/>
  <c r="O625" i="9" s="1"/>
  <c r="N628" i="9"/>
  <c r="B628" i="9" s="1"/>
  <c r="N661" i="9"/>
  <c r="B661" i="9" s="1"/>
  <c r="N692" i="9"/>
  <c r="O692" i="9" s="1"/>
  <c r="N3" i="9"/>
  <c r="O3" i="9" s="1"/>
  <c r="N6" i="9"/>
  <c r="O6" i="9" s="1"/>
  <c r="N9" i="9"/>
  <c r="O9" i="9" s="1"/>
  <c r="N14" i="9"/>
  <c r="O14" i="9" s="1"/>
  <c r="N16" i="9"/>
  <c r="O16" i="9" s="1"/>
  <c r="N21" i="9"/>
  <c r="O21" i="9" s="1"/>
  <c r="N41" i="9"/>
  <c r="O41" i="9" s="1"/>
  <c r="N30" i="9"/>
  <c r="O30" i="9" s="1"/>
  <c r="N44" i="9"/>
  <c r="O44" i="9" s="1"/>
  <c r="N36" i="9"/>
  <c r="O36" i="9" s="1"/>
  <c r="N48" i="9"/>
  <c r="O48" i="9" s="1"/>
  <c r="N47" i="9"/>
  <c r="O47" i="9" s="1"/>
  <c r="N49" i="9"/>
  <c r="O49" i="9" s="1"/>
  <c r="N50" i="9"/>
  <c r="O50" i="9" s="1"/>
  <c r="N54" i="9"/>
  <c r="O54" i="9" s="1"/>
  <c r="N57" i="9"/>
  <c r="O57" i="9" s="1"/>
  <c r="N64" i="9"/>
  <c r="O64" i="9" s="1"/>
  <c r="N65" i="9"/>
  <c r="O65" i="9" s="1"/>
  <c r="N70" i="9"/>
  <c r="O70" i="9" s="1"/>
  <c r="N72" i="9"/>
  <c r="O72" i="9" s="1"/>
  <c r="N79" i="9"/>
  <c r="O79" i="9" s="1"/>
  <c r="N100" i="9"/>
  <c r="O100" i="9" s="1"/>
  <c r="N108" i="9"/>
  <c r="O108" i="9" s="1"/>
  <c r="N116" i="9"/>
  <c r="O116" i="9" s="1"/>
  <c r="N127" i="9"/>
  <c r="O127" i="9" s="1"/>
  <c r="N129" i="9"/>
  <c r="O129" i="9" s="1"/>
  <c r="N81" i="9"/>
  <c r="O81" i="9" s="1"/>
  <c r="N138" i="9"/>
  <c r="O138" i="9" s="1"/>
  <c r="N160" i="9"/>
  <c r="O160" i="9" s="1"/>
  <c r="N84" i="9"/>
  <c r="O84" i="9" s="1"/>
  <c r="N163" i="9"/>
  <c r="O163" i="9" s="1"/>
  <c r="N168" i="9"/>
  <c r="O168" i="9" s="1"/>
  <c r="N179" i="9"/>
  <c r="O179" i="9" s="1"/>
  <c r="N97" i="9"/>
  <c r="O97" i="9" s="1"/>
  <c r="N181" i="9"/>
  <c r="O181" i="9" s="1"/>
  <c r="N183" i="9"/>
  <c r="O183" i="9" s="1"/>
  <c r="N98" i="9"/>
  <c r="O98" i="9" s="1"/>
  <c r="N185" i="9"/>
  <c r="O185" i="9" s="1"/>
  <c r="N205" i="9"/>
  <c r="O205" i="9" s="1"/>
  <c r="N208" i="9"/>
  <c r="O208" i="9" s="1"/>
  <c r="N215" i="9"/>
  <c r="O215" i="9" s="1"/>
  <c r="N99" i="9"/>
  <c r="O99" i="9" s="1"/>
  <c r="N236" i="9"/>
  <c r="O236" i="9" s="1"/>
  <c r="N242" i="9"/>
  <c r="O242" i="9" s="1"/>
  <c r="N244" i="9"/>
  <c r="O244" i="9" s="1"/>
  <c r="N253" i="9"/>
  <c r="O253" i="9" s="1"/>
  <c r="N101" i="9"/>
  <c r="O101" i="9" s="1"/>
  <c r="N260" i="9"/>
  <c r="O260" i="9" s="1"/>
  <c r="N261" i="9"/>
  <c r="O261" i="9" s="1"/>
  <c r="N269" i="9"/>
  <c r="N270" i="9"/>
  <c r="N272" i="9"/>
  <c r="O272" i="9" s="1"/>
  <c r="N104" i="9"/>
  <c r="O104" i="9" s="1"/>
  <c r="N109" i="9"/>
  <c r="O109" i="9" s="1"/>
  <c r="N284" i="9"/>
  <c r="O284" i="9" s="1"/>
  <c r="N288" i="9"/>
  <c r="O288" i="9" s="1"/>
  <c r="N289" i="9"/>
  <c r="O289" i="9" s="1"/>
  <c r="N295" i="9"/>
  <c r="O295" i="9" s="1"/>
  <c r="N297" i="9"/>
  <c r="N299" i="9"/>
  <c r="O299" i="9" s="1"/>
  <c r="N302" i="9"/>
  <c r="O302" i="9" s="1"/>
  <c r="N312" i="9"/>
  <c r="O312" i="9" s="1"/>
  <c r="N316" i="9"/>
  <c r="O316" i="9" s="1"/>
  <c r="N118" i="9"/>
  <c r="O118" i="9" s="1"/>
  <c r="N328" i="9"/>
  <c r="O328" i="9" s="1"/>
  <c r="N343" i="9"/>
  <c r="O343" i="9" s="1"/>
  <c r="N344" i="9"/>
  <c r="O344" i="9" s="1"/>
  <c r="N128" i="9"/>
  <c r="O128" i="9" s="1"/>
  <c r="N355" i="9"/>
  <c r="O355" i="9" s="1"/>
  <c r="N356" i="9"/>
  <c r="O356" i="9" s="1"/>
  <c r="N363" i="9"/>
  <c r="O363" i="9" s="1"/>
  <c r="N364" i="9"/>
  <c r="O364" i="9" s="1"/>
  <c r="N367" i="9"/>
  <c r="O367" i="9" s="1"/>
  <c r="N372" i="9"/>
  <c r="O372" i="9" s="1"/>
  <c r="N374" i="9"/>
  <c r="O374" i="9" s="1"/>
  <c r="N131" i="9"/>
  <c r="N380" i="9"/>
  <c r="O380" i="9" s="1"/>
  <c r="N381" i="9"/>
  <c r="O381" i="9" s="1"/>
  <c r="N382" i="9"/>
  <c r="O382" i="9" s="1"/>
  <c r="N399" i="9"/>
  <c r="O399" i="9" s="1"/>
  <c r="N403" i="9"/>
  <c r="O403" i="9" s="1"/>
  <c r="N418" i="9"/>
  <c r="B418" i="9" s="1"/>
  <c r="N453" i="9"/>
  <c r="O453" i="9" s="1"/>
  <c r="N462" i="9"/>
  <c r="O462" i="9" s="1"/>
  <c r="N474" i="9"/>
  <c r="O474" i="9" s="1"/>
  <c r="N132" i="9"/>
  <c r="N477" i="9"/>
  <c r="O477" i="9" s="1"/>
  <c r="N484" i="9"/>
  <c r="O484" i="9" s="1"/>
  <c r="N490" i="9"/>
  <c r="O490" i="9" s="1"/>
  <c r="N495" i="9"/>
  <c r="O495" i="9" s="1"/>
  <c r="N506" i="9"/>
  <c r="O506" i="9" s="1"/>
  <c r="N133" i="9"/>
  <c r="N509" i="9"/>
  <c r="O509" i="9" s="1"/>
  <c r="N512" i="9"/>
  <c r="O512" i="9" s="1"/>
  <c r="N518" i="9"/>
  <c r="O518" i="9" s="1"/>
  <c r="N136" i="9"/>
  <c r="O136" i="9" s="1"/>
  <c r="N529" i="9"/>
  <c r="O529" i="9" s="1"/>
  <c r="N530" i="9"/>
  <c r="O530" i="9" s="1"/>
  <c r="N531" i="9"/>
  <c r="O531" i="9" s="1"/>
  <c r="N532" i="9"/>
  <c r="N533" i="9"/>
  <c r="N535" i="9"/>
  <c r="O535" i="9" s="1"/>
  <c r="N538" i="9"/>
  <c r="O538" i="9" s="1"/>
  <c r="N142" i="9"/>
  <c r="O142" i="9" s="1"/>
  <c r="N546" i="9"/>
  <c r="O546" i="9" s="1"/>
  <c r="N162" i="9"/>
  <c r="O162" i="9" s="1"/>
  <c r="N165" i="9"/>
  <c r="O165" i="9" s="1"/>
  <c r="N562" i="9"/>
  <c r="O562" i="9" s="1"/>
  <c r="N565" i="9"/>
  <c r="O565" i="9" s="1"/>
  <c r="N568" i="9"/>
  <c r="O568" i="9" s="1"/>
  <c r="N166" i="9"/>
  <c r="O166" i="9" s="1"/>
  <c r="N571" i="9"/>
  <c r="O571" i="9" s="1"/>
  <c r="N567" i="9"/>
  <c r="O567" i="9" s="1"/>
  <c r="N581" i="9"/>
  <c r="O581" i="9" s="1"/>
  <c r="N580" i="9"/>
  <c r="O580" i="9" s="1"/>
  <c r="N172" i="9"/>
  <c r="O172" i="9" s="1"/>
  <c r="N585" i="9"/>
  <c r="O585" i="9" s="1"/>
  <c r="N598" i="9"/>
  <c r="O598" i="9" s="1"/>
  <c r="N600" i="9"/>
  <c r="O600" i="9" s="1"/>
  <c r="N601" i="9"/>
  <c r="O601" i="9" s="1"/>
  <c r="N608" i="9"/>
  <c r="O608" i="9" s="1"/>
  <c r="N614" i="9"/>
  <c r="O614" i="9" s="1"/>
  <c r="N620" i="9"/>
  <c r="O620" i="9" s="1"/>
  <c r="N174" i="9"/>
  <c r="O174" i="9" s="1"/>
  <c r="N631" i="9"/>
  <c r="O631" i="9" s="1"/>
  <c r="N632" i="9"/>
  <c r="O632" i="9" s="1"/>
  <c r="N633" i="9"/>
  <c r="O633" i="9" s="1"/>
  <c r="N636" i="9"/>
  <c r="O636" i="9" s="1"/>
  <c r="N639" i="9"/>
  <c r="O639" i="9" s="1"/>
  <c r="N644" i="9"/>
  <c r="O644" i="9" s="1"/>
  <c r="N175" i="9"/>
  <c r="O175" i="9" s="1"/>
  <c r="N677" i="9"/>
  <c r="O677" i="9" s="1"/>
  <c r="N679" i="9"/>
  <c r="O679" i="9" s="1"/>
  <c r="N680" i="9"/>
  <c r="O680" i="9" s="1"/>
  <c r="N686" i="9"/>
  <c r="O686" i="9" s="1"/>
  <c r="N176" i="9"/>
  <c r="O176" i="9" s="1"/>
  <c r="N690" i="9"/>
  <c r="O690" i="9" s="1"/>
  <c r="N691" i="9"/>
  <c r="O691" i="9" s="1"/>
  <c r="N4" i="9"/>
  <c r="O4" i="9" s="1"/>
  <c r="N27" i="9"/>
  <c r="O27" i="9" s="1"/>
  <c r="N32" i="9"/>
  <c r="O32" i="9" s="1"/>
  <c r="N45" i="9"/>
  <c r="O45" i="9" s="1"/>
  <c r="N55" i="9"/>
  <c r="O55" i="9" s="1"/>
  <c r="N56" i="9"/>
  <c r="O56" i="9" s="1"/>
  <c r="N59" i="9"/>
  <c r="O59" i="9" s="1"/>
  <c r="N87" i="9"/>
  <c r="O87" i="9" s="1"/>
  <c r="N180" i="9"/>
  <c r="O180" i="9" s="1"/>
  <c r="N184" i="9"/>
  <c r="O184" i="9" s="1"/>
  <c r="N188" i="9"/>
  <c r="O188" i="9" s="1"/>
  <c r="N191" i="9"/>
  <c r="O191" i="9" s="1"/>
  <c r="N140" i="9"/>
  <c r="O140" i="9" s="1"/>
  <c r="N151" i="9"/>
  <c r="O151" i="9" s="1"/>
  <c r="N169" i="9"/>
  <c r="O169" i="9" s="1"/>
  <c r="N195" i="9"/>
  <c r="O195" i="9" s="1"/>
  <c r="N186" i="9"/>
  <c r="O186" i="9" s="1"/>
  <c r="N193" i="9"/>
  <c r="O193" i="9" s="1"/>
  <c r="N202" i="9"/>
  <c r="O202" i="9" s="1"/>
  <c r="N198" i="9"/>
  <c r="O198" i="9" s="1"/>
  <c r="N206" i="9"/>
  <c r="O206" i="9" s="1"/>
  <c r="N220" i="9"/>
  <c r="O220" i="9" s="1"/>
  <c r="N230" i="9"/>
  <c r="O230" i="9" s="1"/>
  <c r="N241" i="9"/>
  <c r="O241" i="9" s="1"/>
  <c r="N254" i="9"/>
  <c r="O254" i="9" s="1"/>
  <c r="N282" i="9"/>
  <c r="O282" i="9" s="1"/>
  <c r="N285" i="9"/>
  <c r="N322" i="9"/>
  <c r="O322" i="9" s="1"/>
  <c r="N331" i="9"/>
  <c r="O331" i="9" s="1"/>
  <c r="N334" i="9"/>
  <c r="O334" i="9" s="1"/>
  <c r="N351" i="9"/>
  <c r="O351" i="9" s="1"/>
  <c r="N211" i="9"/>
  <c r="O211" i="9" s="1"/>
  <c r="N368" i="9"/>
  <c r="O368" i="9" s="1"/>
  <c r="N386" i="9"/>
  <c r="O386" i="9" s="1"/>
  <c r="N388" i="9"/>
  <c r="O388" i="9" s="1"/>
  <c r="N391" i="9"/>
  <c r="O391" i="9" s="1"/>
  <c r="N392" i="9"/>
  <c r="O392" i="9" s="1"/>
  <c r="N401" i="9"/>
  <c r="O401" i="9" s="1"/>
  <c r="N406" i="9"/>
  <c r="O406" i="9" s="1"/>
  <c r="N417" i="9"/>
  <c r="O417" i="9" s="1"/>
  <c r="N419" i="9"/>
  <c r="B419" i="9" s="1"/>
  <c r="N420" i="9"/>
  <c r="O420" i="9" s="1"/>
  <c r="N425" i="9"/>
  <c r="O425" i="9" s="1"/>
  <c r="N430" i="9"/>
  <c r="O430" i="9" s="1"/>
  <c r="N440" i="9"/>
  <c r="N443" i="9"/>
  <c r="O443" i="9" s="1"/>
  <c r="N217" i="9"/>
  <c r="O217" i="9" s="1"/>
  <c r="N492" i="9"/>
  <c r="O492" i="9" s="1"/>
  <c r="N544" i="9"/>
  <c r="O544" i="9" s="1"/>
  <c r="N553" i="9"/>
  <c r="O553" i="9" s="1"/>
  <c r="N555" i="9"/>
  <c r="O555" i="9" s="1"/>
  <c r="N556" i="9"/>
  <c r="O556" i="9" s="1"/>
  <c r="N557" i="9"/>
  <c r="O557" i="9" s="1"/>
  <c r="N219" i="9"/>
  <c r="O219" i="9" s="1"/>
  <c r="N224" i="9"/>
  <c r="O224" i="9" s="1"/>
  <c r="N576" i="9"/>
  <c r="O576" i="9" s="1"/>
  <c r="N611" i="9"/>
  <c r="O611" i="9" s="1"/>
  <c r="N613" i="9"/>
  <c r="O613" i="9" s="1"/>
  <c r="N226" i="9"/>
  <c r="O226" i="9" s="1"/>
  <c r="N623" i="9"/>
  <c r="O623" i="9" s="1"/>
  <c r="N652" i="9"/>
  <c r="O652" i="9" s="1"/>
  <c r="N662" i="9"/>
  <c r="B662" i="9" s="1"/>
  <c r="N660" i="9"/>
  <c r="O660" i="9" s="1"/>
  <c r="N669" i="9"/>
  <c r="O669" i="9" s="1"/>
  <c r="N18" i="9"/>
  <c r="O18" i="9" s="1"/>
  <c r="N231" i="9"/>
  <c r="O231" i="9" s="1"/>
  <c r="N232" i="9"/>
  <c r="O232" i="9" s="1"/>
  <c r="N33" i="9"/>
  <c r="O33" i="9" s="1"/>
  <c r="N234" i="9"/>
  <c r="O234" i="9" s="1"/>
  <c r="N40" i="9"/>
  <c r="O40" i="9" s="1"/>
  <c r="N53" i="9"/>
  <c r="O53" i="9" s="1"/>
  <c r="N75" i="9"/>
  <c r="O75" i="9" s="1"/>
  <c r="N93" i="9"/>
  <c r="O93" i="9" s="1"/>
  <c r="N110" i="9"/>
  <c r="O110" i="9" s="1"/>
  <c r="N119" i="9"/>
  <c r="O119" i="9" s="1"/>
  <c r="N130" i="9"/>
  <c r="O130" i="9" s="1"/>
  <c r="N134" i="9"/>
  <c r="O134" i="9" s="1"/>
  <c r="N239" i="9"/>
  <c r="O239" i="9" s="1"/>
  <c r="N152" i="9"/>
  <c r="O152" i="9" s="1"/>
  <c r="N173" i="9"/>
  <c r="O173" i="9" s="1"/>
  <c r="N187" i="9"/>
  <c r="O187" i="9" s="1"/>
  <c r="N189" i="9"/>
  <c r="O189" i="9" s="1"/>
  <c r="N243" i="9"/>
  <c r="O243" i="9" s="1"/>
  <c r="N201" i="9"/>
  <c r="O201" i="9" s="1"/>
  <c r="N199" i="9"/>
  <c r="O199" i="9" s="1"/>
  <c r="N207" i="9"/>
  <c r="O207" i="9" s="1"/>
  <c r="N222" i="9"/>
  <c r="N235" i="9"/>
  <c r="O235" i="9" s="1"/>
  <c r="N237" i="9"/>
  <c r="O237" i="9" s="1"/>
  <c r="N246" i="9"/>
  <c r="O246" i="9" s="1"/>
  <c r="N251" i="9"/>
  <c r="O251" i="9" s="1"/>
  <c r="N279" i="9"/>
  <c r="O279" i="9" s="1"/>
  <c r="N298" i="9"/>
  <c r="N248" i="9"/>
  <c r="O248" i="9" s="1"/>
  <c r="N326" i="9"/>
  <c r="O326" i="9" s="1"/>
  <c r="N250" i="9"/>
  <c r="O250" i="9" s="1"/>
  <c r="N257" i="9"/>
  <c r="O257" i="9" s="1"/>
  <c r="N259" i="9"/>
  <c r="O259" i="9" s="1"/>
  <c r="N375" i="9"/>
  <c r="O375" i="9" s="1"/>
  <c r="N267" i="9"/>
  <c r="B267" i="9" s="1"/>
  <c r="N396" i="9"/>
  <c r="O396" i="9" s="1"/>
  <c r="N400" i="9"/>
  <c r="O400" i="9" s="1"/>
  <c r="N268" i="9"/>
  <c r="N445" i="9"/>
  <c r="O445" i="9" s="1"/>
  <c r="N275" i="9"/>
  <c r="O275" i="9" s="1"/>
  <c r="N277" i="9"/>
  <c r="O277" i="9" s="1"/>
  <c r="N283" i="9"/>
  <c r="O283" i="9" s="1"/>
  <c r="N303" i="9"/>
  <c r="O303" i="9" s="1"/>
  <c r="N305" i="9"/>
  <c r="O305" i="9" s="1"/>
  <c r="N630" i="9"/>
  <c r="O630" i="9" s="1"/>
  <c r="N638" i="9"/>
  <c r="O638" i="9" s="1"/>
  <c r="N640" i="9"/>
  <c r="O640" i="9" s="1"/>
  <c r="N307" i="9"/>
  <c r="O307" i="9" s="1"/>
  <c r="N666" i="9"/>
  <c r="O666" i="9" s="1"/>
  <c r="N313" i="9"/>
  <c r="O313" i="9" s="1"/>
  <c r="N678" i="9"/>
  <c r="O678" i="9" s="1"/>
  <c r="N681" i="9"/>
  <c r="O681" i="9" s="1"/>
  <c r="N317" i="9"/>
  <c r="O317" i="9" s="1"/>
  <c r="N8" i="9"/>
  <c r="O8" i="9" s="1"/>
  <c r="N10" i="9"/>
  <c r="O10" i="9" s="1"/>
  <c r="N318" i="9"/>
  <c r="O318" i="9" s="1"/>
  <c r="N24" i="9"/>
  <c r="O24" i="9" s="1"/>
  <c r="N26" i="9"/>
  <c r="O26" i="9" s="1"/>
  <c r="N28" i="9"/>
  <c r="O28" i="9" s="1"/>
  <c r="N29" i="9"/>
  <c r="O29" i="9" s="1"/>
  <c r="N34" i="9"/>
  <c r="O34" i="9" s="1"/>
  <c r="N35" i="9"/>
  <c r="O35" i="9" s="1"/>
  <c r="N38" i="9"/>
  <c r="N329" i="9"/>
  <c r="O329" i="9" s="1"/>
  <c r="N42" i="9"/>
  <c r="O42" i="9" s="1"/>
  <c r="N336" i="9"/>
  <c r="O336" i="9" s="1"/>
  <c r="N62" i="9"/>
  <c r="O62" i="9" s="1"/>
  <c r="N73" i="9"/>
  <c r="O73" i="9" s="1"/>
  <c r="N85" i="9"/>
  <c r="O85" i="9" s="1"/>
  <c r="N92" i="9"/>
  <c r="O92" i="9" s="1"/>
  <c r="N95" i="9"/>
  <c r="O95" i="9" s="1"/>
  <c r="N337" i="9"/>
  <c r="O337" i="9" s="1"/>
  <c r="N102" i="9"/>
  <c r="O102" i="9" s="1"/>
  <c r="N105" i="9"/>
  <c r="O105" i="9" s="1"/>
  <c r="N117" i="9"/>
  <c r="O117" i="9" s="1"/>
  <c r="N120" i="9"/>
  <c r="O120" i="9" s="1"/>
  <c r="N122" i="9"/>
  <c r="O122" i="9" s="1"/>
  <c r="N123" i="9"/>
  <c r="O123" i="9" s="1"/>
  <c r="N339" i="9"/>
  <c r="O339" i="9" s="1"/>
  <c r="N156" i="9"/>
  <c r="O156" i="9" s="1"/>
  <c r="N155" i="9"/>
  <c r="N161" i="9"/>
  <c r="O161" i="9" s="1"/>
  <c r="N164" i="9"/>
  <c r="O164" i="9" s="1"/>
  <c r="N170" i="9"/>
  <c r="O170" i="9" s="1"/>
  <c r="N171" i="9"/>
  <c r="O171" i="9" s="1"/>
  <c r="N177" i="9"/>
  <c r="O177" i="9" s="1"/>
  <c r="N178" i="9"/>
  <c r="O178" i="9" s="1"/>
  <c r="N190" i="9"/>
  <c r="O190" i="9" s="1"/>
  <c r="N196" i="9"/>
  <c r="O196" i="9" s="1"/>
  <c r="N340" i="9"/>
  <c r="O340" i="9" s="1"/>
  <c r="N216" i="9"/>
  <c r="O216" i="9" s="1"/>
  <c r="N342" i="9"/>
  <c r="O342" i="9" s="1"/>
  <c r="N223" i="9"/>
  <c r="N227" i="9"/>
  <c r="O227" i="9" s="1"/>
  <c r="N233" i="9"/>
  <c r="O233" i="9" s="1"/>
  <c r="N345" i="9"/>
  <c r="O345" i="9" s="1"/>
  <c r="N258" i="9"/>
  <c r="O258" i="9" s="1"/>
  <c r="N263" i="9"/>
  <c r="O263" i="9" s="1"/>
  <c r="N264" i="9"/>
  <c r="O264" i="9" s="1"/>
  <c r="N291" i="9"/>
  <c r="N300" i="9"/>
  <c r="O300" i="9" s="1"/>
  <c r="N309" i="9"/>
  <c r="O309" i="9" s="1"/>
  <c r="N347" i="9"/>
  <c r="O347" i="9" s="1"/>
  <c r="N323" i="9"/>
  <c r="O323" i="9" s="1"/>
  <c r="N327" i="9"/>
  <c r="O327" i="9" s="1"/>
  <c r="N352" i="9"/>
  <c r="O352" i="9" s="1"/>
  <c r="N349" i="9"/>
  <c r="O349" i="9" s="1"/>
  <c r="N350" i="9"/>
  <c r="O350" i="9" s="1"/>
  <c r="N359" i="9"/>
  <c r="O359" i="9" s="1"/>
  <c r="N360" i="9"/>
  <c r="O360" i="9" s="1"/>
  <c r="N361" i="9"/>
  <c r="O361" i="9" s="1"/>
  <c r="N362" i="9"/>
  <c r="O362" i="9" s="1"/>
  <c r="N365" i="9"/>
  <c r="O365" i="9" s="1"/>
  <c r="N370" i="9"/>
  <c r="O370" i="9" s="1"/>
  <c r="N390" i="9"/>
  <c r="O390" i="9" s="1"/>
  <c r="N373" i="9"/>
  <c r="O373" i="9" s="1"/>
  <c r="N376" i="9"/>
  <c r="O376" i="9" s="1"/>
  <c r="N413" i="9"/>
  <c r="N414" i="9"/>
  <c r="B414" i="9" s="1"/>
  <c r="N415" i="9"/>
  <c r="B415" i="9" s="1"/>
  <c r="N377" i="9"/>
  <c r="O377" i="9" s="1"/>
  <c r="N421" i="9"/>
  <c r="O421" i="9" s="1"/>
  <c r="N393" i="9"/>
  <c r="O393" i="9" s="1"/>
  <c r="N397" i="9"/>
  <c r="O397" i="9" s="1"/>
  <c r="N407" i="9"/>
  <c r="O407" i="9" s="1"/>
  <c r="N446" i="9"/>
  <c r="O446" i="9" s="1"/>
  <c r="N452" i="9"/>
  <c r="O452" i="9" s="1"/>
  <c r="N489" i="9"/>
  <c r="O489" i="9" s="1"/>
  <c r="N409" i="9"/>
  <c r="O409" i="9" s="1"/>
  <c r="N502" i="9"/>
  <c r="O502" i="9" s="1"/>
  <c r="N503" i="9"/>
  <c r="B503" i="9" s="1"/>
  <c r="N510" i="9"/>
  <c r="O510" i="9" s="1"/>
  <c r="N521" i="9"/>
  <c r="O521" i="9" s="1"/>
  <c r="N526" i="9"/>
  <c r="O526" i="9" s="1"/>
  <c r="N527" i="9"/>
  <c r="O527" i="9" s="1"/>
  <c r="N528" i="9"/>
  <c r="O528" i="9" s="1"/>
  <c r="N540" i="9"/>
  <c r="O540" i="9" s="1"/>
  <c r="N416" i="9"/>
  <c r="O416" i="9" s="1"/>
  <c r="N548" i="9"/>
  <c r="O548" i="9" s="1"/>
  <c r="N552" i="9"/>
  <c r="O552" i="9" s="1"/>
  <c r="N554" i="9"/>
  <c r="O554" i="9" s="1"/>
  <c r="N572" i="9"/>
  <c r="O572" i="9" s="1"/>
  <c r="N578" i="9"/>
  <c r="O578" i="9" s="1"/>
  <c r="N582" i="9"/>
  <c r="O582" i="9" s="1"/>
  <c r="N584" i="9"/>
  <c r="O584" i="9" s="1"/>
  <c r="N586" i="9"/>
  <c r="O586" i="9" s="1"/>
  <c r="N589" i="9"/>
  <c r="O589" i="9" s="1"/>
  <c r="N426" i="9"/>
  <c r="O426" i="9" s="1"/>
  <c r="N595" i="9"/>
  <c r="O595" i="9" s="1"/>
  <c r="N596" i="9"/>
  <c r="O596" i="9" s="1"/>
  <c r="N599" i="9"/>
  <c r="O599" i="9" s="1"/>
  <c r="N428" i="9"/>
  <c r="O428" i="9" s="1"/>
  <c r="N429" i="9"/>
  <c r="O429" i="9" s="1"/>
  <c r="N431" i="9"/>
  <c r="O431" i="9" s="1"/>
  <c r="N624" i="9"/>
  <c r="O624" i="9" s="1"/>
  <c r="N436" i="9"/>
  <c r="O436" i="9" s="1"/>
  <c r="N627" i="9"/>
  <c r="O627" i="9" s="1"/>
  <c r="N634" i="9"/>
  <c r="O634" i="9" s="1"/>
  <c r="N635" i="9"/>
  <c r="O635" i="9" s="1"/>
  <c r="N641" i="9"/>
  <c r="O641" i="9" s="1"/>
  <c r="N438" i="9"/>
  <c r="O438" i="9" s="1"/>
  <c r="N649" i="9"/>
  <c r="O649" i="9" s="1"/>
  <c r="N655" i="9"/>
  <c r="O655" i="9" s="1"/>
  <c r="N444" i="9"/>
  <c r="O444" i="9" s="1"/>
  <c r="N675" i="9"/>
  <c r="O675" i="9" s="1"/>
  <c r="N683" i="9"/>
  <c r="O683" i="9" s="1"/>
  <c r="N684" i="9"/>
  <c r="O684" i="9" s="1"/>
  <c r="N2" i="9"/>
  <c r="O2" i="9" s="1"/>
  <c r="N5" i="9"/>
  <c r="O5" i="9" s="1"/>
  <c r="N39" i="9"/>
  <c r="N46" i="9"/>
  <c r="O46" i="9" s="1"/>
  <c r="N51" i="9"/>
  <c r="O51" i="9" s="1"/>
  <c r="N52" i="9"/>
  <c r="O52" i="9" s="1"/>
  <c r="N58" i="9"/>
  <c r="O58" i="9" s="1"/>
  <c r="N61" i="9"/>
  <c r="N63" i="9"/>
  <c r="O63" i="9" s="1"/>
  <c r="N66" i="9"/>
  <c r="O66" i="9" s="1"/>
  <c r="N67" i="9"/>
  <c r="N69" i="9"/>
  <c r="O69" i="9" s="1"/>
  <c r="N71" i="9"/>
  <c r="O71" i="9" s="1"/>
  <c r="N74" i="9"/>
  <c r="O74" i="9" s="1"/>
  <c r="N76" i="9"/>
  <c r="O76" i="9" s="1"/>
  <c r="N77" i="9"/>
  <c r="O77" i="9" s="1"/>
  <c r="N78" i="9"/>
  <c r="O78" i="9" s="1"/>
  <c r="N80" i="9"/>
  <c r="O80" i="9" s="1"/>
  <c r="N451" i="9"/>
  <c r="O451" i="9" s="1"/>
  <c r="N82" i="9"/>
  <c r="O82" i="9" s="1"/>
  <c r="N83" i="9"/>
  <c r="O83" i="9" s="1"/>
  <c r="N86" i="9"/>
  <c r="O86" i="9" s="1"/>
  <c r="N88" i="9"/>
  <c r="O88" i="9" s="1"/>
  <c r="N91" i="9"/>
  <c r="O91" i="9" s="1"/>
  <c r="N94" i="9"/>
  <c r="O94" i="9" s="1"/>
  <c r="N96" i="9"/>
  <c r="O96" i="9" s="1"/>
  <c r="N106" i="9"/>
  <c r="O106" i="9" s="1"/>
  <c r="N107" i="9"/>
  <c r="O107" i="9" s="1"/>
  <c r="N111" i="9"/>
  <c r="O111" i="9" s="1"/>
  <c r="N112" i="9"/>
  <c r="O112" i="9" s="1"/>
  <c r="N113" i="9"/>
  <c r="O113" i="9" s="1"/>
  <c r="N114" i="9"/>
  <c r="O114" i="9" s="1"/>
  <c r="N115" i="9"/>
  <c r="O115" i="9" s="1"/>
  <c r="N121" i="9"/>
  <c r="O121" i="9" s="1"/>
  <c r="N125" i="9"/>
  <c r="N126" i="9"/>
  <c r="N455" i="9"/>
  <c r="O455" i="9" s="1"/>
  <c r="N135" i="9"/>
  <c r="O135" i="9" s="1"/>
  <c r="N141" i="9"/>
  <c r="O141" i="9" s="1"/>
  <c r="N145" i="9"/>
  <c r="O145" i="9" s="1"/>
  <c r="N147" i="9"/>
  <c r="O147" i="9" s="1"/>
  <c r="N149" i="9"/>
  <c r="O149" i="9" s="1"/>
  <c r="N150" i="9"/>
  <c r="O150" i="9" s="1"/>
  <c r="N153" i="9"/>
  <c r="O153" i="9" s="1"/>
  <c r="N159" i="9"/>
  <c r="O159" i="9" s="1"/>
  <c r="N469" i="9"/>
  <c r="O469" i="9" s="1"/>
  <c r="N167" i="9"/>
  <c r="O167" i="9" s="1"/>
  <c r="N471" i="9"/>
  <c r="O471" i="9" s="1"/>
  <c r="N472" i="9"/>
  <c r="O472" i="9" s="1"/>
  <c r="N182" i="9"/>
  <c r="O182" i="9" s="1"/>
  <c r="N192" i="9"/>
  <c r="O192" i="9" s="1"/>
  <c r="N194" i="9"/>
  <c r="O194" i="9" s="1"/>
  <c r="N204" i="9"/>
  <c r="O204" i="9" s="1"/>
  <c r="N210" i="9"/>
  <c r="O210" i="9" s="1"/>
  <c r="N212" i="9"/>
  <c r="O212" i="9" s="1"/>
  <c r="N213" i="9"/>
  <c r="O213" i="9" s="1"/>
  <c r="N214" i="9"/>
  <c r="O214" i="9" s="1"/>
  <c r="N476" i="9"/>
  <c r="O476" i="9" s="1"/>
  <c r="N218" i="9"/>
  <c r="O218" i="9" s="1"/>
  <c r="N225" i="9"/>
  <c r="O225" i="9" s="1"/>
  <c r="N491" i="9"/>
  <c r="O491" i="9" s="1"/>
  <c r="N229" i="9"/>
  <c r="O229" i="9" s="1"/>
  <c r="N496" i="9"/>
  <c r="O496" i="9" s="1"/>
  <c r="N497" i="9"/>
  <c r="O497" i="9" s="1"/>
  <c r="N247" i="9"/>
  <c r="O247" i="9" s="1"/>
  <c r="N501" i="9"/>
  <c r="O501" i="9" s="1"/>
  <c r="N249" i="9"/>
  <c r="O249" i="9" s="1"/>
  <c r="N252" i="9"/>
  <c r="O252" i="9" s="1"/>
  <c r="N255" i="9"/>
  <c r="N266" i="9"/>
  <c r="O266" i="9" s="1"/>
  <c r="N508" i="9"/>
  <c r="O508" i="9" s="1"/>
  <c r="N515" i="9"/>
  <c r="O515" i="9" s="1"/>
  <c r="N273" i="9"/>
  <c r="O273" i="9" s="1"/>
  <c r="N274" i="9"/>
  <c r="O274" i="9" s="1"/>
  <c r="N519" i="9"/>
  <c r="O519" i="9" s="1"/>
  <c r="N276" i="9"/>
  <c r="O276" i="9" s="1"/>
  <c r="N278" i="9"/>
  <c r="O278" i="9" s="1"/>
  <c r="N280" i="9"/>
  <c r="O280" i="9" s="1"/>
  <c r="N286" i="9"/>
  <c r="N287" i="9"/>
  <c r="O287" i="9" s="1"/>
  <c r="N290" i="9"/>
  <c r="O290" i="9" s="1"/>
  <c r="N292" i="9"/>
  <c r="N296" i="9"/>
  <c r="O296" i="9" s="1"/>
  <c r="N304" i="9"/>
  <c r="O304" i="9" s="1"/>
  <c r="N310" i="9"/>
  <c r="O310" i="9" s="1"/>
  <c r="N315" i="9"/>
  <c r="O315" i="9" s="1"/>
  <c r="N520" i="9"/>
  <c r="O520" i="9" s="1"/>
  <c r="N321" i="9"/>
  <c r="O321" i="9" s="1"/>
  <c r="N324" i="9"/>
  <c r="O324" i="9" s="1"/>
  <c r="N330" i="9"/>
  <c r="O330" i="9" s="1"/>
  <c r="N332" i="9"/>
  <c r="O332" i="9" s="1"/>
  <c r="N333" i="9"/>
  <c r="O333" i="9" s="1"/>
  <c r="N335" i="9"/>
  <c r="O335" i="9" s="1"/>
  <c r="N522" i="9"/>
  <c r="O522" i="9" s="1"/>
  <c r="N348" i="9"/>
  <c r="O348" i="9" s="1"/>
  <c r="N357" i="9"/>
  <c r="O357" i="9" s="1"/>
  <c r="N358" i="9"/>
  <c r="O358" i="9" s="1"/>
  <c r="N346" i="9"/>
  <c r="O346" i="9" s="1"/>
  <c r="N366" i="9"/>
  <c r="O366" i="9" s="1"/>
  <c r="N369" i="9"/>
  <c r="O369" i="9" s="1"/>
  <c r="N379" i="9"/>
  <c r="O379" i="9" s="1"/>
  <c r="N378" i="9"/>
  <c r="O378" i="9" s="1"/>
  <c r="N383" i="9"/>
  <c r="O383" i="9" s="1"/>
  <c r="N384" i="9"/>
  <c r="O384" i="9" s="1"/>
  <c r="N385" i="9"/>
  <c r="O385" i="9" s="1"/>
  <c r="N389" i="9"/>
  <c r="O389" i="9" s="1"/>
  <c r="N523" i="9"/>
  <c r="O523" i="9" s="1"/>
  <c r="N394" i="9"/>
  <c r="O394" i="9" s="1"/>
  <c r="N395" i="9"/>
  <c r="O395" i="9" s="1"/>
  <c r="N398" i="9"/>
  <c r="O398" i="9" s="1"/>
  <c r="N402" i="9"/>
  <c r="O402" i="9" s="1"/>
  <c r="N404" i="9"/>
  <c r="O404" i="9" s="1"/>
  <c r="N405" i="9"/>
  <c r="O405" i="9" s="1"/>
  <c r="N534" i="9"/>
  <c r="O534" i="9" s="1"/>
  <c r="N408" i="9"/>
  <c r="O408" i="9" s="1"/>
  <c r="N410" i="9"/>
  <c r="O410" i="9" s="1"/>
  <c r="N411" i="9"/>
  <c r="O411" i="9" s="1"/>
  <c r="N412" i="9"/>
  <c r="O412" i="9" s="1"/>
  <c r="N422" i="9"/>
  <c r="O422" i="9" s="1"/>
  <c r="N423" i="9"/>
  <c r="O423" i="9" s="1"/>
  <c r="N424" i="9"/>
  <c r="O424" i="9" s="1"/>
  <c r="N427" i="9"/>
  <c r="O427" i="9" s="1"/>
  <c r="N541" i="9"/>
  <c r="O541" i="9" s="1"/>
  <c r="N542" i="9"/>
  <c r="O542" i="9" s="1"/>
  <c r="N432" i="9"/>
  <c r="O432" i="9" s="1"/>
  <c r="N433" i="9"/>
  <c r="O433" i="9" s="1"/>
  <c r="N434" i="9"/>
  <c r="O434" i="9" s="1"/>
  <c r="N437" i="9"/>
  <c r="O437" i="9" s="1"/>
  <c r="N441" i="9"/>
  <c r="N442" i="9"/>
  <c r="O442" i="9" s="1"/>
  <c r="N447" i="9"/>
  <c r="O447" i="9" s="1"/>
  <c r="N448" i="9"/>
  <c r="O448" i="9" s="1"/>
  <c r="N449" i="9"/>
  <c r="O449" i="9" s="1"/>
  <c r="N450" i="9"/>
  <c r="O450" i="9" s="1"/>
  <c r="N454" i="9"/>
  <c r="O454" i="9" s="1"/>
  <c r="N456" i="9"/>
  <c r="O456" i="9" s="1"/>
  <c r="N458" i="9"/>
  <c r="O458" i="9" s="1"/>
  <c r="N459" i="9"/>
  <c r="O459" i="9" s="1"/>
  <c r="N460" i="9"/>
  <c r="O460" i="9" s="1"/>
  <c r="N461" i="9"/>
  <c r="O461" i="9" s="1"/>
  <c r="N463" i="9"/>
  <c r="O463" i="9" s="1"/>
  <c r="N465" i="9"/>
  <c r="N466" i="9"/>
  <c r="O466" i="9" s="1"/>
  <c r="N467" i="9"/>
  <c r="O467" i="9" s="1"/>
  <c r="N468" i="9"/>
  <c r="O468" i="9" s="1"/>
  <c r="N543" i="9"/>
  <c r="O543" i="9" s="1"/>
  <c r="N475" i="9"/>
  <c r="O475" i="9" s="1"/>
  <c r="N479" i="9"/>
  <c r="O479" i="9" s="1"/>
  <c r="N480" i="9"/>
  <c r="O480" i="9" s="1"/>
  <c r="N481" i="9"/>
  <c r="O481" i="9" s="1"/>
  <c r="N482" i="9"/>
  <c r="O482" i="9" s="1"/>
  <c r="N483" i="9"/>
  <c r="O483" i="9" s="1"/>
  <c r="N485" i="9"/>
  <c r="O485" i="9" s="1"/>
  <c r="N487" i="9"/>
  <c r="O487" i="9" s="1"/>
  <c r="N488" i="9"/>
  <c r="O488" i="9" s="1"/>
  <c r="N493" i="9"/>
  <c r="O493" i="9" s="1"/>
  <c r="N498" i="9"/>
  <c r="O498" i="9" s="1"/>
  <c r="N545" i="9"/>
  <c r="O545" i="9" s="1"/>
  <c r="N499" i="9"/>
  <c r="O499" i="9" s="1"/>
  <c r="N504" i="9"/>
  <c r="N505" i="9"/>
  <c r="O505" i="9" s="1"/>
  <c r="N507" i="9"/>
  <c r="O507" i="9" s="1"/>
  <c r="N511" i="9"/>
  <c r="O511" i="9" s="1"/>
  <c r="N513" i="9"/>
  <c r="O513" i="9" s="1"/>
  <c r="N514" i="9"/>
  <c r="O514" i="9" s="1"/>
  <c r="N558" i="9"/>
  <c r="O558" i="9" s="1"/>
  <c r="N516" i="9"/>
  <c r="O516" i="9" s="1"/>
  <c r="N559" i="9"/>
  <c r="O559" i="9" s="1"/>
  <c r="N536" i="9"/>
  <c r="O536" i="9" s="1"/>
  <c r="N537" i="9"/>
  <c r="O537" i="9" s="1"/>
  <c r="N547" i="9"/>
  <c r="O547" i="9" s="1"/>
  <c r="N550" i="9"/>
  <c r="O550" i="9" s="1"/>
  <c r="N551" i="9"/>
  <c r="O551" i="9" s="1"/>
  <c r="N561" i="9"/>
  <c r="O561" i="9" s="1"/>
  <c r="N563" i="9"/>
  <c r="O563" i="9" s="1"/>
  <c r="N570" i="9"/>
  <c r="O570" i="9" s="1"/>
  <c r="N591" i="9"/>
  <c r="O591" i="9" s="1"/>
  <c r="N560" i="9"/>
  <c r="O560" i="9" s="1"/>
  <c r="N594" i="9"/>
  <c r="O594" i="9" s="1"/>
  <c r="N564" i="9"/>
  <c r="O564" i="9" s="1"/>
  <c r="N603" i="9"/>
  <c r="B603" i="9" s="1"/>
  <c r="N605" i="9"/>
  <c r="O605" i="9" s="1"/>
  <c r="N604" i="9"/>
  <c r="O604" i="9" s="1"/>
  <c r="N607" i="9"/>
  <c r="O607" i="9" s="1"/>
  <c r="N609" i="9"/>
  <c r="O609" i="9" s="1"/>
  <c r="N610" i="9"/>
  <c r="O610" i="9" s="1"/>
  <c r="N618" i="9"/>
  <c r="O618" i="9" s="1"/>
  <c r="N619" i="9"/>
  <c r="O619" i="9" s="1"/>
  <c r="N629" i="9"/>
  <c r="B629" i="9" s="1"/>
  <c r="N642" i="9"/>
  <c r="O642" i="9" s="1"/>
  <c r="N647" i="9"/>
  <c r="O647" i="9" s="1"/>
  <c r="N648" i="9"/>
  <c r="O648" i="9" s="1"/>
  <c r="N566" i="9"/>
  <c r="O566" i="9" s="1"/>
  <c r="N663" i="9"/>
  <c r="B663" i="9" s="1"/>
  <c r="N664" i="9"/>
  <c r="B664" i="9" s="1"/>
  <c r="N665" i="9"/>
  <c r="B665" i="9" s="1"/>
  <c r="N667" i="9"/>
  <c r="B667" i="9" s="1"/>
  <c r="N668" i="9"/>
  <c r="B668" i="9" s="1"/>
  <c r="N671" i="9"/>
  <c r="O671" i="9" s="1"/>
  <c r="N673" i="9"/>
  <c r="O673" i="9" s="1"/>
  <c r="N674" i="9"/>
  <c r="O674" i="9" s="1"/>
  <c r="N687" i="9"/>
  <c r="O687" i="9" s="1"/>
  <c r="N569" i="9"/>
  <c r="O569" i="9" s="1"/>
  <c r="N574" i="9"/>
  <c r="O574" i="9" s="1"/>
  <c r="N11" i="9"/>
  <c r="N12" i="9"/>
  <c r="N22" i="9"/>
  <c r="O22" i="9" s="1"/>
  <c r="N23" i="9"/>
  <c r="O23" i="9" s="1"/>
  <c r="N15" i="9"/>
  <c r="O15" i="9" s="1"/>
  <c r="N43" i="9"/>
  <c r="O43" i="9" s="1"/>
  <c r="N68" i="9"/>
  <c r="N577" i="9"/>
  <c r="O577" i="9" s="1"/>
  <c r="N90" i="9"/>
  <c r="O90" i="9" s="1"/>
  <c r="N583" i="9"/>
  <c r="O583" i="9" s="1"/>
  <c r="N590" i="9"/>
  <c r="O590" i="9" s="1"/>
  <c r="N593" i="9"/>
  <c r="O593" i="9" s="1"/>
  <c r="N143" i="9"/>
  <c r="O143" i="9" s="1"/>
  <c r="N146" i="9"/>
  <c r="O146" i="9" s="1"/>
  <c r="N148" i="9"/>
  <c r="O148" i="9" s="1"/>
  <c r="N157" i="9"/>
  <c r="O157" i="9" s="1"/>
  <c r="N158" i="9"/>
  <c r="O158" i="9" s="1"/>
  <c r="N597" i="9"/>
  <c r="O597" i="9" s="1"/>
  <c r="N197" i="9"/>
  <c r="O197" i="9" s="1"/>
  <c r="N200" i="9"/>
  <c r="O200" i="9" s="1"/>
  <c r="N606" i="9"/>
  <c r="O606" i="9" s="1"/>
  <c r="N221" i="9"/>
  <c r="O221" i="9" s="1"/>
  <c r="N615" i="9"/>
  <c r="O615" i="9" s="1"/>
  <c r="N238" i="9"/>
  <c r="O238" i="9" s="1"/>
  <c r="N617" i="9"/>
  <c r="O617" i="9" s="1"/>
  <c r="N240" i="9"/>
  <c r="O240" i="9" s="1"/>
  <c r="N245" i="9"/>
  <c r="O245" i="9" s="1"/>
  <c r="N621" i="9"/>
  <c r="O621" i="9" s="1"/>
  <c r="N256" i="9"/>
  <c r="N622" i="9"/>
  <c r="O622" i="9" s="1"/>
  <c r="N262" i="9"/>
  <c r="O262" i="9" s="1"/>
  <c r="N265" i="9"/>
  <c r="O265" i="9" s="1"/>
  <c r="N271" i="9"/>
  <c r="O271" i="9" s="1"/>
  <c r="N281" i="9"/>
  <c r="O281" i="9" s="1"/>
  <c r="N293" i="9"/>
  <c r="O293" i="9" s="1"/>
  <c r="N301" i="9"/>
  <c r="O301" i="9" s="1"/>
  <c r="N626" i="9"/>
  <c r="O626" i="9" s="1"/>
  <c r="N306" i="9"/>
  <c r="O306" i="9" s="1"/>
  <c r="N643" i="9"/>
  <c r="O643" i="9" s="1"/>
  <c r="N308" i="9"/>
  <c r="O308" i="9" s="1"/>
  <c r="N311" i="9"/>
  <c r="O311" i="9" s="1"/>
  <c r="N314" i="9"/>
  <c r="O314" i="9" s="1"/>
  <c r="N319" i="9"/>
  <c r="O319" i="9" s="1"/>
  <c r="N320" i="9"/>
  <c r="O320" i="9" s="1"/>
  <c r="N325" i="9"/>
  <c r="O325" i="9" s="1"/>
  <c r="N650" i="9"/>
  <c r="O650" i="9" s="1"/>
  <c r="N338" i="9"/>
  <c r="O338" i="9" s="1"/>
  <c r="N653" i="9"/>
  <c r="O653" i="9" s="1"/>
  <c r="N341" i="9"/>
  <c r="O341" i="9" s="1"/>
  <c r="N656" i="9"/>
  <c r="O656" i="9" s="1"/>
  <c r="N353" i="9"/>
  <c r="O353" i="9" s="1"/>
  <c r="N387" i="9"/>
  <c r="O387" i="9" s="1"/>
  <c r="N435" i="9"/>
  <c r="O435" i="9" s="1"/>
  <c r="N439" i="9"/>
  <c r="O439" i="9" s="1"/>
  <c r="N659" i="9"/>
  <c r="O659" i="9" s="1"/>
  <c r="N457" i="9"/>
  <c r="O457" i="9" s="1"/>
  <c r="N670" i="9"/>
  <c r="O670" i="9" s="1"/>
  <c r="N473" i="9"/>
  <c r="O473" i="9" s="1"/>
  <c r="N486" i="9"/>
  <c r="O486" i="9" s="1"/>
  <c r="N672" i="9"/>
  <c r="O672" i="9" s="1"/>
  <c r="N500" i="9"/>
  <c r="O500" i="9" s="1"/>
  <c r="N517" i="9"/>
  <c r="O517" i="9" s="1"/>
  <c r="N676" i="9"/>
  <c r="O676" i="9" s="1"/>
  <c r="N685" i="9"/>
  <c r="O685" i="9" s="1"/>
  <c r="N525" i="9"/>
  <c r="O525" i="9" s="1"/>
  <c r="N539" i="9"/>
  <c r="O539" i="9" s="1"/>
  <c r="N549" i="9"/>
  <c r="O549" i="9" s="1"/>
  <c r="N579" i="9"/>
  <c r="O579" i="9" s="1"/>
  <c r="N592" i="9"/>
  <c r="O592" i="9" s="1"/>
  <c r="N612" i="9"/>
  <c r="O612" i="9" s="1"/>
  <c r="N616" i="9"/>
  <c r="O616" i="9" s="1"/>
  <c r="N637" i="9"/>
  <c r="O637" i="9" s="1"/>
  <c r="N645" i="9"/>
  <c r="O645" i="9" s="1"/>
  <c r="N646" i="9"/>
  <c r="O646" i="9" s="1"/>
  <c r="N651" i="9"/>
  <c r="O651" i="9" s="1"/>
  <c r="N654" i="9"/>
  <c r="O654" i="9" s="1"/>
  <c r="N657" i="9"/>
  <c r="B657" i="9" s="1"/>
  <c r="N658" i="9"/>
  <c r="B658" i="9" s="1"/>
  <c r="N688" i="9"/>
  <c r="O688" i="9" s="1"/>
  <c r="N689" i="9"/>
  <c r="O689" i="9" s="1"/>
  <c r="N682" i="9"/>
  <c r="O682" i="9" s="1"/>
  <c r="M17" i="9"/>
  <c r="M60" i="9"/>
  <c r="M89" i="9"/>
  <c r="M7" i="9"/>
  <c r="M103" i="9"/>
  <c r="M124" i="9"/>
  <c r="M137" i="9"/>
  <c r="M139" i="9"/>
  <c r="M144" i="9"/>
  <c r="M154" i="9"/>
  <c r="M13" i="9"/>
  <c r="M19" i="9"/>
  <c r="M203" i="9"/>
  <c r="M209" i="9"/>
  <c r="M228" i="9"/>
  <c r="M294" i="9"/>
  <c r="M354" i="9"/>
  <c r="M371" i="9"/>
  <c r="M20" i="9"/>
  <c r="M464" i="9"/>
  <c r="M470" i="9"/>
  <c r="M478" i="9"/>
  <c r="M494" i="9"/>
  <c r="M25" i="9"/>
  <c r="M524" i="9"/>
  <c r="M31" i="9"/>
  <c r="M37" i="9"/>
  <c r="M573" i="9"/>
  <c r="M575" i="9"/>
  <c r="M587" i="9"/>
  <c r="M588" i="9"/>
  <c r="M602" i="9"/>
  <c r="M625" i="9"/>
  <c r="M628" i="9"/>
  <c r="M661" i="9"/>
  <c r="M692" i="9"/>
  <c r="M3" i="9"/>
  <c r="M6" i="9"/>
  <c r="M9" i="9"/>
  <c r="M14" i="9"/>
  <c r="M16" i="9"/>
  <c r="M21" i="9"/>
  <c r="M41" i="9"/>
  <c r="M30" i="9"/>
  <c r="M44" i="9"/>
  <c r="M36" i="9"/>
  <c r="M48" i="9"/>
  <c r="M47" i="9"/>
  <c r="M49" i="9"/>
  <c r="M50" i="9"/>
  <c r="M54" i="9"/>
  <c r="M57" i="9"/>
  <c r="M64" i="9"/>
  <c r="M65" i="9"/>
  <c r="M70" i="9"/>
  <c r="M72" i="9"/>
  <c r="M79" i="9"/>
  <c r="M100" i="9"/>
  <c r="M108" i="9"/>
  <c r="M116" i="9"/>
  <c r="M127" i="9"/>
  <c r="M129" i="9"/>
  <c r="M81" i="9"/>
  <c r="M138" i="9"/>
  <c r="M160" i="9"/>
  <c r="M84" i="9"/>
  <c r="M163" i="9"/>
  <c r="M168" i="9"/>
  <c r="M179" i="9"/>
  <c r="M97" i="9"/>
  <c r="M181" i="9"/>
  <c r="M183" i="9"/>
  <c r="M98" i="9"/>
  <c r="M185" i="9"/>
  <c r="M205" i="9"/>
  <c r="M208" i="9"/>
  <c r="M215" i="9"/>
  <c r="M99" i="9"/>
  <c r="M236" i="9"/>
  <c r="M242" i="9"/>
  <c r="M244" i="9"/>
  <c r="M253" i="9"/>
  <c r="M101" i="9"/>
  <c r="M260" i="9"/>
  <c r="M261" i="9"/>
  <c r="M269" i="9"/>
  <c r="M270" i="9"/>
  <c r="M272" i="9"/>
  <c r="M104" i="9"/>
  <c r="M109" i="9"/>
  <c r="M284" i="9"/>
  <c r="M288" i="9"/>
  <c r="M289" i="9"/>
  <c r="M295" i="9"/>
  <c r="M297" i="9"/>
  <c r="M299" i="9"/>
  <c r="M302" i="9"/>
  <c r="M312" i="9"/>
  <c r="M316" i="9"/>
  <c r="M118" i="9"/>
  <c r="M328" i="9"/>
  <c r="M343" i="9"/>
  <c r="M344" i="9"/>
  <c r="M128" i="9"/>
  <c r="M355" i="9"/>
  <c r="M356" i="9"/>
  <c r="M363" i="9"/>
  <c r="M364" i="9"/>
  <c r="M367" i="9"/>
  <c r="M372" i="9"/>
  <c r="M374" i="9"/>
  <c r="M131" i="9"/>
  <c r="M380" i="9"/>
  <c r="M381" i="9"/>
  <c r="M382" i="9"/>
  <c r="M399" i="9"/>
  <c r="M403" i="9"/>
  <c r="M418" i="9"/>
  <c r="M453" i="9"/>
  <c r="M462" i="9"/>
  <c r="M474" i="9"/>
  <c r="M132" i="9"/>
  <c r="M477" i="9"/>
  <c r="M484" i="9"/>
  <c r="M490" i="9"/>
  <c r="M495" i="9"/>
  <c r="M506" i="9"/>
  <c r="M133" i="9"/>
  <c r="M509" i="9"/>
  <c r="M512" i="9"/>
  <c r="M518" i="9"/>
  <c r="M136" i="9"/>
  <c r="M529" i="9"/>
  <c r="M530" i="9"/>
  <c r="M531" i="9"/>
  <c r="M532" i="9"/>
  <c r="M533" i="9"/>
  <c r="M535" i="9"/>
  <c r="M538" i="9"/>
  <c r="M142" i="9"/>
  <c r="M546" i="9"/>
  <c r="M162" i="9"/>
  <c r="M165" i="9"/>
  <c r="M562" i="9"/>
  <c r="M565" i="9"/>
  <c r="M568" i="9"/>
  <c r="M166" i="9"/>
  <c r="M571" i="9"/>
  <c r="M567" i="9"/>
  <c r="M581" i="9"/>
  <c r="M580" i="9"/>
  <c r="M172" i="9"/>
  <c r="M585" i="9"/>
  <c r="M598" i="9"/>
  <c r="M600" i="9"/>
  <c r="M601" i="9"/>
  <c r="M608" i="9"/>
  <c r="M614" i="9"/>
  <c r="M620" i="9"/>
  <c r="M174" i="9"/>
  <c r="M631" i="9"/>
  <c r="M632" i="9"/>
  <c r="M633" i="9"/>
  <c r="M636" i="9"/>
  <c r="M639" i="9"/>
  <c r="M644" i="9"/>
  <c r="M175" i="9"/>
  <c r="M677" i="9"/>
  <c r="M679" i="9"/>
  <c r="M680" i="9"/>
  <c r="M686" i="9"/>
  <c r="M176" i="9"/>
  <c r="M690" i="9"/>
  <c r="M691" i="9"/>
  <c r="M4" i="9"/>
  <c r="M27" i="9"/>
  <c r="M32" i="9"/>
  <c r="M45" i="9"/>
  <c r="M55" i="9"/>
  <c r="M56" i="9"/>
  <c r="M59" i="9"/>
  <c r="M87" i="9"/>
  <c r="M180" i="9"/>
  <c r="M184" i="9"/>
  <c r="M188" i="9"/>
  <c r="M191" i="9"/>
  <c r="M140" i="9"/>
  <c r="M151" i="9"/>
  <c r="M169" i="9"/>
  <c r="M195" i="9"/>
  <c r="M186" i="9"/>
  <c r="M193" i="9"/>
  <c r="M202" i="9"/>
  <c r="M198" i="9"/>
  <c r="M206" i="9"/>
  <c r="M220" i="9"/>
  <c r="M230" i="9"/>
  <c r="M241" i="9"/>
  <c r="M254" i="9"/>
  <c r="M282" i="9"/>
  <c r="M285" i="9"/>
  <c r="M322" i="9"/>
  <c r="M331" i="9"/>
  <c r="M334" i="9"/>
  <c r="M351" i="9"/>
  <c r="M211" i="9"/>
  <c r="M368" i="9"/>
  <c r="M386" i="9"/>
  <c r="M388" i="9"/>
  <c r="M391" i="9"/>
  <c r="M392" i="9"/>
  <c r="M401" i="9"/>
  <c r="M406" i="9"/>
  <c r="M417" i="9"/>
  <c r="M419" i="9"/>
  <c r="M420" i="9"/>
  <c r="M425" i="9"/>
  <c r="M430" i="9"/>
  <c r="M440" i="9"/>
  <c r="M443" i="9"/>
  <c r="M217" i="9"/>
  <c r="M492" i="9"/>
  <c r="M544" i="9"/>
  <c r="M553" i="9"/>
  <c r="M555" i="9"/>
  <c r="M556" i="9"/>
  <c r="M557" i="9"/>
  <c r="M219" i="9"/>
  <c r="M224" i="9"/>
  <c r="M576" i="9"/>
  <c r="M611" i="9"/>
  <c r="M613" i="9"/>
  <c r="M226" i="9"/>
  <c r="M623" i="9"/>
  <c r="M652" i="9"/>
  <c r="M662" i="9"/>
  <c r="M660" i="9"/>
  <c r="M669" i="9"/>
  <c r="M18" i="9"/>
  <c r="M231" i="9"/>
  <c r="M232" i="9"/>
  <c r="M33" i="9"/>
  <c r="M234" i="9"/>
  <c r="M40" i="9"/>
  <c r="M53" i="9"/>
  <c r="M75" i="9"/>
  <c r="M93" i="9"/>
  <c r="M110" i="9"/>
  <c r="M119" i="9"/>
  <c r="M130" i="9"/>
  <c r="M134" i="9"/>
  <c r="M239" i="9"/>
  <c r="M152" i="9"/>
  <c r="M173" i="9"/>
  <c r="M187" i="9"/>
  <c r="M189" i="9"/>
  <c r="M243" i="9"/>
  <c r="M201" i="9"/>
  <c r="M199" i="9"/>
  <c r="M207" i="9"/>
  <c r="M222" i="9"/>
  <c r="M235" i="9"/>
  <c r="M237" i="9"/>
  <c r="M246" i="9"/>
  <c r="M251" i="9"/>
  <c r="M279" i="9"/>
  <c r="M298" i="9"/>
  <c r="M248" i="9"/>
  <c r="M326" i="9"/>
  <c r="M250" i="9"/>
  <c r="M257" i="9"/>
  <c r="M259" i="9"/>
  <c r="M375" i="9"/>
  <c r="M267" i="9"/>
  <c r="M396" i="9"/>
  <c r="M400" i="9"/>
  <c r="M268" i="9"/>
  <c r="M445" i="9"/>
  <c r="M275" i="9"/>
  <c r="M277" i="9"/>
  <c r="M283" i="9"/>
  <c r="M303" i="9"/>
  <c r="M305" i="9"/>
  <c r="M630" i="9"/>
  <c r="M638" i="9"/>
  <c r="M640" i="9"/>
  <c r="M307" i="9"/>
  <c r="M666" i="9"/>
  <c r="M313" i="9"/>
  <c r="M678" i="9"/>
  <c r="M681" i="9"/>
  <c r="M317" i="9"/>
  <c r="M8" i="9"/>
  <c r="M10" i="9"/>
  <c r="M318" i="9"/>
  <c r="M24" i="9"/>
  <c r="M26" i="9"/>
  <c r="M28" i="9"/>
  <c r="M29" i="9"/>
  <c r="M34" i="9"/>
  <c r="M35" i="9"/>
  <c r="M38" i="9"/>
  <c r="M329" i="9"/>
  <c r="M42" i="9"/>
  <c r="M336" i="9"/>
  <c r="M62" i="9"/>
  <c r="M73" i="9"/>
  <c r="M85" i="9"/>
  <c r="M92" i="9"/>
  <c r="M95" i="9"/>
  <c r="M337" i="9"/>
  <c r="M102" i="9"/>
  <c r="M105" i="9"/>
  <c r="M117" i="9"/>
  <c r="M120" i="9"/>
  <c r="M122" i="9"/>
  <c r="M123" i="9"/>
  <c r="M339" i="9"/>
  <c r="M156" i="9"/>
  <c r="M155" i="9"/>
  <c r="M161" i="9"/>
  <c r="M164" i="9"/>
  <c r="M170" i="9"/>
  <c r="M171" i="9"/>
  <c r="M177" i="9"/>
  <c r="M178" i="9"/>
  <c r="M190" i="9"/>
  <c r="M196" i="9"/>
  <c r="M340" i="9"/>
  <c r="M216" i="9"/>
  <c r="M342" i="9"/>
  <c r="M223" i="9"/>
  <c r="M227" i="9"/>
  <c r="M233" i="9"/>
  <c r="M345" i="9"/>
  <c r="M258" i="9"/>
  <c r="M263" i="9"/>
  <c r="M264" i="9"/>
  <c r="M291" i="9"/>
  <c r="M300" i="9"/>
  <c r="M309" i="9"/>
  <c r="M347" i="9"/>
  <c r="M323" i="9"/>
  <c r="M327" i="9"/>
  <c r="M352" i="9"/>
  <c r="M349" i="9"/>
  <c r="M350" i="9"/>
  <c r="M359" i="9"/>
  <c r="M360" i="9"/>
  <c r="M361" i="9"/>
  <c r="M362" i="9"/>
  <c r="M365" i="9"/>
  <c r="M370" i="9"/>
  <c r="M390" i="9"/>
  <c r="M373" i="9"/>
  <c r="M376" i="9"/>
  <c r="M413" i="9"/>
  <c r="M414" i="9"/>
  <c r="M415" i="9"/>
  <c r="M377" i="9"/>
  <c r="M421" i="9"/>
  <c r="M393" i="9"/>
  <c r="M397" i="9"/>
  <c r="M407" i="9"/>
  <c r="M446" i="9"/>
  <c r="M452" i="9"/>
  <c r="M489" i="9"/>
  <c r="M409" i="9"/>
  <c r="M502" i="9"/>
  <c r="M503" i="9"/>
  <c r="M510" i="9"/>
  <c r="M521" i="9"/>
  <c r="M526" i="9"/>
  <c r="M527" i="9"/>
  <c r="M528" i="9"/>
  <c r="M540" i="9"/>
  <c r="M416" i="9"/>
  <c r="M548" i="9"/>
  <c r="M552" i="9"/>
  <c r="M554" i="9"/>
  <c r="M572" i="9"/>
  <c r="M578" i="9"/>
  <c r="M582" i="9"/>
  <c r="M584" i="9"/>
  <c r="M586" i="9"/>
  <c r="M589" i="9"/>
  <c r="M426" i="9"/>
  <c r="M595" i="9"/>
  <c r="M596" i="9"/>
  <c r="M599" i="9"/>
  <c r="M428" i="9"/>
  <c r="M429" i="9"/>
  <c r="M431" i="9"/>
  <c r="M624" i="9"/>
  <c r="M436" i="9"/>
  <c r="M627" i="9"/>
  <c r="M634" i="9"/>
  <c r="M635" i="9"/>
  <c r="M641" i="9"/>
  <c r="M438" i="9"/>
  <c r="M649" i="9"/>
  <c r="M655" i="9"/>
  <c r="M444" i="9"/>
  <c r="M675" i="9"/>
  <c r="M683" i="9"/>
  <c r="M684" i="9"/>
  <c r="M2" i="9"/>
  <c r="M5" i="9"/>
  <c r="M39" i="9"/>
  <c r="M46" i="9"/>
  <c r="M51" i="9"/>
  <c r="M52" i="9"/>
  <c r="M58" i="9"/>
  <c r="M61" i="9"/>
  <c r="M63" i="9"/>
  <c r="M66" i="9"/>
  <c r="M67" i="9"/>
  <c r="M69" i="9"/>
  <c r="M71" i="9"/>
  <c r="M74" i="9"/>
  <c r="M76" i="9"/>
  <c r="M77" i="9"/>
  <c r="M78" i="9"/>
  <c r="M80" i="9"/>
  <c r="M451" i="9"/>
  <c r="M82" i="9"/>
  <c r="M83" i="9"/>
  <c r="M86" i="9"/>
  <c r="M88" i="9"/>
  <c r="M91" i="9"/>
  <c r="M94" i="9"/>
  <c r="M96" i="9"/>
  <c r="M106" i="9"/>
  <c r="M107" i="9"/>
  <c r="M111" i="9"/>
  <c r="M112" i="9"/>
  <c r="M113" i="9"/>
  <c r="M114" i="9"/>
  <c r="M115" i="9"/>
  <c r="M121" i="9"/>
  <c r="M125" i="9"/>
  <c r="M126" i="9"/>
  <c r="M455" i="9"/>
  <c r="M135" i="9"/>
  <c r="M141" i="9"/>
  <c r="M145" i="9"/>
  <c r="M147" i="9"/>
  <c r="M149" i="9"/>
  <c r="M150" i="9"/>
  <c r="M153" i="9"/>
  <c r="M159" i="9"/>
  <c r="M469" i="9"/>
  <c r="M167" i="9"/>
  <c r="M471" i="9"/>
  <c r="M472" i="9"/>
  <c r="M182" i="9"/>
  <c r="M192" i="9"/>
  <c r="M194" i="9"/>
  <c r="M204" i="9"/>
  <c r="M210" i="9"/>
  <c r="M212" i="9"/>
  <c r="M213" i="9"/>
  <c r="M214" i="9"/>
  <c r="M476" i="9"/>
  <c r="M218" i="9"/>
  <c r="M225" i="9"/>
  <c r="M491" i="9"/>
  <c r="M229" i="9"/>
  <c r="M496" i="9"/>
  <c r="M497" i="9"/>
  <c r="M247" i="9"/>
  <c r="M501" i="9"/>
  <c r="M249" i="9"/>
  <c r="M252" i="9"/>
  <c r="M255" i="9"/>
  <c r="M266" i="9"/>
  <c r="M508" i="9"/>
  <c r="M515" i="9"/>
  <c r="M273" i="9"/>
  <c r="M274" i="9"/>
  <c r="M519" i="9"/>
  <c r="M276" i="9"/>
  <c r="M278" i="9"/>
  <c r="M280" i="9"/>
  <c r="M286" i="9"/>
  <c r="M287" i="9"/>
  <c r="M290" i="9"/>
  <c r="M292" i="9"/>
  <c r="M296" i="9"/>
  <c r="M304" i="9"/>
  <c r="M310" i="9"/>
  <c r="M315" i="9"/>
  <c r="M520" i="9"/>
  <c r="M321" i="9"/>
  <c r="M324" i="9"/>
  <c r="M330" i="9"/>
  <c r="M332" i="9"/>
  <c r="M333" i="9"/>
  <c r="M335" i="9"/>
  <c r="M522" i="9"/>
  <c r="M348" i="9"/>
  <c r="M357" i="9"/>
  <c r="M358" i="9"/>
  <c r="M346" i="9"/>
  <c r="M366" i="9"/>
  <c r="M369" i="9"/>
  <c r="M379" i="9"/>
  <c r="M378" i="9"/>
  <c r="M383" i="9"/>
  <c r="M384" i="9"/>
  <c r="M385" i="9"/>
  <c r="M389" i="9"/>
  <c r="M523" i="9"/>
  <c r="M394" i="9"/>
  <c r="M395" i="9"/>
  <c r="M398" i="9"/>
  <c r="M402" i="9"/>
  <c r="M404" i="9"/>
  <c r="M405" i="9"/>
  <c r="M534" i="9"/>
  <c r="M408" i="9"/>
  <c r="M410" i="9"/>
  <c r="M411" i="9"/>
  <c r="M412" i="9"/>
  <c r="M422" i="9"/>
  <c r="M423" i="9"/>
  <c r="M424" i="9"/>
  <c r="M427" i="9"/>
  <c r="M541" i="9"/>
  <c r="M542" i="9"/>
  <c r="M432" i="9"/>
  <c r="M433" i="9"/>
  <c r="M434" i="9"/>
  <c r="M437" i="9"/>
  <c r="M441" i="9"/>
  <c r="M442" i="9"/>
  <c r="M447" i="9"/>
  <c r="M448" i="9"/>
  <c r="M449" i="9"/>
  <c r="M450" i="9"/>
  <c r="M454" i="9"/>
  <c r="M456" i="9"/>
  <c r="M458" i="9"/>
  <c r="M459" i="9"/>
  <c r="M460" i="9"/>
  <c r="M461" i="9"/>
  <c r="M463" i="9"/>
  <c r="M465" i="9"/>
  <c r="M466" i="9"/>
  <c r="M467" i="9"/>
  <c r="M468" i="9"/>
  <c r="M543" i="9"/>
  <c r="M475" i="9"/>
  <c r="M479" i="9"/>
  <c r="M480" i="9"/>
  <c r="M481" i="9"/>
  <c r="M482" i="9"/>
  <c r="M483" i="9"/>
  <c r="M485" i="9"/>
  <c r="M487" i="9"/>
  <c r="M488" i="9"/>
  <c r="M493" i="9"/>
  <c r="M498" i="9"/>
  <c r="M545" i="9"/>
  <c r="M499" i="9"/>
  <c r="M504" i="9"/>
  <c r="M505" i="9"/>
  <c r="M507" i="9"/>
  <c r="M511" i="9"/>
  <c r="M513" i="9"/>
  <c r="M514" i="9"/>
  <c r="M558" i="9"/>
  <c r="M516" i="9"/>
  <c r="M559" i="9"/>
  <c r="M536" i="9"/>
  <c r="M537" i="9"/>
  <c r="M547" i="9"/>
  <c r="M550" i="9"/>
  <c r="M551" i="9"/>
  <c r="M561" i="9"/>
  <c r="M563" i="9"/>
  <c r="M570" i="9"/>
  <c r="M591" i="9"/>
  <c r="M560" i="9"/>
  <c r="M594" i="9"/>
  <c r="M564" i="9"/>
  <c r="M603" i="9"/>
  <c r="M605" i="9"/>
  <c r="M604" i="9"/>
  <c r="M607" i="9"/>
  <c r="M609" i="9"/>
  <c r="M610" i="9"/>
  <c r="M618" i="9"/>
  <c r="M619" i="9"/>
  <c r="M629" i="9"/>
  <c r="M642" i="9"/>
  <c r="M647" i="9"/>
  <c r="M648" i="9"/>
  <c r="M566" i="9"/>
  <c r="M663" i="9"/>
  <c r="M664" i="9"/>
  <c r="M665" i="9"/>
  <c r="M667" i="9"/>
  <c r="M668" i="9"/>
  <c r="M671" i="9"/>
  <c r="M673" i="9"/>
  <c r="M674" i="9"/>
  <c r="M687" i="9"/>
  <c r="M569" i="9"/>
  <c r="M574" i="9"/>
  <c r="M11" i="9"/>
  <c r="M12" i="9"/>
  <c r="M22" i="9"/>
  <c r="M23" i="9"/>
  <c r="M15" i="9"/>
  <c r="M43" i="9"/>
  <c r="M68" i="9"/>
  <c r="M577" i="9"/>
  <c r="M90" i="9"/>
  <c r="M583" i="9"/>
  <c r="M590" i="9"/>
  <c r="M593" i="9"/>
  <c r="M143" i="9"/>
  <c r="M146" i="9"/>
  <c r="M148" i="9"/>
  <c r="M157" i="9"/>
  <c r="M158" i="9"/>
  <c r="M597" i="9"/>
  <c r="M197" i="9"/>
  <c r="M200" i="9"/>
  <c r="M606" i="9"/>
  <c r="M221" i="9"/>
  <c r="M615" i="9"/>
  <c r="M238" i="9"/>
  <c r="M617" i="9"/>
  <c r="M240" i="9"/>
  <c r="M245" i="9"/>
  <c r="M621" i="9"/>
  <c r="M256" i="9"/>
  <c r="M622" i="9"/>
  <c r="M262" i="9"/>
  <c r="M265" i="9"/>
  <c r="M271" i="9"/>
  <c r="M281" i="9"/>
  <c r="M293" i="9"/>
  <c r="M301" i="9"/>
  <c r="M626" i="9"/>
  <c r="M306" i="9"/>
  <c r="M643" i="9"/>
  <c r="M308" i="9"/>
  <c r="M311" i="9"/>
  <c r="M314" i="9"/>
  <c r="M319" i="9"/>
  <c r="M320" i="9"/>
  <c r="M325" i="9"/>
  <c r="M650" i="9"/>
  <c r="M338" i="9"/>
  <c r="M653" i="9"/>
  <c r="M341" i="9"/>
  <c r="M656" i="9"/>
  <c r="M353" i="9"/>
  <c r="M387" i="9"/>
  <c r="M435" i="9"/>
  <c r="M439" i="9"/>
  <c r="M659" i="9"/>
  <c r="M457" i="9"/>
  <c r="M670" i="9"/>
  <c r="M473" i="9"/>
  <c r="M486" i="9"/>
  <c r="M672" i="9"/>
  <c r="M500" i="9"/>
  <c r="M517" i="9"/>
  <c r="M676" i="9"/>
  <c r="M685" i="9"/>
  <c r="M525" i="9"/>
  <c r="M539" i="9"/>
  <c r="M549" i="9"/>
  <c r="M579" i="9"/>
  <c r="M592" i="9"/>
  <c r="M612" i="9"/>
  <c r="M616" i="9"/>
  <c r="M637" i="9"/>
  <c r="M645" i="9"/>
  <c r="M646" i="9"/>
  <c r="M651" i="9"/>
  <c r="M654" i="9"/>
  <c r="M657" i="9"/>
  <c r="M658" i="9"/>
  <c r="M688" i="9"/>
  <c r="M689" i="9"/>
  <c r="M682" i="9"/>
  <c r="D2" i="10"/>
  <c r="D3" i="10"/>
  <c r="D4" i="10"/>
  <c r="E2" i="10"/>
  <c r="E3" i="10"/>
  <c r="E4" i="10"/>
  <c r="B2" i="10"/>
  <c r="B3" i="10"/>
  <c r="B4" i="10"/>
  <c r="F17" i="9"/>
  <c r="F60" i="9"/>
  <c r="F89" i="9"/>
  <c r="F99" i="9"/>
  <c r="F103" i="9"/>
  <c r="F124" i="9"/>
  <c r="F137" i="9"/>
  <c r="F139" i="9"/>
  <c r="F144" i="9"/>
  <c r="F154" i="9"/>
  <c r="F166" i="9"/>
  <c r="F188" i="9"/>
  <c r="F203" i="9"/>
  <c r="F209" i="9"/>
  <c r="F228" i="9"/>
  <c r="F294" i="9"/>
  <c r="F354" i="9"/>
  <c r="F371" i="9"/>
  <c r="F438" i="9"/>
  <c r="F464" i="9"/>
  <c r="F470" i="9"/>
  <c r="F478" i="9"/>
  <c r="F494" i="9"/>
  <c r="F496" i="9"/>
  <c r="F524" i="9"/>
  <c r="F542" i="9"/>
  <c r="F566" i="9"/>
  <c r="F573" i="9"/>
  <c r="F575" i="9"/>
  <c r="F587" i="9"/>
  <c r="F588" i="9"/>
  <c r="F602" i="9"/>
  <c r="F625" i="9"/>
  <c r="F628" i="9"/>
  <c r="F661" i="9"/>
  <c r="F692" i="9"/>
  <c r="F3" i="9"/>
  <c r="F6" i="9"/>
  <c r="F9" i="9"/>
  <c r="F14" i="9"/>
  <c r="F16" i="9"/>
  <c r="F21" i="9"/>
  <c r="F25" i="9"/>
  <c r="F30" i="9"/>
  <c r="F31" i="9"/>
  <c r="F36" i="9"/>
  <c r="F44" i="9"/>
  <c r="F47" i="9"/>
  <c r="F49" i="9"/>
  <c r="F50" i="9"/>
  <c r="F54" i="9"/>
  <c r="F57" i="9"/>
  <c r="F64" i="9"/>
  <c r="F65" i="9"/>
  <c r="F70" i="9"/>
  <c r="F79" i="9"/>
  <c r="F84" i="9"/>
  <c r="F100" i="9"/>
  <c r="F108" i="9"/>
  <c r="F116" i="9"/>
  <c r="F127" i="9"/>
  <c r="F129" i="9"/>
  <c r="F136" i="9"/>
  <c r="F138" i="9"/>
  <c r="F160" i="9"/>
  <c r="F162" i="9"/>
  <c r="F163" i="9"/>
  <c r="F168" i="9"/>
  <c r="F179" i="9"/>
  <c r="F180" i="9"/>
  <c r="F181" i="9"/>
  <c r="F183" i="9"/>
  <c r="F184" i="9"/>
  <c r="F185" i="9"/>
  <c r="F205" i="9"/>
  <c r="F208" i="9"/>
  <c r="F215" i="9"/>
  <c r="F224" i="9"/>
  <c r="F236" i="9"/>
  <c r="F242" i="9"/>
  <c r="F244" i="9"/>
  <c r="F253" i="9"/>
  <c r="F257" i="9"/>
  <c r="F260" i="9"/>
  <c r="F261" i="9"/>
  <c r="F269" i="9"/>
  <c r="F270" i="9"/>
  <c r="F272" i="9"/>
  <c r="F277" i="9"/>
  <c r="F283" i="9"/>
  <c r="F284" i="9"/>
  <c r="F288" i="9"/>
  <c r="F289" i="9"/>
  <c r="F295" i="9"/>
  <c r="F297" i="9"/>
  <c r="F299" i="9"/>
  <c r="F302" i="9"/>
  <c r="F312" i="9"/>
  <c r="F316" i="9"/>
  <c r="F318" i="9"/>
  <c r="F328" i="9"/>
  <c r="F343" i="9"/>
  <c r="F344" i="9"/>
  <c r="F352" i="9"/>
  <c r="F355" i="9"/>
  <c r="F356" i="9"/>
  <c r="F363" i="9"/>
  <c r="F364" i="9"/>
  <c r="F367" i="9"/>
  <c r="F372" i="9"/>
  <c r="F374" i="9"/>
  <c r="F376" i="9"/>
  <c r="F380" i="9"/>
  <c r="F381" i="9"/>
  <c r="F382" i="9"/>
  <c r="F399" i="9"/>
  <c r="F403" i="9"/>
  <c r="F418" i="9"/>
  <c r="F453" i="9"/>
  <c r="F462" i="9"/>
  <c r="F474" i="9"/>
  <c r="F476" i="9"/>
  <c r="F477" i="9"/>
  <c r="F484" i="9"/>
  <c r="F490" i="9"/>
  <c r="F495" i="9"/>
  <c r="F506" i="9"/>
  <c r="F508" i="9"/>
  <c r="F509" i="9"/>
  <c r="F512" i="9"/>
  <c r="F518" i="9"/>
  <c r="F519" i="9"/>
  <c r="F529" i="9"/>
  <c r="F530" i="9"/>
  <c r="F531" i="9"/>
  <c r="F532" i="9"/>
  <c r="F533" i="9"/>
  <c r="F535" i="9"/>
  <c r="F538" i="9"/>
  <c r="F543" i="9"/>
  <c r="F546" i="9"/>
  <c r="F559" i="9"/>
  <c r="F560" i="9"/>
  <c r="F562" i="9"/>
  <c r="F565" i="9"/>
  <c r="F568" i="9"/>
  <c r="F569" i="9"/>
  <c r="F571" i="9"/>
  <c r="F567" i="9"/>
  <c r="F581" i="9"/>
  <c r="F580" i="9"/>
  <c r="F583" i="9"/>
  <c r="F585" i="9"/>
  <c r="F598" i="9"/>
  <c r="F600" i="9"/>
  <c r="F601" i="9"/>
  <c r="F608" i="9"/>
  <c r="F614" i="9"/>
  <c r="F620" i="9"/>
  <c r="F621" i="9"/>
  <c r="F631" i="9"/>
  <c r="F632" i="9"/>
  <c r="F633" i="9"/>
  <c r="F636" i="9"/>
  <c r="F639" i="9"/>
  <c r="F644" i="9"/>
  <c r="F670" i="9"/>
  <c r="F677" i="9"/>
  <c r="F679" i="9"/>
  <c r="F680" i="9"/>
  <c r="F686" i="9"/>
  <c r="F688" i="9"/>
  <c r="F690" i="9"/>
  <c r="F691" i="9"/>
  <c r="F4" i="9"/>
  <c r="F27" i="9"/>
  <c r="F32" i="9"/>
  <c r="F45" i="9"/>
  <c r="F55" i="9"/>
  <c r="F56" i="9"/>
  <c r="F59" i="9"/>
  <c r="F87" i="9"/>
  <c r="F104" i="9"/>
  <c r="F118" i="9"/>
  <c r="F131" i="9"/>
  <c r="F132" i="9"/>
  <c r="F140" i="9"/>
  <c r="F151" i="9"/>
  <c r="F169" i="9"/>
  <c r="F172" i="9"/>
  <c r="F186" i="9"/>
  <c r="F193" i="9"/>
  <c r="F195" i="9"/>
  <c r="F198" i="9"/>
  <c r="F206" i="9"/>
  <c r="F220" i="9"/>
  <c r="F230" i="9"/>
  <c r="F241" i="9"/>
  <c r="F254" i="9"/>
  <c r="F282" i="9"/>
  <c r="F285" i="9"/>
  <c r="F322" i="9"/>
  <c r="F331" i="9"/>
  <c r="F334" i="9"/>
  <c r="F351" i="9"/>
  <c r="F347" i="9"/>
  <c r="F368" i="9"/>
  <c r="F386" i="9"/>
  <c r="F388" i="9"/>
  <c r="F391" i="9"/>
  <c r="F392" i="9"/>
  <c r="F401" i="9"/>
  <c r="F406" i="9"/>
  <c r="F417" i="9"/>
  <c r="F419" i="9"/>
  <c r="F420" i="9"/>
  <c r="F425" i="9"/>
  <c r="F430" i="9"/>
  <c r="F440" i="9"/>
  <c r="F443" i="9"/>
  <c r="F469" i="9"/>
  <c r="F492" i="9"/>
  <c r="F544" i="9"/>
  <c r="F553" i="9"/>
  <c r="F555" i="9"/>
  <c r="F556" i="9"/>
  <c r="F557" i="9"/>
  <c r="F558" i="9"/>
  <c r="F564" i="9"/>
  <c r="F576" i="9"/>
  <c r="F611" i="9"/>
  <c r="F613" i="9"/>
  <c r="F622" i="9"/>
  <c r="F623" i="9"/>
  <c r="F652" i="9"/>
  <c r="F662" i="9"/>
  <c r="F660" i="9"/>
  <c r="F669" i="9"/>
  <c r="F18" i="9"/>
  <c r="F19" i="9"/>
  <c r="F20" i="9"/>
  <c r="F33" i="9"/>
  <c r="F37" i="9"/>
  <c r="F40" i="9"/>
  <c r="F53" i="9"/>
  <c r="F75" i="9"/>
  <c r="F93" i="9"/>
  <c r="F110" i="9"/>
  <c r="F119" i="9"/>
  <c r="F130" i="9"/>
  <c r="F134" i="9"/>
  <c r="F142" i="9"/>
  <c r="F152" i="9"/>
  <c r="F173" i="9"/>
  <c r="F187" i="9"/>
  <c r="F189" i="9"/>
  <c r="F191" i="9"/>
  <c r="F201" i="9"/>
  <c r="F199" i="9"/>
  <c r="F207" i="9"/>
  <c r="F222" i="9"/>
  <c r="F235" i="9"/>
  <c r="F237" i="9"/>
  <c r="F250" i="9"/>
  <c r="F251" i="9"/>
  <c r="F279" i="9"/>
  <c r="F298" i="9"/>
  <c r="F305" i="9"/>
  <c r="F326" i="9"/>
  <c r="F329" i="9"/>
  <c r="F337" i="9"/>
  <c r="F373" i="9"/>
  <c r="F375" i="9"/>
  <c r="F377" i="9"/>
  <c r="F396" i="9"/>
  <c r="F400" i="9"/>
  <c r="F426" i="9"/>
  <c r="F445" i="9"/>
  <c r="F451" i="9"/>
  <c r="F534" i="9"/>
  <c r="F545" i="9"/>
  <c r="F574" i="9"/>
  <c r="F577" i="9"/>
  <c r="F630" i="9"/>
  <c r="F638" i="9"/>
  <c r="F640" i="9"/>
  <c r="F650" i="9"/>
  <c r="F666" i="9"/>
  <c r="F676" i="9"/>
  <c r="F678" i="9"/>
  <c r="F681" i="9"/>
  <c r="F685" i="9"/>
  <c r="F8" i="9"/>
  <c r="F10" i="9"/>
  <c r="F13" i="9"/>
  <c r="F24" i="9"/>
  <c r="F26" i="9"/>
  <c r="F28" i="9"/>
  <c r="F29" i="9"/>
  <c r="F34" i="9"/>
  <c r="F35" i="9"/>
  <c r="F38" i="9"/>
  <c r="F41" i="9"/>
  <c r="F42" i="9"/>
  <c r="F48" i="9"/>
  <c r="F62" i="9"/>
  <c r="F73" i="9"/>
  <c r="F85" i="9"/>
  <c r="F92" i="9"/>
  <c r="F95" i="9"/>
  <c r="F101" i="9"/>
  <c r="F102" i="9"/>
  <c r="F105" i="9"/>
  <c r="F117" i="9"/>
  <c r="F120" i="9"/>
  <c r="F122" i="9"/>
  <c r="F123" i="9"/>
  <c r="F133" i="9"/>
  <c r="F156" i="9"/>
  <c r="F155" i="9"/>
  <c r="F161" i="9"/>
  <c r="F164" i="9"/>
  <c r="F170" i="9"/>
  <c r="F171" i="9"/>
  <c r="F177" i="9"/>
  <c r="F178" i="9"/>
  <c r="F190" i="9"/>
  <c r="F196" i="9"/>
  <c r="F202" i="9"/>
  <c r="F216" i="9"/>
  <c r="F219" i="9"/>
  <c r="F223" i="9"/>
  <c r="F227" i="9"/>
  <c r="F233" i="9"/>
  <c r="F234" i="9"/>
  <c r="F258" i="9"/>
  <c r="F263" i="9"/>
  <c r="F264" i="9"/>
  <c r="F291" i="9"/>
  <c r="F300" i="9"/>
  <c r="F309" i="9"/>
  <c r="F313" i="9"/>
  <c r="F323" i="9"/>
  <c r="F327" i="9"/>
  <c r="F342" i="9"/>
  <c r="F349" i="9"/>
  <c r="F350" i="9"/>
  <c r="F359" i="9"/>
  <c r="F360" i="9"/>
  <c r="F361" i="9"/>
  <c r="F362" i="9"/>
  <c r="F365" i="9"/>
  <c r="F370" i="9"/>
  <c r="F390" i="9"/>
  <c r="F397" i="9"/>
  <c r="F409" i="9"/>
  <c r="F413" i="9"/>
  <c r="F414" i="9"/>
  <c r="F415" i="9"/>
  <c r="F416" i="9"/>
  <c r="F421" i="9"/>
  <c r="F429" i="9"/>
  <c r="F436" i="9"/>
  <c r="F444" i="9"/>
  <c r="F446" i="9"/>
  <c r="F452" i="9"/>
  <c r="F489" i="9"/>
  <c r="F501" i="9"/>
  <c r="F502" i="9"/>
  <c r="F503" i="9"/>
  <c r="F510" i="9"/>
  <c r="F521" i="9"/>
  <c r="F526" i="9"/>
  <c r="F527" i="9"/>
  <c r="F528" i="9"/>
  <c r="F540" i="9"/>
  <c r="F541" i="9"/>
  <c r="F548" i="9"/>
  <c r="F552" i="9"/>
  <c r="F554" i="9"/>
  <c r="F572" i="9"/>
  <c r="F578" i="9"/>
  <c r="F582" i="9"/>
  <c r="F584" i="9"/>
  <c r="F586" i="9"/>
  <c r="F589" i="9"/>
  <c r="F590" i="9"/>
  <c r="F595" i="9"/>
  <c r="F596" i="9"/>
  <c r="F599" i="9"/>
  <c r="F606" i="9"/>
  <c r="F615" i="9"/>
  <c r="F617" i="9"/>
  <c r="F624" i="9"/>
  <c r="F626" i="9"/>
  <c r="F627" i="9"/>
  <c r="F634" i="9"/>
  <c r="F635" i="9"/>
  <c r="F641" i="9"/>
  <c r="F643" i="9"/>
  <c r="F649" i="9"/>
  <c r="F655" i="9"/>
  <c r="F656" i="9"/>
  <c r="F675" i="9"/>
  <c r="F683" i="9"/>
  <c r="F684" i="9"/>
  <c r="F2" i="9"/>
  <c r="F5" i="9"/>
  <c r="F39" i="9"/>
  <c r="F46" i="9"/>
  <c r="F51" i="9"/>
  <c r="F52" i="9"/>
  <c r="F58" i="9"/>
  <c r="F61" i="9"/>
  <c r="F63" i="9"/>
  <c r="F66" i="9"/>
  <c r="F67" i="9"/>
  <c r="F69" i="9"/>
  <c r="F71" i="9"/>
  <c r="F74" i="9"/>
  <c r="F76" i="9"/>
  <c r="F77" i="9"/>
  <c r="F78" i="9"/>
  <c r="F80" i="9"/>
  <c r="F81" i="9"/>
  <c r="F82" i="9"/>
  <c r="F83" i="9"/>
  <c r="F86" i="9"/>
  <c r="F88" i="9"/>
  <c r="F91" i="9"/>
  <c r="F94" i="9"/>
  <c r="F96" i="9"/>
  <c r="F106" i="9"/>
  <c r="F107" i="9"/>
  <c r="F111" i="9"/>
  <c r="F112" i="9"/>
  <c r="F113" i="9"/>
  <c r="F114" i="9"/>
  <c r="F115" i="9"/>
  <c r="F121" i="9"/>
  <c r="F125" i="9"/>
  <c r="F126" i="9"/>
  <c r="F128" i="9"/>
  <c r="F135" i="9"/>
  <c r="F141" i="9"/>
  <c r="F145" i="9"/>
  <c r="F147" i="9"/>
  <c r="F149" i="9"/>
  <c r="F150" i="9"/>
  <c r="F153" i="9"/>
  <c r="F159" i="9"/>
  <c r="F165" i="9"/>
  <c r="F167" i="9"/>
  <c r="F174" i="9"/>
  <c r="F176" i="9"/>
  <c r="F182" i="9"/>
  <c r="F192" i="9"/>
  <c r="F194" i="9"/>
  <c r="F204" i="9"/>
  <c r="F210" i="9"/>
  <c r="F212" i="9"/>
  <c r="F213" i="9"/>
  <c r="F214" i="9"/>
  <c r="F217" i="9"/>
  <c r="F218" i="9"/>
  <c r="F225" i="9"/>
  <c r="F226" i="9"/>
  <c r="F229" i="9"/>
  <c r="F232" i="9"/>
  <c r="F243" i="9"/>
  <c r="F247" i="9"/>
  <c r="F248" i="9"/>
  <c r="F249" i="9"/>
  <c r="F252" i="9"/>
  <c r="F255" i="9"/>
  <c r="F266" i="9"/>
  <c r="F267" i="9"/>
  <c r="F268" i="9"/>
  <c r="F273" i="9"/>
  <c r="F274" i="9"/>
  <c r="F275" i="9"/>
  <c r="F276" i="9"/>
  <c r="F278" i="9"/>
  <c r="F280" i="9"/>
  <c r="F286" i="9"/>
  <c r="F287" i="9"/>
  <c r="F290" i="9"/>
  <c r="F292" i="9"/>
  <c r="F296" i="9"/>
  <c r="F304" i="9"/>
  <c r="F310" i="9"/>
  <c r="F315" i="9"/>
  <c r="F317" i="9"/>
  <c r="F321" i="9"/>
  <c r="F324" i="9"/>
  <c r="F330" i="9"/>
  <c r="F332" i="9"/>
  <c r="F333" i="9"/>
  <c r="F335" i="9"/>
  <c r="F340" i="9"/>
  <c r="F348" i="9"/>
  <c r="F357" i="9"/>
  <c r="F358" i="9"/>
  <c r="F346" i="9"/>
  <c r="F366" i="9"/>
  <c r="F369" i="9"/>
  <c r="F379" i="9"/>
  <c r="F378" i="9"/>
  <c r="F383" i="9"/>
  <c r="F384" i="9"/>
  <c r="F385" i="9"/>
  <c r="F389" i="9"/>
  <c r="F393" i="9"/>
  <c r="F394" i="9"/>
  <c r="F395" i="9"/>
  <c r="F398" i="9"/>
  <c r="F402" i="9"/>
  <c r="F404" i="9"/>
  <c r="F405" i="9"/>
  <c r="F407" i="9"/>
  <c r="F408" i="9"/>
  <c r="F410" i="9"/>
  <c r="F411" i="9"/>
  <c r="F412" i="9"/>
  <c r="F422" i="9"/>
  <c r="F423" i="9"/>
  <c r="F424" i="9"/>
  <c r="F427" i="9"/>
  <c r="F428" i="9"/>
  <c r="F431" i="9"/>
  <c r="F432" i="9"/>
  <c r="F433" i="9"/>
  <c r="F434" i="9"/>
  <c r="F437" i="9"/>
  <c r="F441" i="9"/>
  <c r="F442" i="9"/>
  <c r="F447" i="9"/>
  <c r="F448" i="9"/>
  <c r="F449" i="9"/>
  <c r="F450" i="9"/>
  <c r="F454" i="9"/>
  <c r="F456" i="9"/>
  <c r="F458" i="9"/>
  <c r="F459" i="9"/>
  <c r="F460" i="9"/>
  <c r="F461" i="9"/>
  <c r="F463" i="9"/>
  <c r="F465" i="9"/>
  <c r="F466" i="9"/>
  <c r="F467" i="9"/>
  <c r="F468" i="9"/>
  <c r="F472" i="9"/>
  <c r="F475" i="9"/>
  <c r="F479" i="9"/>
  <c r="F480" i="9"/>
  <c r="F481" i="9"/>
  <c r="F482" i="9"/>
  <c r="F483" i="9"/>
  <c r="F485" i="9"/>
  <c r="F487" i="9"/>
  <c r="F488" i="9"/>
  <c r="F493" i="9"/>
  <c r="F498" i="9"/>
  <c r="F497" i="9"/>
  <c r="F499" i="9"/>
  <c r="F504" i="9"/>
  <c r="F505" i="9"/>
  <c r="F507" i="9"/>
  <c r="F511" i="9"/>
  <c r="F513" i="9"/>
  <c r="F514" i="9"/>
  <c r="F515" i="9"/>
  <c r="F516" i="9"/>
  <c r="F522" i="9"/>
  <c r="F536" i="9"/>
  <c r="F537" i="9"/>
  <c r="F547" i="9"/>
  <c r="F550" i="9"/>
  <c r="F551" i="9"/>
  <c r="F561" i="9"/>
  <c r="F563" i="9"/>
  <c r="F570" i="9"/>
  <c r="F591" i="9"/>
  <c r="F593" i="9"/>
  <c r="F594" i="9"/>
  <c r="F597" i="9"/>
  <c r="F603" i="9"/>
  <c r="F605" i="9"/>
  <c r="F604" i="9"/>
  <c r="F607" i="9"/>
  <c r="F609" i="9"/>
  <c r="F610" i="9"/>
  <c r="F618" i="9"/>
  <c r="F619" i="9"/>
  <c r="F629" i="9"/>
  <c r="F642" i="9"/>
  <c r="F647" i="9"/>
  <c r="F648" i="9"/>
  <c r="F653" i="9"/>
  <c r="F663" i="9"/>
  <c r="F664" i="9"/>
  <c r="F665" i="9"/>
  <c r="F667" i="9"/>
  <c r="F668" i="9"/>
  <c r="F671" i="9"/>
  <c r="F673" i="9"/>
  <c r="F674" i="9"/>
  <c r="F687" i="9"/>
  <c r="F689" i="9"/>
  <c r="F7" i="9"/>
  <c r="F11" i="9"/>
  <c r="F12" i="9"/>
  <c r="F22" i="9"/>
  <c r="F23" i="9"/>
  <c r="F15" i="9"/>
  <c r="F43" i="9"/>
  <c r="F68" i="9"/>
  <c r="F72" i="9"/>
  <c r="F90" i="9"/>
  <c r="F97" i="9"/>
  <c r="F98" i="9"/>
  <c r="F109" i="9"/>
  <c r="F143" i="9"/>
  <c r="F146" i="9"/>
  <c r="F148" i="9"/>
  <c r="F157" i="9"/>
  <c r="F158" i="9"/>
  <c r="F175" i="9"/>
  <c r="F197" i="9"/>
  <c r="F200" i="9"/>
  <c r="F211" i="9"/>
  <c r="F221" i="9"/>
  <c r="F231" i="9"/>
  <c r="F238" i="9"/>
  <c r="F239" i="9"/>
  <c r="F240" i="9"/>
  <c r="F245" i="9"/>
  <c r="F246" i="9"/>
  <c r="F256" i="9"/>
  <c r="F259" i="9"/>
  <c r="F262" i="9"/>
  <c r="F265" i="9"/>
  <c r="F271" i="9"/>
  <c r="F281" i="9"/>
  <c r="F293" i="9"/>
  <c r="F301" i="9"/>
  <c r="F303" i="9"/>
  <c r="F306" i="9"/>
  <c r="F307" i="9"/>
  <c r="F308" i="9"/>
  <c r="F311" i="9"/>
  <c r="F314" i="9"/>
  <c r="F319" i="9"/>
  <c r="F320" i="9"/>
  <c r="F325" i="9"/>
  <c r="F336" i="9"/>
  <c r="F338" i="9"/>
  <c r="F339" i="9"/>
  <c r="F341" i="9"/>
  <c r="F345" i="9"/>
  <c r="F353" i="9"/>
  <c r="F387" i="9"/>
  <c r="F435" i="9"/>
  <c r="F439" i="9"/>
  <c r="F455" i="9"/>
  <c r="F457" i="9"/>
  <c r="F471" i="9"/>
  <c r="F473" i="9"/>
  <c r="F486" i="9"/>
  <c r="F491" i="9"/>
  <c r="F500" i="9"/>
  <c r="F517" i="9"/>
  <c r="F520" i="9"/>
  <c r="F523" i="9"/>
  <c r="F525" i="9"/>
  <c r="F539" i="9"/>
  <c r="F549" i="9"/>
  <c r="F579" i="9"/>
  <c r="F592" i="9"/>
  <c r="F612" i="9"/>
  <c r="F616" i="9"/>
  <c r="F637" i="9"/>
  <c r="F645" i="9"/>
  <c r="F646" i="9"/>
  <c r="F651" i="9"/>
  <c r="F654" i="9"/>
  <c r="F657" i="9"/>
  <c r="F658" i="9"/>
  <c r="F659" i="9"/>
  <c r="F672" i="9"/>
  <c r="F682" i="9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G51" i="8" a="1"/>
  <c r="G22" i="8" a="1"/>
  <c r="G10" i="8" a="1"/>
  <c r="G2" i="8" a="1"/>
  <c r="G39" i="8" a="1"/>
  <c r="G31" i="8" a="1"/>
  <c r="G70" i="8" a="1"/>
  <c r="B68" i="9" l="1"/>
  <c r="O68" i="9"/>
  <c r="B286" i="9"/>
  <c r="O286" i="9"/>
  <c r="B125" i="9"/>
  <c r="O125" i="9"/>
  <c r="B67" i="9"/>
  <c r="O67" i="9"/>
  <c r="B39" i="9"/>
  <c r="O39" i="9"/>
  <c r="B413" i="9"/>
  <c r="O413" i="9"/>
  <c r="B268" i="9"/>
  <c r="O268" i="9"/>
  <c r="B222" i="9"/>
  <c r="O222" i="9"/>
  <c r="B285" i="9"/>
  <c r="O285" i="9"/>
  <c r="B533" i="9"/>
  <c r="O533" i="9"/>
  <c r="O668" i="9"/>
  <c r="O664" i="9"/>
  <c r="O628" i="9"/>
  <c r="O503" i="9"/>
  <c r="O415" i="9"/>
  <c r="B12" i="9"/>
  <c r="O12" i="9"/>
  <c r="B465" i="9"/>
  <c r="O465" i="9"/>
  <c r="B292" i="9"/>
  <c r="O292" i="9"/>
  <c r="B223" i="9"/>
  <c r="O223" i="9"/>
  <c r="B155" i="9"/>
  <c r="O155" i="9"/>
  <c r="B532" i="9"/>
  <c r="O532" i="9"/>
  <c r="B133" i="9"/>
  <c r="O133" i="9"/>
  <c r="B131" i="9"/>
  <c r="O131" i="9"/>
  <c r="B464" i="9"/>
  <c r="O464" i="9"/>
  <c r="O667" i="9"/>
  <c r="O663" i="9"/>
  <c r="O603" i="9"/>
  <c r="O414" i="9"/>
  <c r="B256" i="9"/>
  <c r="O256" i="9"/>
  <c r="B11" i="9"/>
  <c r="O11" i="9"/>
  <c r="B441" i="9"/>
  <c r="O441" i="9"/>
  <c r="B255" i="9"/>
  <c r="O255" i="9"/>
  <c r="B291" i="9"/>
  <c r="O291" i="9"/>
  <c r="B298" i="9"/>
  <c r="O298" i="9"/>
  <c r="B440" i="9"/>
  <c r="O440" i="9"/>
  <c r="B297" i="9"/>
  <c r="O297" i="9"/>
  <c r="B270" i="9"/>
  <c r="O270" i="9"/>
  <c r="O662" i="9"/>
  <c r="O658" i="9"/>
  <c r="O602" i="9"/>
  <c r="O419" i="9"/>
  <c r="B504" i="9"/>
  <c r="O504" i="9"/>
  <c r="B126" i="9"/>
  <c r="O126" i="9"/>
  <c r="B61" i="9"/>
  <c r="O61" i="9"/>
  <c r="B38" i="9"/>
  <c r="C673" i="9" s="1"/>
  <c r="O38" i="9"/>
  <c r="B132" i="9"/>
  <c r="O132" i="9"/>
  <c r="B269" i="9"/>
  <c r="O269" i="9"/>
  <c r="B154" i="9"/>
  <c r="O154" i="9"/>
  <c r="B60" i="9"/>
  <c r="O60" i="9"/>
  <c r="O665" i="9"/>
  <c r="O661" i="9"/>
  <c r="O657" i="9"/>
  <c r="P657" i="9" s="1"/>
  <c r="O629" i="9"/>
  <c r="O418" i="9"/>
  <c r="O267" i="9"/>
  <c r="C12" i="9"/>
  <c r="C349" i="9"/>
  <c r="C184" i="9"/>
  <c r="C486" i="9"/>
  <c r="C647" i="9"/>
  <c r="C434" i="9"/>
  <c r="C218" i="9"/>
  <c r="C596" i="9"/>
  <c r="C177" i="9"/>
  <c r="C8" i="9"/>
  <c r="C134" i="9"/>
  <c r="C630" i="9"/>
  <c r="C401" i="9"/>
  <c r="C571" i="9"/>
  <c r="C260" i="9"/>
  <c r="C19" i="9"/>
  <c r="C140" i="9"/>
  <c r="C600" i="9"/>
  <c r="C531" i="9"/>
  <c r="C382" i="9"/>
  <c r="C101" i="9"/>
  <c r="C81" i="9"/>
  <c r="C41" i="9"/>
  <c r="C228" i="9"/>
  <c r="C279" i="9"/>
  <c r="C75" i="9"/>
  <c r="C492" i="9"/>
  <c r="C322" i="9"/>
  <c r="C87" i="9"/>
  <c r="C614" i="9"/>
  <c r="C535" i="9"/>
  <c r="C372" i="9"/>
  <c r="C253" i="9"/>
  <c r="C129" i="9"/>
  <c r="C21" i="9"/>
  <c r="C209" i="9"/>
  <c r="C53" i="9"/>
  <c r="C555" i="9"/>
  <c r="C230" i="9"/>
  <c r="C32" i="9"/>
  <c r="C608" i="9"/>
  <c r="C509" i="9"/>
  <c r="C367" i="9"/>
  <c r="C104" i="9"/>
  <c r="C98" i="9"/>
  <c r="C79" i="9"/>
  <c r="C16" i="9"/>
  <c r="C524" i="9"/>
  <c r="C144" i="9"/>
  <c r="G51" i="8"/>
  <c r="G39" i="8"/>
  <c r="G31" i="8"/>
  <c r="G70" i="8"/>
  <c r="G22" i="8"/>
  <c r="G10" i="8"/>
  <c r="G2" i="8"/>
  <c r="G32" i="8" a="1"/>
  <c r="G71" i="8" a="1"/>
  <c r="G3" i="8" a="1"/>
  <c r="G40" i="8" a="1"/>
  <c r="G52" i="8" a="1"/>
  <c r="G23" i="8" a="1"/>
  <c r="G11" i="8" a="1"/>
  <c r="C575" i="9" l="1"/>
  <c r="C127" i="9"/>
  <c r="C289" i="9"/>
  <c r="C546" i="9"/>
  <c r="C36" i="9"/>
  <c r="C295" i="9"/>
  <c r="C381" i="9"/>
  <c r="C191" i="9"/>
  <c r="C211" i="9"/>
  <c r="C576" i="9"/>
  <c r="C130" i="9"/>
  <c r="C250" i="9"/>
  <c r="C494" i="9"/>
  <c r="C48" i="9"/>
  <c r="C163" i="9"/>
  <c r="C316" i="9"/>
  <c r="C453" i="9"/>
  <c r="C538" i="9"/>
  <c r="C175" i="9"/>
  <c r="C254" i="9"/>
  <c r="C30" i="9"/>
  <c r="C364" i="9"/>
  <c r="C176" i="9"/>
  <c r="C40" i="9"/>
  <c r="C272" i="9"/>
  <c r="C246" i="9"/>
  <c r="C336" i="9"/>
  <c r="C263" i="9"/>
  <c r="C683" i="9"/>
  <c r="C519" i="9"/>
  <c r="C466" i="9"/>
  <c r="C590" i="9"/>
  <c r="C651" i="9"/>
  <c r="C611" i="9"/>
  <c r="C533" i="9"/>
  <c r="C622" i="9"/>
  <c r="C277" i="9"/>
  <c r="C426" i="9"/>
  <c r="C497" i="9"/>
  <c r="C216" i="9"/>
  <c r="C62" i="9"/>
  <c r="C326" i="9"/>
  <c r="C557" i="9"/>
  <c r="C27" i="9"/>
  <c r="C562" i="9"/>
  <c r="C285" i="9"/>
  <c r="C616" i="9"/>
  <c r="C659" i="9"/>
  <c r="C643" i="9"/>
  <c r="C615" i="9"/>
  <c r="C22" i="9"/>
  <c r="C618" i="9"/>
  <c r="C547" i="9"/>
  <c r="C488" i="9"/>
  <c r="C460" i="9"/>
  <c r="C541" i="9"/>
  <c r="C523" i="9"/>
  <c r="C332" i="9"/>
  <c r="C508" i="9"/>
  <c r="C212" i="9"/>
  <c r="C141" i="9"/>
  <c r="C451" i="9"/>
  <c r="C649" i="9"/>
  <c r="C586" i="9"/>
  <c r="C502" i="9"/>
  <c r="C360" i="9"/>
  <c r="C227" i="9"/>
  <c r="C123" i="9"/>
  <c r="C35" i="9"/>
  <c r="C638" i="9"/>
  <c r="C199" i="9"/>
  <c r="C234" i="9"/>
  <c r="C34" i="9"/>
  <c r="C248" i="9"/>
  <c r="C219" i="9"/>
  <c r="C220" i="9"/>
  <c r="C636" i="9"/>
  <c r="C136" i="9"/>
  <c r="C118" i="9"/>
  <c r="C168" i="9"/>
  <c r="C692" i="9"/>
  <c r="C392" i="9"/>
  <c r="C206" i="9"/>
  <c r="C55" i="9"/>
  <c r="C633" i="9"/>
  <c r="C545" i="9"/>
  <c r="C500" i="9"/>
  <c r="C72" i="9"/>
  <c r="C77" i="9"/>
  <c r="C178" i="9"/>
  <c r="C678" i="9"/>
  <c r="C189" i="9"/>
  <c r="C544" i="9"/>
  <c r="C677" i="9"/>
  <c r="C462" i="9"/>
  <c r="C549" i="9"/>
  <c r="C353" i="9"/>
  <c r="C293" i="9"/>
  <c r="C197" i="9"/>
  <c r="C569" i="9"/>
  <c r="C604" i="9"/>
  <c r="C516" i="9"/>
  <c r="C482" i="9"/>
  <c r="C454" i="9"/>
  <c r="C422" i="9"/>
  <c r="C383" i="9"/>
  <c r="C520" i="9"/>
  <c r="C249" i="9"/>
  <c r="C192" i="9"/>
  <c r="C113" i="9"/>
  <c r="C76" i="9"/>
  <c r="C634" i="9"/>
  <c r="C572" i="9"/>
  <c r="C446" i="9"/>
  <c r="C352" i="9"/>
  <c r="C340" i="9"/>
  <c r="C105" i="9"/>
  <c r="C26" i="9"/>
  <c r="C283" i="9"/>
  <c r="C187" i="9"/>
  <c r="C18" i="9"/>
  <c r="C317" i="9"/>
  <c r="C207" i="9"/>
  <c r="C443" i="9"/>
  <c r="C151" i="9"/>
  <c r="C601" i="9"/>
  <c r="C484" i="9"/>
  <c r="C288" i="9"/>
  <c r="C116" i="9"/>
  <c r="C573" i="9"/>
  <c r="C368" i="9"/>
  <c r="C186" i="9"/>
  <c r="C4" i="9"/>
  <c r="C620" i="9"/>
  <c r="C165" i="9"/>
  <c r="C506" i="9"/>
  <c r="C374" i="9"/>
  <c r="C284" i="9"/>
  <c r="C181" i="9"/>
  <c r="C70" i="9"/>
  <c r="C9" i="9"/>
  <c r="C20" i="9"/>
  <c r="C89" i="9"/>
  <c r="C201" i="9"/>
  <c r="C33" i="9"/>
  <c r="C556" i="9"/>
  <c r="C391" i="9"/>
  <c r="C198" i="9"/>
  <c r="C45" i="9"/>
  <c r="C632" i="9"/>
  <c r="C568" i="9"/>
  <c r="C512" i="9"/>
  <c r="C356" i="9"/>
  <c r="C109" i="9"/>
  <c r="C97" i="9"/>
  <c r="C65" i="9"/>
  <c r="C6" i="9"/>
  <c r="C371" i="9"/>
  <c r="C152" i="9"/>
  <c r="C660" i="9"/>
  <c r="C217" i="9"/>
  <c r="C351" i="9"/>
  <c r="C188" i="9"/>
  <c r="C679" i="9"/>
  <c r="C585" i="9"/>
  <c r="C529" i="9"/>
  <c r="C403" i="9"/>
  <c r="C328" i="9"/>
  <c r="C330" i="9"/>
  <c r="C405" i="9"/>
  <c r="C672" i="9"/>
  <c r="C589" i="9"/>
  <c r="C117" i="9"/>
  <c r="C640" i="9"/>
  <c r="C110" i="9"/>
  <c r="C193" i="9"/>
  <c r="C174" i="9"/>
  <c r="C25" i="9"/>
  <c r="C688" i="9"/>
  <c r="C676" i="9"/>
  <c r="C338" i="9"/>
  <c r="C262" i="9"/>
  <c r="C148" i="9"/>
  <c r="C671" i="9"/>
  <c r="C594" i="9"/>
  <c r="C511" i="9"/>
  <c r="C475" i="9"/>
  <c r="C447" i="9"/>
  <c r="C408" i="9"/>
  <c r="C366" i="9"/>
  <c r="C296" i="9"/>
  <c r="C496" i="9"/>
  <c r="C167" i="9"/>
  <c r="C106" i="9"/>
  <c r="C58" i="9"/>
  <c r="C431" i="9"/>
  <c r="C416" i="9"/>
  <c r="C421" i="9"/>
  <c r="C309" i="9"/>
  <c r="C215" i="9"/>
  <c r="C380" i="9"/>
  <c r="C631" i="9"/>
  <c r="C388" i="9"/>
  <c r="C119" i="9"/>
  <c r="C644" i="9"/>
  <c r="C17" i="9"/>
  <c r="C354" i="9"/>
  <c r="C625" i="9"/>
  <c r="C49" i="9"/>
  <c r="C160" i="9"/>
  <c r="C244" i="9"/>
  <c r="C302" i="9"/>
  <c r="C474" i="9"/>
  <c r="C565" i="9"/>
  <c r="C639" i="9"/>
  <c r="C169" i="9"/>
  <c r="C406" i="9"/>
  <c r="C226" i="9"/>
  <c r="C243" i="9"/>
  <c r="C31" i="9"/>
  <c r="C50" i="9"/>
  <c r="C185" i="9"/>
  <c r="C312" i="9"/>
  <c r="C495" i="9"/>
  <c r="C581" i="9"/>
  <c r="C680" i="9"/>
  <c r="C195" i="9"/>
  <c r="C417" i="9"/>
  <c r="C623" i="9"/>
  <c r="C173" i="9"/>
  <c r="C137" i="9"/>
  <c r="C37" i="9"/>
  <c r="C54" i="9"/>
  <c r="C205" i="9"/>
  <c r="C344" i="9"/>
  <c r="C477" i="9"/>
  <c r="C166" i="9"/>
  <c r="C686" i="9"/>
  <c r="C331" i="9"/>
  <c r="C57" i="9"/>
  <c r="C399" i="9"/>
  <c r="C56" i="9"/>
  <c r="C239" i="9"/>
  <c r="C386" i="9"/>
  <c r="C259" i="9"/>
  <c r="C92" i="9"/>
  <c r="C370" i="9"/>
  <c r="C88" i="9"/>
  <c r="C348" i="9"/>
  <c r="C499" i="9"/>
  <c r="C245" i="9"/>
  <c r="C222" i="9"/>
  <c r="C445" i="9"/>
  <c r="C159" i="9"/>
  <c r="C532" i="9"/>
  <c r="C203" i="9"/>
  <c r="C44" i="9"/>
  <c r="C59" i="9"/>
  <c r="C224" i="9"/>
  <c r="C478" i="9"/>
  <c r="C84" i="9"/>
  <c r="C162" i="9"/>
  <c r="C103" i="9"/>
  <c r="C470" i="9"/>
  <c r="C3" i="9"/>
  <c r="C64" i="9"/>
  <c r="C179" i="9"/>
  <c r="C261" i="9"/>
  <c r="C355" i="9"/>
  <c r="C490" i="9"/>
  <c r="C567" i="9"/>
  <c r="C690" i="9"/>
  <c r="C202" i="9"/>
  <c r="C425" i="9"/>
  <c r="C232" i="9"/>
  <c r="C124" i="9"/>
  <c r="C587" i="9"/>
  <c r="C100" i="9"/>
  <c r="C99" i="9"/>
  <c r="C343" i="9"/>
  <c r="C530" i="9"/>
  <c r="C598" i="9"/>
  <c r="C691" i="9"/>
  <c r="C241" i="9"/>
  <c r="C430" i="9"/>
  <c r="C669" i="9"/>
  <c r="C235" i="9"/>
  <c r="C13" i="9"/>
  <c r="C588" i="9"/>
  <c r="C108" i="9"/>
  <c r="C236" i="9"/>
  <c r="C363" i="9"/>
  <c r="C518" i="9"/>
  <c r="C580" i="9"/>
  <c r="C180" i="9"/>
  <c r="C7" i="9"/>
  <c r="C208" i="9"/>
  <c r="C142" i="9"/>
  <c r="C334" i="9"/>
  <c r="C400" i="9"/>
  <c r="C93" i="9"/>
  <c r="C313" i="9"/>
  <c r="C161" i="9"/>
  <c r="C526" i="9"/>
  <c r="C150" i="9"/>
  <c r="C402" i="9"/>
  <c r="C563" i="9"/>
  <c r="C319" i="9"/>
  <c r="C172" i="9"/>
  <c r="C95" i="9"/>
  <c r="C407" i="9"/>
  <c r="P124" i="9"/>
  <c r="P598" i="9"/>
  <c r="P41" i="9"/>
  <c r="P688" i="9"/>
  <c r="C86" i="9"/>
  <c r="P49" i="9"/>
  <c r="P380" i="9"/>
  <c r="P188" i="9"/>
  <c r="P243" i="9"/>
  <c r="P340" i="9"/>
  <c r="P634" i="9"/>
  <c r="P249" i="9"/>
  <c r="P454" i="9"/>
  <c r="P22" i="9"/>
  <c r="P99" i="9"/>
  <c r="P576" i="9"/>
  <c r="P62" i="9"/>
  <c r="P548" i="9"/>
  <c r="P194" i="9"/>
  <c r="P410" i="9"/>
  <c r="P607" i="9"/>
  <c r="P387" i="9"/>
  <c r="P382" i="9"/>
  <c r="P140" i="9"/>
  <c r="P237" i="9"/>
  <c r="P342" i="9"/>
  <c r="P444" i="9"/>
  <c r="P491" i="9"/>
  <c r="P449" i="9"/>
  <c r="P90" i="9"/>
  <c r="P682" i="9"/>
  <c r="P208" i="9"/>
  <c r="P172" i="9"/>
  <c r="P443" i="9"/>
  <c r="P666" i="9"/>
  <c r="P377" i="9"/>
  <c r="P80" i="9"/>
  <c r="P315" i="9"/>
  <c r="P487" i="9"/>
  <c r="P240" i="9"/>
  <c r="P267" i="9"/>
  <c r="P661" i="9"/>
  <c r="P154" i="9"/>
  <c r="P132" i="9"/>
  <c r="P61" i="9"/>
  <c r="P504" i="9"/>
  <c r="P658" i="9"/>
  <c r="P297" i="9"/>
  <c r="P298" i="9"/>
  <c r="P255" i="9"/>
  <c r="P11" i="9"/>
  <c r="P612" i="9"/>
  <c r="P692" i="9"/>
  <c r="P680" i="9"/>
  <c r="P672" i="9"/>
  <c r="P616" i="9"/>
  <c r="P608" i="9"/>
  <c r="P473" i="9"/>
  <c r="P306" i="9"/>
  <c r="P221" i="9"/>
  <c r="P43" i="9"/>
  <c r="P605" i="9"/>
  <c r="P558" i="9"/>
  <c r="P481" i="9"/>
  <c r="P442" i="9"/>
  <c r="P534" i="9"/>
  <c r="P346" i="9"/>
  <c r="P280" i="9"/>
  <c r="P229" i="9"/>
  <c r="P469" i="9"/>
  <c r="P112" i="9"/>
  <c r="P74" i="9"/>
  <c r="P675" i="9"/>
  <c r="P595" i="9"/>
  <c r="P521" i="9"/>
  <c r="P376" i="9"/>
  <c r="P300" i="9"/>
  <c r="P122" i="9"/>
  <c r="P34" i="9"/>
  <c r="P630" i="9"/>
  <c r="P248" i="9"/>
  <c r="P239" i="9"/>
  <c r="P613" i="9"/>
  <c r="P420" i="9"/>
  <c r="P282" i="9"/>
  <c r="P184" i="9"/>
  <c r="P677" i="9"/>
  <c r="P571" i="9"/>
  <c r="P484" i="9"/>
  <c r="P128" i="9"/>
  <c r="P272" i="9"/>
  <c r="P183" i="9"/>
  <c r="P72" i="9"/>
  <c r="P14" i="9"/>
  <c r="P19" i="9"/>
  <c r="P645" i="9"/>
  <c r="P670" i="9"/>
  <c r="P311" i="9"/>
  <c r="P606" i="9"/>
  <c r="P15" i="9"/>
  <c r="P591" i="9"/>
  <c r="P505" i="9"/>
  <c r="P468" i="9"/>
  <c r="P432" i="9"/>
  <c r="P395" i="9"/>
  <c r="P335" i="9"/>
  <c r="P278" i="9"/>
  <c r="P214" i="9"/>
  <c r="P147" i="9"/>
  <c r="P94" i="9"/>
  <c r="P63" i="9"/>
  <c r="P641" i="9"/>
  <c r="P582" i="9"/>
  <c r="P489" i="9"/>
  <c r="P350" i="9"/>
  <c r="P190" i="9"/>
  <c r="P337" i="9"/>
  <c r="P318" i="9"/>
  <c r="P275" i="9"/>
  <c r="P199" i="9"/>
  <c r="P234" i="9"/>
  <c r="P544" i="9"/>
  <c r="P254" i="9"/>
  <c r="P180" i="9"/>
  <c r="P175" i="9"/>
  <c r="P165" i="9"/>
  <c r="P506" i="9"/>
  <c r="P374" i="9"/>
  <c r="P284" i="9"/>
  <c r="P181" i="9"/>
  <c r="P70" i="9"/>
  <c r="P9" i="9"/>
  <c r="P20" i="9"/>
  <c r="P89" i="9"/>
  <c r="P579" i="9"/>
  <c r="P653" i="9"/>
  <c r="P265" i="9"/>
  <c r="P157" i="9"/>
  <c r="P574" i="9"/>
  <c r="P564" i="9"/>
  <c r="P513" i="9"/>
  <c r="P467" i="9"/>
  <c r="P437" i="9"/>
  <c r="P404" i="9"/>
  <c r="P357" i="9"/>
  <c r="P287" i="9"/>
  <c r="P497" i="9"/>
  <c r="P471" i="9"/>
  <c r="P107" i="9"/>
  <c r="P69" i="9"/>
  <c r="P599" i="9"/>
  <c r="P527" i="9"/>
  <c r="P361" i="9"/>
  <c r="P233" i="9"/>
  <c r="P339" i="9"/>
  <c r="P28" i="9"/>
  <c r="P445" i="9"/>
  <c r="P201" i="9"/>
  <c r="P33" i="9"/>
  <c r="P556" i="9"/>
  <c r="P391" i="9"/>
  <c r="P198" i="9"/>
  <c r="P45" i="9"/>
  <c r="P581" i="9"/>
  <c r="P530" i="9"/>
  <c r="P372" i="9"/>
  <c r="P295" i="9"/>
  <c r="P185" i="9"/>
  <c r="P100" i="9"/>
  <c r="P21" i="9"/>
  <c r="P478" i="9"/>
  <c r="P651" i="9"/>
  <c r="P353" i="9"/>
  <c r="P293" i="9"/>
  <c r="P197" i="9"/>
  <c r="P569" i="9"/>
  <c r="P594" i="9"/>
  <c r="P511" i="9"/>
  <c r="P475" i="9"/>
  <c r="P447" i="9"/>
  <c r="P408" i="9"/>
  <c r="P366" i="9"/>
  <c r="P296" i="9"/>
  <c r="P496" i="9"/>
  <c r="P167" i="9"/>
  <c r="P106" i="9"/>
  <c r="P58" i="9"/>
  <c r="P431" i="9"/>
  <c r="P416" i="9"/>
  <c r="P421" i="9"/>
  <c r="P309" i="9"/>
  <c r="P177" i="9"/>
  <c r="P92" i="9"/>
  <c r="P8" i="9"/>
  <c r="P375" i="9"/>
  <c r="P152" i="9"/>
  <c r="P226" i="9"/>
  <c r="P425" i="9"/>
  <c r="P230" i="9"/>
  <c r="P59" i="9"/>
  <c r="P639" i="9"/>
  <c r="P565" i="9"/>
  <c r="P490" i="9"/>
  <c r="P367" i="9"/>
  <c r="P289" i="9"/>
  <c r="P215" i="9"/>
  <c r="P127" i="9"/>
  <c r="P44" i="9"/>
  <c r="P575" i="9"/>
  <c r="P203" i="9"/>
  <c r="P636" i="9"/>
  <c r="P620" i="9"/>
  <c r="P644" i="9"/>
  <c r="P648" i="9"/>
  <c r="P676" i="9"/>
  <c r="P646" i="9"/>
  <c r="P439" i="9"/>
  <c r="P281" i="9"/>
  <c r="P597" i="9"/>
  <c r="P687" i="9"/>
  <c r="P560" i="9"/>
  <c r="P507" i="9"/>
  <c r="P543" i="9"/>
  <c r="P433" i="9"/>
  <c r="P398" i="9"/>
  <c r="P522" i="9"/>
  <c r="P274" i="9"/>
  <c r="P476" i="9"/>
  <c r="P149" i="9"/>
  <c r="P96" i="9"/>
  <c r="P66" i="9"/>
  <c r="P438" i="9"/>
  <c r="P584" i="9"/>
  <c r="P409" i="9"/>
  <c r="P365" i="9"/>
  <c r="P258" i="9"/>
  <c r="P102" i="9"/>
  <c r="P24" i="9"/>
  <c r="P277" i="9"/>
  <c r="P246" i="9"/>
  <c r="P110" i="9"/>
  <c r="P219" i="9"/>
  <c r="P401" i="9"/>
  <c r="P220" i="9"/>
  <c r="P56" i="9"/>
  <c r="P174" i="9"/>
  <c r="P562" i="9"/>
  <c r="P462" i="9"/>
  <c r="P118" i="9"/>
  <c r="P260" i="9"/>
  <c r="P168" i="9"/>
  <c r="P57" i="9"/>
  <c r="P573" i="9"/>
  <c r="P139" i="9"/>
  <c r="P592" i="9"/>
  <c r="P435" i="9"/>
  <c r="P626" i="9"/>
  <c r="P158" i="9"/>
  <c r="P674" i="9"/>
  <c r="P551" i="9"/>
  <c r="P498" i="9"/>
  <c r="P463" i="9"/>
  <c r="P424" i="9"/>
  <c r="P385" i="9"/>
  <c r="P324" i="9"/>
  <c r="P273" i="9"/>
  <c r="P204" i="9"/>
  <c r="P455" i="9"/>
  <c r="P83" i="9"/>
  <c r="P51" i="9"/>
  <c r="P436" i="9"/>
  <c r="P552" i="9"/>
  <c r="P397" i="9"/>
  <c r="P323" i="9"/>
  <c r="P170" i="9"/>
  <c r="P73" i="9"/>
  <c r="P681" i="9"/>
  <c r="P396" i="9"/>
  <c r="P187" i="9"/>
  <c r="P18" i="9"/>
  <c r="P392" i="9"/>
  <c r="P206" i="9"/>
  <c r="P55" i="9"/>
  <c r="P633" i="9"/>
  <c r="P538" i="9"/>
  <c r="P477" i="9"/>
  <c r="P363" i="9"/>
  <c r="P101" i="9"/>
  <c r="P163" i="9"/>
  <c r="P54" i="9"/>
  <c r="P588" i="9"/>
  <c r="P228" i="9"/>
  <c r="P689" i="9"/>
  <c r="P685" i="9"/>
  <c r="P320" i="9"/>
  <c r="P621" i="9"/>
  <c r="P593" i="9"/>
  <c r="P673" i="9"/>
  <c r="P570" i="9"/>
  <c r="P493" i="9"/>
  <c r="P461" i="9"/>
  <c r="P542" i="9"/>
  <c r="P394" i="9"/>
  <c r="P333" i="9"/>
  <c r="P276" i="9"/>
  <c r="P225" i="9"/>
  <c r="P153" i="9"/>
  <c r="P91" i="9"/>
  <c r="P46" i="9"/>
  <c r="P589" i="9"/>
  <c r="P452" i="9"/>
  <c r="P349" i="9"/>
  <c r="P216" i="9"/>
  <c r="P117" i="9"/>
  <c r="P10" i="9"/>
  <c r="P250" i="9"/>
  <c r="P173" i="9"/>
  <c r="P669" i="9"/>
  <c r="P492" i="9"/>
  <c r="P211" i="9"/>
  <c r="P195" i="9"/>
  <c r="P691" i="9"/>
  <c r="P568" i="9"/>
  <c r="P512" i="9"/>
  <c r="P356" i="9"/>
  <c r="P109" i="9"/>
  <c r="P97" i="9"/>
  <c r="P65" i="9"/>
  <c r="P6" i="9"/>
  <c r="P371" i="9"/>
  <c r="P549" i="9"/>
  <c r="P338" i="9"/>
  <c r="P262" i="9"/>
  <c r="P148" i="9"/>
  <c r="P671" i="9"/>
  <c r="P563" i="9"/>
  <c r="P499" i="9"/>
  <c r="P466" i="9"/>
  <c r="P434" i="9"/>
  <c r="P402" i="9"/>
  <c r="P348" i="9"/>
  <c r="P519" i="9"/>
  <c r="P218" i="9"/>
  <c r="P150" i="9"/>
  <c r="P88" i="9"/>
  <c r="P683" i="9"/>
  <c r="P596" i="9"/>
  <c r="P526" i="9"/>
  <c r="P370" i="9"/>
  <c r="P263" i="9"/>
  <c r="P161" i="9"/>
  <c r="P336" i="9"/>
  <c r="P313" i="9"/>
  <c r="P326" i="9"/>
  <c r="P119" i="9"/>
  <c r="P224" i="9"/>
  <c r="P406" i="9"/>
  <c r="P202" i="9"/>
  <c r="P32" i="9"/>
  <c r="P631" i="9"/>
  <c r="P546" i="9"/>
  <c r="P474" i="9"/>
  <c r="P355" i="9"/>
  <c r="P104" i="9"/>
  <c r="P98" i="9"/>
  <c r="P79" i="9"/>
  <c r="P16" i="9"/>
  <c r="P524" i="9"/>
  <c r="P144" i="9"/>
  <c r="P652" i="9"/>
  <c r="P684" i="9"/>
  <c r="P632" i="9"/>
  <c r="P624" i="9"/>
  <c r="P604" i="9"/>
  <c r="P539" i="9"/>
  <c r="P650" i="9"/>
  <c r="P622" i="9"/>
  <c r="P146" i="9"/>
  <c r="P642" i="9"/>
  <c r="P561" i="9"/>
  <c r="P545" i="9"/>
  <c r="P459" i="9"/>
  <c r="P427" i="9"/>
  <c r="P389" i="9"/>
  <c r="P330" i="9"/>
  <c r="P266" i="9"/>
  <c r="P210" i="9"/>
  <c r="P135" i="9"/>
  <c r="P86" i="9"/>
  <c r="P52" i="9"/>
  <c r="P627" i="9"/>
  <c r="P554" i="9"/>
  <c r="P407" i="9"/>
  <c r="P359" i="9"/>
  <c r="P196" i="9"/>
  <c r="P85" i="9"/>
  <c r="P317" i="9"/>
  <c r="P400" i="9"/>
  <c r="P207" i="9"/>
  <c r="P40" i="9"/>
  <c r="P553" i="9"/>
  <c r="P386" i="9"/>
  <c r="P193" i="9"/>
  <c r="P27" i="9"/>
  <c r="P601" i="9"/>
  <c r="P142" i="9"/>
  <c r="P399" i="9"/>
  <c r="P299" i="9"/>
  <c r="P242" i="9"/>
  <c r="P138" i="9"/>
  <c r="P47" i="9"/>
  <c r="P25" i="9"/>
  <c r="P7" i="9"/>
  <c r="P525" i="9"/>
  <c r="P341" i="9"/>
  <c r="P271" i="9"/>
  <c r="P143" i="9"/>
  <c r="P566" i="9"/>
  <c r="P536" i="9"/>
  <c r="P485" i="9"/>
  <c r="P458" i="9"/>
  <c r="P411" i="9"/>
  <c r="P379" i="9"/>
  <c r="P310" i="9"/>
  <c r="P247" i="9"/>
  <c r="P472" i="9"/>
  <c r="P115" i="9"/>
  <c r="P78" i="9"/>
  <c r="P2" i="9"/>
  <c r="P428" i="9"/>
  <c r="P528" i="9"/>
  <c r="P373" i="9"/>
  <c r="P345" i="9"/>
  <c r="P156" i="9"/>
  <c r="P329" i="9"/>
  <c r="P307" i="9"/>
  <c r="P257" i="9"/>
  <c r="P134" i="9"/>
  <c r="P611" i="9"/>
  <c r="P368" i="9"/>
  <c r="P186" i="9"/>
  <c r="P4" i="9"/>
  <c r="P580" i="9"/>
  <c r="P531" i="9"/>
  <c r="P453" i="9"/>
  <c r="P344" i="9"/>
  <c r="P236" i="9"/>
  <c r="P81" i="9"/>
  <c r="P48" i="9"/>
  <c r="P37" i="9"/>
  <c r="P13" i="9"/>
  <c r="P654" i="9"/>
  <c r="P457" i="9"/>
  <c r="P308" i="9"/>
  <c r="P238" i="9"/>
  <c r="P577" i="9"/>
  <c r="P619" i="9"/>
  <c r="P550" i="9"/>
  <c r="P483" i="9"/>
  <c r="P456" i="9"/>
  <c r="P423" i="9"/>
  <c r="P384" i="9"/>
  <c r="P321" i="9"/>
  <c r="P515" i="9"/>
  <c r="P213" i="9"/>
  <c r="P145" i="9"/>
  <c r="P82" i="9"/>
  <c r="P655" i="9"/>
  <c r="P578" i="9"/>
  <c r="P393" i="9"/>
  <c r="P347" i="9"/>
  <c r="P178" i="9"/>
  <c r="P95" i="9"/>
  <c r="P678" i="9"/>
  <c r="P279" i="9"/>
  <c r="P130" i="9"/>
  <c r="P623" i="9"/>
  <c r="P430" i="9"/>
  <c r="P322" i="9"/>
  <c r="P191" i="9"/>
  <c r="P614" i="9"/>
  <c r="P162" i="9"/>
  <c r="P495" i="9"/>
  <c r="P343" i="9"/>
  <c r="P253" i="9"/>
  <c r="P84" i="9"/>
  <c r="P50" i="9"/>
  <c r="P587" i="9"/>
  <c r="P209" i="9"/>
  <c r="P486" i="9"/>
  <c r="P319" i="9"/>
  <c r="P245" i="9"/>
  <c r="P590" i="9"/>
  <c r="P647" i="9"/>
  <c r="P547" i="9"/>
  <c r="P488" i="9"/>
  <c r="P460" i="9"/>
  <c r="P541" i="9"/>
  <c r="P523" i="9"/>
  <c r="P332" i="9"/>
  <c r="P508" i="9"/>
  <c r="P212" i="9"/>
  <c r="P141" i="9"/>
  <c r="P451" i="9"/>
  <c r="P649" i="9"/>
  <c r="P586" i="9"/>
  <c r="P502" i="9"/>
  <c r="P360" i="9"/>
  <c r="P227" i="9"/>
  <c r="P123" i="9"/>
  <c r="P35" i="9"/>
  <c r="P638" i="9"/>
  <c r="P251" i="9"/>
  <c r="P53" i="9"/>
  <c r="P555" i="9"/>
  <c r="P388" i="9"/>
  <c r="P169" i="9"/>
  <c r="P690" i="9"/>
  <c r="P585" i="9"/>
  <c r="P529" i="9"/>
  <c r="P403" i="9"/>
  <c r="P328" i="9"/>
  <c r="P261" i="9"/>
  <c r="P179" i="9"/>
  <c r="P64" i="9"/>
  <c r="P3" i="9"/>
  <c r="P470" i="9"/>
  <c r="P103" i="9"/>
  <c r="C657" i="9"/>
  <c r="P667" i="9"/>
  <c r="P503" i="9"/>
  <c r="P533" i="9"/>
  <c r="P222" i="9"/>
  <c r="P413" i="9"/>
  <c r="P67" i="9"/>
  <c r="P286" i="9"/>
  <c r="P17" i="9"/>
  <c r="P160" i="9"/>
  <c r="P509" i="9"/>
  <c r="P351" i="9"/>
  <c r="P283" i="9"/>
  <c r="P352" i="9"/>
  <c r="P76" i="9"/>
  <c r="P520" i="9"/>
  <c r="P482" i="9"/>
  <c r="P615" i="9"/>
  <c r="P31" i="9"/>
  <c r="P312" i="9"/>
  <c r="P87" i="9"/>
  <c r="P75" i="9"/>
  <c r="P164" i="9"/>
  <c r="P635" i="9"/>
  <c r="P252" i="9"/>
  <c r="P448" i="9"/>
  <c r="P23" i="9"/>
  <c r="P637" i="9"/>
  <c r="P108" i="9"/>
  <c r="P518" i="9"/>
  <c r="P331" i="9"/>
  <c r="P305" i="9"/>
  <c r="P362" i="9"/>
  <c r="P71" i="9"/>
  <c r="P290" i="9"/>
  <c r="P480" i="9"/>
  <c r="P617" i="9"/>
  <c r="P294" i="9"/>
  <c r="P288" i="9"/>
  <c r="P176" i="9"/>
  <c r="P231" i="9"/>
  <c r="P42" i="9"/>
  <c r="P540" i="9"/>
  <c r="P121" i="9"/>
  <c r="P378" i="9"/>
  <c r="P537" i="9"/>
  <c r="P314" i="9"/>
  <c r="P656" i="9"/>
  <c r="P418" i="9"/>
  <c r="P665" i="9"/>
  <c r="P354" i="9"/>
  <c r="P244" i="9"/>
  <c r="P567" i="9"/>
  <c r="P217" i="9"/>
  <c r="P26" i="9"/>
  <c r="P446" i="9"/>
  <c r="P113" i="9"/>
  <c r="P383" i="9"/>
  <c r="P516" i="9"/>
  <c r="P643" i="9"/>
  <c r="P36" i="9"/>
  <c r="P381" i="9"/>
  <c r="P241" i="9"/>
  <c r="P235" i="9"/>
  <c r="P264" i="9"/>
  <c r="P77" i="9"/>
  <c r="P304" i="9"/>
  <c r="P479" i="9"/>
  <c r="P200" i="9"/>
  <c r="P137" i="9"/>
  <c r="P205" i="9"/>
  <c r="P166" i="9"/>
  <c r="P557" i="9"/>
  <c r="P29" i="9"/>
  <c r="P510" i="9"/>
  <c r="P111" i="9"/>
  <c r="P358" i="9"/>
  <c r="P514" i="9"/>
  <c r="P325" i="9"/>
  <c r="P30" i="9"/>
  <c r="P364" i="9"/>
  <c r="P151" i="9"/>
  <c r="P189" i="9"/>
  <c r="P171" i="9"/>
  <c r="P429" i="9"/>
  <c r="P182" i="9"/>
  <c r="P412" i="9"/>
  <c r="P610" i="9"/>
  <c r="P517" i="9"/>
  <c r="P640" i="9"/>
  <c r="C282" i="9"/>
  <c r="C231" i="9"/>
  <c r="C375" i="9"/>
  <c r="C10" i="9"/>
  <c r="C164" i="9"/>
  <c r="C393" i="9"/>
  <c r="C437" i="9"/>
  <c r="C120" i="9"/>
  <c r="C609" i="9"/>
  <c r="P629" i="9"/>
  <c r="P60" i="9"/>
  <c r="P269" i="9"/>
  <c r="P38" i="9"/>
  <c r="P126" i="9"/>
  <c r="P419" i="9"/>
  <c r="P270" i="9"/>
  <c r="P625" i="9"/>
  <c r="P302" i="9"/>
  <c r="P679" i="9"/>
  <c r="P232" i="9"/>
  <c r="P105" i="9"/>
  <c r="P572" i="9"/>
  <c r="P192" i="9"/>
  <c r="P422" i="9"/>
  <c r="P618" i="9"/>
  <c r="P659" i="9"/>
  <c r="P129" i="9"/>
  <c r="P535" i="9"/>
  <c r="P417" i="9"/>
  <c r="P303" i="9"/>
  <c r="P390" i="9"/>
  <c r="P114" i="9"/>
  <c r="P369" i="9"/>
  <c r="P559" i="9"/>
  <c r="P301" i="9"/>
  <c r="P494" i="9"/>
  <c r="P316" i="9"/>
  <c r="P686" i="9"/>
  <c r="P93" i="9"/>
  <c r="P120" i="9"/>
  <c r="P426" i="9"/>
  <c r="P159" i="9"/>
  <c r="P405" i="9"/>
  <c r="P609" i="9"/>
  <c r="P500" i="9"/>
  <c r="P116" i="9"/>
  <c r="P136" i="9"/>
  <c r="P334" i="9"/>
  <c r="P259" i="9"/>
  <c r="P327" i="9"/>
  <c r="P5" i="9"/>
  <c r="P501" i="9"/>
  <c r="P450" i="9"/>
  <c r="P583" i="9"/>
  <c r="P660" i="9"/>
  <c r="P600" i="9"/>
  <c r="P662" i="9"/>
  <c r="P414" i="9"/>
  <c r="P464" i="9"/>
  <c r="P133" i="9"/>
  <c r="P155" i="9"/>
  <c r="P292" i="9"/>
  <c r="P12" i="9"/>
  <c r="P628" i="9"/>
  <c r="P440" i="9"/>
  <c r="P291" i="9"/>
  <c r="P441" i="9"/>
  <c r="P256" i="9"/>
  <c r="P603" i="9"/>
  <c r="P664" i="9"/>
  <c r="P285" i="9"/>
  <c r="P268" i="9"/>
  <c r="P39" i="9"/>
  <c r="P125" i="9"/>
  <c r="P68" i="9"/>
  <c r="P602" i="9"/>
  <c r="P663" i="9"/>
  <c r="P131" i="9"/>
  <c r="P532" i="9"/>
  <c r="P223" i="9"/>
  <c r="P465" i="9"/>
  <c r="P415" i="9"/>
  <c r="P668" i="9"/>
  <c r="C665" i="9"/>
  <c r="C503" i="9"/>
  <c r="C286" i="9"/>
  <c r="C413" i="9"/>
  <c r="C668" i="9"/>
  <c r="C603" i="9"/>
  <c r="C291" i="9"/>
  <c r="C133" i="9"/>
  <c r="C646" i="9"/>
  <c r="C473" i="9"/>
  <c r="C314" i="9"/>
  <c r="C240" i="9"/>
  <c r="C583" i="9"/>
  <c r="C610" i="9"/>
  <c r="C537" i="9"/>
  <c r="C487" i="9"/>
  <c r="C450" i="9"/>
  <c r="C412" i="9"/>
  <c r="C378" i="9"/>
  <c r="C315" i="9"/>
  <c r="C501" i="9"/>
  <c r="C182" i="9"/>
  <c r="C121" i="9"/>
  <c r="C80" i="9"/>
  <c r="C5" i="9"/>
  <c r="C429" i="9"/>
  <c r="C540" i="9"/>
  <c r="C377" i="9"/>
  <c r="C327" i="9"/>
  <c r="C171" i="9"/>
  <c r="C42" i="9"/>
  <c r="C257" i="9"/>
  <c r="C299" i="9"/>
  <c r="C297" i="9"/>
  <c r="C645" i="9"/>
  <c r="C670" i="9"/>
  <c r="C311" i="9"/>
  <c r="C606" i="9"/>
  <c r="C15" i="9"/>
  <c r="C591" i="9"/>
  <c r="C505" i="9"/>
  <c r="C468" i="9"/>
  <c r="C432" i="9"/>
  <c r="C395" i="9"/>
  <c r="C335" i="9"/>
  <c r="C278" i="9"/>
  <c r="C214" i="9"/>
  <c r="C147" i="9"/>
  <c r="C94" i="9"/>
  <c r="C63" i="9"/>
  <c r="C641" i="9"/>
  <c r="C582" i="9"/>
  <c r="C489" i="9"/>
  <c r="C350" i="9"/>
  <c r="C190" i="9"/>
  <c r="C337" i="9"/>
  <c r="C318" i="9"/>
  <c r="C275" i="9"/>
  <c r="C242" i="9"/>
  <c r="C47" i="9"/>
  <c r="C132" i="9"/>
  <c r="C154" i="9"/>
  <c r="C637" i="9"/>
  <c r="C457" i="9"/>
  <c r="C308" i="9"/>
  <c r="C238" i="9"/>
  <c r="C577" i="9"/>
  <c r="C648" i="9"/>
  <c r="C570" i="9"/>
  <c r="C493" i="9"/>
  <c r="C461" i="9"/>
  <c r="C542" i="9"/>
  <c r="C394" i="9"/>
  <c r="C333" i="9"/>
  <c r="C276" i="9"/>
  <c r="C225" i="9"/>
  <c r="C153" i="9"/>
  <c r="C91" i="9"/>
  <c r="C46" i="9"/>
  <c r="C624" i="9"/>
  <c r="C548" i="9"/>
  <c r="C390" i="9"/>
  <c r="C131" i="9"/>
  <c r="C612" i="9"/>
  <c r="C439" i="9"/>
  <c r="C306" i="9"/>
  <c r="C221" i="9"/>
  <c r="C43" i="9"/>
  <c r="C605" i="9"/>
  <c r="C558" i="9"/>
  <c r="C481" i="9"/>
  <c r="C442" i="9"/>
  <c r="C534" i="9"/>
  <c r="C346" i="9"/>
  <c r="C280" i="9"/>
  <c r="C229" i="9"/>
  <c r="C469" i="9"/>
  <c r="C112" i="9"/>
  <c r="C74" i="9"/>
  <c r="C675" i="9"/>
  <c r="C595" i="9"/>
  <c r="C521" i="9"/>
  <c r="C376" i="9"/>
  <c r="C300" i="9"/>
  <c r="C122" i="9"/>
  <c r="C24" i="9"/>
  <c r="C237" i="9"/>
  <c r="C139" i="9"/>
  <c r="C270" i="9"/>
  <c r="C592" i="9"/>
  <c r="C435" i="9"/>
  <c r="C626" i="9"/>
  <c r="C158" i="9"/>
  <c r="C674" i="9"/>
  <c r="C551" i="9"/>
  <c r="C498" i="9"/>
  <c r="C463" i="9"/>
  <c r="C424" i="9"/>
  <c r="C385" i="9"/>
  <c r="C324" i="9"/>
  <c r="C273" i="9"/>
  <c r="C204" i="9"/>
  <c r="C455" i="9"/>
  <c r="C83" i="9"/>
  <c r="C51" i="9"/>
  <c r="C436" i="9"/>
  <c r="C552" i="9"/>
  <c r="C397" i="9"/>
  <c r="C323" i="9"/>
  <c r="C170" i="9"/>
  <c r="C73" i="9"/>
  <c r="C681" i="9"/>
  <c r="C396" i="9"/>
  <c r="C183" i="9"/>
  <c r="C14" i="9"/>
  <c r="C418" i="9"/>
  <c r="C60" i="9"/>
  <c r="C579" i="9"/>
  <c r="C387" i="9"/>
  <c r="C301" i="9"/>
  <c r="C200" i="9"/>
  <c r="C23" i="9"/>
  <c r="C619" i="9"/>
  <c r="C550" i="9"/>
  <c r="C483" i="9"/>
  <c r="C456" i="9"/>
  <c r="C423" i="9"/>
  <c r="C384" i="9"/>
  <c r="C321" i="9"/>
  <c r="C515" i="9"/>
  <c r="C213" i="9"/>
  <c r="C145" i="9"/>
  <c r="C82" i="9"/>
  <c r="C684" i="9"/>
  <c r="C599" i="9"/>
  <c r="C527" i="9"/>
  <c r="C361" i="9"/>
  <c r="C233" i="9"/>
  <c r="C339" i="9"/>
  <c r="C28" i="9"/>
  <c r="C303" i="9"/>
  <c r="C251" i="9"/>
  <c r="C652" i="9"/>
  <c r="C38" i="9"/>
  <c r="C67" i="9"/>
  <c r="C658" i="9"/>
  <c r="C667" i="9"/>
  <c r="C255" i="9"/>
  <c r="C662" i="9"/>
  <c r="C602" i="9"/>
  <c r="C539" i="9"/>
  <c r="C656" i="9"/>
  <c r="C281" i="9"/>
  <c r="C597" i="9"/>
  <c r="C687" i="9"/>
  <c r="C560" i="9"/>
  <c r="C507" i="9"/>
  <c r="C543" i="9"/>
  <c r="C433" i="9"/>
  <c r="C398" i="9"/>
  <c r="C522" i="9"/>
  <c r="C274" i="9"/>
  <c r="C476" i="9"/>
  <c r="C149" i="9"/>
  <c r="C96" i="9"/>
  <c r="C66" i="9"/>
  <c r="C438" i="9"/>
  <c r="C584" i="9"/>
  <c r="C409" i="9"/>
  <c r="C365" i="9"/>
  <c r="C258" i="9"/>
  <c r="C102" i="9"/>
  <c r="C666" i="9"/>
  <c r="C420" i="9"/>
  <c r="C440" i="9"/>
  <c r="C661" i="9"/>
  <c r="C525" i="9"/>
  <c r="C341" i="9"/>
  <c r="C271" i="9"/>
  <c r="C143" i="9"/>
  <c r="C566" i="9"/>
  <c r="C536" i="9"/>
  <c r="C485" i="9"/>
  <c r="C458" i="9"/>
  <c r="C411" i="9"/>
  <c r="C379" i="9"/>
  <c r="C310" i="9"/>
  <c r="C247" i="9"/>
  <c r="C472" i="9"/>
  <c r="C115" i="9"/>
  <c r="C78" i="9"/>
  <c r="C2" i="9"/>
  <c r="C428" i="9"/>
  <c r="C528" i="9"/>
  <c r="C373" i="9"/>
  <c r="C345" i="9"/>
  <c r="C156" i="9"/>
  <c r="C329" i="9"/>
  <c r="C307" i="9"/>
  <c r="C613" i="9"/>
  <c r="C138" i="9"/>
  <c r="C294" i="9"/>
  <c r="C269" i="9"/>
  <c r="C689" i="9"/>
  <c r="C685" i="9"/>
  <c r="C653" i="9"/>
  <c r="C265" i="9"/>
  <c r="C157" i="9"/>
  <c r="C574" i="9"/>
  <c r="C607" i="9"/>
  <c r="C559" i="9"/>
  <c r="C479" i="9"/>
  <c r="C448" i="9"/>
  <c r="C410" i="9"/>
  <c r="C369" i="9"/>
  <c r="C304" i="9"/>
  <c r="C252" i="9"/>
  <c r="C194" i="9"/>
  <c r="C223" i="9"/>
  <c r="C465" i="9"/>
  <c r="C635" i="9"/>
  <c r="C107" i="9"/>
  <c r="C287" i="9"/>
  <c r="C467" i="9"/>
  <c r="C593" i="9"/>
  <c r="C654" i="9"/>
  <c r="C553" i="9"/>
  <c r="C342" i="9"/>
  <c r="C444" i="9"/>
  <c r="C491" i="9"/>
  <c r="C449" i="9"/>
  <c r="C90" i="9"/>
  <c r="C682" i="9"/>
  <c r="C85" i="9"/>
  <c r="C554" i="9"/>
  <c r="C135" i="9"/>
  <c r="C389" i="9"/>
  <c r="C561" i="9"/>
  <c r="C650" i="9"/>
  <c r="C415" i="9"/>
  <c r="C39" i="9"/>
  <c r="C504" i="9"/>
  <c r="C264" i="9"/>
  <c r="C452" i="9"/>
  <c r="C655" i="9"/>
  <c r="C114" i="9"/>
  <c r="C357" i="9"/>
  <c r="C513" i="9"/>
  <c r="C621" i="9"/>
  <c r="C628" i="9"/>
  <c r="C305" i="9"/>
  <c r="C362" i="9"/>
  <c r="C71" i="9"/>
  <c r="C290" i="9"/>
  <c r="C480" i="9"/>
  <c r="C617" i="9"/>
  <c r="C419" i="9"/>
  <c r="C196" i="9"/>
  <c r="C627" i="9"/>
  <c r="C210" i="9"/>
  <c r="C427" i="9"/>
  <c r="C642" i="9"/>
  <c r="C517" i="9"/>
  <c r="C629" i="9"/>
  <c r="C664" i="9"/>
  <c r="C347" i="9"/>
  <c r="C578" i="9"/>
  <c r="C69" i="9"/>
  <c r="C471" i="9"/>
  <c r="C404" i="9"/>
  <c r="C564" i="9"/>
  <c r="C320" i="9"/>
  <c r="C267" i="9"/>
  <c r="C29" i="9"/>
  <c r="C510" i="9"/>
  <c r="C111" i="9"/>
  <c r="C358" i="9"/>
  <c r="C514" i="9"/>
  <c r="C325" i="9"/>
  <c r="C128" i="9"/>
  <c r="C359" i="9"/>
  <c r="C52" i="9"/>
  <c r="C266" i="9"/>
  <c r="C459" i="9"/>
  <c r="C146" i="9"/>
  <c r="C464" i="9"/>
  <c r="C292" i="9"/>
  <c r="C61" i="9"/>
  <c r="C298" i="9"/>
  <c r="C414" i="9"/>
  <c r="C126" i="9"/>
  <c r="C11" i="9"/>
  <c r="C441" i="9"/>
  <c r="C155" i="9"/>
  <c r="C663" i="9"/>
  <c r="C268" i="9"/>
  <c r="C125" i="9"/>
  <c r="C256" i="9"/>
  <c r="C68" i="9"/>
  <c r="G23" i="8"/>
  <c r="G71" i="8"/>
  <c r="G3" i="8"/>
  <c r="G32" i="8"/>
  <c r="G11" i="8"/>
  <c r="G40" i="8"/>
  <c r="G52" i="8"/>
  <c r="G12" i="8" a="1"/>
  <c r="G72" i="8" a="1"/>
  <c r="G4" i="8" a="1"/>
  <c r="G33" i="8" a="1"/>
  <c r="G41" i="8" a="1"/>
  <c r="G53" i="8" a="1"/>
  <c r="G24" i="8" a="1"/>
  <c r="G82" i="7" l="1"/>
  <c r="G54" i="7"/>
  <c r="G22" i="7"/>
  <c r="G12" i="7"/>
  <c r="G53" i="6"/>
  <c r="G133" i="6"/>
  <c r="G17" i="6"/>
  <c r="G189" i="6"/>
  <c r="G169" i="6"/>
  <c r="G29" i="6"/>
  <c r="G119" i="6"/>
  <c r="G43" i="6"/>
  <c r="G27" i="6"/>
  <c r="G72" i="6"/>
  <c r="G158" i="6"/>
  <c r="G164" i="6"/>
  <c r="G35" i="6"/>
  <c r="G3" i="6"/>
  <c r="G82" i="6"/>
  <c r="G139" i="6"/>
  <c r="G182" i="6"/>
  <c r="G8" i="5"/>
  <c r="G28" i="5"/>
  <c r="G104" i="5"/>
  <c r="G112" i="5"/>
  <c r="G73" i="5"/>
  <c r="G89" i="5"/>
  <c r="G111" i="5"/>
  <c r="G34" i="5"/>
  <c r="G59" i="5"/>
  <c r="G71" i="5"/>
  <c r="G58" i="5"/>
  <c r="G83" i="5"/>
  <c r="G19" i="5"/>
  <c r="G33" i="4"/>
  <c r="G34" i="4"/>
  <c r="G19" i="4"/>
  <c r="G8" i="4"/>
  <c r="G6" i="4"/>
  <c r="G36" i="4"/>
  <c r="G4" i="4"/>
  <c r="G29" i="3"/>
  <c r="G25" i="3"/>
  <c r="G19" i="3"/>
  <c r="G3" i="3"/>
  <c r="G6" i="3"/>
  <c r="G26" i="3"/>
  <c r="G39" i="3"/>
  <c r="G36" i="3"/>
  <c r="G15" i="3"/>
  <c r="G64" i="3"/>
  <c r="G16" i="3"/>
  <c r="G49" i="2"/>
  <c r="G45" i="2"/>
  <c r="G61" i="2"/>
  <c r="G56" i="2"/>
  <c r="G8" i="2"/>
  <c r="G126" i="2"/>
  <c r="G10" i="2"/>
  <c r="G66" i="2"/>
  <c r="G40" i="2"/>
  <c r="G87" i="2"/>
  <c r="G114" i="2"/>
  <c r="G116" i="2"/>
  <c r="G128" i="2"/>
  <c r="G108" i="2"/>
  <c r="G5" i="1"/>
  <c r="G21" i="1"/>
  <c r="G4" i="1"/>
  <c r="G16" i="1"/>
  <c r="G7" i="1"/>
  <c r="G12" i="8"/>
  <c r="G24" i="8"/>
  <c r="G33" i="8"/>
  <c r="G53" i="8"/>
  <c r="G4" i="8"/>
  <c r="G41" i="8"/>
  <c r="G72" i="8"/>
  <c r="G25" i="8" a="1"/>
  <c r="G34" i="8" a="1"/>
  <c r="G73" i="8" a="1"/>
  <c r="G54" i="8" a="1"/>
  <c r="G13" i="8" a="1"/>
  <c r="G5" i="8" a="1"/>
  <c r="G42" i="8" a="1"/>
  <c r="G13" i="7" l="1"/>
  <c r="G21" i="7"/>
  <c r="G33" i="7"/>
  <c r="G45" i="7"/>
  <c r="G37" i="7"/>
  <c r="G53" i="7"/>
  <c r="G34" i="7"/>
  <c r="G42" i="7"/>
  <c r="G60" i="7"/>
  <c r="G28" i="7"/>
  <c r="G41" i="6"/>
  <c r="G177" i="6"/>
  <c r="G201" i="6"/>
  <c r="G4" i="6"/>
  <c r="G99" i="6"/>
  <c r="G95" i="6"/>
  <c r="G51" i="6"/>
  <c r="G131" i="6"/>
  <c r="G47" i="6"/>
  <c r="G146" i="6"/>
  <c r="G46" i="6"/>
  <c r="G44" i="5"/>
  <c r="G68" i="5"/>
  <c r="G9" i="5"/>
  <c r="G57" i="5"/>
  <c r="G12" i="5"/>
  <c r="G72" i="5"/>
  <c r="G27" i="5"/>
  <c r="G75" i="5"/>
  <c r="G62" i="5"/>
  <c r="G99" i="5"/>
  <c r="G49" i="4"/>
  <c r="G29" i="4"/>
  <c r="G50" i="4"/>
  <c r="G2" i="4"/>
  <c r="G44" i="4"/>
  <c r="G47" i="4"/>
  <c r="G42" i="4"/>
  <c r="G22" i="4"/>
  <c r="G48" i="4"/>
  <c r="G16" i="4"/>
  <c r="G21" i="3"/>
  <c r="G57" i="3"/>
  <c r="G37" i="3"/>
  <c r="G18" i="3"/>
  <c r="G31" i="3"/>
  <c r="G43" i="3"/>
  <c r="G11" i="3"/>
  <c r="G60" i="3"/>
  <c r="G17" i="2"/>
  <c r="G73" i="2"/>
  <c r="G30" i="2"/>
  <c r="G42" i="2"/>
  <c r="G99" i="2"/>
  <c r="G12" i="2"/>
  <c r="G72" i="2"/>
  <c r="G47" i="2"/>
  <c r="G83" i="2"/>
  <c r="G90" i="2"/>
  <c r="G64" i="2"/>
  <c r="G17" i="1"/>
  <c r="G37" i="1"/>
  <c r="G27" i="1"/>
  <c r="G36" i="1"/>
  <c r="G19" i="1"/>
  <c r="G54" i="8"/>
  <c r="G73" i="8"/>
  <c r="G34" i="8"/>
  <c r="G42" i="8"/>
  <c r="G25" i="8"/>
  <c r="G5" i="8"/>
  <c r="G13" i="8"/>
  <c r="G55" i="8" a="1"/>
  <c r="G26" i="8" a="1"/>
  <c r="G35" i="8" a="1"/>
  <c r="G6" i="8" a="1"/>
  <c r="G14" i="8" a="1"/>
  <c r="G74" i="8" a="1"/>
  <c r="G43" i="8" a="1"/>
  <c r="G9" i="7" l="1"/>
  <c r="G25" i="7"/>
  <c r="G20" i="7"/>
  <c r="G32" i="7"/>
  <c r="G15" i="7"/>
  <c r="G27" i="7"/>
  <c r="G30" i="7"/>
  <c r="G40" i="7"/>
  <c r="G137" i="6"/>
  <c r="G165" i="6"/>
  <c r="G197" i="6"/>
  <c r="G44" i="6"/>
  <c r="G39" i="6"/>
  <c r="G62" i="6"/>
  <c r="G54" i="6"/>
  <c r="G20" i="6"/>
  <c r="G142" i="6"/>
  <c r="G159" i="6"/>
  <c r="G60" i="5"/>
  <c r="G101" i="5"/>
  <c r="G109" i="5"/>
  <c r="G13" i="5"/>
  <c r="G37" i="5"/>
  <c r="G51" i="5"/>
  <c r="G10" i="5"/>
  <c r="G3" i="5"/>
  <c r="G42" i="5"/>
  <c r="G35" i="5"/>
  <c r="G9" i="4"/>
  <c r="G21" i="4"/>
  <c r="G23" i="4"/>
  <c r="G46" i="4"/>
  <c r="G55" i="4"/>
  <c r="G43" i="4"/>
  <c r="G13" i="3"/>
  <c r="G4" i="3"/>
  <c r="G51" i="3"/>
  <c r="G62" i="3"/>
  <c r="G52" i="3"/>
  <c r="G58" i="3"/>
  <c r="G113" i="2"/>
  <c r="G125" i="2"/>
  <c r="G57" i="2"/>
  <c r="G117" i="2"/>
  <c r="G5" i="2"/>
  <c r="G52" i="2"/>
  <c r="G48" i="2"/>
  <c r="G138" i="2"/>
  <c r="G59" i="2"/>
  <c r="G19" i="2"/>
  <c r="G92" i="2"/>
  <c r="G11" i="2"/>
  <c r="G120" i="2"/>
  <c r="G9" i="1"/>
  <c r="G3" i="1"/>
  <c r="G30" i="1"/>
  <c r="G32" i="1"/>
  <c r="G18" i="1"/>
  <c r="G12" i="1"/>
  <c r="G14" i="1"/>
  <c r="G43" i="8"/>
  <c r="G35" i="8"/>
  <c r="G74" i="8"/>
  <c r="G14" i="8"/>
  <c r="G6" i="8"/>
  <c r="G26" i="8"/>
  <c r="G55" i="8"/>
  <c r="G56" i="8" a="1"/>
  <c r="G27" i="8" a="1"/>
  <c r="G36" i="8" a="1"/>
  <c r="G75" i="8" a="1"/>
  <c r="G15" i="8" a="1"/>
  <c r="G44" i="8" a="1"/>
  <c r="G7" i="8" a="1"/>
  <c r="G43" i="7" l="1"/>
  <c r="G11" i="7"/>
  <c r="G23" i="7"/>
  <c r="G7" i="7"/>
  <c r="G2" i="7"/>
  <c r="G51" i="7"/>
  <c r="G46" i="7"/>
  <c r="G81" i="6"/>
  <c r="G141" i="6"/>
  <c r="G57" i="6"/>
  <c r="G193" i="6"/>
  <c r="G181" i="6"/>
  <c r="G127" i="6"/>
  <c r="G198" i="6"/>
  <c r="G162" i="6"/>
  <c r="G26" i="6"/>
  <c r="G120" i="6"/>
  <c r="G143" i="6"/>
  <c r="G50" i="6"/>
  <c r="G14" i="6"/>
  <c r="G16" i="5"/>
  <c r="G52" i="5"/>
  <c r="G96" i="5"/>
  <c r="G5" i="5"/>
  <c r="G110" i="5"/>
  <c r="G14" i="5"/>
  <c r="G26" i="5"/>
  <c r="G74" i="5"/>
  <c r="G103" i="5"/>
  <c r="G94" i="5"/>
  <c r="G53" i="4"/>
  <c r="G3" i="4"/>
  <c r="G54" i="4"/>
  <c r="G24" i="4"/>
  <c r="G26" i="4"/>
  <c r="G10" i="4"/>
  <c r="G20" i="4"/>
  <c r="G27" i="4"/>
  <c r="G39" i="4"/>
  <c r="G33" i="3"/>
  <c r="G61" i="3"/>
  <c r="G35" i="3"/>
  <c r="G14" i="3"/>
  <c r="G22" i="3"/>
  <c r="G30" i="3"/>
  <c r="G12" i="3"/>
  <c r="G25" i="2"/>
  <c r="G37" i="2"/>
  <c r="G96" i="2"/>
  <c r="G102" i="2"/>
  <c r="G6" i="2"/>
  <c r="G36" i="2"/>
  <c r="G98" i="2"/>
  <c r="G50" i="2"/>
  <c r="G28" i="2"/>
  <c r="G119" i="2"/>
  <c r="G78" i="2"/>
  <c r="G22" i="2"/>
  <c r="G16" i="2"/>
  <c r="G13" i="1"/>
  <c r="G29" i="1"/>
  <c r="G33" i="1"/>
  <c r="G34" i="1"/>
  <c r="G35" i="1"/>
  <c r="G36" i="8"/>
  <c r="G15" i="8"/>
  <c r="G56" i="8"/>
  <c r="G75" i="8"/>
  <c r="G27" i="8"/>
  <c r="G7" i="8"/>
  <c r="G44" i="8"/>
  <c r="G8" i="8" a="1"/>
  <c r="G28" i="8" a="1"/>
  <c r="G76" i="8" a="1"/>
  <c r="G16" i="8" a="1"/>
  <c r="G45" i="8" a="1"/>
  <c r="G57" i="8" a="1"/>
  <c r="G37" i="8" a="1"/>
  <c r="G41" i="7" l="1"/>
  <c r="G5" i="7"/>
  <c r="G49" i="7"/>
  <c r="G77" i="7"/>
  <c r="G36" i="7"/>
  <c r="G4" i="7"/>
  <c r="G35" i="7"/>
  <c r="G19" i="7"/>
  <c r="G14" i="7"/>
  <c r="G56" i="7"/>
  <c r="G49" i="6"/>
  <c r="G13" i="6"/>
  <c r="G94" i="6"/>
  <c r="G83" i="6"/>
  <c r="G202" i="6"/>
  <c r="G36" i="5"/>
  <c r="G4" i="5"/>
  <c r="G40" i="5"/>
  <c r="G56" i="5"/>
  <c r="G92" i="5"/>
  <c r="G108" i="5"/>
  <c r="G53" i="5"/>
  <c r="G78" i="5"/>
  <c r="G70" i="5"/>
  <c r="G18" i="5"/>
  <c r="G13" i="4"/>
  <c r="G28" i="4"/>
  <c r="G30" i="4"/>
  <c r="G31" i="4"/>
  <c r="G15" i="4"/>
  <c r="G52" i="4"/>
  <c r="G9" i="3"/>
  <c r="G45" i="3"/>
  <c r="G5" i="3"/>
  <c r="G17" i="3"/>
  <c r="G53" i="3"/>
  <c r="G50" i="3"/>
  <c r="G24" i="3"/>
  <c r="G28" i="3"/>
  <c r="G47" i="3"/>
  <c r="G2" i="3"/>
  <c r="G41" i="2"/>
  <c r="G77" i="2"/>
  <c r="G4" i="2"/>
  <c r="G100" i="2"/>
  <c r="G67" i="2"/>
  <c r="G131" i="2"/>
  <c r="G118" i="2"/>
  <c r="G79" i="2"/>
  <c r="G63" i="2"/>
  <c r="G76" i="2"/>
  <c r="G122" i="2"/>
  <c r="G58" i="2"/>
  <c r="G20" i="1"/>
  <c r="G2" i="1"/>
  <c r="G15" i="1"/>
  <c r="G8" i="8"/>
  <c r="G16" i="8"/>
  <c r="G28" i="8"/>
  <c r="G37" i="8"/>
  <c r="G76" i="8"/>
  <c r="G45" i="8"/>
  <c r="G57" i="8"/>
  <c r="G58" i="8" a="1"/>
  <c r="G9" i="8" a="1"/>
  <c r="G46" i="8" a="1"/>
  <c r="G38" i="8" a="1"/>
  <c r="G17" i="8" a="1"/>
  <c r="G29" i="8" a="1"/>
  <c r="G77" i="8" a="1"/>
  <c r="G61" i="7" l="1"/>
  <c r="G80" i="7"/>
  <c r="G64" i="7"/>
  <c r="G48" i="7"/>
  <c r="G16" i="7"/>
  <c r="G47" i="7"/>
  <c r="G26" i="7"/>
  <c r="G83" i="7"/>
  <c r="G62" i="7"/>
  <c r="G72" i="7"/>
  <c r="G74" i="7"/>
  <c r="G21" i="6"/>
  <c r="G37" i="6"/>
  <c r="G69" i="6"/>
  <c r="G93" i="6"/>
  <c r="G157" i="6"/>
  <c r="G160" i="6"/>
  <c r="G111" i="6"/>
  <c r="G79" i="6"/>
  <c r="G23" i="6"/>
  <c r="G60" i="6"/>
  <c r="G191" i="6"/>
  <c r="G156" i="6"/>
  <c r="G71" i="6"/>
  <c r="G203" i="6"/>
  <c r="G150" i="6"/>
  <c r="G64" i="6"/>
  <c r="G114" i="6"/>
  <c r="G74" i="6"/>
  <c r="G63" i="6"/>
  <c r="G65" i="5"/>
  <c r="G81" i="5"/>
  <c r="G15" i="5"/>
  <c r="G95" i="5"/>
  <c r="G82" i="5"/>
  <c r="G87" i="5"/>
  <c r="G23" i="5"/>
  <c r="G67" i="5"/>
  <c r="G6" i="5"/>
  <c r="G106" i="5"/>
  <c r="G45" i="4"/>
  <c r="G41" i="4"/>
  <c r="G12" i="4"/>
  <c r="G51" i="4"/>
  <c r="G35" i="4"/>
  <c r="G32" i="4"/>
  <c r="G40" i="4"/>
  <c r="G38" i="4"/>
  <c r="G65" i="3"/>
  <c r="G41" i="3"/>
  <c r="G49" i="3"/>
  <c r="G20" i="3"/>
  <c r="G63" i="3"/>
  <c r="G34" i="3"/>
  <c r="G54" i="3"/>
  <c r="G23" i="3"/>
  <c r="G109" i="2"/>
  <c r="G136" i="2"/>
  <c r="G104" i="2"/>
  <c r="G27" i="2"/>
  <c r="G124" i="2"/>
  <c r="G84" i="2"/>
  <c r="G51" i="2"/>
  <c r="G35" i="2"/>
  <c r="G26" i="2"/>
  <c r="G15" i="2"/>
  <c r="G111" i="2"/>
  <c r="G43" i="2"/>
  <c r="G82" i="2"/>
  <c r="G25" i="1"/>
  <c r="G11" i="1"/>
  <c r="G24" i="1"/>
  <c r="G10" i="1"/>
  <c r="G23" i="1"/>
  <c r="G77" i="8"/>
  <c r="G9" i="8"/>
  <c r="G38" i="8"/>
  <c r="G58" i="8"/>
  <c r="G29" i="8"/>
  <c r="G46" i="8"/>
  <c r="G17" i="8"/>
  <c r="G47" i="8" a="1"/>
  <c r="G30" i="8" a="1"/>
  <c r="G18" i="8" a="1"/>
  <c r="G78" i="8" a="1"/>
  <c r="G59" i="8" a="1"/>
  <c r="G68" i="7" l="1"/>
  <c r="G52" i="7"/>
  <c r="G38" i="7"/>
  <c r="G39" i="7"/>
  <c r="G79" i="7"/>
  <c r="G67" i="7"/>
  <c r="G8" i="7"/>
  <c r="G200" i="6"/>
  <c r="G52" i="6"/>
  <c r="G11" i="6"/>
  <c r="G67" i="6"/>
  <c r="G204" i="6"/>
  <c r="G49" i="5"/>
  <c r="G45" i="5"/>
  <c r="G69" i="5"/>
  <c r="G85" i="5"/>
  <c r="G113" i="5"/>
  <c r="G79" i="5"/>
  <c r="G2" i="5"/>
  <c r="G46" i="5"/>
  <c r="G39" i="5"/>
  <c r="G90" i="5"/>
  <c r="G115" i="5"/>
  <c r="G114" i="5"/>
  <c r="G30" i="5"/>
  <c r="G22" i="5"/>
  <c r="G17" i="4"/>
  <c r="G5" i="4"/>
  <c r="G25" i="4"/>
  <c r="G37" i="4"/>
  <c r="G18" i="4"/>
  <c r="G14" i="4"/>
  <c r="G11" i="4"/>
  <c r="G7" i="4"/>
  <c r="G42" i="3"/>
  <c r="G32" i="3"/>
  <c r="G59" i="3"/>
  <c r="G55" i="3"/>
  <c r="G56" i="3"/>
  <c r="G27" i="3"/>
  <c r="G44" i="3"/>
  <c r="G46" i="3"/>
  <c r="G101" i="2"/>
  <c r="G129" i="2"/>
  <c r="G21" i="2"/>
  <c r="G33" i="2"/>
  <c r="G91" i="2"/>
  <c r="G55" i="2"/>
  <c r="G94" i="2"/>
  <c r="G70" i="2"/>
  <c r="G95" i="2"/>
  <c r="G2" i="2"/>
  <c r="G31" i="2"/>
  <c r="G110" i="2"/>
  <c r="G18" i="2"/>
  <c r="G75" i="2"/>
  <c r="G60" i="2"/>
  <c r="G6" i="1"/>
  <c r="G26" i="1"/>
  <c r="G28" i="1"/>
  <c r="G22" i="1"/>
  <c r="G8" i="1"/>
  <c r="G31" i="1"/>
  <c r="G47" i="8"/>
  <c r="G30" i="8"/>
  <c r="G78" i="8"/>
  <c r="G59" i="8"/>
  <c r="G18" i="8"/>
  <c r="G48" i="8" a="1"/>
  <c r="G19" i="8" a="1"/>
  <c r="G60" i="8" a="1"/>
  <c r="G79" i="8" a="1"/>
  <c r="G69" i="7" l="1"/>
  <c r="G29" i="7"/>
  <c r="G73" i="7"/>
  <c r="G75" i="7"/>
  <c r="G55" i="7"/>
  <c r="G18" i="7"/>
  <c r="G10" i="7"/>
  <c r="G117" i="6"/>
  <c r="G77" i="6"/>
  <c r="G186" i="6"/>
  <c r="G168" i="6"/>
  <c r="G76" i="6"/>
  <c r="G118" i="6"/>
  <c r="G48" i="6"/>
  <c r="G171" i="6"/>
  <c r="G110" i="6"/>
  <c r="G24" i="5"/>
  <c r="G25" i="5"/>
  <c r="G93" i="5"/>
  <c r="G48" i="5"/>
  <c r="G64" i="5"/>
  <c r="G84" i="5"/>
  <c r="G66" i="5"/>
  <c r="G38" i="5"/>
  <c r="G54" i="5"/>
  <c r="G63" i="5"/>
  <c r="G50" i="5"/>
  <c r="G107" i="5"/>
  <c r="G48" i="3"/>
  <c r="G8" i="3"/>
  <c r="G38" i="3"/>
  <c r="G10" i="3"/>
  <c r="G7" i="3"/>
  <c r="G40" i="3"/>
  <c r="G13" i="2"/>
  <c r="G53" i="2"/>
  <c r="G65" i="2"/>
  <c r="G97" i="2"/>
  <c r="G103" i="2"/>
  <c r="G44" i="2"/>
  <c r="G34" i="2"/>
  <c r="G127" i="2"/>
  <c r="G46" i="2"/>
  <c r="G20" i="2"/>
  <c r="G19" i="8"/>
  <c r="G48" i="8"/>
  <c r="G60" i="8"/>
  <c r="G79" i="8"/>
  <c r="G20" i="8" a="1"/>
  <c r="G49" i="8" a="1"/>
  <c r="G80" i="8" a="1"/>
  <c r="G61" i="8" a="1"/>
  <c r="G57" i="7" l="1"/>
  <c r="G71" i="7"/>
  <c r="G44" i="7"/>
  <c r="G24" i="7"/>
  <c r="G97" i="6"/>
  <c r="G196" i="6"/>
  <c r="G147" i="6"/>
  <c r="G126" i="6"/>
  <c r="G199" i="6"/>
  <c r="G91" i="6"/>
  <c r="G144" i="6"/>
  <c r="G16" i="6"/>
  <c r="G187" i="6"/>
  <c r="G155" i="6"/>
  <c r="G88" i="6"/>
  <c r="G88" i="5"/>
  <c r="G100" i="5"/>
  <c r="G61" i="5"/>
  <c r="G47" i="5"/>
  <c r="G91" i="5"/>
  <c r="G11" i="5"/>
  <c r="G55" i="5"/>
  <c r="G86" i="5"/>
  <c r="G69" i="2"/>
  <c r="G105" i="2"/>
  <c r="G121" i="2"/>
  <c r="G137" i="2"/>
  <c r="G7" i="2"/>
  <c r="G62" i="2"/>
  <c r="G130" i="2"/>
  <c r="G54" i="2"/>
  <c r="G32" i="2"/>
  <c r="G24" i="2"/>
  <c r="G134" i="2"/>
  <c r="G80" i="8"/>
  <c r="G61" i="8"/>
  <c r="G49" i="8"/>
  <c r="G20" i="8"/>
  <c r="G21" i="8" a="1"/>
  <c r="G81" i="8" a="1"/>
  <c r="G50" i="8" a="1"/>
  <c r="G62" i="8" a="1"/>
  <c r="G17" i="7" l="1"/>
  <c r="G70" i="7"/>
  <c r="G59" i="7"/>
  <c r="G50" i="7"/>
  <c r="G58" i="7"/>
  <c r="G121" i="6"/>
  <c r="G149" i="6"/>
  <c r="G45" i="6"/>
  <c r="G33" i="6"/>
  <c r="G129" i="6"/>
  <c r="G172" i="6"/>
  <c r="G138" i="6"/>
  <c r="G10" i="6"/>
  <c r="G84" i="6"/>
  <c r="G98" i="6"/>
  <c r="G36" i="6"/>
  <c r="G152" i="6"/>
  <c r="G80" i="6"/>
  <c r="G176" i="6"/>
  <c r="G108" i="6"/>
  <c r="G56" i="6"/>
  <c r="G2" i="6"/>
  <c r="G20" i="5"/>
  <c r="G21" i="5"/>
  <c r="G29" i="5"/>
  <c r="G105" i="5"/>
  <c r="G98" i="5"/>
  <c r="G7" i="5"/>
  <c r="G31" i="5"/>
  <c r="G9" i="2"/>
  <c r="G85" i="2"/>
  <c r="G81" i="2"/>
  <c r="G93" i="2"/>
  <c r="G71" i="2"/>
  <c r="G39" i="2"/>
  <c r="G23" i="2"/>
  <c r="G139" i="2"/>
  <c r="G106" i="2"/>
  <c r="G68" i="2"/>
  <c r="G135" i="2"/>
  <c r="G3" i="2"/>
  <c r="G86" i="2"/>
  <c r="G123" i="2"/>
  <c r="G80" i="2"/>
  <c r="G38" i="2"/>
  <c r="G62" i="8"/>
  <c r="G21" i="8"/>
  <c r="G50" i="8"/>
  <c r="G81" i="8"/>
  <c r="G82" i="8" a="1"/>
  <c r="G63" i="8" a="1"/>
  <c r="G65" i="7" l="1"/>
  <c r="G76" i="7"/>
  <c r="G63" i="7"/>
  <c r="G6" i="7"/>
  <c r="G101" i="6"/>
  <c r="G173" i="6"/>
  <c r="G6" i="6"/>
  <c r="G188" i="6"/>
  <c r="G115" i="6"/>
  <c r="G106" i="6"/>
  <c r="G194" i="6"/>
  <c r="G80" i="5"/>
  <c r="G17" i="5"/>
  <c r="G33" i="5"/>
  <c r="G41" i="5"/>
  <c r="G32" i="5"/>
  <c r="G76" i="5"/>
  <c r="G77" i="5"/>
  <c r="G97" i="5"/>
  <c r="G102" i="5"/>
  <c r="G43" i="5"/>
  <c r="G29" i="2"/>
  <c r="G89" i="2"/>
  <c r="G133" i="2"/>
  <c r="G74" i="2"/>
  <c r="G112" i="2"/>
  <c r="G88" i="2"/>
  <c r="G115" i="2"/>
  <c r="G14" i="2"/>
  <c r="G132" i="2"/>
  <c r="G107" i="2"/>
  <c r="G82" i="8"/>
  <c r="G63" i="8"/>
  <c r="G83" i="8" a="1"/>
  <c r="G64" i="8" a="1"/>
  <c r="G81" i="7" l="1"/>
  <c r="G78" i="7"/>
  <c r="G66" i="7"/>
  <c r="G31" i="7"/>
  <c r="G3" i="7"/>
  <c r="G38" i="6"/>
  <c r="G151" i="6"/>
  <c r="G130" i="6"/>
  <c r="G78" i="6"/>
  <c r="G8" i="6"/>
  <c r="G134" i="6"/>
  <c r="G103" i="6"/>
  <c r="G122" i="6"/>
  <c r="G148" i="6"/>
  <c r="G64" i="8"/>
  <c r="G83" i="8"/>
  <c r="G65" i="8" a="1"/>
  <c r="G185" i="6" l="1"/>
  <c r="G163" i="6"/>
  <c r="G87" i="6"/>
  <c r="G59" i="6"/>
  <c r="G12" i="6"/>
  <c r="G178" i="6"/>
  <c r="G34" i="6"/>
  <c r="G28" i="6"/>
  <c r="G65" i="8"/>
  <c r="G66" i="8" a="1"/>
  <c r="G85" i="6" l="1"/>
  <c r="G65" i="6"/>
  <c r="G184" i="6"/>
  <c r="G96" i="6"/>
  <c r="G102" i="6"/>
  <c r="G195" i="6"/>
  <c r="G167" i="6"/>
  <c r="G183" i="6"/>
  <c r="G22" i="6"/>
  <c r="G15" i="6"/>
  <c r="G166" i="6"/>
  <c r="G66" i="8"/>
  <c r="G67" i="8" a="1"/>
  <c r="G5" i="6" l="1"/>
  <c r="G89" i="6"/>
  <c r="G105" i="6"/>
  <c r="G145" i="6"/>
  <c r="G61" i="6"/>
  <c r="G113" i="6"/>
  <c r="G140" i="6"/>
  <c r="G40" i="6"/>
  <c r="G58" i="6"/>
  <c r="G19" i="6"/>
  <c r="G116" i="6"/>
  <c r="G18" i="6"/>
  <c r="G67" i="8"/>
  <c r="G68" i="8" a="1"/>
  <c r="G9" i="6" l="1"/>
  <c r="G25" i="6"/>
  <c r="G73" i="6"/>
  <c r="G161" i="6"/>
  <c r="G109" i="6"/>
  <c r="G24" i="6"/>
  <c r="G135" i="6"/>
  <c r="G192" i="6"/>
  <c r="G132" i="6"/>
  <c r="G112" i="6"/>
  <c r="G30" i="6"/>
  <c r="G154" i="6"/>
  <c r="G90" i="6"/>
  <c r="G31" i="6"/>
  <c r="G104" i="6"/>
  <c r="G32" i="6"/>
  <c r="G100" i="6"/>
  <c r="G174" i="6"/>
  <c r="G175" i="6"/>
  <c r="G68" i="8"/>
  <c r="G69" i="8" a="1"/>
  <c r="G124" i="6" l="1"/>
  <c r="G179" i="6"/>
  <c r="G170" i="6"/>
  <c r="G70" i="6"/>
  <c r="G180" i="6"/>
  <c r="G75" i="6"/>
  <c r="G42" i="6"/>
  <c r="G69" i="8"/>
  <c r="G153" i="6" l="1"/>
  <c r="G125" i="6"/>
  <c r="G92" i="6"/>
  <c r="G55" i="6"/>
  <c r="G7" i="6"/>
  <c r="G128" i="6"/>
  <c r="G123" i="6"/>
  <c r="G136" i="6"/>
  <c r="G190" i="6"/>
  <c r="G86" i="6"/>
  <c r="G68" i="6"/>
  <c r="G66" i="6"/>
  <c r="G107" i="6"/>
  <c r="J659" i="9" l="1"/>
  <c r="J148" i="9"/>
  <c r="J671" i="9"/>
  <c r="K616" i="9"/>
  <c r="J457" i="9"/>
  <c r="J238" i="9"/>
  <c r="J665" i="9"/>
  <c r="J513" i="9"/>
  <c r="J448" i="9"/>
  <c r="J647" i="9"/>
  <c r="J383" i="9"/>
  <c r="J141" i="9"/>
  <c r="J596" i="9"/>
  <c r="J370" i="9"/>
  <c r="J428" i="9"/>
  <c r="J218" i="9"/>
  <c r="J649" i="9"/>
  <c r="K345" i="9"/>
  <c r="K642" i="9"/>
  <c r="K433" i="9"/>
  <c r="K229" i="9"/>
  <c r="K675" i="9"/>
  <c r="J616" i="9"/>
  <c r="K309" i="9"/>
  <c r="K604" i="9"/>
  <c r="K523" i="9"/>
  <c r="K265" i="9"/>
  <c r="K7" i="9"/>
  <c r="K550" i="9"/>
  <c r="K461" i="9"/>
  <c r="K353" i="9"/>
  <c r="K422" i="9"/>
  <c r="K212" i="9"/>
  <c r="K634" i="9"/>
  <c r="K421" i="9"/>
  <c r="K460" i="9"/>
  <c r="K275" i="9"/>
  <c r="K76" i="9"/>
  <c r="J473" i="9"/>
  <c r="J668" i="9"/>
  <c r="J450" i="9"/>
  <c r="J266" i="9"/>
  <c r="J52" i="9"/>
  <c r="J410" i="9"/>
  <c r="K360" i="9"/>
  <c r="J22" i="9"/>
  <c r="J579" i="9"/>
  <c r="J301" i="9"/>
  <c r="J23" i="9"/>
  <c r="J570" i="9"/>
  <c r="J467" i="9"/>
  <c r="J486" i="9"/>
  <c r="J434" i="9"/>
  <c r="J232" i="9"/>
  <c r="J683" i="9"/>
  <c r="J446" i="9"/>
  <c r="J475" i="9"/>
  <c r="J296" i="9"/>
  <c r="J88" i="9"/>
  <c r="K646" i="9"/>
  <c r="K97" i="9"/>
  <c r="K481" i="9"/>
  <c r="K315" i="9"/>
  <c r="K86" i="9"/>
  <c r="J547" i="9"/>
  <c r="K200" i="9"/>
  <c r="K499" i="9"/>
  <c r="K231" i="9"/>
  <c r="J281" i="9"/>
  <c r="J595" i="9"/>
  <c r="J196" i="9"/>
  <c r="J207" i="9"/>
  <c r="J443" i="9"/>
  <c r="J151" i="9"/>
  <c r="J601" i="9"/>
  <c r="J484" i="9"/>
  <c r="J288" i="9"/>
  <c r="J116" i="9"/>
  <c r="J139" i="9"/>
  <c r="K336" i="9"/>
  <c r="K610" i="9"/>
  <c r="K427" i="9"/>
  <c r="K217" i="9"/>
  <c r="K643" i="9"/>
  <c r="K258" i="9"/>
  <c r="J231" i="9"/>
  <c r="J488" i="9"/>
  <c r="J549" i="9"/>
  <c r="J672" i="9"/>
  <c r="J339" i="9"/>
  <c r="J157" i="9"/>
  <c r="J619" i="9"/>
  <c r="J493" i="9"/>
  <c r="J431" i="9"/>
  <c r="J482" i="9"/>
  <c r="J317" i="9"/>
  <c r="J81" i="9"/>
  <c r="J572" i="9"/>
  <c r="K664" i="9"/>
  <c r="J393" i="9"/>
  <c r="J150" i="9"/>
  <c r="K659" i="9"/>
  <c r="K281" i="9"/>
  <c r="K561" i="9"/>
  <c r="K398" i="9"/>
  <c r="K165" i="9"/>
  <c r="J520" i="9"/>
  <c r="J689" i="9"/>
  <c r="K671" i="9"/>
  <c r="K307" i="9"/>
  <c r="K457" i="9"/>
  <c r="K238" i="9"/>
  <c r="K665" i="9"/>
  <c r="K513" i="9"/>
  <c r="K448" i="9"/>
  <c r="K647" i="9"/>
  <c r="K383" i="9"/>
  <c r="K141" i="9"/>
  <c r="K596" i="9"/>
  <c r="K370" i="9"/>
  <c r="K428" i="9"/>
  <c r="K218" i="9"/>
  <c r="K649" i="9"/>
  <c r="J314" i="9"/>
  <c r="J605" i="9"/>
  <c r="J412" i="9"/>
  <c r="J210" i="9"/>
  <c r="J627" i="9"/>
  <c r="J338" i="9"/>
  <c r="J245" i="9"/>
  <c r="J516" i="9"/>
  <c r="J491" i="9"/>
  <c r="J246" i="9"/>
  <c r="J673" i="9"/>
  <c r="J522" i="9"/>
  <c r="J456" i="9"/>
  <c r="J197" i="9"/>
  <c r="J402" i="9"/>
  <c r="J167" i="9"/>
  <c r="J617" i="9"/>
  <c r="J413" i="9"/>
  <c r="J447" i="9"/>
  <c r="J249" i="9"/>
  <c r="J58" i="9"/>
  <c r="K473" i="9"/>
  <c r="K668" i="9"/>
  <c r="K450" i="9"/>
  <c r="K266" i="9"/>
  <c r="K52" i="9"/>
  <c r="K651" i="9"/>
  <c r="K648" i="9"/>
  <c r="K348" i="9"/>
  <c r="K408" i="9"/>
  <c r="J561" i="9"/>
  <c r="J521" i="9"/>
  <c r="J85" i="9"/>
  <c r="J110" i="9"/>
  <c r="J401" i="9"/>
  <c r="J56" i="9"/>
  <c r="J571" i="9"/>
  <c r="J399" i="9"/>
  <c r="J260" i="9"/>
  <c r="J57" i="9"/>
  <c r="J47" i="9"/>
  <c r="K259" i="9"/>
  <c r="K537" i="9"/>
  <c r="K389" i="9"/>
  <c r="K149" i="9"/>
  <c r="K584" i="9"/>
  <c r="K122" i="9"/>
  <c r="J511" i="9"/>
  <c r="K47" i="9"/>
  <c r="J293" i="9"/>
  <c r="J637" i="9"/>
  <c r="J308" i="9"/>
  <c r="J72" i="9"/>
  <c r="J597" i="9"/>
  <c r="J479" i="9"/>
  <c r="K689" i="9"/>
  <c r="J454" i="9"/>
  <c r="J267" i="9"/>
  <c r="J39" i="9"/>
  <c r="J526" i="9"/>
  <c r="J563" i="9"/>
  <c r="J332" i="9"/>
  <c r="J113" i="9"/>
  <c r="K488" i="9"/>
  <c r="K175" i="9"/>
  <c r="K497" i="9"/>
  <c r="K340" i="9"/>
  <c r="K112" i="9"/>
  <c r="J68" i="9"/>
  <c r="J360" i="9"/>
  <c r="K549" i="9"/>
  <c r="K672" i="9"/>
  <c r="K339" i="9"/>
  <c r="K157" i="9"/>
  <c r="K619" i="9"/>
  <c r="K493" i="9"/>
  <c r="K431" i="9"/>
  <c r="K482" i="9"/>
  <c r="K317" i="9"/>
  <c r="K81" i="9"/>
  <c r="K572" i="9"/>
  <c r="K511" i="9"/>
  <c r="K393" i="9"/>
  <c r="K150" i="9"/>
  <c r="K338" i="9"/>
  <c r="J240" i="9"/>
  <c r="J515" i="9"/>
  <c r="J378" i="9"/>
  <c r="J135" i="9"/>
  <c r="J455" i="9"/>
  <c r="J618" i="9"/>
  <c r="J651" i="9"/>
  <c r="K68" i="9"/>
  <c r="J387" i="9"/>
  <c r="J200" i="9"/>
  <c r="J648" i="9"/>
  <c r="J504" i="9"/>
  <c r="J437" i="9"/>
  <c r="J499" i="9"/>
  <c r="J348" i="9"/>
  <c r="J106" i="9"/>
  <c r="J586" i="9"/>
  <c r="K455" i="9"/>
  <c r="J408" i="9"/>
  <c r="J192" i="9"/>
  <c r="J502" i="9"/>
  <c r="K314" i="9"/>
  <c r="K605" i="9"/>
  <c r="K412" i="9"/>
  <c r="K210" i="9"/>
  <c r="K627" i="9"/>
  <c r="K594" i="9"/>
  <c r="K504" i="9"/>
  <c r="K106" i="9"/>
  <c r="K192" i="9"/>
  <c r="J398" i="9"/>
  <c r="J409" i="9"/>
  <c r="J685" i="9"/>
  <c r="J19" i="9"/>
  <c r="J334" i="9"/>
  <c r="J688" i="9"/>
  <c r="J543" i="9"/>
  <c r="J364" i="9"/>
  <c r="J208" i="9"/>
  <c r="J496" i="9"/>
  <c r="K658" i="9"/>
  <c r="K146" i="9"/>
  <c r="K487" i="9"/>
  <c r="K330" i="9"/>
  <c r="K96" i="9"/>
  <c r="K501" i="9"/>
  <c r="K42" i="9"/>
  <c r="J313" i="9"/>
  <c r="J265" i="9"/>
  <c r="J353" i="9"/>
  <c r="J421" i="9"/>
  <c r="K539" i="9"/>
  <c r="K74" i="9"/>
  <c r="K637" i="9"/>
  <c r="K479" i="9"/>
  <c r="K39" i="9"/>
  <c r="K113" i="9"/>
  <c r="J315" i="9"/>
  <c r="J319" i="9"/>
  <c r="J607" i="9"/>
  <c r="J286" i="9"/>
  <c r="J366" i="9"/>
  <c r="K515" i="9"/>
  <c r="K387" i="9"/>
  <c r="J165" i="9"/>
  <c r="J220" i="9"/>
  <c r="J168" i="9"/>
  <c r="K459" i="9"/>
  <c r="K666" i="9"/>
  <c r="K692" i="9"/>
  <c r="K435" i="9"/>
  <c r="K211" i="9"/>
  <c r="K653" i="9"/>
  <c r="K505" i="9"/>
  <c r="K441" i="9"/>
  <c r="K358" i="9"/>
  <c r="K247" i="9"/>
  <c r="K115" i="9"/>
  <c r="K2" i="9"/>
  <c r="K528" i="9"/>
  <c r="K323" i="9"/>
  <c r="K101" i="9"/>
  <c r="K451" i="9"/>
  <c r="K93" i="9"/>
  <c r="K419" i="9"/>
  <c r="K104" i="9"/>
  <c r="K580" i="9"/>
  <c r="K453" i="9"/>
  <c r="K270" i="9"/>
  <c r="K70" i="9"/>
  <c r="K319" i="9"/>
  <c r="K607" i="9"/>
  <c r="K286" i="9"/>
  <c r="K366" i="9"/>
  <c r="J497" i="9"/>
  <c r="K521" i="9"/>
  <c r="K85" i="9"/>
  <c r="K110" i="9"/>
  <c r="K401" i="9"/>
  <c r="K56" i="9"/>
  <c r="K571" i="9"/>
  <c r="K399" i="9"/>
  <c r="K260" i="9"/>
  <c r="K57" i="9"/>
  <c r="K423" i="9"/>
  <c r="J221" i="9"/>
  <c r="J507" i="9"/>
  <c r="J346" i="9"/>
  <c r="J121" i="9"/>
  <c r="J540" i="9"/>
  <c r="J102" i="9"/>
  <c r="J613" i="9"/>
  <c r="J525" i="9"/>
  <c r="J271" i="9"/>
  <c r="J11" i="9"/>
  <c r="J551" i="9"/>
  <c r="J463" i="9"/>
  <c r="J395" i="9"/>
  <c r="J278" i="9"/>
  <c r="J159" i="9"/>
  <c r="J71" i="9"/>
  <c r="J590" i="9"/>
  <c r="J397" i="9"/>
  <c r="J170" i="9"/>
  <c r="J681" i="9"/>
  <c r="J199" i="9"/>
  <c r="J557" i="9"/>
  <c r="J206" i="9"/>
  <c r="J633" i="9"/>
  <c r="K579" i="9"/>
  <c r="K467" i="9"/>
  <c r="K683" i="9"/>
  <c r="K88" i="9"/>
  <c r="J280" i="9"/>
  <c r="J359" i="9"/>
  <c r="J630" i="9"/>
  <c r="J662" i="9"/>
  <c r="J282" i="9"/>
  <c r="J677" i="9"/>
  <c r="J532" i="9"/>
  <c r="J352" i="9"/>
  <c r="J183" i="9"/>
  <c r="J464" i="9"/>
  <c r="K612" i="9"/>
  <c r="K43" i="9"/>
  <c r="K472" i="9"/>
  <c r="K292" i="9"/>
  <c r="K80" i="9"/>
  <c r="K413" i="9"/>
  <c r="K305" i="9"/>
  <c r="K508" i="9"/>
  <c r="J336" i="9"/>
  <c r="K5" i="9"/>
  <c r="K534" i="9"/>
  <c r="K341" i="9"/>
  <c r="K629" i="9"/>
  <c r="K432" i="9"/>
  <c r="K226" i="9"/>
  <c r="K656" i="9"/>
  <c r="K291" i="9"/>
  <c r="K396" i="9"/>
  <c r="K392" i="9"/>
  <c r="J580" i="9"/>
  <c r="J363" i="9"/>
  <c r="K163" i="9"/>
  <c r="J566" i="9"/>
  <c r="K394" i="9"/>
  <c r="K276" i="9"/>
  <c r="K153" i="9"/>
  <c r="K69" i="9"/>
  <c r="K589" i="9"/>
  <c r="K390" i="9"/>
  <c r="J133" i="9"/>
  <c r="J640" i="9"/>
  <c r="J173" i="9"/>
  <c r="J492" i="9"/>
  <c r="J172" i="9"/>
  <c r="J614" i="9"/>
  <c r="J495" i="9"/>
  <c r="J295" i="9"/>
  <c r="J129" i="9"/>
  <c r="J587" i="9"/>
  <c r="J263" i="9"/>
  <c r="J48" i="9"/>
  <c r="J375" i="9"/>
  <c r="J20" i="9"/>
  <c r="J388" i="9"/>
  <c r="J32" i="9"/>
  <c r="J565" i="9"/>
  <c r="J380" i="9"/>
  <c r="J244" i="9"/>
  <c r="J49" i="9"/>
  <c r="J354" i="9"/>
  <c r="K38" i="9"/>
  <c r="K329" i="9"/>
  <c r="K669" i="9"/>
  <c r="K241" i="9"/>
  <c r="K559" i="9"/>
  <c r="K269" i="9"/>
  <c r="K587" i="9"/>
  <c r="K48" i="9"/>
  <c r="K119" i="9"/>
  <c r="K195" i="9"/>
  <c r="K509" i="9"/>
  <c r="K184" i="9"/>
  <c r="K144" i="9"/>
  <c r="K298" i="9"/>
  <c r="K569" i="9"/>
  <c r="J108" i="9"/>
  <c r="K384" i="9"/>
  <c r="K145" i="9"/>
  <c r="K578" i="9"/>
  <c r="J164" i="9"/>
  <c r="J201" i="9"/>
  <c r="J198" i="9"/>
  <c r="K245" i="9"/>
  <c r="J642" i="9"/>
  <c r="K313" i="9"/>
  <c r="J7" i="9"/>
  <c r="J422" i="9"/>
  <c r="J460" i="9"/>
  <c r="K12" i="9"/>
  <c r="J423" i="9"/>
  <c r="K308" i="9"/>
  <c r="K547" i="9"/>
  <c r="K526" i="9"/>
  <c r="J646" i="9"/>
  <c r="J86" i="9"/>
  <c r="J654" i="9"/>
  <c r="J483" i="9"/>
  <c r="J67" i="9"/>
  <c r="J125" i="9"/>
  <c r="K378" i="9"/>
  <c r="K437" i="9"/>
  <c r="J300" i="9"/>
  <c r="J636" i="9"/>
  <c r="J294" i="9"/>
  <c r="K274" i="9"/>
  <c r="K373" i="9"/>
  <c r="K657" i="9"/>
  <c r="K325" i="9"/>
  <c r="K143" i="9"/>
  <c r="K609" i="9"/>
  <c r="K485" i="9"/>
  <c r="K424" i="9"/>
  <c r="K324" i="9"/>
  <c r="K214" i="9"/>
  <c r="K94" i="9"/>
  <c r="K641" i="9"/>
  <c r="K489" i="9"/>
  <c r="K234" i="9"/>
  <c r="K41" i="9"/>
  <c r="K337" i="9"/>
  <c r="K18" i="9"/>
  <c r="K368" i="9"/>
  <c r="K4" i="9"/>
  <c r="K560" i="9"/>
  <c r="K374" i="9"/>
  <c r="K236" i="9"/>
  <c r="K44" i="9"/>
  <c r="K654" i="9"/>
  <c r="K483" i="9"/>
  <c r="K67" i="9"/>
  <c r="K125" i="9"/>
  <c r="J340" i="9"/>
  <c r="K409" i="9"/>
  <c r="K685" i="9"/>
  <c r="K19" i="9"/>
  <c r="K334" i="9"/>
  <c r="K688" i="9"/>
  <c r="K543" i="9"/>
  <c r="K364" i="9"/>
  <c r="K208" i="9"/>
  <c r="K496" i="9"/>
  <c r="J612" i="9"/>
  <c r="J43" i="9"/>
  <c r="J472" i="9"/>
  <c r="J292" i="9"/>
  <c r="J80" i="9"/>
  <c r="J416" i="9"/>
  <c r="J24" i="9"/>
  <c r="J14" i="9"/>
  <c r="J471" i="9"/>
  <c r="J239" i="9"/>
  <c r="J667" i="9"/>
  <c r="J514" i="9"/>
  <c r="J449" i="9"/>
  <c r="J379" i="9"/>
  <c r="J255" i="9"/>
  <c r="J128" i="9"/>
  <c r="J51" i="9"/>
  <c r="J552" i="9"/>
  <c r="J350" i="9"/>
  <c r="J120" i="9"/>
  <c r="J577" i="9"/>
  <c r="J134" i="9"/>
  <c r="J440" i="9"/>
  <c r="J140" i="9"/>
  <c r="J404" i="9"/>
  <c r="K301" i="9"/>
  <c r="K486" i="9"/>
  <c r="K446" i="9"/>
  <c r="J539" i="9"/>
  <c r="J74" i="9"/>
  <c r="J223" i="9"/>
  <c r="J305" i="9"/>
  <c r="J553" i="9"/>
  <c r="J193" i="9"/>
  <c r="J621" i="9"/>
  <c r="J508" i="9"/>
  <c r="J299" i="9"/>
  <c r="J138" i="9"/>
  <c r="J188" i="9"/>
  <c r="K439" i="9"/>
  <c r="K663" i="9"/>
  <c r="K442" i="9"/>
  <c r="K248" i="9"/>
  <c r="J262" i="9"/>
  <c r="J345" i="9"/>
  <c r="K553" i="9"/>
  <c r="K299" i="9"/>
  <c r="J610" i="9"/>
  <c r="K540" i="9"/>
  <c r="K613" i="9"/>
  <c r="K271" i="9"/>
  <c r="K551" i="9"/>
  <c r="K395" i="9"/>
  <c r="K159" i="9"/>
  <c r="K590" i="9"/>
  <c r="K170" i="9"/>
  <c r="K199" i="9"/>
  <c r="K206" i="9"/>
  <c r="J538" i="9"/>
  <c r="K316" i="9"/>
  <c r="J70" i="9"/>
  <c r="J438" i="9"/>
  <c r="K369" i="9"/>
  <c r="K252" i="9"/>
  <c r="K126" i="9"/>
  <c r="K46" i="9"/>
  <c r="K548" i="9"/>
  <c r="K349" i="9"/>
  <c r="J95" i="9"/>
  <c r="J445" i="9"/>
  <c r="J75" i="9"/>
  <c r="J417" i="9"/>
  <c r="J87" i="9"/>
  <c r="J581" i="9"/>
  <c r="J418" i="9"/>
  <c r="J269" i="9"/>
  <c r="J65" i="9"/>
  <c r="J478" i="9"/>
  <c r="J202" i="9"/>
  <c r="J26" i="9"/>
  <c r="J251" i="9"/>
  <c r="J622" i="9"/>
  <c r="J285" i="9"/>
  <c r="J679" i="9"/>
  <c r="J533" i="9"/>
  <c r="J355" i="9"/>
  <c r="J184" i="9"/>
  <c r="J16" i="9"/>
  <c r="J144" i="9"/>
  <c r="K10" i="9"/>
  <c r="K235" i="9"/>
  <c r="K492" i="9"/>
  <c r="K87" i="9"/>
  <c r="K495" i="9"/>
  <c r="J604" i="9"/>
  <c r="J550" i="9"/>
  <c r="J212" i="9"/>
  <c r="J275" i="9"/>
  <c r="K465" i="9"/>
  <c r="K602" i="9"/>
  <c r="K72" i="9"/>
  <c r="K454" i="9"/>
  <c r="K563" i="9"/>
  <c r="J97" i="9"/>
  <c r="J664" i="9"/>
  <c r="J320" i="9"/>
  <c r="K520" i="9"/>
  <c r="J541" i="9"/>
  <c r="K148" i="9"/>
  <c r="K135" i="9"/>
  <c r="K586" i="9"/>
  <c r="J400" i="9"/>
  <c r="J519" i="9"/>
  <c r="K517" i="9"/>
  <c r="K66" i="9"/>
  <c r="K189" i="9"/>
  <c r="K592" i="9"/>
  <c r="K303" i="9"/>
  <c r="K15" i="9"/>
  <c r="K591" i="9"/>
  <c r="K468" i="9"/>
  <c r="K405" i="9"/>
  <c r="K290" i="9"/>
  <c r="K176" i="9"/>
  <c r="K78" i="9"/>
  <c r="K606" i="9"/>
  <c r="K415" i="9"/>
  <c r="K190" i="9"/>
  <c r="K13" i="9"/>
  <c r="K237" i="9"/>
  <c r="K611" i="9"/>
  <c r="K254" i="9"/>
  <c r="K670" i="9"/>
  <c r="K531" i="9"/>
  <c r="K344" i="9"/>
  <c r="K181" i="9"/>
  <c r="J594" i="9"/>
  <c r="K320" i="9"/>
  <c r="K262" i="9"/>
  <c r="K541" i="9"/>
  <c r="K618" i="9"/>
  <c r="J112" i="9"/>
  <c r="K300" i="9"/>
  <c r="K400" i="9"/>
  <c r="K558" i="9"/>
  <c r="K220" i="9"/>
  <c r="K636" i="9"/>
  <c r="K519" i="9"/>
  <c r="K318" i="9"/>
  <c r="K168" i="9"/>
  <c r="K294" i="9"/>
  <c r="J439" i="9"/>
  <c r="J663" i="9"/>
  <c r="J442" i="9"/>
  <c r="J248" i="9"/>
  <c r="J5" i="9"/>
  <c r="J327" i="9"/>
  <c r="J534" i="9"/>
  <c r="J682" i="9"/>
  <c r="J341" i="9"/>
  <c r="J158" i="9"/>
  <c r="J629" i="9"/>
  <c r="J498" i="9"/>
  <c r="J432" i="9"/>
  <c r="J335" i="9"/>
  <c r="J226" i="9"/>
  <c r="J111" i="9"/>
  <c r="J656" i="9"/>
  <c r="J510" i="9"/>
  <c r="J291" i="9"/>
  <c r="J73" i="9"/>
  <c r="J396" i="9"/>
  <c r="J37" i="9"/>
  <c r="J392" i="9"/>
  <c r="J55" i="9"/>
  <c r="K342" i="9"/>
  <c r="K23" i="9"/>
  <c r="K434" i="9"/>
  <c r="K475" i="9"/>
  <c r="J12" i="9"/>
  <c r="J554" i="9"/>
  <c r="J155" i="9"/>
  <c r="J142" i="9"/>
  <c r="J420" i="9"/>
  <c r="J118" i="9"/>
  <c r="J583" i="9"/>
  <c r="J462" i="9"/>
  <c r="J272" i="9"/>
  <c r="J79" i="9"/>
  <c r="J99" i="9"/>
  <c r="K306" i="9"/>
  <c r="K593" i="9"/>
  <c r="K407" i="9"/>
  <c r="K182" i="9"/>
  <c r="K246" i="9"/>
  <c r="J675" i="9"/>
  <c r="K193" i="9"/>
  <c r="K138" i="9"/>
  <c r="J427" i="9"/>
  <c r="K327" i="9"/>
  <c r="K682" i="9"/>
  <c r="K158" i="9"/>
  <c r="K498" i="9"/>
  <c r="K335" i="9"/>
  <c r="K111" i="9"/>
  <c r="K510" i="9"/>
  <c r="K73" i="9"/>
  <c r="K37" i="9"/>
  <c r="K55" i="9"/>
  <c r="K518" i="9"/>
  <c r="J270" i="9"/>
  <c r="J25" i="9"/>
  <c r="J166" i="9"/>
  <c r="K333" i="9"/>
  <c r="K225" i="9"/>
  <c r="K107" i="9"/>
  <c r="K655" i="9"/>
  <c r="K503" i="9"/>
  <c r="J233" i="9"/>
  <c r="J38" i="9"/>
  <c r="J329" i="9"/>
  <c r="J669" i="9"/>
  <c r="J347" i="9"/>
  <c r="J691" i="9"/>
  <c r="J559" i="9"/>
  <c r="J372" i="9"/>
  <c r="J224" i="9"/>
  <c r="J36" i="9"/>
  <c r="J209" i="9"/>
  <c r="J161" i="9"/>
  <c r="J676" i="9"/>
  <c r="J191" i="9"/>
  <c r="J555" i="9"/>
  <c r="J195" i="9"/>
  <c r="J631" i="9"/>
  <c r="J509" i="9"/>
  <c r="J302" i="9"/>
  <c r="J160" i="9"/>
  <c r="J625" i="9"/>
  <c r="J17" i="9"/>
  <c r="K640" i="9"/>
  <c r="K173" i="9"/>
  <c r="K417" i="9"/>
  <c r="K691" i="9"/>
  <c r="K372" i="9"/>
  <c r="K65" i="9"/>
  <c r="K263" i="9"/>
  <c r="K545" i="9"/>
  <c r="K425" i="9"/>
  <c r="K631" i="9"/>
  <c r="K355" i="9"/>
  <c r="K16" i="9"/>
  <c r="K219" i="9"/>
  <c r="K331" i="9"/>
  <c r="J344" i="9"/>
  <c r="J494" i="9"/>
  <c r="K268" i="9"/>
  <c r="K61" i="9"/>
  <c r="K361" i="9"/>
  <c r="J678" i="9"/>
  <c r="J556" i="9"/>
  <c r="J632" i="9"/>
  <c r="K402" i="9"/>
  <c r="K155" i="9"/>
  <c r="J523" i="9"/>
  <c r="K280" i="9"/>
  <c r="K332" i="9"/>
  <c r="J466" i="9"/>
  <c r="K502" i="9"/>
  <c r="K365" i="9"/>
  <c r="K674" i="9"/>
  <c r="K273" i="9"/>
  <c r="K362" i="9"/>
  <c r="K544" i="9"/>
  <c r="K297" i="9"/>
  <c r="K466" i="9"/>
  <c r="K196" i="9"/>
  <c r="K601" i="9"/>
  <c r="K139" i="9"/>
  <c r="J182" i="9"/>
  <c r="J645" i="9"/>
  <c r="J480" i="9"/>
  <c r="J83" i="9"/>
  <c r="J29" i="9"/>
  <c r="J686" i="9"/>
  <c r="K296" i="9"/>
  <c r="J40" i="9"/>
  <c r="J376" i="9"/>
  <c r="K221" i="9"/>
  <c r="K197" i="9"/>
  <c r="J217" i="9"/>
  <c r="K463" i="9"/>
  <c r="K681" i="9"/>
  <c r="J205" i="9"/>
  <c r="K194" i="9"/>
  <c r="J178" i="9"/>
  <c r="J241" i="9"/>
  <c r="J180" i="9"/>
  <c r="J545" i="9"/>
  <c r="J585" i="9"/>
  <c r="J524" i="9"/>
  <c r="K347" i="9"/>
  <c r="K6" i="9"/>
  <c r="K251" i="9"/>
  <c r="K565" i="9"/>
  <c r="K524" i="9"/>
  <c r="K686" i="9"/>
  <c r="J137" i="9"/>
  <c r="K635" i="9"/>
  <c r="J377" i="9"/>
  <c r="J568" i="9"/>
  <c r="K142" i="9"/>
  <c r="K462" i="9"/>
  <c r="J259" i="9"/>
  <c r="J643" i="9"/>
  <c r="J373" i="9"/>
  <c r="J325" i="9"/>
  <c r="J609" i="9"/>
  <c r="J424" i="9"/>
  <c r="J214" i="9"/>
  <c r="J641" i="9"/>
  <c r="J234" i="9"/>
  <c r="J337" i="9"/>
  <c r="J368" i="9"/>
  <c r="J569" i="9"/>
  <c r="K363" i="9"/>
  <c r="J136" i="9"/>
  <c r="K566" i="9"/>
  <c r="J384" i="9"/>
  <c r="J268" i="9"/>
  <c r="J145" i="9"/>
  <c r="J61" i="9"/>
  <c r="J578" i="9"/>
  <c r="J361" i="9"/>
  <c r="K133" i="9"/>
  <c r="K581" i="9"/>
  <c r="K224" i="9"/>
  <c r="K124" i="9"/>
  <c r="K375" i="9"/>
  <c r="K388" i="9"/>
  <c r="K533" i="9"/>
  <c r="K160" i="9"/>
  <c r="K17" i="9"/>
  <c r="K577" i="9"/>
  <c r="J600" i="9"/>
  <c r="J181" i="9"/>
  <c r="J602" i="9"/>
  <c r="K174" i="9"/>
  <c r="K599" i="9"/>
  <c r="J117" i="9"/>
  <c r="J130" i="9"/>
  <c r="J132" i="9"/>
  <c r="K522" i="9"/>
  <c r="K444" i="9"/>
  <c r="K27" i="9"/>
  <c r="K573" i="9"/>
  <c r="J330" i="9"/>
  <c r="K171" i="9"/>
  <c r="K645" i="9"/>
  <c r="K90" i="9"/>
  <c r="K480" i="9"/>
  <c r="K310" i="9"/>
  <c r="K83" i="9"/>
  <c r="J229" i="9"/>
  <c r="J365" i="9"/>
  <c r="J358" i="9"/>
  <c r="J93" i="9"/>
  <c r="J44" i="9"/>
  <c r="J107" i="9"/>
  <c r="K62" i="9"/>
  <c r="K45" i="9"/>
  <c r="K312" i="9"/>
  <c r="K628" i="9"/>
  <c r="K92" i="9"/>
  <c r="K53" i="9"/>
  <c r="K59" i="9"/>
  <c r="K403" i="9"/>
  <c r="K64" i="9"/>
  <c r="K532" i="9"/>
  <c r="J247" i="9"/>
  <c r="J394" i="9"/>
  <c r="K632" i="9"/>
  <c r="K123" i="9"/>
  <c r="K490" i="9"/>
  <c r="J254" i="9"/>
  <c r="K574" i="9"/>
  <c r="J371" i="9"/>
  <c r="J639" i="9"/>
  <c r="K456" i="9"/>
  <c r="J274" i="9"/>
  <c r="J468" i="9"/>
  <c r="J13" i="9"/>
  <c r="J236" i="9"/>
  <c r="J194" i="9"/>
  <c r="K216" i="9"/>
  <c r="K322" i="9"/>
  <c r="J356" i="9"/>
  <c r="J21" i="9"/>
  <c r="J123" i="9"/>
  <c r="J152" i="9"/>
  <c r="J169" i="9"/>
  <c r="J490" i="9"/>
  <c r="J127" i="9"/>
  <c r="K630" i="9"/>
  <c r="K600" i="9"/>
  <c r="K164" i="9"/>
  <c r="K21" i="9"/>
  <c r="K351" i="9"/>
  <c r="K203" i="9"/>
  <c r="J687" i="9"/>
  <c r="J176" i="9"/>
  <c r="J126" i="9"/>
  <c r="J312" i="9"/>
  <c r="J53" i="9"/>
  <c r="J3" i="9"/>
  <c r="K588" i="9"/>
  <c r="K476" i="9"/>
  <c r="K152" i="9"/>
  <c r="K31" i="9"/>
  <c r="J316" i="9"/>
  <c r="K430" i="9"/>
  <c r="J177" i="9"/>
  <c r="J567" i="9"/>
  <c r="J461" i="9"/>
  <c r="K293" i="9"/>
  <c r="J481" i="9"/>
  <c r="J98" i="9"/>
  <c r="J558" i="9"/>
  <c r="K30" i="9"/>
  <c r="K536" i="9"/>
  <c r="K147" i="9"/>
  <c r="K156" i="9"/>
  <c r="K186" i="9"/>
  <c r="K136" i="9"/>
  <c r="K98" i="9"/>
  <c r="K207" i="9"/>
  <c r="K484" i="9"/>
  <c r="J306" i="9"/>
  <c r="J615" i="9"/>
  <c r="J311" i="9"/>
  <c r="J411" i="9"/>
  <c r="J626" i="9"/>
  <c r="J298" i="9"/>
  <c r="K22" i="9"/>
  <c r="J465" i="9"/>
  <c r="J386" i="9"/>
  <c r="J242" i="9"/>
  <c r="K507" i="9"/>
  <c r="K223" i="9"/>
  <c r="K102" i="9"/>
  <c r="K278" i="9"/>
  <c r="K557" i="9"/>
  <c r="J661" i="9"/>
  <c r="K82" i="9"/>
  <c r="J10" i="9"/>
  <c r="J644" i="9"/>
  <c r="J6" i="9"/>
  <c r="J119" i="9"/>
  <c r="J474" i="9"/>
  <c r="K95" i="9"/>
  <c r="K614" i="9"/>
  <c r="K209" i="9"/>
  <c r="K622" i="9"/>
  <c r="K474" i="9"/>
  <c r="K552" i="9"/>
  <c r="J477" i="9"/>
  <c r="K321" i="9"/>
  <c r="K452" i="9"/>
  <c r="J33" i="9"/>
  <c r="K673" i="9"/>
  <c r="K420" i="9"/>
  <c r="K272" i="9"/>
  <c r="J537" i="9"/>
  <c r="J501" i="9"/>
  <c r="J30" i="9"/>
  <c r="J256" i="9"/>
  <c r="J536" i="9"/>
  <c r="J385" i="9"/>
  <c r="J147" i="9"/>
  <c r="J582" i="9"/>
  <c r="J156" i="9"/>
  <c r="J187" i="9"/>
  <c r="J186" i="9"/>
  <c r="K538" i="9"/>
  <c r="J297" i="9"/>
  <c r="J54" i="9"/>
  <c r="K438" i="9"/>
  <c r="J357" i="9"/>
  <c r="J243" i="9"/>
  <c r="J114" i="9"/>
  <c r="J684" i="9"/>
  <c r="J527" i="9"/>
  <c r="K410" i="9"/>
  <c r="K576" i="9"/>
  <c r="K530" i="9"/>
  <c r="K129" i="9"/>
  <c r="K202" i="9"/>
  <c r="K191" i="9"/>
  <c r="K131" i="9"/>
  <c r="K380" i="9"/>
  <c r="K49" i="9"/>
  <c r="K436" i="9"/>
  <c r="K134" i="9"/>
  <c r="J531" i="9"/>
  <c r="K54" i="9"/>
  <c r="K357" i="9"/>
  <c r="K114" i="9"/>
  <c r="K527" i="9"/>
  <c r="J28" i="9"/>
  <c r="J623" i="9"/>
  <c r="J680" i="9"/>
  <c r="K167" i="9"/>
  <c r="K34" i="9"/>
  <c r="K562" i="9"/>
  <c r="J658" i="9"/>
  <c r="J96" i="9"/>
  <c r="K24" i="9"/>
  <c r="K471" i="9"/>
  <c r="K667" i="9"/>
  <c r="K449" i="9"/>
  <c r="K255" i="9"/>
  <c r="K51" i="9"/>
  <c r="K282" i="9"/>
  <c r="J692" i="9"/>
  <c r="J115" i="9"/>
  <c r="J104" i="9"/>
  <c r="K228" i="9"/>
  <c r="J655" i="9"/>
  <c r="K377" i="9"/>
  <c r="K568" i="9"/>
  <c r="K253" i="9"/>
  <c r="K371" i="9"/>
  <c r="K8" i="9"/>
  <c r="K564" i="9"/>
  <c r="K639" i="9"/>
  <c r="K328" i="9"/>
  <c r="K3" i="9"/>
  <c r="J517" i="9"/>
  <c r="J2" i="9"/>
  <c r="J153" i="9"/>
  <c r="K356" i="9"/>
  <c r="K326" i="9"/>
  <c r="K215" i="9"/>
  <c r="K108" i="9"/>
  <c r="K132" i="9"/>
  <c r="J92" i="9"/>
  <c r="J403" i="9"/>
  <c r="K359" i="9"/>
  <c r="J122" i="9"/>
  <c r="J290" i="9"/>
  <c r="J611" i="9"/>
  <c r="K9" i="9"/>
  <c r="J82" i="9"/>
  <c r="K28" i="9"/>
  <c r="K680" i="9"/>
  <c r="J283" i="9"/>
  <c r="J542" i="9"/>
  <c r="J35" i="9"/>
  <c r="J660" i="9"/>
  <c r="J690" i="9"/>
  <c r="J367" i="9"/>
  <c r="J31" i="9"/>
  <c r="J666" i="9"/>
  <c r="J163" i="9"/>
  <c r="K556" i="9"/>
  <c r="K227" i="9"/>
  <c r="K608" i="9"/>
  <c r="K58" i="9"/>
  <c r="J189" i="9"/>
  <c r="J190" i="9"/>
  <c r="J349" i="9"/>
  <c r="J50" i="9"/>
  <c r="J59" i="9"/>
  <c r="K617" i="9"/>
  <c r="J69" i="9"/>
  <c r="K100" i="9"/>
  <c r="K169" i="9"/>
  <c r="J584" i="9"/>
  <c r="J369" i="9"/>
  <c r="J512" i="9"/>
  <c r="J426" i="9"/>
  <c r="J328" i="9"/>
  <c r="K256" i="9"/>
  <c r="K151" i="9"/>
  <c r="J407" i="9"/>
  <c r="J603" i="9"/>
  <c r="J219" i="9"/>
  <c r="K232" i="9"/>
  <c r="J562" i="9"/>
  <c r="K121" i="9"/>
  <c r="K11" i="9"/>
  <c r="K304" i="9"/>
  <c r="J576" i="9"/>
  <c r="J634" i="9"/>
  <c r="K597" i="9"/>
  <c r="J342" i="9"/>
  <c r="K240" i="9"/>
  <c r="J318" i="9"/>
  <c r="K500" i="9"/>
  <c r="K458" i="9"/>
  <c r="K63" i="9"/>
  <c r="K650" i="9"/>
  <c r="K620" i="9"/>
  <c r="J309" i="9"/>
  <c r="J175" i="9"/>
  <c r="K443" i="9"/>
  <c r="K288" i="9"/>
  <c r="J593" i="9"/>
  <c r="J171" i="9"/>
  <c r="J90" i="9"/>
  <c r="J310" i="9"/>
  <c r="J436" i="9"/>
  <c r="J652" i="9"/>
  <c r="K570" i="9"/>
  <c r="J444" i="9"/>
  <c r="J27" i="9"/>
  <c r="J573" i="9"/>
  <c r="K346" i="9"/>
  <c r="K621" i="9"/>
  <c r="K525" i="9"/>
  <c r="K71" i="9"/>
  <c r="K633" i="9"/>
  <c r="J89" i="9"/>
  <c r="K624" i="9"/>
  <c r="J235" i="9"/>
  <c r="J530" i="9"/>
  <c r="J124" i="9"/>
  <c r="J425" i="9"/>
  <c r="J277" i="9"/>
  <c r="K445" i="9"/>
  <c r="K343" i="9"/>
  <c r="K161" i="9"/>
  <c r="K285" i="9"/>
  <c r="K277" i="9"/>
  <c r="K29" i="9"/>
  <c r="K257" i="9"/>
  <c r="K213" i="9"/>
  <c r="J216" i="9"/>
  <c r="J391" i="9"/>
  <c r="K447" i="9"/>
  <c r="K118" i="9"/>
  <c r="K79" i="9"/>
  <c r="J389" i="9"/>
  <c r="J258" i="9"/>
  <c r="J657" i="9"/>
  <c r="J143" i="9"/>
  <c r="J485" i="9"/>
  <c r="J324" i="9"/>
  <c r="J94" i="9"/>
  <c r="J489" i="9"/>
  <c r="J41" i="9"/>
  <c r="J18" i="9"/>
  <c r="J4" i="9"/>
  <c r="J506" i="9"/>
  <c r="J257" i="9"/>
  <c r="K25" i="9"/>
  <c r="K166" i="9"/>
  <c r="J321" i="9"/>
  <c r="J213" i="9"/>
  <c r="J91" i="9"/>
  <c r="J635" i="9"/>
  <c r="J452" i="9"/>
  <c r="K233" i="9"/>
  <c r="K172" i="9"/>
  <c r="K418" i="9"/>
  <c r="K36" i="9"/>
  <c r="K105" i="9"/>
  <c r="K20" i="9"/>
  <c r="K679" i="9"/>
  <c r="K302" i="9"/>
  <c r="K625" i="9"/>
  <c r="K350" i="9"/>
  <c r="K440" i="9"/>
  <c r="K382" i="9"/>
  <c r="J588" i="9"/>
  <c r="K287" i="9"/>
  <c r="K77" i="9"/>
  <c r="K414" i="9"/>
  <c r="J574" i="9"/>
  <c r="J430" i="9"/>
  <c r="J598" i="9"/>
  <c r="K249" i="9"/>
  <c r="K40" i="9"/>
  <c r="K376" i="9"/>
  <c r="J146" i="9"/>
  <c r="K615" i="9"/>
  <c r="K250" i="9"/>
  <c r="K311" i="9"/>
  <c r="K603" i="9"/>
  <c r="K411" i="9"/>
  <c r="K204" i="9"/>
  <c r="K626" i="9"/>
  <c r="K183" i="9"/>
  <c r="J211" i="9"/>
  <c r="J528" i="9"/>
  <c r="J518" i="9"/>
  <c r="J333" i="9"/>
  <c r="J503" i="9"/>
  <c r="K33" i="9"/>
  <c r="K512" i="9"/>
  <c r="K162" i="9"/>
  <c r="K60" i="9"/>
  <c r="K426" i="9"/>
  <c r="K406" i="9"/>
  <c r="K567" i="9"/>
  <c r="K261" i="9"/>
  <c r="K470" i="9"/>
  <c r="J66" i="9"/>
  <c r="J419" i="9"/>
  <c r="J390" i="9"/>
  <c r="K185" i="9"/>
  <c r="K469" i="9"/>
  <c r="K575" i="9"/>
  <c r="J252" i="9"/>
  <c r="J381" i="9"/>
  <c r="J222" i="9"/>
  <c r="J179" i="9"/>
  <c r="K677" i="9"/>
  <c r="J592" i="9"/>
  <c r="J78" i="9"/>
  <c r="J670" i="9"/>
  <c r="K137" i="9"/>
  <c r="J624" i="9"/>
  <c r="K279" i="9"/>
  <c r="J535" i="9"/>
  <c r="J185" i="9"/>
  <c r="J154" i="9"/>
  <c r="J638" i="9"/>
  <c r="J469" i="9"/>
  <c r="J608" i="9"/>
  <c r="J289" i="9"/>
  <c r="J575" i="9"/>
  <c r="J441" i="9"/>
  <c r="J276" i="9"/>
  <c r="K535" i="9"/>
  <c r="K638" i="9"/>
  <c r="K367" i="9"/>
  <c r="K662" i="9"/>
  <c r="J591" i="9"/>
  <c r="J560" i="9"/>
  <c r="K130" i="9"/>
  <c r="J60" i="9"/>
  <c r="J529" i="9"/>
  <c r="J435" i="9"/>
  <c r="K678" i="9"/>
  <c r="K154" i="9"/>
  <c r="K546" i="9"/>
  <c r="J606" i="9"/>
  <c r="J46" i="9"/>
  <c r="J253" i="9"/>
  <c r="J564" i="9"/>
  <c r="J64" i="9"/>
  <c r="J76" i="9"/>
  <c r="K267" i="9"/>
  <c r="J109" i="9"/>
  <c r="J307" i="9"/>
  <c r="K687" i="9"/>
  <c r="K385" i="9"/>
  <c r="K582" i="9"/>
  <c r="K187" i="9"/>
  <c r="K506" i="9"/>
  <c r="K109" i="9"/>
  <c r="K595" i="9"/>
  <c r="K116" i="9"/>
  <c r="J250" i="9"/>
  <c r="J204" i="9"/>
  <c r="J331" i="9"/>
  <c r="J34" i="9"/>
  <c r="K404" i="9"/>
  <c r="K188" i="9"/>
  <c r="K397" i="9"/>
  <c r="K429" i="9"/>
  <c r="J343" i="9"/>
  <c r="J131" i="9"/>
  <c r="J453" i="9"/>
  <c r="K180" i="9"/>
  <c r="K652" i="9"/>
  <c r="J45" i="9"/>
  <c r="J149" i="9"/>
  <c r="J458" i="9"/>
  <c r="J650" i="9"/>
  <c r="K205" i="9"/>
  <c r="J174" i="9"/>
  <c r="K178" i="9"/>
  <c r="K676" i="9"/>
  <c r="K354" i="9"/>
  <c r="J228" i="9"/>
  <c r="J279" i="9"/>
  <c r="K386" i="9"/>
  <c r="K14" i="9"/>
  <c r="K128" i="9"/>
  <c r="J101" i="9"/>
  <c r="K391" i="9"/>
  <c r="K222" i="9"/>
  <c r="K103" i="9"/>
  <c r="K542" i="9"/>
  <c r="J162" i="9"/>
  <c r="J15" i="9"/>
  <c r="J429" i="9"/>
  <c r="J227" i="9"/>
  <c r="J215" i="9"/>
  <c r="K283" i="9"/>
  <c r="J405" i="9"/>
  <c r="J261" i="9"/>
  <c r="K289" i="9"/>
  <c r="J230" i="9"/>
  <c r="J674" i="9"/>
  <c r="J414" i="9"/>
  <c r="J264" i="9"/>
  <c r="J505" i="9"/>
  <c r="K179" i="9"/>
  <c r="K464" i="9"/>
  <c r="J546" i="9"/>
  <c r="J8" i="9"/>
  <c r="J105" i="9"/>
  <c r="K26" i="9"/>
  <c r="J9" i="9"/>
  <c r="K554" i="9"/>
  <c r="J42" i="9"/>
  <c r="J273" i="9"/>
  <c r="J544" i="9"/>
  <c r="K661" i="9"/>
  <c r="J77" i="9"/>
  <c r="K644" i="9"/>
  <c r="K555" i="9"/>
  <c r="K120" i="9"/>
  <c r="K243" i="9"/>
  <c r="J322" i="9"/>
  <c r="K242" i="9"/>
  <c r="K239" i="9"/>
  <c r="K491" i="9"/>
  <c r="K284" i="9"/>
  <c r="K381" i="9"/>
  <c r="K230" i="9"/>
  <c r="J653" i="9"/>
  <c r="K690" i="9"/>
  <c r="J406" i="9"/>
  <c r="J415" i="9"/>
  <c r="K623" i="9"/>
  <c r="J326" i="9"/>
  <c r="J203" i="9"/>
  <c r="K660" i="9"/>
  <c r="K494" i="9"/>
  <c r="J451" i="9"/>
  <c r="J237" i="9"/>
  <c r="J103" i="9"/>
  <c r="J382" i="9"/>
  <c r="K478" i="9"/>
  <c r="J433" i="9"/>
  <c r="K379" i="9"/>
  <c r="K177" i="9"/>
  <c r="J548" i="9"/>
  <c r="J100" i="9"/>
  <c r="K352" i="9"/>
  <c r="J628" i="9"/>
  <c r="J84" i="9"/>
  <c r="K32" i="9"/>
  <c r="K91" i="9"/>
  <c r="K583" i="9"/>
  <c r="J500" i="9"/>
  <c r="J63" i="9"/>
  <c r="J620" i="9"/>
  <c r="K89" i="9"/>
  <c r="J599" i="9"/>
  <c r="K295" i="9"/>
  <c r="K585" i="9"/>
  <c r="K140" i="9"/>
  <c r="K684" i="9"/>
  <c r="K516" i="9"/>
  <c r="J487" i="9"/>
  <c r="K514" i="9"/>
  <c r="J459" i="9"/>
  <c r="J225" i="9"/>
  <c r="K50" i="9"/>
  <c r="K529" i="9"/>
  <c r="J374" i="9"/>
  <c r="J303" i="9"/>
  <c r="J470" i="9"/>
  <c r="K477" i="9"/>
  <c r="J476" i="9"/>
  <c r="J351" i="9"/>
  <c r="J323" i="9"/>
  <c r="K127" i="9"/>
  <c r="K598" i="9"/>
  <c r="K198" i="9"/>
  <c r="K117" i="9"/>
  <c r="K75" i="9"/>
  <c r="K84" i="9"/>
  <c r="J62" i="9"/>
  <c r="K99" i="9"/>
  <c r="J362" i="9"/>
  <c r="J287" i="9"/>
  <c r="K244" i="9"/>
  <c r="J284" i="9"/>
  <c r="K416" i="9"/>
  <c r="K264" i="9"/>
  <c r="K201" i="9"/>
  <c r="J304" i="9"/>
  <c r="J589" i="9"/>
  <c r="K35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<sst xmlns="http://schemas.openxmlformats.org/spreadsheetml/2006/main" count="8108" uniqueCount="2359">
  <si>
    <t>Name</t>
  </si>
  <si>
    <t>Native</t>
  </si>
  <si>
    <t>Status</t>
  </si>
  <si>
    <t>City / District / County</t>
  </si>
  <si>
    <t>Population</t>
  </si>
  <si>
    <t>Bāgā Xiāng</t>
  </si>
  <si>
    <t>巴嘎乡</t>
  </si>
  <si>
    <t>Rural Township</t>
  </si>
  <si>
    <t>Pŭlán Xiàn</t>
  </si>
  <si>
    <t>Chábù Xiāng</t>
  </si>
  <si>
    <t>察布乡</t>
  </si>
  <si>
    <t>Găizé Xiàn</t>
  </si>
  <si>
    <t>Císhí Xiāng</t>
  </si>
  <si>
    <t>磁石乡</t>
  </si>
  <si>
    <t>Cuòqín Xiàn</t>
  </si>
  <si>
    <t>Cuòqín Zhèn</t>
  </si>
  <si>
    <t>措勤镇</t>
  </si>
  <si>
    <t>Town</t>
  </si>
  <si>
    <t>Dábā Xiāng</t>
  </si>
  <si>
    <t>达巴乡</t>
  </si>
  <si>
    <t>Zhádá Xiàn</t>
  </si>
  <si>
    <t>Dáxióng Xiāng</t>
  </si>
  <si>
    <t>达雄乡</t>
  </si>
  <si>
    <t>Dĭyă Xiāng</t>
  </si>
  <si>
    <t>底雅乡</t>
  </si>
  <si>
    <t>Dòngcuò Xiāng</t>
  </si>
  <si>
    <t>洞措乡</t>
  </si>
  <si>
    <t>Dōngrŭ Xiāng</t>
  </si>
  <si>
    <t>东汝乡</t>
  </si>
  <si>
    <t>Rìtŭ Xiàn</t>
  </si>
  <si>
    <t>Duōmă Xiāng</t>
  </si>
  <si>
    <t>多玛乡</t>
  </si>
  <si>
    <t>Găizé Zhèn</t>
  </si>
  <si>
    <t>改则镇</t>
  </si>
  <si>
    <t>Géjí Zhèn</t>
  </si>
  <si>
    <t>革吉镇</t>
  </si>
  <si>
    <t>Géjí Xiàn</t>
  </si>
  <si>
    <t>Gŭmŭ Xiāng</t>
  </si>
  <si>
    <t>古姆乡</t>
  </si>
  <si>
    <t>Huò'ĕr Xiāng</t>
  </si>
  <si>
    <t>霍尔乡</t>
  </si>
  <si>
    <t>Jiāngràng Xiāng</t>
  </si>
  <si>
    <t>江让乡</t>
  </si>
  <si>
    <t>Kūnshā Xiāng</t>
  </si>
  <si>
    <t>昆沙乡</t>
  </si>
  <si>
    <t>Gá'ĕr Xiàn</t>
  </si>
  <si>
    <t>Mámĭ Xiāng</t>
  </si>
  <si>
    <t>麻米乡</t>
  </si>
  <si>
    <t>Ménshì Xiāng</t>
  </si>
  <si>
    <t>门士乡</t>
  </si>
  <si>
    <t>Pŭlán Zhèn</t>
  </si>
  <si>
    <t>普兰镇</t>
  </si>
  <si>
    <t>Qŭluò Xiāng</t>
  </si>
  <si>
    <t>曲洛乡</t>
  </si>
  <si>
    <t>Qŭsōng Xiāng [incl. Chǔ lǔ Sōngjié Xiāng]</t>
  </si>
  <si>
    <t>曲松乡</t>
  </si>
  <si>
    <t>Rèbāng Xiāng</t>
  </si>
  <si>
    <t>热帮乡</t>
  </si>
  <si>
    <t>Rìsōng Xiāng</t>
  </si>
  <si>
    <t>日松乡</t>
  </si>
  <si>
    <t>Rìtŭ Zhèn</t>
  </si>
  <si>
    <t>日土镇</t>
  </si>
  <si>
    <t>Sàràng Xiāng</t>
  </si>
  <si>
    <t>萨让乡</t>
  </si>
  <si>
    <t>Shīquánhé Zhèn</t>
  </si>
  <si>
    <t>狮泉河镇</t>
  </si>
  <si>
    <t>Tuōlín Zhèn</t>
  </si>
  <si>
    <t>托林镇</t>
  </si>
  <si>
    <t>Wénbùdāngsāng Xiāng</t>
  </si>
  <si>
    <t>文布当桑乡</t>
  </si>
  <si>
    <t>Wùmă Xiāng</t>
  </si>
  <si>
    <t>物玛乡</t>
  </si>
  <si>
    <t>Xiāngzī Xiāng</t>
  </si>
  <si>
    <t>香孜乡</t>
  </si>
  <si>
    <t>Xiānqiăn Xiāng</t>
  </si>
  <si>
    <t>先遣乡</t>
  </si>
  <si>
    <t>Xióngbā Xiāng</t>
  </si>
  <si>
    <t>雄巴乡</t>
  </si>
  <si>
    <t>Yánhú Xiāng</t>
  </si>
  <si>
    <t>盐湖乡</t>
  </si>
  <si>
    <t>Yàrè Xiāng</t>
  </si>
  <si>
    <t>亚热乡</t>
  </si>
  <si>
    <t>Zhāxīgăng Xiāng</t>
  </si>
  <si>
    <t>扎西岗乡</t>
  </si>
  <si>
    <t>Zuŏzuŏ Xiāng</t>
  </si>
  <si>
    <t>左左乡</t>
  </si>
  <si>
    <t>Āixī Xiāng</t>
  </si>
  <si>
    <t>埃西乡</t>
  </si>
  <si>
    <t>Kǎruò Qū</t>
  </si>
  <si>
    <t>Ángduō Xiāng</t>
  </si>
  <si>
    <t>昂多乡</t>
  </si>
  <si>
    <t>Mángkāng Xiàn</t>
  </si>
  <si>
    <t>Āwàng Xiāng</t>
  </si>
  <si>
    <t>阿旺乡</t>
  </si>
  <si>
    <t>Gòngjué Xiàn</t>
  </si>
  <si>
    <t>Āzī Xiāng</t>
  </si>
  <si>
    <t>阿孜乡</t>
  </si>
  <si>
    <t>Cháyă Xiàn</t>
  </si>
  <si>
    <t>Bādá Xiāng</t>
  </si>
  <si>
    <t>巴达乡</t>
  </si>
  <si>
    <t>Dīngqīng Xiàn</t>
  </si>
  <si>
    <t>Báidá Xiāng</t>
  </si>
  <si>
    <t>白达乡</t>
  </si>
  <si>
    <t>Luòlóng Xiàn</t>
  </si>
  <si>
    <t>Báimă Zhèn</t>
  </si>
  <si>
    <t>白玛镇</t>
  </si>
  <si>
    <t>Bāsù Xiàn</t>
  </si>
  <si>
    <t>Bāngdá Xiāng</t>
  </si>
  <si>
    <t>帮达乡</t>
  </si>
  <si>
    <t>Bāngdá Zhèn</t>
  </si>
  <si>
    <t>帮达镇</t>
  </si>
  <si>
    <t>Bārì Xiāng</t>
  </si>
  <si>
    <t>巴日乡</t>
  </si>
  <si>
    <t>Biānbà Zhèn</t>
  </si>
  <si>
    <t>边坝镇</t>
  </si>
  <si>
    <t>Biānbà Xiàn</t>
  </si>
  <si>
    <t>Bīndá Xiāng</t>
  </si>
  <si>
    <t>宾达乡</t>
  </si>
  <si>
    <t>Lèiwūqí Xiàn</t>
  </si>
  <si>
    <t>Bìtŭ Xiāng</t>
  </si>
  <si>
    <t>碧土乡</t>
  </si>
  <si>
    <t>Zuŏgòng Xiàn</t>
  </si>
  <si>
    <t>Bōluó Xiāng</t>
  </si>
  <si>
    <t>波罗乡</t>
  </si>
  <si>
    <t>Jiāngdá Xiàn</t>
  </si>
  <si>
    <t>Bùtă Xiāng</t>
  </si>
  <si>
    <t>布塔乡</t>
  </si>
  <si>
    <t>Căokă Zhèn</t>
  </si>
  <si>
    <t>草卡镇</t>
  </si>
  <si>
    <t>Cháiwéi Xiāng</t>
  </si>
  <si>
    <t>柴维乡</t>
  </si>
  <si>
    <t>Chálā Xiāng</t>
  </si>
  <si>
    <t>察拉乡</t>
  </si>
  <si>
    <t>Chángmáolĭng Xiāng</t>
  </si>
  <si>
    <t>长毛岭乡</t>
  </si>
  <si>
    <t>Chéngguān Zhèn</t>
  </si>
  <si>
    <t>城关镇</t>
  </si>
  <si>
    <t>Chĭdú Zhèn</t>
  </si>
  <si>
    <t>尺犊镇</t>
  </si>
  <si>
    <t>Cuòwă Xiāng</t>
  </si>
  <si>
    <t>措瓦乡</t>
  </si>
  <si>
    <t>Dálóng Xiāng</t>
  </si>
  <si>
    <t>达龙乡</t>
  </si>
  <si>
    <t>Dāngduī Xiāng</t>
  </si>
  <si>
    <t>当堆乡</t>
  </si>
  <si>
    <t>Dédēng Xiāng</t>
  </si>
  <si>
    <t>德登乡</t>
  </si>
  <si>
    <t>Dèngkē Xiāng</t>
  </si>
  <si>
    <t>邓柯乡</t>
  </si>
  <si>
    <t>Dīngqīng Zhèn</t>
  </si>
  <si>
    <t>丁青镇</t>
  </si>
  <si>
    <t>Dōngbà Xiāng</t>
  </si>
  <si>
    <t>东坝乡</t>
  </si>
  <si>
    <t>Dūwă Xiāng</t>
  </si>
  <si>
    <t>都瓦乡</t>
  </si>
  <si>
    <t>Éluò Zhèn</t>
  </si>
  <si>
    <t>俄洛镇</t>
  </si>
  <si>
    <t>Éxī Xiāng</t>
  </si>
  <si>
    <t>俄西乡</t>
  </si>
  <si>
    <t>Gāmă Xiāng</t>
  </si>
  <si>
    <t>嘎玛乡</t>
  </si>
  <si>
    <t>Găngsè Xiāng</t>
  </si>
  <si>
    <t>岗色乡</t>
  </si>
  <si>
    <t>Găngtuō Zhèn</t>
  </si>
  <si>
    <t>岗托镇</t>
  </si>
  <si>
    <t>Gānyán Xiāng</t>
  </si>
  <si>
    <t>甘岩乡</t>
  </si>
  <si>
    <t>Gātă Xiāng</t>
  </si>
  <si>
    <t>嘎塔乡</t>
  </si>
  <si>
    <t>Gātuō Zhèn</t>
  </si>
  <si>
    <t>嘎托镇</t>
  </si>
  <si>
    <t>Gēbō Xiāng</t>
  </si>
  <si>
    <t>戈波乡</t>
  </si>
  <si>
    <t>Guōqìng Xiāng</t>
  </si>
  <si>
    <t>郭庆乡</t>
  </si>
  <si>
    <t>Hājiā Xiāng</t>
  </si>
  <si>
    <t>哈加乡</t>
  </si>
  <si>
    <t>Jiāgòng Xiāng</t>
  </si>
  <si>
    <t>加贡乡</t>
  </si>
  <si>
    <t>Jiāngdá Zhèn</t>
  </si>
  <si>
    <t>江达镇</t>
  </si>
  <si>
    <t>Jiăsāngkă Xiāng</t>
  </si>
  <si>
    <t>甲桑卡乡</t>
  </si>
  <si>
    <t>Jídá Xiāng</t>
  </si>
  <si>
    <t>吉达乡</t>
  </si>
  <si>
    <t>Jíduō Xiāng</t>
  </si>
  <si>
    <t>吉多乡</t>
  </si>
  <si>
    <t>Jīnlĭng Xiāng</t>
  </si>
  <si>
    <t>金岭乡</t>
  </si>
  <si>
    <t>Jítáng Zhèn</t>
  </si>
  <si>
    <t>吉塘镇</t>
  </si>
  <si>
    <t>Jízhōng Xiāng</t>
  </si>
  <si>
    <t>吉中乡</t>
  </si>
  <si>
    <t>Jué'ēn Xiāng</t>
  </si>
  <si>
    <t>觉恩乡</t>
  </si>
  <si>
    <t>Kăgòng Xiāng</t>
  </si>
  <si>
    <t>卡贡乡</t>
  </si>
  <si>
    <t>Kămăduō Xiāng</t>
  </si>
  <si>
    <t>卡玛多乡</t>
  </si>
  <si>
    <t>Kāngshā Zhèn</t>
  </si>
  <si>
    <t>康沙镇</t>
  </si>
  <si>
    <t>Kăruò Zhèn</t>
  </si>
  <si>
    <t>卡若镇</t>
  </si>
  <si>
    <t>Kăwăbáiqìng Xiāng</t>
  </si>
  <si>
    <t>卡瓦白庆乡</t>
  </si>
  <si>
    <t>Kĕntōng Xiāng</t>
  </si>
  <si>
    <t>肯通乡</t>
  </si>
  <si>
    <t>Kèrì Xiāng</t>
  </si>
  <si>
    <t>克日乡</t>
  </si>
  <si>
    <t>Kuòdá Xiāng</t>
  </si>
  <si>
    <t>扩达乡</t>
  </si>
  <si>
    <t>Lāduō Xiāng</t>
  </si>
  <si>
    <t>拉多乡</t>
  </si>
  <si>
    <t>Lāgēn Xiāng</t>
  </si>
  <si>
    <t>拉根乡</t>
  </si>
  <si>
    <t>Làjiŭ Xiāng</t>
  </si>
  <si>
    <t>腊久乡</t>
  </si>
  <si>
    <t>Lātuŏ Xiāng</t>
  </si>
  <si>
    <t>拉妥乡</t>
  </si>
  <si>
    <t>Lāzī Xiāng</t>
  </si>
  <si>
    <t>拉孜乡</t>
  </si>
  <si>
    <t>Lèiwūqí Zhèn</t>
  </si>
  <si>
    <t>类乌齐镇</t>
  </si>
  <si>
    <t>Línkă Xiāng</t>
  </si>
  <si>
    <t>林卡乡</t>
  </si>
  <si>
    <t>Luómài Xiāng</t>
  </si>
  <si>
    <t>罗麦乡</t>
  </si>
  <si>
    <t>Luòní Xiāng</t>
  </si>
  <si>
    <t>洛尼乡</t>
  </si>
  <si>
    <t>Mălì Zhèn</t>
  </si>
  <si>
    <t>马利镇</t>
  </si>
  <si>
    <t>Mángdá Xiāng</t>
  </si>
  <si>
    <t>芒达乡</t>
  </si>
  <si>
    <t>Mănglĭng Xiāng</t>
  </si>
  <si>
    <t>莽岭乡</t>
  </si>
  <si>
    <t>Măwŭ Xiāng</t>
  </si>
  <si>
    <t>马武乡</t>
  </si>
  <si>
    <t>Măxiù Xiāng</t>
  </si>
  <si>
    <t>马秀乡</t>
  </si>
  <si>
    <t>Mĕiyù Xiāng</t>
  </si>
  <si>
    <t>美玉乡</t>
  </si>
  <si>
    <t>Miàndá Xiāng</t>
  </si>
  <si>
    <t>面达乡</t>
  </si>
  <si>
    <t>Mĭndū Xiāng</t>
  </si>
  <si>
    <t>敏都乡</t>
  </si>
  <si>
    <t>Mòluò Zhèn</t>
  </si>
  <si>
    <t>莫洛镇</t>
  </si>
  <si>
    <t>Mùtă Xiāng</t>
  </si>
  <si>
    <t>木塔乡</t>
  </si>
  <si>
    <t>Mùxié Xiāng</t>
  </si>
  <si>
    <t>木协乡</t>
  </si>
  <si>
    <t>Mùxŭ Xiāng</t>
  </si>
  <si>
    <t>木许乡</t>
  </si>
  <si>
    <t>Nàxī Mínzú Xiāng</t>
  </si>
  <si>
    <t>纳西民族乡</t>
  </si>
  <si>
    <t>Niángxī Xiāng</t>
  </si>
  <si>
    <t>娘西乡</t>
  </si>
  <si>
    <t>Nímù Xiāng</t>
  </si>
  <si>
    <t>尼木乡</t>
  </si>
  <si>
    <t>Qīngnídòng Xiāng</t>
  </si>
  <si>
    <t>青泥洞乡</t>
  </si>
  <si>
    <t>Qŭdēng Xiāng</t>
  </si>
  <si>
    <t>曲登乡</t>
  </si>
  <si>
    <t>Qŭzīkă Xiāng</t>
  </si>
  <si>
    <t>曲孜卡乡</t>
  </si>
  <si>
    <t>Ránwū Zhèn</t>
  </si>
  <si>
    <t>然乌镇</t>
  </si>
  <si>
    <t>Răojīn Xiāng</t>
  </si>
  <si>
    <t>绕金乡</t>
  </si>
  <si>
    <t>Rénguŏ Xiāng</t>
  </si>
  <si>
    <t>仁果乡</t>
  </si>
  <si>
    <t>Rèyù Xiāng</t>
  </si>
  <si>
    <t>热玉乡</t>
  </si>
  <si>
    <t>Rìtōng Xiāng</t>
  </si>
  <si>
    <t>日通乡</t>
  </si>
  <si>
    <t>Róngzhōu Xiāng</t>
  </si>
  <si>
    <t>荣周乡</t>
  </si>
  <si>
    <t>Rúmĕi Zhèn</t>
  </si>
  <si>
    <t>如美镇</t>
  </si>
  <si>
    <t>Ruòbā Xiāng</t>
  </si>
  <si>
    <t>若巴乡</t>
  </si>
  <si>
    <t>Rúyì Xiāng</t>
  </si>
  <si>
    <t>如意乡</t>
  </si>
  <si>
    <t>Sāngduō Xiāng</t>
  </si>
  <si>
    <t>桑多乡</t>
  </si>
  <si>
    <t>Sāngduō Zhèn</t>
  </si>
  <si>
    <t>桑多镇</t>
  </si>
  <si>
    <t>Sèzhā Xiāng</t>
  </si>
  <si>
    <t>色扎乡</t>
  </si>
  <si>
    <t>Shādīng Xiāng</t>
  </si>
  <si>
    <t>沙丁乡</t>
  </si>
  <si>
    <t>Shādōng Xiāng</t>
  </si>
  <si>
    <t>沙东乡</t>
  </si>
  <si>
    <t>Shāgòng Xiāng</t>
  </si>
  <si>
    <t>沙贡乡</t>
  </si>
  <si>
    <t>Shàngkă Xiāng</t>
  </si>
  <si>
    <t>尚卡乡</t>
  </si>
  <si>
    <t>Shēngdá Xiāng</t>
  </si>
  <si>
    <t>生达乡</t>
  </si>
  <si>
    <t>Shuòdū Zhèn</t>
  </si>
  <si>
    <t>硕督镇</t>
  </si>
  <si>
    <t>Suŏduōxī Xiāng</t>
  </si>
  <si>
    <t>索多西乡</t>
  </si>
  <si>
    <t>Tiántuŏ Zhèn</t>
  </si>
  <si>
    <t>田妥镇</t>
  </si>
  <si>
    <t>Tóngkă Zhèn</t>
  </si>
  <si>
    <t>同卡镇</t>
  </si>
  <si>
    <t>Tóngpŭ Xiāng</t>
  </si>
  <si>
    <t>同普乡</t>
  </si>
  <si>
    <t>Tuŏbà Xiāng</t>
  </si>
  <si>
    <t>妥坝乡</t>
  </si>
  <si>
    <t>Wāngbùdĭng Xiāng</t>
  </si>
  <si>
    <t>汪布顶乡</t>
  </si>
  <si>
    <t>Wàngdá Zhèn</t>
  </si>
  <si>
    <t>旺达镇</t>
  </si>
  <si>
    <t>Wángkă Xiāng</t>
  </si>
  <si>
    <t>王卡乡</t>
  </si>
  <si>
    <t>Wă Xiāng</t>
  </si>
  <si>
    <t>瓦乡</t>
  </si>
  <si>
    <t>Xiàlínkă Xiāng</t>
  </si>
  <si>
    <t>下林卡乡</t>
  </si>
  <si>
    <t>Xiàlĭ Xiāng</t>
  </si>
  <si>
    <t>夏里乡</t>
  </si>
  <si>
    <t>Xiāngduī Zhèn</t>
  </si>
  <si>
    <t>香堆镇</t>
  </si>
  <si>
    <t>Xiāngpí Xiāng</t>
  </si>
  <si>
    <t>相皮乡</t>
  </si>
  <si>
    <t>Xiéxióng Xiāng</t>
  </si>
  <si>
    <t>协雄乡</t>
  </si>
  <si>
    <t>Xīnkă Xiāng</t>
  </si>
  <si>
    <t>新卡乡</t>
  </si>
  <si>
    <t>Xīnróng Xiāng</t>
  </si>
  <si>
    <t>新荣乡</t>
  </si>
  <si>
    <t>Xióngsōng Xiāng</t>
  </si>
  <si>
    <t>雄松乡</t>
  </si>
  <si>
    <t>Xúzhōng Xiāng</t>
  </si>
  <si>
    <t>徐中乡</t>
  </si>
  <si>
    <t>Yánbĭ Xiāng</t>
  </si>
  <si>
    <t>岩比乡</t>
  </si>
  <si>
    <t>Yānduō Zhèn</t>
  </si>
  <si>
    <t>烟多镇</t>
  </si>
  <si>
    <t>Yìqìng Xiāng</t>
  </si>
  <si>
    <t>益庆乡</t>
  </si>
  <si>
    <t>Yīrì Xiāng</t>
  </si>
  <si>
    <t>伊日乡</t>
  </si>
  <si>
    <t>Yōng Xiāng</t>
  </si>
  <si>
    <t>拥乡</t>
  </si>
  <si>
    <t>Yuēbā Xiāng</t>
  </si>
  <si>
    <t>约巴乡</t>
  </si>
  <si>
    <t>Yùxī Xiāng</t>
  </si>
  <si>
    <t>玉西乡</t>
  </si>
  <si>
    <t>Zébā Xiāng</t>
  </si>
  <si>
    <t>则巴乡</t>
  </si>
  <si>
    <t>Zhāyù Zhèn</t>
  </si>
  <si>
    <t>扎玉镇</t>
  </si>
  <si>
    <t>Zhōnglínkă Xiāng</t>
  </si>
  <si>
    <t>中林卡乡</t>
  </si>
  <si>
    <t>Zhōngyì Xiāng</t>
  </si>
  <si>
    <t>中亦乡</t>
  </si>
  <si>
    <t>Zhúbālóng Xiāng</t>
  </si>
  <si>
    <t>竹巴龙乡</t>
  </si>
  <si>
    <t>Zìgā Xiāng</t>
  </si>
  <si>
    <t>字嘎乡</t>
  </si>
  <si>
    <t>Zītuō Zhèn</t>
  </si>
  <si>
    <t>孜托镇</t>
  </si>
  <si>
    <t>Zōngshā Xiāng</t>
  </si>
  <si>
    <t>宗沙乡</t>
  </si>
  <si>
    <t>Zōngxī Xiāng</t>
  </si>
  <si>
    <t>宗西乡</t>
  </si>
  <si>
    <t>Ālăng Xiāng</t>
  </si>
  <si>
    <t>阿朗乡</t>
  </si>
  <si>
    <t>Línzhōu Xiàn</t>
  </si>
  <si>
    <t>Bākuò Jiēdào [incl. Chōngsàikāng Jiēdào]</t>
  </si>
  <si>
    <t>八廓街道</t>
  </si>
  <si>
    <t>Urban Subdistrict</t>
  </si>
  <si>
    <t>Chéngguān Qū</t>
  </si>
  <si>
    <t>Bāngduī Xiāng</t>
  </si>
  <si>
    <t>帮堆乡</t>
  </si>
  <si>
    <t>Dázī Qū</t>
  </si>
  <si>
    <t>Biānjiāolín Xiāng</t>
  </si>
  <si>
    <t>边交林乡</t>
  </si>
  <si>
    <t>Càigōngtáng Jiēdào</t>
  </si>
  <si>
    <t>蔡公堂街道</t>
  </si>
  <si>
    <t>Cáinà Xiāng</t>
  </si>
  <si>
    <t>才纳乡</t>
  </si>
  <si>
    <t>Qŭshuĭ Xiàn</t>
  </si>
  <si>
    <t>Chábālā Xiāng</t>
  </si>
  <si>
    <t>茶巴拉乡</t>
  </si>
  <si>
    <t>Chūnduī Xiāng</t>
  </si>
  <si>
    <t>春堆乡</t>
  </si>
  <si>
    <t>Dágā Zhèn</t>
  </si>
  <si>
    <t>达嘎镇</t>
  </si>
  <si>
    <t>Dāngqŭkă Zhèn</t>
  </si>
  <si>
    <t>当曲卡镇</t>
  </si>
  <si>
    <t>Dāngxióng Xiàn</t>
  </si>
  <si>
    <t>Déqìng Zhèn</t>
  </si>
  <si>
    <t>德庆镇</t>
  </si>
  <si>
    <t>Duīlóngdéqìng Qū</t>
  </si>
  <si>
    <t>Dōnggā Jiēdào</t>
  </si>
  <si>
    <t>东嘎街道</t>
  </si>
  <si>
    <t>Duódĭ Jiēdào</t>
  </si>
  <si>
    <t>夺底街道</t>
  </si>
  <si>
    <t>Gāmăgòngsāng Jiēdào</t>
  </si>
  <si>
    <t>嘎玛贡桑街道</t>
  </si>
  <si>
    <t>Gāndānqŭguŏ Zhèn</t>
  </si>
  <si>
    <t>甘丹曲果镇</t>
  </si>
  <si>
    <t>Gédá Xiāng</t>
  </si>
  <si>
    <t>格达乡</t>
  </si>
  <si>
    <t>Gōngdélín Jiēdào</t>
  </si>
  <si>
    <t>公德林街道</t>
  </si>
  <si>
    <t>Gōngkă Zhèn</t>
  </si>
  <si>
    <t>工卡镇</t>
  </si>
  <si>
    <t>Mòzhúgōngkă Xiàn</t>
  </si>
  <si>
    <t>Gōngtáng Xiāng</t>
  </si>
  <si>
    <t>公塘乡</t>
  </si>
  <si>
    <t>Gŭróng Zhèn</t>
  </si>
  <si>
    <t>古荣镇</t>
  </si>
  <si>
    <t>Jiămă Xiāng</t>
  </si>
  <si>
    <t>甲玛乡</t>
  </si>
  <si>
    <t>Jiāngrèxià Xiāng</t>
  </si>
  <si>
    <t>江热夏乡</t>
  </si>
  <si>
    <t>Jíbēnggăng Jiēdào</t>
  </si>
  <si>
    <t>吉崩岗街道</t>
  </si>
  <si>
    <t>Jírì Jiēdào</t>
  </si>
  <si>
    <t>吉日街道</t>
  </si>
  <si>
    <t>Kărú Xiāng</t>
  </si>
  <si>
    <t>卡如乡</t>
  </si>
  <si>
    <t>Nímù Xiàn</t>
  </si>
  <si>
    <t>Kăzī Xiāng</t>
  </si>
  <si>
    <t>卡孜乡</t>
  </si>
  <si>
    <t>Liăngdăo Jiēdào</t>
  </si>
  <si>
    <t>两岛街道</t>
  </si>
  <si>
    <t>Liŭwú Jiēdào</t>
  </si>
  <si>
    <t>柳梧乡</t>
  </si>
  <si>
    <t>Lóngrén Xiāng</t>
  </si>
  <si>
    <t>龙仁乡</t>
  </si>
  <si>
    <t>Májiāng Xiāng</t>
  </si>
  <si>
    <t>麻江乡</t>
  </si>
  <si>
    <t>Mă Zhèn</t>
  </si>
  <si>
    <t>马镇</t>
  </si>
  <si>
    <t>Ménbā Xiāng</t>
  </si>
  <si>
    <t>门巴乡</t>
  </si>
  <si>
    <t>Năiqióng Jiēdào</t>
  </si>
  <si>
    <t>乃琼街道</t>
  </si>
  <si>
    <t>Nàjīn Xiāng</t>
  </si>
  <si>
    <t>纳金街道</t>
  </si>
  <si>
    <t>Nàmùhú Xiāng</t>
  </si>
  <si>
    <t>纳木湖乡</t>
  </si>
  <si>
    <t>Nánmù Xiāng</t>
  </si>
  <si>
    <t>南木乡</t>
  </si>
  <si>
    <t>Niángrè Jiēdào</t>
  </si>
  <si>
    <t>娘热街道</t>
  </si>
  <si>
    <t>Nièdāng Xiāng</t>
  </si>
  <si>
    <t>聂当乡</t>
  </si>
  <si>
    <t>Nímăjiāngrè Xiāng</t>
  </si>
  <si>
    <t>尼玛江热乡</t>
  </si>
  <si>
    <t>Níngzhōng Xiāng</t>
  </si>
  <si>
    <t>宁中乡</t>
  </si>
  <si>
    <t>Pàgŭ Xiāng</t>
  </si>
  <si>
    <t>帕古乡</t>
  </si>
  <si>
    <t>Pángduō Xiāng</t>
  </si>
  <si>
    <t>旁多乡</t>
  </si>
  <si>
    <t>Pŭsōng Xiāng</t>
  </si>
  <si>
    <t>普松乡</t>
  </si>
  <si>
    <t>Qiánggā Xiāng</t>
  </si>
  <si>
    <t>强嘎乡</t>
  </si>
  <si>
    <t>Qŭshuĭ Zhèn</t>
  </si>
  <si>
    <t>曲水镇</t>
  </si>
  <si>
    <t>Rìduō Xiāng</t>
  </si>
  <si>
    <t>日多乡</t>
  </si>
  <si>
    <t>Sōngpán Xiāng</t>
  </si>
  <si>
    <t>松盘乡</t>
  </si>
  <si>
    <t>Tăjié Xiāng</t>
  </si>
  <si>
    <t>塔杰乡</t>
  </si>
  <si>
    <t>Tánggā Xiāng</t>
  </si>
  <si>
    <t>唐嘎乡</t>
  </si>
  <si>
    <t>Tánggŭ Xiāng</t>
  </si>
  <si>
    <t>唐古乡</t>
  </si>
  <si>
    <t>Tángjiā Xiāng</t>
  </si>
  <si>
    <t>唐加乡</t>
  </si>
  <si>
    <t>Tăróng Zhèn</t>
  </si>
  <si>
    <t>塔荣镇</t>
  </si>
  <si>
    <t>Tūnbā Zhèn</t>
  </si>
  <si>
    <t>吞巴镇</t>
  </si>
  <si>
    <t>Wūmătáng Xiāng</t>
  </si>
  <si>
    <t>乌玛塘乡</t>
  </si>
  <si>
    <t>Xuĕ Xiāng</t>
  </si>
  <si>
    <t>雪乡</t>
  </si>
  <si>
    <t>Xùmài Xiāng</t>
  </si>
  <si>
    <t>续迈乡</t>
  </si>
  <si>
    <t>Yángbājĭng Zhèn</t>
  </si>
  <si>
    <t>羊八井镇</t>
  </si>
  <si>
    <t>Yángdá Jiēdào</t>
  </si>
  <si>
    <t>羊达乡</t>
  </si>
  <si>
    <t>Zhāngduō Xiāng</t>
  </si>
  <si>
    <t>章多乡</t>
  </si>
  <si>
    <t>Zhāxì Jiēdào</t>
  </si>
  <si>
    <t>扎细街道</t>
  </si>
  <si>
    <t>Zhāxuĕ Xiāng</t>
  </si>
  <si>
    <t>扎雪乡</t>
  </si>
  <si>
    <t>Bāgài Xiāng</t>
  </si>
  <si>
    <t>八盖乡</t>
  </si>
  <si>
    <t>Bōmì Xiàn</t>
  </si>
  <si>
    <t>Bāhé Zhèn</t>
  </si>
  <si>
    <t>巴河镇</t>
  </si>
  <si>
    <t>Gōngbùjiāngdá Xiàn</t>
  </si>
  <si>
    <t>Băibā Zhèn</t>
  </si>
  <si>
    <t>百巴镇</t>
  </si>
  <si>
    <t>Bāyí Qū</t>
  </si>
  <si>
    <t>Bāngxīn Xiāng</t>
  </si>
  <si>
    <t>帮辛乡</t>
  </si>
  <si>
    <t>Mòtuō Xiàn</t>
  </si>
  <si>
    <t>Bāyī Zhèn [incl. Báimǎgǎng Jiēdào, Juémù Jiēdào]</t>
  </si>
  <si>
    <t>八一镇</t>
  </si>
  <si>
    <t>Bèibēng Xiāng</t>
  </si>
  <si>
    <t>背崩乡</t>
  </si>
  <si>
    <t>Bùjiŭ Xiāng</t>
  </si>
  <si>
    <t>布久乡</t>
  </si>
  <si>
    <t>Cháwălóng Xiāng</t>
  </si>
  <si>
    <t>察瓦龙乡</t>
  </si>
  <si>
    <t>Cháyú Xiàn</t>
  </si>
  <si>
    <t>Cuògāo Xiāng</t>
  </si>
  <si>
    <t>错高乡</t>
  </si>
  <si>
    <t>Dámùluòbā Mínzú Xiāng</t>
  </si>
  <si>
    <t>达木珞巴民族乡</t>
  </si>
  <si>
    <t>Dānniáng Xiāng</t>
  </si>
  <si>
    <t>丹娘乡</t>
  </si>
  <si>
    <t>Mĭlín Xiàn</t>
  </si>
  <si>
    <t>Dēngmù Xiāng</t>
  </si>
  <si>
    <t>登木乡</t>
  </si>
  <si>
    <t>Lăng Xiàn</t>
  </si>
  <si>
    <t>Déxīng Xiāng</t>
  </si>
  <si>
    <t>德兴乡</t>
  </si>
  <si>
    <t>Dònggā Zhèn</t>
  </si>
  <si>
    <t>洞嘎镇</t>
  </si>
  <si>
    <t>Duōjí Xiāng</t>
  </si>
  <si>
    <t>多吉乡</t>
  </si>
  <si>
    <t>Gāndēng Xiāng</t>
  </si>
  <si>
    <t>甘登乡</t>
  </si>
  <si>
    <t>Gédāng Xiāng</t>
  </si>
  <si>
    <t>格当乡</t>
  </si>
  <si>
    <t>Gèngzhāngménbā Mínzú Xiāng</t>
  </si>
  <si>
    <t>更章门巴民族乡</t>
  </si>
  <si>
    <t>Gōngbùjiāngdá Zhèn</t>
  </si>
  <si>
    <t>工布江达镇</t>
  </si>
  <si>
    <t>Gŭlā Xiāng</t>
  </si>
  <si>
    <t>古拉乡</t>
  </si>
  <si>
    <t>Gŭ Xiāng</t>
  </si>
  <si>
    <t>古乡</t>
  </si>
  <si>
    <t>Gŭyù Xiāng</t>
  </si>
  <si>
    <t>古玉乡</t>
  </si>
  <si>
    <t>Jiāngdá Xiāng</t>
  </si>
  <si>
    <t>江达乡</t>
  </si>
  <si>
    <t>Jiārèsà Xiāng</t>
  </si>
  <si>
    <t>加热萨乡</t>
  </si>
  <si>
    <t>Jiāxīng Xiāng</t>
  </si>
  <si>
    <t>加兴乡</t>
  </si>
  <si>
    <t>Jīndá Zhèn</t>
  </si>
  <si>
    <t>金达镇</t>
  </si>
  <si>
    <t>Jīndōng Xiāng</t>
  </si>
  <si>
    <t>金东乡</t>
  </si>
  <si>
    <t>Kāngyù Xiāng</t>
  </si>
  <si>
    <t>康玉乡</t>
  </si>
  <si>
    <t>Lăng Zhèn</t>
  </si>
  <si>
    <t>朗镇</t>
  </si>
  <si>
    <t>Lĭlóng Xiāng</t>
  </si>
  <si>
    <t>里龙乡</t>
  </si>
  <si>
    <t>Línzhī Zhèn</t>
  </si>
  <si>
    <t>林芝镇</t>
  </si>
  <si>
    <t>Lŭlăng Zhèn</t>
  </si>
  <si>
    <t>鲁朗镇</t>
  </si>
  <si>
    <t>Mĭlín Zhèn</t>
  </si>
  <si>
    <t>米林镇</t>
  </si>
  <si>
    <t>Mĭruì Xiāng</t>
  </si>
  <si>
    <t>米瑞乡</t>
  </si>
  <si>
    <t>Mòtuō Zhèn</t>
  </si>
  <si>
    <t>墨脱镇</t>
  </si>
  <si>
    <t>Nányīluòbā Mínzú Xiāng</t>
  </si>
  <si>
    <t>南伊珞巴民族乡</t>
  </si>
  <si>
    <t>Niángpú Xiāng</t>
  </si>
  <si>
    <t>娘蒲乡</t>
  </si>
  <si>
    <t>Pài Zhèn</t>
  </si>
  <si>
    <t>派镇</t>
  </si>
  <si>
    <t>Qiāngnà Xiāng</t>
  </si>
  <si>
    <t>羌纳乡</t>
  </si>
  <si>
    <t>Qīngduō Zhèn</t>
  </si>
  <si>
    <t>倾多镇</t>
  </si>
  <si>
    <t>Shàngcháyú Zhèn</t>
  </si>
  <si>
    <t>上察隅镇</t>
  </si>
  <si>
    <t>Sōngzōng Zhèn</t>
  </si>
  <si>
    <t>松宗镇</t>
  </si>
  <si>
    <t>Wòlóng Zhèn</t>
  </si>
  <si>
    <t>卧龙镇</t>
  </si>
  <si>
    <t>Xiàcháyú Zhèn</t>
  </si>
  <si>
    <t>下察隅镇</t>
  </si>
  <si>
    <t>Yìgòng Xiāng</t>
  </si>
  <si>
    <t>易贡乡</t>
  </si>
  <si>
    <t>Yùpŭ Xiāng</t>
  </si>
  <si>
    <t>玉普乡</t>
  </si>
  <si>
    <t>Yùxŭ Xiāng</t>
  </si>
  <si>
    <t>玉许乡</t>
  </si>
  <si>
    <t>Zhāmù Zhèn</t>
  </si>
  <si>
    <t>扎木镇</t>
  </si>
  <si>
    <t>Zhāxīrăodēng Xiāng</t>
  </si>
  <si>
    <t>扎西绕登乡</t>
  </si>
  <si>
    <t>Zhòngdá Zhèn</t>
  </si>
  <si>
    <t>仲达镇</t>
  </si>
  <si>
    <t>Zhòngsà Xiāng</t>
  </si>
  <si>
    <t>仲萨乡</t>
  </si>
  <si>
    <t>Zhūlā Xiāng</t>
  </si>
  <si>
    <t>朱拉乡</t>
  </si>
  <si>
    <t>Zhúwăgēn Zhèn</t>
  </si>
  <si>
    <t>竹瓦根镇</t>
  </si>
  <si>
    <t>Āsuŏ Xiāng</t>
  </si>
  <si>
    <t>阿索乡</t>
  </si>
  <si>
    <t>Nímă Xiàn</t>
  </si>
  <si>
    <t>Āxiù Xiāng</t>
  </si>
  <si>
    <t>阿秀乡</t>
  </si>
  <si>
    <t>Bāqīng Xiàn</t>
  </si>
  <si>
    <t>Āzhā Zhèn</t>
  </si>
  <si>
    <t>阿扎镇</t>
  </si>
  <si>
    <t>Jiālí Xiàn</t>
  </si>
  <si>
    <t>Báigā Xiāng</t>
  </si>
  <si>
    <t>白嘎乡</t>
  </si>
  <si>
    <t>Bĭrú Xiàn</t>
  </si>
  <si>
    <t>Báixióng Xiāng</t>
  </si>
  <si>
    <t>白雄乡</t>
  </si>
  <si>
    <t>Nièróng Xiàn</t>
  </si>
  <si>
    <t>Bālĭng Xiāng</t>
  </si>
  <si>
    <t>巴岭乡</t>
  </si>
  <si>
    <t>Shuānghú Xiàn</t>
  </si>
  <si>
    <t>Bāngài Xiāng</t>
  </si>
  <si>
    <t>帮爱乡</t>
  </si>
  <si>
    <t>Ānduō Xiàn</t>
  </si>
  <si>
    <t>Băojí Xiāng</t>
  </si>
  <si>
    <t>保吉乡</t>
  </si>
  <si>
    <t>Bāngē Xiàn</t>
  </si>
  <si>
    <t>Bāqīng Xiāng</t>
  </si>
  <si>
    <t>巴青乡</t>
  </si>
  <si>
    <t>Bāzhā Xiāng</t>
  </si>
  <si>
    <t>巴扎乡</t>
  </si>
  <si>
    <t>Shēnzhā Xiàn</t>
  </si>
  <si>
    <t>Bĕilā Zhèn</t>
  </si>
  <si>
    <t>北拉镇</t>
  </si>
  <si>
    <t>Bĕntă Xiāng</t>
  </si>
  <si>
    <t>本塔乡</t>
  </si>
  <si>
    <t>Bĭrú Zhèn</t>
  </si>
  <si>
    <t>比如镇</t>
  </si>
  <si>
    <t>Chádāng Xiāng [in: Qīnghăi (partly)]</t>
  </si>
  <si>
    <t>查当乡</t>
  </si>
  <si>
    <t>Cháqŭ Xiāng</t>
  </si>
  <si>
    <t>茶曲乡</t>
  </si>
  <si>
    <t>Chìduō Xiāng</t>
  </si>
  <si>
    <t>赤多乡</t>
  </si>
  <si>
    <t>Suŏ Xiàn</t>
  </si>
  <si>
    <t>Cuòduō Xiāng</t>
  </si>
  <si>
    <t>措多乡</t>
  </si>
  <si>
    <t>Cuòmă Xiāng</t>
  </si>
  <si>
    <t>措玛乡</t>
  </si>
  <si>
    <t>Cuòzhéluómă Zhèn</t>
  </si>
  <si>
    <t>措折罗玛镇</t>
  </si>
  <si>
    <t>Cuòzhéqiángmă Xiāng</t>
  </si>
  <si>
    <t>措折强玛乡</t>
  </si>
  <si>
    <t>Dáguŏ Xiāng</t>
  </si>
  <si>
    <t>达果乡</t>
  </si>
  <si>
    <t>Dāngmùjiāng Xiāng [in: Qīnghăi (partly)]</t>
  </si>
  <si>
    <t>当木江乡</t>
  </si>
  <si>
    <t>Dáqián Xiāng</t>
  </si>
  <si>
    <t>达前乡</t>
  </si>
  <si>
    <t>Sèní Qū</t>
  </si>
  <si>
    <t>Dásà Xiāng</t>
  </si>
  <si>
    <t>达萨乡</t>
  </si>
  <si>
    <t>Dátáng Xiāng</t>
  </si>
  <si>
    <t>达塘乡</t>
  </si>
  <si>
    <t>Duōmă Xiāng [in: Qīnghăi]</t>
  </si>
  <si>
    <t>Éjiŭ Xiāng</t>
  </si>
  <si>
    <t>俄久乡</t>
  </si>
  <si>
    <t>Gācuò Xiāng</t>
  </si>
  <si>
    <t>嘎措乡</t>
  </si>
  <si>
    <t>Gāmĕi Xiāng</t>
  </si>
  <si>
    <t>嘎美乡</t>
  </si>
  <si>
    <t>Gāmù Xiāng</t>
  </si>
  <si>
    <t>嘎木乡</t>
  </si>
  <si>
    <t>Găngní Xiāng [in: Qīnghăi (partly)]</t>
  </si>
  <si>
    <t>岗尼乡</t>
  </si>
  <si>
    <t>Găngqiè Xiāng</t>
  </si>
  <si>
    <t>岗切乡</t>
  </si>
  <si>
    <t>Gēqún Xiāng</t>
  </si>
  <si>
    <t>鸽群乡</t>
  </si>
  <si>
    <t>Gòngrì Xiāng</t>
  </si>
  <si>
    <t>贡日乡</t>
  </si>
  <si>
    <t>Gŭlù Zhèn</t>
  </si>
  <si>
    <t>古露镇</t>
  </si>
  <si>
    <t>Jiăgŭ Xiāng</t>
  </si>
  <si>
    <t>甲谷乡</t>
  </si>
  <si>
    <t>Jiālí Zhèn</t>
  </si>
  <si>
    <t>嘉黎镇</t>
  </si>
  <si>
    <t>Jiāngmián Xiāng</t>
  </si>
  <si>
    <t>江绵乡</t>
  </si>
  <si>
    <t>Jiāqín Xiāng</t>
  </si>
  <si>
    <t>加勤乡</t>
  </si>
  <si>
    <t>Jiāqióng Zhèn</t>
  </si>
  <si>
    <t>佳琼镇</t>
  </si>
  <si>
    <t>Jíwă Xiāng</t>
  </si>
  <si>
    <t>吉瓦乡</t>
  </si>
  <si>
    <t>Jūncāng Xiāng</t>
  </si>
  <si>
    <t>军仓乡</t>
  </si>
  <si>
    <t>Kǎ Xiāng [Qià Xiāng]</t>
  </si>
  <si>
    <t>卡乡</t>
  </si>
  <si>
    <t>Kŏngmă Xiāng</t>
  </si>
  <si>
    <t>孔玛乡</t>
  </si>
  <si>
    <t>Láiduō Xiāng</t>
  </si>
  <si>
    <t>来多乡</t>
  </si>
  <si>
    <t>Láomài Xiāng</t>
  </si>
  <si>
    <t>劳麦乡</t>
  </si>
  <si>
    <t>Lāxī Zhèn</t>
  </si>
  <si>
    <t>拉西镇</t>
  </si>
  <si>
    <t>Liángqŭ Xiāng</t>
  </si>
  <si>
    <t>良曲乡</t>
  </si>
  <si>
    <t>Líndī Xiāng</t>
  </si>
  <si>
    <t>林堤乡</t>
  </si>
  <si>
    <t>Luómă Zhèn</t>
  </si>
  <si>
    <t>罗玛镇</t>
  </si>
  <si>
    <t>Măibā Xiāng</t>
  </si>
  <si>
    <t>买巴乡</t>
  </si>
  <si>
    <t>Màidìkǎ Xiāng [Cuòlā Xiāng]</t>
  </si>
  <si>
    <t>麦地卡乡</t>
  </si>
  <si>
    <t>Măqián Xiāng</t>
  </si>
  <si>
    <t>马前乡</t>
  </si>
  <si>
    <t>Măqŭ Xiāng [in: Qīnghăi]</t>
  </si>
  <si>
    <t>玛曲乡</t>
  </si>
  <si>
    <t>Măróng Xiāng [in: Qīnghăi]</t>
  </si>
  <si>
    <t>玛荣乡</t>
  </si>
  <si>
    <t>Mărú Xiāng</t>
  </si>
  <si>
    <t>玛如乡</t>
  </si>
  <si>
    <t>Măyuè Xiāng</t>
  </si>
  <si>
    <t>马跃乡</t>
  </si>
  <si>
    <t>Méndāng Xiāng</t>
  </si>
  <si>
    <t>门当乡</t>
  </si>
  <si>
    <t>Nàmeqiè Xiāng</t>
  </si>
  <si>
    <t>那么切乡</t>
  </si>
  <si>
    <t>Nàqŭ Zhèn</t>
  </si>
  <si>
    <t>那曲镇</t>
  </si>
  <si>
    <t>Nièróng Zhèn</t>
  </si>
  <si>
    <t>聂荣镇</t>
  </si>
  <si>
    <t>Nímă Xiāng</t>
  </si>
  <si>
    <t>尼玛乡</t>
  </si>
  <si>
    <t>Nímă Zhèn</t>
  </si>
  <si>
    <t>尼玛镇</t>
  </si>
  <si>
    <t>Níwū Xiāng [Zhōngyù Xiāng]</t>
  </si>
  <si>
    <t>尼屋乡</t>
  </si>
  <si>
    <t>Pànèi Zhèn</t>
  </si>
  <si>
    <t>帕那镇</t>
  </si>
  <si>
    <t>Pŭbăo Zhèn</t>
  </si>
  <si>
    <t>普保镇</t>
  </si>
  <si>
    <t>Qiángmă Zhèn</t>
  </si>
  <si>
    <t>强玛镇</t>
  </si>
  <si>
    <t>Qiàzé Xiāng</t>
  </si>
  <si>
    <t>恰则乡</t>
  </si>
  <si>
    <t>Qīnglóng Xiāng</t>
  </si>
  <si>
    <t>青龙乡</t>
  </si>
  <si>
    <t>Rèwă Xiāng</t>
  </si>
  <si>
    <t>热瓦乡</t>
  </si>
  <si>
    <t>Róngbù Zhèn</t>
  </si>
  <si>
    <t>荣布镇</t>
  </si>
  <si>
    <t>Róngduō Xiāng</t>
  </si>
  <si>
    <t>绒多乡</t>
  </si>
  <si>
    <t>Róngmă Xiāng</t>
  </si>
  <si>
    <t>荣玛乡</t>
  </si>
  <si>
    <t>Ruòdá Xiāng</t>
  </si>
  <si>
    <t>若达乡</t>
  </si>
  <si>
    <t>Sāngróng Xiāng</t>
  </si>
  <si>
    <t>桑荣乡</t>
  </si>
  <si>
    <t>Sèqìng Xiāng</t>
  </si>
  <si>
    <t>色庆乡</t>
  </si>
  <si>
    <t>Sèwù Xiāng [in: Qīnghăi (partly)]</t>
  </si>
  <si>
    <t>色务乡</t>
  </si>
  <si>
    <t>Sèxióng Xiāng</t>
  </si>
  <si>
    <t>色雄乡</t>
  </si>
  <si>
    <t>Shēnyà Xiāng</t>
  </si>
  <si>
    <t>申亚乡</t>
  </si>
  <si>
    <t>Shēnzhā Zhèn</t>
  </si>
  <si>
    <t>申扎镇</t>
  </si>
  <si>
    <t>Suŏxióng Xiāng</t>
  </si>
  <si>
    <t>索雄乡</t>
  </si>
  <si>
    <t>Tă'ĕrmă Xiāng</t>
  </si>
  <si>
    <t>塔尔玛乡</t>
  </si>
  <si>
    <t>Tānduī Xiāng</t>
  </si>
  <si>
    <t>滩堆乡</t>
  </si>
  <si>
    <t>Wénbù Xiāng</t>
  </si>
  <si>
    <t>文部乡</t>
  </si>
  <si>
    <t>Xiàguò Xiāng</t>
  </si>
  <si>
    <t>下过乡</t>
  </si>
  <si>
    <t>Xiàmă Xiāng</t>
  </si>
  <si>
    <t>夏玛乡</t>
  </si>
  <si>
    <t>Xiāngmào Xiāng</t>
  </si>
  <si>
    <t>香茂乡</t>
  </si>
  <si>
    <t>Xiāngqŭ Xiāng</t>
  </si>
  <si>
    <t>香曲乡</t>
  </si>
  <si>
    <t>Xiàqŭ Xiāng</t>
  </si>
  <si>
    <t>下曲乡</t>
  </si>
  <si>
    <t>Xiàqŭ Zhèn</t>
  </si>
  <si>
    <t>夏曲镇</t>
  </si>
  <si>
    <t>Xīchāng Xiāng</t>
  </si>
  <si>
    <t>西昌乡</t>
  </si>
  <si>
    <t>Xiédé Xiāng</t>
  </si>
  <si>
    <t>协德乡</t>
  </si>
  <si>
    <t>Xīnjí Xiāng</t>
  </si>
  <si>
    <t>新吉乡</t>
  </si>
  <si>
    <t>Xióngméi Zhèn</t>
  </si>
  <si>
    <t>雄梅镇</t>
  </si>
  <si>
    <t>Yă'ān Zhèn</t>
  </si>
  <si>
    <t>雅安镇</t>
  </si>
  <si>
    <t>Yàlā Zhèn</t>
  </si>
  <si>
    <t>亚拉镇</t>
  </si>
  <si>
    <t>Yángxiù Xiāng</t>
  </si>
  <si>
    <t>羊秀乡</t>
  </si>
  <si>
    <t>Yànshípíng Zhèn [in: Qīnghăi]</t>
  </si>
  <si>
    <t>雁石坪镇</t>
  </si>
  <si>
    <t>Yăqŭ Xiāng</t>
  </si>
  <si>
    <t>雅曲乡</t>
  </si>
  <si>
    <t>Yŏngqŭ Xiāng [in: Qīnghăi (partly)]</t>
  </si>
  <si>
    <t>永曲乡</t>
  </si>
  <si>
    <t>Yóuqià Xiāng</t>
  </si>
  <si>
    <t>油恰乡</t>
  </si>
  <si>
    <t>Zàngbĭ Xiāng</t>
  </si>
  <si>
    <t>藏比乡</t>
  </si>
  <si>
    <t>Zásè Zhèn</t>
  </si>
  <si>
    <t>杂色镇</t>
  </si>
  <si>
    <t>Zhālā Xiāng</t>
  </si>
  <si>
    <t>扎拉乡</t>
  </si>
  <si>
    <t>Zhāqŭ Xiāng</t>
  </si>
  <si>
    <t>扎曲乡</t>
  </si>
  <si>
    <t>Zhārén Zhèn</t>
  </si>
  <si>
    <t>扎仁镇</t>
  </si>
  <si>
    <t>Zhōngcāng Xiāng</t>
  </si>
  <si>
    <t>中仓乡</t>
  </si>
  <si>
    <t>Zhuóní Xiāng</t>
  </si>
  <si>
    <t>卓尼乡</t>
  </si>
  <si>
    <t>Zhuówă Xiāng</t>
  </si>
  <si>
    <t>卓瓦乡</t>
  </si>
  <si>
    <t>Àimă Xiāng</t>
  </si>
  <si>
    <t>艾玛乡</t>
  </si>
  <si>
    <t>Nánmùlín Xiàn</t>
  </si>
  <si>
    <t>Āmùxióng Xiāng</t>
  </si>
  <si>
    <t>阿木雄乡</t>
  </si>
  <si>
    <t>Ángrén Xiàn</t>
  </si>
  <si>
    <t>Báilăng Xiàn</t>
  </si>
  <si>
    <t>Biānxióng Xiāng</t>
  </si>
  <si>
    <t>边雄乡</t>
  </si>
  <si>
    <t>Sāngzhūzī Qū</t>
  </si>
  <si>
    <t>Bōróng Xiāng</t>
  </si>
  <si>
    <t>波绒乡</t>
  </si>
  <si>
    <t>Nièlāmù Xiàn</t>
  </si>
  <si>
    <t>Bùduō Xiāng</t>
  </si>
  <si>
    <t>布多乡</t>
  </si>
  <si>
    <t>Zhòngbā Xiàn</t>
  </si>
  <si>
    <t>Chábā Xiāng</t>
  </si>
  <si>
    <t>查巴乡</t>
  </si>
  <si>
    <t>Rénbù Xiàn</t>
  </si>
  <si>
    <t>查布乡</t>
  </si>
  <si>
    <t>Xiètōngmén Xiàn</t>
  </si>
  <si>
    <t>Cháěr Xiāng</t>
  </si>
  <si>
    <t>查尔乡</t>
  </si>
  <si>
    <t>Chānèi Xiāng</t>
  </si>
  <si>
    <t>差那乡</t>
  </si>
  <si>
    <t>Jílóng Xiàn</t>
  </si>
  <si>
    <t>Chāngguŏ Xiāng</t>
  </si>
  <si>
    <t>昌果乡</t>
  </si>
  <si>
    <t>Sàgā Xiàn</t>
  </si>
  <si>
    <t>Chānglóng Xiāng</t>
  </si>
  <si>
    <t>昌龙乡</t>
  </si>
  <si>
    <t>Găngbā Xiàn</t>
  </si>
  <si>
    <t>Chángsuŏ Xiāng</t>
  </si>
  <si>
    <t>长所乡</t>
  </si>
  <si>
    <t>Dìngrì Xiàn</t>
  </si>
  <si>
    <t>Cháróng Xiāng</t>
  </si>
  <si>
    <t>查荣乡</t>
  </si>
  <si>
    <t>Sàjiā Xiàn</t>
  </si>
  <si>
    <t>Cháwù Xiāng</t>
  </si>
  <si>
    <t>查务乡</t>
  </si>
  <si>
    <t>Lāzī Xiàn</t>
  </si>
  <si>
    <t>Cházī Xiāng</t>
  </si>
  <si>
    <t>查孜乡</t>
  </si>
  <si>
    <t>Chéngbĕi Jiēdào</t>
  </si>
  <si>
    <t>城北街道</t>
  </si>
  <si>
    <t>Chéngnán Jiēdào</t>
  </si>
  <si>
    <t>城南街道</t>
  </si>
  <si>
    <t>Chéntáng Zhèn</t>
  </si>
  <si>
    <t>陈塘镇</t>
  </si>
  <si>
    <t>Dìngjié Xiàn</t>
  </si>
  <si>
    <t>Chērén Xiāng</t>
  </si>
  <si>
    <t>车仁乡</t>
  </si>
  <si>
    <t>Jiāngzī Xiàn</t>
  </si>
  <si>
    <t>Chĕxiū Xiāng</t>
  </si>
  <si>
    <t>扯休乡</t>
  </si>
  <si>
    <t>Chóngzī Xiāng</t>
  </si>
  <si>
    <t>重孜乡</t>
  </si>
  <si>
    <t>Chūnzhé Xiāng</t>
  </si>
  <si>
    <t>春哲乡</t>
  </si>
  <si>
    <t>Cuòbùxī Xiāng</t>
  </si>
  <si>
    <t>措布西乡</t>
  </si>
  <si>
    <t>Cuòguŏ Xiāng</t>
  </si>
  <si>
    <t>措果乡</t>
  </si>
  <si>
    <t>Cuòmài Xiāng</t>
  </si>
  <si>
    <t>措迈乡</t>
  </si>
  <si>
    <t>Dájílĭng Xiāng</t>
  </si>
  <si>
    <t>达吉岭乡</t>
  </si>
  <si>
    <t>Dájū Xiāng</t>
  </si>
  <si>
    <t>达居乡</t>
  </si>
  <si>
    <t>Dámùxià Xiāng</t>
  </si>
  <si>
    <t>达木夏乡</t>
  </si>
  <si>
    <t>Dánàdá Xiāng</t>
  </si>
  <si>
    <t>达那答乡</t>
  </si>
  <si>
    <t>Dánàpŭ Xiāng</t>
  </si>
  <si>
    <t>达那普乡</t>
  </si>
  <si>
    <t>Dánèi Xiāng</t>
  </si>
  <si>
    <t>达那乡</t>
  </si>
  <si>
    <t>Dàngā Xiāng</t>
  </si>
  <si>
    <t>旦嘎乡</t>
  </si>
  <si>
    <t>Dáruò Xiāng</t>
  </si>
  <si>
    <t>达若乡</t>
  </si>
  <si>
    <t>Dázī Xiāng</t>
  </si>
  <si>
    <t>达孜乡</t>
  </si>
  <si>
    <t>Déjílín Zhèn</t>
  </si>
  <si>
    <t>德吉林镇</t>
  </si>
  <si>
    <t>Dìngjié Xiāng</t>
  </si>
  <si>
    <t>定结乡</t>
  </si>
  <si>
    <t>Dōnggā Xiāng</t>
  </si>
  <si>
    <t>东嘎乡</t>
  </si>
  <si>
    <t>Dōngxĭ Xiāng</t>
  </si>
  <si>
    <t>东喜乡</t>
  </si>
  <si>
    <t>Duīnà Xiāng</t>
  </si>
  <si>
    <t>堆纳乡</t>
  </si>
  <si>
    <t>Yàdōng Xiàn</t>
  </si>
  <si>
    <t>Duōbái Xiāng</t>
  </si>
  <si>
    <t>多白乡</t>
  </si>
  <si>
    <t>Duōbùzhā Xiāng</t>
  </si>
  <si>
    <t>多布扎乡</t>
  </si>
  <si>
    <t>Duōjiăo Xiāng</t>
  </si>
  <si>
    <t>多角乡</t>
  </si>
  <si>
    <t>Dùqióng Xiāng</t>
  </si>
  <si>
    <t>杜琼乡</t>
  </si>
  <si>
    <t>Gādōng Zhèn</t>
  </si>
  <si>
    <t>嘎东镇</t>
  </si>
  <si>
    <t>Gālā Xiāng</t>
  </si>
  <si>
    <t>嘎拉乡</t>
  </si>
  <si>
    <t>Kāngmă Xiàn</t>
  </si>
  <si>
    <t>Găngbā Zhèn</t>
  </si>
  <si>
    <t>岗巴镇</t>
  </si>
  <si>
    <t>Gănggā Zhèn</t>
  </si>
  <si>
    <t>岗嘎镇</t>
  </si>
  <si>
    <t>Gāpŭ Xiāng</t>
  </si>
  <si>
    <t>嘎普乡</t>
  </si>
  <si>
    <t>Gòngdāng Xiāng</t>
  </si>
  <si>
    <t>贡当乡</t>
  </si>
  <si>
    <t>Gòngjiŭbù Xiāng</t>
  </si>
  <si>
    <t>贡久布乡</t>
  </si>
  <si>
    <t>Guōjiā Xiāng</t>
  </si>
  <si>
    <t>郭加乡</t>
  </si>
  <si>
    <t>Huò'ĕrbā Xiāng</t>
  </si>
  <si>
    <t>霍尔巴乡</t>
  </si>
  <si>
    <t>Jiăcuò Xiāng</t>
  </si>
  <si>
    <t>甲措乡</t>
  </si>
  <si>
    <t>Jiācuò Xiāng</t>
  </si>
  <si>
    <t>加措乡</t>
  </si>
  <si>
    <t>Jiăcuòxióng Xiāng</t>
  </si>
  <si>
    <t>甲措雄乡</t>
  </si>
  <si>
    <t>Jiājiā Zhèn</t>
  </si>
  <si>
    <t>加加镇</t>
  </si>
  <si>
    <t>Jiākèxī Xiāng</t>
  </si>
  <si>
    <t>加克西乡</t>
  </si>
  <si>
    <t>Jiāngdāng Xiāng</t>
  </si>
  <si>
    <t>江当乡</t>
  </si>
  <si>
    <t>Jiānggā Zhèn</t>
  </si>
  <si>
    <t>江嘎镇</t>
  </si>
  <si>
    <t>Jiāngrè Xiāng</t>
  </si>
  <si>
    <t>江热乡</t>
  </si>
  <si>
    <t>Jiāngzī Zhèn</t>
  </si>
  <si>
    <t>江孜镇</t>
  </si>
  <si>
    <t>Jídìng Zhèn</t>
  </si>
  <si>
    <t>吉定镇</t>
  </si>
  <si>
    <t>Jílā Xiāng</t>
  </si>
  <si>
    <t>吉拉乡</t>
  </si>
  <si>
    <t>Jílóng Zhèn</t>
  </si>
  <si>
    <t>吉隆镇</t>
  </si>
  <si>
    <t>Jímă Xiāng</t>
  </si>
  <si>
    <t>吉玛乡</t>
  </si>
  <si>
    <t>Jīngā Xiāng</t>
  </si>
  <si>
    <t>金嘎乡</t>
  </si>
  <si>
    <t>Jírŭ Xiāng</t>
  </si>
  <si>
    <t>吉汝乡</t>
  </si>
  <si>
    <t>Kăduī Xiāng</t>
  </si>
  <si>
    <t>卡堆乡</t>
  </si>
  <si>
    <t>Kăgā Zhèn</t>
  </si>
  <si>
    <t>卡嘎镇</t>
  </si>
  <si>
    <t>Kămài Xiāng</t>
  </si>
  <si>
    <t>卡麦乡</t>
  </si>
  <si>
    <t>Kāngbù Xiāng</t>
  </si>
  <si>
    <t>康布乡</t>
  </si>
  <si>
    <t>Kāngmă Zhèn</t>
  </si>
  <si>
    <t>康马镇</t>
  </si>
  <si>
    <t>Kāngrú Xiāng</t>
  </si>
  <si>
    <t>康如乡</t>
  </si>
  <si>
    <t>Kāngxióng Xiāng</t>
  </si>
  <si>
    <t>康雄乡</t>
  </si>
  <si>
    <t>Kāngzhuó Xiāng</t>
  </si>
  <si>
    <t>康卓乡</t>
  </si>
  <si>
    <t>Kèmă Xiāng</t>
  </si>
  <si>
    <t>克玛乡</t>
  </si>
  <si>
    <t>Kŏnglóng Xiāng</t>
  </si>
  <si>
    <t>孔隆乡</t>
  </si>
  <si>
    <t>Lābùpŭ Xiāng</t>
  </si>
  <si>
    <t>拉布普乡</t>
  </si>
  <si>
    <t>Lāluò Xiāng</t>
  </si>
  <si>
    <t>拉洛乡</t>
  </si>
  <si>
    <t>Lāràng Xiāng</t>
  </si>
  <si>
    <t>拉让乡</t>
  </si>
  <si>
    <t>Lāzàng Xiāng</t>
  </si>
  <si>
    <t>拉藏乡</t>
  </si>
  <si>
    <t>Lāzī Zhèn</t>
  </si>
  <si>
    <t>拉孜镇</t>
  </si>
  <si>
    <t>Lián Xiāng</t>
  </si>
  <si>
    <t>联乡</t>
  </si>
  <si>
    <t>Lièbā Xiāng</t>
  </si>
  <si>
    <t>列巴乡</t>
  </si>
  <si>
    <t>Liŭ Xiāng</t>
  </si>
  <si>
    <t>柳乡</t>
  </si>
  <si>
    <t>Lónggāěr Xiāng</t>
  </si>
  <si>
    <t>隆格尔乡</t>
  </si>
  <si>
    <t>Lóngmă Xiāng</t>
  </si>
  <si>
    <t>龙马乡</t>
  </si>
  <si>
    <t>Lóngzhōng Xiāng</t>
  </si>
  <si>
    <t>龙中乡</t>
  </si>
  <si>
    <t>Luòjiāng Zhèn</t>
  </si>
  <si>
    <t>洛江镇</t>
  </si>
  <si>
    <t>Mábùjiā Xiāng</t>
  </si>
  <si>
    <t>麻布加乡</t>
  </si>
  <si>
    <t>Mángpŭ Xiāng</t>
  </si>
  <si>
    <t>芒普乡</t>
  </si>
  <si>
    <t>Mángrè Xiāng</t>
  </si>
  <si>
    <t>芒热乡</t>
  </si>
  <si>
    <t>Mă Xiāng</t>
  </si>
  <si>
    <t>玛乡</t>
  </si>
  <si>
    <t>Mĕibāqièqín Xiāng</t>
  </si>
  <si>
    <t>美巴切勤乡</t>
  </si>
  <si>
    <t>Ménbù Xiāng</t>
  </si>
  <si>
    <t>门布乡</t>
  </si>
  <si>
    <t>Mùlā Xiāng</t>
  </si>
  <si>
    <t>木拉乡</t>
  </si>
  <si>
    <t>Mŭ Xiāng</t>
  </si>
  <si>
    <t>姆乡</t>
  </si>
  <si>
    <t>Nàdāng Xiāng</t>
  </si>
  <si>
    <t>纳当乡</t>
  </si>
  <si>
    <t>Nà'ĕr Xiāng</t>
  </si>
  <si>
    <t>纳尔乡</t>
  </si>
  <si>
    <t>Năilóng Xiāng</t>
  </si>
  <si>
    <t>乃龙乡</t>
  </si>
  <si>
    <t>Nàjiŭ Xiāng</t>
  </si>
  <si>
    <t>纳久乡</t>
  </si>
  <si>
    <t>Nánmùlín Zhèn</t>
  </si>
  <si>
    <t>南木林镇</t>
  </si>
  <si>
    <t>Nánmùqiè Xiāng</t>
  </si>
  <si>
    <t>南木切乡</t>
  </si>
  <si>
    <t>Nánní Xiāng</t>
  </si>
  <si>
    <t>南尼乡</t>
  </si>
  <si>
    <t>Nàrú Xiāng</t>
  </si>
  <si>
    <t>纳如乡</t>
  </si>
  <si>
    <t>Niángrè Xiāng</t>
  </si>
  <si>
    <t>娘热乡</t>
  </si>
  <si>
    <t>Niánmù Xiāng</t>
  </si>
  <si>
    <t>年木乡</t>
  </si>
  <si>
    <t>Niánxióng Xiāng</t>
  </si>
  <si>
    <t>年堆乡</t>
  </si>
  <si>
    <t>Nièlāmù Zhèn</t>
  </si>
  <si>
    <t>聂拉木镇</t>
  </si>
  <si>
    <t>Nièrìxióng Xiāng</t>
  </si>
  <si>
    <t>聂日雄乡</t>
  </si>
  <si>
    <t>Nièrúduī Xiāng</t>
  </si>
  <si>
    <t>涅如堆乡</t>
  </si>
  <si>
    <t>Nièrúmài Xiāng</t>
  </si>
  <si>
    <t>涅如麦乡</t>
  </si>
  <si>
    <t>Níguŏ Xiāng</t>
  </si>
  <si>
    <t>尼果乡</t>
  </si>
  <si>
    <t>Níxiá Xiāng</t>
  </si>
  <si>
    <t>尼辖乡</t>
  </si>
  <si>
    <t>Númă Xiāng</t>
  </si>
  <si>
    <t>奴玛乡</t>
  </si>
  <si>
    <t>Pàdāng Xiāng</t>
  </si>
  <si>
    <t>帕当乡</t>
  </si>
  <si>
    <t>Pàjiāng Xiāng</t>
  </si>
  <si>
    <t>帕江乡</t>
  </si>
  <si>
    <t>Pàlĭ Zhèn</t>
  </si>
  <si>
    <t>帕里镇</t>
  </si>
  <si>
    <t>Pàyáng Zhèn</t>
  </si>
  <si>
    <t>帕羊镇</t>
  </si>
  <si>
    <t>Péngcuòlín Xiāng</t>
  </si>
  <si>
    <t>彭措林乡</t>
  </si>
  <si>
    <t>Pénjí Xiāng</t>
  </si>
  <si>
    <t>盆吉乡</t>
  </si>
  <si>
    <t>Piānjí Xiāng</t>
  </si>
  <si>
    <t>偏吉乡</t>
  </si>
  <si>
    <t>Pŭdāng Xiāng</t>
  </si>
  <si>
    <t>普当乡</t>
  </si>
  <si>
    <t>Qiángduī Xiāng</t>
  </si>
  <si>
    <t>强堆乡</t>
  </si>
  <si>
    <t>Qièqióng Xiāng</t>
  </si>
  <si>
    <t>切琼乡</t>
  </si>
  <si>
    <t>Qièrè Xiāng</t>
  </si>
  <si>
    <t>切热乡</t>
  </si>
  <si>
    <t>Qièwá Xiāng</t>
  </si>
  <si>
    <t>切娃乡</t>
  </si>
  <si>
    <t>Qīngdū Xiāng</t>
  </si>
  <si>
    <t>青都乡</t>
  </si>
  <si>
    <t>Qióngguŏ Xiāng</t>
  </si>
  <si>
    <t>琼果乡</t>
  </si>
  <si>
    <t>Qióngzī Xiāng</t>
  </si>
  <si>
    <t>琼孜乡</t>
  </si>
  <si>
    <t>Qiūmù Xiāng</t>
  </si>
  <si>
    <t>秋木乡</t>
  </si>
  <si>
    <t>Qiūwō Xiāng</t>
  </si>
  <si>
    <t>秋窝乡</t>
  </si>
  <si>
    <t>Qŭbùxióng Xiāng</t>
  </si>
  <si>
    <t>曲布雄乡</t>
  </si>
  <si>
    <t>Qŭdāng Xiāng</t>
  </si>
  <si>
    <t>曲当乡</t>
  </si>
  <si>
    <t>Quèbù Xiāng</t>
  </si>
  <si>
    <t>确布乡</t>
  </si>
  <si>
    <t>Qŭmă Xiāng</t>
  </si>
  <si>
    <t>曲玛乡</t>
  </si>
  <si>
    <t>Qŭmĕi Xiāng</t>
  </si>
  <si>
    <t>曲美乡</t>
  </si>
  <si>
    <t>Qŭnú Xiāng</t>
  </si>
  <si>
    <t>曲奴乡</t>
  </si>
  <si>
    <t>Qŭxià Zhèn</t>
  </si>
  <si>
    <t>曲下镇</t>
  </si>
  <si>
    <t>Ránbā Xiāng</t>
  </si>
  <si>
    <t>然巴乡</t>
  </si>
  <si>
    <t>Rèdāng Xiāng</t>
  </si>
  <si>
    <t>热当乡</t>
  </si>
  <si>
    <t>Rèlóng Xiāng</t>
  </si>
  <si>
    <t>热龙乡</t>
  </si>
  <si>
    <t>Rénbù Xiāng</t>
  </si>
  <si>
    <t>仁布乡</t>
  </si>
  <si>
    <t>Rénduī Xiāng</t>
  </si>
  <si>
    <t>仁堆乡</t>
  </si>
  <si>
    <t>Rénduō Xiāng</t>
  </si>
  <si>
    <t>仁多乡</t>
  </si>
  <si>
    <t>Rénqīnzé Xiāng</t>
  </si>
  <si>
    <t>仁钦则乡</t>
  </si>
  <si>
    <t>Rèsà Xiāng</t>
  </si>
  <si>
    <t>热萨乡</t>
  </si>
  <si>
    <t>Rèsuŏ Xiāng</t>
  </si>
  <si>
    <t>热索乡</t>
  </si>
  <si>
    <t>Rìlăng Xiāng</t>
  </si>
  <si>
    <t>日朗乡</t>
  </si>
  <si>
    <t>Rìwúqí Xiāng</t>
  </si>
  <si>
    <t>日吾其乡</t>
  </si>
  <si>
    <t>Rìwū Zhèn</t>
  </si>
  <si>
    <t>日屋镇</t>
  </si>
  <si>
    <t>Rìxīng Xiāng</t>
  </si>
  <si>
    <t>日星乡</t>
  </si>
  <si>
    <t>Róngxiá Xiāng</t>
  </si>
  <si>
    <t>绒辖乡</t>
  </si>
  <si>
    <t>Rújiăo Xiāng</t>
  </si>
  <si>
    <t>如角乡</t>
  </si>
  <si>
    <t>Rúsà Xiāng</t>
  </si>
  <si>
    <t>如萨乡</t>
  </si>
  <si>
    <t>Sà'ĕr Xiāng</t>
  </si>
  <si>
    <t>萨尔乡</t>
  </si>
  <si>
    <t>Sài Xiāng</t>
  </si>
  <si>
    <t>赛乡</t>
  </si>
  <si>
    <t>Sàjiā Zhèn</t>
  </si>
  <si>
    <t>萨迦镇</t>
  </si>
  <si>
    <t>Sàmădá Xiāng</t>
  </si>
  <si>
    <t>萨玛达乡</t>
  </si>
  <si>
    <t>Sāngsāng Zhèn</t>
  </si>
  <si>
    <t>桑桑镇</t>
  </si>
  <si>
    <t>Shàngyàdōng Xiāng</t>
  </si>
  <si>
    <t>上亚东乡</t>
  </si>
  <si>
    <t>Shăogăng Xiāng</t>
  </si>
  <si>
    <t>少岗乡</t>
  </si>
  <si>
    <t>Suŏjīn Xiāng</t>
  </si>
  <si>
    <t>索金乡</t>
  </si>
  <si>
    <t>Suŏzuò Xiāng</t>
  </si>
  <si>
    <t>锁作乡</t>
  </si>
  <si>
    <t>Tǎdīng Xiāng</t>
  </si>
  <si>
    <t>塔丁乡</t>
  </si>
  <si>
    <t>Tōngmén Xiāng</t>
  </si>
  <si>
    <t>通门乡</t>
  </si>
  <si>
    <t>Tŭbùjiā Xiāng</t>
  </si>
  <si>
    <t>土布加乡</t>
  </si>
  <si>
    <t>Wàngdān Xiāng</t>
  </si>
  <si>
    <t>旺丹乡</t>
  </si>
  <si>
    <t>Xiàrú Xiāng</t>
  </si>
  <si>
    <t>夏如乡</t>
  </si>
  <si>
    <t>Xiàsīmă Zhèn</t>
  </si>
  <si>
    <t>下司马镇</t>
  </si>
  <si>
    <t>Xiàyàdōng Xiāng</t>
  </si>
  <si>
    <t>下亚东乡</t>
  </si>
  <si>
    <t>Xiégé'ĕr Zhèn</t>
  </si>
  <si>
    <t>协格尔镇</t>
  </si>
  <si>
    <t>Xióngmài Xiāng</t>
  </si>
  <si>
    <t>雄麦乡</t>
  </si>
  <si>
    <t>Xióngmă Xiāng</t>
  </si>
  <si>
    <t>雄玛乡</t>
  </si>
  <si>
    <t>Xióngrú Xiāng</t>
  </si>
  <si>
    <t>雄如乡</t>
  </si>
  <si>
    <t>Xióngzhāng Xiāng</t>
  </si>
  <si>
    <t>雄章乡</t>
  </si>
  <si>
    <t>Xīqīn Xiāng</t>
  </si>
  <si>
    <t>锡钦乡</t>
  </si>
  <si>
    <t>Yàlái Xiāng</t>
  </si>
  <si>
    <t>亚来乡</t>
  </si>
  <si>
    <t>Yàmù Xiāng</t>
  </si>
  <si>
    <t>亚木乡</t>
  </si>
  <si>
    <t>Zànggăi Xiāng</t>
  </si>
  <si>
    <t>藏改乡</t>
  </si>
  <si>
    <t>Zéxŭ Xiāng</t>
  </si>
  <si>
    <t>则许乡</t>
  </si>
  <si>
    <t>Zhāguŏ Xiāng</t>
  </si>
  <si>
    <t>扎果乡</t>
  </si>
  <si>
    <t>Zhāngmù Zhèn</t>
  </si>
  <si>
    <t>樟木镇</t>
  </si>
  <si>
    <t>Zhāxīzōng Xiāng</t>
  </si>
  <si>
    <t>扎西宗乡</t>
  </si>
  <si>
    <t>Zhébā Xiāng</t>
  </si>
  <si>
    <t>折巴乡</t>
  </si>
  <si>
    <t>Zhĕxià Xiāng</t>
  </si>
  <si>
    <t>者下乡</t>
  </si>
  <si>
    <t>Zhíkè Xiāng</t>
  </si>
  <si>
    <t>直克乡</t>
  </si>
  <si>
    <t>Zĭjīn Xiāng</t>
  </si>
  <si>
    <t>紫金乡</t>
  </si>
  <si>
    <t>Zōnggā Zhèn</t>
  </si>
  <si>
    <t>宗嘎镇</t>
  </si>
  <si>
    <t>Ānrăo Zhèn</t>
  </si>
  <si>
    <t>安绕镇</t>
  </si>
  <si>
    <t>Jiāchá Xiàn</t>
  </si>
  <si>
    <t>Āzhā Xiāng</t>
  </si>
  <si>
    <t>阿扎乡</t>
  </si>
  <si>
    <t>Zhānáng Xiàn</t>
  </si>
  <si>
    <t>Làngkăzi Xiàn</t>
  </si>
  <si>
    <t>Báidì Xiāng</t>
  </si>
  <si>
    <t>白地乡</t>
  </si>
  <si>
    <t>Báiduī Xiāng</t>
  </si>
  <si>
    <t>白堆乡</t>
  </si>
  <si>
    <t>Sāngrì Xiàn</t>
  </si>
  <si>
    <t>Bà Xiāng</t>
  </si>
  <si>
    <t>坝乡</t>
  </si>
  <si>
    <t>Biānbā Xiāng</t>
  </si>
  <si>
    <t>边巴乡</t>
  </si>
  <si>
    <t>Luòzhā Xiàn</t>
  </si>
  <si>
    <t>Gònggā Xiàn</t>
  </si>
  <si>
    <t>Chāngzhū Zhèn</t>
  </si>
  <si>
    <t>昌珠镇</t>
  </si>
  <si>
    <t>Năidōng Qū</t>
  </si>
  <si>
    <t>Cuījiŭ Xiāng</t>
  </si>
  <si>
    <t>崔久乡</t>
  </si>
  <si>
    <t>Cuòmĕi Zhèn</t>
  </si>
  <si>
    <t>措美镇</t>
  </si>
  <si>
    <t>Cuòmĕi Xiàn</t>
  </si>
  <si>
    <t>Cuònèi Zhèn</t>
  </si>
  <si>
    <t>错那镇</t>
  </si>
  <si>
    <t>Cuònà Xiàn</t>
  </si>
  <si>
    <t>Dălóng Zhèn</t>
  </si>
  <si>
    <t>打隆镇</t>
  </si>
  <si>
    <t>Dōnglā Xiāng</t>
  </si>
  <si>
    <t>东拉乡</t>
  </si>
  <si>
    <t>Dòuyùluòbā Mínzú Xiāng</t>
  </si>
  <si>
    <t>斗玉珞巴民族乡</t>
  </si>
  <si>
    <t>Lóngzi Xiàn</t>
  </si>
  <si>
    <t>Duīsuí Xiāng</t>
  </si>
  <si>
    <t>堆随乡</t>
  </si>
  <si>
    <t>Qŭsōng Xiàn</t>
  </si>
  <si>
    <t>Duōpōzhāng Xiāng</t>
  </si>
  <si>
    <t>多颇章乡</t>
  </si>
  <si>
    <t>Duōquè Xiāng</t>
  </si>
  <si>
    <t>多却乡</t>
  </si>
  <si>
    <t>Găngduī Zhèn</t>
  </si>
  <si>
    <t>岗堆镇</t>
  </si>
  <si>
    <t>Gòngrìménbā Mínzú Xiāng</t>
  </si>
  <si>
    <t>贡日门巴民族乡</t>
  </si>
  <si>
    <t>Gŭduī Xiāng</t>
  </si>
  <si>
    <t>古堆乡</t>
  </si>
  <si>
    <t>Jiāchá Zhèn</t>
  </si>
  <si>
    <t>加查镇</t>
  </si>
  <si>
    <t>Jiāmá Xiāng</t>
  </si>
  <si>
    <t>加麻乡</t>
  </si>
  <si>
    <t>Qióngjié Xiàn</t>
  </si>
  <si>
    <t>Jiāngtáng Zhèn</t>
  </si>
  <si>
    <t>江塘镇</t>
  </si>
  <si>
    <t>Jiāyù Xiāng</t>
  </si>
  <si>
    <t>加玉乡</t>
  </si>
  <si>
    <t>Jiăzhúlín Zhèn</t>
  </si>
  <si>
    <t>甲竹林镇</t>
  </si>
  <si>
    <t>Jíbāménbā Mínzú Xiāng</t>
  </si>
  <si>
    <t>吉巴门巴民族乡</t>
  </si>
  <si>
    <t>Jiébā Xiāng</t>
  </si>
  <si>
    <t>结巴乡</t>
  </si>
  <si>
    <t>Jiédéxiù Zhèn</t>
  </si>
  <si>
    <t>杰德秀镇</t>
  </si>
  <si>
    <t>Jíxióng Zhèn</t>
  </si>
  <si>
    <t>吉雄镇</t>
  </si>
  <si>
    <t>Juélā Xiāng</t>
  </si>
  <si>
    <t>觉拉乡</t>
  </si>
  <si>
    <t>Kădá Xiāng</t>
  </si>
  <si>
    <t>卡达乡</t>
  </si>
  <si>
    <t>Kălóng Xiāng</t>
  </si>
  <si>
    <t>卡龙乡</t>
  </si>
  <si>
    <t>Kărè Xiāng</t>
  </si>
  <si>
    <t>卡热乡</t>
  </si>
  <si>
    <t>Kùjú Xiāng</t>
  </si>
  <si>
    <t>库局乡</t>
  </si>
  <si>
    <t>Lājiāo Xiāng</t>
  </si>
  <si>
    <t>拉郊乡</t>
  </si>
  <si>
    <t>Lākāng Zhèn</t>
  </si>
  <si>
    <t>拉康镇</t>
  </si>
  <si>
    <t>Lăngjiéxué Xiāng</t>
  </si>
  <si>
    <t>朗杰学乡</t>
  </si>
  <si>
    <t>Làngkăzi Zhèn</t>
  </si>
  <si>
    <t>浪卡子镇</t>
  </si>
  <si>
    <t>Làngpō Xiāng</t>
  </si>
  <si>
    <t>浪坡乡</t>
  </si>
  <si>
    <t>Lāsuí Xiāng</t>
  </si>
  <si>
    <t>拉绥乡</t>
  </si>
  <si>
    <t>Lāyù Xiāng</t>
  </si>
  <si>
    <t>拉玉乡</t>
  </si>
  <si>
    <t>Lèménbā Mínzú Xiāng</t>
  </si>
  <si>
    <t>勒门巴民族乡</t>
  </si>
  <si>
    <t>Lĕngdá Xiāng</t>
  </si>
  <si>
    <t>冷达乡</t>
  </si>
  <si>
    <t>Lièmài Xiāng</t>
  </si>
  <si>
    <t>列麦乡</t>
  </si>
  <si>
    <t>Lóngzi Zhèn</t>
  </si>
  <si>
    <t>隆子镇</t>
  </si>
  <si>
    <t>Lúnbùxuě Xiāng [Gōngbùxué Xiāng]</t>
  </si>
  <si>
    <t>伦布雪乡</t>
  </si>
  <si>
    <t>Luóbùshā Zhèn</t>
  </si>
  <si>
    <t>罗布沙镇</t>
  </si>
  <si>
    <t>Luòlín Xiāng</t>
  </si>
  <si>
    <t>洛林乡</t>
  </si>
  <si>
    <t>Luòzhā Zhèn</t>
  </si>
  <si>
    <t>洛扎镇</t>
  </si>
  <si>
    <t>Mámáménbā Mínzú Xiāng</t>
  </si>
  <si>
    <t>麻麻门巴民族乡</t>
  </si>
  <si>
    <t>Năixī Xiāng</t>
  </si>
  <si>
    <t>乃西乡</t>
  </si>
  <si>
    <t>Pōzhāng Xiāng</t>
  </si>
  <si>
    <t>颇章乡</t>
  </si>
  <si>
    <t>Pŭmăjiāngtáng Xiāng</t>
  </si>
  <si>
    <t>普玛江塘乡</t>
  </si>
  <si>
    <t>Qióngjié Zhèn</t>
  </si>
  <si>
    <t>琼结镇</t>
  </si>
  <si>
    <t>Qiūduōjiāng Xiāng</t>
  </si>
  <si>
    <t>邱多江乡</t>
  </si>
  <si>
    <t>Qŭsōng Zhèn</t>
  </si>
  <si>
    <t>曲松镇</t>
  </si>
  <si>
    <t>Qŭzhuómù Xiāng</t>
  </si>
  <si>
    <t>曲卓木乡</t>
  </si>
  <si>
    <t>Rèróng Xiāng</t>
  </si>
  <si>
    <t>热荣乡</t>
  </si>
  <si>
    <t>Rìdāng Zhèn</t>
  </si>
  <si>
    <t>日当镇</t>
  </si>
  <si>
    <t>Róng Xiāng</t>
  </si>
  <si>
    <t>绒乡</t>
  </si>
  <si>
    <t>Sān'ānqŭlín Xiāng</t>
  </si>
  <si>
    <t>三安曲林乡</t>
  </si>
  <si>
    <t>Sāngrì Zhèn</t>
  </si>
  <si>
    <t>桑日镇</t>
  </si>
  <si>
    <t>Sāngyē Zhèn</t>
  </si>
  <si>
    <t>桑耶镇</t>
  </si>
  <si>
    <t>Sè Xiāng</t>
  </si>
  <si>
    <t>色乡</t>
  </si>
  <si>
    <t>Shēnggé Xiāng</t>
  </si>
  <si>
    <t>生格乡</t>
  </si>
  <si>
    <t>Suŏzhū Xiāng</t>
  </si>
  <si>
    <t>索珠乡</t>
  </si>
  <si>
    <t>Xiàjiāng Xiāng</t>
  </si>
  <si>
    <t>下江乡</t>
  </si>
  <si>
    <t>Xiàshuĭ Xiāng</t>
  </si>
  <si>
    <t>下水乡</t>
  </si>
  <si>
    <t>Xuĕsà Xiāng</t>
  </si>
  <si>
    <t>雪萨乡</t>
  </si>
  <si>
    <t>Yàduī Xiāng</t>
  </si>
  <si>
    <t>亚堆乡</t>
  </si>
  <si>
    <t>Yùmài Xiāng</t>
  </si>
  <si>
    <t>玉麦乡</t>
  </si>
  <si>
    <t>Zédāng Jiēdào</t>
  </si>
  <si>
    <t>泽当街道</t>
  </si>
  <si>
    <t>Zēngqī Xiāng</t>
  </si>
  <si>
    <t>增期乡</t>
  </si>
  <si>
    <t>Zhāngdá Xiāng</t>
  </si>
  <si>
    <t>张达乡</t>
  </si>
  <si>
    <t>Zhāqí Xiāng</t>
  </si>
  <si>
    <t>扎其乡</t>
  </si>
  <si>
    <t>Zhārì Xiāng</t>
  </si>
  <si>
    <t>扎日乡</t>
  </si>
  <si>
    <t>Zhātáng Zhèn</t>
  </si>
  <si>
    <t>扎塘镇</t>
  </si>
  <si>
    <t>Zhégŭ Zhèn</t>
  </si>
  <si>
    <t>哲古镇</t>
  </si>
  <si>
    <t>Zhŭnbā Xiāng</t>
  </si>
  <si>
    <t>准巴乡</t>
  </si>
  <si>
    <t>Prefecture</t>
  </si>
  <si>
    <t>阿里地区</t>
  </si>
  <si>
    <t>County</t>
  </si>
  <si>
    <t>措勤县</t>
  </si>
  <si>
    <t>噶尔县</t>
  </si>
  <si>
    <t>改则县</t>
  </si>
  <si>
    <t>革吉县</t>
  </si>
  <si>
    <t>普兰县</t>
  </si>
  <si>
    <t>日土县</t>
  </si>
  <si>
    <t>札达县</t>
  </si>
  <si>
    <t>Prefecture-level City</t>
  </si>
  <si>
    <t>昌都市</t>
  </si>
  <si>
    <t>八宿县</t>
  </si>
  <si>
    <t>边坝县</t>
  </si>
  <si>
    <t>察雅县</t>
  </si>
  <si>
    <t>丁青县</t>
  </si>
  <si>
    <t>贡觉县</t>
  </si>
  <si>
    <t>江达县</t>
  </si>
  <si>
    <t>District</t>
  </si>
  <si>
    <t>卡若区</t>
  </si>
  <si>
    <t>类乌齐县</t>
  </si>
  <si>
    <t>洛隆县</t>
  </si>
  <si>
    <t>芒康县</t>
  </si>
  <si>
    <t>左贡县</t>
  </si>
  <si>
    <t>拉萨市</t>
  </si>
  <si>
    <t>城关区</t>
  </si>
  <si>
    <t>当雄县</t>
  </si>
  <si>
    <t>达孜区</t>
  </si>
  <si>
    <t>堆龙德庆区</t>
  </si>
  <si>
    <t>林周县</t>
  </si>
  <si>
    <t>墨竹工卡县</t>
  </si>
  <si>
    <t>尼木县</t>
  </si>
  <si>
    <t>曲水县</t>
  </si>
  <si>
    <t>林芝市</t>
  </si>
  <si>
    <t>巴宜区</t>
  </si>
  <si>
    <t>波密县</t>
  </si>
  <si>
    <t>察隅县</t>
  </si>
  <si>
    <t>工布江达县</t>
  </si>
  <si>
    <t>朗县</t>
  </si>
  <si>
    <t>米林县</t>
  </si>
  <si>
    <t>墨脱县</t>
  </si>
  <si>
    <t>那曲市</t>
  </si>
  <si>
    <t>安多县</t>
  </si>
  <si>
    <t>班戈县</t>
  </si>
  <si>
    <t>巴青县</t>
  </si>
  <si>
    <t>比如县</t>
  </si>
  <si>
    <t>嘉黎县</t>
  </si>
  <si>
    <t>聂荣县</t>
  </si>
  <si>
    <t>尼玛县</t>
  </si>
  <si>
    <t>...</t>
  </si>
  <si>
    <t>色尼区</t>
  </si>
  <si>
    <t>申扎县</t>
  </si>
  <si>
    <t>双湖县</t>
  </si>
  <si>
    <t>索县</t>
  </si>
  <si>
    <t>日喀则市</t>
  </si>
  <si>
    <t>昂仁县</t>
  </si>
  <si>
    <t>白朗县</t>
  </si>
  <si>
    <t>定结县</t>
  </si>
  <si>
    <t>定日县</t>
  </si>
  <si>
    <t>岗巴县</t>
  </si>
  <si>
    <t>江孜县</t>
  </si>
  <si>
    <t>吉隆县</t>
  </si>
  <si>
    <t>康马县</t>
  </si>
  <si>
    <t>拉孜县</t>
  </si>
  <si>
    <t>南木林县</t>
  </si>
  <si>
    <t>聂拉木县</t>
  </si>
  <si>
    <t>仁布县</t>
  </si>
  <si>
    <t>萨嘎县</t>
  </si>
  <si>
    <t>萨迦县</t>
  </si>
  <si>
    <t>桑珠孜区</t>
  </si>
  <si>
    <t>谢通门县</t>
  </si>
  <si>
    <t>亚东县</t>
  </si>
  <si>
    <t>仲巴县</t>
  </si>
  <si>
    <t>山南市</t>
  </si>
  <si>
    <t>措美县</t>
  </si>
  <si>
    <t>错那县</t>
  </si>
  <si>
    <t>贡嘎县</t>
  </si>
  <si>
    <t>加查县</t>
  </si>
  <si>
    <t>浪卡子县</t>
  </si>
  <si>
    <t>隆子县</t>
  </si>
  <si>
    <t>洛扎县</t>
  </si>
  <si>
    <t>乃东区</t>
  </si>
  <si>
    <t>琼结县</t>
  </si>
  <si>
    <t>曲松县</t>
  </si>
  <si>
    <t>桑日县</t>
  </si>
  <si>
    <t>扎囊县</t>
  </si>
  <si>
    <t>Autonomous Region</t>
  </si>
  <si>
    <t>西藏自治区</t>
  </si>
  <si>
    <t>Population2</t>
  </si>
  <si>
    <t>Population3</t>
  </si>
  <si>
    <t>Ālĭ Dìqū</t>
  </si>
  <si>
    <t>Chāngdū Shì</t>
  </si>
  <si>
    <t>Lāsà Shì</t>
  </si>
  <si>
    <t>Línzhī Shì</t>
  </si>
  <si>
    <t>Nàqŭ Shì</t>
  </si>
  <si>
    <t>Rìkāzé Shì</t>
  </si>
  <si>
    <t>Shānnán Shì</t>
  </si>
  <si>
    <t>Xīzàng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</si>
  <si>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</si>
  <si>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</si>
  <si>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</si>
  <si>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</si>
  <si>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</si>
  <si>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</si>
  <si>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</si>
  <si>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</si>
  <si>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</si>
  <si>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</si>
  <si>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</si>
  <si>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</si>
  <si>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</si>
  <si>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</si>
  <si>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</si>
  <si>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Cuòqín</t>
  </si>
  <si>
    <t>Găizé</t>
  </si>
  <si>
    <t>Géjí</t>
  </si>
  <si>
    <t>Pŭlán</t>
  </si>
  <si>
    <t>Rìtŭ</t>
  </si>
  <si>
    <t>Shīquánhé</t>
  </si>
  <si>
    <t>Tuōlín</t>
  </si>
  <si>
    <t>Báimă</t>
  </si>
  <si>
    <t>Bāngdá</t>
  </si>
  <si>
    <t>Biānbà</t>
  </si>
  <si>
    <t>Căokă</t>
  </si>
  <si>
    <t>Chéngguān</t>
  </si>
  <si>
    <t>Chĭdú</t>
  </si>
  <si>
    <t>Dīngqīng</t>
  </si>
  <si>
    <t>Éluò</t>
  </si>
  <si>
    <t>Găngtuō</t>
  </si>
  <si>
    <t>Gātuō</t>
  </si>
  <si>
    <t>Jiāngdá</t>
  </si>
  <si>
    <t>Jítáng</t>
  </si>
  <si>
    <t>Kāngshā</t>
  </si>
  <si>
    <t>Kăruò</t>
  </si>
  <si>
    <t>Lèiwūqí</t>
  </si>
  <si>
    <t>Mălì</t>
  </si>
  <si>
    <t>Mòluò</t>
  </si>
  <si>
    <t>Ránwū</t>
  </si>
  <si>
    <t>Rúmĕi</t>
  </si>
  <si>
    <t>Sāngduō</t>
  </si>
  <si>
    <t>Shuòdū</t>
  </si>
  <si>
    <t>Tiántuŏ</t>
  </si>
  <si>
    <t>Tóngkă</t>
  </si>
  <si>
    <t>Wàngdá</t>
  </si>
  <si>
    <t>Xiāngduī</t>
  </si>
  <si>
    <t>Yānduō</t>
  </si>
  <si>
    <t>Zhāyù</t>
  </si>
  <si>
    <t>Zītuō</t>
  </si>
  <si>
    <t>Dágā</t>
  </si>
  <si>
    <t>Dāngqŭkă</t>
  </si>
  <si>
    <t>Gāndānqŭguŏ</t>
  </si>
  <si>
    <t>Gōngkă</t>
  </si>
  <si>
    <t>Gŭróng</t>
  </si>
  <si>
    <t>Mă</t>
  </si>
  <si>
    <t>Qŭshuĭ</t>
  </si>
  <si>
    <t>Tăróng</t>
  </si>
  <si>
    <t>Tūnbā</t>
  </si>
  <si>
    <t>Yángbājĭng</t>
  </si>
  <si>
    <t>Bāhé</t>
  </si>
  <si>
    <t>Băibā</t>
  </si>
  <si>
    <t>Bāyī</t>
  </si>
  <si>
    <t>Dònggā</t>
  </si>
  <si>
    <t>Gōngbùjiāngdá</t>
  </si>
  <si>
    <t>Jīndá</t>
  </si>
  <si>
    <t>Lăng</t>
  </si>
  <si>
    <t>Línzhī</t>
  </si>
  <si>
    <t>Lŭlăng</t>
  </si>
  <si>
    <t>Mĭlín</t>
  </si>
  <si>
    <t>Mòtuō</t>
  </si>
  <si>
    <t>Pài</t>
  </si>
  <si>
    <t>Qīngduō</t>
  </si>
  <si>
    <t>Shàngcháyú</t>
  </si>
  <si>
    <t>Sōngzōng</t>
  </si>
  <si>
    <t>Wòlóng</t>
  </si>
  <si>
    <t>Xiàcháyú</t>
  </si>
  <si>
    <t>Zhāmù</t>
  </si>
  <si>
    <t>Zhòngdá</t>
  </si>
  <si>
    <t>Zhúwăgēn</t>
  </si>
  <si>
    <t>Āzhā</t>
  </si>
  <si>
    <t>Bĕilā</t>
  </si>
  <si>
    <t>Bĭrú</t>
  </si>
  <si>
    <t>Cuòzhéluómă</t>
  </si>
  <si>
    <t>Gŭlù</t>
  </si>
  <si>
    <t>Jiālí</t>
  </si>
  <si>
    <t>Jiāqióng</t>
  </si>
  <si>
    <t>Lāxī</t>
  </si>
  <si>
    <t>Luómă</t>
  </si>
  <si>
    <t>Nàqŭ</t>
  </si>
  <si>
    <t>Nièróng</t>
  </si>
  <si>
    <t>Nímă</t>
  </si>
  <si>
    <t>Pànèi</t>
  </si>
  <si>
    <t>Pŭbăo</t>
  </si>
  <si>
    <t>Qiángmă</t>
  </si>
  <si>
    <t>Róngbù</t>
  </si>
  <si>
    <t>Shēnzhā</t>
  </si>
  <si>
    <t>Xiàqŭ</t>
  </si>
  <si>
    <t>Xióngméi</t>
  </si>
  <si>
    <t>Yă'ān</t>
  </si>
  <si>
    <t>Yàlā</t>
  </si>
  <si>
    <t>Yànshípíng</t>
  </si>
  <si>
    <t>Zásè</t>
  </si>
  <si>
    <t>Zhārén</t>
  </si>
  <si>
    <t>Chéntáng</t>
  </si>
  <si>
    <t>Déjílín</t>
  </si>
  <si>
    <t>Gādōng</t>
  </si>
  <si>
    <t>Găngbā</t>
  </si>
  <si>
    <t>Gănggā</t>
  </si>
  <si>
    <t>Jiājiā</t>
  </si>
  <si>
    <t>Jiānggā</t>
  </si>
  <si>
    <t>Jiāngzī</t>
  </si>
  <si>
    <t>Jídìng</t>
  </si>
  <si>
    <t>Jílóng</t>
  </si>
  <si>
    <t>Kāngmă</t>
  </si>
  <si>
    <t>Lāzī</t>
  </si>
  <si>
    <t>Luòjiāng</t>
  </si>
  <si>
    <t>Nánmùlín</t>
  </si>
  <si>
    <t>Nièlāmù</t>
  </si>
  <si>
    <t>Pàlĭ</t>
  </si>
  <si>
    <t>Pàyáng</t>
  </si>
  <si>
    <t>Qŭxià</t>
  </si>
  <si>
    <t>Rìwū</t>
  </si>
  <si>
    <t>Sàjiā</t>
  </si>
  <si>
    <t>Sāngsāng</t>
  </si>
  <si>
    <t>Xiàsīmă</t>
  </si>
  <si>
    <t>Xiégé'ĕr</t>
  </si>
  <si>
    <t>Zhāngmù</t>
  </si>
  <si>
    <t>Zōnggā</t>
  </si>
  <si>
    <t>Ānrăo</t>
  </si>
  <si>
    <t>Chāngzhū</t>
  </si>
  <si>
    <t>Cuòmĕi</t>
  </si>
  <si>
    <t>Cuònèi</t>
  </si>
  <si>
    <t>Dălóng</t>
  </si>
  <si>
    <t>Găngduī</t>
  </si>
  <si>
    <t>Jiāchá</t>
  </si>
  <si>
    <t>Jiāngtáng</t>
  </si>
  <si>
    <t>Jiăzhúlín</t>
  </si>
  <si>
    <t>Jiédéxiù</t>
  </si>
  <si>
    <t>Jíxióng</t>
  </si>
  <si>
    <t>Lākāng</t>
  </si>
  <si>
    <t>Làngkăzi</t>
  </si>
  <si>
    <t>Lóngzi</t>
  </si>
  <si>
    <t>Luóbùshā</t>
  </si>
  <si>
    <t>Luòzhā</t>
  </si>
  <si>
    <t>Qióngjié</t>
  </si>
  <si>
    <t>Qŭsōng</t>
  </si>
  <si>
    <t>Rìdāng</t>
  </si>
  <si>
    <t>Sāngrì</t>
  </si>
  <si>
    <t>Sāngyē</t>
  </si>
  <si>
    <t>Zhātáng</t>
  </si>
  <si>
    <t>Zhégŭ</t>
  </si>
  <si>
    <t>Shānnán</t>
  </si>
  <si>
    <t>Lāsà</t>
  </si>
  <si>
    <t>Rìkāzé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</si>
  <si>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</si>
  <si>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</si>
  <si>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</si>
  <si>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</si>
  <si>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</si>
  <si>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Aima Xiang</t>
  </si>
  <si>
    <t>Aixi Xiang</t>
  </si>
  <si>
    <t>Alang Xiang</t>
  </si>
  <si>
    <t>Amuxiong Xiang</t>
  </si>
  <si>
    <t>Angduo Xiang</t>
  </si>
  <si>
    <t>Anrao Zhen</t>
  </si>
  <si>
    <t>Asuo Xiang</t>
  </si>
  <si>
    <t>Awang Xiang</t>
  </si>
  <si>
    <t>Axiu Xiang</t>
  </si>
  <si>
    <t>Azha Xiang (Zhanang Xian)</t>
  </si>
  <si>
    <t>Azha Xiang (Langkazi Xian)</t>
  </si>
  <si>
    <t>Azha Zhen</t>
  </si>
  <si>
    <t>Azi Xiang</t>
  </si>
  <si>
    <t>Ba Xiang</t>
  </si>
  <si>
    <t>Bada Xiang</t>
  </si>
  <si>
    <t>Baga Xiang</t>
  </si>
  <si>
    <t>Bagai Xiang</t>
  </si>
  <si>
    <t>Bahe Zhen</t>
  </si>
  <si>
    <t>Baiba Zhen</t>
  </si>
  <si>
    <t>Baida Xiang</t>
  </si>
  <si>
    <t>Baidi Xiang</t>
  </si>
  <si>
    <t>Baidui Xiang</t>
  </si>
  <si>
    <t>Baiga Xiang</t>
  </si>
  <si>
    <t>Baima Zhen</t>
  </si>
  <si>
    <t>Baixiong Xiang</t>
  </si>
  <si>
    <t>Bakuo Jiedao [incl. Chongsaikang Jiedao]</t>
  </si>
  <si>
    <t>Baling Xiang</t>
  </si>
  <si>
    <t>Bangai Xiang</t>
  </si>
  <si>
    <t>Bangda Xiang</t>
  </si>
  <si>
    <t>Bangda Zhen</t>
  </si>
  <si>
    <t>Bangdui Xiang</t>
  </si>
  <si>
    <t>Bangxin Xiang</t>
  </si>
  <si>
    <t>Baoji Xiang</t>
  </si>
  <si>
    <t>Baqing Xiang</t>
  </si>
  <si>
    <t>Bari Xiang</t>
  </si>
  <si>
    <t>Bayi Zhen [incl. Baimagang Jiedao, Juemu Jiedao]</t>
  </si>
  <si>
    <t>Bazha Xiang (Naqu Shi)</t>
  </si>
  <si>
    <t>Bazha Xiang (Rikaze Shi)</t>
  </si>
  <si>
    <t>Beibeng Xiang</t>
  </si>
  <si>
    <t>Beila Zhen</t>
  </si>
  <si>
    <t>Benta Xiang</t>
  </si>
  <si>
    <t>Bianba Xiang</t>
  </si>
  <si>
    <t>Bianba Zhen</t>
  </si>
  <si>
    <t>Bianjiaolin Xiang</t>
  </si>
  <si>
    <t>Bianxiong Xiang</t>
  </si>
  <si>
    <t>Binda Xiang</t>
  </si>
  <si>
    <t>Biru Zhen</t>
  </si>
  <si>
    <t>Bitu Xiang</t>
  </si>
  <si>
    <t>Boluo Xiang</t>
  </si>
  <si>
    <t>Borong Xiang</t>
  </si>
  <si>
    <t>Buduo Xiang</t>
  </si>
  <si>
    <t>Bujiu Xiang</t>
  </si>
  <si>
    <t>Buta Xiang</t>
  </si>
  <si>
    <t>Caigongtang Jiedao</t>
  </si>
  <si>
    <t>Caina Xiang</t>
  </si>
  <si>
    <t>Caoka Zhen</t>
  </si>
  <si>
    <t>Chaba Xiang</t>
  </si>
  <si>
    <t>Chabala Xiang</t>
  </si>
  <si>
    <t>Chabu Xiang (Ali Diqu)</t>
  </si>
  <si>
    <t>Chabu Xiang (Rikaze Shi)</t>
  </si>
  <si>
    <t>Chadang Xiang [in: Qinghai (partly)]</t>
  </si>
  <si>
    <t>Chaer Xiang</t>
  </si>
  <si>
    <t>Chaiwei Xiang</t>
  </si>
  <si>
    <t>Chala Xiang</t>
  </si>
  <si>
    <t>Chanei Xiang</t>
  </si>
  <si>
    <t>Changguo Xiang (Rikaze Shi)</t>
  </si>
  <si>
    <t>Changguo Xiang (Shannan Shi)</t>
  </si>
  <si>
    <t>Changlong Xiang</t>
  </si>
  <si>
    <t>Changmaoling Xiang</t>
  </si>
  <si>
    <t>Changsuo Xiang</t>
  </si>
  <si>
    <t>Changzhu Zhen</t>
  </si>
  <si>
    <t>Chaqu Xiang</t>
  </si>
  <si>
    <t>Charong Xiang</t>
  </si>
  <si>
    <t>Chawalong Xiang</t>
  </si>
  <si>
    <t>Chawu Xiang</t>
  </si>
  <si>
    <t>Chazi Xiang</t>
  </si>
  <si>
    <t>Chengbei Jiedao</t>
  </si>
  <si>
    <t>Chengguan Zhen</t>
  </si>
  <si>
    <t>Chengnan Jiedao</t>
  </si>
  <si>
    <t>Chentang Zhen</t>
  </si>
  <si>
    <t>Cheren Xiang</t>
  </si>
  <si>
    <t>Chexiu Xiang</t>
  </si>
  <si>
    <t>Chidu Zhen</t>
  </si>
  <si>
    <t>Chiduo Xiang</t>
  </si>
  <si>
    <t>Chongzi Xiang</t>
  </si>
  <si>
    <t>Chundui Xiang</t>
  </si>
  <si>
    <t>Chunzhe Xiang</t>
  </si>
  <si>
    <t>Cishi Xiang</t>
  </si>
  <si>
    <t>Cuijiu Xiang</t>
  </si>
  <si>
    <t>Cuobuxi Xiang</t>
  </si>
  <si>
    <t>Cuoduo Xiang</t>
  </si>
  <si>
    <t>Cuogao Xiang</t>
  </si>
  <si>
    <t>Cuoguo Xiang</t>
  </si>
  <si>
    <t>Cuoma Xiang</t>
  </si>
  <si>
    <t>Cuomai Xiang</t>
  </si>
  <si>
    <t>Cuomei Zhen</t>
  </si>
  <si>
    <t>Cuonei Zhen</t>
  </si>
  <si>
    <t>Cuoqin Zhen</t>
  </si>
  <si>
    <t>Cuowa Xiang</t>
  </si>
  <si>
    <t>Cuozheluoma Zhen</t>
  </si>
  <si>
    <t>Cuozheqiangma Xiang</t>
  </si>
  <si>
    <t>Daba Xiang</t>
  </si>
  <si>
    <t>Daga Zhen</t>
  </si>
  <si>
    <t>Daguo Xiang</t>
  </si>
  <si>
    <t>Dajiling Xiang</t>
  </si>
  <si>
    <t>Daju Xiang</t>
  </si>
  <si>
    <t>Dalong Xiang</t>
  </si>
  <si>
    <t>Dalong Zhen</t>
  </si>
  <si>
    <t>Damuluoba Minzu Xiang</t>
  </si>
  <si>
    <t>Damuxia Xiang</t>
  </si>
  <si>
    <t>Danada Xiang</t>
  </si>
  <si>
    <t>Danapu Xiang</t>
  </si>
  <si>
    <t>Danei Xiang</t>
  </si>
  <si>
    <t>Danga Xiang</t>
  </si>
  <si>
    <t>Dangdui Xiang</t>
  </si>
  <si>
    <t>Dangmujiang Xiang [in: Qinghai (partly)]</t>
  </si>
  <si>
    <t>Dangquka Zhen</t>
  </si>
  <si>
    <t>Danniang Xiang</t>
  </si>
  <si>
    <t>Daqian Xiang</t>
  </si>
  <si>
    <t>Daruo Xiang</t>
  </si>
  <si>
    <t>Dasa Xiang</t>
  </si>
  <si>
    <t>Datang Xiang</t>
  </si>
  <si>
    <t>Daxiong Xiang</t>
  </si>
  <si>
    <t>Dazi Xiang (Nanmulin Xian)</t>
  </si>
  <si>
    <t>Dazi Xiang (Jiangzi Xian)</t>
  </si>
  <si>
    <t>Dedeng Xiang</t>
  </si>
  <si>
    <t>Dejilin Zhen</t>
  </si>
  <si>
    <t>Dengke Xiang</t>
  </si>
  <si>
    <t>Dengmu Xiang</t>
  </si>
  <si>
    <t>Deqing Zhen (Duilongdeqing Qu)</t>
  </si>
  <si>
    <t>Deqing Zhen (Dazi Qu)</t>
  </si>
  <si>
    <t>Deqing Zhen (Naqu Shi)</t>
  </si>
  <si>
    <t>Dexing Xiang</t>
  </si>
  <si>
    <t>Dingjie Xiang</t>
  </si>
  <si>
    <t>Dingqing Zhen</t>
  </si>
  <si>
    <t>Diya Xiang</t>
  </si>
  <si>
    <t>Dongba Xiang</t>
  </si>
  <si>
    <t>Dongcuo Xiang</t>
  </si>
  <si>
    <t>Dongga Jiedao</t>
  </si>
  <si>
    <t>Dongga Xiang</t>
  </si>
  <si>
    <t>Dongga Zhen</t>
  </si>
  <si>
    <t>Dongla Xiang</t>
  </si>
  <si>
    <t>Dongru Xiang</t>
  </si>
  <si>
    <t>Dongxi Xiang</t>
  </si>
  <si>
    <t>Douyuluoba Minzu Xiang</t>
  </si>
  <si>
    <t>Duina Xiang</t>
  </si>
  <si>
    <t>Duisui Xiang</t>
  </si>
  <si>
    <t>Duobai Xiang</t>
  </si>
  <si>
    <t>Duobuzha Xiang</t>
  </si>
  <si>
    <t>Duodi Jiedao</t>
  </si>
  <si>
    <t>Duoji Xiang</t>
  </si>
  <si>
    <t>Duojiao Xiang</t>
  </si>
  <si>
    <t>Duoma Xiang (Ali Diqu)</t>
  </si>
  <si>
    <t>Duoma Xiang (Naqu Shi)</t>
  </si>
  <si>
    <t>Duoma Xiang [in: Qinghai]</t>
  </si>
  <si>
    <t>Duopozhang Xiang</t>
  </si>
  <si>
    <t>Duoque Xiang</t>
  </si>
  <si>
    <t>Duqiong Xiang</t>
  </si>
  <si>
    <t>Duwa Xiang</t>
  </si>
  <si>
    <t>Ejiu Xiang</t>
  </si>
  <si>
    <t>Eluo Zhen</t>
  </si>
  <si>
    <t>Exi Xiang</t>
  </si>
  <si>
    <t>Gacuo Xiang</t>
  </si>
  <si>
    <t>Gadong Zhen</t>
  </si>
  <si>
    <t>Gaize Zhen</t>
  </si>
  <si>
    <t>Gala Xiang</t>
  </si>
  <si>
    <t>Gama Xiang</t>
  </si>
  <si>
    <t>Gamagongsang Jiedao</t>
  </si>
  <si>
    <t>Gamei Xiang</t>
  </si>
  <si>
    <t>Gamu Xiang</t>
  </si>
  <si>
    <t>Gandanquguo Zhen</t>
  </si>
  <si>
    <t>Gandeng Xiang</t>
  </si>
  <si>
    <t>Gangba Zhen</t>
  </si>
  <si>
    <t>Gangdui Zhen</t>
  </si>
  <si>
    <t>Gangga Zhen</t>
  </si>
  <si>
    <t>Gangni Xiang [in: Qinghai (partly)]</t>
  </si>
  <si>
    <t>Gangqie Xiang</t>
  </si>
  <si>
    <t>Gangse Xiang</t>
  </si>
  <si>
    <t>Gangtuo Zhen</t>
  </si>
  <si>
    <t>Ganyan Xiang</t>
  </si>
  <si>
    <t>Gapu Xiang</t>
  </si>
  <si>
    <t>Gata Xiang</t>
  </si>
  <si>
    <t>Gatuo Zhen</t>
  </si>
  <si>
    <t>Gebo Xiang</t>
  </si>
  <si>
    <t>Geda Xiang</t>
  </si>
  <si>
    <t>Gedang Xiang</t>
  </si>
  <si>
    <t>Geji Zhen</t>
  </si>
  <si>
    <t>Gengzhangmenba Minzu Xiang</t>
  </si>
  <si>
    <t>Gequn Xiang</t>
  </si>
  <si>
    <t>Gongbujiangda Zhen</t>
  </si>
  <si>
    <t>Gongdang Xiang</t>
  </si>
  <si>
    <t>Gongdelin Jiedao</t>
  </si>
  <si>
    <t>Gongjiubu Xiang</t>
  </si>
  <si>
    <t>Gongka Zhen</t>
  </si>
  <si>
    <t>Gongri Xiang</t>
  </si>
  <si>
    <t>Gongrimenba Minzu Xiang</t>
  </si>
  <si>
    <t>Gongtang Xiang</t>
  </si>
  <si>
    <t>Gu Xiang</t>
  </si>
  <si>
    <t>Gudui Xiang</t>
  </si>
  <si>
    <t>Gula Xiang</t>
  </si>
  <si>
    <t>Gulu Zhen</t>
  </si>
  <si>
    <t>Gumu Xiang</t>
  </si>
  <si>
    <t>Guojia Xiang</t>
  </si>
  <si>
    <t>Guoqing Xiang</t>
  </si>
  <si>
    <t>Gurong Zhen</t>
  </si>
  <si>
    <t>Guyu Xiang</t>
  </si>
  <si>
    <t>Hajia Xiang</t>
  </si>
  <si>
    <t>Huo'er Xiang</t>
  </si>
  <si>
    <t>Huo'erba Xiang</t>
  </si>
  <si>
    <t>Jiacha Zhen</t>
  </si>
  <si>
    <t>Jiacuo Xiang</t>
  </si>
  <si>
    <t>Jiacuoxiong Xiang</t>
  </si>
  <si>
    <t>Jiagong Xiang</t>
  </si>
  <si>
    <t>Jiagu Xiang</t>
  </si>
  <si>
    <t>Jiajia Zhen</t>
  </si>
  <si>
    <t>Jiakexi Xiang</t>
  </si>
  <si>
    <t>Jiali Zhen</t>
  </si>
  <si>
    <t>Jiama Xiang</t>
  </si>
  <si>
    <t>Jiangda Xiang (Linzhi Shi)</t>
  </si>
  <si>
    <t>Jiangda Xiang (Naqu Shi)</t>
  </si>
  <si>
    <t>Jiangda Zhen</t>
  </si>
  <si>
    <t>Jiangdang Xiang</t>
  </si>
  <si>
    <t>Jiangga Zhen</t>
  </si>
  <si>
    <t>Jiangmian Xiang</t>
  </si>
  <si>
    <t>Jiangrang Xiang</t>
  </si>
  <si>
    <t>Jiangre Xiang</t>
  </si>
  <si>
    <t>Jiangrexia Xiang</t>
  </si>
  <si>
    <t>Jiangtang Zhen</t>
  </si>
  <si>
    <t>Jiangzi Zhen</t>
  </si>
  <si>
    <t>Jiaqin Xiang</t>
  </si>
  <si>
    <t>Jiaqiong Zhen</t>
  </si>
  <si>
    <t>Jiaresa Xiang</t>
  </si>
  <si>
    <t>Jiasangka Xiang</t>
  </si>
  <si>
    <t>Jiaxing Xiang</t>
  </si>
  <si>
    <t>Jiayu Xiang</t>
  </si>
  <si>
    <t>Jiazhulin Zhen</t>
  </si>
  <si>
    <t>Jibamenba Minzu Xiang</t>
  </si>
  <si>
    <t>Jibenggang Jiedao</t>
  </si>
  <si>
    <t>Jida Xiang</t>
  </si>
  <si>
    <t>Jiding Zhen</t>
  </si>
  <si>
    <t>Jiduo Xiang</t>
  </si>
  <si>
    <t>Jieba Xiang</t>
  </si>
  <si>
    <t>Jiedexiu Zhen</t>
  </si>
  <si>
    <t>Jila Xiang</t>
  </si>
  <si>
    <t>Jilong Zhen</t>
  </si>
  <si>
    <t>Jima Xiang</t>
  </si>
  <si>
    <t>Jinda Zhen</t>
  </si>
  <si>
    <t>Jindong Xiang</t>
  </si>
  <si>
    <t>Jinga Xiang</t>
  </si>
  <si>
    <t>Jinling Xiang</t>
  </si>
  <si>
    <t>Jiri Jiedao</t>
  </si>
  <si>
    <t>Jiru Xiang (Rikaze Shi)</t>
  </si>
  <si>
    <t>Jiru Xiang (Shannan Shi)</t>
  </si>
  <si>
    <t>Jitang Zhen</t>
  </si>
  <si>
    <t>Jiwa Xiang</t>
  </si>
  <si>
    <t>Jixiong Zhen</t>
  </si>
  <si>
    <t>Jizhong Xiang</t>
  </si>
  <si>
    <t>Jue'en Xiang</t>
  </si>
  <si>
    <t>Juela Xiang</t>
  </si>
  <si>
    <t>Juncang Xiang</t>
  </si>
  <si>
    <t>Ka Xiang [Qia Xiang]</t>
  </si>
  <si>
    <t>Kada Xiang</t>
  </si>
  <si>
    <t>Kadui Xiang</t>
  </si>
  <si>
    <t>Kaga Zhen (Angren Xian)</t>
  </si>
  <si>
    <t>Kaga Zhen (Xietongmen Xian)</t>
  </si>
  <si>
    <t>Kagong Xiang (Jiangda Xian)</t>
  </si>
  <si>
    <t>Kagong Xiang (Chaya Xian)</t>
  </si>
  <si>
    <t>Kalong Xiang</t>
  </si>
  <si>
    <t>Kamaduo Xiang</t>
  </si>
  <si>
    <t>Kamai Xiang</t>
  </si>
  <si>
    <t>Kangbu Xiang</t>
  </si>
  <si>
    <t>Kangma Zhen</t>
  </si>
  <si>
    <t>Kangru Xiang</t>
  </si>
  <si>
    <t>Kangsha Zhen</t>
  </si>
  <si>
    <t>Kangxiong Xiang</t>
  </si>
  <si>
    <t>Kangyu Xiang</t>
  </si>
  <si>
    <t>Kangzhuo Xiang</t>
  </si>
  <si>
    <t>Kare Xiang</t>
  </si>
  <si>
    <t>Karu Xiang</t>
  </si>
  <si>
    <t>Karuo Zhen</t>
  </si>
  <si>
    <t>Kawabaiqing Xiang</t>
  </si>
  <si>
    <t>Kazi Xiang (Lasa Shi)</t>
  </si>
  <si>
    <t>Kazi Xiang (Rikaze Shi)</t>
  </si>
  <si>
    <t>Kema Xiang</t>
  </si>
  <si>
    <t>Kentong Xiang</t>
  </si>
  <si>
    <t>Keri Xiang</t>
  </si>
  <si>
    <t>Konglong Xiang</t>
  </si>
  <si>
    <t>Kongma Xiang (Naqu Shi)</t>
  </si>
  <si>
    <t>Kongma Xiang (Rikaze Shi)</t>
  </si>
  <si>
    <t>Kuju Xiang</t>
  </si>
  <si>
    <t>Kunsha Xiang</t>
  </si>
  <si>
    <t>Kuoda Xiang</t>
  </si>
  <si>
    <t>Labupu Xiang</t>
  </si>
  <si>
    <t>Laduo Xiang (Changdu Shi)</t>
  </si>
  <si>
    <t>Laduo Xiang (Linzhi Shi)</t>
  </si>
  <si>
    <t>Lagen Xiang</t>
  </si>
  <si>
    <t>Laiduo Xiang</t>
  </si>
  <si>
    <t>Lajiao Xiang</t>
  </si>
  <si>
    <t>Lajiu Xiang</t>
  </si>
  <si>
    <t>Lakang Zhen</t>
  </si>
  <si>
    <t>Laluo Xiang</t>
  </si>
  <si>
    <t>Lang Zhen</t>
  </si>
  <si>
    <t>Langjiexue Xiang</t>
  </si>
  <si>
    <t>Langkazi Zhen</t>
  </si>
  <si>
    <t>Langpo Xiang</t>
  </si>
  <si>
    <t>Laomai Xiang</t>
  </si>
  <si>
    <t>Larang Xiang</t>
  </si>
  <si>
    <t>Lasui Xiang</t>
  </si>
  <si>
    <t>Latuo Xiang</t>
  </si>
  <si>
    <t>Laxi Zhen</t>
  </si>
  <si>
    <t>Layu Xiang</t>
  </si>
  <si>
    <t>Lazang Xiang</t>
  </si>
  <si>
    <t>Lazi Xiang</t>
  </si>
  <si>
    <t>Lazi Zhen</t>
  </si>
  <si>
    <t>Leiwuqi Zhen</t>
  </si>
  <si>
    <t>Lemenba Minzu Xiang</t>
  </si>
  <si>
    <t>Lengda Xiang</t>
  </si>
  <si>
    <t>Lian Xiang</t>
  </si>
  <si>
    <t>Liangdao Jiedao</t>
  </si>
  <si>
    <t>Liangqu Xiang</t>
  </si>
  <si>
    <t>Lieba Xiang</t>
  </si>
  <si>
    <t>Liemai Xiang</t>
  </si>
  <si>
    <t>Lilong Xiang</t>
  </si>
  <si>
    <t>Lindi Xiang</t>
  </si>
  <si>
    <t>Linka Xiang</t>
  </si>
  <si>
    <t>Linzhi Zhen</t>
  </si>
  <si>
    <t>Liu Xiang</t>
  </si>
  <si>
    <t>Liuwu Jiedao</t>
  </si>
  <si>
    <t>Longgaer Xiang</t>
  </si>
  <si>
    <t>Longma Xiang</t>
  </si>
  <si>
    <t>Longren Xiang</t>
  </si>
  <si>
    <t>Longzhong Xiang</t>
  </si>
  <si>
    <t>Longzi Zhen</t>
  </si>
  <si>
    <t>Lulang Zhen</t>
  </si>
  <si>
    <t>Lunbuxue Xiang [Gongbuxue Xiang]</t>
  </si>
  <si>
    <t>Luobusha Zhen</t>
  </si>
  <si>
    <t>Luojiang Zhen</t>
  </si>
  <si>
    <t>Luolin Xiang</t>
  </si>
  <si>
    <t>Luoma Zhen</t>
  </si>
  <si>
    <t>Luomai Xiang</t>
  </si>
  <si>
    <t>Luoni Xiang</t>
  </si>
  <si>
    <t>Luozha Zhen</t>
  </si>
  <si>
    <t>Ma Xiang</t>
  </si>
  <si>
    <t>Ma Zhen</t>
  </si>
  <si>
    <t>Mabujia Xiang</t>
  </si>
  <si>
    <t>Maiba Xiang</t>
  </si>
  <si>
    <t>Maidika Xiang [Cuola Xiang]</t>
  </si>
  <si>
    <t>Majiang Xiang</t>
  </si>
  <si>
    <t>Mali Zhen</t>
  </si>
  <si>
    <t>Mamamenba Minzu Xiang</t>
  </si>
  <si>
    <t>Mami Xiang</t>
  </si>
  <si>
    <t>Mangda Xiang</t>
  </si>
  <si>
    <t>Mangling Xiang</t>
  </si>
  <si>
    <t>Mangpu Xiang</t>
  </si>
  <si>
    <t>Mangre Xiang</t>
  </si>
  <si>
    <t>Maqian Xiang</t>
  </si>
  <si>
    <t>Maqu Xiang [in: Qinghai]</t>
  </si>
  <si>
    <t>Marong Xiang [in: Qinghai]</t>
  </si>
  <si>
    <t>Maru Xiang</t>
  </si>
  <si>
    <t>Mawu Xiang</t>
  </si>
  <si>
    <t>Maxiu Xiang</t>
  </si>
  <si>
    <t>Mayue Xiang</t>
  </si>
  <si>
    <t>Meibaqieqin Xiang</t>
  </si>
  <si>
    <t>Meiyu Xiang</t>
  </si>
  <si>
    <t>Menba Xiang</t>
  </si>
  <si>
    <t>Menbu Xiang</t>
  </si>
  <si>
    <t>Mendang Xiang</t>
  </si>
  <si>
    <t>Menshi Xiang</t>
  </si>
  <si>
    <t>Mianda Xiang</t>
  </si>
  <si>
    <t>Milin Zhen</t>
  </si>
  <si>
    <t>Mindu Xiang</t>
  </si>
  <si>
    <t>Mirui Xiang</t>
  </si>
  <si>
    <t>Moluo Zhen</t>
  </si>
  <si>
    <t>Motuo Zhen</t>
  </si>
  <si>
    <t>Mu Xiang</t>
  </si>
  <si>
    <t>Mula Xiang</t>
  </si>
  <si>
    <t>Muta Xiang</t>
  </si>
  <si>
    <t>Muxie Xiang</t>
  </si>
  <si>
    <t>Muxu Xiang</t>
  </si>
  <si>
    <t>Nadang Xiang</t>
  </si>
  <si>
    <t>Na'er Xiang</t>
  </si>
  <si>
    <t>Nailong Xiang</t>
  </si>
  <si>
    <t>Naiqiong Jiedao</t>
  </si>
  <si>
    <t>Naixi Xiang</t>
  </si>
  <si>
    <t>Najin Xiang</t>
  </si>
  <si>
    <t>Najiu Xiang</t>
  </si>
  <si>
    <t>Nameqie Xiang</t>
  </si>
  <si>
    <t>Namuhu Xiang</t>
  </si>
  <si>
    <t>Nanmu Xiang</t>
  </si>
  <si>
    <t>Nanmulin Zhen</t>
  </si>
  <si>
    <t>Nanmuqie Xiang</t>
  </si>
  <si>
    <t>Nanni Xiang</t>
  </si>
  <si>
    <t>Nanyiluoba Minzu Xiang</t>
  </si>
  <si>
    <t>Naqu Zhen</t>
  </si>
  <si>
    <t>Naru Xiang</t>
  </si>
  <si>
    <t>Naxi Minzu Xiang</t>
  </si>
  <si>
    <t>Niangpu Xiang</t>
  </si>
  <si>
    <t>Niangre Jiedao</t>
  </si>
  <si>
    <t>Niangre Xiang</t>
  </si>
  <si>
    <t>Niangxi Xiang</t>
  </si>
  <si>
    <t>Nianmu Xiang</t>
  </si>
  <si>
    <t>Nianxiong Xiang</t>
  </si>
  <si>
    <t>Niedang Xiang</t>
  </si>
  <si>
    <t>Nielamu Zhen</t>
  </si>
  <si>
    <t>Nierixiong Xiang</t>
  </si>
  <si>
    <t>Nierong Zhen</t>
  </si>
  <si>
    <t>Nierudui Xiang</t>
  </si>
  <si>
    <t>Nierumai Xiang</t>
  </si>
  <si>
    <t>Niguo Xiang</t>
  </si>
  <si>
    <t>Nima Xiang (Seni Qu)</t>
  </si>
  <si>
    <t>Nima Xiang (Nierong Xian)</t>
  </si>
  <si>
    <t>Nima Xiang (Bange Xian)</t>
  </si>
  <si>
    <t>Nima Zhen</t>
  </si>
  <si>
    <t>Nimajiangre Xiang</t>
  </si>
  <si>
    <t>Nimu Xiang (Changdu Shi)</t>
  </si>
  <si>
    <t>Nimu Xiang (Lasa Shi)</t>
  </si>
  <si>
    <t>Ningzhong Xiang</t>
  </si>
  <si>
    <t>Niwu Xiang [Zhongyu Xiang]</t>
  </si>
  <si>
    <t>Nixia Xiang</t>
  </si>
  <si>
    <t>Numa Xiang</t>
  </si>
  <si>
    <t>Padang Xiang</t>
  </si>
  <si>
    <t>Pagu Xiang</t>
  </si>
  <si>
    <t>Pai Zhen</t>
  </si>
  <si>
    <t>Pajiang Xiang</t>
  </si>
  <si>
    <t>Pali Zhen</t>
  </si>
  <si>
    <t>Panei Zhen</t>
  </si>
  <si>
    <t>Pangduo Xiang</t>
  </si>
  <si>
    <t>Payang Zhen</t>
  </si>
  <si>
    <t>Pengcuolin Xiang</t>
  </si>
  <si>
    <t>Penji Xiang</t>
  </si>
  <si>
    <t>Pianji Xiang</t>
  </si>
  <si>
    <t>Pozhang Xiang</t>
  </si>
  <si>
    <t>Pubao Zhen</t>
  </si>
  <si>
    <t>Pudang Xiang</t>
  </si>
  <si>
    <t>Pulan Zhen</t>
  </si>
  <si>
    <t>Pumajiangtang Xiang</t>
  </si>
  <si>
    <t>Pusong Xiang (Lasa Shi)</t>
  </si>
  <si>
    <t>Pusong Xiang (Rikaze Shi)</t>
  </si>
  <si>
    <t>Qiangdui Xiang</t>
  </si>
  <si>
    <t>Qiangga Xiang</t>
  </si>
  <si>
    <t>Qiangma Zhen</t>
  </si>
  <si>
    <t>Qiangna Xiang</t>
  </si>
  <si>
    <t>Qiaze Xiang</t>
  </si>
  <si>
    <t>Qieqiong Xiang</t>
  </si>
  <si>
    <t>Qiere Xiang</t>
  </si>
  <si>
    <t>Qiewa Xiang</t>
  </si>
  <si>
    <t>Qingdu Xiang</t>
  </si>
  <si>
    <t>Qingduo Zhen</t>
  </si>
  <si>
    <t>Qinglong Xiang</t>
  </si>
  <si>
    <t>Qingnidong Xiang</t>
  </si>
  <si>
    <t>Qiongguo Xiang</t>
  </si>
  <si>
    <t>Qiongjie Zhen</t>
  </si>
  <si>
    <t>Qiongzi Xiang</t>
  </si>
  <si>
    <t>Qiuduojiang Xiang</t>
  </si>
  <si>
    <t>Qiumu Xiang</t>
  </si>
  <si>
    <t>Qiuwo Xiang</t>
  </si>
  <si>
    <t>Qubuxiong Xiang</t>
  </si>
  <si>
    <t>Qudang Xiang</t>
  </si>
  <si>
    <t>Qudeng Xiang</t>
  </si>
  <si>
    <t>Quebu Xiang</t>
  </si>
  <si>
    <t>Quluo Xiang (Ali Diqu)</t>
  </si>
  <si>
    <t>Quluo Xiang (Rikaze Shi)</t>
  </si>
  <si>
    <t>Quma Xiang</t>
  </si>
  <si>
    <t>Qumei Xiang</t>
  </si>
  <si>
    <t>Qunu Xiang</t>
  </si>
  <si>
    <t>Qushui Zhen</t>
  </si>
  <si>
    <t>Qusong Xiang [incl. Chu lu Songjie Xiang]</t>
  </si>
  <si>
    <t>Qusong Zhen</t>
  </si>
  <si>
    <t>Quxia Zhen</t>
  </si>
  <si>
    <t>Quzhuomu Xiang</t>
  </si>
  <si>
    <t>Quzika Xiang</t>
  </si>
  <si>
    <t>Ranba Xiang</t>
  </si>
  <si>
    <t>Ranwu Zhen</t>
  </si>
  <si>
    <t>Raojin Xiang</t>
  </si>
  <si>
    <t>Rebang Xiang</t>
  </si>
  <si>
    <t>Redang Xiang</t>
  </si>
  <si>
    <t>Relong Xiang</t>
  </si>
  <si>
    <t>Renbu Xiang</t>
  </si>
  <si>
    <t>Rendui Xiang</t>
  </si>
  <si>
    <t>Renduo Xiang</t>
  </si>
  <si>
    <t>Renguo Xiang</t>
  </si>
  <si>
    <t>Renqinze Xiang</t>
  </si>
  <si>
    <t>Rerong Xiang</t>
  </si>
  <si>
    <t>Resa Xiang</t>
  </si>
  <si>
    <t>Resuo Xiang</t>
  </si>
  <si>
    <t>Rewa Xiang</t>
  </si>
  <si>
    <t>Reyu Xiang</t>
  </si>
  <si>
    <t>Ridang Zhen</t>
  </si>
  <si>
    <t>Riduo Xiang</t>
  </si>
  <si>
    <t>Rilang Xiang</t>
  </si>
  <si>
    <t>Risong Xiang</t>
  </si>
  <si>
    <t>Ritong Xiang</t>
  </si>
  <si>
    <t>Ritu Zhen</t>
  </si>
  <si>
    <t>Riwu Zhen</t>
  </si>
  <si>
    <t>Riwuqi Xiang</t>
  </si>
  <si>
    <t>Rixing Xiang</t>
  </si>
  <si>
    <t>Rong Xiang</t>
  </si>
  <si>
    <t>Rongbu Zhen</t>
  </si>
  <si>
    <t>Rongduo Xiang</t>
  </si>
  <si>
    <t>Rongma Xiang (Naqu Shi)</t>
  </si>
  <si>
    <t>Rongma Xiang (Rikaze Shi)</t>
  </si>
  <si>
    <t>Rongxia Xiang</t>
  </si>
  <si>
    <t>Rongzhou Xiang</t>
  </si>
  <si>
    <t>Rujiao Xiang</t>
  </si>
  <si>
    <t>Rumei Zhen</t>
  </si>
  <si>
    <t>Ruoba Xiang</t>
  </si>
  <si>
    <t>Ruoda Xiang</t>
  </si>
  <si>
    <t>Rusa Xiang</t>
  </si>
  <si>
    <t>Ruyi Xiang</t>
  </si>
  <si>
    <t>Sa'er Xiang</t>
  </si>
  <si>
    <t>Sai Xiang</t>
  </si>
  <si>
    <t>Sajia Zhen</t>
  </si>
  <si>
    <t>Samada Xiang</t>
  </si>
  <si>
    <t>San'anqulin Xiang</t>
  </si>
  <si>
    <t>Sangduo Xiang</t>
  </si>
  <si>
    <t>Sangduo Zhen</t>
  </si>
  <si>
    <t>Sangri Zhen</t>
  </si>
  <si>
    <t>Sangrong Xiang</t>
  </si>
  <si>
    <t>Sangsang Zhen</t>
  </si>
  <si>
    <t>Sangye Zhen</t>
  </si>
  <si>
    <t>Sarang Xiang</t>
  </si>
  <si>
    <t>Se Xiang</t>
  </si>
  <si>
    <t>Seqing Xiang</t>
  </si>
  <si>
    <t>Sewu Xiang [in: Qinghai (partly)]</t>
  </si>
  <si>
    <t>Sexiong Xiang</t>
  </si>
  <si>
    <t>Sezha Xiang</t>
  </si>
  <si>
    <t>Shading Xiang</t>
  </si>
  <si>
    <t>Shadong Xiang</t>
  </si>
  <si>
    <t>Shagong Xiang (Karuo Qu)</t>
  </si>
  <si>
    <t>Shagong Xiang (Dingqing Xian)</t>
  </si>
  <si>
    <t>Shangchayu Zhen</t>
  </si>
  <si>
    <t>Shangka Xiang</t>
  </si>
  <si>
    <t>Shangyadong Xiang</t>
  </si>
  <si>
    <t>Shaogang Xiang</t>
  </si>
  <si>
    <t>Shengda Xiang</t>
  </si>
  <si>
    <t>Shengge Xiang</t>
  </si>
  <si>
    <t>Shenya Xiang</t>
  </si>
  <si>
    <t>Shenzha Zhen</t>
  </si>
  <si>
    <t>Shiquanhe Zhen</t>
  </si>
  <si>
    <t>Shuodu Zhen</t>
  </si>
  <si>
    <t>Songpan Xiang</t>
  </si>
  <si>
    <t>Songzong Zhen</t>
  </si>
  <si>
    <t>Suoduoxi Xiang</t>
  </si>
  <si>
    <t>Suojin Xiang</t>
  </si>
  <si>
    <t>Suoxiong Xiang</t>
  </si>
  <si>
    <t>Suozhu Xiang</t>
  </si>
  <si>
    <t>Suozuo Xiang</t>
  </si>
  <si>
    <t>Tading Xiang</t>
  </si>
  <si>
    <t>Ta'erma Xiang</t>
  </si>
  <si>
    <t>Tajie Xiang</t>
  </si>
  <si>
    <t>Tandui Xiang</t>
  </si>
  <si>
    <t>Tangga Xiang</t>
  </si>
  <si>
    <t>Tanggu Xiang</t>
  </si>
  <si>
    <t>Tangjia Xiang</t>
  </si>
  <si>
    <t>Tarong Zhen</t>
  </si>
  <si>
    <t>Tiantuo Zhen</t>
  </si>
  <si>
    <t>Tongka Zhen</t>
  </si>
  <si>
    <t>Tongmen Xiang</t>
  </si>
  <si>
    <t>Tongpu Xiang</t>
  </si>
  <si>
    <t>Tubujia Xiang</t>
  </si>
  <si>
    <t>Tunba Zhen</t>
  </si>
  <si>
    <t>Tuoba Xiang</t>
  </si>
  <si>
    <t>Tuolin Zhen</t>
  </si>
  <si>
    <t>Wa Xiang</t>
  </si>
  <si>
    <t>Wangbuding Xiang</t>
  </si>
  <si>
    <t>Wangda Zhen</t>
  </si>
  <si>
    <t>Wangdan Xiang</t>
  </si>
  <si>
    <t>Wangka Xiang</t>
  </si>
  <si>
    <t>Wenbu Xiang</t>
  </si>
  <si>
    <t>Wenbudangsang Xiang</t>
  </si>
  <si>
    <t>Wolong Zhen</t>
  </si>
  <si>
    <t>Wuma Xiang</t>
  </si>
  <si>
    <t>Wumatang Xiang</t>
  </si>
  <si>
    <t>Xiachayu Zhen</t>
  </si>
  <si>
    <t>Xiaguo Xiang</t>
  </si>
  <si>
    <t>Xiajiang Xiang</t>
  </si>
  <si>
    <t>Xiali Xiang</t>
  </si>
  <si>
    <t>Xialinka Xiang</t>
  </si>
  <si>
    <t>Xiama Xiang</t>
  </si>
  <si>
    <t>Xiangdui Zhen</t>
  </si>
  <si>
    <t>Xiangmao Xiang</t>
  </si>
  <si>
    <t>Xiangpi Xiang</t>
  </si>
  <si>
    <t>Xiangqu Xiang</t>
  </si>
  <si>
    <t>Xiangzi Xiang</t>
  </si>
  <si>
    <t>Xianqian Xiang</t>
  </si>
  <si>
    <t>Xiaqu Xiang</t>
  </si>
  <si>
    <t>Xiaqu Zhen</t>
  </si>
  <si>
    <t>Xiaru Xiang</t>
  </si>
  <si>
    <t>Xiashui Xiang</t>
  </si>
  <si>
    <t>Xiasima Zhen</t>
  </si>
  <si>
    <t>Xiayadong Xiang</t>
  </si>
  <si>
    <t>Xichang Xiang</t>
  </si>
  <si>
    <t>Xiede Xiang</t>
  </si>
  <si>
    <t>Xiege'er Zhen</t>
  </si>
  <si>
    <t>Xiexiong Xiang</t>
  </si>
  <si>
    <t>Xinji Xiang</t>
  </si>
  <si>
    <t>Xinka Xiang</t>
  </si>
  <si>
    <t>Xinrong Xiang</t>
  </si>
  <si>
    <t>Xiongba Xiang (Ali Diqu)</t>
  </si>
  <si>
    <t>Xiongba Xiang (Rikaze Shi)</t>
  </si>
  <si>
    <t>Xiongma Xiang</t>
  </si>
  <si>
    <t>Xiongmai Xiang</t>
  </si>
  <si>
    <t>Xiongmei Zhen</t>
  </si>
  <si>
    <t>Xiongru Xiang</t>
  </si>
  <si>
    <t>Xiongsong Xiang</t>
  </si>
  <si>
    <t>Xiongzhang Xiang</t>
  </si>
  <si>
    <t>Xiqin Xiang</t>
  </si>
  <si>
    <t>Xue Xiang</t>
  </si>
  <si>
    <t>Xuesa Xiang</t>
  </si>
  <si>
    <t>Xumai Xiang</t>
  </si>
  <si>
    <t>Xuzhong Xiang</t>
  </si>
  <si>
    <t>Ya'an Zhen</t>
  </si>
  <si>
    <t>Yadui Xiang</t>
  </si>
  <si>
    <t>Yala Zhen</t>
  </si>
  <si>
    <t>Yalai Xiang</t>
  </si>
  <si>
    <t>Yamu Xiang</t>
  </si>
  <si>
    <t>Yanbi Xiang</t>
  </si>
  <si>
    <t>Yanduo Zhen</t>
  </si>
  <si>
    <t>Yangbajing Zhen</t>
  </si>
  <si>
    <t>Yangda Jiedao</t>
  </si>
  <si>
    <t>Yangxiu Xiang</t>
  </si>
  <si>
    <t>Yanhu Xiang</t>
  </si>
  <si>
    <t>Yanshiping Zhen [in: Qinghai]</t>
  </si>
  <si>
    <t>Yaqu Xiang</t>
  </si>
  <si>
    <t>Yare Xiang (Ali Diqu)</t>
  </si>
  <si>
    <t>Yare Xiang (Rikaze Shi)</t>
  </si>
  <si>
    <t>Yigong Xiang</t>
  </si>
  <si>
    <t>Yiqing Xiang</t>
  </si>
  <si>
    <t>Yiri Xiang</t>
  </si>
  <si>
    <t>Yong Xiang</t>
  </si>
  <si>
    <t>Yongqu Xiang [in: Qinghai (partly)]</t>
  </si>
  <si>
    <t>Youqia Xiang</t>
  </si>
  <si>
    <t>Yueba Xiang</t>
  </si>
  <si>
    <t>Yumai Xiang</t>
  </si>
  <si>
    <t>Yupu Xiang</t>
  </si>
  <si>
    <t>Yuxi Xiang</t>
  </si>
  <si>
    <t>Yuxu Xiang</t>
  </si>
  <si>
    <t>Zangbi Xiang</t>
  </si>
  <si>
    <t>Zanggai Xiang</t>
  </si>
  <si>
    <t>Zase Zhen</t>
  </si>
  <si>
    <t>Zeba Xiang</t>
  </si>
  <si>
    <t>Zedang Jiedao</t>
  </si>
  <si>
    <t>Zengqi Xiang</t>
  </si>
  <si>
    <t>Zexu Xiang</t>
  </si>
  <si>
    <t>Zhaguo Xiang</t>
  </si>
  <si>
    <t>Zhala Xiang</t>
  </si>
  <si>
    <t>Zhamu Zhen</t>
  </si>
  <si>
    <t>Zhangda Xiang</t>
  </si>
  <si>
    <t>Zhangduo Xiang</t>
  </si>
  <si>
    <t>Zhangmu Zhen</t>
  </si>
  <si>
    <t>Zhaqi Xiang</t>
  </si>
  <si>
    <t>Zhaqu Xiang</t>
  </si>
  <si>
    <t>Zharen Zhen</t>
  </si>
  <si>
    <t>Zhari Xiang (Luozha Xian)</t>
  </si>
  <si>
    <t>Zhari Xiang (Longzi Xian)</t>
  </si>
  <si>
    <t>Zhatang Zhen</t>
  </si>
  <si>
    <t>Zhaxi Jiedao</t>
  </si>
  <si>
    <t>Zhaxigang Xiang (Ali Diqu)</t>
  </si>
  <si>
    <t>Zhaxigang Xiang (Lasa Shi)</t>
  </si>
  <si>
    <t>Zhaxigang Xiang (Sajia Xian)</t>
  </si>
  <si>
    <t>Zhaxigang Xiang (Lazi Xian)</t>
  </si>
  <si>
    <t>Zhaxigang Xiang (Dingjie Xian)</t>
  </si>
  <si>
    <t>Zhaxiraodeng Xiang</t>
  </si>
  <si>
    <t>Zhaxizong Xiang (Dingri Xian)</t>
  </si>
  <si>
    <t>Zhaxizong Xiang (Lazi Xian)</t>
  </si>
  <si>
    <t>Zhaxue Xiang</t>
  </si>
  <si>
    <t>Zhayu Zhen</t>
  </si>
  <si>
    <t>Zheba Xiang</t>
  </si>
  <si>
    <t>Zhegu Zhen</t>
  </si>
  <si>
    <t>Zhexia Xiang</t>
  </si>
  <si>
    <t>Zhike Xiang</t>
  </si>
  <si>
    <t>Zhongcang Xiang</t>
  </si>
  <si>
    <t>Zhongda Zhen</t>
  </si>
  <si>
    <t>Zhonglinka Xiang</t>
  </si>
  <si>
    <t>Zhongsa Xiang</t>
  </si>
  <si>
    <t>Zhongyi Xiang</t>
  </si>
  <si>
    <t>Zhubalong Xiang</t>
  </si>
  <si>
    <t>Zhula Xiang</t>
  </si>
  <si>
    <t>Zhunba Xiang</t>
  </si>
  <si>
    <t>Zhuoni Xiang</t>
  </si>
  <si>
    <t>Zhuowa Xiang</t>
  </si>
  <si>
    <t>Zhuwagen Zhen</t>
  </si>
  <si>
    <t>Ziga Xiang</t>
  </si>
  <si>
    <t>Zijin Xiang</t>
  </si>
  <si>
    <t>Zituo Zhen</t>
  </si>
  <si>
    <t>Zongga Zhen</t>
  </si>
  <si>
    <t>Zongsha Xiang</t>
  </si>
  <si>
    <t>Zongxi Xiang</t>
  </si>
  <si>
    <t>Zuozuo Xiang</t>
  </si>
  <si>
    <t>Column113</t>
  </si>
  <si>
    <t>Column114</t>
  </si>
  <si>
    <t>Déqìng (Duīlóngdéqìng)</t>
  </si>
  <si>
    <t>Déqìng (Dázī)</t>
  </si>
  <si>
    <t>Déqìng (Nàqŭ)</t>
  </si>
  <si>
    <t>Kăgā (Ángrén)</t>
  </si>
  <si>
    <t>Kăgā (Xiètōngmén)</t>
  </si>
  <si>
    <t>","state":"Xīzàng","territory":"","country":"China","latitude":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</si>
</sst>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2" fillId="3" borderId="1" xfId="0" applyFont="1" applyFill="1" applyBorder="1" applyAlignment="1">
      <alignment horizontal="left" vertical="top"/>
    </xf>
    <xf numFmtId="3" fontId="2" fillId="3" borderId="1" xfId="0" applyNumberFormat="1" applyFont="1" applyFill="1" applyBorder="1" applyAlignment="1">
      <alignment horizontal="right" vertical="top"/>
    </xf>
    <xf numFmtId="0" fontId="2" fillId="4" borderId="2" xfId="0" applyFont="1" applyFill="1" applyBorder="1" applyAlignment="1">
      <alignment horizontal="left" vertical="top"/>
    </xf>
    <xf numFmtId="3" fontId="2" fillId="4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D5FD96-9C66-4050-BF84-FF4B39AA1841}" name="Table1" displayName="Table1" ref="A1:G37" totalsRowShown="0" headerRowDxfId="120" dataDxfId="119">
  <autoFilter ref="A1:G37" xr:uid="{DFD5FD96-9C66-4050-BF84-FF4B39AA1841}"/>
  <tableColumns count="7">
    <tableColumn id="1" xr3:uid="{B98C1B0D-E72F-4999-9207-6EA0AEBED8C0}" name="Name" dataDxfId="118"/>
    <tableColumn id="2" xr3:uid="{BBC79D9C-2ECA-42A2-BBA7-0CB06B1DDCB8}" name="Native" dataDxfId="117"/>
    <tableColumn id="3" xr3:uid="{4B1E09EA-5AC7-4DD4-9E7D-C91A26627CFE}" name="Status" dataDxfId="116"/>
    <tableColumn id="4" xr3:uid="{27302297-307E-43DA-885B-A5B7A2877BC6}" name="City / District / County" dataDxfId="115"/>
    <tableColumn id="5" xr3:uid="{14FD159C-4B3E-4FE5-AEC0-3CB4124C208F}" name="Population" dataDxfId="114"/>
    <tableColumn id="6" xr3:uid="{EAFE72D2-D33A-41C3-A3EC-DC29EC90FA5D}" name="Column1" dataDxfId="113">
      <calculatedColumnFormula>VLOOKUP(D2,Table8[[Name]:[Native]],3,FALSE)</calculatedColumnFormula>
    </tableColumn>
    <tableColumn id="7" xr3:uid="{D42E9EA4-54B3-4D18-B0E2-C26ABAEBE605}" name="Column2" dataDxfId="112">
      <calculatedColumnFormula>VLOOKUP(F2,Table8[[Native]:[Population4]],5,FALSE)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CA6366-3A99-4BC1-AAEE-A29031566508}" name="Table2" displayName="Table2" ref="A1:G139" totalsRowShown="0" headerRowDxfId="111" dataDxfId="110">
  <autoFilter ref="A1:G139" xr:uid="{F4CA6366-3A99-4BC1-AAEE-A29031566508}"/>
  <tableColumns count="7">
    <tableColumn id="1" xr3:uid="{8198C8F3-F3E5-41D2-AA95-1192D05C65EF}" name="Name" dataDxfId="109"/>
    <tableColumn id="2" xr3:uid="{3025DB99-38C2-461C-A284-3E8A75B9A3D0}" name="Native" dataDxfId="108"/>
    <tableColumn id="3" xr3:uid="{753B3AD8-6B62-440A-8ADA-4A5E49FBAACF}" name="Status" dataDxfId="107"/>
    <tableColumn id="4" xr3:uid="{2C86C906-3F1F-4E3B-945C-6202A095EF6F}" name="City / District / County" dataDxfId="106"/>
    <tableColumn id="5" xr3:uid="{36ECD8C3-5873-4F1C-80C7-38F5C905EE33}" name="Population" dataDxfId="105"/>
    <tableColumn id="6" xr3:uid="{4DF7647F-34EB-4C70-A0E3-CCB3BF0C5890}" name="Column1" dataDxfId="104">
      <calculatedColumnFormula>VLOOKUP(D2,Table8[[Name]:[Native]],3,FALSE)</calculatedColumnFormula>
    </tableColumn>
    <tableColumn id="7" xr3:uid="{EFA18F51-256F-4196-8997-A91AC0BBF879}" name="Column2" dataDxfId="103">
      <calculatedColumnFormula>VLOOKUP(F2,Table8[[Native]:[Population4]],5,FALSE)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57EBD-B2F2-4DB5-8C41-E84217B0E0C4}" name="Table3" displayName="Table3" ref="A1:G65" totalsRowShown="0" headerRowDxfId="102" dataDxfId="101">
  <autoFilter ref="A1:G65" xr:uid="{F1C57EBD-B2F2-4DB5-8C41-E84217B0E0C4}"/>
  <tableColumns count="7">
    <tableColumn id="1" xr3:uid="{BC41FA37-1AD6-467F-A010-E1B885EEF503}" name="Name" dataDxfId="100"/>
    <tableColumn id="2" xr3:uid="{E8407B5A-CF28-488A-ADD2-B458407ECC58}" name="Native" dataDxfId="99"/>
    <tableColumn id="3" xr3:uid="{FC532C06-03B7-43CF-9208-6EE638A9D9BD}" name="Status" dataDxfId="98"/>
    <tableColumn id="4" xr3:uid="{AA4CAA5D-B626-4756-90F6-5D2B8FDFD0D5}" name="City / District / County" dataDxfId="97"/>
    <tableColumn id="5" xr3:uid="{7255E1BE-FA13-42C0-9C8E-A6DA3F42D9C4}" name="Population" dataDxfId="96"/>
    <tableColumn id="6" xr3:uid="{3806E6FB-AA9E-4BD5-9FD7-6E2C338A9194}" name="Column1" dataDxfId="95">
      <calculatedColumnFormula>VLOOKUP(D2,Table8[[Name]:[Native]],3,FALSE)</calculatedColumnFormula>
    </tableColumn>
    <tableColumn id="7" xr3:uid="{5D97CF93-71B9-498D-8F88-D221DB6EB076}" name="Column2" dataDxfId="94">
      <calculatedColumnFormula>VLOOKUP(F2,Table8[[Native]:[Population4]],5,FALSE)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9A9192-C775-431E-BE54-B85BCE5C0525}" name="Table4" displayName="Table4" ref="A1:G55" totalsRowShown="0" headerRowDxfId="93" dataDxfId="92">
  <autoFilter ref="A1:G55" xr:uid="{509A9192-C775-431E-BE54-B85BCE5C0525}"/>
  <tableColumns count="7">
    <tableColumn id="1" xr3:uid="{45722BA6-3CC4-49B2-B057-F7D2DEF96525}" name="Name" dataDxfId="91"/>
    <tableColumn id="2" xr3:uid="{B895C4F5-4DDD-4F56-9404-D26C7D30EF7D}" name="Native" dataDxfId="90"/>
    <tableColumn id="3" xr3:uid="{6EDE0138-2C30-475B-9C0D-3A5281D7925E}" name="Status" dataDxfId="89"/>
    <tableColumn id="4" xr3:uid="{EA05AC31-18DF-4168-BCFB-44AE625E06C2}" name="City / District / County" dataDxfId="88"/>
    <tableColumn id="5" xr3:uid="{20E5D43A-4E3B-42D7-B905-83DF10ACC860}" name="Population" dataDxfId="87"/>
    <tableColumn id="6" xr3:uid="{545F473D-31D1-4973-9069-EEEC77CEFA84}" name="Column1" dataDxfId="86">
      <calculatedColumnFormula>VLOOKUP(D2,Table8[[Name]:[Native]],3,FALSE)</calculatedColumnFormula>
    </tableColumn>
    <tableColumn id="7" xr3:uid="{F81B992C-C583-42EF-8917-2B5501792954}" name="Column2" dataDxfId="85">
      <calculatedColumnFormula>VLOOKUP(F2,Table8[[Native]:[Population4]],5,FALSE)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8A2343-663A-47A7-9438-B011C1364824}" name="Table5" displayName="Table5" ref="A1:G115" totalsRowShown="0" headerRowDxfId="84" dataDxfId="83">
  <autoFilter ref="A1:G115" xr:uid="{2F8A2343-663A-47A7-9438-B011C1364824}"/>
  <tableColumns count="7">
    <tableColumn id="1" xr3:uid="{68675123-6DAD-48C2-A06A-F9786A5BC301}" name="Name" dataDxfId="82"/>
    <tableColumn id="2" xr3:uid="{236C1A56-2944-41B5-9070-FA74EE50B37B}" name="Native" dataDxfId="81"/>
    <tableColumn id="3" xr3:uid="{BCFC8153-4C72-4FD7-A834-09298357BD08}" name="Status" dataDxfId="80"/>
    <tableColumn id="4" xr3:uid="{43214417-06D1-4D99-BF87-AC3998668633}" name="City / District / County" dataDxfId="79"/>
    <tableColumn id="5" xr3:uid="{41A6FAD9-E83F-432E-A3A7-571AF08B78C4}" name="Population" dataDxfId="78"/>
    <tableColumn id="6" xr3:uid="{9A5E0E8A-3F6B-4574-A41B-A954A2023262}" name="Column1" dataDxfId="77">
      <calculatedColumnFormula>VLOOKUP(D2,Table8[[Name]:[Native]],3,FALSE)</calculatedColumnFormula>
    </tableColumn>
    <tableColumn id="7" xr3:uid="{79EBAA48-7ABA-4B75-907B-8F41C5865D1F}" name="Column2" dataDxfId="76">
      <calculatedColumnFormula>VLOOKUP(F2,Table8[[Native]:[Population4]],5,FALSE)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09B3F6-81C1-4FD5-BEF0-A6FBAFAB64C3}" name="Table6" displayName="Table6" ref="A1:G204" totalsRowShown="0" headerRowDxfId="75" dataDxfId="74">
  <autoFilter ref="A1:G204" xr:uid="{ED09B3F6-81C1-4FD5-BEF0-A6FBAFAB64C3}"/>
  <tableColumns count="7">
    <tableColumn id="1" xr3:uid="{CB1EB9A1-AE86-4FE7-8A00-2DFF1A811B98}" name="Name" dataDxfId="73"/>
    <tableColumn id="2" xr3:uid="{6458E7D2-A4C6-45E2-B59A-CAE2C89CD233}" name="Native" dataDxfId="72"/>
    <tableColumn id="3" xr3:uid="{91AD90BE-217F-4CB4-B23C-BB079ED80449}" name="Status" dataDxfId="71"/>
    <tableColumn id="4" xr3:uid="{7938722E-D994-48F2-860B-84027318806F}" name="City / District / County" dataDxfId="70"/>
    <tableColumn id="5" xr3:uid="{0172FF84-AF75-4710-A47C-E475E3183574}" name="Population" dataDxfId="69"/>
    <tableColumn id="6" xr3:uid="{06F40F2B-05E7-4E33-A725-71FC6CC9BB99}" name="Column1" dataDxfId="68">
      <calculatedColumnFormula>VLOOKUP(D2,Table8[[Name]:[Native]],3,FALSE)</calculatedColumnFormula>
    </tableColumn>
    <tableColumn id="7" xr3:uid="{A2E0D755-098F-43DC-89D6-4E477D9ABB09}" name="Column2" dataDxfId="67">
      <calculatedColumnFormula>VLOOKUP(F2,Table8[[Native]:[Population4]],5,FALSE)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4020AC-FDBE-4816-9FFA-2484E1FD8306}" name="Table7" displayName="Table7" ref="A1:G83" totalsRowShown="0" headerRowDxfId="66" dataDxfId="65">
  <autoFilter ref="A1:G83" xr:uid="{E54020AC-FDBE-4816-9FFA-2484E1FD8306}"/>
  <tableColumns count="7">
    <tableColumn id="1" xr3:uid="{589F1E9E-1F1C-4F59-9A28-EBA2046BF57E}" name="Name" dataDxfId="64"/>
    <tableColumn id="2" xr3:uid="{6B265D6E-22DD-46D4-8852-D451B69BDCE0}" name="Native" dataDxfId="63"/>
    <tableColumn id="3" xr3:uid="{56B02BA3-F078-4FA1-899F-C33D5C782F88}" name="Status" dataDxfId="62"/>
    <tableColumn id="4" xr3:uid="{F3663834-6EFF-4E45-981E-9276B255B00E}" name="City / District / County" dataDxfId="61"/>
    <tableColumn id="5" xr3:uid="{B9B91EB4-B2C5-4CDC-847F-16D4842C09C0}" name="Population" dataDxfId="60"/>
    <tableColumn id="6" xr3:uid="{0D4748C9-82F8-49FB-A7CF-CD718DD19012}" name="Column1" dataDxfId="59">
      <calculatedColumnFormula>VLOOKUP(D2,Table8[[Name]:[Native]],3,FALSE)</calculatedColumnFormula>
    </tableColumn>
    <tableColumn id="7" xr3:uid="{3D406182-5EA6-48F4-A5CB-A8E2969873EA}" name="Column2" dataDxfId="58">
      <calculatedColumnFormula>VLOOKUP(F2,Table8[[Native]:[Population4]],5,FALSE)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7FF6F8A-0C2A-4AAD-B0C5-27FB32B8B5D5}" name="Table9" displayName="Table9" ref="A1:P692" totalsRowShown="0">
  <autoFilter ref="A1:P692" xr:uid="{F7FF6F8A-0C2A-4AAD-B0C5-27FB32B8B5D5}">
    <filterColumn colId="4">
      <filters>
        <filter val="Town"/>
      </filters>
    </filterColumn>
  </autoFilter>
  <sortState xmlns:xlrd2="http://schemas.microsoft.com/office/spreadsheetml/2017/richdata2" ref="A2:N692">
    <sortCondition ref="A1:A692"/>
  </sortState>
  <tableColumns count="16">
    <tableColumn id="1" xr3:uid="{D9926DA3-B5BD-49D7-B9BB-E8BCF9924D68}" name="Column1"/>
    <tableColumn id="10" xr3:uid="{08C81308-4DBD-469B-8B04-DF076BDBB8B6}" name="Column12" dataDxfId="39">
      <calculatedColumnFormula>IF(COUNTIF(A:A,A2)&gt;1,_xlfn.CONCAT(A2," (",N2,")"),A2)</calculatedColumnFormula>
    </tableColumn>
    <tableColumn id="11" xr3:uid="{4B58A7CB-FCE2-49D5-8C9C-B6AF6323352B}" name="Column13" dataDxfId="38">
      <calculatedColumnFormula>IF(COUNTIF(B:B,B2)&gt;1,_xlfn.CONCAT(A2," (",M2,")"),B2)</calculatedColumnFormula>
    </tableColumn>
    <tableColumn id="2" xr3:uid="{2042D7AB-1601-4FC1-8A76-AFF9D0070114}" name="Column2"/>
    <tableColumn id="3" xr3:uid="{FFAA853E-6ABC-4132-933B-C89893FBF459}" name="Column3"/>
    <tableColumn id="4" xr3:uid="{66FC0D34-FF2C-41CE-9AD0-2A2095C10065}" name="Column4" dataDxfId="57">
      <calculatedColumnFormula>_xlfn.CONCAT(D2,", ",H2,", ",I2,", ","西藏自治区")</calculatedColumnFormula>
    </tableColumn>
    <tableColumn id="5" xr3:uid="{BC1F596F-0721-4F6E-A296-1D01A5BA28E2}" name="Column5"/>
    <tableColumn id="6" xr3:uid="{0A0D170F-01BD-46C8-B9BD-98567A97934F}" name="Column6"/>
    <tableColumn id="7" xr3:uid="{A4EF40AF-8576-4156-AEFC-E7E92348079B}" name="Column7"/>
    <tableColumn id="8" xr3:uid="{FBDBB7F1-4568-4941-839B-5C6665917B1D}" name="Column8" dataDxfId="56">
      <calculatedColumnFormula>VLOOKUP(F2,[1]!china_towns_second__2[[Column1]:[Y]],3,FALSE)</calculatedColumnFormula>
    </tableColumn>
    <tableColumn id="9" xr3:uid="{ED470877-5C47-467B-8EB0-B675A179C6CB}" name="Column9" dataDxfId="55">
      <calculatedColumnFormula>VLOOKUP(F2,[1]!china_towns_second__2[[Column1]:[Y]],2,FALSE)</calculatedColumnFormula>
    </tableColumn>
    <tableColumn id="12" xr3:uid="{614B5918-8E47-473B-9ADE-A42023E6C0AD}" name="Column10"/>
    <tableColumn id="13" xr3:uid="{888202FF-B2BF-45B8-9A9B-080B25C792D3}" name="Column11" dataDxfId="41">
      <calculatedColumnFormula>VLOOKUP(H2,CHOOSE({1,2},Table8[Native],Table8[Name]),2,0)</calculatedColumnFormula>
    </tableColumn>
    <tableColumn id="14" xr3:uid="{E1FB7D85-123C-433D-9441-8A773F613136}" name="Column112" dataDxfId="40">
      <calculatedColumnFormula>VLOOKUP(I2,CHOOSE({1,2},Table8[Native],Table8[Name]),2,0)</calculatedColumnFormula>
    </tableColumn>
    <tableColumn id="15" xr3:uid="{9D9FFAA0-BC1D-4CC8-9816-83BDCADF4FA9}" name="Column113" dataDxfId="31">
      <calculatedColumnFormula>_xlfn.CONCAT(L2," (",N2,")")</calculatedColumnFormula>
    </tableColumn>
    <tableColumn id="16" xr3:uid="{5EFD2476-CA8A-4458-A3A1-AE9D89B977B7}" name="Column114" dataDxfId="30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7F58B9D-283E-4CE4-98C7-03BF89FF653F}" name="Table10" displayName="Table10" ref="A1:E4" totalsRowShown="0">
  <autoFilter ref="A1:E4" xr:uid="{57F58B9D-283E-4CE4-98C7-03BF89FF653F}"/>
  <tableColumns count="5">
    <tableColumn id="1" xr3:uid="{AE232DAE-4753-48CE-9764-D48EED741D0C}" name="Column1"/>
    <tableColumn id="3" xr3:uid="{68B34953-1C8D-448A-A742-6CDFA21B3AEE}" name="Column12" dataDxfId="54">
      <calculatedColumnFormula>VLOOKUP(A2,CHOOSE({1,2},Table8[Native],Table8[Name]),2,0)</calculatedColumnFormula>
    </tableColumn>
    <tableColumn id="2" xr3:uid="{BACF7AD9-F483-49B2-ACD2-98E991E6396A}" name="Column2"/>
    <tableColumn id="4" xr3:uid="{F6EA8F55-9CEB-498B-9DA5-798CC99B2138}" name="Column3" dataDxfId="53">
      <calculatedColumnFormula>VLOOKUP(A2,[1]!Table1[[name]:[@lon]],5,0)</calculatedColumnFormula>
    </tableColumn>
    <tableColumn id="5" xr3:uid="{5FD19831-1B09-47A4-8FA6-38494FC466D2}" name="Column4" dataDxfId="52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AF0063-46B9-4B52-BC7B-FB883EB66E9E}" name="Table8" displayName="Table8" ref="A1:G83" totalsRowShown="0" headerRowDxfId="51" dataDxfId="50" tableBorderDxfId="49">
  <autoFilter ref="A1:G83" xr:uid="{77AF0063-46B9-4B52-BC7B-FB883EB66E9E}"/>
  <tableColumns count="7">
    <tableColumn id="1" xr3:uid="{6903D72C-6384-407D-B1B4-B06B15A71567}" name="Name" dataDxfId="48"/>
    <tableColumn id="2" xr3:uid="{C14336BE-2CAA-407B-90FA-AF3EFE25AE7F}" name="Status" dataDxfId="47"/>
    <tableColumn id="3" xr3:uid="{5C8B010D-8532-4E72-99AE-3BABC8F1948B}" name="Native" dataDxfId="46"/>
    <tableColumn id="4" xr3:uid="{9C333E6C-5CA1-48EF-9ECC-8814800AF1ED}" name="Population" dataDxfId="45"/>
    <tableColumn id="5" xr3:uid="{013CE551-8D6A-4C5D-97CB-99F22444E506}" name="Population2" dataDxfId="44"/>
    <tableColumn id="6" xr3:uid="{CD796C67-E6C5-4ED7-BE75-0339F0928ADC}" name="Population3" dataDxfId="43"/>
    <tableColumn id="7" xr3:uid="{2470BADA-0BB6-486F-8555-FA9F69379385}" name="Population4" dataDxfId="42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BD6AB-44FB-418D-9781-F46D07D652A7}">
  <dimension ref="A1:G37"/>
  <sheetViews>
    <sheetView topLeftCell="A12" workbookViewId="0">
      <selection activeCell="G2" sqref="A2:G3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1502</v>
      </c>
      <c r="G1" t="s">
        <v>1504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3">
        <v>1659</v>
      </c>
      <c r="F2" s="8" t="str">
        <f>VLOOKUP(D2,Table8[[Name]:[Native]],3,FALSE)</f>
        <v>普兰县</v>
      </c>
      <c r="G2" s="12" t="str">
        <f ca="1">VLOOKUP(F2,Table8[[Native]:[Population4]],5,FALSE)</f>
        <v>阿里地区</v>
      </c>
    </row>
    <row r="3" spans="1:7" ht="15.75" thickBot="1" x14ac:dyDescent="0.3">
      <c r="A3" t="s">
        <v>9</v>
      </c>
      <c r="B3" s="1" t="s">
        <v>10</v>
      </c>
      <c r="C3" s="1" t="s">
        <v>7</v>
      </c>
      <c r="D3" s="1" t="s">
        <v>11</v>
      </c>
      <c r="E3" s="3">
        <v>3719</v>
      </c>
      <c r="F3" s="1" t="str">
        <f>VLOOKUP(D3,Table8[[Name]:[Native]],3,FALSE)</f>
        <v>改则县</v>
      </c>
      <c r="G3" s="12" t="str">
        <f ca="1">VLOOKUP(F3,Table8[[Native]:[Population4]],5,FALSE)</f>
        <v>阿里地区</v>
      </c>
    </row>
    <row r="4" spans="1:7" ht="15.75" thickBot="1" x14ac:dyDescent="0.3">
      <c r="A4" t="s">
        <v>12</v>
      </c>
      <c r="B4" s="1" t="s">
        <v>13</v>
      </c>
      <c r="C4" s="1" t="s">
        <v>7</v>
      </c>
      <c r="D4" s="1" t="s">
        <v>14</v>
      </c>
      <c r="E4" s="3">
        <v>2498</v>
      </c>
      <c r="F4" s="1" t="str">
        <f>VLOOKUP(D4,Table8[[Name]:[Native]],3,FALSE)</f>
        <v>措勤县</v>
      </c>
      <c r="G4" s="12" t="str">
        <f ca="1">VLOOKUP(F4,Table8[[Native]:[Population4]],5,FALSE)</f>
        <v>阿里地区</v>
      </c>
    </row>
    <row r="5" spans="1:7" ht="15.75" thickBot="1" x14ac:dyDescent="0.3">
      <c r="A5" t="s">
        <v>15</v>
      </c>
      <c r="B5" s="1" t="s">
        <v>16</v>
      </c>
      <c r="C5" s="1" t="s">
        <v>17</v>
      </c>
      <c r="D5" s="1" t="s">
        <v>14</v>
      </c>
      <c r="E5" s="3">
        <v>4190</v>
      </c>
      <c r="F5" s="1" t="str">
        <f>VLOOKUP(D5,Table8[[Name]:[Native]],3,FALSE)</f>
        <v>措勤县</v>
      </c>
      <c r="G5" s="12" t="str">
        <f ca="1">VLOOKUP(F5,Table8[[Native]:[Population4]],5,FALSE)</f>
        <v>阿里地区</v>
      </c>
    </row>
    <row r="6" spans="1:7" ht="15.75" thickBot="1" x14ac:dyDescent="0.3">
      <c r="A6" t="s">
        <v>18</v>
      </c>
      <c r="B6" s="1" t="s">
        <v>19</v>
      </c>
      <c r="C6" s="1" t="s">
        <v>7</v>
      </c>
      <c r="D6" s="1" t="s">
        <v>20</v>
      </c>
      <c r="E6" s="3">
        <v>1241</v>
      </c>
      <c r="F6" s="1" t="str">
        <f>VLOOKUP(D6,Table8[[Name]:[Native]],3,FALSE)</f>
        <v>札达县</v>
      </c>
      <c r="G6" s="12" t="str">
        <f ca="1">VLOOKUP(F6,Table8[[Native]:[Population4]],5,FALSE)</f>
        <v>阿里地区</v>
      </c>
    </row>
    <row r="7" spans="1:7" ht="15.75" thickBot="1" x14ac:dyDescent="0.3">
      <c r="A7" t="s">
        <v>21</v>
      </c>
      <c r="B7" s="1" t="s">
        <v>22</v>
      </c>
      <c r="C7" s="1" t="s">
        <v>7</v>
      </c>
      <c r="D7" s="1" t="s">
        <v>14</v>
      </c>
      <c r="E7" s="3">
        <v>2616</v>
      </c>
      <c r="F7" s="1" t="str">
        <f>VLOOKUP(D7,Table8[[Name]:[Native]],3,FALSE)</f>
        <v>措勤县</v>
      </c>
      <c r="G7" s="12" t="str">
        <f ca="1">VLOOKUP(F7,Table8[[Native]:[Population4]],5,FALSE)</f>
        <v>阿里地区</v>
      </c>
    </row>
    <row r="8" spans="1:7" ht="15.75" thickBot="1" x14ac:dyDescent="0.3">
      <c r="A8" t="s">
        <v>23</v>
      </c>
      <c r="B8" s="1" t="s">
        <v>24</v>
      </c>
      <c r="C8" s="1" t="s">
        <v>7</v>
      </c>
      <c r="D8" s="1" t="s">
        <v>20</v>
      </c>
      <c r="E8" s="3">
        <v>789</v>
      </c>
      <c r="F8" s="1" t="str">
        <f>VLOOKUP(D8,Table8[[Name]:[Native]],3,FALSE)</f>
        <v>札达县</v>
      </c>
      <c r="G8" s="12" t="str">
        <f ca="1">VLOOKUP(F8,Table8[[Native]:[Population4]],5,FALSE)</f>
        <v>阿里地区</v>
      </c>
    </row>
    <row r="9" spans="1:7" ht="15.75" thickBot="1" x14ac:dyDescent="0.3">
      <c r="A9" t="s">
        <v>25</v>
      </c>
      <c r="B9" s="1" t="s">
        <v>26</v>
      </c>
      <c r="C9" s="1" t="s">
        <v>7</v>
      </c>
      <c r="D9" s="1" t="s">
        <v>11</v>
      </c>
      <c r="E9" s="3">
        <v>2571</v>
      </c>
      <c r="F9" s="1" t="str">
        <f>VLOOKUP(D9,Table8[[Name]:[Native]],3,FALSE)</f>
        <v>改则县</v>
      </c>
      <c r="G9" s="12" t="str">
        <f ca="1">VLOOKUP(F9,Table8[[Native]:[Population4]],5,FALSE)</f>
        <v>阿里地区</v>
      </c>
    </row>
    <row r="10" spans="1:7" ht="15.75" thickBot="1" x14ac:dyDescent="0.3">
      <c r="A10" t="s">
        <v>27</v>
      </c>
      <c r="B10" s="1" t="s">
        <v>28</v>
      </c>
      <c r="C10" s="1" t="s">
        <v>7</v>
      </c>
      <c r="D10" s="1" t="s">
        <v>29</v>
      </c>
      <c r="E10" s="3">
        <v>1278</v>
      </c>
      <c r="F10" s="1" t="str">
        <f>VLOOKUP(D10,Table8[[Name]:[Native]],3,FALSE)</f>
        <v>日土县</v>
      </c>
      <c r="G10" s="12" t="str">
        <f ca="1">VLOOKUP(F10,Table8[[Native]:[Population4]],5,FALSE)</f>
        <v>阿里地区</v>
      </c>
    </row>
    <row r="11" spans="1:7" ht="15.75" thickBot="1" x14ac:dyDescent="0.3">
      <c r="A11" t="s">
        <v>30</v>
      </c>
      <c r="B11" s="1" t="s">
        <v>31</v>
      </c>
      <c r="C11" s="1" t="s">
        <v>7</v>
      </c>
      <c r="D11" s="1" t="s">
        <v>29</v>
      </c>
      <c r="E11" s="3">
        <v>1240</v>
      </c>
      <c r="F11" s="1" t="str">
        <f>VLOOKUP(D11,Table8[[Name]:[Native]],3,FALSE)</f>
        <v>日土县</v>
      </c>
      <c r="G11" s="12" t="str">
        <f ca="1">VLOOKUP(F11,Table8[[Native]:[Population4]],5,FALSE)</f>
        <v>阿里地区</v>
      </c>
    </row>
    <row r="12" spans="1:7" ht="15.75" thickBot="1" x14ac:dyDescent="0.3">
      <c r="A12" t="s">
        <v>32</v>
      </c>
      <c r="B12" s="1" t="s">
        <v>33</v>
      </c>
      <c r="C12" s="1" t="s">
        <v>17</v>
      </c>
      <c r="D12" s="1" t="s">
        <v>11</v>
      </c>
      <c r="E12" s="3">
        <v>5072</v>
      </c>
      <c r="F12" s="1" t="str">
        <f>VLOOKUP(D12,Table8[[Name]:[Native]],3,FALSE)</f>
        <v>改则县</v>
      </c>
      <c r="G12" s="12" t="str">
        <f ca="1">VLOOKUP(F12,Table8[[Native]:[Population4]],5,FALSE)</f>
        <v>阿里地区</v>
      </c>
    </row>
    <row r="13" spans="1:7" ht="15.75" thickBot="1" x14ac:dyDescent="0.3">
      <c r="A13" t="s">
        <v>34</v>
      </c>
      <c r="B13" s="1" t="s">
        <v>35</v>
      </c>
      <c r="C13" s="1" t="s">
        <v>17</v>
      </c>
      <c r="D13" s="1" t="s">
        <v>36</v>
      </c>
      <c r="E13" s="3">
        <v>3886</v>
      </c>
      <c r="F13" s="1" t="str">
        <f>VLOOKUP(D13,Table8[[Name]:[Native]],3,FALSE)</f>
        <v>革吉县</v>
      </c>
      <c r="G13" s="12" t="str">
        <f ca="1">VLOOKUP(F13,Table8[[Native]:[Population4]],5,FALSE)</f>
        <v>阿里地区</v>
      </c>
    </row>
    <row r="14" spans="1:7" ht="15.75" thickBot="1" x14ac:dyDescent="0.3">
      <c r="A14" t="s">
        <v>37</v>
      </c>
      <c r="B14" s="1" t="s">
        <v>38</v>
      </c>
      <c r="C14" s="1" t="s">
        <v>7</v>
      </c>
      <c r="D14" s="1" t="s">
        <v>11</v>
      </c>
      <c r="E14" s="3">
        <v>2312</v>
      </c>
      <c r="F14" s="1" t="str">
        <f>VLOOKUP(D14,Table8[[Name]:[Native]],3,FALSE)</f>
        <v>改则县</v>
      </c>
      <c r="G14" s="12" t="str">
        <f ca="1">VLOOKUP(F14,Table8[[Native]:[Population4]],5,FALSE)</f>
        <v>阿里地区</v>
      </c>
    </row>
    <row r="15" spans="1:7" ht="15.75" thickBot="1" x14ac:dyDescent="0.3">
      <c r="A15" t="s">
        <v>39</v>
      </c>
      <c r="B15" s="1" t="s">
        <v>40</v>
      </c>
      <c r="C15" s="1" t="s">
        <v>7</v>
      </c>
      <c r="D15" s="1" t="s">
        <v>8</v>
      </c>
      <c r="E15" s="3">
        <v>1951</v>
      </c>
      <c r="F15" s="1" t="str">
        <f>VLOOKUP(D15,Table8[[Name]:[Native]],3,FALSE)</f>
        <v>普兰县</v>
      </c>
      <c r="G15" s="12" t="str">
        <f ca="1">VLOOKUP(F15,Table8[[Native]:[Population4]],5,FALSE)</f>
        <v>阿里地区</v>
      </c>
    </row>
    <row r="16" spans="1:7" ht="15.75" thickBot="1" x14ac:dyDescent="0.3">
      <c r="A16" t="s">
        <v>41</v>
      </c>
      <c r="B16" s="1" t="s">
        <v>42</v>
      </c>
      <c r="C16" s="1" t="s">
        <v>7</v>
      </c>
      <c r="D16" s="1" t="s">
        <v>14</v>
      </c>
      <c r="E16" s="3">
        <v>2924</v>
      </c>
      <c r="F16" s="1" t="str">
        <f>VLOOKUP(D16,Table8[[Name]:[Native]],3,FALSE)</f>
        <v>措勤县</v>
      </c>
      <c r="G16" s="12" t="str">
        <f ca="1">VLOOKUP(F16,Table8[[Native]:[Population4]],5,FALSE)</f>
        <v>阿里地区</v>
      </c>
    </row>
    <row r="17" spans="1:7" ht="15.75" thickBot="1" x14ac:dyDescent="0.3">
      <c r="A17" t="s">
        <v>43</v>
      </c>
      <c r="B17" s="1" t="s">
        <v>44</v>
      </c>
      <c r="C17" s="1" t="s">
        <v>7</v>
      </c>
      <c r="D17" s="1" t="s">
        <v>45</v>
      </c>
      <c r="E17" s="3">
        <v>1997</v>
      </c>
      <c r="F17" s="1" t="str">
        <f>VLOOKUP(D17,Table8[[Name]:[Native]],3,FALSE)</f>
        <v>噶尔县</v>
      </c>
      <c r="G17" s="12" t="str">
        <f ca="1">VLOOKUP(F17,Table8[[Native]:[Population4]],5,FALSE)</f>
        <v>阿里地区</v>
      </c>
    </row>
    <row r="18" spans="1:7" ht="15.75" thickBot="1" x14ac:dyDescent="0.3">
      <c r="A18" t="s">
        <v>46</v>
      </c>
      <c r="B18" s="1" t="s">
        <v>47</v>
      </c>
      <c r="C18" s="1" t="s">
        <v>7</v>
      </c>
      <c r="D18" s="1" t="s">
        <v>11</v>
      </c>
      <c r="E18" s="3">
        <v>4363</v>
      </c>
      <c r="F18" s="1" t="str">
        <f>VLOOKUP(D18,Table8[[Name]:[Native]],3,FALSE)</f>
        <v>改则县</v>
      </c>
      <c r="G18" s="12" t="str">
        <f ca="1">VLOOKUP(F18,Table8[[Native]:[Population4]],5,FALSE)</f>
        <v>阿里地区</v>
      </c>
    </row>
    <row r="19" spans="1:7" ht="15.75" thickBot="1" x14ac:dyDescent="0.3">
      <c r="A19" t="s">
        <v>48</v>
      </c>
      <c r="B19" s="1" t="s">
        <v>49</v>
      </c>
      <c r="C19" s="1" t="s">
        <v>7</v>
      </c>
      <c r="D19" s="1" t="s">
        <v>45</v>
      </c>
      <c r="E19" s="3">
        <v>2193</v>
      </c>
      <c r="F19" s="1" t="str">
        <f>VLOOKUP(D19,Table8[[Name]:[Native]],3,FALSE)</f>
        <v>噶尔县</v>
      </c>
      <c r="G19" s="12" t="str">
        <f ca="1">VLOOKUP(F19,Table8[[Native]:[Population4]],5,FALSE)</f>
        <v>阿里地区</v>
      </c>
    </row>
    <row r="20" spans="1:7" ht="15.75" thickBot="1" x14ac:dyDescent="0.3">
      <c r="A20" t="s">
        <v>50</v>
      </c>
      <c r="B20" s="1" t="s">
        <v>51</v>
      </c>
      <c r="C20" s="1" t="s">
        <v>17</v>
      </c>
      <c r="D20" s="1" t="s">
        <v>8</v>
      </c>
      <c r="E20" s="3">
        <v>6047</v>
      </c>
      <c r="F20" s="1" t="str">
        <f>VLOOKUP(D20,Table8[[Name]:[Native]],3,FALSE)</f>
        <v>普兰县</v>
      </c>
      <c r="G20" s="12" t="str">
        <f ca="1">VLOOKUP(F20,Table8[[Native]:[Population4]],5,FALSE)</f>
        <v>阿里地区</v>
      </c>
    </row>
    <row r="21" spans="1:7" ht="15.75" thickBot="1" x14ac:dyDescent="0.3">
      <c r="A21" t="s">
        <v>52</v>
      </c>
      <c r="B21" s="1" t="s">
        <v>53</v>
      </c>
      <c r="C21" s="1" t="s">
        <v>7</v>
      </c>
      <c r="D21" s="1" t="s">
        <v>14</v>
      </c>
      <c r="E21" s="3">
        <v>2398</v>
      </c>
      <c r="F21" s="1" t="str">
        <f>VLOOKUP(D21,Table8[[Name]:[Native]],3,FALSE)</f>
        <v>措勤县</v>
      </c>
      <c r="G21" s="12" t="str">
        <f ca="1">VLOOKUP(F21,Table8[[Native]:[Population4]],5,FALSE)</f>
        <v>阿里地区</v>
      </c>
    </row>
    <row r="22" spans="1:7" ht="15.75" thickBot="1" x14ac:dyDescent="0.3">
      <c r="A22" t="s">
        <v>54</v>
      </c>
      <c r="B22" s="1" t="s">
        <v>55</v>
      </c>
      <c r="C22" s="1" t="s">
        <v>7</v>
      </c>
      <c r="D22" s="1" t="s">
        <v>20</v>
      </c>
      <c r="E22" s="3">
        <v>928</v>
      </c>
      <c r="F22" s="1" t="str">
        <f>VLOOKUP(D22,Table8[[Name]:[Native]],3,FALSE)</f>
        <v>札达县</v>
      </c>
      <c r="G22" s="12" t="str">
        <f ca="1">VLOOKUP(F22,Table8[[Native]:[Population4]],5,FALSE)</f>
        <v>阿里地区</v>
      </c>
    </row>
    <row r="23" spans="1:7" ht="15.75" thickBot="1" x14ac:dyDescent="0.3">
      <c r="A23" t="s">
        <v>56</v>
      </c>
      <c r="B23" s="1" t="s">
        <v>57</v>
      </c>
      <c r="C23" s="1" t="s">
        <v>7</v>
      </c>
      <c r="D23" s="1" t="s">
        <v>29</v>
      </c>
      <c r="E23" s="3">
        <v>2242</v>
      </c>
      <c r="F23" s="1" t="str">
        <f>VLOOKUP(D23,Table8[[Name]:[Native]],3,FALSE)</f>
        <v>日土县</v>
      </c>
      <c r="G23" s="12" t="str">
        <f ca="1">VLOOKUP(F23,Table8[[Native]:[Population4]],5,FALSE)</f>
        <v>阿里地区</v>
      </c>
    </row>
    <row r="24" spans="1:7" ht="15.75" thickBot="1" x14ac:dyDescent="0.3">
      <c r="A24" t="s">
        <v>58</v>
      </c>
      <c r="B24" s="1" t="s">
        <v>59</v>
      </c>
      <c r="C24" s="1" t="s">
        <v>7</v>
      </c>
      <c r="D24" s="1" t="s">
        <v>29</v>
      </c>
      <c r="E24" s="3">
        <v>1921</v>
      </c>
      <c r="F24" s="1" t="str">
        <f>VLOOKUP(D24,Table8[[Name]:[Native]],3,FALSE)</f>
        <v>日土县</v>
      </c>
      <c r="G24" s="12" t="str">
        <f ca="1">VLOOKUP(F24,Table8[[Native]:[Population4]],5,FALSE)</f>
        <v>阿里地区</v>
      </c>
    </row>
    <row r="25" spans="1:7" ht="15.75" thickBot="1" x14ac:dyDescent="0.3">
      <c r="A25" t="s">
        <v>60</v>
      </c>
      <c r="B25" s="1" t="s">
        <v>61</v>
      </c>
      <c r="C25" s="1" t="s">
        <v>17</v>
      </c>
      <c r="D25" s="1" t="s">
        <v>29</v>
      </c>
      <c r="E25" s="3">
        <v>3057</v>
      </c>
      <c r="F25" s="1" t="str">
        <f>VLOOKUP(D25,Table8[[Name]:[Native]],3,FALSE)</f>
        <v>日土县</v>
      </c>
      <c r="G25" s="12" t="str">
        <f ca="1">VLOOKUP(F25,Table8[[Native]:[Population4]],5,FALSE)</f>
        <v>阿里地区</v>
      </c>
    </row>
    <row r="26" spans="1:7" ht="15.75" thickBot="1" x14ac:dyDescent="0.3">
      <c r="A26" t="s">
        <v>62</v>
      </c>
      <c r="B26" s="1" t="s">
        <v>63</v>
      </c>
      <c r="C26" s="1" t="s">
        <v>7</v>
      </c>
      <c r="D26" s="1" t="s">
        <v>20</v>
      </c>
      <c r="E26" s="3">
        <v>663</v>
      </c>
      <c r="F26" s="1" t="str">
        <f>VLOOKUP(D26,Table8[[Name]:[Native]],3,FALSE)</f>
        <v>札达县</v>
      </c>
      <c r="G26" s="12" t="str">
        <f ca="1">VLOOKUP(F26,Table8[[Native]:[Population4]],5,FALSE)</f>
        <v>阿里地区</v>
      </c>
    </row>
    <row r="27" spans="1:7" ht="15.75" thickBot="1" x14ac:dyDescent="0.3">
      <c r="A27" t="s">
        <v>64</v>
      </c>
      <c r="B27" s="1" t="s">
        <v>65</v>
      </c>
      <c r="C27" s="1" t="s">
        <v>17</v>
      </c>
      <c r="D27" s="1" t="s">
        <v>45</v>
      </c>
      <c r="E27" s="3">
        <v>10507</v>
      </c>
      <c r="F27" s="1" t="str">
        <f>VLOOKUP(D27,Table8[[Name]:[Native]],3,FALSE)</f>
        <v>噶尔县</v>
      </c>
      <c r="G27" s="12" t="str">
        <f ca="1">VLOOKUP(F27,Table8[[Native]:[Population4]],5,FALSE)</f>
        <v>阿里地区</v>
      </c>
    </row>
    <row r="28" spans="1:7" ht="15.75" thickBot="1" x14ac:dyDescent="0.3">
      <c r="A28" t="s">
        <v>66</v>
      </c>
      <c r="B28" s="1" t="s">
        <v>67</v>
      </c>
      <c r="C28" s="1" t="s">
        <v>17</v>
      </c>
      <c r="D28" s="1" t="s">
        <v>20</v>
      </c>
      <c r="E28" s="3">
        <v>2014</v>
      </c>
      <c r="F28" s="1" t="str">
        <f>VLOOKUP(D28,Table8[[Name]:[Native]],3,FALSE)</f>
        <v>札达县</v>
      </c>
      <c r="G28" s="12" t="str">
        <f ca="1">VLOOKUP(F28,Table8[[Native]:[Population4]],5,FALSE)</f>
        <v>阿里地区</v>
      </c>
    </row>
    <row r="29" spans="1:7" ht="15.75" thickBot="1" x14ac:dyDescent="0.3">
      <c r="A29" t="s">
        <v>68</v>
      </c>
      <c r="B29" s="1" t="s">
        <v>69</v>
      </c>
      <c r="C29" s="1" t="s">
        <v>7</v>
      </c>
      <c r="D29" s="1" t="s">
        <v>36</v>
      </c>
      <c r="E29" s="3">
        <v>1926</v>
      </c>
      <c r="F29" s="1" t="str">
        <f>VLOOKUP(D29,Table8[[Name]:[Native]],3,FALSE)</f>
        <v>革吉县</v>
      </c>
      <c r="G29" s="12" t="str">
        <f ca="1">VLOOKUP(F29,Table8[[Native]:[Population4]],5,FALSE)</f>
        <v>阿里地区</v>
      </c>
    </row>
    <row r="30" spans="1:7" ht="15.75" thickBot="1" x14ac:dyDescent="0.3">
      <c r="A30" t="s">
        <v>70</v>
      </c>
      <c r="B30" s="1" t="s">
        <v>71</v>
      </c>
      <c r="C30" s="1" t="s">
        <v>7</v>
      </c>
      <c r="D30" s="1" t="s">
        <v>11</v>
      </c>
      <c r="E30" s="3">
        <v>2315</v>
      </c>
      <c r="F30" s="1" t="str">
        <f>VLOOKUP(D30,Table8[[Name]:[Native]],3,FALSE)</f>
        <v>改则县</v>
      </c>
      <c r="G30" s="12" t="str">
        <f ca="1">VLOOKUP(F30,Table8[[Native]:[Population4]],5,FALSE)</f>
        <v>阿里地区</v>
      </c>
    </row>
    <row r="31" spans="1:7" ht="15.75" thickBot="1" x14ac:dyDescent="0.3">
      <c r="A31" t="s">
        <v>72</v>
      </c>
      <c r="B31" s="1" t="s">
        <v>73</v>
      </c>
      <c r="C31" s="1" t="s">
        <v>7</v>
      </c>
      <c r="D31" s="1" t="s">
        <v>20</v>
      </c>
      <c r="E31" s="3">
        <v>1248</v>
      </c>
      <c r="F31" s="1" t="str">
        <f>VLOOKUP(D31,Table8[[Name]:[Native]],3,FALSE)</f>
        <v>札达县</v>
      </c>
      <c r="G31" s="12" t="str">
        <f ca="1">VLOOKUP(F31,Table8[[Native]:[Population4]],5,FALSE)</f>
        <v>阿里地区</v>
      </c>
    </row>
    <row r="32" spans="1:7" ht="15.75" thickBot="1" x14ac:dyDescent="0.3">
      <c r="A32" t="s">
        <v>74</v>
      </c>
      <c r="B32" s="1" t="s">
        <v>75</v>
      </c>
      <c r="C32" s="1" t="s">
        <v>7</v>
      </c>
      <c r="D32" s="1" t="s">
        <v>11</v>
      </c>
      <c r="E32" s="3">
        <v>1825</v>
      </c>
      <c r="F32" s="1" t="str">
        <f>VLOOKUP(D32,Table8[[Name]:[Native]],3,FALSE)</f>
        <v>改则县</v>
      </c>
      <c r="G32" s="12" t="str">
        <f ca="1">VLOOKUP(F32,Table8[[Native]:[Population4]],5,FALSE)</f>
        <v>阿里地区</v>
      </c>
    </row>
    <row r="33" spans="1:7" ht="15.75" thickBot="1" x14ac:dyDescent="0.3">
      <c r="A33" t="s">
        <v>76</v>
      </c>
      <c r="B33" s="1" t="s">
        <v>77</v>
      </c>
      <c r="C33" s="1" t="s">
        <v>7</v>
      </c>
      <c r="D33" s="1" t="s">
        <v>36</v>
      </c>
      <c r="E33" s="3">
        <v>3202</v>
      </c>
      <c r="F33" s="1" t="str">
        <f>VLOOKUP(D33,Table8[[Name]:[Native]],3,FALSE)</f>
        <v>革吉县</v>
      </c>
      <c r="G33" s="12" t="str">
        <f ca="1">VLOOKUP(F33,Table8[[Native]:[Population4]],5,FALSE)</f>
        <v>阿里地区</v>
      </c>
    </row>
    <row r="34" spans="1:7" ht="15.75" thickBot="1" x14ac:dyDescent="0.3">
      <c r="A34" t="s">
        <v>78</v>
      </c>
      <c r="B34" s="1" t="s">
        <v>79</v>
      </c>
      <c r="C34" s="1" t="s">
        <v>7</v>
      </c>
      <c r="D34" s="1" t="s">
        <v>36</v>
      </c>
      <c r="E34" s="3">
        <v>3124</v>
      </c>
      <c r="F34" s="1" t="str">
        <f>VLOOKUP(D34,Table8[[Name]:[Native]],3,FALSE)</f>
        <v>革吉县</v>
      </c>
      <c r="G34" s="12" t="str">
        <f ca="1">VLOOKUP(F34,Table8[[Native]:[Population4]],5,FALSE)</f>
        <v>阿里地区</v>
      </c>
    </row>
    <row r="35" spans="1:7" ht="15.75" thickBot="1" x14ac:dyDescent="0.3">
      <c r="A35" t="s">
        <v>80</v>
      </c>
      <c r="B35" s="1" t="s">
        <v>81</v>
      </c>
      <c r="C35" s="1" t="s">
        <v>7</v>
      </c>
      <c r="D35" s="1" t="s">
        <v>36</v>
      </c>
      <c r="E35" s="3">
        <v>3345</v>
      </c>
      <c r="F35" s="1" t="str">
        <f>VLOOKUP(D35,Table8[[Name]:[Native]],3,FALSE)</f>
        <v>革吉县</v>
      </c>
      <c r="G35" s="12" t="str">
        <f ca="1">VLOOKUP(F35,Table8[[Native]:[Population4]],5,FALSE)</f>
        <v>阿里地区</v>
      </c>
    </row>
    <row r="36" spans="1:7" ht="15.75" thickBot="1" x14ac:dyDescent="0.3">
      <c r="A36" t="s">
        <v>82</v>
      </c>
      <c r="B36" s="1" t="s">
        <v>83</v>
      </c>
      <c r="C36" s="1" t="s">
        <v>7</v>
      </c>
      <c r="D36" s="1" t="s">
        <v>45</v>
      </c>
      <c r="E36" s="3">
        <v>861</v>
      </c>
      <c r="F36" s="1" t="str">
        <f>VLOOKUP(D36,Table8[[Name]:[Native]],3,FALSE)</f>
        <v>噶尔县</v>
      </c>
      <c r="G36" s="12" t="str">
        <f ca="1">VLOOKUP(F36,Table8[[Native]:[Population4]],5,FALSE)</f>
        <v>阿里地区</v>
      </c>
    </row>
    <row r="37" spans="1:7" ht="15.75" thickBot="1" x14ac:dyDescent="0.3">
      <c r="A37" t="s">
        <v>84</v>
      </c>
      <c r="B37" s="1" t="s">
        <v>85</v>
      </c>
      <c r="C37" s="1" t="s">
        <v>7</v>
      </c>
      <c r="D37" s="1" t="s">
        <v>45</v>
      </c>
      <c r="E37" s="3">
        <v>1343</v>
      </c>
      <c r="F37" s="9" t="str">
        <f>VLOOKUP(D37,Table8[[Name]:[Native]],3,FALSE)</f>
        <v>噶尔县</v>
      </c>
      <c r="G37" s="12" t="str">
        <f ca="1">VLOOKUP(F37,Table8[[Native]:[Population4]],5,FALSE)</f>
        <v>阿里地区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7B3B-4A9D-4EF9-ACF0-573C51850B48}">
  <dimension ref="A1:G139"/>
  <sheetViews>
    <sheetView topLeftCell="A114" workbookViewId="0">
      <selection activeCell="G2" sqref="A2:G13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1502</v>
      </c>
      <c r="G1" t="s">
        <v>1504</v>
      </c>
    </row>
    <row r="2" spans="1:7" ht="15.75" thickBot="1" x14ac:dyDescent="0.3">
      <c r="A2" t="s">
        <v>86</v>
      </c>
      <c r="B2" s="1" t="s">
        <v>87</v>
      </c>
      <c r="C2" s="1" t="s">
        <v>7</v>
      </c>
      <c r="D2" s="1" t="s">
        <v>88</v>
      </c>
      <c r="E2" s="3">
        <v>4344</v>
      </c>
      <c r="F2" s="8" t="str">
        <f>VLOOKUP(D2,Table8[[Name]:[Native]],3,FALSE)</f>
        <v>卡若区</v>
      </c>
      <c r="G2" s="12" t="str">
        <f ca="1">VLOOKUP(F2,Table8[[Native]:[Population4]],5,FALSE)</f>
        <v>昌都市</v>
      </c>
    </row>
    <row r="3" spans="1:7" ht="15.75" thickBot="1" x14ac:dyDescent="0.3">
      <c r="A3" t="s">
        <v>89</v>
      </c>
      <c r="B3" s="1" t="s">
        <v>90</v>
      </c>
      <c r="C3" s="1" t="s">
        <v>7</v>
      </c>
      <c r="D3" s="1" t="s">
        <v>91</v>
      </c>
      <c r="E3" s="3">
        <v>2156</v>
      </c>
      <c r="F3" s="1" t="str">
        <f>VLOOKUP(D3,Table8[[Name]:[Native]],3,FALSE)</f>
        <v>芒康县</v>
      </c>
      <c r="G3" s="12" t="str">
        <f ca="1">VLOOKUP(F3,Table8[[Native]:[Population4]],5,FALSE)</f>
        <v>昌都市</v>
      </c>
    </row>
    <row r="4" spans="1:7" ht="15.75" thickBot="1" x14ac:dyDescent="0.3">
      <c r="A4" t="s">
        <v>92</v>
      </c>
      <c r="B4" s="1" t="s">
        <v>93</v>
      </c>
      <c r="C4" s="1" t="s">
        <v>7</v>
      </c>
      <c r="D4" s="1" t="s">
        <v>94</v>
      </c>
      <c r="E4" s="3">
        <v>1886</v>
      </c>
      <c r="F4" s="1" t="str">
        <f>VLOOKUP(D4,Table8[[Name]:[Native]],3,FALSE)</f>
        <v>贡觉县</v>
      </c>
      <c r="G4" s="12" t="str">
        <f ca="1">VLOOKUP(F4,Table8[[Native]:[Population4]],5,FALSE)</f>
        <v>昌都市</v>
      </c>
    </row>
    <row r="5" spans="1:7" ht="15.75" thickBot="1" x14ac:dyDescent="0.3">
      <c r="A5" t="s">
        <v>95</v>
      </c>
      <c r="B5" s="1" t="s">
        <v>96</v>
      </c>
      <c r="C5" s="1" t="s">
        <v>7</v>
      </c>
      <c r="D5" s="1" t="s">
        <v>97</v>
      </c>
      <c r="E5" s="3">
        <v>1646</v>
      </c>
      <c r="F5" s="1" t="str">
        <f>VLOOKUP(D5,Table8[[Name]:[Native]],3,FALSE)</f>
        <v>察雅县</v>
      </c>
      <c r="G5" s="12" t="str">
        <f ca="1">VLOOKUP(F5,Table8[[Native]:[Population4]],5,FALSE)</f>
        <v>昌都市</v>
      </c>
    </row>
    <row r="6" spans="1:7" ht="15.75" thickBot="1" x14ac:dyDescent="0.3">
      <c r="A6" t="s">
        <v>98</v>
      </c>
      <c r="B6" s="1" t="s">
        <v>99</v>
      </c>
      <c r="C6" s="1" t="s">
        <v>7</v>
      </c>
      <c r="D6" s="1" t="s">
        <v>100</v>
      </c>
      <c r="E6" s="3">
        <v>2169</v>
      </c>
      <c r="F6" s="1" t="str">
        <f>VLOOKUP(D6,Table8[[Name]:[Native]],3,FALSE)</f>
        <v>丁青县</v>
      </c>
      <c r="G6" s="12" t="str">
        <f ca="1">VLOOKUP(F6,Table8[[Native]:[Population4]],5,FALSE)</f>
        <v>昌都市</v>
      </c>
    </row>
    <row r="7" spans="1:7" ht="15.75" thickBot="1" x14ac:dyDescent="0.3">
      <c r="A7" t="s">
        <v>101</v>
      </c>
      <c r="B7" s="1" t="s">
        <v>102</v>
      </c>
      <c r="C7" s="1" t="s">
        <v>7</v>
      </c>
      <c r="D7" s="1" t="s">
        <v>103</v>
      </c>
      <c r="E7" s="3">
        <v>765</v>
      </c>
      <c r="F7" s="1" t="str">
        <f>VLOOKUP(D7,Table8[[Name]:[Native]],3,FALSE)</f>
        <v>洛隆县</v>
      </c>
      <c r="G7" s="12" t="str">
        <f ca="1">VLOOKUP(F7,Table8[[Native]:[Population4]],5,FALSE)</f>
        <v>昌都市</v>
      </c>
    </row>
    <row r="8" spans="1:7" ht="15.75" thickBot="1" x14ac:dyDescent="0.3">
      <c r="A8" t="s">
        <v>104</v>
      </c>
      <c r="B8" s="1" t="s">
        <v>105</v>
      </c>
      <c r="C8" s="1" t="s">
        <v>17</v>
      </c>
      <c r="D8" s="1" t="s">
        <v>106</v>
      </c>
      <c r="E8" s="3">
        <v>6402</v>
      </c>
      <c r="F8" s="1" t="str">
        <f>VLOOKUP(D8,Table8[[Name]:[Native]],3,FALSE)</f>
        <v>八宿县</v>
      </c>
      <c r="G8" s="12" t="str">
        <f ca="1">VLOOKUP(F8,Table8[[Native]:[Population4]],5,FALSE)</f>
        <v>昌都市</v>
      </c>
    </row>
    <row r="9" spans="1:7" ht="15.75" thickBot="1" x14ac:dyDescent="0.3">
      <c r="A9" t="s">
        <v>107</v>
      </c>
      <c r="B9" s="1" t="s">
        <v>108</v>
      </c>
      <c r="C9" s="1" t="s">
        <v>7</v>
      </c>
      <c r="D9" s="1" t="s">
        <v>91</v>
      </c>
      <c r="E9" s="3">
        <v>8182</v>
      </c>
      <c r="F9" s="1" t="str">
        <f>VLOOKUP(D9,Table8[[Name]:[Native]],3,FALSE)</f>
        <v>芒康县</v>
      </c>
      <c r="G9" s="12" t="str">
        <f ca="1">VLOOKUP(F9,Table8[[Native]:[Population4]],5,FALSE)</f>
        <v>昌都市</v>
      </c>
    </row>
    <row r="10" spans="1:7" ht="15.75" thickBot="1" x14ac:dyDescent="0.3">
      <c r="A10" t="s">
        <v>109</v>
      </c>
      <c r="B10" s="1" t="s">
        <v>110</v>
      </c>
      <c r="C10" s="1" t="s">
        <v>17</v>
      </c>
      <c r="D10" s="1" t="s">
        <v>106</v>
      </c>
      <c r="E10" s="3">
        <v>2284</v>
      </c>
      <c r="F10" s="1" t="str">
        <f>VLOOKUP(D10,Table8[[Name]:[Native]],3,FALSE)</f>
        <v>八宿县</v>
      </c>
      <c r="G10" s="12" t="str">
        <f ca="1">VLOOKUP(F10,Table8[[Native]:[Population4]],5,FALSE)</f>
        <v>昌都市</v>
      </c>
    </row>
    <row r="11" spans="1:7" ht="15.75" thickBot="1" x14ac:dyDescent="0.3">
      <c r="A11" t="s">
        <v>111</v>
      </c>
      <c r="B11" s="1" t="s">
        <v>112</v>
      </c>
      <c r="C11" s="1" t="s">
        <v>7</v>
      </c>
      <c r="D11" s="1" t="s">
        <v>97</v>
      </c>
      <c r="E11" s="3">
        <v>4592</v>
      </c>
      <c r="F11" s="1" t="str">
        <f>VLOOKUP(D11,Table8[[Name]:[Native]],3,FALSE)</f>
        <v>察雅县</v>
      </c>
      <c r="G11" s="12" t="str">
        <f ca="1">VLOOKUP(F11,Table8[[Native]:[Population4]],5,FALSE)</f>
        <v>昌都市</v>
      </c>
    </row>
    <row r="12" spans="1:7" ht="15.75" thickBot="1" x14ac:dyDescent="0.3">
      <c r="A12" t="s">
        <v>113</v>
      </c>
      <c r="B12" s="1" t="s">
        <v>114</v>
      </c>
      <c r="C12" s="1" t="s">
        <v>17</v>
      </c>
      <c r="D12" s="1" t="s">
        <v>115</v>
      </c>
      <c r="E12" s="3">
        <v>5032</v>
      </c>
      <c r="F12" s="1" t="str">
        <f>VLOOKUP(D12,Table8[[Name]:[Native]],3,FALSE)</f>
        <v>边坝县</v>
      </c>
      <c r="G12" s="12" t="str">
        <f ca="1">VLOOKUP(F12,Table8[[Native]:[Population4]],5,FALSE)</f>
        <v>昌都市</v>
      </c>
    </row>
    <row r="13" spans="1:7" ht="15.75" thickBot="1" x14ac:dyDescent="0.3">
      <c r="A13" t="s">
        <v>116</v>
      </c>
      <c r="B13" s="1" t="s">
        <v>117</v>
      </c>
      <c r="C13" s="1" t="s">
        <v>7</v>
      </c>
      <c r="D13" s="1" t="s">
        <v>118</v>
      </c>
      <c r="E13" s="3">
        <v>2556</v>
      </c>
      <c r="F13" s="1" t="str">
        <f>VLOOKUP(D13,Table8[[Name]:[Native]],3,FALSE)</f>
        <v>类乌齐县</v>
      </c>
      <c r="G13" s="12" t="str">
        <f ca="1">VLOOKUP(F13,Table8[[Native]:[Population4]],5,FALSE)</f>
        <v>昌都市</v>
      </c>
    </row>
    <row r="14" spans="1:7" ht="15.75" thickBot="1" x14ac:dyDescent="0.3">
      <c r="A14" t="s">
        <v>119</v>
      </c>
      <c r="B14" s="1" t="s">
        <v>120</v>
      </c>
      <c r="C14" s="1" t="s">
        <v>7</v>
      </c>
      <c r="D14" s="1" t="s">
        <v>121</v>
      </c>
      <c r="E14" s="3">
        <v>2233</v>
      </c>
      <c r="F14" s="1" t="str">
        <f>VLOOKUP(D14,Table8[[Name]:[Native]],3,FALSE)</f>
        <v>左贡县</v>
      </c>
      <c r="G14" s="12" t="str">
        <f ca="1">VLOOKUP(F14,Table8[[Native]:[Population4]],5,FALSE)</f>
        <v>昌都市</v>
      </c>
    </row>
    <row r="15" spans="1:7" ht="15.75" thickBot="1" x14ac:dyDescent="0.3">
      <c r="A15" t="s">
        <v>122</v>
      </c>
      <c r="B15" s="1" t="s">
        <v>123</v>
      </c>
      <c r="C15" s="1" t="s">
        <v>7</v>
      </c>
      <c r="D15" s="1" t="s">
        <v>124</v>
      </c>
      <c r="E15" s="3">
        <v>7306</v>
      </c>
      <c r="F15" s="1" t="str">
        <f>VLOOKUP(D15,Table8[[Name]:[Native]],3,FALSE)</f>
        <v>江达县</v>
      </c>
      <c r="G15" s="12" t="str">
        <f ca="1">VLOOKUP(F15,Table8[[Native]:[Population4]],5,FALSE)</f>
        <v>昌都市</v>
      </c>
    </row>
    <row r="16" spans="1:7" ht="15.75" thickBot="1" x14ac:dyDescent="0.3">
      <c r="A16" t="s">
        <v>125</v>
      </c>
      <c r="B16" s="1" t="s">
        <v>126</v>
      </c>
      <c r="C16" s="1" t="s">
        <v>7</v>
      </c>
      <c r="D16" s="1" t="s">
        <v>100</v>
      </c>
      <c r="E16" s="3">
        <v>2259</v>
      </c>
      <c r="F16" s="1" t="str">
        <f>VLOOKUP(D16,Table8[[Name]:[Native]],3,FALSE)</f>
        <v>丁青县</v>
      </c>
      <c r="G16" s="12" t="str">
        <f ca="1">VLOOKUP(F16,Table8[[Native]:[Population4]],5,FALSE)</f>
        <v>昌都市</v>
      </c>
    </row>
    <row r="17" spans="1:7" ht="15.75" thickBot="1" x14ac:dyDescent="0.3">
      <c r="A17" t="s">
        <v>127</v>
      </c>
      <c r="B17" s="1" t="s">
        <v>128</v>
      </c>
      <c r="C17" s="1" t="s">
        <v>17</v>
      </c>
      <c r="D17" s="1" t="s">
        <v>115</v>
      </c>
      <c r="E17" s="3">
        <v>7250</v>
      </c>
      <c r="F17" s="1" t="str">
        <f>VLOOKUP(D17,Table8[[Name]:[Native]],3,FALSE)</f>
        <v>边坝县</v>
      </c>
      <c r="G17" s="12" t="str">
        <f ca="1">VLOOKUP(F17,Table8[[Native]:[Population4]],5,FALSE)</f>
        <v>昌都市</v>
      </c>
    </row>
    <row r="18" spans="1:7" ht="15.75" thickBot="1" x14ac:dyDescent="0.3">
      <c r="A18" t="s">
        <v>129</v>
      </c>
      <c r="B18" s="1" t="s">
        <v>130</v>
      </c>
      <c r="C18" s="1" t="s">
        <v>7</v>
      </c>
      <c r="D18" s="1" t="s">
        <v>88</v>
      </c>
      <c r="E18" s="3">
        <v>7338</v>
      </c>
      <c r="F18" s="1" t="str">
        <f>VLOOKUP(D18,Table8[[Name]:[Native]],3,FALSE)</f>
        <v>卡若区</v>
      </c>
      <c r="G18" s="12" t="str">
        <f ca="1">VLOOKUP(F18,Table8[[Native]:[Population4]],5,FALSE)</f>
        <v>昌都市</v>
      </c>
    </row>
    <row r="19" spans="1:7" ht="15.75" thickBot="1" x14ac:dyDescent="0.3">
      <c r="A19" t="s">
        <v>131</v>
      </c>
      <c r="B19" s="1" t="s">
        <v>132</v>
      </c>
      <c r="C19" s="1" t="s">
        <v>7</v>
      </c>
      <c r="D19" s="1" t="s">
        <v>97</v>
      </c>
      <c r="E19" s="3">
        <v>1620</v>
      </c>
      <c r="F19" s="1" t="str">
        <f>VLOOKUP(D19,Table8[[Name]:[Native]],3,FALSE)</f>
        <v>察雅县</v>
      </c>
      <c r="G19" s="12" t="str">
        <f ca="1">VLOOKUP(F19,Table8[[Native]:[Population4]],5,FALSE)</f>
        <v>昌都市</v>
      </c>
    </row>
    <row r="20" spans="1:7" ht="15.75" thickBot="1" x14ac:dyDescent="0.3">
      <c r="A20" t="s">
        <v>133</v>
      </c>
      <c r="B20" s="1" t="s">
        <v>134</v>
      </c>
      <c r="C20" s="1" t="s">
        <v>7</v>
      </c>
      <c r="D20" s="1" t="s">
        <v>118</v>
      </c>
      <c r="E20" s="3">
        <v>6842</v>
      </c>
      <c r="F20" s="1" t="str">
        <f>VLOOKUP(D20,Table8[[Name]:[Native]],3,FALSE)</f>
        <v>类乌齐县</v>
      </c>
      <c r="G20" s="12" t="str">
        <f ca="1">VLOOKUP(F20,Table8[[Native]:[Population4]],5,FALSE)</f>
        <v>昌都市</v>
      </c>
    </row>
    <row r="21" spans="1:7" ht="15.75" thickBot="1" x14ac:dyDescent="0.3">
      <c r="A21" t="s">
        <v>135</v>
      </c>
      <c r="B21" s="1" t="s">
        <v>136</v>
      </c>
      <c r="C21" s="1" t="s">
        <v>17</v>
      </c>
      <c r="D21" s="1" t="s">
        <v>88</v>
      </c>
      <c r="E21" s="3">
        <v>45861</v>
      </c>
      <c r="F21" s="1" t="str">
        <f>VLOOKUP(D21,Table8[[Name]:[Native]],3,FALSE)</f>
        <v>卡若区</v>
      </c>
      <c r="G21" s="12" t="str">
        <f ca="1">VLOOKUP(F21,Table8[[Native]:[Population4]],5,FALSE)</f>
        <v>昌都市</v>
      </c>
    </row>
    <row r="22" spans="1:7" ht="15.75" thickBot="1" x14ac:dyDescent="0.3">
      <c r="A22" t="s">
        <v>137</v>
      </c>
      <c r="B22" s="1" t="s">
        <v>138</v>
      </c>
      <c r="C22" s="1" t="s">
        <v>17</v>
      </c>
      <c r="D22" s="1" t="s">
        <v>100</v>
      </c>
      <c r="E22" s="3">
        <v>9463</v>
      </c>
      <c r="F22" s="1" t="str">
        <f>VLOOKUP(D22,Table8[[Name]:[Native]],3,FALSE)</f>
        <v>丁青县</v>
      </c>
      <c r="G22" s="12" t="str">
        <f ca="1">VLOOKUP(F22,Table8[[Native]:[Population4]],5,FALSE)</f>
        <v>昌都市</v>
      </c>
    </row>
    <row r="23" spans="1:7" ht="15.75" thickBot="1" x14ac:dyDescent="0.3">
      <c r="A23" t="s">
        <v>139</v>
      </c>
      <c r="B23" s="1" t="s">
        <v>140</v>
      </c>
      <c r="C23" s="1" t="s">
        <v>7</v>
      </c>
      <c r="D23" s="1" t="s">
        <v>91</v>
      </c>
      <c r="E23" s="3">
        <v>8646</v>
      </c>
      <c r="F23" s="1" t="str">
        <f>VLOOKUP(D23,Table8[[Name]:[Native]],3,FALSE)</f>
        <v>芒康县</v>
      </c>
      <c r="G23" s="12" t="str">
        <f ca="1">VLOOKUP(F23,Table8[[Native]:[Population4]],5,FALSE)</f>
        <v>昌都市</v>
      </c>
    </row>
    <row r="24" spans="1:7" ht="15.75" thickBot="1" x14ac:dyDescent="0.3">
      <c r="A24" t="s">
        <v>141</v>
      </c>
      <c r="B24" s="1" t="s">
        <v>142</v>
      </c>
      <c r="C24" s="1" t="s">
        <v>7</v>
      </c>
      <c r="D24" s="1" t="s">
        <v>103</v>
      </c>
      <c r="E24" s="3">
        <v>1244</v>
      </c>
      <c r="F24" s="1" t="str">
        <f>VLOOKUP(D24,Table8[[Name]:[Native]],3,FALSE)</f>
        <v>洛隆县</v>
      </c>
      <c r="G24" s="12" t="str">
        <f ca="1">VLOOKUP(F24,Table8[[Native]:[Population4]],5,FALSE)</f>
        <v>昌都市</v>
      </c>
    </row>
    <row r="25" spans="1:7" ht="15.75" thickBot="1" x14ac:dyDescent="0.3">
      <c r="A25" t="s">
        <v>143</v>
      </c>
      <c r="B25" s="1" t="s">
        <v>144</v>
      </c>
      <c r="C25" s="1" t="s">
        <v>7</v>
      </c>
      <c r="D25" s="1" t="s">
        <v>100</v>
      </c>
      <c r="E25" s="3">
        <v>5926</v>
      </c>
      <c r="F25" s="1" t="str">
        <f>VLOOKUP(D25,Table8[[Name]:[Native]],3,FALSE)</f>
        <v>丁青县</v>
      </c>
      <c r="G25" s="12" t="str">
        <f ca="1">VLOOKUP(F25,Table8[[Native]:[Population4]],5,FALSE)</f>
        <v>昌都市</v>
      </c>
    </row>
    <row r="26" spans="1:7" ht="15.75" thickBot="1" x14ac:dyDescent="0.3">
      <c r="A26" t="s">
        <v>145</v>
      </c>
      <c r="B26" s="1" t="s">
        <v>146</v>
      </c>
      <c r="C26" s="1" t="s">
        <v>7</v>
      </c>
      <c r="D26" s="1" t="s">
        <v>124</v>
      </c>
      <c r="E26" s="3">
        <v>6150</v>
      </c>
      <c r="F26" s="1" t="str">
        <f>VLOOKUP(D26,Table8[[Name]:[Native]],3,FALSE)</f>
        <v>江达县</v>
      </c>
      <c r="G26" s="12" t="str">
        <f ca="1">VLOOKUP(F26,Table8[[Native]:[Population4]],5,FALSE)</f>
        <v>昌都市</v>
      </c>
    </row>
    <row r="27" spans="1:7" ht="15.75" thickBot="1" x14ac:dyDescent="0.3">
      <c r="A27" t="s">
        <v>147</v>
      </c>
      <c r="B27" s="1" t="s">
        <v>148</v>
      </c>
      <c r="C27" s="1" t="s">
        <v>7</v>
      </c>
      <c r="D27" s="1" t="s">
        <v>124</v>
      </c>
      <c r="E27" s="3">
        <v>6229</v>
      </c>
      <c r="F27" s="1" t="str">
        <f>VLOOKUP(D27,Table8[[Name]:[Native]],3,FALSE)</f>
        <v>江达县</v>
      </c>
      <c r="G27" s="12" t="str">
        <f ca="1">VLOOKUP(F27,Table8[[Native]:[Population4]],5,FALSE)</f>
        <v>昌都市</v>
      </c>
    </row>
    <row r="28" spans="1:7" ht="15.75" thickBot="1" x14ac:dyDescent="0.3">
      <c r="A28" t="s">
        <v>149</v>
      </c>
      <c r="B28" s="1" t="s">
        <v>150</v>
      </c>
      <c r="C28" s="1" t="s">
        <v>17</v>
      </c>
      <c r="D28" s="1" t="s">
        <v>100</v>
      </c>
      <c r="E28" s="3">
        <v>10028</v>
      </c>
      <c r="F28" s="1" t="str">
        <f>VLOOKUP(D28,Table8[[Name]:[Native]],3,FALSE)</f>
        <v>丁青县</v>
      </c>
      <c r="G28" s="12" t="str">
        <f ca="1">VLOOKUP(F28,Table8[[Native]:[Population4]],5,FALSE)</f>
        <v>昌都市</v>
      </c>
    </row>
    <row r="29" spans="1:7" ht="15.75" thickBot="1" x14ac:dyDescent="0.3">
      <c r="A29" t="s">
        <v>151</v>
      </c>
      <c r="B29" s="1" t="s">
        <v>152</v>
      </c>
      <c r="C29" s="1" t="s">
        <v>7</v>
      </c>
      <c r="D29" s="1" t="s">
        <v>121</v>
      </c>
      <c r="E29" s="3">
        <v>2554</v>
      </c>
      <c r="F29" s="1" t="str">
        <f>VLOOKUP(D29,Table8[[Name]:[Native]],3,FALSE)</f>
        <v>左贡县</v>
      </c>
      <c r="G29" s="12" t="str">
        <f ca="1">VLOOKUP(F29,Table8[[Native]:[Population4]],5,FALSE)</f>
        <v>昌都市</v>
      </c>
    </row>
    <row r="30" spans="1:7" ht="15.75" thickBot="1" x14ac:dyDescent="0.3">
      <c r="A30" t="s">
        <v>153</v>
      </c>
      <c r="B30" s="1" t="s">
        <v>154</v>
      </c>
      <c r="C30" s="1" t="s">
        <v>7</v>
      </c>
      <c r="D30" s="1" t="s">
        <v>115</v>
      </c>
      <c r="E30" s="3">
        <v>2832</v>
      </c>
      <c r="F30" s="1" t="str">
        <f>VLOOKUP(D30,Table8[[Name]:[Native]],3,FALSE)</f>
        <v>边坝县</v>
      </c>
      <c r="G30" s="12" t="str">
        <f ca="1">VLOOKUP(F30,Table8[[Native]:[Population4]],5,FALSE)</f>
        <v>昌都市</v>
      </c>
    </row>
    <row r="31" spans="1:7" ht="15.75" thickBot="1" x14ac:dyDescent="0.3">
      <c r="A31" t="s">
        <v>155</v>
      </c>
      <c r="B31" s="1" t="s">
        <v>156</v>
      </c>
      <c r="C31" s="1" t="s">
        <v>17</v>
      </c>
      <c r="D31" s="1" t="s">
        <v>88</v>
      </c>
      <c r="E31" s="3">
        <v>6502</v>
      </c>
      <c r="F31" s="1" t="str">
        <f>VLOOKUP(D31,Table8[[Name]:[Native]],3,FALSE)</f>
        <v>卡若区</v>
      </c>
      <c r="G31" s="12" t="str">
        <f ca="1">VLOOKUP(F31,Table8[[Native]:[Population4]],5,FALSE)</f>
        <v>昌都市</v>
      </c>
    </row>
    <row r="32" spans="1:7" ht="15.75" thickBot="1" x14ac:dyDescent="0.3">
      <c r="A32" t="s">
        <v>157</v>
      </c>
      <c r="B32" s="1" t="s">
        <v>158</v>
      </c>
      <c r="C32" s="1" t="s">
        <v>7</v>
      </c>
      <c r="D32" s="1" t="s">
        <v>103</v>
      </c>
      <c r="E32" s="3">
        <v>6140</v>
      </c>
      <c r="F32" s="1" t="str">
        <f>VLOOKUP(D32,Table8[[Name]:[Native]],3,FALSE)</f>
        <v>洛隆县</v>
      </c>
      <c r="G32" s="12" t="str">
        <f ca="1">VLOOKUP(F32,Table8[[Native]:[Population4]],5,FALSE)</f>
        <v>昌都市</v>
      </c>
    </row>
    <row r="33" spans="1:7" ht="15.75" thickBot="1" x14ac:dyDescent="0.3">
      <c r="A33" t="s">
        <v>159</v>
      </c>
      <c r="B33" s="1" t="s">
        <v>160</v>
      </c>
      <c r="C33" s="1" t="s">
        <v>7</v>
      </c>
      <c r="D33" s="1" t="s">
        <v>88</v>
      </c>
      <c r="E33" s="3">
        <v>3806</v>
      </c>
      <c r="F33" s="1" t="str">
        <f>VLOOKUP(D33,Table8[[Name]:[Native]],3,FALSE)</f>
        <v>卡若区</v>
      </c>
      <c r="G33" s="12" t="str">
        <f ca="1">VLOOKUP(F33,Table8[[Native]:[Population4]],5,FALSE)</f>
        <v>昌都市</v>
      </c>
    </row>
    <row r="34" spans="1:7" ht="15.75" thickBot="1" x14ac:dyDescent="0.3">
      <c r="A34" t="s">
        <v>161</v>
      </c>
      <c r="B34" s="1" t="s">
        <v>162</v>
      </c>
      <c r="C34" s="1" t="s">
        <v>7</v>
      </c>
      <c r="D34" s="1" t="s">
        <v>118</v>
      </c>
      <c r="E34" s="3">
        <v>1987</v>
      </c>
      <c r="F34" s="1" t="str">
        <f>VLOOKUP(D34,Table8[[Name]:[Native]],3,FALSE)</f>
        <v>类乌齐县</v>
      </c>
      <c r="G34" s="12" t="str">
        <f ca="1">VLOOKUP(F34,Table8[[Native]:[Population4]],5,FALSE)</f>
        <v>昌都市</v>
      </c>
    </row>
    <row r="35" spans="1:7" ht="15.75" thickBot="1" x14ac:dyDescent="0.3">
      <c r="A35" t="s">
        <v>163</v>
      </c>
      <c r="B35" s="1" t="s">
        <v>164</v>
      </c>
      <c r="C35" s="1" t="s">
        <v>17</v>
      </c>
      <c r="D35" s="1" t="s">
        <v>124</v>
      </c>
      <c r="E35" s="3">
        <v>3484</v>
      </c>
      <c r="F35" s="1" t="str">
        <f>VLOOKUP(D35,Table8[[Name]:[Native]],3,FALSE)</f>
        <v>江达县</v>
      </c>
      <c r="G35" s="12" t="str">
        <f ca="1">VLOOKUP(F35,Table8[[Native]:[Population4]],5,FALSE)</f>
        <v>昌都市</v>
      </c>
    </row>
    <row r="36" spans="1:7" ht="15.75" thickBot="1" x14ac:dyDescent="0.3">
      <c r="A36" t="s">
        <v>165</v>
      </c>
      <c r="B36" s="1" t="s">
        <v>166</v>
      </c>
      <c r="C36" s="1" t="s">
        <v>7</v>
      </c>
      <c r="D36" s="1" t="s">
        <v>100</v>
      </c>
      <c r="E36" s="3">
        <v>1939</v>
      </c>
      <c r="F36" s="1" t="str">
        <f>VLOOKUP(D36,Table8[[Name]:[Native]],3,FALSE)</f>
        <v>丁青县</v>
      </c>
      <c r="G36" s="12" t="str">
        <f ca="1">VLOOKUP(F36,Table8[[Native]:[Population4]],5,FALSE)</f>
        <v>昌都市</v>
      </c>
    </row>
    <row r="37" spans="1:7" ht="15.75" thickBot="1" x14ac:dyDescent="0.3">
      <c r="A37" t="s">
        <v>167</v>
      </c>
      <c r="B37" s="1" t="s">
        <v>168</v>
      </c>
      <c r="C37" s="1" t="s">
        <v>7</v>
      </c>
      <c r="D37" s="1" t="s">
        <v>100</v>
      </c>
      <c r="E37" s="3">
        <v>3687</v>
      </c>
      <c r="F37" s="1" t="str">
        <f>VLOOKUP(D37,Table8[[Name]:[Native]],3,FALSE)</f>
        <v>丁青县</v>
      </c>
      <c r="G37" s="12" t="str">
        <f ca="1">VLOOKUP(F37,Table8[[Native]:[Population4]],5,FALSE)</f>
        <v>昌都市</v>
      </c>
    </row>
    <row r="38" spans="1:7" ht="15.75" thickBot="1" x14ac:dyDescent="0.3">
      <c r="A38" t="s">
        <v>169</v>
      </c>
      <c r="B38" s="1" t="s">
        <v>170</v>
      </c>
      <c r="C38" s="1" t="s">
        <v>17</v>
      </c>
      <c r="D38" s="1" t="s">
        <v>91</v>
      </c>
      <c r="E38" s="3">
        <v>12217</v>
      </c>
      <c r="F38" s="1" t="str">
        <f>VLOOKUP(D38,Table8[[Name]:[Native]],3,FALSE)</f>
        <v>芒康县</v>
      </c>
      <c r="G38" s="12" t="str">
        <f ca="1">VLOOKUP(F38,Table8[[Native]:[Population4]],5,FALSE)</f>
        <v>昌都市</v>
      </c>
    </row>
    <row r="39" spans="1:7" ht="15.75" thickBot="1" x14ac:dyDescent="0.3">
      <c r="A39" t="s">
        <v>171</v>
      </c>
      <c r="B39" s="1" t="s">
        <v>172</v>
      </c>
      <c r="C39" s="1" t="s">
        <v>7</v>
      </c>
      <c r="D39" s="1" t="s">
        <v>91</v>
      </c>
      <c r="E39" s="3">
        <v>2800</v>
      </c>
      <c r="F39" s="1" t="str">
        <f>VLOOKUP(D39,Table8[[Name]:[Native]],3,FALSE)</f>
        <v>芒康县</v>
      </c>
      <c r="G39" s="12" t="str">
        <f ca="1">VLOOKUP(F39,Table8[[Native]:[Population4]],5,FALSE)</f>
        <v>昌都市</v>
      </c>
    </row>
    <row r="40" spans="1:7" ht="15.75" thickBot="1" x14ac:dyDescent="0.3">
      <c r="A40" t="s">
        <v>173</v>
      </c>
      <c r="B40" s="1" t="s">
        <v>174</v>
      </c>
      <c r="C40" s="1" t="s">
        <v>7</v>
      </c>
      <c r="D40" s="1" t="s">
        <v>106</v>
      </c>
      <c r="E40" s="3">
        <v>4937</v>
      </c>
      <c r="F40" s="1" t="str">
        <f>VLOOKUP(D40,Table8[[Name]:[Native]],3,FALSE)</f>
        <v>八宿县</v>
      </c>
      <c r="G40" s="12" t="str">
        <f ca="1">VLOOKUP(F40,Table8[[Native]:[Population4]],5,FALSE)</f>
        <v>昌都市</v>
      </c>
    </row>
    <row r="41" spans="1:7" ht="15.75" thickBot="1" x14ac:dyDescent="0.3">
      <c r="A41" t="s">
        <v>175</v>
      </c>
      <c r="B41" s="1" t="s">
        <v>176</v>
      </c>
      <c r="C41" s="1" t="s">
        <v>7</v>
      </c>
      <c r="D41" s="1" t="s">
        <v>94</v>
      </c>
      <c r="E41" s="3">
        <v>5812</v>
      </c>
      <c r="F41" s="1" t="str">
        <f>VLOOKUP(D41,Table8[[Name]:[Native]],3,FALSE)</f>
        <v>贡觉县</v>
      </c>
      <c r="G41" s="12" t="str">
        <f ca="1">VLOOKUP(F41,Table8[[Native]:[Population4]],5,FALSE)</f>
        <v>昌都市</v>
      </c>
    </row>
    <row r="42" spans="1:7" ht="15.75" thickBot="1" x14ac:dyDescent="0.3">
      <c r="A42" t="s">
        <v>177</v>
      </c>
      <c r="B42" s="1" t="s">
        <v>178</v>
      </c>
      <c r="C42" s="1" t="s">
        <v>7</v>
      </c>
      <c r="D42" s="1" t="s">
        <v>115</v>
      </c>
      <c r="E42" s="3">
        <v>957</v>
      </c>
      <c r="F42" s="1" t="str">
        <f>VLOOKUP(D42,Table8[[Name]:[Native]],3,FALSE)</f>
        <v>边坝县</v>
      </c>
      <c r="G42" s="12" t="str">
        <f ca="1">VLOOKUP(F42,Table8[[Native]:[Population4]],5,FALSE)</f>
        <v>昌都市</v>
      </c>
    </row>
    <row r="43" spans="1:7" ht="15.75" thickBot="1" x14ac:dyDescent="0.3">
      <c r="A43" t="s">
        <v>179</v>
      </c>
      <c r="B43" s="1" t="s">
        <v>180</v>
      </c>
      <c r="C43" s="1" t="s">
        <v>17</v>
      </c>
      <c r="D43" s="1" t="s">
        <v>124</v>
      </c>
      <c r="E43" s="3">
        <v>4255</v>
      </c>
      <c r="F43" s="1" t="str">
        <f>VLOOKUP(D43,Table8[[Name]:[Native]],3,FALSE)</f>
        <v>江达县</v>
      </c>
      <c r="G43" s="12" t="str">
        <f ca="1">VLOOKUP(F43,Table8[[Native]:[Population4]],5,FALSE)</f>
        <v>昌都市</v>
      </c>
    </row>
    <row r="44" spans="1:7" ht="15.75" thickBot="1" x14ac:dyDescent="0.3">
      <c r="A44" t="s">
        <v>181</v>
      </c>
      <c r="B44" s="1" t="s">
        <v>182</v>
      </c>
      <c r="C44" s="1" t="s">
        <v>7</v>
      </c>
      <c r="D44" s="1" t="s">
        <v>118</v>
      </c>
      <c r="E44" s="3">
        <v>3662</v>
      </c>
      <c r="F44" s="1" t="str">
        <f>VLOOKUP(D44,Table8[[Name]:[Native]],3,FALSE)</f>
        <v>类乌齐县</v>
      </c>
      <c r="G44" s="12" t="str">
        <f ca="1">VLOOKUP(F44,Table8[[Native]:[Population4]],5,FALSE)</f>
        <v>昌都市</v>
      </c>
    </row>
    <row r="45" spans="1:7" ht="15.75" thickBot="1" x14ac:dyDescent="0.3">
      <c r="A45" t="s">
        <v>183</v>
      </c>
      <c r="B45" s="1" t="s">
        <v>184</v>
      </c>
      <c r="C45" s="1" t="s">
        <v>7</v>
      </c>
      <c r="D45" s="1" t="s">
        <v>106</v>
      </c>
      <c r="E45" s="3">
        <v>4370</v>
      </c>
      <c r="F45" s="1" t="str">
        <f>VLOOKUP(D45,Table8[[Name]:[Native]],3,FALSE)</f>
        <v>八宿县</v>
      </c>
      <c r="G45" s="12" t="str">
        <f ca="1">VLOOKUP(F45,Table8[[Native]:[Population4]],5,FALSE)</f>
        <v>昌都市</v>
      </c>
    </row>
    <row r="46" spans="1:7" ht="15.75" thickBot="1" x14ac:dyDescent="0.3">
      <c r="A46" t="s">
        <v>185</v>
      </c>
      <c r="B46" s="1" t="s">
        <v>186</v>
      </c>
      <c r="C46" s="1" t="s">
        <v>7</v>
      </c>
      <c r="D46" s="1" t="s">
        <v>118</v>
      </c>
      <c r="E46" s="3">
        <v>5251</v>
      </c>
      <c r="F46" s="1" t="str">
        <f>VLOOKUP(D46,Table8[[Name]:[Native]],3,FALSE)</f>
        <v>类乌齐县</v>
      </c>
      <c r="G46" s="12" t="str">
        <f ca="1">VLOOKUP(F46,Table8[[Native]:[Population4]],5,FALSE)</f>
        <v>昌都市</v>
      </c>
    </row>
    <row r="47" spans="1:7" ht="15.75" thickBot="1" x14ac:dyDescent="0.3">
      <c r="A47" t="s">
        <v>187</v>
      </c>
      <c r="B47" s="1" t="s">
        <v>188</v>
      </c>
      <c r="C47" s="1" t="s">
        <v>7</v>
      </c>
      <c r="D47" s="1" t="s">
        <v>115</v>
      </c>
      <c r="E47" s="3">
        <v>3725</v>
      </c>
      <c r="F47" s="1" t="str">
        <f>VLOOKUP(D47,Table8[[Name]:[Native]],3,FALSE)</f>
        <v>边坝县</v>
      </c>
      <c r="G47" s="12" t="str">
        <f ca="1">VLOOKUP(F47,Table8[[Native]:[Population4]],5,FALSE)</f>
        <v>昌都市</v>
      </c>
    </row>
    <row r="48" spans="1:7" ht="15.75" thickBot="1" x14ac:dyDescent="0.3">
      <c r="A48" t="s">
        <v>189</v>
      </c>
      <c r="B48" s="1" t="s">
        <v>190</v>
      </c>
      <c r="C48" s="1" t="s">
        <v>17</v>
      </c>
      <c r="D48" s="1" t="s">
        <v>97</v>
      </c>
      <c r="E48" s="3">
        <v>4345</v>
      </c>
      <c r="F48" s="1" t="str">
        <f>VLOOKUP(D48,Table8[[Name]:[Native]],3,FALSE)</f>
        <v>察雅县</v>
      </c>
      <c r="G48" s="12" t="str">
        <f ca="1">VLOOKUP(F48,Table8[[Native]:[Population4]],5,FALSE)</f>
        <v>昌都市</v>
      </c>
    </row>
    <row r="49" spans="1:7" ht="15.75" thickBot="1" x14ac:dyDescent="0.3">
      <c r="A49" t="s">
        <v>191</v>
      </c>
      <c r="B49" s="1" t="s">
        <v>192</v>
      </c>
      <c r="C49" s="1" t="s">
        <v>7</v>
      </c>
      <c r="D49" s="1" t="s">
        <v>106</v>
      </c>
      <c r="E49" s="3">
        <v>1465</v>
      </c>
      <c r="F49" s="1" t="str">
        <f>VLOOKUP(D49,Table8[[Name]:[Native]],3,FALSE)</f>
        <v>八宿县</v>
      </c>
      <c r="G49" s="12" t="str">
        <f ca="1">VLOOKUP(F49,Table8[[Native]:[Population4]],5,FALSE)</f>
        <v>昌都市</v>
      </c>
    </row>
    <row r="50" spans="1:7" ht="15.75" thickBot="1" x14ac:dyDescent="0.3">
      <c r="A50" t="s">
        <v>193</v>
      </c>
      <c r="B50" s="1" t="s">
        <v>194</v>
      </c>
      <c r="C50" s="1" t="s">
        <v>7</v>
      </c>
      <c r="D50" s="1" t="s">
        <v>100</v>
      </c>
      <c r="E50" s="3">
        <v>9913</v>
      </c>
      <c r="F50" s="1" t="str">
        <f>VLOOKUP(D50,Table8[[Name]:[Native]],3,FALSE)</f>
        <v>丁青县</v>
      </c>
      <c r="G50" s="12" t="str">
        <f ca="1">VLOOKUP(F50,Table8[[Native]:[Population4]],5,FALSE)</f>
        <v>昌都市</v>
      </c>
    </row>
    <row r="51" spans="1:7" ht="15.75" thickBot="1" x14ac:dyDescent="0.3">
      <c r="A51" t="s">
        <v>195</v>
      </c>
      <c r="B51" s="1" t="s">
        <v>196</v>
      </c>
      <c r="C51" s="1" t="s">
        <v>7</v>
      </c>
      <c r="D51" s="1" t="s">
        <v>124</v>
      </c>
      <c r="E51" s="3">
        <v>4175</v>
      </c>
      <c r="F51" s="1" t="str">
        <f>VLOOKUP(D51,Table8[[Name]:[Native]],3,FALSE)</f>
        <v>江达县</v>
      </c>
      <c r="G51" s="12" t="str">
        <f ca="1">VLOOKUP(F51,Table8[[Native]:[Population4]],5,FALSE)</f>
        <v>昌都市</v>
      </c>
    </row>
    <row r="52" spans="1:7" ht="15.75" thickBot="1" x14ac:dyDescent="0.3">
      <c r="A52" t="s">
        <v>195</v>
      </c>
      <c r="B52" s="1" t="s">
        <v>196</v>
      </c>
      <c r="C52" s="1" t="s">
        <v>7</v>
      </c>
      <c r="D52" s="1" t="s">
        <v>97</v>
      </c>
      <c r="E52" s="3">
        <v>3682</v>
      </c>
      <c r="F52" s="1" t="str">
        <f>VLOOKUP(D52,Table8[[Name]:[Native]],3,FALSE)</f>
        <v>察雅县</v>
      </c>
      <c r="G52" s="12" t="str">
        <f ca="1">VLOOKUP(F52,Table8[[Native]:[Population4]],5,FALSE)</f>
        <v>昌都市</v>
      </c>
    </row>
    <row r="53" spans="1:7" ht="15.75" thickBot="1" x14ac:dyDescent="0.3">
      <c r="A53" t="s">
        <v>197</v>
      </c>
      <c r="B53" s="1" t="s">
        <v>198</v>
      </c>
      <c r="C53" s="1" t="s">
        <v>7</v>
      </c>
      <c r="D53" s="1" t="s">
        <v>118</v>
      </c>
      <c r="E53" s="3">
        <v>4713</v>
      </c>
      <c r="F53" s="1" t="str">
        <f>VLOOKUP(D53,Table8[[Name]:[Native]],3,FALSE)</f>
        <v>类乌齐县</v>
      </c>
      <c r="G53" s="12" t="str">
        <f ca="1">VLOOKUP(F53,Table8[[Native]:[Population4]],5,FALSE)</f>
        <v>昌都市</v>
      </c>
    </row>
    <row r="54" spans="1:7" ht="15.75" thickBot="1" x14ac:dyDescent="0.3">
      <c r="A54" t="s">
        <v>199</v>
      </c>
      <c r="B54" s="1" t="s">
        <v>200</v>
      </c>
      <c r="C54" s="1" t="s">
        <v>17</v>
      </c>
      <c r="D54" s="1" t="s">
        <v>103</v>
      </c>
      <c r="E54" s="3">
        <v>5703</v>
      </c>
      <c r="F54" s="1" t="str">
        <f>VLOOKUP(D54,Table8[[Name]:[Native]],3,FALSE)</f>
        <v>洛隆县</v>
      </c>
      <c r="G54" s="12" t="str">
        <f ca="1">VLOOKUP(F54,Table8[[Native]:[Population4]],5,FALSE)</f>
        <v>昌都市</v>
      </c>
    </row>
    <row r="55" spans="1:7" ht="15.75" thickBot="1" x14ac:dyDescent="0.3">
      <c r="A55" t="s">
        <v>201</v>
      </c>
      <c r="B55" s="1" t="s">
        <v>202</v>
      </c>
      <c r="C55" s="1" t="s">
        <v>17</v>
      </c>
      <c r="D55" s="1" t="s">
        <v>88</v>
      </c>
      <c r="E55" s="3">
        <v>3955</v>
      </c>
      <c r="F55" s="1" t="str">
        <f>VLOOKUP(D55,Table8[[Name]:[Native]],3,FALSE)</f>
        <v>卡若区</v>
      </c>
      <c r="G55" s="12" t="str">
        <f ca="1">VLOOKUP(F55,Table8[[Native]:[Population4]],5,FALSE)</f>
        <v>昌都市</v>
      </c>
    </row>
    <row r="56" spans="1:7" ht="15.75" thickBot="1" x14ac:dyDescent="0.3">
      <c r="A56" t="s">
        <v>203</v>
      </c>
      <c r="B56" s="1" t="s">
        <v>204</v>
      </c>
      <c r="C56" s="1" t="s">
        <v>7</v>
      </c>
      <c r="D56" s="1" t="s">
        <v>106</v>
      </c>
      <c r="E56" s="3">
        <v>249</v>
      </c>
      <c r="F56" s="1" t="str">
        <f>VLOOKUP(D56,Table8[[Name]:[Native]],3,FALSE)</f>
        <v>八宿县</v>
      </c>
      <c r="G56" s="12" t="str">
        <f ca="1">VLOOKUP(F56,Table8[[Native]:[Population4]],5,FALSE)</f>
        <v>昌都市</v>
      </c>
    </row>
    <row r="57" spans="1:7" ht="15.75" thickBot="1" x14ac:dyDescent="0.3">
      <c r="A57" t="s">
        <v>205</v>
      </c>
      <c r="B57" s="1" t="s">
        <v>206</v>
      </c>
      <c r="C57" s="1" t="s">
        <v>7</v>
      </c>
      <c r="D57" s="1" t="s">
        <v>97</v>
      </c>
      <c r="E57" s="3">
        <v>2189</v>
      </c>
      <c r="F57" s="1" t="str">
        <f>VLOOKUP(D57,Table8[[Name]:[Native]],3,FALSE)</f>
        <v>察雅县</v>
      </c>
      <c r="G57" s="12" t="str">
        <f ca="1">VLOOKUP(F57,Table8[[Native]:[Population4]],5,FALSE)</f>
        <v>昌都市</v>
      </c>
    </row>
    <row r="58" spans="1:7" ht="15.75" thickBot="1" x14ac:dyDescent="0.3">
      <c r="A58" t="s">
        <v>207</v>
      </c>
      <c r="B58" s="1" t="s">
        <v>208</v>
      </c>
      <c r="C58" s="1" t="s">
        <v>7</v>
      </c>
      <c r="D58" s="1" t="s">
        <v>94</v>
      </c>
      <c r="E58" s="3">
        <v>901</v>
      </c>
      <c r="F58" s="1" t="str">
        <f>VLOOKUP(D58,Table8[[Name]:[Native]],3,FALSE)</f>
        <v>贡觉县</v>
      </c>
      <c r="G58" s="12" t="str">
        <f ca="1">VLOOKUP(F58,Table8[[Native]:[Population4]],5,FALSE)</f>
        <v>昌都市</v>
      </c>
    </row>
    <row r="59" spans="1:7" ht="15.75" thickBot="1" x14ac:dyDescent="0.3">
      <c r="A59" t="s">
        <v>209</v>
      </c>
      <c r="B59" s="1" t="s">
        <v>210</v>
      </c>
      <c r="C59" s="1" t="s">
        <v>7</v>
      </c>
      <c r="D59" s="1" t="s">
        <v>97</v>
      </c>
      <c r="E59" s="3">
        <v>6151</v>
      </c>
      <c r="F59" s="1" t="str">
        <f>VLOOKUP(D59,Table8[[Name]:[Native]],3,FALSE)</f>
        <v>察雅县</v>
      </c>
      <c r="G59" s="12" t="str">
        <f ca="1">VLOOKUP(F59,Table8[[Native]:[Population4]],5,FALSE)</f>
        <v>昌都市</v>
      </c>
    </row>
    <row r="60" spans="1:7" ht="15.75" thickBot="1" x14ac:dyDescent="0.3">
      <c r="A60" t="s">
        <v>211</v>
      </c>
      <c r="B60" s="1" t="s">
        <v>212</v>
      </c>
      <c r="C60" s="1" t="s">
        <v>7</v>
      </c>
      <c r="D60" s="1" t="s">
        <v>88</v>
      </c>
      <c r="E60" s="3">
        <v>7175</v>
      </c>
      <c r="F60" s="1" t="str">
        <f>VLOOKUP(D60,Table8[[Name]:[Native]],3,FALSE)</f>
        <v>卡若区</v>
      </c>
      <c r="G60" s="12" t="str">
        <f ca="1">VLOOKUP(F60,Table8[[Native]:[Population4]],5,FALSE)</f>
        <v>昌都市</v>
      </c>
    </row>
    <row r="61" spans="1:7" ht="15.75" thickBot="1" x14ac:dyDescent="0.3">
      <c r="A61" t="s">
        <v>213</v>
      </c>
      <c r="B61" s="1" t="s">
        <v>214</v>
      </c>
      <c r="C61" s="1" t="s">
        <v>7</v>
      </c>
      <c r="D61" s="1" t="s">
        <v>106</v>
      </c>
      <c r="E61" s="3">
        <v>2010</v>
      </c>
      <c r="F61" s="1" t="str">
        <f>VLOOKUP(D61,Table8[[Name]:[Native]],3,FALSE)</f>
        <v>八宿县</v>
      </c>
      <c r="G61" s="12" t="str">
        <f ca="1">VLOOKUP(F61,Table8[[Native]:[Population4]],5,FALSE)</f>
        <v>昌都市</v>
      </c>
    </row>
    <row r="62" spans="1:7" ht="15.75" thickBot="1" x14ac:dyDescent="0.3">
      <c r="A62" t="s">
        <v>215</v>
      </c>
      <c r="B62" s="1" t="s">
        <v>216</v>
      </c>
      <c r="C62" s="1" t="s">
        <v>7</v>
      </c>
      <c r="D62" s="1" t="s">
        <v>103</v>
      </c>
      <c r="E62" s="3">
        <v>5354</v>
      </c>
      <c r="F62" s="1" t="str">
        <f>VLOOKUP(D62,Table8[[Name]:[Native]],3,FALSE)</f>
        <v>洛隆县</v>
      </c>
      <c r="G62" s="12" t="str">
        <f ca="1">VLOOKUP(F62,Table8[[Native]:[Population4]],5,FALSE)</f>
        <v>昌都市</v>
      </c>
    </row>
    <row r="63" spans="1:7" ht="15.75" thickBot="1" x14ac:dyDescent="0.3">
      <c r="A63" t="s">
        <v>217</v>
      </c>
      <c r="B63" s="1" t="s">
        <v>218</v>
      </c>
      <c r="C63" s="1" t="s">
        <v>7</v>
      </c>
      <c r="D63" s="1" t="s">
        <v>94</v>
      </c>
      <c r="E63" s="3">
        <v>1934</v>
      </c>
      <c r="F63" s="1" t="str">
        <f>VLOOKUP(D63,Table8[[Name]:[Native]],3,FALSE)</f>
        <v>贡觉县</v>
      </c>
      <c r="G63" s="12" t="str">
        <f ca="1">VLOOKUP(F63,Table8[[Native]:[Population4]],5,FALSE)</f>
        <v>昌都市</v>
      </c>
    </row>
    <row r="64" spans="1:7" ht="15.75" thickBot="1" x14ac:dyDescent="0.3">
      <c r="A64" t="s">
        <v>219</v>
      </c>
      <c r="B64" s="1" t="s">
        <v>220</v>
      </c>
      <c r="C64" s="1" t="s">
        <v>7</v>
      </c>
      <c r="D64" s="1" t="s">
        <v>115</v>
      </c>
      <c r="E64" s="3">
        <v>3600</v>
      </c>
      <c r="F64" s="1" t="str">
        <f>VLOOKUP(D64,Table8[[Name]:[Native]],3,FALSE)</f>
        <v>边坝县</v>
      </c>
      <c r="G64" s="12" t="str">
        <f ca="1">VLOOKUP(F64,Table8[[Native]:[Population4]],5,FALSE)</f>
        <v>昌都市</v>
      </c>
    </row>
    <row r="65" spans="1:7" ht="15.75" thickBot="1" x14ac:dyDescent="0.3">
      <c r="A65" t="s">
        <v>221</v>
      </c>
      <c r="B65" s="1" t="s">
        <v>222</v>
      </c>
      <c r="C65" s="1" t="s">
        <v>17</v>
      </c>
      <c r="D65" s="1" t="s">
        <v>118</v>
      </c>
      <c r="E65" s="3">
        <v>6900</v>
      </c>
      <c r="F65" s="1" t="str">
        <f>VLOOKUP(D65,Table8[[Name]:[Native]],3,FALSE)</f>
        <v>类乌齐县</v>
      </c>
      <c r="G65" s="12" t="str">
        <f ca="1">VLOOKUP(F65,Table8[[Native]:[Population4]],5,FALSE)</f>
        <v>昌都市</v>
      </c>
    </row>
    <row r="66" spans="1:7" ht="15.75" thickBot="1" x14ac:dyDescent="0.3">
      <c r="A66" t="s">
        <v>223</v>
      </c>
      <c r="B66" s="1" t="s">
        <v>224</v>
      </c>
      <c r="C66" s="1" t="s">
        <v>7</v>
      </c>
      <c r="D66" s="1" t="s">
        <v>106</v>
      </c>
      <c r="E66" s="3">
        <v>3212</v>
      </c>
      <c r="F66" s="1" t="str">
        <f>VLOOKUP(D66,Table8[[Name]:[Native]],3,FALSE)</f>
        <v>八宿县</v>
      </c>
      <c r="G66" s="12" t="str">
        <f ca="1">VLOOKUP(F66,Table8[[Native]:[Population4]],5,FALSE)</f>
        <v>昌都市</v>
      </c>
    </row>
    <row r="67" spans="1:7" ht="15.75" thickBot="1" x14ac:dyDescent="0.3">
      <c r="A67" t="s">
        <v>225</v>
      </c>
      <c r="B67" s="1" t="s">
        <v>226</v>
      </c>
      <c r="C67" s="1" t="s">
        <v>7</v>
      </c>
      <c r="D67" s="1" t="s">
        <v>94</v>
      </c>
      <c r="E67" s="3">
        <v>1671</v>
      </c>
      <c r="F67" s="1" t="str">
        <f>VLOOKUP(D67,Table8[[Name]:[Native]],3,FALSE)</f>
        <v>贡觉县</v>
      </c>
      <c r="G67" s="12" t="str">
        <f ca="1">VLOOKUP(F67,Table8[[Native]:[Population4]],5,FALSE)</f>
        <v>昌都市</v>
      </c>
    </row>
    <row r="68" spans="1:7" ht="15.75" thickBot="1" x14ac:dyDescent="0.3">
      <c r="A68" t="s">
        <v>227</v>
      </c>
      <c r="B68" s="1" t="s">
        <v>228</v>
      </c>
      <c r="C68" s="1" t="s">
        <v>7</v>
      </c>
      <c r="D68" s="1" t="s">
        <v>91</v>
      </c>
      <c r="E68" s="3">
        <v>3674</v>
      </c>
      <c r="F68" s="1" t="str">
        <f>VLOOKUP(D68,Table8[[Name]:[Native]],3,FALSE)</f>
        <v>芒康县</v>
      </c>
      <c r="G68" s="12" t="str">
        <f ca="1">VLOOKUP(F68,Table8[[Native]:[Population4]],5,FALSE)</f>
        <v>昌都市</v>
      </c>
    </row>
    <row r="69" spans="1:7" ht="15.75" thickBot="1" x14ac:dyDescent="0.3">
      <c r="A69" t="s">
        <v>229</v>
      </c>
      <c r="B69" s="1" t="s">
        <v>230</v>
      </c>
      <c r="C69" s="1" t="s">
        <v>17</v>
      </c>
      <c r="D69" s="1" t="s">
        <v>103</v>
      </c>
      <c r="E69" s="3">
        <v>4501</v>
      </c>
      <c r="F69" s="1" t="str">
        <f>VLOOKUP(D69,Table8[[Name]:[Native]],3,FALSE)</f>
        <v>洛隆县</v>
      </c>
      <c r="G69" s="12" t="str">
        <f ca="1">VLOOKUP(F69,Table8[[Native]:[Population4]],5,FALSE)</f>
        <v>昌都市</v>
      </c>
    </row>
    <row r="70" spans="1:7" ht="15.75" thickBot="1" x14ac:dyDescent="0.3">
      <c r="A70" t="s">
        <v>231</v>
      </c>
      <c r="B70" s="1" t="s">
        <v>232</v>
      </c>
      <c r="C70" s="1" t="s">
        <v>7</v>
      </c>
      <c r="D70" s="1" t="s">
        <v>88</v>
      </c>
      <c r="E70" s="3">
        <v>3595</v>
      </c>
      <c r="F70" s="1" t="str">
        <f>VLOOKUP(D70,Table8[[Name]:[Native]],3,FALSE)</f>
        <v>卡若区</v>
      </c>
      <c r="G70" s="12" t="str">
        <f ca="1">VLOOKUP(F70,Table8[[Native]:[Population4]],5,FALSE)</f>
        <v>昌都市</v>
      </c>
    </row>
    <row r="71" spans="1:7" ht="15.75" thickBot="1" x14ac:dyDescent="0.3">
      <c r="A71" t="s">
        <v>233</v>
      </c>
      <c r="B71" s="1" t="s">
        <v>234</v>
      </c>
      <c r="C71" s="1" t="s">
        <v>7</v>
      </c>
      <c r="D71" s="1" t="s">
        <v>91</v>
      </c>
      <c r="E71" s="3">
        <v>3085</v>
      </c>
      <c r="F71" s="1" t="str">
        <f>VLOOKUP(D71,Table8[[Name]:[Native]],3,FALSE)</f>
        <v>芒康县</v>
      </c>
      <c r="G71" s="12" t="str">
        <f ca="1">VLOOKUP(F71,Table8[[Native]:[Population4]],5,FALSE)</f>
        <v>昌都市</v>
      </c>
    </row>
    <row r="72" spans="1:7" ht="15.75" thickBot="1" x14ac:dyDescent="0.3">
      <c r="A72" t="s">
        <v>235</v>
      </c>
      <c r="B72" s="1" t="s">
        <v>236</v>
      </c>
      <c r="C72" s="1" t="s">
        <v>7</v>
      </c>
      <c r="D72" s="1" t="s">
        <v>115</v>
      </c>
      <c r="E72" s="3">
        <v>2372</v>
      </c>
      <c r="F72" s="1" t="str">
        <f>VLOOKUP(D72,Table8[[Name]:[Native]],3,FALSE)</f>
        <v>边坝县</v>
      </c>
      <c r="G72" s="12" t="str">
        <f ca="1">VLOOKUP(F72,Table8[[Native]:[Population4]],5,FALSE)</f>
        <v>昌都市</v>
      </c>
    </row>
    <row r="73" spans="1:7" ht="15.75" thickBot="1" x14ac:dyDescent="0.3">
      <c r="A73" t="s">
        <v>237</v>
      </c>
      <c r="B73" s="1" t="s">
        <v>238</v>
      </c>
      <c r="C73" s="1" t="s">
        <v>7</v>
      </c>
      <c r="D73" s="1" t="s">
        <v>115</v>
      </c>
      <c r="E73" s="3">
        <v>2333</v>
      </c>
      <c r="F73" s="1" t="str">
        <f>VLOOKUP(D73,Table8[[Name]:[Native]],3,FALSE)</f>
        <v>边坝县</v>
      </c>
      <c r="G73" s="12" t="str">
        <f ca="1">VLOOKUP(F73,Table8[[Native]:[Population4]],5,FALSE)</f>
        <v>昌都市</v>
      </c>
    </row>
    <row r="74" spans="1:7" ht="15.75" thickBot="1" x14ac:dyDescent="0.3">
      <c r="A74" t="s">
        <v>239</v>
      </c>
      <c r="B74" s="1" t="s">
        <v>240</v>
      </c>
      <c r="C74" s="1" t="s">
        <v>7</v>
      </c>
      <c r="D74" s="1" t="s">
        <v>121</v>
      </c>
      <c r="E74" s="3">
        <v>3915</v>
      </c>
      <c r="F74" s="1" t="str">
        <f>VLOOKUP(D74,Table8[[Name]:[Native]],3,FALSE)</f>
        <v>左贡县</v>
      </c>
      <c r="G74" s="12" t="str">
        <f ca="1">VLOOKUP(F74,Table8[[Native]:[Population4]],5,FALSE)</f>
        <v>昌都市</v>
      </c>
    </row>
    <row r="75" spans="1:7" ht="15.75" thickBot="1" x14ac:dyDescent="0.3">
      <c r="A75" t="s">
        <v>241</v>
      </c>
      <c r="B75" s="1" t="s">
        <v>242</v>
      </c>
      <c r="C75" s="1" t="s">
        <v>7</v>
      </c>
      <c r="D75" s="1" t="s">
        <v>88</v>
      </c>
      <c r="E75" s="3">
        <v>5995</v>
      </c>
      <c r="F75" s="1" t="str">
        <f>VLOOKUP(D75,Table8[[Name]:[Native]],3,FALSE)</f>
        <v>卡若区</v>
      </c>
      <c r="G75" s="12" t="str">
        <f ca="1">VLOOKUP(F75,Table8[[Native]:[Population4]],5,FALSE)</f>
        <v>昌都市</v>
      </c>
    </row>
    <row r="76" spans="1:7" ht="15.75" thickBot="1" x14ac:dyDescent="0.3">
      <c r="A76" t="s">
        <v>243</v>
      </c>
      <c r="B76" s="1" t="s">
        <v>244</v>
      </c>
      <c r="C76" s="1" t="s">
        <v>7</v>
      </c>
      <c r="D76" s="1" t="s">
        <v>94</v>
      </c>
      <c r="E76" s="3">
        <v>1574</v>
      </c>
      <c r="F76" s="1" t="str">
        <f>VLOOKUP(D76,Table8[[Name]:[Native]],3,FALSE)</f>
        <v>贡觉县</v>
      </c>
      <c r="G76" s="12" t="str">
        <f ca="1">VLOOKUP(F76,Table8[[Native]:[Population4]],5,FALSE)</f>
        <v>昌都市</v>
      </c>
    </row>
    <row r="77" spans="1:7" ht="15.75" thickBot="1" x14ac:dyDescent="0.3">
      <c r="A77" t="s">
        <v>245</v>
      </c>
      <c r="B77" s="1" t="s">
        <v>246</v>
      </c>
      <c r="C77" s="1" t="s">
        <v>17</v>
      </c>
      <c r="D77" s="1" t="s">
        <v>94</v>
      </c>
      <c r="E77" s="3">
        <v>11026</v>
      </c>
      <c r="F77" s="1" t="str">
        <f>VLOOKUP(D77,Table8[[Name]:[Native]],3,FALSE)</f>
        <v>贡觉县</v>
      </c>
      <c r="G77" s="12" t="str">
        <f ca="1">VLOOKUP(F77,Table8[[Native]:[Population4]],5,FALSE)</f>
        <v>昌都市</v>
      </c>
    </row>
    <row r="78" spans="1:7" ht="15.75" thickBot="1" x14ac:dyDescent="0.3">
      <c r="A78" t="s">
        <v>247</v>
      </c>
      <c r="B78" s="1" t="s">
        <v>248</v>
      </c>
      <c r="C78" s="1" t="s">
        <v>7</v>
      </c>
      <c r="D78" s="1" t="s">
        <v>100</v>
      </c>
      <c r="E78" s="3">
        <v>1362</v>
      </c>
      <c r="F78" s="1" t="str">
        <f>VLOOKUP(D78,Table8[[Name]:[Native]],3,FALSE)</f>
        <v>丁青县</v>
      </c>
      <c r="G78" s="12" t="str">
        <f ca="1">VLOOKUP(F78,Table8[[Native]:[Population4]],5,FALSE)</f>
        <v>昌都市</v>
      </c>
    </row>
    <row r="79" spans="1:7" ht="15.75" thickBot="1" x14ac:dyDescent="0.3">
      <c r="A79" t="s">
        <v>249</v>
      </c>
      <c r="B79" s="1" t="s">
        <v>250</v>
      </c>
      <c r="C79" s="1" t="s">
        <v>7</v>
      </c>
      <c r="D79" s="1" t="s">
        <v>94</v>
      </c>
      <c r="E79" s="3">
        <v>1682</v>
      </c>
      <c r="F79" s="1" t="str">
        <f>VLOOKUP(D79,Table8[[Name]:[Native]],3,FALSE)</f>
        <v>贡觉县</v>
      </c>
      <c r="G79" s="12" t="str">
        <f ca="1">VLOOKUP(F79,Table8[[Native]:[Population4]],5,FALSE)</f>
        <v>昌都市</v>
      </c>
    </row>
    <row r="80" spans="1:7" ht="15.75" thickBot="1" x14ac:dyDescent="0.3">
      <c r="A80" t="s">
        <v>251</v>
      </c>
      <c r="B80" s="1" t="s">
        <v>252</v>
      </c>
      <c r="C80" s="1" t="s">
        <v>7</v>
      </c>
      <c r="D80" s="1" t="s">
        <v>91</v>
      </c>
      <c r="E80" s="3">
        <v>2504</v>
      </c>
      <c r="F80" s="1" t="str">
        <f>VLOOKUP(D80,Table8[[Name]:[Native]],3,FALSE)</f>
        <v>芒康县</v>
      </c>
      <c r="G80" s="12" t="str">
        <f ca="1">VLOOKUP(F80,Table8[[Native]:[Population4]],5,FALSE)</f>
        <v>昌都市</v>
      </c>
    </row>
    <row r="81" spans="1:7" ht="15.75" thickBot="1" x14ac:dyDescent="0.3">
      <c r="A81" t="s">
        <v>253</v>
      </c>
      <c r="B81" s="1" t="s">
        <v>254</v>
      </c>
      <c r="C81" s="1" t="s">
        <v>7</v>
      </c>
      <c r="D81" s="1" t="s">
        <v>91</v>
      </c>
      <c r="E81" s="3">
        <v>4940</v>
      </c>
      <c r="F81" s="1" t="str">
        <f>VLOOKUP(D81,Table8[[Name]:[Native]],3,FALSE)</f>
        <v>芒康县</v>
      </c>
      <c r="G81" s="12" t="str">
        <f ca="1">VLOOKUP(F81,Table8[[Native]:[Population4]],5,FALSE)</f>
        <v>昌都市</v>
      </c>
    </row>
    <row r="82" spans="1:7" ht="15.75" thickBot="1" x14ac:dyDescent="0.3">
      <c r="A82" t="s">
        <v>255</v>
      </c>
      <c r="B82" s="1" t="s">
        <v>256</v>
      </c>
      <c r="C82" s="1" t="s">
        <v>7</v>
      </c>
      <c r="D82" s="1" t="s">
        <v>124</v>
      </c>
      <c r="E82" s="3">
        <v>2200</v>
      </c>
      <c r="F82" s="1" t="str">
        <f>VLOOKUP(D82,Table8[[Name]:[Native]],3,FALSE)</f>
        <v>江达县</v>
      </c>
      <c r="G82" s="12" t="str">
        <f ca="1">VLOOKUP(F82,Table8[[Native]:[Population4]],5,FALSE)</f>
        <v>昌都市</v>
      </c>
    </row>
    <row r="83" spans="1:7" ht="15.75" thickBot="1" x14ac:dyDescent="0.3">
      <c r="A83" t="s">
        <v>257</v>
      </c>
      <c r="B83" s="1" t="s">
        <v>258</v>
      </c>
      <c r="C83" s="1" t="s">
        <v>7</v>
      </c>
      <c r="D83" s="1" t="s">
        <v>115</v>
      </c>
      <c r="E83" s="3">
        <v>2535</v>
      </c>
      <c r="F83" s="1" t="str">
        <f>VLOOKUP(D83,Table8[[Name]:[Native]],3,FALSE)</f>
        <v>边坝县</v>
      </c>
      <c r="G83" s="12" t="str">
        <f ca="1">VLOOKUP(F83,Table8[[Native]:[Population4]],5,FALSE)</f>
        <v>昌都市</v>
      </c>
    </row>
    <row r="84" spans="1:7" ht="15.75" thickBot="1" x14ac:dyDescent="0.3">
      <c r="A84" t="s">
        <v>259</v>
      </c>
      <c r="B84" s="1" t="s">
        <v>260</v>
      </c>
      <c r="C84" s="1" t="s">
        <v>7</v>
      </c>
      <c r="D84" s="1" t="s">
        <v>124</v>
      </c>
      <c r="E84" s="3">
        <v>3998</v>
      </c>
      <c r="F84" s="1" t="str">
        <f>VLOOKUP(D84,Table8[[Name]:[Native]],3,FALSE)</f>
        <v>江达县</v>
      </c>
      <c r="G84" s="12" t="str">
        <f ca="1">VLOOKUP(F84,Table8[[Native]:[Population4]],5,FALSE)</f>
        <v>昌都市</v>
      </c>
    </row>
    <row r="85" spans="1:7" ht="15.75" thickBot="1" x14ac:dyDescent="0.3">
      <c r="A85" t="s">
        <v>261</v>
      </c>
      <c r="B85" s="1" t="s">
        <v>262</v>
      </c>
      <c r="C85" s="1" t="s">
        <v>7</v>
      </c>
      <c r="D85" s="1" t="s">
        <v>91</v>
      </c>
      <c r="E85" s="3">
        <v>3664</v>
      </c>
      <c r="F85" s="1" t="str">
        <f>VLOOKUP(D85,Table8[[Name]:[Native]],3,FALSE)</f>
        <v>芒康县</v>
      </c>
      <c r="G85" s="12" t="str">
        <f ca="1">VLOOKUP(F85,Table8[[Native]:[Population4]],5,FALSE)</f>
        <v>昌都市</v>
      </c>
    </row>
    <row r="86" spans="1:7" ht="15.75" thickBot="1" x14ac:dyDescent="0.3">
      <c r="A86" t="s">
        <v>263</v>
      </c>
      <c r="B86" s="1" t="s">
        <v>264</v>
      </c>
      <c r="C86" s="1" t="s">
        <v>7</v>
      </c>
      <c r="D86" s="1" t="s">
        <v>91</v>
      </c>
      <c r="E86" s="3">
        <v>3707</v>
      </c>
      <c r="F86" s="1" t="str">
        <f>VLOOKUP(D86,Table8[[Name]:[Native]],3,FALSE)</f>
        <v>芒康县</v>
      </c>
      <c r="G86" s="12" t="str">
        <f ca="1">VLOOKUP(F86,Table8[[Native]:[Population4]],5,FALSE)</f>
        <v>昌都市</v>
      </c>
    </row>
    <row r="87" spans="1:7" ht="15.75" thickBot="1" x14ac:dyDescent="0.3">
      <c r="A87" t="s">
        <v>265</v>
      </c>
      <c r="B87" s="1" t="s">
        <v>266</v>
      </c>
      <c r="C87" s="1" t="s">
        <v>17</v>
      </c>
      <c r="D87" s="1" t="s">
        <v>106</v>
      </c>
      <c r="E87" s="3">
        <v>4335</v>
      </c>
      <c r="F87" s="1" t="str">
        <f>VLOOKUP(D87,Table8[[Name]:[Native]],3,FALSE)</f>
        <v>八宿县</v>
      </c>
      <c r="G87" s="12" t="str">
        <f ca="1">VLOOKUP(F87,Table8[[Native]:[Population4]],5,FALSE)</f>
        <v>昌都市</v>
      </c>
    </row>
    <row r="88" spans="1:7" ht="15.75" thickBot="1" x14ac:dyDescent="0.3">
      <c r="A88" t="s">
        <v>267</v>
      </c>
      <c r="B88" s="1" t="s">
        <v>268</v>
      </c>
      <c r="C88" s="1" t="s">
        <v>7</v>
      </c>
      <c r="D88" s="1" t="s">
        <v>121</v>
      </c>
      <c r="E88" s="3">
        <v>1995</v>
      </c>
      <c r="F88" s="1" t="str">
        <f>VLOOKUP(D88,Table8[[Name]:[Native]],3,FALSE)</f>
        <v>左贡县</v>
      </c>
      <c r="G88" s="12" t="str">
        <f ca="1">VLOOKUP(F88,Table8[[Native]:[Population4]],5,FALSE)</f>
        <v>昌都市</v>
      </c>
    </row>
    <row r="89" spans="1:7" ht="15.75" thickBot="1" x14ac:dyDescent="0.3">
      <c r="A89" t="s">
        <v>269</v>
      </c>
      <c r="B89" s="1" t="s">
        <v>270</v>
      </c>
      <c r="C89" s="1" t="s">
        <v>7</v>
      </c>
      <c r="D89" s="1" t="s">
        <v>121</v>
      </c>
      <c r="E89" s="3">
        <v>2907</v>
      </c>
      <c r="F89" s="1" t="str">
        <f>VLOOKUP(D89,Table8[[Name]:[Native]],3,FALSE)</f>
        <v>左贡县</v>
      </c>
      <c r="G89" s="12" t="str">
        <f ca="1">VLOOKUP(F89,Table8[[Native]:[Population4]],5,FALSE)</f>
        <v>昌都市</v>
      </c>
    </row>
    <row r="90" spans="1:7" ht="15.75" thickBot="1" x14ac:dyDescent="0.3">
      <c r="A90" t="s">
        <v>271</v>
      </c>
      <c r="B90" s="1" t="s">
        <v>272</v>
      </c>
      <c r="C90" s="1" t="s">
        <v>7</v>
      </c>
      <c r="D90" s="1" t="s">
        <v>115</v>
      </c>
      <c r="E90" s="3">
        <v>1798</v>
      </c>
      <c r="F90" s="1" t="str">
        <f>VLOOKUP(D90,Table8[[Name]:[Native]],3,FALSE)</f>
        <v>边坝县</v>
      </c>
      <c r="G90" s="12" t="str">
        <f ca="1">VLOOKUP(F90,Table8[[Native]:[Population4]],5,FALSE)</f>
        <v>昌都市</v>
      </c>
    </row>
    <row r="91" spans="1:7" ht="15.75" thickBot="1" x14ac:dyDescent="0.3">
      <c r="A91" t="s">
        <v>273</v>
      </c>
      <c r="B91" s="1" t="s">
        <v>274</v>
      </c>
      <c r="C91" s="1" t="s">
        <v>7</v>
      </c>
      <c r="D91" s="1" t="s">
        <v>88</v>
      </c>
      <c r="E91" s="3">
        <v>4925</v>
      </c>
      <c r="F91" s="1" t="str">
        <f>VLOOKUP(D91,Table8[[Name]:[Native]],3,FALSE)</f>
        <v>卡若区</v>
      </c>
      <c r="G91" s="12" t="str">
        <f ca="1">VLOOKUP(F91,Table8[[Native]:[Population4]],5,FALSE)</f>
        <v>昌都市</v>
      </c>
    </row>
    <row r="92" spans="1:7" ht="15.75" thickBot="1" x14ac:dyDescent="0.3">
      <c r="A92" t="s">
        <v>275</v>
      </c>
      <c r="B92" s="1" t="s">
        <v>276</v>
      </c>
      <c r="C92" s="1" t="s">
        <v>7</v>
      </c>
      <c r="D92" s="1" t="s">
        <v>97</v>
      </c>
      <c r="E92" s="3">
        <v>5878</v>
      </c>
      <c r="F92" s="1" t="str">
        <f>VLOOKUP(D92,Table8[[Name]:[Native]],3,FALSE)</f>
        <v>察雅县</v>
      </c>
      <c r="G92" s="12" t="str">
        <f ca="1">VLOOKUP(F92,Table8[[Native]:[Population4]],5,FALSE)</f>
        <v>昌都市</v>
      </c>
    </row>
    <row r="93" spans="1:7" ht="15.75" thickBot="1" x14ac:dyDescent="0.3">
      <c r="A93" t="s">
        <v>277</v>
      </c>
      <c r="B93" s="1" t="s">
        <v>278</v>
      </c>
      <c r="C93" s="1" t="s">
        <v>17</v>
      </c>
      <c r="D93" s="1" t="s">
        <v>91</v>
      </c>
      <c r="E93" s="3">
        <v>5055</v>
      </c>
      <c r="F93" s="1" t="str">
        <f>VLOOKUP(D93,Table8[[Name]:[Native]],3,FALSE)</f>
        <v>芒康县</v>
      </c>
      <c r="G93" s="12" t="str">
        <f ca="1">VLOOKUP(F93,Table8[[Native]:[Population4]],5,FALSE)</f>
        <v>昌都市</v>
      </c>
    </row>
    <row r="94" spans="1:7" ht="15.75" thickBot="1" x14ac:dyDescent="0.3">
      <c r="A94" t="s">
        <v>279</v>
      </c>
      <c r="B94" s="1" t="s">
        <v>280</v>
      </c>
      <c r="C94" s="1" t="s">
        <v>7</v>
      </c>
      <c r="D94" s="1" t="s">
        <v>88</v>
      </c>
      <c r="E94" s="3">
        <v>3400</v>
      </c>
      <c r="F94" s="1" t="str">
        <f>VLOOKUP(D94,Table8[[Name]:[Native]],3,FALSE)</f>
        <v>卡若区</v>
      </c>
      <c r="G94" s="12" t="str">
        <f ca="1">VLOOKUP(F94,Table8[[Native]:[Population4]],5,FALSE)</f>
        <v>昌都市</v>
      </c>
    </row>
    <row r="95" spans="1:7" ht="15.75" thickBot="1" x14ac:dyDescent="0.3">
      <c r="A95" t="s">
        <v>281</v>
      </c>
      <c r="B95" s="1" t="s">
        <v>282</v>
      </c>
      <c r="C95" s="1" t="s">
        <v>7</v>
      </c>
      <c r="D95" s="1" t="s">
        <v>88</v>
      </c>
      <c r="E95" s="3">
        <v>3403</v>
      </c>
      <c r="F95" s="1" t="str">
        <f>VLOOKUP(D95,Table8[[Name]:[Native]],3,FALSE)</f>
        <v>卡若区</v>
      </c>
      <c r="G95" s="12" t="str">
        <f ca="1">VLOOKUP(F95,Table8[[Native]:[Population4]],5,FALSE)</f>
        <v>昌都市</v>
      </c>
    </row>
    <row r="96" spans="1:7" ht="15.75" thickBot="1" x14ac:dyDescent="0.3">
      <c r="A96" t="s">
        <v>283</v>
      </c>
      <c r="B96" s="1" t="s">
        <v>284</v>
      </c>
      <c r="C96" s="1" t="s">
        <v>7</v>
      </c>
      <c r="D96" s="1" t="s">
        <v>100</v>
      </c>
      <c r="E96" s="3">
        <v>3797</v>
      </c>
      <c r="F96" s="1" t="str">
        <f>VLOOKUP(D96,Table8[[Name]:[Native]],3,FALSE)</f>
        <v>丁青县</v>
      </c>
      <c r="G96" s="12" t="str">
        <f ca="1">VLOOKUP(F96,Table8[[Native]:[Population4]],5,FALSE)</f>
        <v>昌都市</v>
      </c>
    </row>
    <row r="97" spans="1:7" ht="15.75" thickBot="1" x14ac:dyDescent="0.3">
      <c r="A97" t="s">
        <v>285</v>
      </c>
      <c r="B97" s="1" t="s">
        <v>286</v>
      </c>
      <c r="C97" s="1" t="s">
        <v>17</v>
      </c>
      <c r="D97" s="1" t="s">
        <v>118</v>
      </c>
      <c r="E97" s="3">
        <v>11747</v>
      </c>
      <c r="F97" s="1" t="str">
        <f>VLOOKUP(D97,Table8[[Name]:[Native]],3,FALSE)</f>
        <v>类乌齐县</v>
      </c>
      <c r="G97" s="12" t="str">
        <f ca="1">VLOOKUP(F97,Table8[[Native]:[Population4]],5,FALSE)</f>
        <v>昌都市</v>
      </c>
    </row>
    <row r="98" spans="1:7" ht="15.75" thickBot="1" x14ac:dyDescent="0.3">
      <c r="A98" t="s">
        <v>287</v>
      </c>
      <c r="B98" s="1" t="s">
        <v>288</v>
      </c>
      <c r="C98" s="1" t="s">
        <v>7</v>
      </c>
      <c r="D98" s="1" t="s">
        <v>100</v>
      </c>
      <c r="E98" s="3">
        <v>8524</v>
      </c>
      <c r="F98" s="1" t="str">
        <f>VLOOKUP(D98,Table8[[Name]:[Native]],3,FALSE)</f>
        <v>丁青县</v>
      </c>
      <c r="G98" s="12" t="str">
        <f ca="1">VLOOKUP(F98,Table8[[Native]:[Population4]],5,FALSE)</f>
        <v>昌都市</v>
      </c>
    </row>
    <row r="99" spans="1:7" ht="15.75" thickBot="1" x14ac:dyDescent="0.3">
      <c r="A99" t="s">
        <v>289</v>
      </c>
      <c r="B99" s="1" t="s">
        <v>290</v>
      </c>
      <c r="C99" s="1" t="s">
        <v>7</v>
      </c>
      <c r="D99" s="1" t="s">
        <v>115</v>
      </c>
      <c r="E99" s="3">
        <v>3333</v>
      </c>
      <c r="F99" s="1" t="str">
        <f>VLOOKUP(D99,Table8[[Name]:[Native]],3,FALSE)</f>
        <v>边坝县</v>
      </c>
      <c r="G99" s="12" t="str">
        <f ca="1">VLOOKUP(F99,Table8[[Native]:[Population4]],5,FALSE)</f>
        <v>昌都市</v>
      </c>
    </row>
    <row r="100" spans="1:7" ht="15.75" thickBot="1" x14ac:dyDescent="0.3">
      <c r="A100" t="s">
        <v>291</v>
      </c>
      <c r="B100" s="1" t="s">
        <v>292</v>
      </c>
      <c r="C100" s="1" t="s">
        <v>7</v>
      </c>
      <c r="D100" s="1" t="s">
        <v>94</v>
      </c>
      <c r="E100" s="3">
        <v>2011</v>
      </c>
      <c r="F100" s="1" t="str">
        <f>VLOOKUP(D100,Table8[[Name]:[Native]],3,FALSE)</f>
        <v>贡觉县</v>
      </c>
      <c r="G100" s="12" t="str">
        <f ca="1">VLOOKUP(F100,Table8[[Native]:[Population4]],5,FALSE)</f>
        <v>昌都市</v>
      </c>
    </row>
    <row r="101" spans="1:7" ht="15.75" thickBot="1" x14ac:dyDescent="0.3">
      <c r="A101" t="s">
        <v>293</v>
      </c>
      <c r="B101" s="1" t="s">
        <v>294</v>
      </c>
      <c r="C101" s="1" t="s">
        <v>7</v>
      </c>
      <c r="D101" s="1" t="s">
        <v>88</v>
      </c>
      <c r="E101" s="3">
        <v>5079</v>
      </c>
      <c r="F101" s="1" t="str">
        <f>VLOOKUP(D101,Table8[[Name]:[Native]],3,FALSE)</f>
        <v>卡若区</v>
      </c>
      <c r="G101" s="12" t="str">
        <f ca="1">VLOOKUP(F101,Table8[[Native]:[Population4]],5,FALSE)</f>
        <v>昌都市</v>
      </c>
    </row>
    <row r="102" spans="1:7" ht="15.75" thickBot="1" x14ac:dyDescent="0.3">
      <c r="A102" t="s">
        <v>293</v>
      </c>
      <c r="B102" s="1" t="s">
        <v>294</v>
      </c>
      <c r="C102" s="1" t="s">
        <v>7</v>
      </c>
      <c r="D102" s="1" t="s">
        <v>100</v>
      </c>
      <c r="E102" s="3">
        <v>3794</v>
      </c>
      <c r="F102" s="1" t="str">
        <f>VLOOKUP(D102,Table8[[Name]:[Native]],3,FALSE)</f>
        <v>丁青县</v>
      </c>
      <c r="G102" s="12" t="str">
        <f ca="1">VLOOKUP(F102,Table8[[Native]:[Population4]],5,FALSE)</f>
        <v>昌都市</v>
      </c>
    </row>
    <row r="103" spans="1:7" ht="15.75" thickBot="1" x14ac:dyDescent="0.3">
      <c r="A103" t="s">
        <v>295</v>
      </c>
      <c r="B103" s="1" t="s">
        <v>296</v>
      </c>
      <c r="C103" s="1" t="s">
        <v>7</v>
      </c>
      <c r="D103" s="1" t="s">
        <v>118</v>
      </c>
      <c r="E103" s="3">
        <v>3505</v>
      </c>
      <c r="F103" s="1" t="str">
        <f>VLOOKUP(D103,Table8[[Name]:[Native]],3,FALSE)</f>
        <v>类乌齐县</v>
      </c>
      <c r="G103" s="12" t="str">
        <f ca="1">VLOOKUP(F103,Table8[[Native]:[Population4]],5,FALSE)</f>
        <v>昌都市</v>
      </c>
    </row>
    <row r="104" spans="1:7" ht="15.75" thickBot="1" x14ac:dyDescent="0.3">
      <c r="A104" t="s">
        <v>297</v>
      </c>
      <c r="B104" s="1" t="s">
        <v>298</v>
      </c>
      <c r="C104" s="1" t="s">
        <v>7</v>
      </c>
      <c r="D104" s="1" t="s">
        <v>124</v>
      </c>
      <c r="E104" s="3">
        <v>10219</v>
      </c>
      <c r="F104" s="1" t="str">
        <f>VLOOKUP(D104,Table8[[Name]:[Native]],3,FALSE)</f>
        <v>江达县</v>
      </c>
      <c r="G104" s="12" t="str">
        <f ca="1">VLOOKUP(F104,Table8[[Native]:[Population4]],5,FALSE)</f>
        <v>昌都市</v>
      </c>
    </row>
    <row r="105" spans="1:7" ht="15.75" thickBot="1" x14ac:dyDescent="0.3">
      <c r="A105" t="s">
        <v>299</v>
      </c>
      <c r="B105" s="1" t="s">
        <v>300</v>
      </c>
      <c r="C105" s="1" t="s">
        <v>17</v>
      </c>
      <c r="D105" s="1" t="s">
        <v>103</v>
      </c>
      <c r="E105" s="3">
        <v>4944</v>
      </c>
      <c r="F105" s="1" t="str">
        <f>VLOOKUP(D105,Table8[[Name]:[Native]],3,FALSE)</f>
        <v>洛隆县</v>
      </c>
      <c r="G105" s="12" t="str">
        <f ca="1">VLOOKUP(F105,Table8[[Native]:[Population4]],5,FALSE)</f>
        <v>昌都市</v>
      </c>
    </row>
    <row r="106" spans="1:7" ht="15.75" thickBot="1" x14ac:dyDescent="0.3">
      <c r="A106" t="s">
        <v>301</v>
      </c>
      <c r="B106" s="1" t="s">
        <v>302</v>
      </c>
      <c r="C106" s="1" t="s">
        <v>7</v>
      </c>
      <c r="D106" s="1" t="s">
        <v>91</v>
      </c>
      <c r="E106" s="3">
        <v>5172</v>
      </c>
      <c r="F106" s="1" t="str">
        <f>VLOOKUP(D106,Table8[[Name]:[Native]],3,FALSE)</f>
        <v>芒康县</v>
      </c>
      <c r="G106" s="12" t="str">
        <f ca="1">VLOOKUP(F106,Table8[[Native]:[Population4]],5,FALSE)</f>
        <v>昌都市</v>
      </c>
    </row>
    <row r="107" spans="1:7" ht="15.75" thickBot="1" x14ac:dyDescent="0.3">
      <c r="A107" t="s">
        <v>303</v>
      </c>
      <c r="B107" s="1" t="s">
        <v>304</v>
      </c>
      <c r="C107" s="1" t="s">
        <v>17</v>
      </c>
      <c r="D107" s="1" t="s">
        <v>121</v>
      </c>
      <c r="E107" s="3">
        <v>6387</v>
      </c>
      <c r="F107" s="1" t="str">
        <f>VLOOKUP(D107,Table8[[Name]:[Native]],3,FALSE)</f>
        <v>左贡县</v>
      </c>
      <c r="G107" s="12" t="str">
        <f ca="1">VLOOKUP(F107,Table8[[Native]:[Population4]],5,FALSE)</f>
        <v>昌都市</v>
      </c>
    </row>
    <row r="108" spans="1:7" ht="15.75" thickBot="1" x14ac:dyDescent="0.3">
      <c r="A108" t="s">
        <v>305</v>
      </c>
      <c r="B108" s="1" t="s">
        <v>306</v>
      </c>
      <c r="C108" s="1" t="s">
        <v>17</v>
      </c>
      <c r="D108" s="1" t="s">
        <v>106</v>
      </c>
      <c r="E108" s="3">
        <v>4387</v>
      </c>
      <c r="F108" s="1" t="str">
        <f>VLOOKUP(D108,Table8[[Name]:[Native]],3,FALSE)</f>
        <v>八宿县</v>
      </c>
      <c r="G108" s="12" t="str">
        <f ca="1">VLOOKUP(F108,Table8[[Native]:[Population4]],5,FALSE)</f>
        <v>昌都市</v>
      </c>
    </row>
    <row r="109" spans="1:7" ht="15.75" thickBot="1" x14ac:dyDescent="0.3">
      <c r="A109" t="s">
        <v>307</v>
      </c>
      <c r="B109" s="1" t="s">
        <v>308</v>
      </c>
      <c r="C109" s="1" t="s">
        <v>7</v>
      </c>
      <c r="D109" s="1" t="s">
        <v>124</v>
      </c>
      <c r="E109" s="3">
        <v>8141</v>
      </c>
      <c r="F109" s="1" t="str">
        <f>VLOOKUP(D109,Table8[[Name]:[Native]],3,FALSE)</f>
        <v>江达县</v>
      </c>
      <c r="G109" s="12" t="str">
        <f ca="1">VLOOKUP(F109,Table8[[Native]:[Population4]],5,FALSE)</f>
        <v>昌都市</v>
      </c>
    </row>
    <row r="110" spans="1:7" ht="15.75" thickBot="1" x14ac:dyDescent="0.3">
      <c r="A110" t="s">
        <v>309</v>
      </c>
      <c r="B110" s="1" t="s">
        <v>310</v>
      </c>
      <c r="C110" s="1" t="s">
        <v>7</v>
      </c>
      <c r="D110" s="1" t="s">
        <v>88</v>
      </c>
      <c r="E110" s="3">
        <v>7386</v>
      </c>
      <c r="F110" s="1" t="str">
        <f>VLOOKUP(D110,Table8[[Name]:[Native]],3,FALSE)</f>
        <v>卡若区</v>
      </c>
      <c r="G110" s="12" t="str">
        <f ca="1">VLOOKUP(F110,Table8[[Native]:[Population4]],5,FALSE)</f>
        <v>昌都市</v>
      </c>
    </row>
    <row r="111" spans="1:7" ht="15.75" thickBot="1" x14ac:dyDescent="0.3">
      <c r="A111" t="s">
        <v>311</v>
      </c>
      <c r="B111" s="1" t="s">
        <v>312</v>
      </c>
      <c r="C111" s="1" t="s">
        <v>7</v>
      </c>
      <c r="D111" s="1" t="s">
        <v>124</v>
      </c>
      <c r="E111" s="3">
        <v>8670</v>
      </c>
      <c r="F111" s="1" t="str">
        <f>VLOOKUP(D111,Table8[[Name]:[Native]],3,FALSE)</f>
        <v>江达县</v>
      </c>
      <c r="G111" s="12" t="str">
        <f ca="1">VLOOKUP(F111,Table8[[Native]:[Population4]],5,FALSE)</f>
        <v>昌都市</v>
      </c>
    </row>
    <row r="112" spans="1:7" ht="15.75" thickBot="1" x14ac:dyDescent="0.3">
      <c r="A112" t="s">
        <v>313</v>
      </c>
      <c r="B112" s="1" t="s">
        <v>314</v>
      </c>
      <c r="C112" s="1" t="s">
        <v>17</v>
      </c>
      <c r="D112" s="1" t="s">
        <v>121</v>
      </c>
      <c r="E112" s="3">
        <v>9130</v>
      </c>
      <c r="F112" s="1" t="str">
        <f>VLOOKUP(D112,Table8[[Name]:[Native]],3,FALSE)</f>
        <v>左贡县</v>
      </c>
      <c r="G112" s="12" t="str">
        <f ca="1">VLOOKUP(F112,Table8[[Native]:[Population4]],5,FALSE)</f>
        <v>昌都市</v>
      </c>
    </row>
    <row r="113" spans="1:7" ht="15.75" thickBot="1" x14ac:dyDescent="0.3">
      <c r="A113" t="s">
        <v>315</v>
      </c>
      <c r="B113" s="1" t="s">
        <v>316</v>
      </c>
      <c r="C113" s="1" t="s">
        <v>7</v>
      </c>
      <c r="D113" s="1" t="s">
        <v>97</v>
      </c>
      <c r="E113" s="3">
        <v>4709</v>
      </c>
      <c r="F113" s="1" t="str">
        <f>VLOOKUP(D113,Table8[[Name]:[Native]],3,FALSE)</f>
        <v>察雅县</v>
      </c>
      <c r="G113" s="12" t="str">
        <f ca="1">VLOOKUP(F113,Table8[[Native]:[Population4]],5,FALSE)</f>
        <v>昌都市</v>
      </c>
    </row>
    <row r="114" spans="1:7" ht="15.75" thickBot="1" x14ac:dyDescent="0.3">
      <c r="A114" t="s">
        <v>317</v>
      </c>
      <c r="B114" s="1" t="s">
        <v>318</v>
      </c>
      <c r="C114" s="1" t="s">
        <v>7</v>
      </c>
      <c r="D114" s="1" t="s">
        <v>106</v>
      </c>
      <c r="E114" s="3">
        <v>651</v>
      </c>
      <c r="F114" s="1" t="str">
        <f>VLOOKUP(D114,Table8[[Name]:[Native]],3,FALSE)</f>
        <v>八宿县</v>
      </c>
      <c r="G114" s="12" t="str">
        <f ca="1">VLOOKUP(F114,Table8[[Native]:[Population4]],5,FALSE)</f>
        <v>昌都市</v>
      </c>
    </row>
    <row r="115" spans="1:7" ht="15.75" thickBot="1" x14ac:dyDescent="0.3">
      <c r="A115" t="s">
        <v>319</v>
      </c>
      <c r="B115" s="1" t="s">
        <v>320</v>
      </c>
      <c r="C115" s="1" t="s">
        <v>7</v>
      </c>
      <c r="D115" s="1" t="s">
        <v>121</v>
      </c>
      <c r="E115" s="3">
        <v>2661</v>
      </c>
      <c r="F115" s="1" t="str">
        <f>VLOOKUP(D115,Table8[[Name]:[Native]],3,FALSE)</f>
        <v>左贡县</v>
      </c>
      <c r="G115" s="12" t="str">
        <f ca="1">VLOOKUP(F115,Table8[[Native]:[Population4]],5,FALSE)</f>
        <v>昌都市</v>
      </c>
    </row>
    <row r="116" spans="1:7" ht="15.75" thickBot="1" x14ac:dyDescent="0.3">
      <c r="A116" t="s">
        <v>321</v>
      </c>
      <c r="B116" s="1" t="s">
        <v>322</v>
      </c>
      <c r="C116" s="1" t="s">
        <v>7</v>
      </c>
      <c r="D116" s="1" t="s">
        <v>106</v>
      </c>
      <c r="E116" s="3">
        <v>941</v>
      </c>
      <c r="F116" s="1" t="str">
        <f>VLOOKUP(D116,Table8[[Name]:[Native]],3,FALSE)</f>
        <v>八宿县</v>
      </c>
      <c r="G116" s="12" t="str">
        <f ca="1">VLOOKUP(F116,Table8[[Native]:[Population4]],5,FALSE)</f>
        <v>昌都市</v>
      </c>
    </row>
    <row r="117" spans="1:7" ht="15.75" thickBot="1" x14ac:dyDescent="0.3">
      <c r="A117" t="s">
        <v>323</v>
      </c>
      <c r="B117" s="1" t="s">
        <v>324</v>
      </c>
      <c r="C117" s="1" t="s">
        <v>17</v>
      </c>
      <c r="D117" s="1" t="s">
        <v>97</v>
      </c>
      <c r="E117" s="3">
        <v>8302</v>
      </c>
      <c r="F117" s="1" t="str">
        <f>VLOOKUP(D117,Table8[[Name]:[Native]],3,FALSE)</f>
        <v>察雅县</v>
      </c>
      <c r="G117" s="12" t="str">
        <f ca="1">VLOOKUP(F117,Table8[[Native]:[Population4]],5,FALSE)</f>
        <v>昌都市</v>
      </c>
    </row>
    <row r="118" spans="1:7" ht="15.75" thickBot="1" x14ac:dyDescent="0.3">
      <c r="A118" t="s">
        <v>325</v>
      </c>
      <c r="B118" s="1" t="s">
        <v>326</v>
      </c>
      <c r="C118" s="1" t="s">
        <v>7</v>
      </c>
      <c r="D118" s="1" t="s">
        <v>94</v>
      </c>
      <c r="E118" s="3">
        <v>7257</v>
      </c>
      <c r="F118" s="1" t="str">
        <f>VLOOKUP(D118,Table8[[Name]:[Native]],3,FALSE)</f>
        <v>贡觉县</v>
      </c>
      <c r="G118" s="12" t="str">
        <f ca="1">VLOOKUP(F118,Table8[[Native]:[Population4]],5,FALSE)</f>
        <v>昌都市</v>
      </c>
    </row>
    <row r="119" spans="1:7" ht="15.75" thickBot="1" x14ac:dyDescent="0.3">
      <c r="A119" t="s">
        <v>327</v>
      </c>
      <c r="B119" s="1" t="s">
        <v>328</v>
      </c>
      <c r="C119" s="1" t="s">
        <v>7</v>
      </c>
      <c r="D119" s="1" t="s">
        <v>100</v>
      </c>
      <c r="E119" s="3">
        <v>7027</v>
      </c>
      <c r="F119" s="1" t="str">
        <f>VLOOKUP(D119,Table8[[Name]:[Native]],3,FALSE)</f>
        <v>丁青县</v>
      </c>
      <c r="G119" s="12" t="str">
        <f ca="1">VLOOKUP(F119,Table8[[Native]:[Population4]],5,FALSE)</f>
        <v>昌都市</v>
      </c>
    </row>
    <row r="120" spans="1:7" ht="15.75" thickBot="1" x14ac:dyDescent="0.3">
      <c r="A120" t="s">
        <v>329</v>
      </c>
      <c r="B120" s="1" t="s">
        <v>330</v>
      </c>
      <c r="C120" s="1" t="s">
        <v>7</v>
      </c>
      <c r="D120" s="1" t="s">
        <v>97</v>
      </c>
      <c r="E120" s="3">
        <v>1071</v>
      </c>
      <c r="F120" s="1" t="str">
        <f>VLOOKUP(D120,Table8[[Name]:[Native]],3,FALSE)</f>
        <v>察雅县</v>
      </c>
      <c r="G120" s="12" t="str">
        <f ca="1">VLOOKUP(F120,Table8[[Native]:[Population4]],5,FALSE)</f>
        <v>昌都市</v>
      </c>
    </row>
    <row r="121" spans="1:7" ht="15.75" thickBot="1" x14ac:dyDescent="0.3">
      <c r="A121" t="s">
        <v>331</v>
      </c>
      <c r="B121" s="1" t="s">
        <v>332</v>
      </c>
      <c r="C121" s="1" t="s">
        <v>7</v>
      </c>
      <c r="D121" s="1" t="s">
        <v>103</v>
      </c>
      <c r="E121" s="3">
        <v>3683</v>
      </c>
      <c r="F121" s="1" t="str">
        <f>VLOOKUP(D121,Table8[[Name]:[Native]],3,FALSE)</f>
        <v>洛隆县</v>
      </c>
      <c r="G121" s="12" t="str">
        <f ca="1">VLOOKUP(F121,Table8[[Native]:[Population4]],5,FALSE)</f>
        <v>昌都市</v>
      </c>
    </row>
    <row r="122" spans="1:7" ht="15.75" thickBot="1" x14ac:dyDescent="0.3">
      <c r="A122" t="s">
        <v>333</v>
      </c>
      <c r="B122" s="1" t="s">
        <v>334</v>
      </c>
      <c r="C122" s="1" t="s">
        <v>7</v>
      </c>
      <c r="D122" s="1" t="s">
        <v>94</v>
      </c>
      <c r="E122" s="3">
        <v>1825</v>
      </c>
      <c r="F122" s="1" t="str">
        <f>VLOOKUP(D122,Table8[[Name]:[Native]],3,FALSE)</f>
        <v>贡觉县</v>
      </c>
      <c r="G122" s="12" t="str">
        <f ca="1">VLOOKUP(F122,Table8[[Native]:[Population4]],5,FALSE)</f>
        <v>昌都市</v>
      </c>
    </row>
    <row r="123" spans="1:7" ht="15.75" thickBot="1" x14ac:dyDescent="0.3">
      <c r="A123" t="s">
        <v>335</v>
      </c>
      <c r="B123" s="1" t="s">
        <v>336</v>
      </c>
      <c r="C123" s="1" t="s">
        <v>7</v>
      </c>
      <c r="D123" s="1" t="s">
        <v>91</v>
      </c>
      <c r="E123" s="3">
        <v>5409</v>
      </c>
      <c r="F123" s="1" t="str">
        <f>VLOOKUP(D123,Table8[[Name]:[Native]],3,FALSE)</f>
        <v>芒康县</v>
      </c>
      <c r="G123" s="12" t="str">
        <f ca="1">VLOOKUP(F123,Table8[[Native]:[Population4]],5,FALSE)</f>
        <v>昌都市</v>
      </c>
    </row>
    <row r="124" spans="1:7" ht="15.75" thickBot="1" x14ac:dyDescent="0.3">
      <c r="A124" t="s">
        <v>337</v>
      </c>
      <c r="B124" s="1" t="s">
        <v>338</v>
      </c>
      <c r="C124" s="1" t="s">
        <v>7</v>
      </c>
      <c r="D124" s="1" t="s">
        <v>124</v>
      </c>
      <c r="E124" s="3">
        <v>3852</v>
      </c>
      <c r="F124" s="1" t="str">
        <f>VLOOKUP(D124,Table8[[Name]:[Native]],3,FALSE)</f>
        <v>江达县</v>
      </c>
      <c r="G124" s="12" t="str">
        <f ca="1">VLOOKUP(F124,Table8[[Native]:[Population4]],5,FALSE)</f>
        <v>昌都市</v>
      </c>
    </row>
    <row r="125" spans="1:7" ht="15.75" thickBot="1" x14ac:dyDescent="0.3">
      <c r="A125" t="s">
        <v>339</v>
      </c>
      <c r="B125" s="1" t="s">
        <v>340</v>
      </c>
      <c r="C125" s="1" t="s">
        <v>17</v>
      </c>
      <c r="D125" s="1" t="s">
        <v>97</v>
      </c>
      <c r="E125" s="3">
        <v>7878</v>
      </c>
      <c r="F125" s="1" t="str">
        <f>VLOOKUP(D125,Table8[[Name]:[Native]],3,FALSE)</f>
        <v>察雅县</v>
      </c>
      <c r="G125" s="12" t="str">
        <f ca="1">VLOOKUP(F125,Table8[[Native]:[Population4]],5,FALSE)</f>
        <v>昌都市</v>
      </c>
    </row>
    <row r="126" spans="1:7" ht="15.75" thickBot="1" x14ac:dyDescent="0.3">
      <c r="A126" t="s">
        <v>341</v>
      </c>
      <c r="B126" s="1" t="s">
        <v>342</v>
      </c>
      <c r="C126" s="1" t="s">
        <v>7</v>
      </c>
      <c r="D126" s="1" t="s">
        <v>106</v>
      </c>
      <c r="E126" s="3">
        <v>2602</v>
      </c>
      <c r="F126" s="1" t="str">
        <f>VLOOKUP(D126,Table8[[Name]:[Native]],3,FALSE)</f>
        <v>八宿县</v>
      </c>
      <c r="G126" s="12" t="str">
        <f ca="1">VLOOKUP(F126,Table8[[Native]:[Population4]],5,FALSE)</f>
        <v>昌都市</v>
      </c>
    </row>
    <row r="127" spans="1:7" ht="15.75" thickBot="1" x14ac:dyDescent="0.3">
      <c r="A127" t="s">
        <v>343</v>
      </c>
      <c r="B127" s="1" t="s">
        <v>344</v>
      </c>
      <c r="C127" s="1" t="s">
        <v>7</v>
      </c>
      <c r="D127" s="1" t="s">
        <v>118</v>
      </c>
      <c r="E127" s="3">
        <v>2707</v>
      </c>
      <c r="F127" s="1" t="str">
        <f>VLOOKUP(D127,Table8[[Name]:[Native]],3,FALSE)</f>
        <v>类乌齐县</v>
      </c>
      <c r="G127" s="12" t="str">
        <f ca="1">VLOOKUP(F127,Table8[[Native]:[Population4]],5,FALSE)</f>
        <v>昌都市</v>
      </c>
    </row>
    <row r="128" spans="1:7" ht="15.75" thickBot="1" x14ac:dyDescent="0.3">
      <c r="A128" t="s">
        <v>345</v>
      </c>
      <c r="B128" s="1" t="s">
        <v>346</v>
      </c>
      <c r="C128" s="1" t="s">
        <v>7</v>
      </c>
      <c r="D128" s="1" t="s">
        <v>106</v>
      </c>
      <c r="E128" s="3">
        <v>1176</v>
      </c>
      <c r="F128" s="1" t="str">
        <f>VLOOKUP(D128,Table8[[Name]:[Native]],3,FALSE)</f>
        <v>八宿县</v>
      </c>
      <c r="G128" s="12" t="str">
        <f ca="1">VLOOKUP(F128,Table8[[Native]:[Population4]],5,FALSE)</f>
        <v>昌都市</v>
      </c>
    </row>
    <row r="129" spans="1:7" ht="15.75" thickBot="1" x14ac:dyDescent="0.3">
      <c r="A129" t="s">
        <v>347</v>
      </c>
      <c r="B129" s="1" t="s">
        <v>348</v>
      </c>
      <c r="C129" s="1" t="s">
        <v>7</v>
      </c>
      <c r="D129" s="1" t="s">
        <v>88</v>
      </c>
      <c r="E129" s="3">
        <v>3736</v>
      </c>
      <c r="F129" s="1" t="str">
        <f>VLOOKUP(D129,Table8[[Name]:[Native]],3,FALSE)</f>
        <v>卡若区</v>
      </c>
      <c r="G129" s="12" t="str">
        <f ca="1">VLOOKUP(F129,Table8[[Native]:[Population4]],5,FALSE)</f>
        <v>昌都市</v>
      </c>
    </row>
    <row r="130" spans="1:7" ht="15.75" thickBot="1" x14ac:dyDescent="0.3">
      <c r="A130" t="s">
        <v>349</v>
      </c>
      <c r="B130" s="1" t="s">
        <v>350</v>
      </c>
      <c r="C130" s="1" t="s">
        <v>7</v>
      </c>
      <c r="D130" s="1" t="s">
        <v>103</v>
      </c>
      <c r="E130" s="3">
        <v>1216</v>
      </c>
      <c r="F130" s="1" t="str">
        <f>VLOOKUP(D130,Table8[[Name]:[Native]],3,FALSE)</f>
        <v>洛隆县</v>
      </c>
      <c r="G130" s="12" t="str">
        <f ca="1">VLOOKUP(F130,Table8[[Native]:[Population4]],5,FALSE)</f>
        <v>昌都市</v>
      </c>
    </row>
    <row r="131" spans="1:7" ht="15.75" thickBot="1" x14ac:dyDescent="0.3">
      <c r="A131" t="s">
        <v>351</v>
      </c>
      <c r="B131" s="1" t="s">
        <v>352</v>
      </c>
      <c r="C131" s="1" t="s">
        <v>7</v>
      </c>
      <c r="D131" s="1" t="s">
        <v>94</v>
      </c>
      <c r="E131" s="3">
        <v>2855</v>
      </c>
      <c r="F131" s="1" t="str">
        <f>VLOOKUP(D131,Table8[[Name]:[Native]],3,FALSE)</f>
        <v>贡觉县</v>
      </c>
      <c r="G131" s="12" t="str">
        <f ca="1">VLOOKUP(F131,Table8[[Native]:[Population4]],5,FALSE)</f>
        <v>昌都市</v>
      </c>
    </row>
    <row r="132" spans="1:7" ht="15.75" thickBot="1" x14ac:dyDescent="0.3">
      <c r="A132" t="s">
        <v>353</v>
      </c>
      <c r="B132" s="1" t="s">
        <v>354</v>
      </c>
      <c r="C132" s="1" t="s">
        <v>17</v>
      </c>
      <c r="D132" s="1" t="s">
        <v>121</v>
      </c>
      <c r="E132" s="3">
        <v>6499</v>
      </c>
      <c r="F132" s="1" t="str">
        <f>VLOOKUP(D132,Table8[[Name]:[Native]],3,FALSE)</f>
        <v>左贡县</v>
      </c>
      <c r="G132" s="12" t="str">
        <f ca="1">VLOOKUP(F132,Table8[[Native]:[Population4]],5,FALSE)</f>
        <v>昌都市</v>
      </c>
    </row>
    <row r="133" spans="1:7" ht="15.75" thickBot="1" x14ac:dyDescent="0.3">
      <c r="A133" t="s">
        <v>355</v>
      </c>
      <c r="B133" s="1" t="s">
        <v>356</v>
      </c>
      <c r="C133" s="1" t="s">
        <v>7</v>
      </c>
      <c r="D133" s="1" t="s">
        <v>121</v>
      </c>
      <c r="E133" s="3">
        <v>6039</v>
      </c>
      <c r="F133" s="1" t="str">
        <f>VLOOKUP(D133,Table8[[Name]:[Native]],3,FALSE)</f>
        <v>左贡县</v>
      </c>
      <c r="G133" s="12" t="str">
        <f ca="1">VLOOKUP(F133,Table8[[Native]:[Population4]],5,FALSE)</f>
        <v>昌都市</v>
      </c>
    </row>
    <row r="134" spans="1:7" ht="15.75" thickBot="1" x14ac:dyDescent="0.3">
      <c r="A134" t="s">
        <v>357</v>
      </c>
      <c r="B134" s="1" t="s">
        <v>358</v>
      </c>
      <c r="C134" s="1" t="s">
        <v>7</v>
      </c>
      <c r="D134" s="1" t="s">
        <v>103</v>
      </c>
      <c r="E134" s="3">
        <v>2999</v>
      </c>
      <c r="F134" s="1" t="str">
        <f>VLOOKUP(D134,Table8[[Name]:[Native]],3,FALSE)</f>
        <v>洛隆县</v>
      </c>
      <c r="G134" s="12" t="str">
        <f ca="1">VLOOKUP(F134,Table8[[Native]:[Population4]],5,FALSE)</f>
        <v>昌都市</v>
      </c>
    </row>
    <row r="135" spans="1:7" ht="15.75" thickBot="1" x14ac:dyDescent="0.3">
      <c r="A135" t="s">
        <v>359</v>
      </c>
      <c r="B135" s="1" t="s">
        <v>360</v>
      </c>
      <c r="C135" s="1" t="s">
        <v>7</v>
      </c>
      <c r="D135" s="1" t="s">
        <v>91</v>
      </c>
      <c r="E135" s="3">
        <v>4834</v>
      </c>
      <c r="F135" s="1" t="str">
        <f>VLOOKUP(D135,Table8[[Name]:[Native]],3,FALSE)</f>
        <v>芒康县</v>
      </c>
      <c r="G135" s="12" t="str">
        <f ca="1">VLOOKUP(F135,Table8[[Native]:[Population4]],5,FALSE)</f>
        <v>昌都市</v>
      </c>
    </row>
    <row r="136" spans="1:7" ht="15.75" thickBot="1" x14ac:dyDescent="0.3">
      <c r="A136" t="s">
        <v>361</v>
      </c>
      <c r="B136" s="1" t="s">
        <v>362</v>
      </c>
      <c r="C136" s="1" t="s">
        <v>7</v>
      </c>
      <c r="D136" s="1" t="s">
        <v>124</v>
      </c>
      <c r="E136" s="3">
        <v>7347</v>
      </c>
      <c r="F136" s="1" t="str">
        <f>VLOOKUP(D136,Table8[[Name]:[Native]],3,FALSE)</f>
        <v>江达县</v>
      </c>
      <c r="G136" s="12" t="str">
        <f ca="1">VLOOKUP(F136,Table8[[Native]:[Population4]],5,FALSE)</f>
        <v>昌都市</v>
      </c>
    </row>
    <row r="137" spans="1:7" ht="15.75" thickBot="1" x14ac:dyDescent="0.3">
      <c r="A137" t="s">
        <v>363</v>
      </c>
      <c r="B137" s="1" t="s">
        <v>364</v>
      </c>
      <c r="C137" s="1" t="s">
        <v>17</v>
      </c>
      <c r="D137" s="1" t="s">
        <v>103</v>
      </c>
      <c r="E137" s="3">
        <v>10942</v>
      </c>
      <c r="F137" s="1" t="str">
        <f>VLOOKUP(D137,Table8[[Name]:[Native]],3,FALSE)</f>
        <v>洛隆县</v>
      </c>
      <c r="G137" s="12" t="str">
        <f ca="1">VLOOKUP(F137,Table8[[Native]:[Population4]],5,FALSE)</f>
        <v>昌都市</v>
      </c>
    </row>
    <row r="138" spans="1:7" ht="15.75" thickBot="1" x14ac:dyDescent="0.3">
      <c r="A138" t="s">
        <v>365</v>
      </c>
      <c r="B138" s="1" t="s">
        <v>366</v>
      </c>
      <c r="C138" s="1" t="s">
        <v>7</v>
      </c>
      <c r="D138" s="1" t="s">
        <v>97</v>
      </c>
      <c r="E138" s="3">
        <v>4726</v>
      </c>
      <c r="F138" s="1" t="str">
        <f>VLOOKUP(D138,Table8[[Name]:[Native]],3,FALSE)</f>
        <v>察雅县</v>
      </c>
      <c r="G138" s="12" t="str">
        <f ca="1">VLOOKUP(F138,Table8[[Native]:[Population4]],5,FALSE)</f>
        <v>昌都市</v>
      </c>
    </row>
    <row r="139" spans="1:7" ht="15.75" thickBot="1" x14ac:dyDescent="0.3">
      <c r="A139" t="s">
        <v>367</v>
      </c>
      <c r="B139" s="1" t="s">
        <v>368</v>
      </c>
      <c r="C139" s="1" t="s">
        <v>7</v>
      </c>
      <c r="D139" s="1" t="s">
        <v>91</v>
      </c>
      <c r="E139" s="3">
        <v>5354</v>
      </c>
      <c r="F139" s="9" t="str">
        <f>VLOOKUP(D139,Table8[[Name]:[Native]],3,FALSE)</f>
        <v>芒康县</v>
      </c>
      <c r="G139" s="12" t="str">
        <f ca="1">VLOOKUP(F139,Table8[[Native]:[Population4]],5,FALSE)</f>
        <v>昌都市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5A534-2A66-485B-9482-02829DAA1E00}">
  <dimension ref="A1:G65"/>
  <sheetViews>
    <sheetView topLeftCell="A40" workbookViewId="0">
      <selection activeCell="G2" sqref="A2:G6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1502</v>
      </c>
      <c r="G1" t="s">
        <v>1504</v>
      </c>
    </row>
    <row r="2" spans="1:7" ht="15.75" thickBot="1" x14ac:dyDescent="0.3">
      <c r="A2" t="s">
        <v>369</v>
      </c>
      <c r="B2" s="1" t="s">
        <v>370</v>
      </c>
      <c r="C2" s="1" t="s">
        <v>7</v>
      </c>
      <c r="D2" s="1" t="s">
        <v>371</v>
      </c>
      <c r="E2" s="3">
        <v>3905</v>
      </c>
      <c r="F2" s="8" t="str">
        <f>VLOOKUP(D2,Table8[[Name]:[Native]],3,FALSE)</f>
        <v>林周县</v>
      </c>
      <c r="G2" s="12" t="str">
        <f ca="1">VLOOKUP(F2,Table8[[Native]:[Population4]],5,FALSE)</f>
        <v>拉萨市</v>
      </c>
    </row>
    <row r="3" spans="1:7" ht="15.75" thickBot="1" x14ac:dyDescent="0.3">
      <c r="A3" t="s">
        <v>372</v>
      </c>
      <c r="B3" s="1" t="s">
        <v>373</v>
      </c>
      <c r="C3" s="1" t="s">
        <v>374</v>
      </c>
      <c r="D3" s="1" t="s">
        <v>375</v>
      </c>
      <c r="E3" s="3">
        <v>19860</v>
      </c>
      <c r="F3" s="1" t="str">
        <f>VLOOKUP(D3,Table8[[Name]:[Native]],3,FALSE)</f>
        <v>城关区</v>
      </c>
      <c r="G3" s="12" t="str">
        <f ca="1">VLOOKUP(F3,Table8[[Native]:[Population4]],5,FALSE)</f>
        <v>拉萨市</v>
      </c>
    </row>
    <row r="4" spans="1:7" ht="15.75" thickBot="1" x14ac:dyDescent="0.3">
      <c r="A4" t="s">
        <v>376</v>
      </c>
      <c r="B4" s="1" t="s">
        <v>377</v>
      </c>
      <c r="C4" s="1" t="s">
        <v>7</v>
      </c>
      <c r="D4" s="1" t="s">
        <v>378</v>
      </c>
      <c r="E4" s="3">
        <v>3300</v>
      </c>
      <c r="F4" s="1" t="str">
        <f>VLOOKUP(D4,Table8[[Name]:[Native]],3,FALSE)</f>
        <v>达孜区</v>
      </c>
      <c r="G4" s="12" t="str">
        <f ca="1">VLOOKUP(F4,Table8[[Native]:[Population4]],5,FALSE)</f>
        <v>拉萨市</v>
      </c>
    </row>
    <row r="5" spans="1:7" ht="15.75" thickBot="1" x14ac:dyDescent="0.3">
      <c r="A5" t="s">
        <v>379</v>
      </c>
      <c r="B5" s="1" t="s">
        <v>380</v>
      </c>
      <c r="C5" s="1" t="s">
        <v>7</v>
      </c>
      <c r="D5" s="1" t="s">
        <v>371</v>
      </c>
      <c r="E5" s="3">
        <v>4704</v>
      </c>
      <c r="F5" s="1" t="str">
        <f>VLOOKUP(D5,Table8[[Name]:[Native]],3,FALSE)</f>
        <v>林周县</v>
      </c>
      <c r="G5" s="12" t="str">
        <f ca="1">VLOOKUP(F5,Table8[[Native]:[Population4]],5,FALSE)</f>
        <v>拉萨市</v>
      </c>
    </row>
    <row r="6" spans="1:7" ht="15.75" thickBot="1" x14ac:dyDescent="0.3">
      <c r="A6" t="s">
        <v>381</v>
      </c>
      <c r="B6" s="1" t="s">
        <v>382</v>
      </c>
      <c r="C6" s="1" t="s">
        <v>374</v>
      </c>
      <c r="D6" s="1" t="s">
        <v>375</v>
      </c>
      <c r="E6" s="3">
        <v>8800</v>
      </c>
      <c r="F6" s="1" t="str">
        <f>VLOOKUP(D6,Table8[[Name]:[Native]],3,FALSE)</f>
        <v>城关区</v>
      </c>
      <c r="G6" s="12" t="str">
        <f ca="1">VLOOKUP(F6,Table8[[Native]:[Population4]],5,FALSE)</f>
        <v>拉萨市</v>
      </c>
    </row>
    <row r="7" spans="1:7" ht="15.75" thickBot="1" x14ac:dyDescent="0.3">
      <c r="A7" t="s">
        <v>383</v>
      </c>
      <c r="B7" s="1" t="s">
        <v>384</v>
      </c>
      <c r="C7" s="1" t="s">
        <v>7</v>
      </c>
      <c r="D7" s="1" t="s">
        <v>385</v>
      </c>
      <c r="E7" s="3">
        <v>4471</v>
      </c>
      <c r="F7" s="1" t="str">
        <f>VLOOKUP(D7,Table8[[Name]:[Native]],3,FALSE)</f>
        <v>曲水县</v>
      </c>
      <c r="G7" s="12" t="str">
        <f ca="1">VLOOKUP(F7,Table8[[Native]:[Population4]],5,FALSE)</f>
        <v>拉萨市</v>
      </c>
    </row>
    <row r="8" spans="1:7" ht="15.75" thickBot="1" x14ac:dyDescent="0.3">
      <c r="A8" t="s">
        <v>386</v>
      </c>
      <c r="B8" s="1" t="s">
        <v>387</v>
      </c>
      <c r="C8" s="1" t="s">
        <v>7</v>
      </c>
      <c r="D8" s="1" t="s">
        <v>385</v>
      </c>
      <c r="E8" s="3">
        <v>3586</v>
      </c>
      <c r="F8" s="1" t="str">
        <f>VLOOKUP(D8,Table8[[Name]:[Native]],3,FALSE)</f>
        <v>曲水县</v>
      </c>
      <c r="G8" s="12" t="str">
        <f ca="1">VLOOKUP(F8,Table8[[Native]:[Population4]],5,FALSE)</f>
        <v>拉萨市</v>
      </c>
    </row>
    <row r="9" spans="1:7" ht="15.75" thickBot="1" x14ac:dyDescent="0.3">
      <c r="A9" t="s">
        <v>388</v>
      </c>
      <c r="B9" s="1" t="s">
        <v>389</v>
      </c>
      <c r="C9" s="1" t="s">
        <v>7</v>
      </c>
      <c r="D9" s="1" t="s">
        <v>371</v>
      </c>
      <c r="E9" s="3">
        <v>4840</v>
      </c>
      <c r="F9" s="1" t="str">
        <f>VLOOKUP(D9,Table8[[Name]:[Native]],3,FALSE)</f>
        <v>林周县</v>
      </c>
      <c r="G9" s="12" t="str">
        <f ca="1">VLOOKUP(F9,Table8[[Native]:[Population4]],5,FALSE)</f>
        <v>拉萨市</v>
      </c>
    </row>
    <row r="10" spans="1:7" ht="15.75" thickBot="1" x14ac:dyDescent="0.3">
      <c r="A10" t="s">
        <v>390</v>
      </c>
      <c r="B10" s="1" t="s">
        <v>391</v>
      </c>
      <c r="C10" s="1" t="s">
        <v>17</v>
      </c>
      <c r="D10" s="1" t="s">
        <v>385</v>
      </c>
      <c r="E10" s="3">
        <v>7050</v>
      </c>
      <c r="F10" s="1" t="str">
        <f>VLOOKUP(D10,Table8[[Name]:[Native]],3,FALSE)</f>
        <v>曲水县</v>
      </c>
      <c r="G10" s="12" t="str">
        <f ca="1">VLOOKUP(F10,Table8[[Native]:[Population4]],5,FALSE)</f>
        <v>拉萨市</v>
      </c>
    </row>
    <row r="11" spans="1:7" ht="15.75" thickBot="1" x14ac:dyDescent="0.3">
      <c r="A11" t="s">
        <v>392</v>
      </c>
      <c r="B11" s="1" t="s">
        <v>393</v>
      </c>
      <c r="C11" s="1" t="s">
        <v>17</v>
      </c>
      <c r="D11" s="1" t="s">
        <v>394</v>
      </c>
      <c r="E11" s="3">
        <v>5202</v>
      </c>
      <c r="F11" s="1" t="str">
        <f>VLOOKUP(D11,Table8[[Name]:[Native]],3,FALSE)</f>
        <v>当雄县</v>
      </c>
      <c r="G11" s="12" t="str">
        <f ca="1">VLOOKUP(F11,Table8[[Native]:[Population4]],5,FALSE)</f>
        <v>拉萨市</v>
      </c>
    </row>
    <row r="12" spans="1:7" ht="15.75" thickBot="1" x14ac:dyDescent="0.3">
      <c r="A12" t="s">
        <v>395</v>
      </c>
      <c r="B12" s="1" t="s">
        <v>396</v>
      </c>
      <c r="C12" s="1" t="s">
        <v>17</v>
      </c>
      <c r="D12" s="1" t="s">
        <v>397</v>
      </c>
      <c r="E12" s="3">
        <v>6243</v>
      </c>
      <c r="F12" s="1" t="str">
        <f>VLOOKUP(D12,Table8[[Name]:[Native]],3,FALSE)</f>
        <v>堆龙德庆区</v>
      </c>
      <c r="G12" s="12" t="str">
        <f ca="1">VLOOKUP(F12,Table8[[Native]:[Population4]],5,FALSE)</f>
        <v>拉萨市</v>
      </c>
    </row>
    <row r="13" spans="1:7" ht="15.75" thickBot="1" x14ac:dyDescent="0.3">
      <c r="A13" t="s">
        <v>395</v>
      </c>
      <c r="B13" s="1" t="s">
        <v>396</v>
      </c>
      <c r="C13" s="1" t="s">
        <v>17</v>
      </c>
      <c r="D13" s="1" t="s">
        <v>378</v>
      </c>
      <c r="E13" s="3">
        <v>9040</v>
      </c>
      <c r="F13" s="1" t="str">
        <f>VLOOKUP(D13,Table8[[Name]:[Native]],3,FALSE)</f>
        <v>达孜区</v>
      </c>
      <c r="G13" s="12" t="str">
        <f ca="1">VLOOKUP(F13,Table8[[Native]:[Population4]],5,FALSE)</f>
        <v>拉萨市</v>
      </c>
    </row>
    <row r="14" spans="1:7" ht="15.75" thickBot="1" x14ac:dyDescent="0.3">
      <c r="A14" t="s">
        <v>398</v>
      </c>
      <c r="B14" s="1" t="s">
        <v>399</v>
      </c>
      <c r="C14" s="1" t="s">
        <v>374</v>
      </c>
      <c r="D14" s="1" t="s">
        <v>397</v>
      </c>
      <c r="E14" s="3">
        <v>13371</v>
      </c>
      <c r="F14" s="1" t="str">
        <f>VLOOKUP(D14,Table8[[Name]:[Native]],3,FALSE)</f>
        <v>堆龙德庆区</v>
      </c>
      <c r="G14" s="12" t="str">
        <f ca="1">VLOOKUP(F14,Table8[[Native]:[Population4]],5,FALSE)</f>
        <v>拉萨市</v>
      </c>
    </row>
    <row r="15" spans="1:7" ht="15.75" thickBot="1" x14ac:dyDescent="0.3">
      <c r="A15" t="s">
        <v>400</v>
      </c>
      <c r="B15" s="1" t="s">
        <v>401</v>
      </c>
      <c r="C15" s="1" t="s">
        <v>374</v>
      </c>
      <c r="D15" s="1" t="s">
        <v>375</v>
      </c>
      <c r="E15" s="3">
        <v>15186</v>
      </c>
      <c r="F15" s="1" t="str">
        <f>VLOOKUP(D15,Table8[[Name]:[Native]],3,FALSE)</f>
        <v>城关区</v>
      </c>
      <c r="G15" s="12" t="str">
        <f ca="1">VLOOKUP(F15,Table8[[Native]:[Population4]],5,FALSE)</f>
        <v>拉萨市</v>
      </c>
    </row>
    <row r="16" spans="1:7" ht="15.75" thickBot="1" x14ac:dyDescent="0.3">
      <c r="A16" t="s">
        <v>402</v>
      </c>
      <c r="B16" s="1" t="s">
        <v>403</v>
      </c>
      <c r="C16" s="1" t="s">
        <v>374</v>
      </c>
      <c r="D16" s="1" t="s">
        <v>375</v>
      </c>
      <c r="E16" s="3">
        <v>19472</v>
      </c>
      <c r="F16" s="1" t="str">
        <f>VLOOKUP(D16,Table8[[Name]:[Native]],3,FALSE)</f>
        <v>城关区</v>
      </c>
      <c r="G16" s="12" t="str">
        <f ca="1">VLOOKUP(F16,Table8[[Native]:[Population4]],5,FALSE)</f>
        <v>拉萨市</v>
      </c>
    </row>
    <row r="17" spans="1:7" ht="15.75" thickBot="1" x14ac:dyDescent="0.3">
      <c r="A17" t="s">
        <v>404</v>
      </c>
      <c r="B17" s="1" t="s">
        <v>405</v>
      </c>
      <c r="C17" s="1" t="s">
        <v>17</v>
      </c>
      <c r="D17" s="1" t="s">
        <v>371</v>
      </c>
      <c r="E17" s="3">
        <v>8267</v>
      </c>
      <c r="F17" s="1" t="str">
        <f>VLOOKUP(D17,Table8[[Name]:[Native]],3,FALSE)</f>
        <v>林周县</v>
      </c>
      <c r="G17" s="12" t="str">
        <f ca="1">VLOOKUP(F17,Table8[[Native]:[Population4]],5,FALSE)</f>
        <v>拉萨市</v>
      </c>
    </row>
    <row r="18" spans="1:7" ht="15.75" thickBot="1" x14ac:dyDescent="0.3">
      <c r="A18" t="s">
        <v>406</v>
      </c>
      <c r="B18" s="1" t="s">
        <v>407</v>
      </c>
      <c r="C18" s="1" t="s">
        <v>7</v>
      </c>
      <c r="D18" s="1" t="s">
        <v>394</v>
      </c>
      <c r="E18" s="3">
        <v>4301</v>
      </c>
      <c r="F18" s="1" t="str">
        <f>VLOOKUP(D18,Table8[[Name]:[Native]],3,FALSE)</f>
        <v>当雄县</v>
      </c>
      <c r="G18" s="12" t="str">
        <f ca="1">VLOOKUP(F18,Table8[[Native]:[Population4]],5,FALSE)</f>
        <v>拉萨市</v>
      </c>
    </row>
    <row r="19" spans="1:7" ht="15.75" thickBot="1" x14ac:dyDescent="0.3">
      <c r="A19" t="s">
        <v>408</v>
      </c>
      <c r="B19" s="1" t="s">
        <v>409</v>
      </c>
      <c r="C19" s="1" t="s">
        <v>374</v>
      </c>
      <c r="D19" s="1" t="s">
        <v>375</v>
      </c>
      <c r="E19" s="3">
        <v>72247</v>
      </c>
      <c r="F19" s="1" t="str">
        <f>VLOOKUP(D19,Table8[[Name]:[Native]],3,FALSE)</f>
        <v>城关区</v>
      </c>
      <c r="G19" s="12" t="str">
        <f ca="1">VLOOKUP(F19,Table8[[Native]:[Population4]],5,FALSE)</f>
        <v>拉萨市</v>
      </c>
    </row>
    <row r="20" spans="1:7" ht="15.75" thickBot="1" x14ac:dyDescent="0.3">
      <c r="A20" t="s">
        <v>410</v>
      </c>
      <c r="B20" s="1" t="s">
        <v>411</v>
      </c>
      <c r="C20" s="1" t="s">
        <v>17</v>
      </c>
      <c r="D20" s="1" t="s">
        <v>412</v>
      </c>
      <c r="E20" s="3">
        <v>6493</v>
      </c>
      <c r="F20" s="1" t="str">
        <f>VLOOKUP(D20,Table8[[Name]:[Native]],3,FALSE)</f>
        <v>墨竹工卡县</v>
      </c>
      <c r="G20" s="12" t="str">
        <f ca="1">VLOOKUP(F20,Table8[[Native]:[Population4]],5,FALSE)</f>
        <v>拉萨市</v>
      </c>
    </row>
    <row r="21" spans="1:7" ht="15.75" thickBot="1" x14ac:dyDescent="0.3">
      <c r="A21" t="s">
        <v>413</v>
      </c>
      <c r="B21" s="1" t="s">
        <v>414</v>
      </c>
      <c r="C21" s="1" t="s">
        <v>7</v>
      </c>
      <c r="D21" s="1" t="s">
        <v>394</v>
      </c>
      <c r="E21" s="3">
        <v>5898</v>
      </c>
      <c r="F21" s="1" t="str">
        <f>VLOOKUP(D21,Table8[[Name]:[Native]],3,FALSE)</f>
        <v>当雄县</v>
      </c>
      <c r="G21" s="12" t="str">
        <f ca="1">VLOOKUP(F21,Table8[[Native]:[Population4]],5,FALSE)</f>
        <v>拉萨市</v>
      </c>
    </row>
    <row r="22" spans="1:7" ht="15.75" thickBot="1" x14ac:dyDescent="0.3">
      <c r="A22" t="s">
        <v>415</v>
      </c>
      <c r="B22" s="1" t="s">
        <v>416</v>
      </c>
      <c r="C22" s="1" t="s">
        <v>17</v>
      </c>
      <c r="D22" s="1" t="s">
        <v>397</v>
      </c>
      <c r="E22" s="3">
        <v>5763</v>
      </c>
      <c r="F22" s="1" t="str">
        <f>VLOOKUP(D22,Table8[[Name]:[Native]],3,FALSE)</f>
        <v>堆龙德庆区</v>
      </c>
      <c r="G22" s="12" t="str">
        <f ca="1">VLOOKUP(F22,Table8[[Native]:[Population4]],5,FALSE)</f>
        <v>拉萨市</v>
      </c>
    </row>
    <row r="23" spans="1:7" ht="15.75" thickBot="1" x14ac:dyDescent="0.3">
      <c r="A23" t="s">
        <v>417</v>
      </c>
      <c r="B23" s="1" t="s">
        <v>418</v>
      </c>
      <c r="C23" s="1" t="s">
        <v>7</v>
      </c>
      <c r="D23" s="1" t="s">
        <v>412</v>
      </c>
      <c r="E23" s="3">
        <v>3622</v>
      </c>
      <c r="F23" s="1" t="str">
        <f>VLOOKUP(D23,Table8[[Name]:[Native]],3,FALSE)</f>
        <v>墨竹工卡县</v>
      </c>
      <c r="G23" s="12" t="str">
        <f ca="1">VLOOKUP(F23,Table8[[Native]:[Population4]],5,FALSE)</f>
        <v>拉萨市</v>
      </c>
    </row>
    <row r="24" spans="1:7" ht="15.75" thickBot="1" x14ac:dyDescent="0.3">
      <c r="A24" t="s">
        <v>419</v>
      </c>
      <c r="B24" s="1" t="s">
        <v>420</v>
      </c>
      <c r="C24" s="1" t="s">
        <v>7</v>
      </c>
      <c r="D24" s="1" t="s">
        <v>371</v>
      </c>
      <c r="E24" s="3">
        <v>5255</v>
      </c>
      <c r="F24" s="1" t="str">
        <f>VLOOKUP(D24,Table8[[Name]:[Native]],3,FALSE)</f>
        <v>林周县</v>
      </c>
      <c r="G24" s="12" t="str">
        <f ca="1">VLOOKUP(F24,Table8[[Native]:[Population4]],5,FALSE)</f>
        <v>拉萨市</v>
      </c>
    </row>
    <row r="25" spans="1:7" ht="15.75" thickBot="1" x14ac:dyDescent="0.3">
      <c r="A25" t="s">
        <v>421</v>
      </c>
      <c r="B25" s="1" t="s">
        <v>422</v>
      </c>
      <c r="C25" s="1" t="s">
        <v>374</v>
      </c>
      <c r="D25" s="1" t="s">
        <v>375</v>
      </c>
      <c r="E25" s="3">
        <v>29984</v>
      </c>
      <c r="F25" s="1" t="str">
        <f>VLOOKUP(D25,Table8[[Name]:[Native]],3,FALSE)</f>
        <v>城关区</v>
      </c>
      <c r="G25" s="12" t="str">
        <f ca="1">VLOOKUP(F25,Table8[[Native]:[Population4]],5,FALSE)</f>
        <v>拉萨市</v>
      </c>
    </row>
    <row r="26" spans="1:7" ht="15.75" thickBot="1" x14ac:dyDescent="0.3">
      <c r="A26" t="s">
        <v>423</v>
      </c>
      <c r="B26" s="1" t="s">
        <v>424</v>
      </c>
      <c r="C26" s="1" t="s">
        <v>374</v>
      </c>
      <c r="D26" s="1" t="s">
        <v>375</v>
      </c>
      <c r="E26" s="3">
        <v>21022</v>
      </c>
      <c r="F26" s="1" t="str">
        <f>VLOOKUP(D26,Table8[[Name]:[Native]],3,FALSE)</f>
        <v>城关区</v>
      </c>
      <c r="G26" s="12" t="str">
        <f ca="1">VLOOKUP(F26,Table8[[Native]:[Population4]],5,FALSE)</f>
        <v>拉萨市</v>
      </c>
    </row>
    <row r="27" spans="1:7" ht="15.75" thickBot="1" x14ac:dyDescent="0.3">
      <c r="A27" t="s">
        <v>425</v>
      </c>
      <c r="B27" s="1" t="s">
        <v>426</v>
      </c>
      <c r="C27" s="1" t="s">
        <v>7</v>
      </c>
      <c r="D27" s="1" t="s">
        <v>427</v>
      </c>
      <c r="E27" s="3">
        <v>1101</v>
      </c>
      <c r="F27" s="1" t="str">
        <f>VLOOKUP(D27,Table8[[Name]:[Native]],3,FALSE)</f>
        <v>尼木县</v>
      </c>
      <c r="G27" s="12" t="str">
        <f ca="1">VLOOKUP(F27,Table8[[Native]:[Population4]],5,FALSE)</f>
        <v>拉萨市</v>
      </c>
    </row>
    <row r="28" spans="1:7" ht="15.75" thickBot="1" x14ac:dyDescent="0.3">
      <c r="A28" t="s">
        <v>428</v>
      </c>
      <c r="B28" s="1" t="s">
        <v>429</v>
      </c>
      <c r="C28" s="1" t="s">
        <v>7</v>
      </c>
      <c r="D28" s="1" t="s">
        <v>371</v>
      </c>
      <c r="E28" s="3">
        <v>4995</v>
      </c>
      <c r="F28" s="1" t="str">
        <f>VLOOKUP(D28,Table8[[Name]:[Native]],3,FALSE)</f>
        <v>林周县</v>
      </c>
      <c r="G28" s="12" t="str">
        <f ca="1">VLOOKUP(F28,Table8[[Native]:[Population4]],5,FALSE)</f>
        <v>拉萨市</v>
      </c>
    </row>
    <row r="29" spans="1:7" ht="15.75" thickBot="1" x14ac:dyDescent="0.3">
      <c r="A29" t="s">
        <v>430</v>
      </c>
      <c r="B29" s="1" t="s">
        <v>431</v>
      </c>
      <c r="C29" s="1" t="s">
        <v>374</v>
      </c>
      <c r="D29" s="1" t="s">
        <v>375</v>
      </c>
      <c r="E29" s="3">
        <v>5754</v>
      </c>
      <c r="F29" s="1" t="str">
        <f>VLOOKUP(D29,Table8[[Name]:[Native]],3,FALSE)</f>
        <v>城关区</v>
      </c>
      <c r="G29" s="12" t="str">
        <f ca="1">VLOOKUP(F29,Table8[[Native]:[Population4]],5,FALSE)</f>
        <v>拉萨市</v>
      </c>
    </row>
    <row r="30" spans="1:7" ht="15.75" thickBot="1" x14ac:dyDescent="0.3">
      <c r="A30" t="s">
        <v>432</v>
      </c>
      <c r="B30" s="1" t="s">
        <v>433</v>
      </c>
      <c r="C30" s="1" t="s">
        <v>7</v>
      </c>
      <c r="D30" s="1" t="s">
        <v>397</v>
      </c>
      <c r="E30" s="3">
        <v>6027</v>
      </c>
      <c r="F30" s="1" t="str">
        <f>VLOOKUP(D30,Table8[[Name]:[Native]],3,FALSE)</f>
        <v>堆龙德庆区</v>
      </c>
      <c r="G30" s="12" t="str">
        <f ca="1">VLOOKUP(F30,Table8[[Native]:[Population4]],5,FALSE)</f>
        <v>拉萨市</v>
      </c>
    </row>
    <row r="31" spans="1:7" ht="15.75" thickBot="1" x14ac:dyDescent="0.3">
      <c r="A31" t="s">
        <v>434</v>
      </c>
      <c r="B31" s="1" t="s">
        <v>435</v>
      </c>
      <c r="C31" s="1" t="s">
        <v>7</v>
      </c>
      <c r="D31" s="1" t="s">
        <v>394</v>
      </c>
      <c r="E31" s="3">
        <v>4686</v>
      </c>
      <c r="F31" s="1" t="str">
        <f>VLOOKUP(D31,Table8[[Name]:[Native]],3,FALSE)</f>
        <v>当雄县</v>
      </c>
      <c r="G31" s="12" t="str">
        <f ca="1">VLOOKUP(F31,Table8[[Native]:[Population4]],5,FALSE)</f>
        <v>拉萨市</v>
      </c>
    </row>
    <row r="32" spans="1:7" ht="15.75" thickBot="1" x14ac:dyDescent="0.3">
      <c r="A32" t="s">
        <v>436</v>
      </c>
      <c r="B32" s="1" t="s">
        <v>437</v>
      </c>
      <c r="C32" s="1" t="s">
        <v>7</v>
      </c>
      <c r="D32" s="1" t="s">
        <v>427</v>
      </c>
      <c r="E32" s="3">
        <v>2755</v>
      </c>
      <c r="F32" s="1" t="str">
        <f>VLOOKUP(D32,Table8[[Name]:[Native]],3,FALSE)</f>
        <v>尼木县</v>
      </c>
      <c r="G32" s="12" t="str">
        <f ca="1">VLOOKUP(F32,Table8[[Native]:[Population4]],5,FALSE)</f>
        <v>拉萨市</v>
      </c>
    </row>
    <row r="33" spans="1:7" ht="15.75" thickBot="1" x14ac:dyDescent="0.3">
      <c r="A33" t="s">
        <v>438</v>
      </c>
      <c r="B33" s="1" t="s">
        <v>439</v>
      </c>
      <c r="C33" s="1" t="s">
        <v>17</v>
      </c>
      <c r="D33" s="1" t="s">
        <v>397</v>
      </c>
      <c r="E33" s="3">
        <v>4500</v>
      </c>
      <c r="F33" s="1" t="str">
        <f>VLOOKUP(D33,Table8[[Name]:[Native]],3,FALSE)</f>
        <v>堆龙德庆区</v>
      </c>
      <c r="G33" s="12" t="str">
        <f ca="1">VLOOKUP(F33,Table8[[Native]:[Population4]],5,FALSE)</f>
        <v>拉萨市</v>
      </c>
    </row>
    <row r="34" spans="1:7" ht="15.75" thickBot="1" x14ac:dyDescent="0.3">
      <c r="A34" t="s">
        <v>440</v>
      </c>
      <c r="B34" s="1" t="s">
        <v>441</v>
      </c>
      <c r="C34" s="1" t="s">
        <v>7</v>
      </c>
      <c r="D34" s="1" t="s">
        <v>412</v>
      </c>
      <c r="E34" s="3">
        <v>3675</v>
      </c>
      <c r="F34" s="1" t="str">
        <f>VLOOKUP(D34,Table8[[Name]:[Native]],3,FALSE)</f>
        <v>墨竹工卡县</v>
      </c>
      <c r="G34" s="12" t="str">
        <f ca="1">VLOOKUP(F34,Table8[[Native]:[Population4]],5,FALSE)</f>
        <v>拉萨市</v>
      </c>
    </row>
    <row r="35" spans="1:7" ht="15.75" thickBot="1" x14ac:dyDescent="0.3">
      <c r="A35" t="s">
        <v>442</v>
      </c>
      <c r="B35" s="1" t="s">
        <v>443</v>
      </c>
      <c r="C35" s="1" t="s">
        <v>374</v>
      </c>
      <c r="D35" s="1" t="s">
        <v>397</v>
      </c>
      <c r="E35" s="3">
        <v>11485</v>
      </c>
      <c r="F35" s="1" t="str">
        <f>VLOOKUP(D35,Table8[[Name]:[Native]],3,FALSE)</f>
        <v>堆龙德庆区</v>
      </c>
      <c r="G35" s="12" t="str">
        <f ca="1">VLOOKUP(F35,Table8[[Native]:[Population4]],5,FALSE)</f>
        <v>拉萨市</v>
      </c>
    </row>
    <row r="36" spans="1:7" ht="15.75" thickBot="1" x14ac:dyDescent="0.3">
      <c r="A36" t="s">
        <v>444</v>
      </c>
      <c r="B36" s="1" t="s">
        <v>445</v>
      </c>
      <c r="C36" s="1" t="s">
        <v>7</v>
      </c>
      <c r="D36" s="1" t="s">
        <v>375</v>
      </c>
      <c r="E36" s="3">
        <v>29575</v>
      </c>
      <c r="F36" s="1" t="str">
        <f>VLOOKUP(D36,Table8[[Name]:[Native]],3,FALSE)</f>
        <v>城关区</v>
      </c>
      <c r="G36" s="12" t="str">
        <f ca="1">VLOOKUP(F36,Table8[[Native]:[Population4]],5,FALSE)</f>
        <v>拉萨市</v>
      </c>
    </row>
    <row r="37" spans="1:7" ht="15.75" thickBot="1" x14ac:dyDescent="0.3">
      <c r="A37" t="s">
        <v>446</v>
      </c>
      <c r="B37" s="1" t="s">
        <v>447</v>
      </c>
      <c r="C37" s="1" t="s">
        <v>7</v>
      </c>
      <c r="D37" s="1" t="s">
        <v>394</v>
      </c>
      <c r="E37" s="3">
        <v>4857</v>
      </c>
      <c r="F37" s="1" t="str">
        <f>VLOOKUP(D37,Table8[[Name]:[Native]],3,FALSE)</f>
        <v>当雄县</v>
      </c>
      <c r="G37" s="12" t="str">
        <f ca="1">VLOOKUP(F37,Table8[[Native]:[Population4]],5,FALSE)</f>
        <v>拉萨市</v>
      </c>
    </row>
    <row r="38" spans="1:7" ht="15.75" thickBot="1" x14ac:dyDescent="0.3">
      <c r="A38" t="s">
        <v>448</v>
      </c>
      <c r="B38" s="1" t="s">
        <v>449</v>
      </c>
      <c r="C38" s="1" t="s">
        <v>7</v>
      </c>
      <c r="D38" s="1" t="s">
        <v>385</v>
      </c>
      <c r="E38" s="3">
        <v>3156</v>
      </c>
      <c r="F38" s="1" t="str">
        <f>VLOOKUP(D38,Table8[[Name]:[Native]],3,FALSE)</f>
        <v>曲水县</v>
      </c>
      <c r="G38" s="12" t="str">
        <f ca="1">VLOOKUP(F38,Table8[[Native]:[Population4]],5,FALSE)</f>
        <v>拉萨市</v>
      </c>
    </row>
    <row r="39" spans="1:7" ht="15.75" thickBot="1" x14ac:dyDescent="0.3">
      <c r="A39" t="s">
        <v>450</v>
      </c>
      <c r="B39" s="1" t="s">
        <v>451</v>
      </c>
      <c r="C39" s="1" t="s">
        <v>374</v>
      </c>
      <c r="D39" s="1" t="s">
        <v>375</v>
      </c>
      <c r="E39" s="3">
        <v>26354</v>
      </c>
      <c r="F39" s="1" t="str">
        <f>VLOOKUP(D39,Table8[[Name]:[Native]],3,FALSE)</f>
        <v>城关区</v>
      </c>
      <c r="G39" s="12" t="str">
        <f ca="1">VLOOKUP(F39,Table8[[Native]:[Population4]],5,FALSE)</f>
        <v>拉萨市</v>
      </c>
    </row>
    <row r="40" spans="1:7" ht="15.75" thickBot="1" x14ac:dyDescent="0.3">
      <c r="A40" t="s">
        <v>452</v>
      </c>
      <c r="B40" s="1" t="s">
        <v>453</v>
      </c>
      <c r="C40" s="1" t="s">
        <v>7</v>
      </c>
      <c r="D40" s="1" t="s">
        <v>385</v>
      </c>
      <c r="E40" s="3">
        <v>4902</v>
      </c>
      <c r="F40" s="1" t="str">
        <f>VLOOKUP(D40,Table8[[Name]:[Native]],3,FALSE)</f>
        <v>曲水县</v>
      </c>
      <c r="G40" s="12" t="str">
        <f ca="1">VLOOKUP(F40,Table8[[Native]:[Population4]],5,FALSE)</f>
        <v>拉萨市</v>
      </c>
    </row>
    <row r="41" spans="1:7" ht="15.75" thickBot="1" x14ac:dyDescent="0.3">
      <c r="A41" t="s">
        <v>454</v>
      </c>
      <c r="B41" s="1" t="s">
        <v>455</v>
      </c>
      <c r="C41" s="1" t="s">
        <v>7</v>
      </c>
      <c r="D41" s="1" t="s">
        <v>412</v>
      </c>
      <c r="E41" s="3">
        <v>8086</v>
      </c>
      <c r="F41" s="1" t="str">
        <f>VLOOKUP(D41,Table8[[Name]:[Native]],3,FALSE)</f>
        <v>墨竹工卡县</v>
      </c>
      <c r="G41" s="12" t="str">
        <f ca="1">VLOOKUP(F41,Table8[[Native]:[Population4]],5,FALSE)</f>
        <v>拉萨市</v>
      </c>
    </row>
    <row r="42" spans="1:7" ht="15.75" thickBot="1" x14ac:dyDescent="0.3">
      <c r="A42" t="s">
        <v>257</v>
      </c>
      <c r="B42" s="1" t="s">
        <v>258</v>
      </c>
      <c r="C42" s="1" t="s">
        <v>7</v>
      </c>
      <c r="D42" s="1" t="s">
        <v>427</v>
      </c>
      <c r="E42" s="3">
        <v>6008</v>
      </c>
      <c r="F42" s="1" t="str">
        <f>VLOOKUP(D42,Table8[[Name]:[Native]],3,FALSE)</f>
        <v>尼木县</v>
      </c>
      <c r="G42" s="12" t="str">
        <f ca="1">VLOOKUP(F42,Table8[[Native]:[Population4]],5,FALSE)</f>
        <v>拉萨市</v>
      </c>
    </row>
    <row r="43" spans="1:7" ht="15.75" thickBot="1" x14ac:dyDescent="0.3">
      <c r="A43" t="s">
        <v>456</v>
      </c>
      <c r="B43" s="1" t="s">
        <v>457</v>
      </c>
      <c r="C43" s="1" t="s">
        <v>7</v>
      </c>
      <c r="D43" s="1" t="s">
        <v>394</v>
      </c>
      <c r="E43" s="3">
        <v>9099</v>
      </c>
      <c r="F43" s="1" t="str">
        <f>VLOOKUP(D43,Table8[[Name]:[Native]],3,FALSE)</f>
        <v>当雄县</v>
      </c>
      <c r="G43" s="12" t="str">
        <f ca="1">VLOOKUP(F43,Table8[[Native]:[Population4]],5,FALSE)</f>
        <v>拉萨市</v>
      </c>
    </row>
    <row r="44" spans="1:7" ht="15.75" thickBot="1" x14ac:dyDescent="0.3">
      <c r="A44" t="s">
        <v>458</v>
      </c>
      <c r="B44" s="1" t="s">
        <v>459</v>
      </c>
      <c r="C44" s="1" t="s">
        <v>7</v>
      </c>
      <c r="D44" s="1" t="s">
        <v>427</v>
      </c>
      <c r="E44" s="3">
        <v>3159</v>
      </c>
      <c r="F44" s="1" t="str">
        <f>VLOOKUP(D44,Table8[[Name]:[Native]],3,FALSE)</f>
        <v>尼木县</v>
      </c>
      <c r="G44" s="12" t="str">
        <f ca="1">VLOOKUP(F44,Table8[[Native]:[Population4]],5,FALSE)</f>
        <v>拉萨市</v>
      </c>
    </row>
    <row r="45" spans="1:7" ht="15.75" thickBot="1" x14ac:dyDescent="0.3">
      <c r="A45" t="s">
        <v>460</v>
      </c>
      <c r="B45" s="1" t="s">
        <v>461</v>
      </c>
      <c r="C45" s="1" t="s">
        <v>7</v>
      </c>
      <c r="D45" s="1" t="s">
        <v>371</v>
      </c>
      <c r="E45" s="3">
        <v>5123</v>
      </c>
      <c r="F45" s="1" t="str">
        <f>VLOOKUP(D45,Table8[[Name]:[Native]],3,FALSE)</f>
        <v>林周县</v>
      </c>
      <c r="G45" s="12" t="str">
        <f ca="1">VLOOKUP(F45,Table8[[Native]:[Population4]],5,FALSE)</f>
        <v>拉萨市</v>
      </c>
    </row>
    <row r="46" spans="1:7" ht="15.75" thickBot="1" x14ac:dyDescent="0.3">
      <c r="A46" t="s">
        <v>462</v>
      </c>
      <c r="B46" s="1" t="s">
        <v>463</v>
      </c>
      <c r="C46" s="1" t="s">
        <v>7</v>
      </c>
      <c r="D46" s="1" t="s">
        <v>427</v>
      </c>
      <c r="E46" s="3">
        <v>2108</v>
      </c>
      <c r="F46" s="1" t="str">
        <f>VLOOKUP(D46,Table8[[Name]:[Native]],3,FALSE)</f>
        <v>尼木县</v>
      </c>
      <c r="G46" s="12" t="str">
        <f ca="1">VLOOKUP(F46,Table8[[Native]:[Population4]],5,FALSE)</f>
        <v>拉萨市</v>
      </c>
    </row>
    <row r="47" spans="1:7" ht="15.75" thickBot="1" x14ac:dyDescent="0.3">
      <c r="A47" t="s">
        <v>464</v>
      </c>
      <c r="B47" s="1" t="s">
        <v>465</v>
      </c>
      <c r="C47" s="1" t="s">
        <v>7</v>
      </c>
      <c r="D47" s="1" t="s">
        <v>371</v>
      </c>
      <c r="E47" s="3">
        <v>5318</v>
      </c>
      <c r="F47" s="1" t="str">
        <f>VLOOKUP(D47,Table8[[Name]:[Native]],3,FALSE)</f>
        <v>林周县</v>
      </c>
      <c r="G47" s="12" t="str">
        <f ca="1">VLOOKUP(F47,Table8[[Native]:[Population4]],5,FALSE)</f>
        <v>拉萨市</v>
      </c>
    </row>
    <row r="48" spans="1:7" ht="15.75" thickBot="1" x14ac:dyDescent="0.3">
      <c r="A48" t="s">
        <v>466</v>
      </c>
      <c r="B48" s="1" t="s">
        <v>467</v>
      </c>
      <c r="C48" s="1" t="s">
        <v>17</v>
      </c>
      <c r="D48" s="1" t="s">
        <v>385</v>
      </c>
      <c r="E48" s="3">
        <v>8695</v>
      </c>
      <c r="F48" s="1" t="str">
        <f>VLOOKUP(D48,Table8[[Name]:[Native]],3,FALSE)</f>
        <v>曲水县</v>
      </c>
      <c r="G48" s="12" t="str">
        <f ca="1">VLOOKUP(F48,Table8[[Native]:[Population4]],5,FALSE)</f>
        <v>拉萨市</v>
      </c>
    </row>
    <row r="49" spans="1:7" ht="15.75" thickBot="1" x14ac:dyDescent="0.3">
      <c r="A49" t="s">
        <v>468</v>
      </c>
      <c r="B49" s="1" t="s">
        <v>469</v>
      </c>
      <c r="C49" s="1" t="s">
        <v>7</v>
      </c>
      <c r="D49" s="1" t="s">
        <v>412</v>
      </c>
      <c r="E49" s="3">
        <v>2370</v>
      </c>
      <c r="F49" s="1" t="str">
        <f>VLOOKUP(D49,Table8[[Name]:[Native]],3,FALSE)</f>
        <v>墨竹工卡县</v>
      </c>
      <c r="G49" s="12" t="str">
        <f ca="1">VLOOKUP(F49,Table8[[Native]:[Population4]],5,FALSE)</f>
        <v>拉萨市</v>
      </c>
    </row>
    <row r="50" spans="1:7" ht="15.75" thickBot="1" x14ac:dyDescent="0.3">
      <c r="A50" t="s">
        <v>470</v>
      </c>
      <c r="B50" s="1" t="s">
        <v>471</v>
      </c>
      <c r="C50" s="1" t="s">
        <v>7</v>
      </c>
      <c r="D50" s="1" t="s">
        <v>371</v>
      </c>
      <c r="E50" s="3">
        <v>3523</v>
      </c>
      <c r="F50" s="1" t="str">
        <f>VLOOKUP(D50,Table8[[Name]:[Native]],3,FALSE)</f>
        <v>林周县</v>
      </c>
      <c r="G50" s="12" t="str">
        <f ca="1">VLOOKUP(F50,Table8[[Native]:[Population4]],5,FALSE)</f>
        <v>拉萨市</v>
      </c>
    </row>
    <row r="51" spans="1:7" ht="15.75" thickBot="1" x14ac:dyDescent="0.3">
      <c r="A51" t="s">
        <v>472</v>
      </c>
      <c r="B51" s="1" t="s">
        <v>473</v>
      </c>
      <c r="C51" s="1" t="s">
        <v>7</v>
      </c>
      <c r="D51" s="1" t="s">
        <v>378</v>
      </c>
      <c r="E51" s="3">
        <v>2823</v>
      </c>
      <c r="F51" s="1" t="str">
        <f>VLOOKUP(D51,Table8[[Name]:[Native]],3,FALSE)</f>
        <v>达孜区</v>
      </c>
      <c r="G51" s="12" t="str">
        <f ca="1">VLOOKUP(F51,Table8[[Native]:[Population4]],5,FALSE)</f>
        <v>拉萨市</v>
      </c>
    </row>
    <row r="52" spans="1:7" ht="15.75" thickBot="1" x14ac:dyDescent="0.3">
      <c r="A52" t="s">
        <v>474</v>
      </c>
      <c r="B52" s="1" t="s">
        <v>475</v>
      </c>
      <c r="C52" s="1" t="s">
        <v>7</v>
      </c>
      <c r="D52" s="1" t="s">
        <v>378</v>
      </c>
      <c r="E52" s="3">
        <v>4954</v>
      </c>
      <c r="F52" s="1" t="str">
        <f>VLOOKUP(D52,Table8[[Name]:[Native]],3,FALSE)</f>
        <v>达孜区</v>
      </c>
      <c r="G52" s="12" t="str">
        <f ca="1">VLOOKUP(F52,Table8[[Native]:[Population4]],5,FALSE)</f>
        <v>拉萨市</v>
      </c>
    </row>
    <row r="53" spans="1:7" ht="15.75" thickBot="1" x14ac:dyDescent="0.3">
      <c r="A53" t="s">
        <v>476</v>
      </c>
      <c r="B53" s="1" t="s">
        <v>477</v>
      </c>
      <c r="C53" s="1" t="s">
        <v>7</v>
      </c>
      <c r="D53" s="1" t="s">
        <v>371</v>
      </c>
      <c r="E53" s="3">
        <v>4316</v>
      </c>
      <c r="F53" s="1" t="str">
        <f>VLOOKUP(D53,Table8[[Name]:[Native]],3,FALSE)</f>
        <v>林周县</v>
      </c>
      <c r="G53" s="12" t="str">
        <f ca="1">VLOOKUP(F53,Table8[[Native]:[Population4]],5,FALSE)</f>
        <v>拉萨市</v>
      </c>
    </row>
    <row r="54" spans="1:7" ht="15.75" thickBot="1" x14ac:dyDescent="0.3">
      <c r="A54" t="s">
        <v>478</v>
      </c>
      <c r="B54" s="1" t="s">
        <v>479</v>
      </c>
      <c r="C54" s="1" t="s">
        <v>7</v>
      </c>
      <c r="D54" s="1" t="s">
        <v>412</v>
      </c>
      <c r="E54" s="3">
        <v>6241</v>
      </c>
      <c r="F54" s="1" t="str">
        <f>VLOOKUP(D54,Table8[[Name]:[Native]],3,FALSE)</f>
        <v>墨竹工卡县</v>
      </c>
      <c r="G54" s="12" t="str">
        <f ca="1">VLOOKUP(F54,Table8[[Native]:[Population4]],5,FALSE)</f>
        <v>拉萨市</v>
      </c>
    </row>
    <row r="55" spans="1:7" ht="15.75" thickBot="1" x14ac:dyDescent="0.3">
      <c r="A55" t="s">
        <v>480</v>
      </c>
      <c r="B55" s="1" t="s">
        <v>481</v>
      </c>
      <c r="C55" s="1" t="s">
        <v>17</v>
      </c>
      <c r="D55" s="1" t="s">
        <v>427</v>
      </c>
      <c r="E55" s="3">
        <v>6393</v>
      </c>
      <c r="F55" s="1" t="str">
        <f>VLOOKUP(D55,Table8[[Name]:[Native]],3,FALSE)</f>
        <v>尼木县</v>
      </c>
      <c r="G55" s="12" t="str">
        <f ca="1">VLOOKUP(F55,Table8[[Native]:[Population4]],5,FALSE)</f>
        <v>拉萨市</v>
      </c>
    </row>
    <row r="56" spans="1:7" ht="15.75" thickBot="1" x14ac:dyDescent="0.3">
      <c r="A56" t="s">
        <v>482</v>
      </c>
      <c r="B56" s="1" t="s">
        <v>483</v>
      </c>
      <c r="C56" s="1" t="s">
        <v>17</v>
      </c>
      <c r="D56" s="1" t="s">
        <v>427</v>
      </c>
      <c r="E56" s="3">
        <v>2130</v>
      </c>
      <c r="F56" s="1" t="str">
        <f>VLOOKUP(D56,Table8[[Name]:[Native]],3,FALSE)</f>
        <v>尼木县</v>
      </c>
      <c r="G56" s="12" t="str">
        <f ca="1">VLOOKUP(F56,Table8[[Native]:[Population4]],5,FALSE)</f>
        <v>拉萨市</v>
      </c>
    </row>
    <row r="57" spans="1:7" ht="15.75" thickBot="1" x14ac:dyDescent="0.3">
      <c r="A57" t="s">
        <v>484</v>
      </c>
      <c r="B57" s="1" t="s">
        <v>485</v>
      </c>
      <c r="C57" s="1" t="s">
        <v>7</v>
      </c>
      <c r="D57" s="1" t="s">
        <v>394</v>
      </c>
      <c r="E57" s="3">
        <v>7403</v>
      </c>
      <c r="F57" s="1" t="str">
        <f>VLOOKUP(D57,Table8[[Name]:[Native]],3,FALSE)</f>
        <v>当雄县</v>
      </c>
      <c r="G57" s="12" t="str">
        <f ca="1">VLOOKUP(F57,Table8[[Native]:[Population4]],5,FALSE)</f>
        <v>拉萨市</v>
      </c>
    </row>
    <row r="58" spans="1:7" ht="15.75" thickBot="1" x14ac:dyDescent="0.3">
      <c r="A58" t="s">
        <v>486</v>
      </c>
      <c r="B58" s="1" t="s">
        <v>487</v>
      </c>
      <c r="C58" s="1" t="s">
        <v>7</v>
      </c>
      <c r="D58" s="1" t="s">
        <v>378</v>
      </c>
      <c r="E58" s="3">
        <v>2633</v>
      </c>
      <c r="F58" s="1" t="str">
        <f>VLOOKUP(D58,Table8[[Name]:[Native]],3,FALSE)</f>
        <v>达孜区</v>
      </c>
      <c r="G58" s="12" t="str">
        <f ca="1">VLOOKUP(F58,Table8[[Native]:[Population4]],5,FALSE)</f>
        <v>拉萨市</v>
      </c>
    </row>
    <row r="59" spans="1:7" ht="15.75" thickBot="1" x14ac:dyDescent="0.3">
      <c r="A59" t="s">
        <v>488</v>
      </c>
      <c r="B59" s="1" t="s">
        <v>489</v>
      </c>
      <c r="C59" s="1" t="s">
        <v>7</v>
      </c>
      <c r="D59" s="1" t="s">
        <v>427</v>
      </c>
      <c r="E59" s="3">
        <v>4495</v>
      </c>
      <c r="F59" s="1" t="str">
        <f>VLOOKUP(D59,Table8[[Name]:[Native]],3,FALSE)</f>
        <v>尼木县</v>
      </c>
      <c r="G59" s="12" t="str">
        <f ca="1">VLOOKUP(F59,Table8[[Native]:[Population4]],5,FALSE)</f>
        <v>拉萨市</v>
      </c>
    </row>
    <row r="60" spans="1:7" ht="15.75" thickBot="1" x14ac:dyDescent="0.3">
      <c r="A60" t="s">
        <v>490</v>
      </c>
      <c r="B60" s="1" t="s">
        <v>491</v>
      </c>
      <c r="C60" s="1" t="s">
        <v>17</v>
      </c>
      <c r="D60" s="1" t="s">
        <v>394</v>
      </c>
      <c r="E60" s="3">
        <v>5017</v>
      </c>
      <c r="F60" s="1" t="str">
        <f>VLOOKUP(D60,Table8[[Name]:[Native]],3,FALSE)</f>
        <v>当雄县</v>
      </c>
      <c r="G60" s="12" t="str">
        <f ca="1">VLOOKUP(F60,Table8[[Native]:[Population4]],5,FALSE)</f>
        <v>拉萨市</v>
      </c>
    </row>
    <row r="61" spans="1:7" ht="15.75" thickBot="1" x14ac:dyDescent="0.3">
      <c r="A61" t="s">
        <v>492</v>
      </c>
      <c r="B61" s="1" t="s">
        <v>493</v>
      </c>
      <c r="C61" s="1" t="s">
        <v>374</v>
      </c>
      <c r="D61" s="1" t="s">
        <v>397</v>
      </c>
      <c r="E61" s="3">
        <v>4860</v>
      </c>
      <c r="F61" s="1" t="str">
        <f>VLOOKUP(D61,Table8[[Name]:[Native]],3,FALSE)</f>
        <v>堆龙德庆区</v>
      </c>
      <c r="G61" s="12" t="str">
        <f ca="1">VLOOKUP(F61,Table8[[Native]:[Population4]],5,FALSE)</f>
        <v>拉萨市</v>
      </c>
    </row>
    <row r="62" spans="1:7" ht="15.75" thickBot="1" x14ac:dyDescent="0.3">
      <c r="A62" t="s">
        <v>494</v>
      </c>
      <c r="B62" s="1" t="s">
        <v>495</v>
      </c>
      <c r="C62" s="1" t="s">
        <v>7</v>
      </c>
      <c r="D62" s="1" t="s">
        <v>378</v>
      </c>
      <c r="E62" s="3">
        <v>3958</v>
      </c>
      <c r="F62" s="1" t="str">
        <f>VLOOKUP(D62,Table8[[Name]:[Native]],3,FALSE)</f>
        <v>达孜区</v>
      </c>
      <c r="G62" s="12" t="str">
        <f ca="1">VLOOKUP(F62,Table8[[Native]:[Population4]],5,FALSE)</f>
        <v>拉萨市</v>
      </c>
    </row>
    <row r="63" spans="1:7" ht="15.75" thickBot="1" x14ac:dyDescent="0.3">
      <c r="A63" t="s">
        <v>82</v>
      </c>
      <c r="B63" s="1" t="s">
        <v>83</v>
      </c>
      <c r="C63" s="1" t="s">
        <v>7</v>
      </c>
      <c r="D63" s="1" t="s">
        <v>412</v>
      </c>
      <c r="E63" s="3">
        <v>7248</v>
      </c>
      <c r="F63" s="1" t="str">
        <f>VLOOKUP(D63,Table8[[Name]:[Native]],3,FALSE)</f>
        <v>墨竹工卡县</v>
      </c>
      <c r="G63" s="12" t="str">
        <f ca="1">VLOOKUP(F63,Table8[[Native]:[Population4]],5,FALSE)</f>
        <v>拉萨市</v>
      </c>
    </row>
    <row r="64" spans="1:7" ht="15.75" thickBot="1" x14ac:dyDescent="0.3">
      <c r="A64" t="s">
        <v>496</v>
      </c>
      <c r="B64" s="1" t="s">
        <v>497</v>
      </c>
      <c r="C64" s="1" t="s">
        <v>374</v>
      </c>
      <c r="D64" s="1" t="s">
        <v>375</v>
      </c>
      <c r="E64" s="3">
        <v>30820</v>
      </c>
      <c r="F64" s="1" t="str">
        <f>VLOOKUP(D64,Table8[[Name]:[Native]],3,FALSE)</f>
        <v>城关区</v>
      </c>
      <c r="G64" s="12" t="str">
        <f ca="1">VLOOKUP(F64,Table8[[Native]:[Population4]],5,FALSE)</f>
        <v>拉萨市</v>
      </c>
    </row>
    <row r="65" spans="1:7" ht="15.75" thickBot="1" x14ac:dyDescent="0.3">
      <c r="A65" t="s">
        <v>498</v>
      </c>
      <c r="B65" s="1" t="s">
        <v>499</v>
      </c>
      <c r="C65" s="1" t="s">
        <v>7</v>
      </c>
      <c r="D65" s="1" t="s">
        <v>412</v>
      </c>
      <c r="E65" s="3">
        <v>6939</v>
      </c>
      <c r="F65" s="9" t="str">
        <f>VLOOKUP(D65,Table8[[Name]:[Native]],3,FALSE)</f>
        <v>墨竹工卡县</v>
      </c>
      <c r="G65" s="12" t="str">
        <f ca="1">VLOOKUP(F65,Table8[[Native]:[Population4]],5,FALSE)</f>
        <v>拉萨市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90318-963A-48AD-90F7-EB733E432EF2}">
  <dimension ref="A1:G55"/>
  <sheetViews>
    <sheetView topLeftCell="A30" workbookViewId="0">
      <selection activeCell="G2" sqref="A2:G5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1502</v>
      </c>
      <c r="G1" t="s">
        <v>1504</v>
      </c>
    </row>
    <row r="2" spans="1:7" ht="15.75" thickBot="1" x14ac:dyDescent="0.3">
      <c r="A2" t="s">
        <v>500</v>
      </c>
      <c r="B2" s="1" t="s">
        <v>501</v>
      </c>
      <c r="C2" s="1" t="s">
        <v>7</v>
      </c>
      <c r="D2" s="1" t="s">
        <v>502</v>
      </c>
      <c r="E2" s="3">
        <v>1283</v>
      </c>
      <c r="F2" s="8" t="str">
        <f>VLOOKUP(D2,Table8[[Name]:[Native]],3,FALSE)</f>
        <v>波密县</v>
      </c>
      <c r="G2" s="12" t="str">
        <f ca="1">VLOOKUP(F2,Table8[[Native]:[Population4]],5,FALSE)</f>
        <v>林芝市</v>
      </c>
    </row>
    <row r="3" spans="1:7" ht="15.75" thickBot="1" x14ac:dyDescent="0.3">
      <c r="A3" t="s">
        <v>503</v>
      </c>
      <c r="B3" s="1" t="s">
        <v>504</v>
      </c>
      <c r="C3" s="1" t="s">
        <v>17</v>
      </c>
      <c r="D3" s="1" t="s">
        <v>505</v>
      </c>
      <c r="E3" s="3">
        <v>2926</v>
      </c>
      <c r="F3" s="1" t="str">
        <f>VLOOKUP(D3,Table8[[Name]:[Native]],3,FALSE)</f>
        <v>工布江达县</v>
      </c>
      <c r="G3" s="12" t="str">
        <f ca="1">VLOOKUP(F3,Table8[[Native]:[Population4]],5,FALSE)</f>
        <v>林芝市</v>
      </c>
    </row>
    <row r="4" spans="1:7" ht="15.75" thickBot="1" x14ac:dyDescent="0.3">
      <c r="A4" t="s">
        <v>506</v>
      </c>
      <c r="B4" s="1" t="s">
        <v>507</v>
      </c>
      <c r="C4" s="1" t="s">
        <v>17</v>
      </c>
      <c r="D4" s="1" t="s">
        <v>508</v>
      </c>
      <c r="E4" s="3">
        <v>3748</v>
      </c>
      <c r="F4" s="1" t="str">
        <f>VLOOKUP(D4,Table8[[Name]:[Native]],3,FALSE)</f>
        <v>巴宜区</v>
      </c>
      <c r="G4" s="12" t="str">
        <f ca="1">VLOOKUP(F4,Table8[[Native]:[Population4]],5,FALSE)</f>
        <v>林芝市</v>
      </c>
    </row>
    <row r="5" spans="1:7" ht="15.75" thickBot="1" x14ac:dyDescent="0.3">
      <c r="A5" t="s">
        <v>509</v>
      </c>
      <c r="B5" s="1" t="s">
        <v>510</v>
      </c>
      <c r="C5" s="1" t="s">
        <v>7</v>
      </c>
      <c r="D5" s="1" t="s">
        <v>511</v>
      </c>
      <c r="E5" s="3">
        <v>1266</v>
      </c>
      <c r="F5" s="1" t="str">
        <f>VLOOKUP(D5,Table8[[Name]:[Native]],3,FALSE)</f>
        <v>墨脱县</v>
      </c>
      <c r="G5" s="12" t="str">
        <f ca="1">VLOOKUP(F5,Table8[[Native]:[Population4]],5,FALSE)</f>
        <v>林芝市</v>
      </c>
    </row>
    <row r="6" spans="1:7" ht="15.75" thickBot="1" x14ac:dyDescent="0.3">
      <c r="A6" t="s">
        <v>512</v>
      </c>
      <c r="B6" s="1" t="s">
        <v>513</v>
      </c>
      <c r="C6" s="1" t="s">
        <v>17</v>
      </c>
      <c r="D6" s="1" t="s">
        <v>508</v>
      </c>
      <c r="E6" s="3">
        <v>39110</v>
      </c>
      <c r="F6" s="1" t="str">
        <f>VLOOKUP(D6,Table8[[Name]:[Native]],3,FALSE)</f>
        <v>巴宜区</v>
      </c>
      <c r="G6" s="12" t="str">
        <f ca="1">VLOOKUP(F6,Table8[[Native]:[Population4]],5,FALSE)</f>
        <v>林芝市</v>
      </c>
    </row>
    <row r="7" spans="1:7" ht="15.75" thickBot="1" x14ac:dyDescent="0.3">
      <c r="A7" t="s">
        <v>514</v>
      </c>
      <c r="B7" s="1" t="s">
        <v>515</v>
      </c>
      <c r="C7" s="1" t="s">
        <v>7</v>
      </c>
      <c r="D7" s="1" t="s">
        <v>511</v>
      </c>
      <c r="E7" s="3">
        <v>2236</v>
      </c>
      <c r="F7" s="1" t="str">
        <f>VLOOKUP(D7,Table8[[Name]:[Native]],3,FALSE)</f>
        <v>墨脱县</v>
      </c>
      <c r="G7" s="12" t="str">
        <f ca="1">VLOOKUP(F7,Table8[[Native]:[Population4]],5,FALSE)</f>
        <v>林芝市</v>
      </c>
    </row>
    <row r="8" spans="1:7" ht="15.75" thickBot="1" x14ac:dyDescent="0.3">
      <c r="A8" t="s">
        <v>516</v>
      </c>
      <c r="B8" s="1" t="s">
        <v>517</v>
      </c>
      <c r="C8" s="1" t="s">
        <v>7</v>
      </c>
      <c r="D8" s="1" t="s">
        <v>508</v>
      </c>
      <c r="E8" s="3">
        <v>3128</v>
      </c>
      <c r="F8" s="1" t="str">
        <f>VLOOKUP(D8,Table8[[Name]:[Native]],3,FALSE)</f>
        <v>巴宜区</v>
      </c>
      <c r="G8" s="12" t="str">
        <f ca="1">VLOOKUP(F8,Table8[[Native]:[Population4]],5,FALSE)</f>
        <v>林芝市</v>
      </c>
    </row>
    <row r="9" spans="1:7" ht="15.75" thickBot="1" x14ac:dyDescent="0.3">
      <c r="A9" t="s">
        <v>518</v>
      </c>
      <c r="B9" s="1" t="s">
        <v>519</v>
      </c>
      <c r="C9" s="1" t="s">
        <v>7</v>
      </c>
      <c r="D9" s="1" t="s">
        <v>520</v>
      </c>
      <c r="E9" s="3">
        <v>6638</v>
      </c>
      <c r="F9" s="1" t="str">
        <f>VLOOKUP(D9,Table8[[Name]:[Native]],3,FALSE)</f>
        <v>察隅县</v>
      </c>
      <c r="G9" s="12" t="str">
        <f ca="1">VLOOKUP(F9,Table8[[Native]:[Population4]],5,FALSE)</f>
        <v>林芝市</v>
      </c>
    </row>
    <row r="10" spans="1:7" ht="15.75" thickBot="1" x14ac:dyDescent="0.3">
      <c r="A10" t="s">
        <v>521</v>
      </c>
      <c r="B10" s="1" t="s">
        <v>522</v>
      </c>
      <c r="C10" s="1" t="s">
        <v>7</v>
      </c>
      <c r="D10" s="1" t="s">
        <v>505</v>
      </c>
      <c r="E10" s="3">
        <v>2365</v>
      </c>
      <c r="F10" s="1" t="str">
        <f>VLOOKUP(D10,Table8[[Name]:[Native]],3,FALSE)</f>
        <v>工布江达县</v>
      </c>
      <c r="G10" s="12" t="str">
        <f ca="1">VLOOKUP(F10,Table8[[Native]:[Population4]],5,FALSE)</f>
        <v>林芝市</v>
      </c>
    </row>
    <row r="11" spans="1:7" ht="15.75" thickBot="1" x14ac:dyDescent="0.3">
      <c r="A11" t="s">
        <v>523</v>
      </c>
      <c r="B11" s="1" t="s">
        <v>524</v>
      </c>
      <c r="C11" s="1" t="s">
        <v>7</v>
      </c>
      <c r="D11" s="1" t="s">
        <v>511</v>
      </c>
      <c r="E11" s="3">
        <v>1263</v>
      </c>
      <c r="F11" s="1" t="str">
        <f>VLOOKUP(D11,Table8[[Name]:[Native]],3,FALSE)</f>
        <v>墨脱县</v>
      </c>
      <c r="G11" s="12" t="str">
        <f ca="1">VLOOKUP(F11,Table8[[Native]:[Population4]],5,FALSE)</f>
        <v>林芝市</v>
      </c>
    </row>
    <row r="12" spans="1:7" ht="15.75" thickBot="1" x14ac:dyDescent="0.3">
      <c r="A12" t="s">
        <v>525</v>
      </c>
      <c r="B12" s="1" t="s">
        <v>526</v>
      </c>
      <c r="C12" s="1" t="s">
        <v>7</v>
      </c>
      <c r="D12" s="1" t="s">
        <v>527</v>
      </c>
      <c r="E12" s="3">
        <v>1774</v>
      </c>
      <c r="F12" s="1" t="str">
        <f>VLOOKUP(D12,Table8[[Name]:[Native]],3,FALSE)</f>
        <v>米林县</v>
      </c>
      <c r="G12" s="12" t="str">
        <f ca="1">VLOOKUP(F12,Table8[[Native]:[Population4]],5,FALSE)</f>
        <v>林芝市</v>
      </c>
    </row>
    <row r="13" spans="1:7" ht="15.75" thickBot="1" x14ac:dyDescent="0.3">
      <c r="A13" t="s">
        <v>528</v>
      </c>
      <c r="B13" s="1" t="s">
        <v>529</v>
      </c>
      <c r="C13" s="1" t="s">
        <v>7</v>
      </c>
      <c r="D13" s="1" t="s">
        <v>530</v>
      </c>
      <c r="E13" s="3">
        <v>2859</v>
      </c>
      <c r="F13" s="1" t="str">
        <f>VLOOKUP(D13,Table8[[Name]:[Native]],3,FALSE)</f>
        <v>朗县</v>
      </c>
      <c r="G13" s="12" t="str">
        <f ca="1">VLOOKUP(F13,Table8[[Native]:[Population4]],5,FALSE)</f>
        <v>林芝市</v>
      </c>
    </row>
    <row r="14" spans="1:7" ht="15.75" thickBot="1" x14ac:dyDescent="0.3">
      <c r="A14" t="s">
        <v>531</v>
      </c>
      <c r="B14" s="1" t="s">
        <v>532</v>
      </c>
      <c r="C14" s="1" t="s">
        <v>7</v>
      </c>
      <c r="D14" s="1" t="s">
        <v>511</v>
      </c>
      <c r="E14" s="3">
        <v>1473</v>
      </c>
      <c r="F14" s="1" t="str">
        <f>VLOOKUP(D14,Table8[[Name]:[Native]],3,FALSE)</f>
        <v>墨脱县</v>
      </c>
      <c r="G14" s="12" t="str">
        <f ca="1">VLOOKUP(F14,Table8[[Native]:[Population4]],5,FALSE)</f>
        <v>林芝市</v>
      </c>
    </row>
    <row r="15" spans="1:7" ht="15.75" thickBot="1" x14ac:dyDescent="0.3">
      <c r="A15" t="s">
        <v>533</v>
      </c>
      <c r="B15" s="1" t="s">
        <v>534</v>
      </c>
      <c r="C15" s="1" t="s">
        <v>17</v>
      </c>
      <c r="D15" s="1" t="s">
        <v>530</v>
      </c>
      <c r="E15" s="3">
        <v>2489</v>
      </c>
      <c r="F15" s="1" t="str">
        <f>VLOOKUP(D15,Table8[[Name]:[Native]],3,FALSE)</f>
        <v>朗县</v>
      </c>
      <c r="G15" s="12" t="str">
        <f ca="1">VLOOKUP(F15,Table8[[Native]:[Population4]],5,FALSE)</f>
        <v>林芝市</v>
      </c>
    </row>
    <row r="16" spans="1:7" ht="15.75" thickBot="1" x14ac:dyDescent="0.3">
      <c r="A16" t="s">
        <v>535</v>
      </c>
      <c r="B16" s="1" t="s">
        <v>536</v>
      </c>
      <c r="C16" s="1" t="s">
        <v>7</v>
      </c>
      <c r="D16" s="1" t="s">
        <v>502</v>
      </c>
      <c r="E16" s="3">
        <v>3041</v>
      </c>
      <c r="F16" s="1" t="str">
        <f>VLOOKUP(D16,Table8[[Name]:[Native]],3,FALSE)</f>
        <v>波密县</v>
      </c>
      <c r="G16" s="12" t="str">
        <f ca="1">VLOOKUP(F16,Table8[[Native]:[Population4]],5,FALSE)</f>
        <v>林芝市</v>
      </c>
    </row>
    <row r="17" spans="1:7" ht="15.75" thickBot="1" x14ac:dyDescent="0.3">
      <c r="A17" t="s">
        <v>537</v>
      </c>
      <c r="B17" s="1" t="s">
        <v>538</v>
      </c>
      <c r="C17" s="1" t="s">
        <v>7</v>
      </c>
      <c r="D17" s="1" t="s">
        <v>511</v>
      </c>
      <c r="E17" s="3">
        <v>330</v>
      </c>
      <c r="F17" s="1" t="str">
        <f>VLOOKUP(D17,Table8[[Name]:[Native]],3,FALSE)</f>
        <v>墨脱县</v>
      </c>
      <c r="G17" s="12" t="str">
        <f ca="1">VLOOKUP(F17,Table8[[Native]:[Population4]],5,FALSE)</f>
        <v>林芝市</v>
      </c>
    </row>
    <row r="18" spans="1:7" ht="15.75" thickBot="1" x14ac:dyDescent="0.3">
      <c r="A18" t="s">
        <v>539</v>
      </c>
      <c r="B18" s="1" t="s">
        <v>540</v>
      </c>
      <c r="C18" s="1" t="s">
        <v>7</v>
      </c>
      <c r="D18" s="1" t="s">
        <v>511</v>
      </c>
      <c r="E18" s="3">
        <v>585</v>
      </c>
      <c r="F18" s="1" t="str">
        <f>VLOOKUP(D18,Table8[[Name]:[Native]],3,FALSE)</f>
        <v>墨脱县</v>
      </c>
      <c r="G18" s="12" t="str">
        <f ca="1">VLOOKUP(F18,Table8[[Native]:[Population4]],5,FALSE)</f>
        <v>林芝市</v>
      </c>
    </row>
    <row r="19" spans="1:7" ht="15.75" thickBot="1" x14ac:dyDescent="0.3">
      <c r="A19" t="s">
        <v>541</v>
      </c>
      <c r="B19" s="1" t="s">
        <v>542</v>
      </c>
      <c r="C19" s="1" t="s">
        <v>7</v>
      </c>
      <c r="D19" s="1" t="s">
        <v>508</v>
      </c>
      <c r="E19" s="3">
        <v>1614</v>
      </c>
      <c r="F19" s="1" t="str">
        <f>VLOOKUP(D19,Table8[[Name]:[Native]],3,FALSE)</f>
        <v>巴宜区</v>
      </c>
      <c r="G19" s="12" t="str">
        <f ca="1">VLOOKUP(F19,Table8[[Native]:[Population4]],5,FALSE)</f>
        <v>林芝市</v>
      </c>
    </row>
    <row r="20" spans="1:7" ht="15.75" thickBot="1" x14ac:dyDescent="0.3">
      <c r="A20" t="s">
        <v>543</v>
      </c>
      <c r="B20" s="1" t="s">
        <v>544</v>
      </c>
      <c r="C20" s="1" t="s">
        <v>17</v>
      </c>
      <c r="D20" s="1" t="s">
        <v>505</v>
      </c>
      <c r="E20" s="3">
        <v>5451</v>
      </c>
      <c r="F20" s="1" t="str">
        <f>VLOOKUP(D20,Table8[[Name]:[Native]],3,FALSE)</f>
        <v>工布江达县</v>
      </c>
      <c r="G20" s="12" t="str">
        <f ca="1">VLOOKUP(F20,Table8[[Native]:[Population4]],5,FALSE)</f>
        <v>林芝市</v>
      </c>
    </row>
    <row r="21" spans="1:7" ht="15.75" thickBot="1" x14ac:dyDescent="0.3">
      <c r="A21" t="s">
        <v>545</v>
      </c>
      <c r="B21" s="1" t="s">
        <v>546</v>
      </c>
      <c r="C21" s="1" t="s">
        <v>7</v>
      </c>
      <c r="D21" s="1" t="s">
        <v>520</v>
      </c>
      <c r="E21" s="3">
        <v>2911</v>
      </c>
      <c r="F21" s="1" t="str">
        <f>VLOOKUP(D21,Table8[[Name]:[Native]],3,FALSE)</f>
        <v>察隅县</v>
      </c>
      <c r="G21" s="12" t="str">
        <f ca="1">VLOOKUP(F21,Table8[[Native]:[Population4]],5,FALSE)</f>
        <v>林芝市</v>
      </c>
    </row>
    <row r="22" spans="1:7" ht="15.75" thickBot="1" x14ac:dyDescent="0.3">
      <c r="A22" t="s">
        <v>547</v>
      </c>
      <c r="B22" s="1" t="s">
        <v>548</v>
      </c>
      <c r="C22" s="1" t="s">
        <v>7</v>
      </c>
      <c r="D22" s="1" t="s">
        <v>502</v>
      </c>
      <c r="E22" s="3">
        <v>1549</v>
      </c>
      <c r="F22" s="1" t="str">
        <f>VLOOKUP(D22,Table8[[Name]:[Native]],3,FALSE)</f>
        <v>波密县</v>
      </c>
      <c r="G22" s="12" t="str">
        <f ca="1">VLOOKUP(F22,Table8[[Native]:[Population4]],5,FALSE)</f>
        <v>林芝市</v>
      </c>
    </row>
    <row r="23" spans="1:7" ht="15.75" thickBot="1" x14ac:dyDescent="0.3">
      <c r="A23" t="s">
        <v>549</v>
      </c>
      <c r="B23" s="1" t="s">
        <v>550</v>
      </c>
      <c r="C23" s="1" t="s">
        <v>7</v>
      </c>
      <c r="D23" s="1" t="s">
        <v>520</v>
      </c>
      <c r="E23" s="3">
        <v>2899</v>
      </c>
      <c r="F23" s="1" t="str">
        <f>VLOOKUP(D23,Table8[[Name]:[Native]],3,FALSE)</f>
        <v>察隅县</v>
      </c>
      <c r="G23" s="12" t="str">
        <f ca="1">VLOOKUP(F23,Table8[[Native]:[Population4]],5,FALSE)</f>
        <v>林芝市</v>
      </c>
    </row>
    <row r="24" spans="1:7" ht="15.75" thickBot="1" x14ac:dyDescent="0.3">
      <c r="A24" t="s">
        <v>551</v>
      </c>
      <c r="B24" s="1" t="s">
        <v>552</v>
      </c>
      <c r="C24" s="1" t="s">
        <v>7</v>
      </c>
      <c r="D24" s="1" t="s">
        <v>505</v>
      </c>
      <c r="E24" s="3">
        <v>2332</v>
      </c>
      <c r="F24" s="1" t="str">
        <f>VLOOKUP(D24,Table8[[Name]:[Native]],3,FALSE)</f>
        <v>工布江达县</v>
      </c>
      <c r="G24" s="12" t="str">
        <f ca="1">VLOOKUP(F24,Table8[[Native]:[Population4]],5,FALSE)</f>
        <v>林芝市</v>
      </c>
    </row>
    <row r="25" spans="1:7" ht="15.75" thickBot="1" x14ac:dyDescent="0.3">
      <c r="A25" t="s">
        <v>553</v>
      </c>
      <c r="B25" s="1" t="s">
        <v>554</v>
      </c>
      <c r="C25" s="1" t="s">
        <v>7</v>
      </c>
      <c r="D25" s="1" t="s">
        <v>511</v>
      </c>
      <c r="E25" s="3">
        <v>653</v>
      </c>
      <c r="F25" s="1" t="str">
        <f>VLOOKUP(D25,Table8[[Name]:[Native]],3,FALSE)</f>
        <v>墨脱县</v>
      </c>
      <c r="G25" s="12" t="str">
        <f ca="1">VLOOKUP(F25,Table8[[Native]:[Population4]],5,FALSE)</f>
        <v>林芝市</v>
      </c>
    </row>
    <row r="26" spans="1:7" ht="15.75" thickBot="1" x14ac:dyDescent="0.3">
      <c r="A26" t="s">
        <v>555</v>
      </c>
      <c r="B26" s="1" t="s">
        <v>556</v>
      </c>
      <c r="C26" s="1" t="s">
        <v>7</v>
      </c>
      <c r="D26" s="1" t="s">
        <v>505</v>
      </c>
      <c r="E26" s="3">
        <v>4264</v>
      </c>
      <c r="F26" s="1" t="str">
        <f>VLOOKUP(D26,Table8[[Name]:[Native]],3,FALSE)</f>
        <v>工布江达县</v>
      </c>
      <c r="G26" s="12" t="str">
        <f ca="1">VLOOKUP(F26,Table8[[Native]:[Population4]],5,FALSE)</f>
        <v>林芝市</v>
      </c>
    </row>
    <row r="27" spans="1:7" ht="15.75" thickBot="1" x14ac:dyDescent="0.3">
      <c r="A27" t="s">
        <v>557</v>
      </c>
      <c r="B27" s="1" t="s">
        <v>558</v>
      </c>
      <c r="C27" s="1" t="s">
        <v>17</v>
      </c>
      <c r="D27" s="1" t="s">
        <v>505</v>
      </c>
      <c r="E27" s="3">
        <v>4564</v>
      </c>
      <c r="F27" s="1" t="str">
        <f>VLOOKUP(D27,Table8[[Name]:[Native]],3,FALSE)</f>
        <v>工布江达县</v>
      </c>
      <c r="G27" s="12" t="str">
        <f ca="1">VLOOKUP(F27,Table8[[Native]:[Population4]],5,FALSE)</f>
        <v>林芝市</v>
      </c>
    </row>
    <row r="28" spans="1:7" ht="15.75" thickBot="1" x14ac:dyDescent="0.3">
      <c r="A28" t="s">
        <v>559</v>
      </c>
      <c r="B28" s="1" t="s">
        <v>560</v>
      </c>
      <c r="C28" s="1" t="s">
        <v>7</v>
      </c>
      <c r="D28" s="1" t="s">
        <v>530</v>
      </c>
      <c r="E28" s="3">
        <v>1743</v>
      </c>
      <c r="F28" s="1" t="str">
        <f>VLOOKUP(D28,Table8[[Name]:[Native]],3,FALSE)</f>
        <v>朗县</v>
      </c>
      <c r="G28" s="12" t="str">
        <f ca="1">VLOOKUP(F28,Table8[[Native]:[Population4]],5,FALSE)</f>
        <v>林芝市</v>
      </c>
    </row>
    <row r="29" spans="1:7" ht="15.75" thickBot="1" x14ac:dyDescent="0.3">
      <c r="A29" t="s">
        <v>561</v>
      </c>
      <c r="B29" s="1" t="s">
        <v>562</v>
      </c>
      <c r="C29" s="1" t="s">
        <v>7</v>
      </c>
      <c r="D29" s="1" t="s">
        <v>502</v>
      </c>
      <c r="E29" s="3">
        <v>1723</v>
      </c>
      <c r="F29" s="1" t="str">
        <f>VLOOKUP(D29,Table8[[Name]:[Native]],3,FALSE)</f>
        <v>波密县</v>
      </c>
      <c r="G29" s="12" t="str">
        <f ca="1">VLOOKUP(F29,Table8[[Native]:[Population4]],5,FALSE)</f>
        <v>林芝市</v>
      </c>
    </row>
    <row r="30" spans="1:7" ht="15.75" thickBot="1" x14ac:dyDescent="0.3">
      <c r="A30" t="s">
        <v>211</v>
      </c>
      <c r="B30" s="1" t="s">
        <v>212</v>
      </c>
      <c r="C30" s="1" t="s">
        <v>7</v>
      </c>
      <c r="D30" s="1" t="s">
        <v>530</v>
      </c>
      <c r="E30" s="3">
        <v>2143</v>
      </c>
      <c r="F30" s="1" t="str">
        <f>VLOOKUP(D30,Table8[[Name]:[Native]],3,FALSE)</f>
        <v>朗县</v>
      </c>
      <c r="G30" s="12" t="str">
        <f ca="1">VLOOKUP(F30,Table8[[Native]:[Population4]],5,FALSE)</f>
        <v>林芝市</v>
      </c>
    </row>
    <row r="31" spans="1:7" ht="15.75" thickBot="1" x14ac:dyDescent="0.3">
      <c r="A31" t="s">
        <v>563</v>
      </c>
      <c r="B31" s="1" t="s">
        <v>564</v>
      </c>
      <c r="C31" s="1" t="s">
        <v>17</v>
      </c>
      <c r="D31" s="1" t="s">
        <v>530</v>
      </c>
      <c r="E31" s="3">
        <v>4391</v>
      </c>
      <c r="F31" s="1" t="str">
        <f>VLOOKUP(D31,Table8[[Name]:[Native]],3,FALSE)</f>
        <v>朗县</v>
      </c>
      <c r="G31" s="12" t="str">
        <f ca="1">VLOOKUP(F31,Table8[[Native]:[Population4]],5,FALSE)</f>
        <v>林芝市</v>
      </c>
    </row>
    <row r="32" spans="1:7" ht="15.75" thickBot="1" x14ac:dyDescent="0.3">
      <c r="A32" t="s">
        <v>565</v>
      </c>
      <c r="B32" s="1" t="s">
        <v>566</v>
      </c>
      <c r="C32" s="1" t="s">
        <v>7</v>
      </c>
      <c r="D32" s="1" t="s">
        <v>527</v>
      </c>
      <c r="E32" s="3">
        <v>2038</v>
      </c>
      <c r="F32" s="1" t="str">
        <f>VLOOKUP(D32,Table8[[Name]:[Native]],3,FALSE)</f>
        <v>米林县</v>
      </c>
      <c r="G32" s="12" t="str">
        <f ca="1">VLOOKUP(F32,Table8[[Native]:[Population4]],5,FALSE)</f>
        <v>林芝市</v>
      </c>
    </row>
    <row r="33" spans="1:7" ht="15.75" thickBot="1" x14ac:dyDescent="0.3">
      <c r="A33" t="s">
        <v>567</v>
      </c>
      <c r="B33" s="1" t="s">
        <v>568</v>
      </c>
      <c r="C33" s="1" t="s">
        <v>17</v>
      </c>
      <c r="D33" s="1" t="s">
        <v>508</v>
      </c>
      <c r="E33" s="3">
        <v>3267</v>
      </c>
      <c r="F33" s="1" t="str">
        <f>VLOOKUP(D33,Table8[[Name]:[Native]],3,FALSE)</f>
        <v>巴宜区</v>
      </c>
      <c r="G33" s="12" t="str">
        <f ca="1">VLOOKUP(F33,Table8[[Native]:[Population4]],5,FALSE)</f>
        <v>林芝市</v>
      </c>
    </row>
    <row r="34" spans="1:7" ht="15.75" thickBot="1" x14ac:dyDescent="0.3">
      <c r="A34" t="s">
        <v>569</v>
      </c>
      <c r="B34" s="1" t="s">
        <v>570</v>
      </c>
      <c r="C34" s="1" t="s">
        <v>17</v>
      </c>
      <c r="D34" s="1" t="s">
        <v>508</v>
      </c>
      <c r="E34" s="3">
        <v>1588</v>
      </c>
      <c r="F34" s="1" t="str">
        <f>VLOOKUP(D34,Table8[[Name]:[Native]],3,FALSE)</f>
        <v>巴宜区</v>
      </c>
      <c r="G34" s="12" t="str">
        <f ca="1">VLOOKUP(F34,Table8[[Native]:[Population4]],5,FALSE)</f>
        <v>林芝市</v>
      </c>
    </row>
    <row r="35" spans="1:7" ht="15.75" thickBot="1" x14ac:dyDescent="0.3">
      <c r="A35" t="s">
        <v>571</v>
      </c>
      <c r="B35" s="1" t="s">
        <v>572</v>
      </c>
      <c r="C35" s="1" t="s">
        <v>17</v>
      </c>
      <c r="D35" s="1" t="s">
        <v>527</v>
      </c>
      <c r="E35" s="3">
        <v>5617</v>
      </c>
      <c r="F35" s="1" t="str">
        <f>VLOOKUP(D35,Table8[[Name]:[Native]],3,FALSE)</f>
        <v>米林县</v>
      </c>
      <c r="G35" s="12" t="str">
        <f ca="1">VLOOKUP(F35,Table8[[Native]:[Population4]],5,FALSE)</f>
        <v>林芝市</v>
      </c>
    </row>
    <row r="36" spans="1:7" ht="15.75" thickBot="1" x14ac:dyDescent="0.3">
      <c r="A36" t="s">
        <v>573</v>
      </c>
      <c r="B36" s="1" t="s">
        <v>574</v>
      </c>
      <c r="C36" s="1" t="s">
        <v>7</v>
      </c>
      <c r="D36" s="1" t="s">
        <v>508</v>
      </c>
      <c r="E36" s="3">
        <v>2247</v>
      </c>
      <c r="F36" s="1" t="str">
        <f>VLOOKUP(D36,Table8[[Name]:[Native]],3,FALSE)</f>
        <v>巴宜区</v>
      </c>
      <c r="G36" s="12" t="str">
        <f ca="1">VLOOKUP(F36,Table8[[Native]:[Population4]],5,FALSE)</f>
        <v>林芝市</v>
      </c>
    </row>
    <row r="37" spans="1:7" ht="15.75" thickBot="1" x14ac:dyDescent="0.3">
      <c r="A37" t="s">
        <v>575</v>
      </c>
      <c r="B37" s="1" t="s">
        <v>576</v>
      </c>
      <c r="C37" s="1" t="s">
        <v>17</v>
      </c>
      <c r="D37" s="1" t="s">
        <v>511</v>
      </c>
      <c r="E37" s="3">
        <v>3157</v>
      </c>
      <c r="F37" s="1" t="str">
        <f>VLOOKUP(D37,Table8[[Name]:[Native]],3,FALSE)</f>
        <v>墨脱县</v>
      </c>
      <c r="G37" s="12" t="str">
        <f ca="1">VLOOKUP(F37,Table8[[Native]:[Population4]],5,FALSE)</f>
        <v>林芝市</v>
      </c>
    </row>
    <row r="38" spans="1:7" ht="15.75" thickBot="1" x14ac:dyDescent="0.3">
      <c r="A38" t="s">
        <v>577</v>
      </c>
      <c r="B38" s="1" t="s">
        <v>578</v>
      </c>
      <c r="C38" s="1" t="s">
        <v>7</v>
      </c>
      <c r="D38" s="1" t="s">
        <v>527</v>
      </c>
      <c r="E38" s="3">
        <v>644</v>
      </c>
      <c r="F38" s="1" t="str">
        <f>VLOOKUP(D38,Table8[[Name]:[Native]],3,FALSE)</f>
        <v>米林县</v>
      </c>
      <c r="G38" s="12" t="str">
        <f ca="1">VLOOKUP(F38,Table8[[Native]:[Population4]],5,FALSE)</f>
        <v>林芝市</v>
      </c>
    </row>
    <row r="39" spans="1:7" ht="15.75" thickBot="1" x14ac:dyDescent="0.3">
      <c r="A39" t="s">
        <v>579</v>
      </c>
      <c r="B39" s="1" t="s">
        <v>580</v>
      </c>
      <c r="C39" s="1" t="s">
        <v>7</v>
      </c>
      <c r="D39" s="1" t="s">
        <v>505</v>
      </c>
      <c r="E39" s="3">
        <v>2728</v>
      </c>
      <c r="F39" s="1" t="str">
        <f>VLOOKUP(D39,Table8[[Name]:[Native]],3,FALSE)</f>
        <v>工布江达县</v>
      </c>
      <c r="G39" s="12" t="str">
        <f ca="1">VLOOKUP(F39,Table8[[Native]:[Population4]],5,FALSE)</f>
        <v>林芝市</v>
      </c>
    </row>
    <row r="40" spans="1:7" ht="15.75" thickBot="1" x14ac:dyDescent="0.3">
      <c r="A40" t="s">
        <v>581</v>
      </c>
      <c r="B40" s="1" t="s">
        <v>582</v>
      </c>
      <c r="C40" s="1" t="s">
        <v>17</v>
      </c>
      <c r="D40" s="1" t="s">
        <v>527</v>
      </c>
      <c r="E40" s="3">
        <v>2334</v>
      </c>
      <c r="F40" s="1" t="str">
        <f>VLOOKUP(D40,Table8[[Name]:[Native]],3,FALSE)</f>
        <v>米林县</v>
      </c>
      <c r="G40" s="12" t="str">
        <f ca="1">VLOOKUP(F40,Table8[[Native]:[Population4]],5,FALSE)</f>
        <v>林芝市</v>
      </c>
    </row>
    <row r="41" spans="1:7" ht="15.75" thickBot="1" x14ac:dyDescent="0.3">
      <c r="A41" t="s">
        <v>583</v>
      </c>
      <c r="B41" s="1" t="s">
        <v>584</v>
      </c>
      <c r="C41" s="1" t="s">
        <v>7</v>
      </c>
      <c r="D41" s="1" t="s">
        <v>527</v>
      </c>
      <c r="E41" s="3">
        <v>2717</v>
      </c>
      <c r="F41" s="1" t="str">
        <f>VLOOKUP(D41,Table8[[Name]:[Native]],3,FALSE)</f>
        <v>米林县</v>
      </c>
      <c r="G41" s="12" t="str">
        <f ca="1">VLOOKUP(F41,Table8[[Native]:[Population4]],5,FALSE)</f>
        <v>林芝市</v>
      </c>
    </row>
    <row r="42" spans="1:7" ht="15.75" thickBot="1" x14ac:dyDescent="0.3">
      <c r="A42" t="s">
        <v>585</v>
      </c>
      <c r="B42" s="1" t="s">
        <v>586</v>
      </c>
      <c r="C42" s="1" t="s">
        <v>17</v>
      </c>
      <c r="D42" s="1" t="s">
        <v>502</v>
      </c>
      <c r="E42" s="3">
        <v>5402</v>
      </c>
      <c r="F42" s="1" t="str">
        <f>VLOOKUP(D42,Table8[[Name]:[Native]],3,FALSE)</f>
        <v>波密县</v>
      </c>
      <c r="G42" s="12" t="str">
        <f ca="1">VLOOKUP(F42,Table8[[Native]:[Population4]],5,FALSE)</f>
        <v>林芝市</v>
      </c>
    </row>
    <row r="43" spans="1:7" ht="15.75" thickBot="1" x14ac:dyDescent="0.3">
      <c r="A43" t="s">
        <v>587</v>
      </c>
      <c r="B43" s="1" t="s">
        <v>588</v>
      </c>
      <c r="C43" s="1" t="s">
        <v>17</v>
      </c>
      <c r="D43" s="1" t="s">
        <v>520</v>
      </c>
      <c r="E43" s="3">
        <v>3099</v>
      </c>
      <c r="F43" s="1" t="str">
        <f>VLOOKUP(D43,Table8[[Name]:[Native]],3,FALSE)</f>
        <v>察隅县</v>
      </c>
      <c r="G43" s="12" t="str">
        <f ca="1">VLOOKUP(F43,Table8[[Native]:[Population4]],5,FALSE)</f>
        <v>林芝市</v>
      </c>
    </row>
    <row r="44" spans="1:7" ht="15.75" thickBot="1" x14ac:dyDescent="0.3">
      <c r="A44" t="s">
        <v>589</v>
      </c>
      <c r="B44" s="1" t="s">
        <v>590</v>
      </c>
      <c r="C44" s="1" t="s">
        <v>17</v>
      </c>
      <c r="D44" s="1" t="s">
        <v>502</v>
      </c>
      <c r="E44" s="3">
        <v>2034</v>
      </c>
      <c r="F44" s="1" t="str">
        <f>VLOOKUP(D44,Table8[[Name]:[Native]],3,FALSE)</f>
        <v>波密县</v>
      </c>
      <c r="G44" s="12" t="str">
        <f ca="1">VLOOKUP(F44,Table8[[Native]:[Population4]],5,FALSE)</f>
        <v>林芝市</v>
      </c>
    </row>
    <row r="45" spans="1:7" ht="15.75" thickBot="1" x14ac:dyDescent="0.3">
      <c r="A45" t="s">
        <v>591</v>
      </c>
      <c r="B45" s="1" t="s">
        <v>592</v>
      </c>
      <c r="C45" s="1" t="s">
        <v>17</v>
      </c>
      <c r="D45" s="1" t="s">
        <v>527</v>
      </c>
      <c r="E45" s="3">
        <v>4158</v>
      </c>
      <c r="F45" s="1" t="str">
        <f>VLOOKUP(D45,Table8[[Name]:[Native]],3,FALSE)</f>
        <v>米林县</v>
      </c>
      <c r="G45" s="12" t="str">
        <f ca="1">VLOOKUP(F45,Table8[[Native]:[Population4]],5,FALSE)</f>
        <v>林芝市</v>
      </c>
    </row>
    <row r="46" spans="1:7" ht="15.75" thickBot="1" x14ac:dyDescent="0.3">
      <c r="A46" t="s">
        <v>593</v>
      </c>
      <c r="B46" s="1" t="s">
        <v>594</v>
      </c>
      <c r="C46" s="1" t="s">
        <v>17</v>
      </c>
      <c r="D46" s="1" t="s">
        <v>520</v>
      </c>
      <c r="E46" s="3">
        <v>5186</v>
      </c>
      <c r="F46" s="1" t="str">
        <f>VLOOKUP(D46,Table8[[Name]:[Native]],3,FALSE)</f>
        <v>察隅县</v>
      </c>
      <c r="G46" s="12" t="str">
        <f ca="1">VLOOKUP(F46,Table8[[Native]:[Population4]],5,FALSE)</f>
        <v>林芝市</v>
      </c>
    </row>
    <row r="47" spans="1:7" ht="15.75" thickBot="1" x14ac:dyDescent="0.3">
      <c r="A47" t="s">
        <v>595</v>
      </c>
      <c r="B47" s="1" t="s">
        <v>596</v>
      </c>
      <c r="C47" s="1" t="s">
        <v>7</v>
      </c>
      <c r="D47" s="1" t="s">
        <v>502</v>
      </c>
      <c r="E47" s="3">
        <v>2242</v>
      </c>
      <c r="F47" s="1" t="str">
        <f>VLOOKUP(D47,Table8[[Name]:[Native]],3,FALSE)</f>
        <v>波密县</v>
      </c>
      <c r="G47" s="12" t="str">
        <f ca="1">VLOOKUP(F47,Table8[[Native]:[Population4]],5,FALSE)</f>
        <v>林芝市</v>
      </c>
    </row>
    <row r="48" spans="1:7" ht="15.75" thickBot="1" x14ac:dyDescent="0.3">
      <c r="A48" t="s">
        <v>597</v>
      </c>
      <c r="B48" s="1" t="s">
        <v>598</v>
      </c>
      <c r="C48" s="1" t="s">
        <v>7</v>
      </c>
      <c r="D48" s="1" t="s">
        <v>502</v>
      </c>
      <c r="E48" s="3">
        <v>1587</v>
      </c>
      <c r="F48" s="1" t="str">
        <f>VLOOKUP(D48,Table8[[Name]:[Native]],3,FALSE)</f>
        <v>波密县</v>
      </c>
      <c r="G48" s="12" t="str">
        <f ca="1">VLOOKUP(F48,Table8[[Native]:[Population4]],5,FALSE)</f>
        <v>林芝市</v>
      </c>
    </row>
    <row r="49" spans="1:7" ht="15.75" thickBot="1" x14ac:dyDescent="0.3">
      <c r="A49" t="s">
        <v>599</v>
      </c>
      <c r="B49" s="1" t="s">
        <v>600</v>
      </c>
      <c r="C49" s="1" t="s">
        <v>7</v>
      </c>
      <c r="D49" s="1" t="s">
        <v>502</v>
      </c>
      <c r="E49" s="3">
        <v>5569</v>
      </c>
      <c r="F49" s="1" t="str">
        <f>VLOOKUP(D49,Table8[[Name]:[Native]],3,FALSE)</f>
        <v>波密县</v>
      </c>
      <c r="G49" s="12" t="str">
        <f ca="1">VLOOKUP(F49,Table8[[Native]:[Population4]],5,FALSE)</f>
        <v>林芝市</v>
      </c>
    </row>
    <row r="50" spans="1:7" ht="15.75" thickBot="1" x14ac:dyDescent="0.3">
      <c r="A50" t="s">
        <v>601</v>
      </c>
      <c r="B50" s="1" t="s">
        <v>602</v>
      </c>
      <c r="C50" s="1" t="s">
        <v>17</v>
      </c>
      <c r="D50" s="1" t="s">
        <v>502</v>
      </c>
      <c r="E50" s="3">
        <v>9050</v>
      </c>
      <c r="F50" s="1" t="str">
        <f>VLOOKUP(D50,Table8[[Name]:[Native]],3,FALSE)</f>
        <v>波密县</v>
      </c>
      <c r="G50" s="12" t="str">
        <f ca="1">VLOOKUP(F50,Table8[[Native]:[Population4]],5,FALSE)</f>
        <v>林芝市</v>
      </c>
    </row>
    <row r="51" spans="1:7" ht="15.75" thickBot="1" x14ac:dyDescent="0.3">
      <c r="A51" t="s">
        <v>603</v>
      </c>
      <c r="B51" s="1" t="s">
        <v>604</v>
      </c>
      <c r="C51" s="1" t="s">
        <v>7</v>
      </c>
      <c r="D51" s="1" t="s">
        <v>527</v>
      </c>
      <c r="E51" s="3">
        <v>3552</v>
      </c>
      <c r="F51" s="1" t="str">
        <f>VLOOKUP(D51,Table8[[Name]:[Native]],3,FALSE)</f>
        <v>米林县</v>
      </c>
      <c r="G51" s="12" t="str">
        <f ca="1">VLOOKUP(F51,Table8[[Native]:[Population4]],5,FALSE)</f>
        <v>林芝市</v>
      </c>
    </row>
    <row r="52" spans="1:7" ht="15.75" thickBot="1" x14ac:dyDescent="0.3">
      <c r="A52" t="s">
        <v>605</v>
      </c>
      <c r="B52" s="1" t="s">
        <v>606</v>
      </c>
      <c r="C52" s="1" t="s">
        <v>17</v>
      </c>
      <c r="D52" s="1" t="s">
        <v>530</v>
      </c>
      <c r="E52" s="3">
        <v>2321</v>
      </c>
      <c r="F52" s="1" t="str">
        <f>VLOOKUP(D52,Table8[[Name]:[Native]],3,FALSE)</f>
        <v>朗县</v>
      </c>
      <c r="G52" s="12" t="str">
        <f ca="1">VLOOKUP(F52,Table8[[Native]:[Population4]],5,FALSE)</f>
        <v>林芝市</v>
      </c>
    </row>
    <row r="53" spans="1:7" ht="15.75" thickBot="1" x14ac:dyDescent="0.3">
      <c r="A53" t="s">
        <v>607</v>
      </c>
      <c r="B53" s="1" t="s">
        <v>608</v>
      </c>
      <c r="C53" s="1" t="s">
        <v>7</v>
      </c>
      <c r="D53" s="1" t="s">
        <v>505</v>
      </c>
      <c r="E53" s="3">
        <v>2560</v>
      </c>
      <c r="F53" s="1" t="str">
        <f>VLOOKUP(D53,Table8[[Name]:[Native]],3,FALSE)</f>
        <v>工布江达县</v>
      </c>
      <c r="G53" s="12" t="str">
        <f ca="1">VLOOKUP(F53,Table8[[Native]:[Population4]],5,FALSE)</f>
        <v>林芝市</v>
      </c>
    </row>
    <row r="54" spans="1:7" ht="15.75" thickBot="1" x14ac:dyDescent="0.3">
      <c r="A54" t="s">
        <v>609</v>
      </c>
      <c r="B54" s="1" t="s">
        <v>610</v>
      </c>
      <c r="C54" s="1" t="s">
        <v>7</v>
      </c>
      <c r="D54" s="1" t="s">
        <v>505</v>
      </c>
      <c r="E54" s="3">
        <v>2739</v>
      </c>
      <c r="F54" s="1" t="str">
        <f>VLOOKUP(D54,Table8[[Name]:[Native]],3,FALSE)</f>
        <v>工布江达县</v>
      </c>
      <c r="G54" s="12" t="str">
        <f ca="1">VLOOKUP(F54,Table8[[Native]:[Population4]],5,FALSE)</f>
        <v>林芝市</v>
      </c>
    </row>
    <row r="55" spans="1:7" ht="15.75" thickBot="1" x14ac:dyDescent="0.3">
      <c r="A55" t="s">
        <v>611</v>
      </c>
      <c r="B55" s="1" t="s">
        <v>612</v>
      </c>
      <c r="C55" s="1" t="s">
        <v>17</v>
      </c>
      <c r="D55" s="1" t="s">
        <v>520</v>
      </c>
      <c r="E55" s="3">
        <v>6522</v>
      </c>
      <c r="F55" s="9" t="str">
        <f>VLOOKUP(D55,Table8[[Name]:[Native]],3,FALSE)</f>
        <v>察隅县</v>
      </c>
      <c r="G55" s="12" t="str">
        <f ca="1">VLOOKUP(F55,Table8[[Native]:[Population4]],5,FALSE)</f>
        <v>林芝市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FABB5-CDE6-464B-948C-1ED5B4095DB1}">
  <dimension ref="A1:G115"/>
  <sheetViews>
    <sheetView topLeftCell="A90" workbookViewId="0">
      <selection activeCell="G2" sqref="A2:G11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1502</v>
      </c>
      <c r="G1" t="s">
        <v>1504</v>
      </c>
    </row>
    <row r="2" spans="1:7" ht="15.75" thickBot="1" x14ac:dyDescent="0.3">
      <c r="A2" t="s">
        <v>613</v>
      </c>
      <c r="B2" s="1" t="s">
        <v>614</v>
      </c>
      <c r="C2" s="1" t="s">
        <v>7</v>
      </c>
      <c r="D2" s="1" t="s">
        <v>615</v>
      </c>
      <c r="E2" s="3">
        <v>1584</v>
      </c>
      <c r="F2" s="8" t="str">
        <f>VLOOKUP(D2,Table8[[Name]:[Native]],3,FALSE)</f>
        <v>尼玛县</v>
      </c>
      <c r="G2" s="12" t="str">
        <f ca="1">VLOOKUP(F2,Table8[[Native]:[Population4]],5,FALSE)</f>
        <v>那曲市</v>
      </c>
    </row>
    <row r="3" spans="1:7" ht="15.75" thickBot="1" x14ac:dyDescent="0.3">
      <c r="A3" t="s">
        <v>616</v>
      </c>
      <c r="B3" s="1" t="s">
        <v>617</v>
      </c>
      <c r="C3" s="1" t="s">
        <v>7</v>
      </c>
      <c r="D3" s="1" t="s">
        <v>618</v>
      </c>
      <c r="E3" s="3">
        <v>2262</v>
      </c>
      <c r="F3" s="1" t="str">
        <f>VLOOKUP(D3,Table8[[Name]:[Native]],3,FALSE)</f>
        <v>巴青县</v>
      </c>
      <c r="G3" s="12" t="str">
        <f ca="1">VLOOKUP(F3,Table8[[Native]:[Population4]],5,FALSE)</f>
        <v>那曲市</v>
      </c>
    </row>
    <row r="4" spans="1:7" ht="15.75" thickBot="1" x14ac:dyDescent="0.3">
      <c r="A4" t="s">
        <v>619</v>
      </c>
      <c r="B4" s="1" t="s">
        <v>620</v>
      </c>
      <c r="C4" s="1" t="s">
        <v>17</v>
      </c>
      <c r="D4" s="1" t="s">
        <v>621</v>
      </c>
      <c r="E4" s="3">
        <v>4879</v>
      </c>
      <c r="F4" s="1" t="str">
        <f>VLOOKUP(D4,Table8[[Name]:[Native]],3,FALSE)</f>
        <v>嘉黎县</v>
      </c>
      <c r="G4" s="12" t="str">
        <f ca="1">VLOOKUP(F4,Table8[[Native]:[Population4]],5,FALSE)</f>
        <v>那曲市</v>
      </c>
    </row>
    <row r="5" spans="1:7" ht="15.75" thickBot="1" x14ac:dyDescent="0.3">
      <c r="A5" t="s">
        <v>622</v>
      </c>
      <c r="B5" s="1" t="s">
        <v>623</v>
      </c>
      <c r="C5" s="1" t="s">
        <v>7</v>
      </c>
      <c r="D5" s="1" t="s">
        <v>624</v>
      </c>
      <c r="E5" s="3">
        <v>7431</v>
      </c>
      <c r="F5" s="1" t="str">
        <f>VLOOKUP(D5,Table8[[Name]:[Native]],3,FALSE)</f>
        <v>比如县</v>
      </c>
      <c r="G5" s="12" t="str">
        <f ca="1">VLOOKUP(F5,Table8[[Native]:[Population4]],5,FALSE)</f>
        <v>那曲市</v>
      </c>
    </row>
    <row r="6" spans="1:7" ht="15.75" thickBot="1" x14ac:dyDescent="0.3">
      <c r="A6" t="s">
        <v>625</v>
      </c>
      <c r="B6" s="1" t="s">
        <v>626</v>
      </c>
      <c r="C6" s="1" t="s">
        <v>7</v>
      </c>
      <c r="D6" s="1" t="s">
        <v>627</v>
      </c>
      <c r="E6" s="3">
        <v>3749</v>
      </c>
      <c r="F6" s="1" t="str">
        <f>VLOOKUP(D6,Table8[[Name]:[Native]],3,FALSE)</f>
        <v>聂荣县</v>
      </c>
      <c r="G6" s="12" t="str">
        <f ca="1">VLOOKUP(F6,Table8[[Native]:[Population4]],5,FALSE)</f>
        <v>那曲市</v>
      </c>
    </row>
    <row r="7" spans="1:7" ht="15.75" thickBot="1" x14ac:dyDescent="0.3">
      <c r="A7" t="s">
        <v>628</v>
      </c>
      <c r="B7" s="1" t="s">
        <v>629</v>
      </c>
      <c r="C7" s="1" t="s">
        <v>7</v>
      </c>
      <c r="D7" s="1" t="s">
        <v>630</v>
      </c>
      <c r="E7" s="3">
        <v>1499</v>
      </c>
      <c r="F7" s="1" t="str">
        <f>VLOOKUP(D7,Table8[[Name]:[Native]],3,FALSE)</f>
        <v>双湖县</v>
      </c>
      <c r="G7" s="12" t="str">
        <f ca="1">VLOOKUP(F7,Table8[[Native]:[Population4]],5,FALSE)</f>
        <v>那曲市</v>
      </c>
    </row>
    <row r="8" spans="1:7" ht="15.75" thickBot="1" x14ac:dyDescent="0.3">
      <c r="A8" t="s">
        <v>631</v>
      </c>
      <c r="B8" s="1" t="s">
        <v>632</v>
      </c>
      <c r="C8" s="1" t="s">
        <v>7</v>
      </c>
      <c r="D8" s="1" t="s">
        <v>633</v>
      </c>
      <c r="E8" s="3">
        <v>1923</v>
      </c>
      <c r="F8" s="1" t="str">
        <f>VLOOKUP(D8,Table8[[Name]:[Native]],3,FALSE)</f>
        <v>安多县</v>
      </c>
      <c r="G8" s="12" t="str">
        <f ca="1">VLOOKUP(F8,Table8[[Native]:[Population4]],5,FALSE)</f>
        <v>那曲市</v>
      </c>
    </row>
    <row r="9" spans="1:7" ht="15.75" thickBot="1" x14ac:dyDescent="0.3">
      <c r="A9" t="s">
        <v>634</v>
      </c>
      <c r="B9" s="1" t="s">
        <v>635</v>
      </c>
      <c r="C9" s="1" t="s">
        <v>7</v>
      </c>
      <c r="D9" s="1" t="s">
        <v>636</v>
      </c>
      <c r="E9" s="3">
        <v>2048</v>
      </c>
      <c r="F9" s="1" t="str">
        <f>VLOOKUP(D9,Table8[[Name]:[Native]],3,FALSE)</f>
        <v>班戈县</v>
      </c>
      <c r="G9" s="12" t="str">
        <f ca="1">VLOOKUP(F9,Table8[[Native]:[Population4]],5,FALSE)</f>
        <v>那曲市</v>
      </c>
    </row>
    <row r="10" spans="1:7" ht="15.75" thickBot="1" x14ac:dyDescent="0.3">
      <c r="A10" t="s">
        <v>637</v>
      </c>
      <c r="B10" s="1" t="s">
        <v>638</v>
      </c>
      <c r="C10" s="1" t="s">
        <v>7</v>
      </c>
      <c r="D10" s="1" t="s">
        <v>618</v>
      </c>
      <c r="E10" s="3">
        <v>2520</v>
      </c>
      <c r="F10" s="1" t="str">
        <f>VLOOKUP(D10,Table8[[Name]:[Native]],3,FALSE)</f>
        <v>巴青县</v>
      </c>
      <c r="G10" s="12" t="str">
        <f ca="1">VLOOKUP(F10,Table8[[Native]:[Population4]],5,FALSE)</f>
        <v>那曲市</v>
      </c>
    </row>
    <row r="11" spans="1:7" ht="15.75" thickBot="1" x14ac:dyDescent="0.3">
      <c r="A11" t="s">
        <v>639</v>
      </c>
      <c r="B11" s="1" t="s">
        <v>640</v>
      </c>
      <c r="C11" s="1" t="s">
        <v>7</v>
      </c>
      <c r="D11" s="1" t="s">
        <v>641</v>
      </c>
      <c r="E11" s="3">
        <v>2040</v>
      </c>
      <c r="F11" s="1" t="str">
        <f>VLOOKUP(D11,Table8[[Name]:[Native]],3,FALSE)</f>
        <v>申扎县</v>
      </c>
      <c r="G11" s="12" t="str">
        <f ca="1">VLOOKUP(F11,Table8[[Native]:[Population4]],5,FALSE)</f>
        <v>那曲市</v>
      </c>
    </row>
    <row r="12" spans="1:7" ht="15.75" thickBot="1" x14ac:dyDescent="0.3">
      <c r="A12" t="s">
        <v>642</v>
      </c>
      <c r="B12" s="1" t="s">
        <v>643</v>
      </c>
      <c r="C12" s="1" t="s">
        <v>17</v>
      </c>
      <c r="D12" s="1" t="s">
        <v>636</v>
      </c>
      <c r="E12" s="3">
        <v>4656</v>
      </c>
      <c r="F12" s="1" t="str">
        <f>VLOOKUP(D12,Table8[[Name]:[Native]],3,FALSE)</f>
        <v>班戈县</v>
      </c>
      <c r="G12" s="12" t="str">
        <f ca="1">VLOOKUP(F12,Table8[[Native]:[Population4]],5,FALSE)</f>
        <v>那曲市</v>
      </c>
    </row>
    <row r="13" spans="1:7" ht="15.75" thickBot="1" x14ac:dyDescent="0.3">
      <c r="A13" t="s">
        <v>644</v>
      </c>
      <c r="B13" s="1" t="s">
        <v>645</v>
      </c>
      <c r="C13" s="1" t="s">
        <v>7</v>
      </c>
      <c r="D13" s="1" t="s">
        <v>618</v>
      </c>
      <c r="E13" s="3">
        <v>3670</v>
      </c>
      <c r="F13" s="1" t="str">
        <f>VLOOKUP(D13,Table8[[Name]:[Native]],3,FALSE)</f>
        <v>巴青县</v>
      </c>
      <c r="G13" s="12" t="str">
        <f ca="1">VLOOKUP(F13,Table8[[Native]:[Population4]],5,FALSE)</f>
        <v>那曲市</v>
      </c>
    </row>
    <row r="14" spans="1:7" ht="15.75" thickBot="1" x14ac:dyDescent="0.3">
      <c r="A14" t="s">
        <v>646</v>
      </c>
      <c r="B14" s="1" t="s">
        <v>647</v>
      </c>
      <c r="C14" s="1" t="s">
        <v>17</v>
      </c>
      <c r="D14" s="1" t="s">
        <v>624</v>
      </c>
      <c r="E14" s="3">
        <v>10709</v>
      </c>
      <c r="F14" s="1" t="str">
        <f>VLOOKUP(D14,Table8[[Name]:[Native]],3,FALSE)</f>
        <v>比如县</v>
      </c>
      <c r="G14" s="12" t="str">
        <f ca="1">VLOOKUP(F14,Table8[[Native]:[Population4]],5,FALSE)</f>
        <v>那曲市</v>
      </c>
    </row>
    <row r="15" spans="1:7" ht="15.75" thickBot="1" x14ac:dyDescent="0.3">
      <c r="A15" t="s">
        <v>648</v>
      </c>
      <c r="B15" s="1" t="s">
        <v>649</v>
      </c>
      <c r="C15" s="1" t="s">
        <v>7</v>
      </c>
      <c r="D15" s="1" t="s">
        <v>627</v>
      </c>
      <c r="E15" s="3">
        <v>2953</v>
      </c>
      <c r="F15" s="1" t="str">
        <f>VLOOKUP(D15,Table8[[Name]:[Native]],3,FALSE)</f>
        <v>聂荣县</v>
      </c>
      <c r="G15" s="12" t="str">
        <f ca="1">VLOOKUP(F15,Table8[[Native]:[Population4]],5,FALSE)</f>
        <v>那曲市</v>
      </c>
    </row>
    <row r="16" spans="1:7" ht="15.75" thickBot="1" x14ac:dyDescent="0.3">
      <c r="A16" t="s">
        <v>650</v>
      </c>
      <c r="B16" s="1" t="s">
        <v>651</v>
      </c>
      <c r="C16" s="1" t="s">
        <v>7</v>
      </c>
      <c r="D16" s="1" t="s">
        <v>624</v>
      </c>
      <c r="E16" s="3">
        <v>5557</v>
      </c>
      <c r="F16" s="1" t="str">
        <f>VLOOKUP(D16,Table8[[Name]:[Native]],3,FALSE)</f>
        <v>比如县</v>
      </c>
      <c r="G16" s="12" t="str">
        <f ca="1">VLOOKUP(F16,Table8[[Native]:[Population4]],5,FALSE)</f>
        <v>那曲市</v>
      </c>
    </row>
    <row r="17" spans="1:7" ht="15.75" thickBot="1" x14ac:dyDescent="0.3">
      <c r="A17" t="s">
        <v>652</v>
      </c>
      <c r="B17" s="1" t="s">
        <v>653</v>
      </c>
      <c r="C17" s="1" t="s">
        <v>7</v>
      </c>
      <c r="D17" s="1" t="s">
        <v>654</v>
      </c>
      <c r="E17" s="3">
        <v>2991</v>
      </c>
      <c r="F17" s="1" t="str">
        <f>VLOOKUP(D17,Table8[[Name]:[Native]],3,FALSE)</f>
        <v>索县</v>
      </c>
      <c r="G17" s="12" t="str">
        <f ca="1">VLOOKUP(F17,Table8[[Native]:[Population4]],5,FALSE)</f>
        <v>那曲市</v>
      </c>
    </row>
    <row r="18" spans="1:7" ht="15.75" thickBot="1" x14ac:dyDescent="0.3">
      <c r="A18" t="s">
        <v>655</v>
      </c>
      <c r="B18" s="1" t="s">
        <v>656</v>
      </c>
      <c r="C18" s="1" t="s">
        <v>7</v>
      </c>
      <c r="D18" s="1" t="s">
        <v>621</v>
      </c>
      <c r="E18" s="3">
        <v>4676</v>
      </c>
      <c r="F18" s="1" t="str">
        <f>VLOOKUP(D18,Table8[[Name]:[Native]],3,FALSE)</f>
        <v>嘉黎县</v>
      </c>
      <c r="G18" s="12" t="str">
        <f ca="1">VLOOKUP(F18,Table8[[Native]:[Population4]],5,FALSE)</f>
        <v>那曲市</v>
      </c>
    </row>
    <row r="19" spans="1:7" ht="15.75" thickBot="1" x14ac:dyDescent="0.3">
      <c r="A19" t="s">
        <v>657</v>
      </c>
      <c r="B19" s="1" t="s">
        <v>658</v>
      </c>
      <c r="C19" s="1" t="s">
        <v>7</v>
      </c>
      <c r="D19" s="1" t="s">
        <v>633</v>
      </c>
      <c r="E19" s="3">
        <v>3998</v>
      </c>
      <c r="F19" s="1" t="str">
        <f>VLOOKUP(D19,Table8[[Name]:[Native]],3,FALSE)</f>
        <v>安多县</v>
      </c>
      <c r="G19" s="12" t="str">
        <f ca="1">VLOOKUP(F19,Table8[[Native]:[Population4]],5,FALSE)</f>
        <v>那曲市</v>
      </c>
    </row>
    <row r="20" spans="1:7" ht="15.75" thickBot="1" x14ac:dyDescent="0.3">
      <c r="A20" t="s">
        <v>659</v>
      </c>
      <c r="B20" s="1" t="s">
        <v>660</v>
      </c>
      <c r="C20" s="1" t="s">
        <v>17</v>
      </c>
      <c r="D20" s="1" t="s">
        <v>630</v>
      </c>
      <c r="E20" s="3">
        <v>2818</v>
      </c>
      <c r="F20" s="1" t="str">
        <f>VLOOKUP(D20,Table8[[Name]:[Native]],3,FALSE)</f>
        <v>双湖县</v>
      </c>
      <c r="G20" s="12" t="str">
        <f ca="1">VLOOKUP(F20,Table8[[Native]:[Population4]],5,FALSE)</f>
        <v>那曲市</v>
      </c>
    </row>
    <row r="21" spans="1:7" ht="15.75" thickBot="1" x14ac:dyDescent="0.3">
      <c r="A21" t="s">
        <v>661</v>
      </c>
      <c r="B21" s="1" t="s">
        <v>662</v>
      </c>
      <c r="C21" s="1" t="s">
        <v>7</v>
      </c>
      <c r="D21" s="1" t="s">
        <v>630</v>
      </c>
      <c r="E21" s="3">
        <v>1092</v>
      </c>
      <c r="F21" s="1" t="str">
        <f>VLOOKUP(D21,Table8[[Name]:[Native]],3,FALSE)</f>
        <v>双湖县</v>
      </c>
      <c r="G21" s="12" t="str">
        <f ca="1">VLOOKUP(F21,Table8[[Native]:[Population4]],5,FALSE)</f>
        <v>那曲市</v>
      </c>
    </row>
    <row r="22" spans="1:7" ht="15.75" thickBot="1" x14ac:dyDescent="0.3">
      <c r="A22" t="s">
        <v>663</v>
      </c>
      <c r="B22" s="1" t="s">
        <v>664</v>
      </c>
      <c r="C22" s="1" t="s">
        <v>7</v>
      </c>
      <c r="D22" s="1" t="s">
        <v>615</v>
      </c>
      <c r="E22" s="3">
        <v>1649</v>
      </c>
      <c r="F22" s="1" t="str">
        <f>VLOOKUP(D22,Table8[[Name]:[Native]],3,FALSE)</f>
        <v>尼玛县</v>
      </c>
      <c r="G22" s="12" t="str">
        <f ca="1">VLOOKUP(F22,Table8[[Native]:[Population4]],5,FALSE)</f>
        <v>那曲市</v>
      </c>
    </row>
    <row r="23" spans="1:7" ht="15.75" thickBot="1" x14ac:dyDescent="0.3">
      <c r="A23" t="s">
        <v>665</v>
      </c>
      <c r="B23" s="1" t="s">
        <v>666</v>
      </c>
      <c r="C23" s="1" t="s">
        <v>7</v>
      </c>
      <c r="D23" s="1" t="s">
        <v>627</v>
      </c>
      <c r="E23" s="3">
        <v>2817</v>
      </c>
      <c r="F23" s="1" t="str">
        <f>VLOOKUP(D23,Table8[[Name]:[Native]],3,FALSE)</f>
        <v>聂荣县</v>
      </c>
      <c r="G23" s="12" t="str">
        <f ca="1">VLOOKUP(F23,Table8[[Native]:[Population4]],5,FALSE)</f>
        <v>那曲市</v>
      </c>
    </row>
    <row r="24" spans="1:7" ht="15.75" thickBot="1" x14ac:dyDescent="0.3">
      <c r="A24" t="s">
        <v>667</v>
      </c>
      <c r="B24" s="1" t="s">
        <v>668</v>
      </c>
      <c r="C24" s="1" t="s">
        <v>7</v>
      </c>
      <c r="D24" s="1" t="s">
        <v>669</v>
      </c>
      <c r="E24" s="3">
        <v>4534</v>
      </c>
      <c r="F24" s="1" t="str">
        <f>VLOOKUP(D24,Table8[[Name]:[Native]],3,FALSE)</f>
        <v>色尼区</v>
      </c>
      <c r="G24" s="12" t="str">
        <f ca="1">VLOOKUP(F24,Table8[[Native]:[Population4]],5,FALSE)</f>
        <v>那曲市</v>
      </c>
    </row>
    <row r="25" spans="1:7" ht="15.75" thickBot="1" x14ac:dyDescent="0.3">
      <c r="A25" t="s">
        <v>670</v>
      </c>
      <c r="B25" s="1" t="s">
        <v>671</v>
      </c>
      <c r="C25" s="1" t="s">
        <v>7</v>
      </c>
      <c r="D25" s="1" t="s">
        <v>669</v>
      </c>
      <c r="E25" s="3">
        <v>8098</v>
      </c>
      <c r="F25" s="1" t="str">
        <f>VLOOKUP(D25,Table8[[Name]:[Native]],3,FALSE)</f>
        <v>色尼区</v>
      </c>
      <c r="G25" s="12" t="str">
        <f ca="1">VLOOKUP(F25,Table8[[Native]:[Population4]],5,FALSE)</f>
        <v>那曲市</v>
      </c>
    </row>
    <row r="26" spans="1:7" ht="15.75" thickBot="1" x14ac:dyDescent="0.3">
      <c r="A26" t="s">
        <v>672</v>
      </c>
      <c r="B26" s="1" t="s">
        <v>673</v>
      </c>
      <c r="C26" s="1" t="s">
        <v>7</v>
      </c>
      <c r="D26" s="1" t="s">
        <v>624</v>
      </c>
      <c r="E26" s="3">
        <v>7025</v>
      </c>
      <c r="F26" s="1" t="str">
        <f>VLOOKUP(D26,Table8[[Name]:[Native]],3,FALSE)</f>
        <v>比如县</v>
      </c>
      <c r="G26" s="12" t="str">
        <f ca="1">VLOOKUP(F26,Table8[[Native]:[Population4]],5,FALSE)</f>
        <v>那曲市</v>
      </c>
    </row>
    <row r="27" spans="1:7" ht="15.75" thickBot="1" x14ac:dyDescent="0.3">
      <c r="A27" t="s">
        <v>395</v>
      </c>
      <c r="B27" s="1" t="s">
        <v>396</v>
      </c>
      <c r="C27" s="1" t="s">
        <v>17</v>
      </c>
      <c r="D27" s="1" t="s">
        <v>636</v>
      </c>
      <c r="E27" s="3">
        <v>3698</v>
      </c>
      <c r="F27" s="1" t="str">
        <f>VLOOKUP(D27,Table8[[Name]:[Native]],3,FALSE)</f>
        <v>班戈县</v>
      </c>
      <c r="G27" s="12" t="str">
        <f ca="1">VLOOKUP(F27,Table8[[Native]:[Population4]],5,FALSE)</f>
        <v>那曲市</v>
      </c>
    </row>
    <row r="28" spans="1:7" ht="15.75" thickBot="1" x14ac:dyDescent="0.3">
      <c r="A28" t="s">
        <v>674</v>
      </c>
      <c r="B28" s="1" t="s">
        <v>31</v>
      </c>
      <c r="C28" s="1" t="s">
        <v>7</v>
      </c>
      <c r="D28" s="1" t="s">
        <v>633</v>
      </c>
      <c r="E28" s="3">
        <v>1685</v>
      </c>
      <c r="F28" s="1" t="str">
        <f>VLOOKUP(D28,Table8[[Name]:[Native]],3,FALSE)</f>
        <v>安多县</v>
      </c>
      <c r="G28" s="12" t="str">
        <f ca="1">VLOOKUP(F28,Table8[[Native]:[Population4]],5,FALSE)</f>
        <v>那曲市</v>
      </c>
    </row>
    <row r="29" spans="1:7" ht="15.75" thickBot="1" x14ac:dyDescent="0.3">
      <c r="A29" t="s">
        <v>30</v>
      </c>
      <c r="B29" s="1" t="s">
        <v>31</v>
      </c>
      <c r="C29" s="1" t="s">
        <v>7</v>
      </c>
      <c r="D29" s="1" t="s">
        <v>630</v>
      </c>
      <c r="E29" s="3">
        <v>2764</v>
      </c>
      <c r="F29" s="1" t="str">
        <f>VLOOKUP(D29,Table8[[Name]:[Native]],3,FALSE)</f>
        <v>双湖县</v>
      </c>
      <c r="G29" s="12" t="str">
        <f ca="1">VLOOKUP(F29,Table8[[Native]:[Population4]],5,FALSE)</f>
        <v>那曲市</v>
      </c>
    </row>
    <row r="30" spans="1:7" ht="15.75" thickBot="1" x14ac:dyDescent="0.3">
      <c r="A30" t="s">
        <v>675</v>
      </c>
      <c r="B30" s="1" t="s">
        <v>676</v>
      </c>
      <c r="C30" s="1" t="s">
        <v>7</v>
      </c>
      <c r="D30" s="1" t="s">
        <v>615</v>
      </c>
      <c r="E30" s="3">
        <v>2081</v>
      </c>
      <c r="F30" s="1" t="str">
        <f>VLOOKUP(D30,Table8[[Name]:[Native]],3,FALSE)</f>
        <v>尼玛县</v>
      </c>
      <c r="G30" s="12" t="str">
        <f ca="1">VLOOKUP(F30,Table8[[Native]:[Population4]],5,FALSE)</f>
        <v>那曲市</v>
      </c>
    </row>
    <row r="31" spans="1:7" ht="15.75" thickBot="1" x14ac:dyDescent="0.3">
      <c r="A31" t="s">
        <v>677</v>
      </c>
      <c r="B31" s="1" t="s">
        <v>678</v>
      </c>
      <c r="C31" s="1" t="s">
        <v>7</v>
      </c>
      <c r="D31" s="1" t="s">
        <v>630</v>
      </c>
      <c r="E31" s="3">
        <v>537</v>
      </c>
      <c r="F31" s="1" t="str">
        <f>VLOOKUP(D31,Table8[[Name]:[Native]],3,FALSE)</f>
        <v>双湖县</v>
      </c>
      <c r="G31" s="12" t="str">
        <f ca="1">VLOOKUP(F31,Table8[[Native]:[Population4]],5,FALSE)</f>
        <v>那曲市</v>
      </c>
    </row>
    <row r="32" spans="1:7" ht="15.75" thickBot="1" x14ac:dyDescent="0.3">
      <c r="A32" t="s">
        <v>679</v>
      </c>
      <c r="B32" s="1" t="s">
        <v>680</v>
      </c>
      <c r="C32" s="1" t="s">
        <v>7</v>
      </c>
      <c r="D32" s="1" t="s">
        <v>654</v>
      </c>
      <c r="E32" s="3">
        <v>4947</v>
      </c>
      <c r="F32" s="1" t="str">
        <f>VLOOKUP(D32,Table8[[Name]:[Native]],3,FALSE)</f>
        <v>索县</v>
      </c>
      <c r="G32" s="12" t="str">
        <f ca="1">VLOOKUP(F32,Table8[[Native]:[Population4]],5,FALSE)</f>
        <v>那曲市</v>
      </c>
    </row>
    <row r="33" spans="1:7" ht="15.75" thickBot="1" x14ac:dyDescent="0.3">
      <c r="A33" t="s">
        <v>681</v>
      </c>
      <c r="B33" s="1" t="s">
        <v>682</v>
      </c>
      <c r="C33" s="1" t="s">
        <v>7</v>
      </c>
      <c r="D33" s="1" t="s">
        <v>654</v>
      </c>
      <c r="E33" s="3">
        <v>2155</v>
      </c>
      <c r="F33" s="1" t="str">
        <f>VLOOKUP(D33,Table8[[Name]:[Native]],3,FALSE)</f>
        <v>索县</v>
      </c>
      <c r="G33" s="12" t="str">
        <f ca="1">VLOOKUP(F33,Table8[[Native]:[Population4]],5,FALSE)</f>
        <v>那曲市</v>
      </c>
    </row>
    <row r="34" spans="1:7" ht="15.75" thickBot="1" x14ac:dyDescent="0.3">
      <c r="A34" t="s">
        <v>683</v>
      </c>
      <c r="B34" s="1" t="s">
        <v>684</v>
      </c>
      <c r="C34" s="1" t="s">
        <v>7</v>
      </c>
      <c r="D34" s="1" t="s">
        <v>633</v>
      </c>
      <c r="E34" s="3">
        <v>1705</v>
      </c>
      <c r="F34" s="1" t="str">
        <f>VLOOKUP(D34,Table8[[Name]:[Native]],3,FALSE)</f>
        <v>安多县</v>
      </c>
      <c r="G34" s="12" t="str">
        <f ca="1">VLOOKUP(F34,Table8[[Native]:[Population4]],5,FALSE)</f>
        <v>那曲市</v>
      </c>
    </row>
    <row r="35" spans="1:7" ht="15.75" thickBot="1" x14ac:dyDescent="0.3">
      <c r="A35" t="s">
        <v>685</v>
      </c>
      <c r="B35" s="1" t="s">
        <v>686</v>
      </c>
      <c r="C35" s="1" t="s">
        <v>7</v>
      </c>
      <c r="D35" s="1" t="s">
        <v>618</v>
      </c>
      <c r="E35" s="3">
        <v>4089</v>
      </c>
      <c r="F35" s="1" t="str">
        <f>VLOOKUP(D35,Table8[[Name]:[Native]],3,FALSE)</f>
        <v>巴青县</v>
      </c>
      <c r="G35" s="12" t="str">
        <f ca="1">VLOOKUP(F35,Table8[[Native]:[Population4]],5,FALSE)</f>
        <v>那曲市</v>
      </c>
    </row>
    <row r="36" spans="1:7" ht="15.75" thickBot="1" x14ac:dyDescent="0.3">
      <c r="A36" t="s">
        <v>687</v>
      </c>
      <c r="B36" s="1" t="s">
        <v>688</v>
      </c>
      <c r="C36" s="1" t="s">
        <v>7</v>
      </c>
      <c r="D36" s="1" t="s">
        <v>621</v>
      </c>
      <c r="E36" s="3">
        <v>2292</v>
      </c>
      <c r="F36" s="1" t="str">
        <f>VLOOKUP(D36,Table8[[Name]:[Native]],3,FALSE)</f>
        <v>嘉黎县</v>
      </c>
      <c r="G36" s="12" t="str">
        <f ca="1">VLOOKUP(F36,Table8[[Native]:[Population4]],5,FALSE)</f>
        <v>那曲市</v>
      </c>
    </row>
    <row r="37" spans="1:7" ht="15.75" thickBot="1" x14ac:dyDescent="0.3">
      <c r="A37" t="s">
        <v>689</v>
      </c>
      <c r="B37" s="1" t="s">
        <v>690</v>
      </c>
      <c r="C37" s="1" t="s">
        <v>7</v>
      </c>
      <c r="D37" s="1" t="s">
        <v>618</v>
      </c>
      <c r="E37" s="3">
        <v>1737</v>
      </c>
      <c r="F37" s="1" t="str">
        <f>VLOOKUP(D37,Table8[[Name]:[Native]],3,FALSE)</f>
        <v>巴青县</v>
      </c>
      <c r="G37" s="12" t="str">
        <f ca="1">VLOOKUP(F37,Table8[[Native]:[Population4]],5,FALSE)</f>
        <v>那曲市</v>
      </c>
    </row>
    <row r="38" spans="1:7" ht="15.75" thickBot="1" x14ac:dyDescent="0.3">
      <c r="A38" t="s">
        <v>691</v>
      </c>
      <c r="B38" s="1" t="s">
        <v>692</v>
      </c>
      <c r="C38" s="1" t="s">
        <v>17</v>
      </c>
      <c r="D38" s="1" t="s">
        <v>669</v>
      </c>
      <c r="E38" s="3">
        <v>3695</v>
      </c>
      <c r="F38" s="1" t="str">
        <f>VLOOKUP(D38,Table8[[Name]:[Native]],3,FALSE)</f>
        <v>色尼区</v>
      </c>
      <c r="G38" s="12" t="str">
        <f ca="1">VLOOKUP(F38,Table8[[Native]:[Population4]],5,FALSE)</f>
        <v>那曲市</v>
      </c>
    </row>
    <row r="39" spans="1:7" ht="15.75" thickBot="1" x14ac:dyDescent="0.3">
      <c r="A39" t="s">
        <v>693</v>
      </c>
      <c r="B39" s="1" t="s">
        <v>694</v>
      </c>
      <c r="C39" s="1" t="s">
        <v>7</v>
      </c>
      <c r="D39" s="1" t="s">
        <v>615</v>
      </c>
      <c r="E39" s="3">
        <v>1871</v>
      </c>
      <c r="F39" s="1" t="str">
        <f>VLOOKUP(D39,Table8[[Name]:[Native]],3,FALSE)</f>
        <v>尼玛县</v>
      </c>
      <c r="G39" s="12" t="str">
        <f ca="1">VLOOKUP(F39,Table8[[Native]:[Population4]],5,FALSE)</f>
        <v>那曲市</v>
      </c>
    </row>
    <row r="40" spans="1:7" ht="15.75" thickBot="1" x14ac:dyDescent="0.3">
      <c r="A40" t="s">
        <v>695</v>
      </c>
      <c r="B40" s="1" t="s">
        <v>696</v>
      </c>
      <c r="C40" s="1" t="s">
        <v>17</v>
      </c>
      <c r="D40" s="1" t="s">
        <v>621</v>
      </c>
      <c r="E40" s="3">
        <v>3455</v>
      </c>
      <c r="F40" s="1" t="str">
        <f>VLOOKUP(D40,Table8[[Name]:[Native]],3,FALSE)</f>
        <v>嘉黎县</v>
      </c>
      <c r="G40" s="12" t="str">
        <f ca="1">VLOOKUP(F40,Table8[[Native]:[Population4]],5,FALSE)</f>
        <v>那曲市</v>
      </c>
    </row>
    <row r="41" spans="1:7" ht="15.75" thickBot="1" x14ac:dyDescent="0.3">
      <c r="A41" t="s">
        <v>551</v>
      </c>
      <c r="B41" s="1" t="s">
        <v>552</v>
      </c>
      <c r="C41" s="1" t="s">
        <v>7</v>
      </c>
      <c r="D41" s="1" t="s">
        <v>654</v>
      </c>
      <c r="E41" s="3">
        <v>3155</v>
      </c>
      <c r="F41" s="1" t="str">
        <f>VLOOKUP(D41,Table8[[Name]:[Native]],3,FALSE)</f>
        <v>索县</v>
      </c>
      <c r="G41" s="12" t="str">
        <f ca="1">VLOOKUP(F41,Table8[[Native]:[Population4]],5,FALSE)</f>
        <v>那曲市</v>
      </c>
    </row>
    <row r="42" spans="1:7" ht="15.75" thickBot="1" x14ac:dyDescent="0.3">
      <c r="A42" t="s">
        <v>697</v>
      </c>
      <c r="B42" s="1" t="s">
        <v>698</v>
      </c>
      <c r="C42" s="1" t="s">
        <v>7</v>
      </c>
      <c r="D42" s="1" t="s">
        <v>618</v>
      </c>
      <c r="E42" s="3">
        <v>5882</v>
      </c>
      <c r="F42" s="1" t="str">
        <f>VLOOKUP(D42,Table8[[Name]:[Native]],3,FALSE)</f>
        <v>巴青县</v>
      </c>
      <c r="G42" s="12" t="str">
        <f ca="1">VLOOKUP(F42,Table8[[Native]:[Population4]],5,FALSE)</f>
        <v>那曲市</v>
      </c>
    </row>
    <row r="43" spans="1:7" ht="15.75" thickBot="1" x14ac:dyDescent="0.3">
      <c r="A43" t="s">
        <v>699</v>
      </c>
      <c r="B43" s="1" t="s">
        <v>700</v>
      </c>
      <c r="C43" s="1" t="s">
        <v>7</v>
      </c>
      <c r="D43" s="1" t="s">
        <v>654</v>
      </c>
      <c r="E43" s="3">
        <v>4983</v>
      </c>
      <c r="F43" s="1" t="str">
        <f>VLOOKUP(D43,Table8[[Name]:[Native]],3,FALSE)</f>
        <v>索县</v>
      </c>
      <c r="G43" s="12" t="str">
        <f ca="1">VLOOKUP(F43,Table8[[Native]:[Population4]],5,FALSE)</f>
        <v>那曲市</v>
      </c>
    </row>
    <row r="44" spans="1:7" ht="15.75" thickBot="1" x14ac:dyDescent="0.3">
      <c r="A44" t="s">
        <v>701</v>
      </c>
      <c r="B44" s="1" t="s">
        <v>702</v>
      </c>
      <c r="C44" s="1" t="s">
        <v>17</v>
      </c>
      <c r="D44" s="1" t="s">
        <v>636</v>
      </c>
      <c r="E44" s="3">
        <v>2926</v>
      </c>
      <c r="F44" s="1" t="str">
        <f>VLOOKUP(D44,Table8[[Name]:[Native]],3,FALSE)</f>
        <v>班戈县</v>
      </c>
      <c r="G44" s="12" t="str">
        <f ca="1">VLOOKUP(F44,Table8[[Native]:[Population4]],5,FALSE)</f>
        <v>那曲市</v>
      </c>
    </row>
    <row r="45" spans="1:7" ht="15.75" thickBot="1" x14ac:dyDescent="0.3">
      <c r="A45" t="s">
        <v>703</v>
      </c>
      <c r="B45" s="1" t="s">
        <v>704</v>
      </c>
      <c r="C45" s="1" t="s">
        <v>7</v>
      </c>
      <c r="D45" s="1" t="s">
        <v>615</v>
      </c>
      <c r="E45" s="3">
        <v>1664</v>
      </c>
      <c r="F45" s="1" t="str">
        <f>VLOOKUP(D45,Table8[[Name]:[Native]],3,FALSE)</f>
        <v>尼玛县</v>
      </c>
      <c r="G45" s="12" t="str">
        <f ca="1">VLOOKUP(F45,Table8[[Native]:[Population4]],5,FALSE)</f>
        <v>那曲市</v>
      </c>
    </row>
    <row r="46" spans="1:7" ht="15.75" thickBot="1" x14ac:dyDescent="0.3">
      <c r="A46" t="s">
        <v>705</v>
      </c>
      <c r="B46" s="1" t="s">
        <v>706</v>
      </c>
      <c r="C46" s="1" t="s">
        <v>7</v>
      </c>
      <c r="D46" s="1" t="s">
        <v>615</v>
      </c>
      <c r="E46" s="3">
        <v>1398</v>
      </c>
      <c r="F46" s="1" t="str">
        <f>VLOOKUP(D46,Table8[[Name]:[Native]],3,FALSE)</f>
        <v>尼玛县</v>
      </c>
      <c r="G46" s="12" t="str">
        <f ca="1">VLOOKUP(F46,Table8[[Native]:[Population4]],5,FALSE)</f>
        <v>那曲市</v>
      </c>
    </row>
    <row r="47" spans="1:7" ht="15.75" thickBot="1" x14ac:dyDescent="0.3">
      <c r="A47" t="s">
        <v>707</v>
      </c>
      <c r="B47" s="1" t="s">
        <v>708</v>
      </c>
      <c r="C47" s="1" t="s">
        <v>7</v>
      </c>
      <c r="D47" s="1" t="s">
        <v>641</v>
      </c>
      <c r="E47" s="3">
        <v>1565</v>
      </c>
      <c r="F47" s="1" t="str">
        <f>VLOOKUP(D47,Table8[[Name]:[Native]],3,FALSE)</f>
        <v>申扎县</v>
      </c>
      <c r="G47" s="12" t="str">
        <f ca="1">VLOOKUP(F47,Table8[[Native]:[Population4]],5,FALSE)</f>
        <v>那曲市</v>
      </c>
    </row>
    <row r="48" spans="1:7" ht="15.75" thickBot="1" x14ac:dyDescent="0.3">
      <c r="A48" t="s">
        <v>709</v>
      </c>
      <c r="B48" s="1" t="s">
        <v>710</v>
      </c>
      <c r="C48" s="1" t="s">
        <v>7</v>
      </c>
      <c r="D48" s="1" t="s">
        <v>669</v>
      </c>
      <c r="E48" s="3">
        <v>4690</v>
      </c>
      <c r="F48" s="1" t="str">
        <f>VLOOKUP(D48,Table8[[Name]:[Native]],3,FALSE)</f>
        <v>色尼区</v>
      </c>
      <c r="G48" s="12" t="str">
        <f ca="1">VLOOKUP(F48,Table8[[Native]:[Population4]],5,FALSE)</f>
        <v>那曲市</v>
      </c>
    </row>
    <row r="49" spans="1:7" ht="15.75" thickBot="1" x14ac:dyDescent="0.3">
      <c r="A49" t="s">
        <v>711</v>
      </c>
      <c r="B49" s="1" t="s">
        <v>712</v>
      </c>
      <c r="C49" s="1" t="s">
        <v>7</v>
      </c>
      <c r="D49" s="1" t="s">
        <v>615</v>
      </c>
      <c r="E49" s="3">
        <v>1902</v>
      </c>
      <c r="F49" s="1" t="str">
        <f>VLOOKUP(D49,Table8[[Name]:[Native]],3,FALSE)</f>
        <v>尼玛县</v>
      </c>
      <c r="G49" s="12" t="str">
        <f ca="1">VLOOKUP(F49,Table8[[Native]:[Population4]],5,FALSE)</f>
        <v>那曲市</v>
      </c>
    </row>
    <row r="50" spans="1:7" ht="15.75" thickBot="1" x14ac:dyDescent="0.3">
      <c r="A50" t="s">
        <v>713</v>
      </c>
      <c r="B50" s="1" t="s">
        <v>714</v>
      </c>
      <c r="C50" s="1" t="s">
        <v>7</v>
      </c>
      <c r="D50" s="1" t="s">
        <v>669</v>
      </c>
      <c r="E50" s="3">
        <v>3127</v>
      </c>
      <c r="F50" s="1" t="str">
        <f>VLOOKUP(D50,Table8[[Name]:[Native]],3,FALSE)</f>
        <v>色尼区</v>
      </c>
      <c r="G50" s="12" t="str">
        <f ca="1">VLOOKUP(F50,Table8[[Native]:[Population4]],5,FALSE)</f>
        <v>那曲市</v>
      </c>
    </row>
    <row r="51" spans="1:7" ht="15.75" thickBot="1" x14ac:dyDescent="0.3">
      <c r="A51" t="s">
        <v>715</v>
      </c>
      <c r="B51" s="1" t="s">
        <v>716</v>
      </c>
      <c r="C51" s="1" t="s">
        <v>17</v>
      </c>
      <c r="D51" s="1" t="s">
        <v>618</v>
      </c>
      <c r="E51" s="3">
        <v>8032</v>
      </c>
      <c r="F51" s="1" t="str">
        <f>VLOOKUP(D51,Table8[[Name]:[Native]],3,FALSE)</f>
        <v>巴青县</v>
      </c>
      <c r="G51" s="12" t="str">
        <f ca="1">VLOOKUP(F51,Table8[[Native]:[Population4]],5,FALSE)</f>
        <v>那曲市</v>
      </c>
    </row>
    <row r="52" spans="1:7" ht="15.75" thickBot="1" x14ac:dyDescent="0.3">
      <c r="A52" t="s">
        <v>717</v>
      </c>
      <c r="B52" s="1" t="s">
        <v>718</v>
      </c>
      <c r="C52" s="1" t="s">
        <v>7</v>
      </c>
      <c r="D52" s="1" t="s">
        <v>624</v>
      </c>
      <c r="E52" s="3">
        <v>3387</v>
      </c>
      <c r="F52" s="1" t="str">
        <f>VLOOKUP(D52,Table8[[Name]:[Native]],3,FALSE)</f>
        <v>比如县</v>
      </c>
      <c r="G52" s="12" t="str">
        <f ca="1">VLOOKUP(F52,Table8[[Native]:[Population4]],5,FALSE)</f>
        <v>那曲市</v>
      </c>
    </row>
    <row r="53" spans="1:7" ht="15.75" thickBot="1" x14ac:dyDescent="0.3">
      <c r="A53" t="s">
        <v>719</v>
      </c>
      <c r="B53" s="1" t="s">
        <v>720</v>
      </c>
      <c r="C53" s="1" t="s">
        <v>7</v>
      </c>
      <c r="D53" s="1" t="s">
        <v>621</v>
      </c>
      <c r="E53" s="3">
        <v>1666</v>
      </c>
      <c r="F53" s="1" t="str">
        <f>VLOOKUP(D53,Table8[[Name]:[Native]],3,FALSE)</f>
        <v>嘉黎县</v>
      </c>
      <c r="G53" s="12" t="str">
        <f ca="1">VLOOKUP(F53,Table8[[Native]:[Population4]],5,FALSE)</f>
        <v>那曲市</v>
      </c>
    </row>
    <row r="54" spans="1:7" ht="15.75" thickBot="1" x14ac:dyDescent="0.3">
      <c r="A54" t="s">
        <v>721</v>
      </c>
      <c r="B54" s="1" t="s">
        <v>722</v>
      </c>
      <c r="C54" s="1" t="s">
        <v>17</v>
      </c>
      <c r="D54" s="1" t="s">
        <v>669</v>
      </c>
      <c r="E54" s="3">
        <v>6572</v>
      </c>
      <c r="F54" s="1" t="str">
        <f>VLOOKUP(D54,Table8[[Name]:[Native]],3,FALSE)</f>
        <v>色尼区</v>
      </c>
      <c r="G54" s="12" t="str">
        <f ca="1">VLOOKUP(F54,Table8[[Native]:[Population4]],5,FALSE)</f>
        <v>那曲市</v>
      </c>
    </row>
    <row r="55" spans="1:7" ht="15.75" thickBot="1" x14ac:dyDescent="0.3">
      <c r="A55" t="s">
        <v>723</v>
      </c>
      <c r="B55" s="1" t="s">
        <v>724</v>
      </c>
      <c r="C55" s="1" t="s">
        <v>7</v>
      </c>
      <c r="D55" s="1" t="s">
        <v>641</v>
      </c>
      <c r="E55" s="3">
        <v>1383</v>
      </c>
      <c r="F55" s="1" t="str">
        <f>VLOOKUP(D55,Table8[[Name]:[Native]],3,FALSE)</f>
        <v>申扎县</v>
      </c>
      <c r="G55" s="12" t="str">
        <f ca="1">VLOOKUP(F55,Table8[[Native]:[Population4]],5,FALSE)</f>
        <v>那曲市</v>
      </c>
    </row>
    <row r="56" spans="1:7" ht="15.75" thickBot="1" x14ac:dyDescent="0.3">
      <c r="A56" t="s">
        <v>725</v>
      </c>
      <c r="B56" s="1" t="s">
        <v>726</v>
      </c>
      <c r="C56" s="1" t="s">
        <v>7</v>
      </c>
      <c r="D56" s="1" t="s">
        <v>621</v>
      </c>
      <c r="E56" s="3">
        <v>4266</v>
      </c>
      <c r="F56" s="1" t="str">
        <f>VLOOKUP(D56,Table8[[Name]:[Native]],3,FALSE)</f>
        <v>嘉黎县</v>
      </c>
      <c r="G56" s="12" t="str">
        <f ca="1">VLOOKUP(F56,Table8[[Native]:[Population4]],5,FALSE)</f>
        <v>那曲市</v>
      </c>
    </row>
    <row r="57" spans="1:7" ht="15.75" thickBot="1" x14ac:dyDescent="0.3">
      <c r="A57" t="s">
        <v>727</v>
      </c>
      <c r="B57" s="1" t="s">
        <v>728</v>
      </c>
      <c r="C57" s="1" t="s">
        <v>7</v>
      </c>
      <c r="D57" s="1" t="s">
        <v>636</v>
      </c>
      <c r="E57" s="3">
        <v>2187</v>
      </c>
      <c r="F57" s="1" t="str">
        <f>VLOOKUP(D57,Table8[[Name]:[Native]],3,FALSE)</f>
        <v>班戈县</v>
      </c>
      <c r="G57" s="12" t="str">
        <f ca="1">VLOOKUP(F57,Table8[[Native]:[Population4]],5,FALSE)</f>
        <v>那曲市</v>
      </c>
    </row>
    <row r="58" spans="1:7" ht="15.75" thickBot="1" x14ac:dyDescent="0.3">
      <c r="A58" t="s">
        <v>729</v>
      </c>
      <c r="B58" s="1" t="s">
        <v>730</v>
      </c>
      <c r="C58" s="1" t="s">
        <v>7</v>
      </c>
      <c r="D58" s="1" t="s">
        <v>633</v>
      </c>
      <c r="E58" s="3">
        <v>2486</v>
      </c>
      <c r="F58" s="1" t="str">
        <f>VLOOKUP(D58,Table8[[Name]:[Native]],3,FALSE)</f>
        <v>安多县</v>
      </c>
      <c r="G58" s="12" t="str">
        <f ca="1">VLOOKUP(F58,Table8[[Native]:[Population4]],5,FALSE)</f>
        <v>那曲市</v>
      </c>
    </row>
    <row r="59" spans="1:7" ht="15.75" thickBot="1" x14ac:dyDescent="0.3">
      <c r="A59" t="s">
        <v>731</v>
      </c>
      <c r="B59" s="1" t="s">
        <v>732</v>
      </c>
      <c r="C59" s="1" t="s">
        <v>7</v>
      </c>
      <c r="D59" s="1" t="s">
        <v>633</v>
      </c>
      <c r="E59" s="3">
        <v>1003</v>
      </c>
      <c r="F59" s="1" t="str">
        <f>VLOOKUP(D59,Table8[[Name]:[Native]],3,FALSE)</f>
        <v>安多县</v>
      </c>
      <c r="G59" s="12" t="str">
        <f ca="1">VLOOKUP(F59,Table8[[Native]:[Population4]],5,FALSE)</f>
        <v>那曲市</v>
      </c>
    </row>
    <row r="60" spans="1:7" ht="15.75" thickBot="1" x14ac:dyDescent="0.3">
      <c r="A60" t="s">
        <v>733</v>
      </c>
      <c r="B60" s="1" t="s">
        <v>734</v>
      </c>
      <c r="C60" s="1" t="s">
        <v>7</v>
      </c>
      <c r="D60" s="1" t="s">
        <v>618</v>
      </c>
      <c r="E60" s="3">
        <v>5915</v>
      </c>
      <c r="F60" s="1" t="str">
        <f>VLOOKUP(D60,Table8[[Name]:[Native]],3,FALSE)</f>
        <v>巴青县</v>
      </c>
      <c r="G60" s="12" t="str">
        <f ca="1">VLOOKUP(F60,Table8[[Native]:[Population4]],5,FALSE)</f>
        <v>那曲市</v>
      </c>
    </row>
    <row r="61" spans="1:7" ht="15.75" thickBot="1" x14ac:dyDescent="0.3">
      <c r="A61" t="s">
        <v>735</v>
      </c>
      <c r="B61" s="1" t="s">
        <v>736</v>
      </c>
      <c r="C61" s="1" t="s">
        <v>7</v>
      </c>
      <c r="D61" s="1" t="s">
        <v>641</v>
      </c>
      <c r="E61" s="3">
        <v>1829</v>
      </c>
      <c r="F61" s="1" t="str">
        <f>VLOOKUP(D61,Table8[[Name]:[Native]],3,FALSE)</f>
        <v>申扎县</v>
      </c>
      <c r="G61" s="12" t="str">
        <f ca="1">VLOOKUP(F61,Table8[[Native]:[Population4]],5,FALSE)</f>
        <v>那曲市</v>
      </c>
    </row>
    <row r="62" spans="1:7" ht="15.75" thickBot="1" x14ac:dyDescent="0.3">
      <c r="A62" t="s">
        <v>737</v>
      </c>
      <c r="B62" s="1" t="s">
        <v>738</v>
      </c>
      <c r="C62" s="1" t="s">
        <v>7</v>
      </c>
      <c r="D62" s="1" t="s">
        <v>636</v>
      </c>
      <c r="E62" s="3">
        <v>4737</v>
      </c>
      <c r="F62" s="1" t="str">
        <f>VLOOKUP(D62,Table8[[Name]:[Native]],3,FALSE)</f>
        <v>班戈县</v>
      </c>
      <c r="G62" s="12" t="str">
        <f ca="1">VLOOKUP(F62,Table8[[Native]:[Population4]],5,FALSE)</f>
        <v>那曲市</v>
      </c>
    </row>
    <row r="63" spans="1:7" ht="15.75" thickBot="1" x14ac:dyDescent="0.3">
      <c r="A63" t="s">
        <v>739</v>
      </c>
      <c r="B63" s="1" t="s">
        <v>740</v>
      </c>
      <c r="C63" s="1" t="s">
        <v>7</v>
      </c>
      <c r="D63" s="1" t="s">
        <v>669</v>
      </c>
      <c r="E63" s="3">
        <v>7898</v>
      </c>
      <c r="F63" s="1" t="str">
        <f>VLOOKUP(D63,Table8[[Name]:[Native]],3,FALSE)</f>
        <v>色尼区</v>
      </c>
      <c r="G63" s="12" t="str">
        <f ca="1">VLOOKUP(F63,Table8[[Native]:[Population4]],5,FALSE)</f>
        <v>那曲市</v>
      </c>
    </row>
    <row r="64" spans="1:7" ht="15.75" thickBot="1" x14ac:dyDescent="0.3">
      <c r="A64" t="s">
        <v>741</v>
      </c>
      <c r="B64" s="1" t="s">
        <v>742</v>
      </c>
      <c r="C64" s="1" t="s">
        <v>17</v>
      </c>
      <c r="D64" s="1" t="s">
        <v>669</v>
      </c>
      <c r="E64" s="3">
        <v>50530</v>
      </c>
      <c r="F64" s="1" t="str">
        <f>VLOOKUP(D64,Table8[[Name]:[Native]],3,FALSE)</f>
        <v>色尼区</v>
      </c>
      <c r="G64" s="12" t="str">
        <f ca="1">VLOOKUP(F64,Table8[[Native]:[Population4]],5,FALSE)</f>
        <v>那曲市</v>
      </c>
    </row>
    <row r="65" spans="1:7" ht="15.75" thickBot="1" x14ac:dyDescent="0.3">
      <c r="A65" t="s">
        <v>743</v>
      </c>
      <c r="B65" s="1" t="s">
        <v>744</v>
      </c>
      <c r="C65" s="1" t="s">
        <v>17</v>
      </c>
      <c r="D65" s="1" t="s">
        <v>627</v>
      </c>
      <c r="E65" s="3">
        <v>4285</v>
      </c>
      <c r="F65" s="1" t="str">
        <f>VLOOKUP(D65,Table8[[Name]:[Native]],3,FALSE)</f>
        <v>聂荣县</v>
      </c>
      <c r="G65" s="12" t="str">
        <f ca="1">VLOOKUP(F65,Table8[[Native]:[Population4]],5,FALSE)</f>
        <v>那曲市</v>
      </c>
    </row>
    <row r="66" spans="1:7" ht="15.75" thickBot="1" x14ac:dyDescent="0.3">
      <c r="A66" t="s">
        <v>745</v>
      </c>
      <c r="B66" s="1" t="s">
        <v>746</v>
      </c>
      <c r="C66" s="1" t="s">
        <v>7</v>
      </c>
      <c r="D66" s="1" t="s">
        <v>669</v>
      </c>
      <c r="E66" s="3">
        <v>4175</v>
      </c>
      <c r="F66" s="1" t="str">
        <f>VLOOKUP(D66,Table8[[Name]:[Native]],3,FALSE)</f>
        <v>色尼区</v>
      </c>
      <c r="G66" s="12" t="str">
        <f ca="1">VLOOKUP(F66,Table8[[Native]:[Population4]],5,FALSE)</f>
        <v>那曲市</v>
      </c>
    </row>
    <row r="67" spans="1:7" ht="15.75" thickBot="1" x14ac:dyDescent="0.3">
      <c r="A67" t="s">
        <v>745</v>
      </c>
      <c r="B67" s="1" t="s">
        <v>746</v>
      </c>
      <c r="C67" s="1" t="s">
        <v>7</v>
      </c>
      <c r="D67" s="1" t="s">
        <v>627</v>
      </c>
      <c r="E67" s="3">
        <v>4480</v>
      </c>
      <c r="F67" s="1" t="str">
        <f>VLOOKUP(D67,Table8[[Name]:[Native]],3,FALSE)</f>
        <v>聂荣县</v>
      </c>
      <c r="G67" s="12" t="str">
        <f ca="1">VLOOKUP(F67,Table8[[Native]:[Population4]],5,FALSE)</f>
        <v>那曲市</v>
      </c>
    </row>
    <row r="68" spans="1:7" ht="15.75" thickBot="1" x14ac:dyDescent="0.3">
      <c r="A68" t="s">
        <v>745</v>
      </c>
      <c r="B68" s="1" t="s">
        <v>746</v>
      </c>
      <c r="C68" s="1" t="s">
        <v>7</v>
      </c>
      <c r="D68" s="1" t="s">
        <v>636</v>
      </c>
      <c r="E68" s="3">
        <v>2342</v>
      </c>
      <c r="F68" s="1" t="str">
        <f>VLOOKUP(D68,Table8[[Name]:[Native]],3,FALSE)</f>
        <v>班戈县</v>
      </c>
      <c r="G68" s="12" t="str">
        <f ca="1">VLOOKUP(F68,Table8[[Native]:[Population4]],5,FALSE)</f>
        <v>那曲市</v>
      </c>
    </row>
    <row r="69" spans="1:7" ht="15.75" thickBot="1" x14ac:dyDescent="0.3">
      <c r="A69" t="s">
        <v>747</v>
      </c>
      <c r="B69" s="1" t="s">
        <v>748</v>
      </c>
      <c r="C69" s="1" t="s">
        <v>17</v>
      </c>
      <c r="D69" s="1" t="s">
        <v>615</v>
      </c>
      <c r="E69" s="3">
        <v>6943</v>
      </c>
      <c r="F69" s="1" t="str">
        <f>VLOOKUP(D69,Table8[[Name]:[Native]],3,FALSE)</f>
        <v>尼玛县</v>
      </c>
      <c r="G69" s="12" t="str">
        <f ca="1">VLOOKUP(F69,Table8[[Native]:[Population4]],5,FALSE)</f>
        <v>那曲市</v>
      </c>
    </row>
    <row r="70" spans="1:7" ht="15.75" thickBot="1" x14ac:dyDescent="0.3">
      <c r="A70" t="s">
        <v>749</v>
      </c>
      <c r="B70" s="1" t="s">
        <v>750</v>
      </c>
      <c r="C70" s="1" t="s">
        <v>7</v>
      </c>
      <c r="D70" s="1" t="s">
        <v>621</v>
      </c>
      <c r="E70" s="3">
        <v>1897</v>
      </c>
      <c r="F70" s="1" t="str">
        <f>VLOOKUP(D70,Table8[[Name]:[Native]],3,FALSE)</f>
        <v>嘉黎县</v>
      </c>
      <c r="G70" s="12" t="str">
        <f ca="1">VLOOKUP(F70,Table8[[Native]:[Population4]],5,FALSE)</f>
        <v>那曲市</v>
      </c>
    </row>
    <row r="71" spans="1:7" ht="15.75" thickBot="1" x14ac:dyDescent="0.3">
      <c r="A71" t="s">
        <v>751</v>
      </c>
      <c r="B71" s="1" t="s">
        <v>752</v>
      </c>
      <c r="C71" s="1" t="s">
        <v>17</v>
      </c>
      <c r="D71" s="1" t="s">
        <v>633</v>
      </c>
      <c r="E71" s="3">
        <v>5963</v>
      </c>
      <c r="F71" s="1" t="str">
        <f>VLOOKUP(D71,Table8[[Name]:[Native]],3,FALSE)</f>
        <v>安多县</v>
      </c>
      <c r="G71" s="12" t="str">
        <f ca="1">VLOOKUP(F71,Table8[[Native]:[Population4]],5,FALSE)</f>
        <v>那曲市</v>
      </c>
    </row>
    <row r="72" spans="1:7" ht="15.75" thickBot="1" x14ac:dyDescent="0.3">
      <c r="A72" t="s">
        <v>753</v>
      </c>
      <c r="B72" s="1" t="s">
        <v>754</v>
      </c>
      <c r="C72" s="1" t="s">
        <v>17</v>
      </c>
      <c r="D72" s="1" t="s">
        <v>636</v>
      </c>
      <c r="E72" s="3">
        <v>6753</v>
      </c>
      <c r="F72" s="1" t="str">
        <f>VLOOKUP(D72,Table8[[Name]:[Native]],3,FALSE)</f>
        <v>班戈县</v>
      </c>
      <c r="G72" s="12" t="str">
        <f ca="1">VLOOKUP(F72,Table8[[Native]:[Population4]],5,FALSE)</f>
        <v>那曲市</v>
      </c>
    </row>
    <row r="73" spans="1:7" ht="15.75" thickBot="1" x14ac:dyDescent="0.3">
      <c r="A73" t="s">
        <v>755</v>
      </c>
      <c r="B73" s="1" t="s">
        <v>756</v>
      </c>
      <c r="C73" s="1" t="s">
        <v>17</v>
      </c>
      <c r="D73" s="1" t="s">
        <v>633</v>
      </c>
      <c r="E73" s="3">
        <v>4461</v>
      </c>
      <c r="F73" s="1" t="str">
        <f>VLOOKUP(D73,Table8[[Name]:[Native]],3,FALSE)</f>
        <v>安多县</v>
      </c>
      <c r="G73" s="12" t="str">
        <f ca="1">VLOOKUP(F73,Table8[[Native]:[Population4]],5,FALSE)</f>
        <v>那曲市</v>
      </c>
    </row>
    <row r="74" spans="1:7" ht="15.75" thickBot="1" x14ac:dyDescent="0.3">
      <c r="A74" t="s">
        <v>757</v>
      </c>
      <c r="B74" s="1" t="s">
        <v>758</v>
      </c>
      <c r="C74" s="1" t="s">
        <v>7</v>
      </c>
      <c r="D74" s="1" t="s">
        <v>624</v>
      </c>
      <c r="E74" s="3">
        <v>1467</v>
      </c>
      <c r="F74" s="1" t="str">
        <f>VLOOKUP(D74,Table8[[Name]:[Native]],3,FALSE)</f>
        <v>比如县</v>
      </c>
      <c r="G74" s="12" t="str">
        <f ca="1">VLOOKUP(F74,Table8[[Native]:[Population4]],5,FALSE)</f>
        <v>那曲市</v>
      </c>
    </row>
    <row r="75" spans="1:7" ht="15.75" thickBot="1" x14ac:dyDescent="0.3">
      <c r="A75" t="s">
        <v>759</v>
      </c>
      <c r="B75" s="1" t="s">
        <v>760</v>
      </c>
      <c r="C75" s="1" t="s">
        <v>7</v>
      </c>
      <c r="D75" s="1" t="s">
        <v>636</v>
      </c>
      <c r="E75" s="3">
        <v>3792</v>
      </c>
      <c r="F75" s="1" t="str">
        <f>VLOOKUP(D75,Table8[[Name]:[Native]],3,FALSE)</f>
        <v>班戈县</v>
      </c>
      <c r="G75" s="12" t="str">
        <f ca="1">VLOOKUP(F75,Table8[[Native]:[Population4]],5,FALSE)</f>
        <v>那曲市</v>
      </c>
    </row>
    <row r="76" spans="1:7" ht="15.75" thickBot="1" x14ac:dyDescent="0.3">
      <c r="A76" t="s">
        <v>761</v>
      </c>
      <c r="B76" s="1" t="s">
        <v>762</v>
      </c>
      <c r="C76" s="1" t="s">
        <v>7</v>
      </c>
      <c r="D76" s="1" t="s">
        <v>654</v>
      </c>
      <c r="E76" s="3">
        <v>2566</v>
      </c>
      <c r="F76" s="1" t="str">
        <f>VLOOKUP(D76,Table8[[Name]:[Native]],3,FALSE)</f>
        <v>索县</v>
      </c>
      <c r="G76" s="12" t="str">
        <f ca="1">VLOOKUP(F76,Table8[[Native]:[Population4]],5,FALSE)</f>
        <v>那曲市</v>
      </c>
    </row>
    <row r="77" spans="1:7" ht="15.75" thickBot="1" x14ac:dyDescent="0.3">
      <c r="A77" t="s">
        <v>763</v>
      </c>
      <c r="B77" s="1" t="s">
        <v>764</v>
      </c>
      <c r="C77" s="1" t="s">
        <v>17</v>
      </c>
      <c r="D77" s="1" t="s">
        <v>654</v>
      </c>
      <c r="E77" s="3">
        <v>7214</v>
      </c>
      <c r="F77" s="1" t="str">
        <f>VLOOKUP(D77,Table8[[Name]:[Native]],3,FALSE)</f>
        <v>索县</v>
      </c>
      <c r="G77" s="12" t="str">
        <f ca="1">VLOOKUP(F77,Table8[[Native]:[Population4]],5,FALSE)</f>
        <v>那曲市</v>
      </c>
    </row>
    <row r="78" spans="1:7" ht="15.75" thickBot="1" x14ac:dyDescent="0.3">
      <c r="A78" t="s">
        <v>765</v>
      </c>
      <c r="B78" s="1" t="s">
        <v>766</v>
      </c>
      <c r="C78" s="1" t="s">
        <v>7</v>
      </c>
      <c r="D78" s="1" t="s">
        <v>621</v>
      </c>
      <c r="E78" s="3">
        <v>3161</v>
      </c>
      <c r="F78" s="1" t="str">
        <f>VLOOKUP(D78,Table8[[Name]:[Native]],3,FALSE)</f>
        <v>嘉黎县</v>
      </c>
      <c r="G78" s="12" t="str">
        <f ca="1">VLOOKUP(F78,Table8[[Native]:[Population4]],5,FALSE)</f>
        <v>那曲市</v>
      </c>
    </row>
    <row r="79" spans="1:7" ht="15.75" thickBot="1" x14ac:dyDescent="0.3">
      <c r="A79" t="s">
        <v>767</v>
      </c>
      <c r="B79" s="1" t="s">
        <v>768</v>
      </c>
      <c r="C79" s="1" t="s">
        <v>7</v>
      </c>
      <c r="D79" s="1" t="s">
        <v>615</v>
      </c>
      <c r="E79" s="3">
        <v>944</v>
      </c>
      <c r="F79" s="1" t="str">
        <f>VLOOKUP(D79,Table8[[Name]:[Native]],3,FALSE)</f>
        <v>尼玛县</v>
      </c>
      <c r="G79" s="12" t="str">
        <f ca="1">VLOOKUP(F79,Table8[[Native]:[Population4]],5,FALSE)</f>
        <v>那曲市</v>
      </c>
    </row>
    <row r="80" spans="1:7" ht="15.75" thickBot="1" x14ac:dyDescent="0.3">
      <c r="A80" t="s">
        <v>769</v>
      </c>
      <c r="B80" s="1" t="s">
        <v>770</v>
      </c>
      <c r="C80" s="1" t="s">
        <v>7</v>
      </c>
      <c r="D80" s="1" t="s">
        <v>654</v>
      </c>
      <c r="E80" s="3">
        <v>2695</v>
      </c>
      <c r="F80" s="1" t="str">
        <f>VLOOKUP(D80,Table8[[Name]:[Native]],3,FALSE)</f>
        <v>索县</v>
      </c>
      <c r="G80" s="12" t="str">
        <f ca="1">VLOOKUP(F80,Table8[[Native]:[Population4]],5,FALSE)</f>
        <v>那曲市</v>
      </c>
    </row>
    <row r="81" spans="1:7" ht="15.75" thickBot="1" x14ac:dyDescent="0.3">
      <c r="A81" t="s">
        <v>771</v>
      </c>
      <c r="B81" s="1" t="s">
        <v>772</v>
      </c>
      <c r="C81" s="1" t="s">
        <v>7</v>
      </c>
      <c r="D81" s="1" t="s">
        <v>627</v>
      </c>
      <c r="E81" s="3">
        <v>1835</v>
      </c>
      <c r="F81" s="1" t="str">
        <f>VLOOKUP(D81,Table8[[Name]:[Native]],3,FALSE)</f>
        <v>聂荣县</v>
      </c>
      <c r="G81" s="12" t="str">
        <f ca="1">VLOOKUP(F81,Table8[[Native]:[Population4]],5,FALSE)</f>
        <v>那曲市</v>
      </c>
    </row>
    <row r="82" spans="1:7" ht="15.75" thickBot="1" x14ac:dyDescent="0.3">
      <c r="A82" t="s">
        <v>773</v>
      </c>
      <c r="B82" s="1" t="s">
        <v>774</v>
      </c>
      <c r="C82" s="1" t="s">
        <v>7</v>
      </c>
      <c r="D82" s="1" t="s">
        <v>627</v>
      </c>
      <c r="E82" s="3">
        <v>5142</v>
      </c>
      <c r="F82" s="1" t="str">
        <f>VLOOKUP(D82,Table8[[Name]:[Native]],3,FALSE)</f>
        <v>聂荣县</v>
      </c>
      <c r="G82" s="12" t="str">
        <f ca="1">VLOOKUP(F82,Table8[[Native]:[Population4]],5,FALSE)</f>
        <v>那曲市</v>
      </c>
    </row>
    <row r="83" spans="1:7" ht="15.75" thickBot="1" x14ac:dyDescent="0.3">
      <c r="A83" t="s">
        <v>775</v>
      </c>
      <c r="B83" s="1" t="s">
        <v>776</v>
      </c>
      <c r="C83" s="1" t="s">
        <v>7</v>
      </c>
      <c r="D83" s="1" t="s">
        <v>633</v>
      </c>
      <c r="E83" s="3">
        <v>943</v>
      </c>
      <c r="F83" s="1" t="str">
        <f>VLOOKUP(D83,Table8[[Name]:[Native]],3,FALSE)</f>
        <v>安多县</v>
      </c>
      <c r="G83" s="12" t="str">
        <f ca="1">VLOOKUP(F83,Table8[[Native]:[Population4]],5,FALSE)</f>
        <v>那曲市</v>
      </c>
    </row>
    <row r="84" spans="1:7" ht="15.75" thickBot="1" x14ac:dyDescent="0.3">
      <c r="A84" t="s">
        <v>777</v>
      </c>
      <c r="B84" s="1" t="s">
        <v>778</v>
      </c>
      <c r="C84" s="1" t="s">
        <v>7</v>
      </c>
      <c r="D84" s="1" t="s">
        <v>669</v>
      </c>
      <c r="E84" s="3">
        <v>4047</v>
      </c>
      <c r="F84" s="1" t="str">
        <f>VLOOKUP(D84,Table8[[Name]:[Native]],3,FALSE)</f>
        <v>色尼区</v>
      </c>
      <c r="G84" s="12" t="str">
        <f ca="1">VLOOKUP(F84,Table8[[Native]:[Population4]],5,FALSE)</f>
        <v>那曲市</v>
      </c>
    </row>
    <row r="85" spans="1:7" ht="15.75" thickBot="1" x14ac:dyDescent="0.3">
      <c r="A85" t="s">
        <v>779</v>
      </c>
      <c r="B85" s="1" t="s">
        <v>780</v>
      </c>
      <c r="C85" s="1" t="s">
        <v>7</v>
      </c>
      <c r="D85" s="1" t="s">
        <v>615</v>
      </c>
      <c r="E85" s="3">
        <v>1691</v>
      </c>
      <c r="F85" s="1" t="str">
        <f>VLOOKUP(D85,Table8[[Name]:[Native]],3,FALSE)</f>
        <v>尼玛县</v>
      </c>
      <c r="G85" s="12" t="str">
        <f ca="1">VLOOKUP(F85,Table8[[Native]:[Population4]],5,FALSE)</f>
        <v>那曲市</v>
      </c>
    </row>
    <row r="86" spans="1:7" ht="15.75" thickBot="1" x14ac:dyDescent="0.3">
      <c r="A86" t="s">
        <v>781</v>
      </c>
      <c r="B86" s="1" t="s">
        <v>782</v>
      </c>
      <c r="C86" s="1" t="s">
        <v>17</v>
      </c>
      <c r="D86" s="1" t="s">
        <v>641</v>
      </c>
      <c r="E86" s="3">
        <v>4296</v>
      </c>
      <c r="F86" s="1" t="str">
        <f>VLOOKUP(D86,Table8[[Name]:[Native]],3,FALSE)</f>
        <v>申扎县</v>
      </c>
      <c r="G86" s="12" t="str">
        <f ca="1">VLOOKUP(F86,Table8[[Native]:[Population4]],5,FALSE)</f>
        <v>那曲市</v>
      </c>
    </row>
    <row r="87" spans="1:7" ht="15.75" thickBot="1" x14ac:dyDescent="0.3">
      <c r="A87" t="s">
        <v>783</v>
      </c>
      <c r="B87" s="1" t="s">
        <v>784</v>
      </c>
      <c r="C87" s="1" t="s">
        <v>7</v>
      </c>
      <c r="D87" s="1" t="s">
        <v>627</v>
      </c>
      <c r="E87" s="3">
        <v>1841</v>
      </c>
      <c r="F87" s="1" t="str">
        <f>VLOOKUP(D87,Table8[[Name]:[Native]],3,FALSE)</f>
        <v>聂荣县</v>
      </c>
      <c r="G87" s="12" t="str">
        <f ca="1">VLOOKUP(F87,Table8[[Native]:[Population4]],5,FALSE)</f>
        <v>那曲市</v>
      </c>
    </row>
    <row r="88" spans="1:7" ht="15.75" thickBot="1" x14ac:dyDescent="0.3">
      <c r="A88" t="s">
        <v>785</v>
      </c>
      <c r="B88" s="1" t="s">
        <v>786</v>
      </c>
      <c r="C88" s="1" t="s">
        <v>7</v>
      </c>
      <c r="D88" s="1" t="s">
        <v>641</v>
      </c>
      <c r="E88" s="3">
        <v>3405</v>
      </c>
      <c r="F88" s="1" t="str">
        <f>VLOOKUP(D88,Table8[[Name]:[Native]],3,FALSE)</f>
        <v>申扎县</v>
      </c>
      <c r="G88" s="12" t="str">
        <f ca="1">VLOOKUP(F88,Table8[[Native]:[Population4]],5,FALSE)</f>
        <v>那曲市</v>
      </c>
    </row>
    <row r="89" spans="1:7" ht="15.75" thickBot="1" x14ac:dyDescent="0.3">
      <c r="A89" t="s">
        <v>787</v>
      </c>
      <c r="B89" s="1" t="s">
        <v>788</v>
      </c>
      <c r="C89" s="1" t="s">
        <v>7</v>
      </c>
      <c r="D89" s="1" t="s">
        <v>633</v>
      </c>
      <c r="E89" s="3">
        <v>1143</v>
      </c>
      <c r="F89" s="1" t="str">
        <f>VLOOKUP(D89,Table8[[Name]:[Native]],3,FALSE)</f>
        <v>安多县</v>
      </c>
      <c r="G89" s="12" t="str">
        <f ca="1">VLOOKUP(F89,Table8[[Native]:[Population4]],5,FALSE)</f>
        <v>那曲市</v>
      </c>
    </row>
    <row r="90" spans="1:7" ht="15.75" thickBot="1" x14ac:dyDescent="0.3">
      <c r="A90" t="s">
        <v>789</v>
      </c>
      <c r="B90" s="1" t="s">
        <v>790</v>
      </c>
      <c r="C90" s="1" t="s">
        <v>7</v>
      </c>
      <c r="D90" s="1" t="s">
        <v>615</v>
      </c>
      <c r="E90" s="3">
        <v>1850</v>
      </c>
      <c r="F90" s="1" t="str">
        <f>VLOOKUP(D90,Table8[[Name]:[Native]],3,FALSE)</f>
        <v>尼玛县</v>
      </c>
      <c r="G90" s="12" t="str">
        <f ca="1">VLOOKUP(F90,Table8[[Native]:[Population4]],5,FALSE)</f>
        <v>那曲市</v>
      </c>
    </row>
    <row r="91" spans="1:7" ht="15.75" thickBot="1" x14ac:dyDescent="0.3">
      <c r="A91" t="s">
        <v>791</v>
      </c>
      <c r="B91" s="1" t="s">
        <v>792</v>
      </c>
      <c r="C91" s="1" t="s">
        <v>7</v>
      </c>
      <c r="D91" s="1" t="s">
        <v>641</v>
      </c>
      <c r="E91" s="3">
        <v>2330</v>
      </c>
      <c r="F91" s="1" t="str">
        <f>VLOOKUP(D91,Table8[[Name]:[Native]],3,FALSE)</f>
        <v>申扎县</v>
      </c>
      <c r="G91" s="12" t="str">
        <f ca="1">VLOOKUP(F91,Table8[[Native]:[Population4]],5,FALSE)</f>
        <v>那曲市</v>
      </c>
    </row>
    <row r="92" spans="1:7" ht="15.75" thickBot="1" x14ac:dyDescent="0.3">
      <c r="A92" t="s">
        <v>793</v>
      </c>
      <c r="B92" s="1" t="s">
        <v>794</v>
      </c>
      <c r="C92" s="1" t="s">
        <v>7</v>
      </c>
      <c r="D92" s="1" t="s">
        <v>621</v>
      </c>
      <c r="E92" s="3">
        <v>4178</v>
      </c>
      <c r="F92" s="1" t="str">
        <f>VLOOKUP(D92,Table8[[Name]:[Native]],3,FALSE)</f>
        <v>嘉黎县</v>
      </c>
      <c r="G92" s="12" t="str">
        <f ca="1">VLOOKUP(F92,Table8[[Native]:[Population4]],5,FALSE)</f>
        <v>那曲市</v>
      </c>
    </row>
    <row r="93" spans="1:7" ht="15.75" thickBot="1" x14ac:dyDescent="0.3">
      <c r="A93" t="s">
        <v>795</v>
      </c>
      <c r="B93" s="1" t="s">
        <v>796</v>
      </c>
      <c r="C93" s="1" t="s">
        <v>7</v>
      </c>
      <c r="D93" s="1" t="s">
        <v>669</v>
      </c>
      <c r="E93" s="3">
        <v>6402</v>
      </c>
      <c r="F93" s="1" t="str">
        <f>VLOOKUP(D93,Table8[[Name]:[Native]],3,FALSE)</f>
        <v>色尼区</v>
      </c>
      <c r="G93" s="12" t="str">
        <f ca="1">VLOOKUP(F93,Table8[[Native]:[Population4]],5,FALSE)</f>
        <v>那曲市</v>
      </c>
    </row>
    <row r="94" spans="1:7" ht="15.75" thickBot="1" x14ac:dyDescent="0.3">
      <c r="A94" t="s">
        <v>797</v>
      </c>
      <c r="B94" s="1" t="s">
        <v>798</v>
      </c>
      <c r="C94" s="1" t="s">
        <v>7</v>
      </c>
      <c r="D94" s="1" t="s">
        <v>624</v>
      </c>
      <c r="E94" s="3">
        <v>5144</v>
      </c>
      <c r="F94" s="1" t="str">
        <f>VLOOKUP(D94,Table8[[Name]:[Native]],3,FALSE)</f>
        <v>比如县</v>
      </c>
      <c r="G94" s="12" t="str">
        <f ca="1">VLOOKUP(F94,Table8[[Native]:[Population4]],5,FALSE)</f>
        <v>那曲市</v>
      </c>
    </row>
    <row r="95" spans="1:7" ht="15.75" thickBot="1" x14ac:dyDescent="0.3">
      <c r="A95" t="s">
        <v>799</v>
      </c>
      <c r="B95" s="1" t="s">
        <v>800</v>
      </c>
      <c r="C95" s="1" t="s">
        <v>7</v>
      </c>
      <c r="D95" s="1" t="s">
        <v>627</v>
      </c>
      <c r="E95" s="3">
        <v>3383</v>
      </c>
      <c r="F95" s="1" t="str">
        <f>VLOOKUP(D95,Table8[[Name]:[Native]],3,FALSE)</f>
        <v>聂荣县</v>
      </c>
      <c r="G95" s="12" t="str">
        <f ca="1">VLOOKUP(F95,Table8[[Native]:[Population4]],5,FALSE)</f>
        <v>那曲市</v>
      </c>
    </row>
    <row r="96" spans="1:7" ht="15.75" thickBot="1" x14ac:dyDescent="0.3">
      <c r="A96" t="s">
        <v>801</v>
      </c>
      <c r="B96" s="1" t="s">
        <v>802</v>
      </c>
      <c r="C96" s="1" t="s">
        <v>17</v>
      </c>
      <c r="D96" s="1" t="s">
        <v>624</v>
      </c>
      <c r="E96" s="3">
        <v>11478</v>
      </c>
      <c r="F96" s="1" t="str">
        <f>VLOOKUP(D96,Table8[[Name]:[Native]],3,FALSE)</f>
        <v>比如县</v>
      </c>
      <c r="G96" s="12" t="str">
        <f ca="1">VLOOKUP(F96,Table8[[Native]:[Population4]],5,FALSE)</f>
        <v>那曲市</v>
      </c>
    </row>
    <row r="97" spans="1:7" ht="15.75" thickBot="1" x14ac:dyDescent="0.3">
      <c r="A97" t="s">
        <v>803</v>
      </c>
      <c r="B97" s="1" t="s">
        <v>804</v>
      </c>
      <c r="C97" s="1" t="s">
        <v>7</v>
      </c>
      <c r="D97" s="1" t="s">
        <v>654</v>
      </c>
      <c r="E97" s="3">
        <v>3130</v>
      </c>
      <c r="F97" s="1" t="str">
        <f>VLOOKUP(D97,Table8[[Name]:[Native]],3,FALSE)</f>
        <v>索县</v>
      </c>
      <c r="G97" s="12" t="str">
        <f ca="1">VLOOKUP(F97,Table8[[Native]:[Population4]],5,FALSE)</f>
        <v>那曲市</v>
      </c>
    </row>
    <row r="98" spans="1:7" ht="15.75" thickBot="1" x14ac:dyDescent="0.3">
      <c r="A98" t="s">
        <v>805</v>
      </c>
      <c r="B98" s="1" t="s">
        <v>806</v>
      </c>
      <c r="C98" s="1" t="s">
        <v>7</v>
      </c>
      <c r="D98" s="1" t="s">
        <v>630</v>
      </c>
      <c r="E98" s="3">
        <v>2238</v>
      </c>
      <c r="F98" s="1" t="str">
        <f>VLOOKUP(D98,Table8[[Name]:[Native]],3,FALSE)</f>
        <v>双湖县</v>
      </c>
      <c r="G98" s="12" t="str">
        <f ca="1">VLOOKUP(F98,Table8[[Native]:[Population4]],5,FALSE)</f>
        <v>那曲市</v>
      </c>
    </row>
    <row r="99" spans="1:7" ht="15.75" thickBot="1" x14ac:dyDescent="0.3">
      <c r="A99" t="s">
        <v>807</v>
      </c>
      <c r="B99" s="1" t="s">
        <v>808</v>
      </c>
      <c r="C99" s="1" t="s">
        <v>7</v>
      </c>
      <c r="D99" s="1" t="s">
        <v>636</v>
      </c>
      <c r="E99" s="3">
        <v>3703</v>
      </c>
      <c r="F99" s="1" t="str">
        <f>VLOOKUP(D99,Table8[[Name]:[Native]],3,FALSE)</f>
        <v>班戈县</v>
      </c>
      <c r="G99" s="12" t="str">
        <f ca="1">VLOOKUP(F99,Table8[[Native]:[Population4]],5,FALSE)</f>
        <v>那曲市</v>
      </c>
    </row>
    <row r="100" spans="1:7" ht="15.75" thickBot="1" x14ac:dyDescent="0.3">
      <c r="A100" t="s">
        <v>809</v>
      </c>
      <c r="B100" s="1" t="s">
        <v>810</v>
      </c>
      <c r="C100" s="1" t="s">
        <v>17</v>
      </c>
      <c r="D100" s="1" t="s">
        <v>641</v>
      </c>
      <c r="E100" s="3">
        <v>3437</v>
      </c>
      <c r="F100" s="1" t="str">
        <f>VLOOKUP(D100,Table8[[Name]:[Native]],3,FALSE)</f>
        <v>申扎县</v>
      </c>
      <c r="G100" s="12" t="str">
        <f ca="1">VLOOKUP(F100,Table8[[Native]:[Population4]],5,FALSE)</f>
        <v>那曲市</v>
      </c>
    </row>
    <row r="101" spans="1:7" ht="15.75" thickBot="1" x14ac:dyDescent="0.3">
      <c r="A101" t="s">
        <v>811</v>
      </c>
      <c r="B101" s="1" t="s">
        <v>812</v>
      </c>
      <c r="C101" s="1" t="s">
        <v>17</v>
      </c>
      <c r="D101" s="1" t="s">
        <v>618</v>
      </c>
      <c r="E101" s="3">
        <v>4802</v>
      </c>
      <c r="F101" s="1" t="str">
        <f>VLOOKUP(D101,Table8[[Name]:[Native]],3,FALSE)</f>
        <v>巴青县</v>
      </c>
      <c r="G101" s="12" t="str">
        <f ca="1">VLOOKUP(F101,Table8[[Native]:[Population4]],5,FALSE)</f>
        <v>那曲市</v>
      </c>
    </row>
    <row r="102" spans="1:7" ht="15.75" thickBot="1" x14ac:dyDescent="0.3">
      <c r="A102" t="s">
        <v>813</v>
      </c>
      <c r="B102" s="1" t="s">
        <v>814</v>
      </c>
      <c r="C102" s="1" t="s">
        <v>17</v>
      </c>
      <c r="D102" s="1" t="s">
        <v>654</v>
      </c>
      <c r="E102" s="3">
        <v>9785</v>
      </c>
      <c r="F102" s="1" t="str">
        <f>VLOOKUP(D102,Table8[[Name]:[Native]],3,FALSE)</f>
        <v>索县</v>
      </c>
      <c r="G102" s="12" t="str">
        <f ca="1">VLOOKUP(F102,Table8[[Native]:[Population4]],5,FALSE)</f>
        <v>那曲市</v>
      </c>
    </row>
    <row r="103" spans="1:7" ht="15.75" thickBot="1" x14ac:dyDescent="0.3">
      <c r="A103" t="s">
        <v>815</v>
      </c>
      <c r="B103" s="1" t="s">
        <v>816</v>
      </c>
      <c r="C103" s="1" t="s">
        <v>7</v>
      </c>
      <c r="D103" s="1" t="s">
        <v>624</v>
      </c>
      <c r="E103" s="3">
        <v>5307</v>
      </c>
      <c r="F103" s="1" t="str">
        <f>VLOOKUP(D103,Table8[[Name]:[Native]],3,FALSE)</f>
        <v>比如县</v>
      </c>
      <c r="G103" s="12" t="str">
        <f ca="1">VLOOKUP(F103,Table8[[Native]:[Population4]],5,FALSE)</f>
        <v>那曲市</v>
      </c>
    </row>
    <row r="104" spans="1:7" ht="15.75" thickBot="1" x14ac:dyDescent="0.3">
      <c r="A104" t="s">
        <v>817</v>
      </c>
      <c r="B104" s="1" t="s">
        <v>818</v>
      </c>
      <c r="C104" s="1" t="s">
        <v>17</v>
      </c>
      <c r="D104" s="1" t="s">
        <v>633</v>
      </c>
      <c r="E104" s="3">
        <v>2876</v>
      </c>
      <c r="F104" s="1" t="str">
        <f>VLOOKUP(D104,Table8[[Name]:[Native]],3,FALSE)</f>
        <v>安多县</v>
      </c>
      <c r="G104" s="12" t="str">
        <f ca="1">VLOOKUP(F104,Table8[[Native]:[Population4]],5,FALSE)</f>
        <v>那曲市</v>
      </c>
    </row>
    <row r="105" spans="1:7" ht="15.75" thickBot="1" x14ac:dyDescent="0.3">
      <c r="A105" t="s">
        <v>819</v>
      </c>
      <c r="B105" s="1" t="s">
        <v>820</v>
      </c>
      <c r="C105" s="1" t="s">
        <v>7</v>
      </c>
      <c r="D105" s="1" t="s">
        <v>630</v>
      </c>
      <c r="E105" s="3">
        <v>1051</v>
      </c>
      <c r="F105" s="1" t="str">
        <f>VLOOKUP(D105,Table8[[Name]:[Native]],3,FALSE)</f>
        <v>双湖县</v>
      </c>
      <c r="G105" s="12" t="str">
        <f ca="1">VLOOKUP(F105,Table8[[Native]:[Population4]],5,FALSE)</f>
        <v>那曲市</v>
      </c>
    </row>
    <row r="106" spans="1:7" ht="15.75" thickBot="1" x14ac:dyDescent="0.3">
      <c r="A106" t="s">
        <v>821</v>
      </c>
      <c r="B106" s="1" t="s">
        <v>822</v>
      </c>
      <c r="C106" s="1" t="s">
        <v>7</v>
      </c>
      <c r="D106" s="1" t="s">
        <v>627</v>
      </c>
      <c r="E106" s="3">
        <v>1891</v>
      </c>
      <c r="F106" s="1" t="str">
        <f>VLOOKUP(D106,Table8[[Name]:[Native]],3,FALSE)</f>
        <v>聂荣县</v>
      </c>
      <c r="G106" s="12" t="str">
        <f ca="1">VLOOKUP(F106,Table8[[Native]:[Population4]],5,FALSE)</f>
        <v>那曲市</v>
      </c>
    </row>
    <row r="107" spans="1:7" ht="15.75" thickBot="1" x14ac:dyDescent="0.3">
      <c r="A107" t="s">
        <v>823</v>
      </c>
      <c r="B107" s="1" t="s">
        <v>824</v>
      </c>
      <c r="C107" s="1" t="s">
        <v>7</v>
      </c>
      <c r="D107" s="1" t="s">
        <v>669</v>
      </c>
      <c r="E107" s="3">
        <v>5013</v>
      </c>
      <c r="F107" s="1" t="str">
        <f>VLOOKUP(D107,Table8[[Name]:[Native]],3,FALSE)</f>
        <v>色尼区</v>
      </c>
      <c r="G107" s="12" t="str">
        <f ca="1">VLOOKUP(F107,Table8[[Native]:[Population4]],5,FALSE)</f>
        <v>那曲市</v>
      </c>
    </row>
    <row r="108" spans="1:7" ht="15.75" thickBot="1" x14ac:dyDescent="0.3">
      <c r="A108" t="s">
        <v>825</v>
      </c>
      <c r="B108" s="1" t="s">
        <v>826</v>
      </c>
      <c r="C108" s="1" t="s">
        <v>7</v>
      </c>
      <c r="D108" s="1" t="s">
        <v>621</v>
      </c>
      <c r="E108" s="3">
        <v>1886</v>
      </c>
      <c r="F108" s="1" t="str">
        <f>VLOOKUP(D108,Table8[[Name]:[Native]],3,FALSE)</f>
        <v>嘉黎县</v>
      </c>
      <c r="G108" s="12" t="str">
        <f ca="1">VLOOKUP(F108,Table8[[Native]:[Population4]],5,FALSE)</f>
        <v>那曲市</v>
      </c>
    </row>
    <row r="109" spans="1:7" ht="15.75" thickBot="1" x14ac:dyDescent="0.3">
      <c r="A109" t="s">
        <v>827</v>
      </c>
      <c r="B109" s="1" t="s">
        <v>828</v>
      </c>
      <c r="C109" s="1" t="s">
        <v>17</v>
      </c>
      <c r="D109" s="1" t="s">
        <v>618</v>
      </c>
      <c r="E109" s="3">
        <v>9375</v>
      </c>
      <c r="F109" s="1" t="str">
        <f>VLOOKUP(D109,Table8[[Name]:[Native]],3,FALSE)</f>
        <v>巴青县</v>
      </c>
      <c r="G109" s="12" t="str">
        <f ca="1">VLOOKUP(F109,Table8[[Native]:[Population4]],5,FALSE)</f>
        <v>那曲市</v>
      </c>
    </row>
    <row r="110" spans="1:7" ht="15.75" thickBot="1" x14ac:dyDescent="0.3">
      <c r="A110" t="s">
        <v>829</v>
      </c>
      <c r="B110" s="1" t="s">
        <v>830</v>
      </c>
      <c r="C110" s="1" t="s">
        <v>7</v>
      </c>
      <c r="D110" s="1" t="s">
        <v>624</v>
      </c>
      <c r="E110" s="3">
        <v>2674</v>
      </c>
      <c r="F110" s="1" t="str">
        <f>VLOOKUP(D110,Table8[[Name]:[Native]],3,FALSE)</f>
        <v>比如县</v>
      </c>
      <c r="G110" s="12" t="str">
        <f ca="1">VLOOKUP(F110,Table8[[Native]:[Population4]],5,FALSE)</f>
        <v>那曲市</v>
      </c>
    </row>
    <row r="111" spans="1:7" ht="15.75" thickBot="1" x14ac:dyDescent="0.3">
      <c r="A111" t="s">
        <v>831</v>
      </c>
      <c r="B111" s="1" t="s">
        <v>832</v>
      </c>
      <c r="C111" s="1" t="s">
        <v>7</v>
      </c>
      <c r="D111" s="1" t="s">
        <v>633</v>
      </c>
      <c r="E111" s="3">
        <v>1109</v>
      </c>
      <c r="F111" s="1" t="str">
        <f>VLOOKUP(D111,Table8[[Name]:[Native]],3,FALSE)</f>
        <v>安多县</v>
      </c>
      <c r="G111" s="12" t="str">
        <f ca="1">VLOOKUP(F111,Table8[[Native]:[Population4]],5,FALSE)</f>
        <v>那曲市</v>
      </c>
    </row>
    <row r="112" spans="1:7" ht="15.75" thickBot="1" x14ac:dyDescent="0.3">
      <c r="A112" t="s">
        <v>833</v>
      </c>
      <c r="B112" s="1" t="s">
        <v>834</v>
      </c>
      <c r="C112" s="1" t="s">
        <v>17</v>
      </c>
      <c r="D112" s="1" t="s">
        <v>633</v>
      </c>
      <c r="E112" s="3">
        <v>8507</v>
      </c>
      <c r="F112" s="1" t="str">
        <f>VLOOKUP(D112,Table8[[Name]:[Native]],3,FALSE)</f>
        <v>安多县</v>
      </c>
      <c r="G112" s="12" t="str">
        <f ca="1">VLOOKUP(F112,Table8[[Native]:[Population4]],5,FALSE)</f>
        <v>那曲市</v>
      </c>
    </row>
    <row r="113" spans="1:7" ht="15.75" thickBot="1" x14ac:dyDescent="0.3">
      <c r="A113" t="s">
        <v>835</v>
      </c>
      <c r="B113" s="1" t="s">
        <v>836</v>
      </c>
      <c r="C113" s="1" t="s">
        <v>7</v>
      </c>
      <c r="D113" s="1" t="s">
        <v>615</v>
      </c>
      <c r="E113" s="3">
        <v>2492</v>
      </c>
      <c r="F113" s="1" t="str">
        <f>VLOOKUP(D113,Table8[[Name]:[Native]],3,FALSE)</f>
        <v>尼玛县</v>
      </c>
      <c r="G113" s="12" t="str">
        <f ca="1">VLOOKUP(F113,Table8[[Native]:[Population4]],5,FALSE)</f>
        <v>那曲市</v>
      </c>
    </row>
    <row r="114" spans="1:7" ht="15.75" thickBot="1" x14ac:dyDescent="0.3">
      <c r="A114" t="s">
        <v>837</v>
      </c>
      <c r="B114" s="1" t="s">
        <v>838</v>
      </c>
      <c r="C114" s="1" t="s">
        <v>7</v>
      </c>
      <c r="D114" s="1" t="s">
        <v>615</v>
      </c>
      <c r="E114" s="3">
        <v>1791</v>
      </c>
      <c r="F114" s="1" t="str">
        <f>VLOOKUP(D114,Table8[[Name]:[Native]],3,FALSE)</f>
        <v>尼玛县</v>
      </c>
      <c r="G114" s="12" t="str">
        <f ca="1">VLOOKUP(F114,Table8[[Native]:[Population4]],5,FALSE)</f>
        <v>那曲市</v>
      </c>
    </row>
    <row r="115" spans="1:7" ht="15.75" thickBot="1" x14ac:dyDescent="0.3">
      <c r="A115" t="s">
        <v>839</v>
      </c>
      <c r="B115" s="1" t="s">
        <v>840</v>
      </c>
      <c r="C115" s="1" t="s">
        <v>7</v>
      </c>
      <c r="D115" s="1" t="s">
        <v>615</v>
      </c>
      <c r="E115" s="3">
        <v>1996</v>
      </c>
      <c r="F115" s="9" t="str">
        <f>VLOOKUP(D115,Table8[[Name]:[Native]],3,FALSE)</f>
        <v>尼玛县</v>
      </c>
      <c r="G115" s="12" t="str">
        <f ca="1">VLOOKUP(F115,Table8[[Native]:[Population4]],5,FALSE)</f>
        <v>那曲市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DE33-AC33-444B-9984-BF815301BDCD}">
  <dimension ref="A1:G204"/>
  <sheetViews>
    <sheetView topLeftCell="A179" workbookViewId="0">
      <selection activeCell="G2" sqref="A2:G20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1502</v>
      </c>
      <c r="G1" t="s">
        <v>1504</v>
      </c>
    </row>
    <row r="2" spans="1:7" ht="15.75" thickBot="1" x14ac:dyDescent="0.3">
      <c r="A2" t="s">
        <v>841</v>
      </c>
      <c r="B2" s="1" t="s">
        <v>842</v>
      </c>
      <c r="C2" s="1" t="s">
        <v>7</v>
      </c>
      <c r="D2" s="1" t="s">
        <v>843</v>
      </c>
      <c r="E2" s="3">
        <v>9612</v>
      </c>
      <c r="F2" s="8" t="str">
        <f>VLOOKUP(D2,Table8[[Name]:[Native]],3,FALSE)</f>
        <v>南木林县</v>
      </c>
      <c r="G2" s="12" t="str">
        <f ca="1">VLOOKUP(F2,Table8[[Native]:[Population4]],5,FALSE)</f>
        <v>日喀则市</v>
      </c>
    </row>
    <row r="3" spans="1:7" ht="15.75" thickBot="1" x14ac:dyDescent="0.3">
      <c r="A3" t="s">
        <v>844</v>
      </c>
      <c r="B3" s="1" t="s">
        <v>845</v>
      </c>
      <c r="C3" s="1" t="s">
        <v>7</v>
      </c>
      <c r="D3" s="1" t="s">
        <v>846</v>
      </c>
      <c r="E3" s="3">
        <v>857</v>
      </c>
      <c r="F3" s="1" t="str">
        <f>VLOOKUP(D3,Table8[[Name]:[Native]],3,FALSE)</f>
        <v>昂仁县</v>
      </c>
      <c r="G3" s="12" t="str">
        <f ca="1">VLOOKUP(F3,Table8[[Native]:[Population4]],5,FALSE)</f>
        <v>日喀则市</v>
      </c>
    </row>
    <row r="4" spans="1:7" ht="15.75" thickBot="1" x14ac:dyDescent="0.3">
      <c r="A4" t="s">
        <v>639</v>
      </c>
      <c r="B4" s="1" t="s">
        <v>640</v>
      </c>
      <c r="C4" s="1" t="s">
        <v>7</v>
      </c>
      <c r="D4" s="1" t="s">
        <v>847</v>
      </c>
      <c r="E4" s="3">
        <v>5134</v>
      </c>
      <c r="F4" s="1" t="str">
        <f>VLOOKUP(D4,Table8[[Name]:[Native]],3,FALSE)</f>
        <v>白朗县</v>
      </c>
      <c r="G4" s="12" t="str">
        <f ca="1">VLOOKUP(F4,Table8[[Native]:[Population4]],5,FALSE)</f>
        <v>日喀则市</v>
      </c>
    </row>
    <row r="5" spans="1:7" ht="15.75" thickBot="1" x14ac:dyDescent="0.3">
      <c r="A5" t="s">
        <v>848</v>
      </c>
      <c r="B5" s="1" t="s">
        <v>849</v>
      </c>
      <c r="C5" s="1" t="s">
        <v>7</v>
      </c>
      <c r="D5" s="1" t="s">
        <v>850</v>
      </c>
      <c r="E5" s="3">
        <v>4106</v>
      </c>
      <c r="F5" s="1" t="str">
        <f>VLOOKUP(D5,Table8[[Name]:[Native]],3,FALSE)</f>
        <v>桑珠孜区</v>
      </c>
      <c r="G5" s="12" t="str">
        <f ca="1">VLOOKUP(F5,Table8[[Native]:[Population4]],5,FALSE)</f>
        <v>日喀则市</v>
      </c>
    </row>
    <row r="6" spans="1:7" ht="15.75" thickBot="1" x14ac:dyDescent="0.3">
      <c r="A6" t="s">
        <v>851</v>
      </c>
      <c r="B6" s="1" t="s">
        <v>852</v>
      </c>
      <c r="C6" s="1" t="s">
        <v>7</v>
      </c>
      <c r="D6" s="1" t="s">
        <v>853</v>
      </c>
      <c r="E6" s="3">
        <v>2370</v>
      </c>
      <c r="F6" s="1" t="str">
        <f>VLOOKUP(D6,Table8[[Name]:[Native]],3,FALSE)</f>
        <v>聂拉木县</v>
      </c>
      <c r="G6" s="12" t="str">
        <f ca="1">VLOOKUP(F6,Table8[[Native]:[Population4]],5,FALSE)</f>
        <v>日喀则市</v>
      </c>
    </row>
    <row r="7" spans="1:7" ht="15.75" thickBot="1" x14ac:dyDescent="0.3">
      <c r="A7" t="s">
        <v>854</v>
      </c>
      <c r="B7" s="1" t="s">
        <v>855</v>
      </c>
      <c r="C7" s="1" t="s">
        <v>7</v>
      </c>
      <c r="D7" s="1" t="s">
        <v>856</v>
      </c>
      <c r="E7" s="3">
        <v>630</v>
      </c>
      <c r="F7" s="1" t="str">
        <f>VLOOKUP(D7,Table8[[Name]:[Native]],3,FALSE)</f>
        <v>仲巴县</v>
      </c>
      <c r="G7" s="12" t="str">
        <f ca="1">VLOOKUP(F7,Table8[[Native]:[Population4]],5,FALSE)</f>
        <v>日喀则市</v>
      </c>
    </row>
    <row r="8" spans="1:7" ht="15.75" thickBot="1" x14ac:dyDescent="0.3">
      <c r="A8" t="s">
        <v>857</v>
      </c>
      <c r="B8" s="1" t="s">
        <v>858</v>
      </c>
      <c r="C8" s="1" t="s">
        <v>7</v>
      </c>
      <c r="D8" s="1" t="s">
        <v>859</v>
      </c>
      <c r="E8" s="3">
        <v>3876</v>
      </c>
      <c r="F8" s="1" t="str">
        <f>VLOOKUP(D8,Table8[[Name]:[Native]],3,FALSE)</f>
        <v>仁布县</v>
      </c>
      <c r="G8" s="12" t="str">
        <f ca="1">VLOOKUP(F8,Table8[[Native]:[Population4]],5,FALSE)</f>
        <v>日喀则市</v>
      </c>
    </row>
    <row r="9" spans="1:7" ht="15.75" thickBot="1" x14ac:dyDescent="0.3">
      <c r="A9" t="s">
        <v>9</v>
      </c>
      <c r="B9" s="1" t="s">
        <v>860</v>
      </c>
      <c r="C9" s="1" t="s">
        <v>7</v>
      </c>
      <c r="D9" s="1" t="s">
        <v>861</v>
      </c>
      <c r="E9" s="3">
        <v>1666</v>
      </c>
      <c r="F9" s="1" t="str">
        <f>VLOOKUP(D9,Table8[[Name]:[Native]],3,FALSE)</f>
        <v>谢通门县</v>
      </c>
      <c r="G9" s="12" t="str">
        <f ca="1">VLOOKUP(F9,Table8[[Native]:[Population4]],5,FALSE)</f>
        <v>日喀则市</v>
      </c>
    </row>
    <row r="10" spans="1:7" ht="15.75" thickBot="1" x14ac:dyDescent="0.3">
      <c r="A10" t="s">
        <v>862</v>
      </c>
      <c r="B10" s="1" t="s">
        <v>863</v>
      </c>
      <c r="C10" s="1" t="s">
        <v>7</v>
      </c>
      <c r="D10" s="1" t="s">
        <v>843</v>
      </c>
      <c r="E10" s="3">
        <v>2404</v>
      </c>
      <c r="F10" s="1" t="str">
        <f>VLOOKUP(D10,Table8[[Name]:[Native]],3,FALSE)</f>
        <v>南木林县</v>
      </c>
      <c r="G10" s="12" t="str">
        <f ca="1">VLOOKUP(F10,Table8[[Native]:[Population4]],5,FALSE)</f>
        <v>日喀则市</v>
      </c>
    </row>
    <row r="11" spans="1:7" ht="15.75" thickBot="1" x14ac:dyDescent="0.3">
      <c r="A11" t="s">
        <v>864</v>
      </c>
      <c r="B11" s="1" t="s">
        <v>865</v>
      </c>
      <c r="C11" s="1" t="s">
        <v>7</v>
      </c>
      <c r="D11" s="1" t="s">
        <v>866</v>
      </c>
      <c r="E11" s="3">
        <v>2691</v>
      </c>
      <c r="F11" s="1" t="str">
        <f>VLOOKUP(D11,Table8[[Name]:[Native]],3,FALSE)</f>
        <v>吉隆县</v>
      </c>
      <c r="G11" s="12" t="str">
        <f ca="1">VLOOKUP(F11,Table8[[Native]:[Population4]],5,FALSE)</f>
        <v>日喀则市</v>
      </c>
    </row>
    <row r="12" spans="1:7" ht="15.75" thickBot="1" x14ac:dyDescent="0.3">
      <c r="A12" t="s">
        <v>867</v>
      </c>
      <c r="B12" s="1" t="s">
        <v>868</v>
      </c>
      <c r="C12" s="1" t="s">
        <v>7</v>
      </c>
      <c r="D12" s="1" t="s">
        <v>869</v>
      </c>
      <c r="E12" s="3">
        <v>1384</v>
      </c>
      <c r="F12" s="1" t="str">
        <f>VLOOKUP(D12,Table8[[Name]:[Native]],3,FALSE)</f>
        <v>萨嘎县</v>
      </c>
      <c r="G12" s="12" t="str">
        <f ca="1">VLOOKUP(F12,Table8[[Native]:[Population4]],5,FALSE)</f>
        <v>日喀则市</v>
      </c>
    </row>
    <row r="13" spans="1:7" ht="15.75" thickBot="1" x14ac:dyDescent="0.3">
      <c r="A13" t="s">
        <v>870</v>
      </c>
      <c r="B13" s="1" t="s">
        <v>871</v>
      </c>
      <c r="C13" s="1" t="s">
        <v>7</v>
      </c>
      <c r="D13" s="1" t="s">
        <v>872</v>
      </c>
      <c r="E13" s="3">
        <v>2113</v>
      </c>
      <c r="F13" s="1" t="str">
        <f>VLOOKUP(D13,Table8[[Name]:[Native]],3,FALSE)</f>
        <v>岗巴县</v>
      </c>
      <c r="G13" s="12" t="str">
        <f ca="1">VLOOKUP(F13,Table8[[Native]:[Population4]],5,FALSE)</f>
        <v>日喀则市</v>
      </c>
    </row>
    <row r="14" spans="1:7" ht="15.75" thickBot="1" x14ac:dyDescent="0.3">
      <c r="A14" t="s">
        <v>873</v>
      </c>
      <c r="B14" s="1" t="s">
        <v>874</v>
      </c>
      <c r="C14" s="1" t="s">
        <v>7</v>
      </c>
      <c r="D14" s="1" t="s">
        <v>875</v>
      </c>
      <c r="E14" s="3">
        <v>3601</v>
      </c>
      <c r="F14" s="1" t="str">
        <f>VLOOKUP(D14,Table8[[Name]:[Native]],3,FALSE)</f>
        <v>定日县</v>
      </c>
      <c r="G14" s="12" t="str">
        <f ca="1">VLOOKUP(F14,Table8[[Native]:[Population4]],5,FALSE)</f>
        <v>日喀则市</v>
      </c>
    </row>
    <row r="15" spans="1:7" ht="15.75" thickBot="1" x14ac:dyDescent="0.3">
      <c r="A15" t="s">
        <v>876</v>
      </c>
      <c r="B15" s="1" t="s">
        <v>877</v>
      </c>
      <c r="C15" s="1" t="s">
        <v>7</v>
      </c>
      <c r="D15" s="1" t="s">
        <v>878</v>
      </c>
      <c r="E15" s="3">
        <v>4002</v>
      </c>
      <c r="F15" s="1" t="str">
        <f>VLOOKUP(D15,Table8[[Name]:[Native]],3,FALSE)</f>
        <v>萨迦县</v>
      </c>
      <c r="G15" s="12" t="str">
        <f ca="1">VLOOKUP(F15,Table8[[Native]:[Population4]],5,FALSE)</f>
        <v>日喀则市</v>
      </c>
    </row>
    <row r="16" spans="1:7" ht="15.75" thickBot="1" x14ac:dyDescent="0.3">
      <c r="A16" t="s">
        <v>879</v>
      </c>
      <c r="B16" s="1" t="s">
        <v>880</v>
      </c>
      <c r="C16" s="1" t="s">
        <v>7</v>
      </c>
      <c r="D16" s="1" t="s">
        <v>881</v>
      </c>
      <c r="E16" s="3">
        <v>3692</v>
      </c>
      <c r="F16" s="1" t="str">
        <f>VLOOKUP(D16,Table8[[Name]:[Native]],3,FALSE)</f>
        <v>拉孜县</v>
      </c>
      <c r="G16" s="12" t="str">
        <f ca="1">VLOOKUP(F16,Table8[[Native]:[Population4]],5,FALSE)</f>
        <v>日喀则市</v>
      </c>
    </row>
    <row r="17" spans="1:7" ht="15.75" thickBot="1" x14ac:dyDescent="0.3">
      <c r="A17" t="s">
        <v>882</v>
      </c>
      <c r="B17" s="1" t="s">
        <v>883</v>
      </c>
      <c r="C17" s="1" t="s">
        <v>7</v>
      </c>
      <c r="D17" s="1" t="s">
        <v>846</v>
      </c>
      <c r="E17" s="3">
        <v>1187</v>
      </c>
      <c r="F17" s="1" t="str">
        <f>VLOOKUP(D17,Table8[[Name]:[Native]],3,FALSE)</f>
        <v>昂仁县</v>
      </c>
      <c r="G17" s="12" t="str">
        <f ca="1">VLOOKUP(F17,Table8[[Native]:[Population4]],5,FALSE)</f>
        <v>日喀则市</v>
      </c>
    </row>
    <row r="18" spans="1:7" ht="15.75" thickBot="1" x14ac:dyDescent="0.3">
      <c r="A18" t="s">
        <v>884</v>
      </c>
      <c r="B18" s="1" t="s">
        <v>885</v>
      </c>
      <c r="C18" s="1" t="s">
        <v>374</v>
      </c>
      <c r="D18" s="1" t="s">
        <v>850</v>
      </c>
      <c r="E18" s="3">
        <v>13110</v>
      </c>
      <c r="F18" s="1" t="str">
        <f>VLOOKUP(D18,Table8[[Name]:[Native]],3,FALSE)</f>
        <v>桑珠孜区</v>
      </c>
      <c r="G18" s="12" t="str">
        <f ca="1">VLOOKUP(F18,Table8[[Native]:[Population4]],5,FALSE)</f>
        <v>日喀则市</v>
      </c>
    </row>
    <row r="19" spans="1:7" ht="15.75" thickBot="1" x14ac:dyDescent="0.3">
      <c r="A19" t="s">
        <v>886</v>
      </c>
      <c r="B19" s="1" t="s">
        <v>887</v>
      </c>
      <c r="C19" s="1" t="s">
        <v>374</v>
      </c>
      <c r="D19" s="1" t="s">
        <v>850</v>
      </c>
      <c r="E19" s="3">
        <v>50857</v>
      </c>
      <c r="F19" s="1" t="str">
        <f>VLOOKUP(D19,Table8[[Name]:[Native]],3,FALSE)</f>
        <v>桑珠孜区</v>
      </c>
      <c r="G19" s="12" t="str">
        <f ca="1">VLOOKUP(F19,Table8[[Native]:[Population4]],5,FALSE)</f>
        <v>日喀则市</v>
      </c>
    </row>
    <row r="20" spans="1:7" ht="15.75" thickBot="1" x14ac:dyDescent="0.3">
      <c r="A20" t="s">
        <v>888</v>
      </c>
      <c r="B20" s="1" t="s">
        <v>889</v>
      </c>
      <c r="C20" s="1" t="s">
        <v>17</v>
      </c>
      <c r="D20" s="1" t="s">
        <v>890</v>
      </c>
      <c r="E20" s="3">
        <v>2043</v>
      </c>
      <c r="F20" s="1" t="str">
        <f>VLOOKUP(D20,Table8[[Name]:[Native]],3,FALSE)</f>
        <v>定结县</v>
      </c>
      <c r="G20" s="12" t="str">
        <f ca="1">VLOOKUP(F20,Table8[[Native]:[Population4]],5,FALSE)</f>
        <v>日喀则市</v>
      </c>
    </row>
    <row r="21" spans="1:7" ht="15.75" thickBot="1" x14ac:dyDescent="0.3">
      <c r="A21" t="s">
        <v>891</v>
      </c>
      <c r="B21" s="1" t="s">
        <v>892</v>
      </c>
      <c r="C21" s="1" t="s">
        <v>7</v>
      </c>
      <c r="D21" s="1" t="s">
        <v>893</v>
      </c>
      <c r="E21" s="3">
        <v>2603</v>
      </c>
      <c r="F21" s="1" t="str">
        <f>VLOOKUP(D21,Table8[[Name]:[Native]],3,FALSE)</f>
        <v>江孜县</v>
      </c>
      <c r="G21" s="12" t="str">
        <f ca="1">VLOOKUP(F21,Table8[[Native]:[Population4]],5,FALSE)</f>
        <v>日喀则市</v>
      </c>
    </row>
    <row r="22" spans="1:7" ht="15.75" thickBot="1" x14ac:dyDescent="0.3">
      <c r="A22" t="s">
        <v>894</v>
      </c>
      <c r="B22" s="1" t="s">
        <v>895</v>
      </c>
      <c r="C22" s="1" t="s">
        <v>7</v>
      </c>
      <c r="D22" s="1" t="s">
        <v>878</v>
      </c>
      <c r="E22" s="3">
        <v>5111</v>
      </c>
      <c r="F22" s="1" t="str">
        <f>VLOOKUP(D22,Table8[[Name]:[Native]],3,FALSE)</f>
        <v>萨迦县</v>
      </c>
      <c r="G22" s="12" t="str">
        <f ca="1">VLOOKUP(F22,Table8[[Native]:[Population4]],5,FALSE)</f>
        <v>日喀则市</v>
      </c>
    </row>
    <row r="23" spans="1:7" ht="15.75" thickBot="1" x14ac:dyDescent="0.3">
      <c r="A23" t="s">
        <v>896</v>
      </c>
      <c r="B23" s="1" t="s">
        <v>897</v>
      </c>
      <c r="C23" s="1" t="s">
        <v>7</v>
      </c>
      <c r="D23" s="1" t="s">
        <v>893</v>
      </c>
      <c r="E23" s="3">
        <v>4232</v>
      </c>
      <c r="F23" s="1" t="str">
        <f>VLOOKUP(D23,Table8[[Name]:[Native]],3,FALSE)</f>
        <v>江孜县</v>
      </c>
      <c r="G23" s="12" t="str">
        <f ca="1">VLOOKUP(F23,Table8[[Native]:[Population4]],5,FALSE)</f>
        <v>日喀则市</v>
      </c>
    </row>
    <row r="24" spans="1:7" ht="15.75" thickBot="1" x14ac:dyDescent="0.3">
      <c r="A24" t="s">
        <v>898</v>
      </c>
      <c r="B24" s="1" t="s">
        <v>899</v>
      </c>
      <c r="C24" s="1" t="s">
        <v>7</v>
      </c>
      <c r="D24" s="1" t="s">
        <v>861</v>
      </c>
      <c r="E24" s="3">
        <v>1222</v>
      </c>
      <c r="F24" s="1" t="str">
        <f>VLOOKUP(D24,Table8[[Name]:[Native]],3,FALSE)</f>
        <v>谢通门县</v>
      </c>
      <c r="G24" s="12" t="str">
        <f ca="1">VLOOKUP(F24,Table8[[Native]:[Population4]],5,FALSE)</f>
        <v>日喀则市</v>
      </c>
    </row>
    <row r="25" spans="1:7" ht="15.75" thickBot="1" x14ac:dyDescent="0.3">
      <c r="A25" t="s">
        <v>900</v>
      </c>
      <c r="B25" s="1" t="s">
        <v>901</v>
      </c>
      <c r="C25" s="1" t="s">
        <v>7</v>
      </c>
      <c r="D25" s="1" t="s">
        <v>861</v>
      </c>
      <c r="E25" s="3">
        <v>1720</v>
      </c>
      <c r="F25" s="1" t="str">
        <f>VLOOKUP(D25,Table8[[Name]:[Native]],3,FALSE)</f>
        <v>谢通门县</v>
      </c>
      <c r="G25" s="12" t="str">
        <f ca="1">VLOOKUP(F25,Table8[[Native]:[Population4]],5,FALSE)</f>
        <v>日喀则市</v>
      </c>
    </row>
    <row r="26" spans="1:7" ht="15.75" thickBot="1" x14ac:dyDescent="0.3">
      <c r="A26" t="s">
        <v>902</v>
      </c>
      <c r="B26" s="1" t="s">
        <v>903</v>
      </c>
      <c r="C26" s="1" t="s">
        <v>7</v>
      </c>
      <c r="D26" s="1" t="s">
        <v>875</v>
      </c>
      <c r="E26" s="3">
        <v>3556</v>
      </c>
      <c r="F26" s="1" t="str">
        <f>VLOOKUP(D26,Table8[[Name]:[Native]],3,FALSE)</f>
        <v>定日县</v>
      </c>
      <c r="G26" s="12" t="str">
        <f ca="1">VLOOKUP(F26,Table8[[Native]:[Population4]],5,FALSE)</f>
        <v>日喀则市</v>
      </c>
    </row>
    <row r="27" spans="1:7" ht="15.75" thickBot="1" x14ac:dyDescent="0.3">
      <c r="A27" t="s">
        <v>904</v>
      </c>
      <c r="B27" s="1" t="s">
        <v>905</v>
      </c>
      <c r="C27" s="1" t="s">
        <v>7</v>
      </c>
      <c r="D27" s="1" t="s">
        <v>846</v>
      </c>
      <c r="E27" s="3">
        <v>1508</v>
      </c>
      <c r="F27" s="1" t="str">
        <f>VLOOKUP(D27,Table8[[Name]:[Native]],3,FALSE)</f>
        <v>昂仁县</v>
      </c>
      <c r="G27" s="12" t="str">
        <f ca="1">VLOOKUP(F27,Table8[[Native]:[Population4]],5,FALSE)</f>
        <v>日喀则市</v>
      </c>
    </row>
    <row r="28" spans="1:7" ht="15.75" thickBot="1" x14ac:dyDescent="0.3">
      <c r="A28" t="s">
        <v>906</v>
      </c>
      <c r="B28" s="1" t="s">
        <v>907</v>
      </c>
      <c r="C28" s="1" t="s">
        <v>7</v>
      </c>
      <c r="D28" s="1" t="s">
        <v>869</v>
      </c>
      <c r="E28" s="3">
        <v>1169</v>
      </c>
      <c r="F28" s="1" t="str">
        <f>VLOOKUP(D28,Table8[[Name]:[Native]],3,FALSE)</f>
        <v>萨嘎县</v>
      </c>
      <c r="G28" s="12" t="str">
        <f ca="1">VLOOKUP(F28,Table8[[Native]:[Population4]],5,FALSE)</f>
        <v>日喀则市</v>
      </c>
    </row>
    <row r="29" spans="1:7" ht="15.75" thickBot="1" x14ac:dyDescent="0.3">
      <c r="A29" t="s">
        <v>908</v>
      </c>
      <c r="B29" s="1" t="s">
        <v>909</v>
      </c>
      <c r="C29" s="1" t="s">
        <v>7</v>
      </c>
      <c r="D29" s="1" t="s">
        <v>846</v>
      </c>
      <c r="E29" s="3">
        <v>4407</v>
      </c>
      <c r="F29" s="1" t="str">
        <f>VLOOKUP(D29,Table8[[Name]:[Native]],3,FALSE)</f>
        <v>昂仁县</v>
      </c>
      <c r="G29" s="12" t="str">
        <f ca="1">VLOOKUP(F29,Table8[[Native]:[Population4]],5,FALSE)</f>
        <v>日喀则市</v>
      </c>
    </row>
    <row r="30" spans="1:7" ht="15.75" thickBot="1" x14ac:dyDescent="0.3">
      <c r="A30" t="s">
        <v>910</v>
      </c>
      <c r="B30" s="1" t="s">
        <v>911</v>
      </c>
      <c r="C30" s="1" t="s">
        <v>7</v>
      </c>
      <c r="D30" s="1" t="s">
        <v>861</v>
      </c>
      <c r="E30" s="3">
        <v>4237</v>
      </c>
      <c r="F30" s="1" t="str">
        <f>VLOOKUP(D30,Table8[[Name]:[Native]],3,FALSE)</f>
        <v>谢通门县</v>
      </c>
      <c r="G30" s="12" t="str">
        <f ca="1">VLOOKUP(F30,Table8[[Native]:[Population4]],5,FALSE)</f>
        <v>日喀则市</v>
      </c>
    </row>
    <row r="31" spans="1:7" ht="15.75" thickBot="1" x14ac:dyDescent="0.3">
      <c r="A31" t="s">
        <v>912</v>
      </c>
      <c r="B31" s="1" t="s">
        <v>913</v>
      </c>
      <c r="C31" s="1" t="s">
        <v>7</v>
      </c>
      <c r="D31" s="1" t="s">
        <v>861</v>
      </c>
      <c r="E31" s="3">
        <v>3631</v>
      </c>
      <c r="F31" s="1" t="str">
        <f>VLOOKUP(D31,Table8[[Name]:[Native]],3,FALSE)</f>
        <v>谢通门县</v>
      </c>
      <c r="G31" s="12" t="str">
        <f ca="1">VLOOKUP(F31,Table8[[Native]:[Population4]],5,FALSE)</f>
        <v>日喀则市</v>
      </c>
    </row>
    <row r="32" spans="1:7" ht="15.75" thickBot="1" x14ac:dyDescent="0.3">
      <c r="A32" t="s">
        <v>914</v>
      </c>
      <c r="B32" s="1" t="s">
        <v>915</v>
      </c>
      <c r="C32" s="1" t="s">
        <v>7</v>
      </c>
      <c r="D32" s="1" t="s">
        <v>861</v>
      </c>
      <c r="E32" s="3">
        <v>2216</v>
      </c>
      <c r="F32" s="1" t="str">
        <f>VLOOKUP(D32,Table8[[Name]:[Native]],3,FALSE)</f>
        <v>谢通门县</v>
      </c>
      <c r="G32" s="12" t="str">
        <f ca="1">VLOOKUP(F32,Table8[[Native]:[Population4]],5,FALSE)</f>
        <v>日喀则市</v>
      </c>
    </row>
    <row r="33" spans="1:7" ht="15.75" thickBot="1" x14ac:dyDescent="0.3">
      <c r="A33" t="s">
        <v>916</v>
      </c>
      <c r="B33" s="1" t="s">
        <v>917</v>
      </c>
      <c r="C33" s="1" t="s">
        <v>7</v>
      </c>
      <c r="D33" s="1" t="s">
        <v>843</v>
      </c>
      <c r="E33" s="3">
        <v>2448</v>
      </c>
      <c r="F33" s="1" t="str">
        <f>VLOOKUP(D33,Table8[[Name]:[Native]],3,FALSE)</f>
        <v>南木林县</v>
      </c>
      <c r="G33" s="12" t="str">
        <f ca="1">VLOOKUP(F33,Table8[[Native]:[Population4]],5,FALSE)</f>
        <v>日喀则市</v>
      </c>
    </row>
    <row r="34" spans="1:7" ht="15.75" thickBot="1" x14ac:dyDescent="0.3">
      <c r="A34" t="s">
        <v>918</v>
      </c>
      <c r="B34" s="1" t="s">
        <v>919</v>
      </c>
      <c r="C34" s="1" t="s">
        <v>7</v>
      </c>
      <c r="D34" s="1" t="s">
        <v>869</v>
      </c>
      <c r="E34" s="3">
        <v>1505</v>
      </c>
      <c r="F34" s="1" t="str">
        <f>VLOOKUP(D34,Table8[[Name]:[Native]],3,FALSE)</f>
        <v>萨嘎县</v>
      </c>
      <c r="G34" s="12" t="str">
        <f ca="1">VLOOKUP(F34,Table8[[Native]:[Population4]],5,FALSE)</f>
        <v>日喀则市</v>
      </c>
    </row>
    <row r="35" spans="1:7" ht="15.75" thickBot="1" x14ac:dyDescent="0.3">
      <c r="A35" t="s">
        <v>920</v>
      </c>
      <c r="B35" s="1" t="s">
        <v>921</v>
      </c>
      <c r="C35" s="1" t="s">
        <v>7</v>
      </c>
      <c r="D35" s="1" t="s">
        <v>846</v>
      </c>
      <c r="E35" s="3">
        <v>612</v>
      </c>
      <c r="F35" s="1" t="str">
        <f>VLOOKUP(D35,Table8[[Name]:[Native]],3,FALSE)</f>
        <v>昂仁县</v>
      </c>
      <c r="G35" s="12" t="str">
        <f ca="1">VLOOKUP(F35,Table8[[Native]:[Population4]],5,FALSE)</f>
        <v>日喀则市</v>
      </c>
    </row>
    <row r="36" spans="1:7" ht="15.75" thickBot="1" x14ac:dyDescent="0.3">
      <c r="A36" t="s">
        <v>922</v>
      </c>
      <c r="B36" s="1" t="s">
        <v>923</v>
      </c>
      <c r="C36" s="1" t="s">
        <v>7</v>
      </c>
      <c r="D36" s="1" t="s">
        <v>843</v>
      </c>
      <c r="E36" s="3">
        <v>4231</v>
      </c>
      <c r="F36" s="1" t="str">
        <f>VLOOKUP(D36,Table8[[Name]:[Native]],3,FALSE)</f>
        <v>南木林县</v>
      </c>
      <c r="G36" s="12" t="str">
        <f ca="1">VLOOKUP(F36,Table8[[Native]:[Population4]],5,FALSE)</f>
        <v>日喀则市</v>
      </c>
    </row>
    <row r="37" spans="1:7" ht="15.75" thickBot="1" x14ac:dyDescent="0.3">
      <c r="A37" t="s">
        <v>922</v>
      </c>
      <c r="B37" s="1" t="s">
        <v>923</v>
      </c>
      <c r="C37" s="1" t="s">
        <v>7</v>
      </c>
      <c r="D37" s="1" t="s">
        <v>893</v>
      </c>
      <c r="E37" s="3">
        <v>2483</v>
      </c>
      <c r="F37" s="1" t="str">
        <f>VLOOKUP(D37,Table8[[Name]:[Native]],3,FALSE)</f>
        <v>江孜县</v>
      </c>
      <c r="G37" s="12" t="str">
        <f ca="1">VLOOKUP(F37,Table8[[Native]:[Population4]],5,FALSE)</f>
        <v>日喀则市</v>
      </c>
    </row>
    <row r="38" spans="1:7" ht="15.75" thickBot="1" x14ac:dyDescent="0.3">
      <c r="A38" t="s">
        <v>924</v>
      </c>
      <c r="B38" s="1" t="s">
        <v>925</v>
      </c>
      <c r="C38" s="1" t="s">
        <v>17</v>
      </c>
      <c r="D38" s="1" t="s">
        <v>859</v>
      </c>
      <c r="E38" s="3">
        <v>4722</v>
      </c>
      <c r="F38" s="1" t="str">
        <f>VLOOKUP(D38,Table8[[Name]:[Native]],3,FALSE)</f>
        <v>仁布县</v>
      </c>
      <c r="G38" s="12" t="str">
        <f ca="1">VLOOKUP(F38,Table8[[Native]:[Population4]],5,FALSE)</f>
        <v>日喀则市</v>
      </c>
    </row>
    <row r="39" spans="1:7" ht="15.75" thickBot="1" x14ac:dyDescent="0.3">
      <c r="A39" t="s">
        <v>926</v>
      </c>
      <c r="B39" s="1" t="s">
        <v>927</v>
      </c>
      <c r="C39" s="1" t="s">
        <v>7</v>
      </c>
      <c r="D39" s="1" t="s">
        <v>890</v>
      </c>
      <c r="E39" s="3">
        <v>1586</v>
      </c>
      <c r="F39" s="1" t="str">
        <f>VLOOKUP(D39,Table8[[Name]:[Native]],3,FALSE)</f>
        <v>定结县</v>
      </c>
      <c r="G39" s="12" t="str">
        <f ca="1">VLOOKUP(F39,Table8[[Native]:[Population4]],5,FALSE)</f>
        <v>日喀则市</v>
      </c>
    </row>
    <row r="40" spans="1:7" ht="15.75" thickBot="1" x14ac:dyDescent="0.3">
      <c r="A40" t="s">
        <v>928</v>
      </c>
      <c r="B40" s="1" t="s">
        <v>929</v>
      </c>
      <c r="C40" s="1" t="s">
        <v>7</v>
      </c>
      <c r="D40" s="1" t="s">
        <v>850</v>
      </c>
      <c r="E40" s="3">
        <v>8625</v>
      </c>
      <c r="F40" s="1" t="str">
        <f>VLOOKUP(D40,Table8[[Name]:[Native]],3,FALSE)</f>
        <v>桑珠孜区</v>
      </c>
      <c r="G40" s="12" t="str">
        <f ca="1">VLOOKUP(F40,Table8[[Native]:[Population4]],5,FALSE)</f>
        <v>日喀则市</v>
      </c>
    </row>
    <row r="41" spans="1:7" ht="15.75" thickBot="1" x14ac:dyDescent="0.3">
      <c r="A41" t="s">
        <v>930</v>
      </c>
      <c r="B41" s="1" t="s">
        <v>931</v>
      </c>
      <c r="C41" s="1" t="s">
        <v>7</v>
      </c>
      <c r="D41" s="1" t="s">
        <v>847</v>
      </c>
      <c r="E41" s="3">
        <v>1144</v>
      </c>
      <c r="F41" s="1" t="str">
        <f>VLOOKUP(D41,Table8[[Name]:[Native]],3,FALSE)</f>
        <v>白朗县</v>
      </c>
      <c r="G41" s="12" t="str">
        <f ca="1">VLOOKUP(F41,Table8[[Native]:[Population4]],5,FALSE)</f>
        <v>日喀则市</v>
      </c>
    </row>
    <row r="42" spans="1:7" ht="15.75" thickBot="1" x14ac:dyDescent="0.3">
      <c r="A42" t="s">
        <v>932</v>
      </c>
      <c r="B42" s="1" t="s">
        <v>933</v>
      </c>
      <c r="C42" s="1" t="s">
        <v>7</v>
      </c>
      <c r="D42" s="1" t="s">
        <v>934</v>
      </c>
      <c r="E42" s="3">
        <v>2746</v>
      </c>
      <c r="F42" s="1" t="str">
        <f>VLOOKUP(D42,Table8[[Name]:[Native]],3,FALSE)</f>
        <v>亚东县</v>
      </c>
      <c r="G42" s="12" t="str">
        <f ca="1">VLOOKUP(F42,Table8[[Native]:[Population4]],5,FALSE)</f>
        <v>日喀则市</v>
      </c>
    </row>
    <row r="43" spans="1:7" ht="15.75" thickBot="1" x14ac:dyDescent="0.3">
      <c r="A43" t="s">
        <v>935</v>
      </c>
      <c r="B43" s="1" t="s">
        <v>936</v>
      </c>
      <c r="C43" s="1" t="s">
        <v>7</v>
      </c>
      <c r="D43" s="1" t="s">
        <v>846</v>
      </c>
      <c r="E43" s="3">
        <v>5830</v>
      </c>
      <c r="F43" s="1" t="str">
        <f>VLOOKUP(D43,Table8[[Name]:[Native]],3,FALSE)</f>
        <v>昂仁县</v>
      </c>
      <c r="G43" s="12" t="str">
        <f ca="1">VLOOKUP(F43,Table8[[Native]:[Population4]],5,FALSE)</f>
        <v>日喀则市</v>
      </c>
    </row>
    <row r="44" spans="1:7" ht="15.75" thickBot="1" x14ac:dyDescent="0.3">
      <c r="A44" t="s">
        <v>937</v>
      </c>
      <c r="B44" s="1" t="s">
        <v>938</v>
      </c>
      <c r="C44" s="1" t="s">
        <v>7</v>
      </c>
      <c r="D44" s="1" t="s">
        <v>890</v>
      </c>
      <c r="E44" s="3">
        <v>1606</v>
      </c>
      <c r="F44" s="1" t="str">
        <f>VLOOKUP(D44,Table8[[Name]:[Native]],3,FALSE)</f>
        <v>定结县</v>
      </c>
      <c r="G44" s="12" t="str">
        <f ca="1">VLOOKUP(F44,Table8[[Native]:[Population4]],5,FALSE)</f>
        <v>日喀则市</v>
      </c>
    </row>
    <row r="45" spans="1:7" ht="15.75" thickBot="1" x14ac:dyDescent="0.3">
      <c r="A45" t="s">
        <v>939</v>
      </c>
      <c r="B45" s="1" t="s">
        <v>940</v>
      </c>
      <c r="C45" s="1" t="s">
        <v>7</v>
      </c>
      <c r="D45" s="1" t="s">
        <v>843</v>
      </c>
      <c r="E45" s="3">
        <v>4860</v>
      </c>
      <c r="F45" s="1" t="str">
        <f>VLOOKUP(D45,Table8[[Name]:[Native]],3,FALSE)</f>
        <v>南木林县</v>
      </c>
      <c r="G45" s="12" t="str">
        <f ca="1">VLOOKUP(F45,Table8[[Native]:[Population4]],5,FALSE)</f>
        <v>日喀则市</v>
      </c>
    </row>
    <row r="46" spans="1:7" ht="15.75" thickBot="1" x14ac:dyDescent="0.3">
      <c r="A46" t="s">
        <v>941</v>
      </c>
      <c r="B46" s="1" t="s">
        <v>942</v>
      </c>
      <c r="C46" s="1" t="s">
        <v>7</v>
      </c>
      <c r="D46" s="1" t="s">
        <v>847</v>
      </c>
      <c r="E46" s="3">
        <v>3192</v>
      </c>
      <c r="F46" s="1" t="str">
        <f>VLOOKUP(D46,Table8[[Name]:[Native]],3,FALSE)</f>
        <v>白朗县</v>
      </c>
      <c r="G46" s="12" t="str">
        <f ca="1">VLOOKUP(F46,Table8[[Native]:[Population4]],5,FALSE)</f>
        <v>日喀则市</v>
      </c>
    </row>
    <row r="47" spans="1:7" ht="15.75" thickBot="1" x14ac:dyDescent="0.3">
      <c r="A47" t="s">
        <v>943</v>
      </c>
      <c r="B47" s="1" t="s">
        <v>944</v>
      </c>
      <c r="C47" s="1" t="s">
        <v>17</v>
      </c>
      <c r="D47" s="1" t="s">
        <v>847</v>
      </c>
      <c r="E47" s="3">
        <v>7601</v>
      </c>
      <c r="F47" s="1" t="str">
        <f>VLOOKUP(D47,Table8[[Name]:[Native]],3,FALSE)</f>
        <v>白朗县</v>
      </c>
      <c r="G47" s="12" t="str">
        <f ca="1">VLOOKUP(F47,Table8[[Native]:[Population4]],5,FALSE)</f>
        <v>日喀则市</v>
      </c>
    </row>
    <row r="48" spans="1:7" ht="15.75" thickBot="1" x14ac:dyDescent="0.3">
      <c r="A48" t="s">
        <v>945</v>
      </c>
      <c r="B48" s="1" t="s">
        <v>946</v>
      </c>
      <c r="C48" s="1" t="s">
        <v>7</v>
      </c>
      <c r="D48" s="1" t="s">
        <v>947</v>
      </c>
      <c r="E48" s="3">
        <v>3404</v>
      </c>
      <c r="F48" s="1" t="str">
        <f>VLOOKUP(D48,Table8[[Name]:[Native]],3,FALSE)</f>
        <v>康马县</v>
      </c>
      <c r="G48" s="12" t="str">
        <f ca="1">VLOOKUP(F48,Table8[[Native]:[Population4]],5,FALSE)</f>
        <v>日喀则市</v>
      </c>
    </row>
    <row r="49" spans="1:7" ht="15.75" thickBot="1" x14ac:dyDescent="0.3">
      <c r="A49" t="s">
        <v>948</v>
      </c>
      <c r="B49" s="1" t="s">
        <v>949</v>
      </c>
      <c r="C49" s="1" t="s">
        <v>17</v>
      </c>
      <c r="D49" s="1" t="s">
        <v>872</v>
      </c>
      <c r="E49" s="3">
        <v>3417</v>
      </c>
      <c r="F49" s="1" t="str">
        <f>VLOOKUP(D49,Table8[[Name]:[Native]],3,FALSE)</f>
        <v>岗巴县</v>
      </c>
      <c r="G49" s="12" t="str">
        <f ca="1">VLOOKUP(F49,Table8[[Native]:[Population4]],5,FALSE)</f>
        <v>日喀则市</v>
      </c>
    </row>
    <row r="50" spans="1:7" ht="15.75" thickBot="1" x14ac:dyDescent="0.3">
      <c r="A50" t="s">
        <v>950</v>
      </c>
      <c r="B50" s="1" t="s">
        <v>951</v>
      </c>
      <c r="C50" s="1" t="s">
        <v>17</v>
      </c>
      <c r="D50" s="1" t="s">
        <v>875</v>
      </c>
      <c r="E50" s="3">
        <v>6850</v>
      </c>
      <c r="F50" s="1" t="str">
        <f>VLOOKUP(D50,Table8[[Name]:[Native]],3,FALSE)</f>
        <v>定日县</v>
      </c>
      <c r="G50" s="12" t="str">
        <f ca="1">VLOOKUP(F50,Table8[[Native]:[Population4]],5,FALSE)</f>
        <v>日喀则市</v>
      </c>
    </row>
    <row r="51" spans="1:7" ht="15.75" thickBot="1" x14ac:dyDescent="0.3">
      <c r="A51" t="s">
        <v>952</v>
      </c>
      <c r="B51" s="1" t="s">
        <v>953</v>
      </c>
      <c r="C51" s="1" t="s">
        <v>7</v>
      </c>
      <c r="D51" s="1" t="s">
        <v>847</v>
      </c>
      <c r="E51" s="3">
        <v>1989</v>
      </c>
      <c r="F51" s="1" t="str">
        <f>VLOOKUP(D51,Table8[[Name]:[Native]],3,FALSE)</f>
        <v>白朗县</v>
      </c>
      <c r="G51" s="12" t="str">
        <f ca="1">VLOOKUP(F51,Table8[[Native]:[Population4]],5,FALSE)</f>
        <v>日喀则市</v>
      </c>
    </row>
    <row r="52" spans="1:7" ht="15.75" thickBot="1" x14ac:dyDescent="0.3">
      <c r="A52" t="s">
        <v>954</v>
      </c>
      <c r="B52" s="1" t="s">
        <v>955</v>
      </c>
      <c r="C52" s="1" t="s">
        <v>7</v>
      </c>
      <c r="D52" s="1" t="s">
        <v>866</v>
      </c>
      <c r="E52" s="3">
        <v>1047</v>
      </c>
      <c r="F52" s="1" t="str">
        <f>VLOOKUP(D52,Table8[[Name]:[Native]],3,FALSE)</f>
        <v>吉隆县</v>
      </c>
      <c r="G52" s="12" t="str">
        <f ca="1">VLOOKUP(F52,Table8[[Native]:[Population4]],5,FALSE)</f>
        <v>日喀则市</v>
      </c>
    </row>
    <row r="53" spans="1:7" ht="15.75" thickBot="1" x14ac:dyDescent="0.3">
      <c r="A53" t="s">
        <v>956</v>
      </c>
      <c r="B53" s="1" t="s">
        <v>957</v>
      </c>
      <c r="C53" s="1" t="s">
        <v>7</v>
      </c>
      <c r="D53" s="1" t="s">
        <v>846</v>
      </c>
      <c r="E53" s="3">
        <v>1147</v>
      </c>
      <c r="F53" s="1" t="str">
        <f>VLOOKUP(D53,Table8[[Name]:[Native]],3,FALSE)</f>
        <v>昂仁县</v>
      </c>
      <c r="G53" s="12" t="str">
        <f ca="1">VLOOKUP(F53,Table8[[Native]:[Population4]],5,FALSE)</f>
        <v>日喀则市</v>
      </c>
    </row>
    <row r="54" spans="1:7" ht="15.75" thickBot="1" x14ac:dyDescent="0.3">
      <c r="A54" t="s">
        <v>958</v>
      </c>
      <c r="B54" s="1" t="s">
        <v>959</v>
      </c>
      <c r="C54" s="1" t="s">
        <v>7</v>
      </c>
      <c r="D54" s="1" t="s">
        <v>890</v>
      </c>
      <c r="E54" s="3">
        <v>800</v>
      </c>
      <c r="F54" s="1" t="str">
        <f>VLOOKUP(D54,Table8[[Name]:[Native]],3,FALSE)</f>
        <v>定结县</v>
      </c>
      <c r="G54" s="12" t="str">
        <f ca="1">VLOOKUP(F54,Table8[[Native]:[Population4]],5,FALSE)</f>
        <v>日喀则市</v>
      </c>
    </row>
    <row r="55" spans="1:7" ht="15.75" thickBot="1" x14ac:dyDescent="0.3">
      <c r="A55" t="s">
        <v>960</v>
      </c>
      <c r="B55" s="1" t="s">
        <v>961</v>
      </c>
      <c r="C55" s="1" t="s">
        <v>7</v>
      </c>
      <c r="D55" s="1" t="s">
        <v>856</v>
      </c>
      <c r="E55" s="3">
        <v>1341</v>
      </c>
      <c r="F55" s="1" t="str">
        <f>VLOOKUP(D55,Table8[[Name]:[Native]],3,FALSE)</f>
        <v>仲巴县</v>
      </c>
      <c r="G55" s="12" t="str">
        <f ca="1">VLOOKUP(F55,Table8[[Native]:[Population4]],5,FALSE)</f>
        <v>日喀则市</v>
      </c>
    </row>
    <row r="56" spans="1:7" ht="15.75" thickBot="1" x14ac:dyDescent="0.3">
      <c r="A56" t="s">
        <v>962</v>
      </c>
      <c r="B56" s="1" t="s">
        <v>963</v>
      </c>
      <c r="C56" s="1" t="s">
        <v>7</v>
      </c>
      <c r="D56" s="1" t="s">
        <v>843</v>
      </c>
      <c r="E56" s="3">
        <v>4654</v>
      </c>
      <c r="F56" s="1" t="str">
        <f>VLOOKUP(D56,Table8[[Name]:[Native]],3,FALSE)</f>
        <v>南木林县</v>
      </c>
      <c r="G56" s="12" t="str">
        <f ca="1">VLOOKUP(F56,Table8[[Native]:[Population4]],5,FALSE)</f>
        <v>日喀则市</v>
      </c>
    </row>
    <row r="57" spans="1:7" ht="15.75" thickBot="1" x14ac:dyDescent="0.3">
      <c r="A57" t="s">
        <v>964</v>
      </c>
      <c r="B57" s="1" t="s">
        <v>965</v>
      </c>
      <c r="C57" s="1" t="s">
        <v>7</v>
      </c>
      <c r="D57" s="1" t="s">
        <v>875</v>
      </c>
      <c r="E57" s="3">
        <v>1319</v>
      </c>
      <c r="F57" s="1" t="str">
        <f>VLOOKUP(D57,Table8[[Name]:[Native]],3,FALSE)</f>
        <v>定日县</v>
      </c>
      <c r="G57" s="12" t="str">
        <f ca="1">VLOOKUP(F57,Table8[[Native]:[Population4]],5,FALSE)</f>
        <v>日喀则市</v>
      </c>
    </row>
    <row r="58" spans="1:7" ht="15.75" thickBot="1" x14ac:dyDescent="0.3">
      <c r="A58" t="s">
        <v>966</v>
      </c>
      <c r="B58" s="1" t="s">
        <v>967</v>
      </c>
      <c r="C58" s="1" t="s">
        <v>7</v>
      </c>
      <c r="D58" s="1" t="s">
        <v>850</v>
      </c>
      <c r="E58" s="3">
        <v>11946</v>
      </c>
      <c r="F58" s="1" t="str">
        <f>VLOOKUP(D58,Table8[[Name]:[Native]],3,FALSE)</f>
        <v>桑珠孜区</v>
      </c>
      <c r="G58" s="12" t="str">
        <f ca="1">VLOOKUP(F58,Table8[[Native]:[Population4]],5,FALSE)</f>
        <v>日喀则市</v>
      </c>
    </row>
    <row r="59" spans="1:7" ht="15.75" thickBot="1" x14ac:dyDescent="0.3">
      <c r="A59" t="s">
        <v>968</v>
      </c>
      <c r="B59" s="1" t="s">
        <v>969</v>
      </c>
      <c r="C59" s="1" t="s">
        <v>17</v>
      </c>
      <c r="D59" s="1" t="s">
        <v>869</v>
      </c>
      <c r="E59" s="3">
        <v>3242</v>
      </c>
      <c r="F59" s="1" t="str">
        <f>VLOOKUP(D59,Table8[[Name]:[Native]],3,FALSE)</f>
        <v>萨嘎县</v>
      </c>
      <c r="G59" s="12" t="str">
        <f ca="1">VLOOKUP(F59,Table8[[Native]:[Population4]],5,FALSE)</f>
        <v>日喀则市</v>
      </c>
    </row>
    <row r="60" spans="1:7" ht="15.75" thickBot="1" x14ac:dyDescent="0.3">
      <c r="A60" t="s">
        <v>970</v>
      </c>
      <c r="B60" s="1" t="s">
        <v>971</v>
      </c>
      <c r="C60" s="1" t="s">
        <v>7</v>
      </c>
      <c r="D60" s="1" t="s">
        <v>893</v>
      </c>
      <c r="E60" s="3">
        <v>624</v>
      </c>
      <c r="F60" s="1" t="str">
        <f>VLOOKUP(D60,Table8[[Name]:[Native]],3,FALSE)</f>
        <v>江孜县</v>
      </c>
      <c r="G60" s="12" t="str">
        <f ca="1">VLOOKUP(F60,Table8[[Native]:[Population4]],5,FALSE)</f>
        <v>日喀则市</v>
      </c>
    </row>
    <row r="61" spans="1:7" ht="15.75" thickBot="1" x14ac:dyDescent="0.3">
      <c r="A61" t="s">
        <v>972</v>
      </c>
      <c r="B61" s="1" t="s">
        <v>973</v>
      </c>
      <c r="C61" s="1" t="s">
        <v>7</v>
      </c>
      <c r="D61" s="1" t="s">
        <v>850</v>
      </c>
      <c r="E61" s="3">
        <v>4951</v>
      </c>
      <c r="F61" s="1" t="str">
        <f>VLOOKUP(D61,Table8[[Name]:[Native]],3,FALSE)</f>
        <v>桑珠孜区</v>
      </c>
      <c r="G61" s="12" t="str">
        <f ca="1">VLOOKUP(F61,Table8[[Native]:[Population4]],5,FALSE)</f>
        <v>日喀则市</v>
      </c>
    </row>
    <row r="62" spans="1:7" ht="15.75" thickBot="1" x14ac:dyDescent="0.3">
      <c r="A62" t="s">
        <v>974</v>
      </c>
      <c r="B62" s="1" t="s">
        <v>975</v>
      </c>
      <c r="C62" s="1" t="s">
        <v>17</v>
      </c>
      <c r="D62" s="1" t="s">
        <v>890</v>
      </c>
      <c r="E62" s="3">
        <v>4428</v>
      </c>
      <c r="F62" s="1" t="str">
        <f>VLOOKUP(D62,Table8[[Name]:[Native]],3,FALSE)</f>
        <v>定结县</v>
      </c>
      <c r="G62" s="12" t="str">
        <f ca="1">VLOOKUP(F62,Table8[[Native]:[Population4]],5,FALSE)</f>
        <v>日喀则市</v>
      </c>
    </row>
    <row r="63" spans="1:7" ht="15.75" thickBot="1" x14ac:dyDescent="0.3">
      <c r="A63" t="s">
        <v>976</v>
      </c>
      <c r="B63" s="1" t="s">
        <v>977</v>
      </c>
      <c r="C63" s="1" t="s">
        <v>7</v>
      </c>
      <c r="D63" s="1" t="s">
        <v>893</v>
      </c>
      <c r="E63" s="3">
        <v>4242</v>
      </c>
      <c r="F63" s="1" t="str">
        <f>VLOOKUP(D63,Table8[[Name]:[Native]],3,FALSE)</f>
        <v>江孜县</v>
      </c>
      <c r="G63" s="12" t="str">
        <f ca="1">VLOOKUP(F63,Table8[[Native]:[Population4]],5,FALSE)</f>
        <v>日喀则市</v>
      </c>
    </row>
    <row r="64" spans="1:7" ht="15.75" thickBot="1" x14ac:dyDescent="0.3">
      <c r="A64" t="s">
        <v>978</v>
      </c>
      <c r="B64" s="1" t="s">
        <v>979</v>
      </c>
      <c r="C64" s="1" t="s">
        <v>17</v>
      </c>
      <c r="D64" s="1" t="s">
        <v>893</v>
      </c>
      <c r="E64" s="3">
        <v>11039</v>
      </c>
      <c r="F64" s="1" t="str">
        <f>VLOOKUP(D64,Table8[[Name]:[Native]],3,FALSE)</f>
        <v>江孜县</v>
      </c>
      <c r="G64" s="12" t="str">
        <f ca="1">VLOOKUP(F64,Table8[[Native]:[Population4]],5,FALSE)</f>
        <v>日喀则市</v>
      </c>
    </row>
    <row r="65" spans="1:7" ht="15.75" thickBot="1" x14ac:dyDescent="0.3">
      <c r="A65" t="s">
        <v>980</v>
      </c>
      <c r="B65" s="1" t="s">
        <v>981</v>
      </c>
      <c r="C65" s="1" t="s">
        <v>17</v>
      </c>
      <c r="D65" s="1" t="s">
        <v>878</v>
      </c>
      <c r="E65" s="3">
        <v>6182</v>
      </c>
      <c r="F65" s="1" t="str">
        <f>VLOOKUP(D65,Table8[[Name]:[Native]],3,FALSE)</f>
        <v>萨迦县</v>
      </c>
      <c r="G65" s="12" t="str">
        <f ca="1">VLOOKUP(F65,Table8[[Native]:[Population4]],5,FALSE)</f>
        <v>日喀则市</v>
      </c>
    </row>
    <row r="66" spans="1:7" ht="15.75" thickBot="1" x14ac:dyDescent="0.3">
      <c r="A66" t="s">
        <v>982</v>
      </c>
      <c r="B66" s="1" t="s">
        <v>983</v>
      </c>
      <c r="C66" s="1" t="s">
        <v>7</v>
      </c>
      <c r="D66" s="1" t="s">
        <v>856</v>
      </c>
      <c r="E66" s="3">
        <v>907</v>
      </c>
      <c r="F66" s="1" t="str">
        <f>VLOOKUP(D66,Table8[[Name]:[Native]],3,FALSE)</f>
        <v>仲巴县</v>
      </c>
      <c r="G66" s="12" t="str">
        <f ca="1">VLOOKUP(F66,Table8[[Native]:[Population4]],5,FALSE)</f>
        <v>日喀则市</v>
      </c>
    </row>
    <row r="67" spans="1:7" ht="15.75" thickBot="1" x14ac:dyDescent="0.3">
      <c r="A67" t="s">
        <v>984</v>
      </c>
      <c r="B67" s="1" t="s">
        <v>985</v>
      </c>
      <c r="C67" s="1" t="s">
        <v>17</v>
      </c>
      <c r="D67" s="1" t="s">
        <v>866</v>
      </c>
      <c r="E67" s="3">
        <v>4863</v>
      </c>
      <c r="F67" s="1" t="str">
        <f>VLOOKUP(D67,Table8[[Name]:[Native]],3,FALSE)</f>
        <v>吉隆县</v>
      </c>
      <c r="G67" s="12" t="str">
        <f ca="1">VLOOKUP(F67,Table8[[Native]:[Population4]],5,FALSE)</f>
        <v>日喀则市</v>
      </c>
    </row>
    <row r="68" spans="1:7" ht="15.75" thickBot="1" x14ac:dyDescent="0.3">
      <c r="A68" t="s">
        <v>986</v>
      </c>
      <c r="B68" s="1" t="s">
        <v>987</v>
      </c>
      <c r="C68" s="1" t="s">
        <v>7</v>
      </c>
      <c r="D68" s="1" t="s">
        <v>856</v>
      </c>
      <c r="E68" s="3">
        <v>1873</v>
      </c>
      <c r="F68" s="1" t="str">
        <f>VLOOKUP(D68,Table8[[Name]:[Native]],3,FALSE)</f>
        <v>仲巴县</v>
      </c>
      <c r="G68" s="12" t="str">
        <f ca="1">VLOOKUP(F68,Table8[[Native]:[Population4]],5,FALSE)</f>
        <v>日喀则市</v>
      </c>
    </row>
    <row r="69" spans="1:7" ht="15.75" thickBot="1" x14ac:dyDescent="0.3">
      <c r="A69" t="s">
        <v>988</v>
      </c>
      <c r="B69" s="1" t="s">
        <v>989</v>
      </c>
      <c r="C69" s="1" t="s">
        <v>7</v>
      </c>
      <c r="D69" s="1" t="s">
        <v>893</v>
      </c>
      <c r="E69" s="3">
        <v>2507</v>
      </c>
      <c r="F69" s="1" t="str">
        <f>VLOOKUP(D69,Table8[[Name]:[Native]],3,FALSE)</f>
        <v>江孜县</v>
      </c>
      <c r="G69" s="12" t="str">
        <f ca="1">VLOOKUP(F69,Table8[[Native]:[Population4]],5,FALSE)</f>
        <v>日喀则市</v>
      </c>
    </row>
    <row r="70" spans="1:7" ht="15.75" thickBot="1" x14ac:dyDescent="0.3">
      <c r="A70" t="s">
        <v>990</v>
      </c>
      <c r="B70" s="1" t="s">
        <v>991</v>
      </c>
      <c r="C70" s="1" t="s">
        <v>7</v>
      </c>
      <c r="D70" s="1" t="s">
        <v>934</v>
      </c>
      <c r="E70" s="3">
        <v>828</v>
      </c>
      <c r="F70" s="1" t="str">
        <f>VLOOKUP(D70,Table8[[Name]:[Native]],3,FALSE)</f>
        <v>亚东县</v>
      </c>
      <c r="G70" s="12" t="str">
        <f ca="1">VLOOKUP(F70,Table8[[Native]:[Population4]],5,FALSE)</f>
        <v>日喀则市</v>
      </c>
    </row>
    <row r="71" spans="1:7" ht="15.75" thickBot="1" x14ac:dyDescent="0.3">
      <c r="A71" t="s">
        <v>992</v>
      </c>
      <c r="B71" s="1" t="s">
        <v>993</v>
      </c>
      <c r="C71" s="1" t="s">
        <v>7</v>
      </c>
      <c r="D71" s="1" t="s">
        <v>893</v>
      </c>
      <c r="E71" s="3">
        <v>5042</v>
      </c>
      <c r="F71" s="1" t="str">
        <f>VLOOKUP(D71,Table8[[Name]:[Native]],3,FALSE)</f>
        <v>江孜县</v>
      </c>
      <c r="G71" s="12" t="str">
        <f ca="1">VLOOKUP(F71,Table8[[Native]:[Population4]],5,FALSE)</f>
        <v>日喀则市</v>
      </c>
    </row>
    <row r="72" spans="1:7" ht="15.75" thickBot="1" x14ac:dyDescent="0.3">
      <c r="A72" t="s">
        <v>994</v>
      </c>
      <c r="B72" s="1" t="s">
        <v>995</v>
      </c>
      <c r="C72" s="1" t="s">
        <v>17</v>
      </c>
      <c r="D72" s="1" t="s">
        <v>846</v>
      </c>
      <c r="E72" s="3">
        <v>8567</v>
      </c>
      <c r="F72" s="1" t="str">
        <f>VLOOKUP(D72,Table8[[Name]:[Native]],3,FALSE)</f>
        <v>昂仁县</v>
      </c>
      <c r="G72" s="12" t="str">
        <f ca="1">VLOOKUP(F72,Table8[[Native]:[Population4]],5,FALSE)</f>
        <v>日喀则市</v>
      </c>
    </row>
    <row r="73" spans="1:7" ht="15.75" thickBot="1" x14ac:dyDescent="0.3">
      <c r="A73" t="s">
        <v>994</v>
      </c>
      <c r="B73" s="1" t="s">
        <v>995</v>
      </c>
      <c r="C73" s="1" t="s">
        <v>17</v>
      </c>
      <c r="D73" s="1" t="s">
        <v>861</v>
      </c>
      <c r="E73" s="3">
        <v>7023</v>
      </c>
      <c r="F73" s="1" t="str">
        <f>VLOOKUP(D73,Table8[[Name]:[Native]],3,FALSE)</f>
        <v>谢通门县</v>
      </c>
      <c r="G73" s="12" t="str">
        <f ca="1">VLOOKUP(F73,Table8[[Native]:[Population4]],5,FALSE)</f>
        <v>日喀则市</v>
      </c>
    </row>
    <row r="74" spans="1:7" ht="15.75" thickBot="1" x14ac:dyDescent="0.3">
      <c r="A74" t="s">
        <v>996</v>
      </c>
      <c r="B74" s="1" t="s">
        <v>997</v>
      </c>
      <c r="C74" s="1" t="s">
        <v>7</v>
      </c>
      <c r="D74" s="1" t="s">
        <v>893</v>
      </c>
      <c r="E74" s="3">
        <v>5174</v>
      </c>
      <c r="F74" s="1" t="str">
        <f>VLOOKUP(D74,Table8[[Name]:[Native]],3,FALSE)</f>
        <v>江孜县</v>
      </c>
      <c r="G74" s="12" t="str">
        <f ca="1">VLOOKUP(F74,Table8[[Native]:[Population4]],5,FALSE)</f>
        <v>日喀则市</v>
      </c>
    </row>
    <row r="75" spans="1:7" ht="15.75" thickBot="1" x14ac:dyDescent="0.3">
      <c r="A75" t="s">
        <v>998</v>
      </c>
      <c r="B75" s="1" t="s">
        <v>999</v>
      </c>
      <c r="C75" s="1" t="s">
        <v>7</v>
      </c>
      <c r="D75" s="1" t="s">
        <v>934</v>
      </c>
      <c r="E75" s="3">
        <v>1078</v>
      </c>
      <c r="F75" s="1" t="str">
        <f>VLOOKUP(D75,Table8[[Name]:[Native]],3,FALSE)</f>
        <v>亚东县</v>
      </c>
      <c r="G75" s="12" t="str">
        <f ca="1">VLOOKUP(F75,Table8[[Native]:[Population4]],5,FALSE)</f>
        <v>日喀则市</v>
      </c>
    </row>
    <row r="76" spans="1:7" ht="15.75" thickBot="1" x14ac:dyDescent="0.3">
      <c r="A76" t="s">
        <v>1000</v>
      </c>
      <c r="B76" s="1" t="s">
        <v>1001</v>
      </c>
      <c r="C76" s="1" t="s">
        <v>17</v>
      </c>
      <c r="D76" s="1" t="s">
        <v>947</v>
      </c>
      <c r="E76" s="3">
        <v>3085</v>
      </c>
      <c r="F76" s="1" t="str">
        <f>VLOOKUP(D76,Table8[[Name]:[Native]],3,FALSE)</f>
        <v>康马县</v>
      </c>
      <c r="G76" s="12" t="str">
        <f ca="1">VLOOKUP(F76,Table8[[Native]:[Population4]],5,FALSE)</f>
        <v>日喀则市</v>
      </c>
    </row>
    <row r="77" spans="1:7" ht="15.75" thickBot="1" x14ac:dyDescent="0.3">
      <c r="A77" t="s">
        <v>1002</v>
      </c>
      <c r="B77" s="1" t="s">
        <v>1003</v>
      </c>
      <c r="C77" s="1" t="s">
        <v>7</v>
      </c>
      <c r="D77" s="1" t="s">
        <v>947</v>
      </c>
      <c r="E77" s="3">
        <v>1888</v>
      </c>
      <c r="F77" s="1" t="str">
        <f>VLOOKUP(D77,Table8[[Name]:[Native]],3,FALSE)</f>
        <v>康马县</v>
      </c>
      <c r="G77" s="12" t="str">
        <f ca="1">VLOOKUP(F77,Table8[[Native]:[Population4]],5,FALSE)</f>
        <v>日喀则市</v>
      </c>
    </row>
    <row r="78" spans="1:7" ht="15.75" thickBot="1" x14ac:dyDescent="0.3">
      <c r="A78" t="s">
        <v>1004</v>
      </c>
      <c r="B78" s="1" t="s">
        <v>1005</v>
      </c>
      <c r="C78" s="1" t="s">
        <v>7</v>
      </c>
      <c r="D78" s="1" t="s">
        <v>859</v>
      </c>
      <c r="E78" s="3">
        <v>3353</v>
      </c>
      <c r="F78" s="1" t="str">
        <f>VLOOKUP(D78,Table8[[Name]:[Native]],3,FALSE)</f>
        <v>仁布县</v>
      </c>
      <c r="G78" s="12" t="str">
        <f ca="1">VLOOKUP(F78,Table8[[Native]:[Population4]],5,FALSE)</f>
        <v>日喀则市</v>
      </c>
    </row>
    <row r="79" spans="1:7" ht="15.75" thickBot="1" x14ac:dyDescent="0.3">
      <c r="A79" t="s">
        <v>1006</v>
      </c>
      <c r="B79" s="1" t="s">
        <v>1007</v>
      </c>
      <c r="C79" s="1" t="s">
        <v>7</v>
      </c>
      <c r="D79" s="1" t="s">
        <v>893</v>
      </c>
      <c r="E79" s="3">
        <v>2198</v>
      </c>
      <c r="F79" s="1" t="str">
        <f>VLOOKUP(D79,Table8[[Name]:[Native]],3,FALSE)</f>
        <v>江孜县</v>
      </c>
      <c r="G79" s="12" t="str">
        <f ca="1">VLOOKUP(F79,Table8[[Native]:[Population4]],5,FALSE)</f>
        <v>日喀则市</v>
      </c>
    </row>
    <row r="80" spans="1:7" ht="15.75" thickBot="1" x14ac:dyDescent="0.3">
      <c r="A80" t="s">
        <v>428</v>
      </c>
      <c r="B80" s="1" t="s">
        <v>429</v>
      </c>
      <c r="C80" s="1" t="s">
        <v>7</v>
      </c>
      <c r="D80" s="1" t="s">
        <v>843</v>
      </c>
      <c r="E80" s="3">
        <v>5473</v>
      </c>
      <c r="F80" s="1" t="str">
        <f>VLOOKUP(D80,Table8[[Name]:[Native]],3,FALSE)</f>
        <v>南木林县</v>
      </c>
      <c r="G80" s="12" t="str">
        <f ca="1">VLOOKUP(F80,Table8[[Native]:[Population4]],5,FALSE)</f>
        <v>日喀则市</v>
      </c>
    </row>
    <row r="81" spans="1:7" ht="15.75" thickBot="1" x14ac:dyDescent="0.3">
      <c r="A81" t="s">
        <v>1008</v>
      </c>
      <c r="B81" s="1" t="s">
        <v>1009</v>
      </c>
      <c r="C81" s="1" t="s">
        <v>7</v>
      </c>
      <c r="D81" s="1" t="s">
        <v>875</v>
      </c>
      <c r="E81" s="3">
        <v>3958</v>
      </c>
      <c r="F81" s="1" t="str">
        <f>VLOOKUP(D81,Table8[[Name]:[Native]],3,FALSE)</f>
        <v>定日县</v>
      </c>
      <c r="G81" s="12" t="str">
        <f ca="1">VLOOKUP(F81,Table8[[Native]:[Population4]],5,FALSE)</f>
        <v>日喀则市</v>
      </c>
    </row>
    <row r="82" spans="1:7" ht="15.75" thickBot="1" x14ac:dyDescent="0.3">
      <c r="A82" t="s">
        <v>1010</v>
      </c>
      <c r="B82" s="1" t="s">
        <v>1011</v>
      </c>
      <c r="C82" s="1" t="s">
        <v>7</v>
      </c>
      <c r="D82" s="1" t="s">
        <v>846</v>
      </c>
      <c r="E82" s="3">
        <v>728</v>
      </c>
      <c r="F82" s="1" t="str">
        <f>VLOOKUP(D82,Table8[[Name]:[Native]],3,FALSE)</f>
        <v>昂仁县</v>
      </c>
      <c r="G82" s="12" t="str">
        <f ca="1">VLOOKUP(F82,Table8[[Native]:[Population4]],5,FALSE)</f>
        <v>日喀则市</v>
      </c>
    </row>
    <row r="83" spans="1:7" ht="15.75" thickBot="1" x14ac:dyDescent="0.3">
      <c r="A83" t="s">
        <v>709</v>
      </c>
      <c r="B83" s="1" t="s">
        <v>710</v>
      </c>
      <c r="C83" s="1" t="s">
        <v>7</v>
      </c>
      <c r="D83" s="1" t="s">
        <v>872</v>
      </c>
      <c r="E83" s="3">
        <v>1364</v>
      </c>
      <c r="F83" s="1" t="str">
        <f>VLOOKUP(D83,Table8[[Name]:[Native]],3,FALSE)</f>
        <v>岗巴县</v>
      </c>
      <c r="G83" s="12" t="str">
        <f ca="1">VLOOKUP(F83,Table8[[Native]:[Population4]],5,FALSE)</f>
        <v>日喀则市</v>
      </c>
    </row>
    <row r="84" spans="1:7" ht="15.75" thickBot="1" x14ac:dyDescent="0.3">
      <c r="A84" t="s">
        <v>1012</v>
      </c>
      <c r="B84" s="1" t="s">
        <v>1013</v>
      </c>
      <c r="C84" s="1" t="s">
        <v>7</v>
      </c>
      <c r="D84" s="1" t="s">
        <v>843</v>
      </c>
      <c r="E84" s="3">
        <v>2061</v>
      </c>
      <c r="F84" s="1" t="str">
        <f>VLOOKUP(D84,Table8[[Name]:[Native]],3,FALSE)</f>
        <v>南木林县</v>
      </c>
      <c r="G84" s="12" t="str">
        <f ca="1">VLOOKUP(F84,Table8[[Native]:[Population4]],5,FALSE)</f>
        <v>日喀则市</v>
      </c>
    </row>
    <row r="85" spans="1:7" ht="15.75" thickBot="1" x14ac:dyDescent="0.3">
      <c r="A85" t="s">
        <v>1014</v>
      </c>
      <c r="B85" s="1" t="s">
        <v>1015</v>
      </c>
      <c r="C85" s="1" t="s">
        <v>7</v>
      </c>
      <c r="D85" s="1" t="s">
        <v>878</v>
      </c>
      <c r="E85" s="3">
        <v>3627</v>
      </c>
      <c r="F85" s="1" t="str">
        <f>VLOOKUP(D85,Table8[[Name]:[Native]],3,FALSE)</f>
        <v>萨迦县</v>
      </c>
      <c r="G85" s="12" t="str">
        <f ca="1">VLOOKUP(F85,Table8[[Native]:[Population4]],5,FALSE)</f>
        <v>日喀则市</v>
      </c>
    </row>
    <row r="86" spans="1:7" ht="15.75" thickBot="1" x14ac:dyDescent="0.3">
      <c r="A86" t="s">
        <v>1016</v>
      </c>
      <c r="B86" s="1" t="s">
        <v>1017</v>
      </c>
      <c r="C86" s="1" t="s">
        <v>7</v>
      </c>
      <c r="D86" s="1" t="s">
        <v>856</v>
      </c>
      <c r="E86" s="3">
        <v>1966</v>
      </c>
      <c r="F86" s="1" t="str">
        <f>VLOOKUP(D86,Table8[[Name]:[Native]],3,FALSE)</f>
        <v>仲巴县</v>
      </c>
      <c r="G86" s="12" t="str">
        <f ca="1">VLOOKUP(F86,Table8[[Native]:[Population4]],5,FALSE)</f>
        <v>日喀则市</v>
      </c>
    </row>
    <row r="87" spans="1:7" ht="15.75" thickBot="1" x14ac:dyDescent="0.3">
      <c r="A87" t="s">
        <v>1018</v>
      </c>
      <c r="B87" s="1" t="s">
        <v>1019</v>
      </c>
      <c r="C87" s="1" t="s">
        <v>7</v>
      </c>
      <c r="D87" s="1" t="s">
        <v>869</v>
      </c>
      <c r="E87" s="3">
        <v>1495</v>
      </c>
      <c r="F87" s="1" t="str">
        <f>VLOOKUP(D87,Table8[[Name]:[Native]],3,FALSE)</f>
        <v>萨嘎县</v>
      </c>
      <c r="G87" s="12" t="str">
        <f ca="1">VLOOKUP(F87,Table8[[Native]:[Population4]],5,FALSE)</f>
        <v>日喀则市</v>
      </c>
    </row>
    <row r="88" spans="1:7" ht="15.75" thickBot="1" x14ac:dyDescent="0.3">
      <c r="A88" t="s">
        <v>1020</v>
      </c>
      <c r="B88" s="1" t="s">
        <v>1021</v>
      </c>
      <c r="C88" s="1" t="s">
        <v>17</v>
      </c>
      <c r="D88" s="1" t="s">
        <v>881</v>
      </c>
      <c r="E88" s="3">
        <v>5870</v>
      </c>
      <c r="F88" s="1" t="str">
        <f>VLOOKUP(D88,Table8[[Name]:[Native]],3,FALSE)</f>
        <v>拉孜县</v>
      </c>
      <c r="G88" s="12" t="str">
        <f ca="1">VLOOKUP(F88,Table8[[Native]:[Population4]],5,FALSE)</f>
        <v>日喀则市</v>
      </c>
    </row>
    <row r="89" spans="1:7" ht="15.75" thickBot="1" x14ac:dyDescent="0.3">
      <c r="A89" t="s">
        <v>1022</v>
      </c>
      <c r="B89" s="1" t="s">
        <v>1023</v>
      </c>
      <c r="C89" s="1" t="s">
        <v>7</v>
      </c>
      <c r="D89" s="1" t="s">
        <v>850</v>
      </c>
      <c r="E89" s="3">
        <v>4823</v>
      </c>
      <c r="F89" s="1" t="str">
        <f>VLOOKUP(D89,Table8[[Name]:[Native]],3,FALSE)</f>
        <v>桑珠孜区</v>
      </c>
      <c r="G89" s="12" t="str">
        <f ca="1">VLOOKUP(F89,Table8[[Native]:[Population4]],5,FALSE)</f>
        <v>日喀则市</v>
      </c>
    </row>
    <row r="90" spans="1:7" ht="15.75" thickBot="1" x14ac:dyDescent="0.3">
      <c r="A90" t="s">
        <v>1024</v>
      </c>
      <c r="B90" s="1" t="s">
        <v>1025</v>
      </c>
      <c r="C90" s="1" t="s">
        <v>7</v>
      </c>
      <c r="D90" s="1" t="s">
        <v>861</v>
      </c>
      <c r="E90" s="3">
        <v>1509</v>
      </c>
      <c r="F90" s="1" t="str">
        <f>VLOOKUP(D90,Table8[[Name]:[Native]],3,FALSE)</f>
        <v>谢通门县</v>
      </c>
      <c r="G90" s="12" t="str">
        <f ca="1">VLOOKUP(F90,Table8[[Native]:[Population4]],5,FALSE)</f>
        <v>日喀则市</v>
      </c>
    </row>
    <row r="91" spans="1:7" ht="15.75" thickBot="1" x14ac:dyDescent="0.3">
      <c r="A91" t="s">
        <v>1026</v>
      </c>
      <c r="B91" s="1" t="s">
        <v>1027</v>
      </c>
      <c r="C91" s="1" t="s">
        <v>7</v>
      </c>
      <c r="D91" s="1" t="s">
        <v>881</v>
      </c>
      <c r="E91" s="3">
        <v>3543</v>
      </c>
      <c r="F91" s="1" t="str">
        <f>VLOOKUP(D91,Table8[[Name]:[Native]],3,FALSE)</f>
        <v>拉孜县</v>
      </c>
      <c r="G91" s="12" t="str">
        <f ca="1">VLOOKUP(F91,Table8[[Native]:[Population4]],5,FALSE)</f>
        <v>日喀则市</v>
      </c>
    </row>
    <row r="92" spans="1:7" ht="15.75" thickBot="1" x14ac:dyDescent="0.3">
      <c r="A92" t="s">
        <v>1028</v>
      </c>
      <c r="B92" s="1" t="s">
        <v>1029</v>
      </c>
      <c r="C92" s="1" t="s">
        <v>7</v>
      </c>
      <c r="D92" s="1" t="s">
        <v>856</v>
      </c>
      <c r="E92" s="3">
        <v>3275</v>
      </c>
      <c r="F92" s="1" t="str">
        <f>VLOOKUP(D92,Table8[[Name]:[Native]],3,FALSE)</f>
        <v>仲巴县</v>
      </c>
      <c r="G92" s="12" t="str">
        <f ca="1">VLOOKUP(F92,Table8[[Native]:[Population4]],5,FALSE)</f>
        <v>日喀则市</v>
      </c>
    </row>
    <row r="93" spans="1:7" ht="15.75" thickBot="1" x14ac:dyDescent="0.3">
      <c r="A93" t="s">
        <v>1030</v>
      </c>
      <c r="B93" s="1" t="s">
        <v>1031</v>
      </c>
      <c r="C93" s="1" t="s">
        <v>7</v>
      </c>
      <c r="D93" s="1" t="s">
        <v>893</v>
      </c>
      <c r="E93" s="3">
        <v>1732</v>
      </c>
      <c r="F93" s="1" t="str">
        <f>VLOOKUP(D93,Table8[[Name]:[Native]],3,FALSE)</f>
        <v>江孜县</v>
      </c>
      <c r="G93" s="12" t="str">
        <f ca="1">VLOOKUP(F93,Table8[[Native]:[Population4]],5,FALSE)</f>
        <v>日喀则市</v>
      </c>
    </row>
    <row r="94" spans="1:7" ht="15.75" thickBot="1" x14ac:dyDescent="0.3">
      <c r="A94" t="s">
        <v>1032</v>
      </c>
      <c r="B94" s="1" t="s">
        <v>1033</v>
      </c>
      <c r="C94" s="1" t="s">
        <v>7</v>
      </c>
      <c r="D94" s="1" t="s">
        <v>872</v>
      </c>
      <c r="E94" s="3">
        <v>2344</v>
      </c>
      <c r="F94" s="1" t="str">
        <f>VLOOKUP(D94,Table8[[Name]:[Native]],3,FALSE)</f>
        <v>岗巴县</v>
      </c>
      <c r="G94" s="12" t="str">
        <f ca="1">VLOOKUP(F94,Table8[[Native]:[Population4]],5,FALSE)</f>
        <v>日喀则市</v>
      </c>
    </row>
    <row r="95" spans="1:7" ht="15.75" thickBot="1" x14ac:dyDescent="0.3">
      <c r="A95" t="s">
        <v>1034</v>
      </c>
      <c r="B95" s="1" t="s">
        <v>1035</v>
      </c>
      <c r="C95" s="1" t="s">
        <v>17</v>
      </c>
      <c r="D95" s="1" t="s">
        <v>847</v>
      </c>
      <c r="E95" s="3">
        <v>7243</v>
      </c>
      <c r="F95" s="1" t="str">
        <f>VLOOKUP(D95,Table8[[Name]:[Native]],3,FALSE)</f>
        <v>白朗县</v>
      </c>
      <c r="G95" s="12" t="str">
        <f ca="1">VLOOKUP(F95,Table8[[Native]:[Population4]],5,FALSE)</f>
        <v>日喀则市</v>
      </c>
    </row>
    <row r="96" spans="1:7" ht="15.75" thickBot="1" x14ac:dyDescent="0.3">
      <c r="A96" t="s">
        <v>1036</v>
      </c>
      <c r="B96" s="1" t="s">
        <v>1037</v>
      </c>
      <c r="C96" s="1" t="s">
        <v>7</v>
      </c>
      <c r="D96" s="1" t="s">
        <v>878</v>
      </c>
      <c r="E96" s="3">
        <v>4296</v>
      </c>
      <c r="F96" s="1" t="str">
        <f>VLOOKUP(D96,Table8[[Name]:[Native]],3,FALSE)</f>
        <v>萨迦县</v>
      </c>
      <c r="G96" s="12" t="str">
        <f ca="1">VLOOKUP(F96,Table8[[Native]:[Population4]],5,FALSE)</f>
        <v>日喀则市</v>
      </c>
    </row>
    <row r="97" spans="1:7" ht="15.75" thickBot="1" x14ac:dyDescent="0.3">
      <c r="A97" t="s">
        <v>1038</v>
      </c>
      <c r="B97" s="1" t="s">
        <v>1039</v>
      </c>
      <c r="C97" s="1" t="s">
        <v>7</v>
      </c>
      <c r="D97" s="1" t="s">
        <v>881</v>
      </c>
      <c r="E97" s="3">
        <v>3393</v>
      </c>
      <c r="F97" s="1" t="str">
        <f>VLOOKUP(D97,Table8[[Name]:[Native]],3,FALSE)</f>
        <v>拉孜县</v>
      </c>
      <c r="G97" s="12" t="str">
        <f ca="1">VLOOKUP(F97,Table8[[Native]:[Population4]],5,FALSE)</f>
        <v>日喀则市</v>
      </c>
    </row>
    <row r="98" spans="1:7" ht="15.75" thickBot="1" x14ac:dyDescent="0.3">
      <c r="A98" t="s">
        <v>1040</v>
      </c>
      <c r="B98" s="1" t="s">
        <v>1041</v>
      </c>
      <c r="C98" s="1" t="s">
        <v>7</v>
      </c>
      <c r="D98" s="1" t="s">
        <v>843</v>
      </c>
      <c r="E98" s="3">
        <v>2956</v>
      </c>
      <c r="F98" s="1" t="str">
        <f>VLOOKUP(D98,Table8[[Name]:[Native]],3,FALSE)</f>
        <v>南木林县</v>
      </c>
      <c r="G98" s="12" t="str">
        <f ca="1">VLOOKUP(F98,Table8[[Native]:[Population4]],5,FALSE)</f>
        <v>日喀则市</v>
      </c>
    </row>
    <row r="99" spans="1:7" ht="15.75" thickBot="1" x14ac:dyDescent="0.3">
      <c r="A99" t="s">
        <v>1042</v>
      </c>
      <c r="B99" s="1" t="s">
        <v>1043</v>
      </c>
      <c r="C99" s="1" t="s">
        <v>7</v>
      </c>
      <c r="D99" s="1" t="s">
        <v>847</v>
      </c>
      <c r="E99" s="3">
        <v>4632</v>
      </c>
      <c r="F99" s="1" t="str">
        <f>VLOOKUP(D99,Table8[[Name]:[Native]],3,FALSE)</f>
        <v>白朗县</v>
      </c>
      <c r="G99" s="12" t="str">
        <f ca="1">VLOOKUP(F99,Table8[[Native]:[Population4]],5,FALSE)</f>
        <v>日喀则市</v>
      </c>
    </row>
    <row r="100" spans="1:7" ht="15.75" thickBot="1" x14ac:dyDescent="0.3">
      <c r="A100" t="s">
        <v>1044</v>
      </c>
      <c r="B100" s="1" t="s">
        <v>1045</v>
      </c>
      <c r="C100" s="1" t="s">
        <v>7</v>
      </c>
      <c r="D100" s="1" t="s">
        <v>861</v>
      </c>
      <c r="E100" s="3">
        <v>1135</v>
      </c>
      <c r="F100" s="1" t="str">
        <f>VLOOKUP(D100,Table8[[Name]:[Native]],3,FALSE)</f>
        <v>谢通门县</v>
      </c>
      <c r="G100" s="12" t="str">
        <f ca="1">VLOOKUP(F100,Table8[[Native]:[Population4]],5,FALSE)</f>
        <v>日喀则市</v>
      </c>
    </row>
    <row r="101" spans="1:7" ht="15.75" thickBot="1" x14ac:dyDescent="0.3">
      <c r="A101" t="s">
        <v>1046</v>
      </c>
      <c r="B101" s="1" t="s">
        <v>1047</v>
      </c>
      <c r="C101" s="1" t="s">
        <v>7</v>
      </c>
      <c r="D101" s="1" t="s">
        <v>853</v>
      </c>
      <c r="E101" s="3">
        <v>2678</v>
      </c>
      <c r="F101" s="1" t="str">
        <f>VLOOKUP(D101,Table8[[Name]:[Native]],3,FALSE)</f>
        <v>聂拉木县</v>
      </c>
      <c r="G101" s="12" t="str">
        <f ca="1">VLOOKUP(F101,Table8[[Native]:[Population4]],5,FALSE)</f>
        <v>日喀则市</v>
      </c>
    </row>
    <row r="102" spans="1:7" ht="15.75" thickBot="1" x14ac:dyDescent="0.3">
      <c r="A102" t="s">
        <v>1048</v>
      </c>
      <c r="B102" s="1" t="s">
        <v>1049</v>
      </c>
      <c r="C102" s="1" t="s">
        <v>7</v>
      </c>
      <c r="D102" s="1" t="s">
        <v>878</v>
      </c>
      <c r="E102" s="3">
        <v>3184</v>
      </c>
      <c r="F102" s="1" t="str">
        <f>VLOOKUP(D102,Table8[[Name]:[Native]],3,FALSE)</f>
        <v>萨迦县</v>
      </c>
      <c r="G102" s="12" t="str">
        <f ca="1">VLOOKUP(F102,Table8[[Native]:[Population4]],5,FALSE)</f>
        <v>日喀则市</v>
      </c>
    </row>
    <row r="103" spans="1:7" ht="15.75" thickBot="1" x14ac:dyDescent="0.3">
      <c r="A103" t="s">
        <v>1050</v>
      </c>
      <c r="B103" s="1" t="s">
        <v>1051</v>
      </c>
      <c r="C103" s="1" t="s">
        <v>7</v>
      </c>
      <c r="D103" s="1" t="s">
        <v>859</v>
      </c>
      <c r="E103" s="3">
        <v>3067</v>
      </c>
      <c r="F103" s="1" t="str">
        <f>VLOOKUP(D103,Table8[[Name]:[Native]],3,FALSE)</f>
        <v>仁布县</v>
      </c>
      <c r="G103" s="12" t="str">
        <f ca="1">VLOOKUP(F103,Table8[[Native]:[Population4]],5,FALSE)</f>
        <v>日喀则市</v>
      </c>
    </row>
    <row r="104" spans="1:7" ht="15.75" thickBot="1" x14ac:dyDescent="0.3">
      <c r="A104" t="s">
        <v>1052</v>
      </c>
      <c r="B104" s="1" t="s">
        <v>1053</v>
      </c>
      <c r="C104" s="1" t="s">
        <v>7</v>
      </c>
      <c r="D104" s="1" t="s">
        <v>861</v>
      </c>
      <c r="E104" s="3">
        <v>1410</v>
      </c>
      <c r="F104" s="1" t="str">
        <f>VLOOKUP(D104,Table8[[Name]:[Native]],3,FALSE)</f>
        <v>谢通门县</v>
      </c>
      <c r="G104" s="12" t="str">
        <f ca="1">VLOOKUP(F104,Table8[[Native]:[Population4]],5,FALSE)</f>
        <v>日喀则市</v>
      </c>
    </row>
    <row r="105" spans="1:7" ht="15.75" thickBot="1" x14ac:dyDescent="0.3">
      <c r="A105" t="s">
        <v>1054</v>
      </c>
      <c r="B105" s="1" t="s">
        <v>1055</v>
      </c>
      <c r="C105" s="1" t="s">
        <v>7</v>
      </c>
      <c r="D105" s="1" t="s">
        <v>850</v>
      </c>
      <c r="E105" s="3">
        <v>2064</v>
      </c>
      <c r="F105" s="1" t="str">
        <f>VLOOKUP(D105,Table8[[Name]:[Native]],3,FALSE)</f>
        <v>桑珠孜区</v>
      </c>
      <c r="G105" s="12" t="str">
        <f ca="1">VLOOKUP(F105,Table8[[Native]:[Population4]],5,FALSE)</f>
        <v>日喀则市</v>
      </c>
    </row>
    <row r="106" spans="1:7" ht="15.75" thickBot="1" x14ac:dyDescent="0.3">
      <c r="A106" t="s">
        <v>1056</v>
      </c>
      <c r="B106" s="1" t="s">
        <v>1057</v>
      </c>
      <c r="C106" s="1" t="s">
        <v>7</v>
      </c>
      <c r="D106" s="1" t="s">
        <v>853</v>
      </c>
      <c r="E106" s="3">
        <v>1344</v>
      </c>
      <c r="F106" s="1" t="str">
        <f>VLOOKUP(D106,Table8[[Name]:[Native]],3,FALSE)</f>
        <v>聂拉木县</v>
      </c>
      <c r="G106" s="12" t="str">
        <f ca="1">VLOOKUP(F106,Table8[[Native]:[Population4]],5,FALSE)</f>
        <v>日喀则市</v>
      </c>
    </row>
    <row r="107" spans="1:7" ht="15.75" thickBot="1" x14ac:dyDescent="0.3">
      <c r="A107" t="s">
        <v>1058</v>
      </c>
      <c r="B107" s="1" t="s">
        <v>1059</v>
      </c>
      <c r="C107" s="1" t="s">
        <v>7</v>
      </c>
      <c r="D107" s="1" t="s">
        <v>856</v>
      </c>
      <c r="E107" s="3">
        <v>1202</v>
      </c>
      <c r="F107" s="1" t="str">
        <f>VLOOKUP(D107,Table8[[Name]:[Native]],3,FALSE)</f>
        <v>仲巴县</v>
      </c>
      <c r="G107" s="12" t="str">
        <f ca="1">VLOOKUP(F107,Table8[[Native]:[Population4]],5,FALSE)</f>
        <v>日喀则市</v>
      </c>
    </row>
    <row r="108" spans="1:7" ht="15.75" thickBot="1" x14ac:dyDescent="0.3">
      <c r="A108" t="s">
        <v>1060</v>
      </c>
      <c r="B108" s="1" t="s">
        <v>1061</v>
      </c>
      <c r="C108" s="1" t="s">
        <v>17</v>
      </c>
      <c r="D108" s="1" t="s">
        <v>843</v>
      </c>
      <c r="E108" s="3">
        <v>10028</v>
      </c>
      <c r="F108" s="1" t="str">
        <f>VLOOKUP(D108,Table8[[Name]:[Native]],3,FALSE)</f>
        <v>南木林县</v>
      </c>
      <c r="G108" s="12" t="str">
        <f ca="1">VLOOKUP(F108,Table8[[Native]:[Population4]],5,FALSE)</f>
        <v>日喀则市</v>
      </c>
    </row>
    <row r="109" spans="1:7" ht="15.75" thickBot="1" x14ac:dyDescent="0.3">
      <c r="A109" t="s">
        <v>1062</v>
      </c>
      <c r="B109" s="1" t="s">
        <v>1063</v>
      </c>
      <c r="C109" s="1" t="s">
        <v>7</v>
      </c>
      <c r="D109" s="1" t="s">
        <v>861</v>
      </c>
      <c r="E109" s="3">
        <v>1114</v>
      </c>
      <c r="F109" s="1" t="str">
        <f>VLOOKUP(D109,Table8[[Name]:[Native]],3,FALSE)</f>
        <v>谢通门县</v>
      </c>
      <c r="G109" s="12" t="str">
        <f ca="1">VLOOKUP(F109,Table8[[Native]:[Population4]],5,FALSE)</f>
        <v>日喀则市</v>
      </c>
    </row>
    <row r="110" spans="1:7" ht="15.75" thickBot="1" x14ac:dyDescent="0.3">
      <c r="A110" t="s">
        <v>1064</v>
      </c>
      <c r="B110" s="1" t="s">
        <v>1065</v>
      </c>
      <c r="C110" s="1" t="s">
        <v>7</v>
      </c>
      <c r="D110" s="1" t="s">
        <v>947</v>
      </c>
      <c r="E110" s="3">
        <v>2232</v>
      </c>
      <c r="F110" s="1" t="str">
        <f>VLOOKUP(D110,Table8[[Name]:[Native]],3,FALSE)</f>
        <v>康马县</v>
      </c>
      <c r="G110" s="12" t="str">
        <f ca="1">VLOOKUP(F110,Table8[[Native]:[Population4]],5,FALSE)</f>
        <v>日喀则市</v>
      </c>
    </row>
    <row r="111" spans="1:7" ht="15.75" thickBot="1" x14ac:dyDescent="0.3">
      <c r="A111" t="s">
        <v>1066</v>
      </c>
      <c r="B111" s="1" t="s">
        <v>1067</v>
      </c>
      <c r="C111" s="1" t="s">
        <v>7</v>
      </c>
      <c r="D111" s="1" t="s">
        <v>893</v>
      </c>
      <c r="E111" s="3">
        <v>3998</v>
      </c>
      <c r="F111" s="1" t="str">
        <f>VLOOKUP(D111,Table8[[Name]:[Native]],3,FALSE)</f>
        <v>江孜县</v>
      </c>
      <c r="G111" s="12" t="str">
        <f ca="1">VLOOKUP(F111,Table8[[Native]:[Population4]],5,FALSE)</f>
        <v>日喀则市</v>
      </c>
    </row>
    <row r="112" spans="1:7" ht="15.75" thickBot="1" x14ac:dyDescent="0.3">
      <c r="A112" t="s">
        <v>1068</v>
      </c>
      <c r="B112" s="1" t="s">
        <v>1069</v>
      </c>
      <c r="C112" s="1" t="s">
        <v>7</v>
      </c>
      <c r="D112" s="1" t="s">
        <v>861</v>
      </c>
      <c r="E112" s="3">
        <v>1308</v>
      </c>
      <c r="F112" s="1" t="str">
        <f>VLOOKUP(D112,Table8[[Name]:[Native]],3,FALSE)</f>
        <v>谢通门县</v>
      </c>
      <c r="G112" s="12" t="str">
        <f ca="1">VLOOKUP(F112,Table8[[Native]:[Population4]],5,FALSE)</f>
        <v>日喀则市</v>
      </c>
    </row>
    <row r="113" spans="1:7" ht="15.75" thickBot="1" x14ac:dyDescent="0.3">
      <c r="A113" t="s">
        <v>1070</v>
      </c>
      <c r="B113" s="1" t="s">
        <v>1071</v>
      </c>
      <c r="C113" s="1" t="s">
        <v>7</v>
      </c>
      <c r="D113" s="1" t="s">
        <v>850</v>
      </c>
      <c r="E113" s="3">
        <v>3347</v>
      </c>
      <c r="F113" s="1" t="str">
        <f>VLOOKUP(D113,Table8[[Name]:[Native]],3,FALSE)</f>
        <v>桑珠孜区</v>
      </c>
      <c r="G113" s="12" t="str">
        <f ca="1">VLOOKUP(F113,Table8[[Native]:[Population4]],5,FALSE)</f>
        <v>日喀则市</v>
      </c>
    </row>
    <row r="114" spans="1:7" ht="15.75" thickBot="1" x14ac:dyDescent="0.3">
      <c r="A114" t="s">
        <v>1072</v>
      </c>
      <c r="B114" s="1" t="s">
        <v>1073</v>
      </c>
      <c r="C114" s="1" t="s">
        <v>7</v>
      </c>
      <c r="D114" s="1" t="s">
        <v>893</v>
      </c>
      <c r="E114" s="3">
        <v>3314</v>
      </c>
      <c r="F114" s="1" t="str">
        <f>VLOOKUP(D114,Table8[[Name]:[Native]],3,FALSE)</f>
        <v>江孜县</v>
      </c>
      <c r="G114" s="12" t="str">
        <f ca="1">VLOOKUP(F114,Table8[[Native]:[Population4]],5,FALSE)</f>
        <v>日喀则市</v>
      </c>
    </row>
    <row r="115" spans="1:7" ht="15.75" thickBot="1" x14ac:dyDescent="0.3">
      <c r="A115" t="s">
        <v>1074</v>
      </c>
      <c r="B115" s="1" t="s">
        <v>1075</v>
      </c>
      <c r="C115" s="1" t="s">
        <v>17</v>
      </c>
      <c r="D115" s="1" t="s">
        <v>853</v>
      </c>
      <c r="E115" s="3">
        <v>2986</v>
      </c>
      <c r="F115" s="1" t="str">
        <f>VLOOKUP(D115,Table8[[Name]:[Native]],3,FALSE)</f>
        <v>聂拉木县</v>
      </c>
      <c r="G115" s="12" t="str">
        <f ca="1">VLOOKUP(F115,Table8[[Native]:[Population4]],5,FALSE)</f>
        <v>日喀则市</v>
      </c>
    </row>
    <row r="116" spans="1:7" ht="15.75" thickBot="1" x14ac:dyDescent="0.3">
      <c r="A116" t="s">
        <v>1076</v>
      </c>
      <c r="B116" s="1" t="s">
        <v>1077</v>
      </c>
      <c r="C116" s="1" t="s">
        <v>7</v>
      </c>
      <c r="D116" s="1" t="s">
        <v>850</v>
      </c>
      <c r="E116" s="3">
        <v>5119</v>
      </c>
      <c r="F116" s="1" t="str">
        <f>VLOOKUP(D116,Table8[[Name]:[Native]],3,FALSE)</f>
        <v>桑珠孜区</v>
      </c>
      <c r="G116" s="12" t="str">
        <f ca="1">VLOOKUP(F116,Table8[[Native]:[Population4]],5,FALSE)</f>
        <v>日喀则市</v>
      </c>
    </row>
    <row r="117" spans="1:7" ht="15.75" thickBot="1" x14ac:dyDescent="0.3">
      <c r="A117" t="s">
        <v>1078</v>
      </c>
      <c r="B117" s="1" t="s">
        <v>1079</v>
      </c>
      <c r="C117" s="1" t="s">
        <v>7</v>
      </c>
      <c r="D117" s="1" t="s">
        <v>947</v>
      </c>
      <c r="E117" s="3">
        <v>2075</v>
      </c>
      <c r="F117" s="1" t="str">
        <f>VLOOKUP(D117,Table8[[Name]:[Native]],3,FALSE)</f>
        <v>康马县</v>
      </c>
      <c r="G117" s="12" t="str">
        <f ca="1">VLOOKUP(F117,Table8[[Native]:[Population4]],5,FALSE)</f>
        <v>日喀则市</v>
      </c>
    </row>
    <row r="118" spans="1:7" ht="15.75" thickBot="1" x14ac:dyDescent="0.3">
      <c r="A118" t="s">
        <v>1080</v>
      </c>
      <c r="B118" s="1" t="s">
        <v>1081</v>
      </c>
      <c r="C118" s="1" t="s">
        <v>7</v>
      </c>
      <c r="D118" s="1" t="s">
        <v>947</v>
      </c>
      <c r="E118" s="3">
        <v>1658</v>
      </c>
      <c r="F118" s="1" t="str">
        <f>VLOOKUP(D118,Table8[[Name]:[Native]],3,FALSE)</f>
        <v>康马县</v>
      </c>
      <c r="G118" s="12" t="str">
        <f ca="1">VLOOKUP(F118,Table8[[Native]:[Population4]],5,FALSE)</f>
        <v>日喀则市</v>
      </c>
    </row>
    <row r="119" spans="1:7" ht="15.75" thickBot="1" x14ac:dyDescent="0.3">
      <c r="A119" t="s">
        <v>1082</v>
      </c>
      <c r="B119" s="1" t="s">
        <v>1083</v>
      </c>
      <c r="C119" s="1" t="s">
        <v>7</v>
      </c>
      <c r="D119" s="1" t="s">
        <v>846</v>
      </c>
      <c r="E119" s="3">
        <v>1437</v>
      </c>
      <c r="F119" s="1" t="str">
        <f>VLOOKUP(D119,Table8[[Name]:[Native]],3,FALSE)</f>
        <v>昂仁县</v>
      </c>
      <c r="G119" s="12" t="str">
        <f ca="1">VLOOKUP(F119,Table8[[Native]:[Population4]],5,FALSE)</f>
        <v>日喀则市</v>
      </c>
    </row>
    <row r="120" spans="1:7" ht="15.75" thickBot="1" x14ac:dyDescent="0.3">
      <c r="A120" t="s">
        <v>1084</v>
      </c>
      <c r="B120" s="1" t="s">
        <v>1085</v>
      </c>
      <c r="C120" s="1" t="s">
        <v>7</v>
      </c>
      <c r="D120" s="1" t="s">
        <v>875</v>
      </c>
      <c r="E120" s="3">
        <v>1827</v>
      </c>
      <c r="F120" s="1" t="str">
        <f>VLOOKUP(D120,Table8[[Name]:[Native]],3,FALSE)</f>
        <v>定日县</v>
      </c>
      <c r="G120" s="12" t="str">
        <f ca="1">VLOOKUP(F120,Table8[[Native]:[Population4]],5,FALSE)</f>
        <v>日喀则市</v>
      </c>
    </row>
    <row r="121" spans="1:7" ht="15.75" thickBot="1" x14ac:dyDescent="0.3">
      <c r="A121" t="s">
        <v>1086</v>
      </c>
      <c r="B121" s="1" t="s">
        <v>1087</v>
      </c>
      <c r="C121" s="1" t="s">
        <v>7</v>
      </c>
      <c r="D121" s="1" t="s">
        <v>843</v>
      </c>
      <c r="E121" s="3">
        <v>2967</v>
      </c>
      <c r="F121" s="1" t="str">
        <f>VLOOKUP(D121,Table8[[Name]:[Native]],3,FALSE)</f>
        <v>南木林县</v>
      </c>
      <c r="G121" s="12" t="str">
        <f ca="1">VLOOKUP(F121,Table8[[Native]:[Population4]],5,FALSE)</f>
        <v>日喀则市</v>
      </c>
    </row>
    <row r="122" spans="1:7" ht="15.75" thickBot="1" x14ac:dyDescent="0.3">
      <c r="A122" t="s">
        <v>1088</v>
      </c>
      <c r="B122" s="1" t="s">
        <v>1089</v>
      </c>
      <c r="C122" s="1" t="s">
        <v>7</v>
      </c>
      <c r="D122" s="1" t="s">
        <v>859</v>
      </c>
      <c r="E122" s="3">
        <v>2947</v>
      </c>
      <c r="F122" s="1" t="str">
        <f>VLOOKUP(D122,Table8[[Name]:[Native]],3,FALSE)</f>
        <v>仁布县</v>
      </c>
      <c r="G122" s="12" t="str">
        <f ca="1">VLOOKUP(F122,Table8[[Native]:[Population4]],5,FALSE)</f>
        <v>日喀则市</v>
      </c>
    </row>
    <row r="123" spans="1:7" ht="15.75" thickBot="1" x14ac:dyDescent="0.3">
      <c r="A123" t="s">
        <v>1090</v>
      </c>
      <c r="B123" s="1" t="s">
        <v>1091</v>
      </c>
      <c r="C123" s="1" t="s">
        <v>7</v>
      </c>
      <c r="D123" s="1" t="s">
        <v>856</v>
      </c>
      <c r="E123" s="3">
        <v>2485</v>
      </c>
      <c r="F123" s="1" t="str">
        <f>VLOOKUP(D123,Table8[[Name]:[Native]],3,FALSE)</f>
        <v>仲巴县</v>
      </c>
      <c r="G123" s="12" t="str">
        <f ca="1">VLOOKUP(F123,Table8[[Native]:[Population4]],5,FALSE)</f>
        <v>日喀则市</v>
      </c>
    </row>
    <row r="124" spans="1:7" ht="15.75" thickBot="1" x14ac:dyDescent="0.3">
      <c r="A124" t="s">
        <v>1092</v>
      </c>
      <c r="B124" s="1" t="s">
        <v>1093</v>
      </c>
      <c r="C124" s="1" t="s">
        <v>17</v>
      </c>
      <c r="D124" s="1" t="s">
        <v>934</v>
      </c>
      <c r="E124" s="3">
        <v>2554</v>
      </c>
      <c r="F124" s="1" t="str">
        <f>VLOOKUP(D124,Table8[[Name]:[Native]],3,FALSE)</f>
        <v>亚东县</v>
      </c>
      <c r="G124" s="12" t="str">
        <f ca="1">VLOOKUP(F124,Table8[[Native]:[Population4]],5,FALSE)</f>
        <v>日喀则市</v>
      </c>
    </row>
    <row r="125" spans="1:7" ht="15.75" thickBot="1" x14ac:dyDescent="0.3">
      <c r="A125" t="s">
        <v>1094</v>
      </c>
      <c r="B125" s="1" t="s">
        <v>1095</v>
      </c>
      <c r="C125" s="1" t="s">
        <v>17</v>
      </c>
      <c r="D125" s="1" t="s">
        <v>856</v>
      </c>
      <c r="E125" s="3">
        <v>2118</v>
      </c>
      <c r="F125" s="1" t="str">
        <f>VLOOKUP(D125,Table8[[Name]:[Native]],3,FALSE)</f>
        <v>仲巴县</v>
      </c>
      <c r="G125" s="12" t="str">
        <f ca="1">VLOOKUP(F125,Table8[[Native]:[Population4]],5,FALSE)</f>
        <v>日喀则市</v>
      </c>
    </row>
    <row r="126" spans="1:7" ht="15.75" thickBot="1" x14ac:dyDescent="0.3">
      <c r="A126" t="s">
        <v>1096</v>
      </c>
      <c r="B126" s="1" t="s">
        <v>1097</v>
      </c>
      <c r="C126" s="1" t="s">
        <v>7</v>
      </c>
      <c r="D126" s="1" t="s">
        <v>881</v>
      </c>
      <c r="E126" s="3">
        <v>3714</v>
      </c>
      <c r="F126" s="1" t="str">
        <f>VLOOKUP(D126,Table8[[Name]:[Native]],3,FALSE)</f>
        <v>拉孜县</v>
      </c>
      <c r="G126" s="12" t="str">
        <f ca="1">VLOOKUP(F126,Table8[[Native]:[Population4]],5,FALSE)</f>
        <v>日喀则市</v>
      </c>
    </row>
    <row r="127" spans="1:7" ht="15.75" thickBot="1" x14ac:dyDescent="0.3">
      <c r="A127" t="s">
        <v>1098</v>
      </c>
      <c r="B127" s="1" t="s">
        <v>1099</v>
      </c>
      <c r="C127" s="1" t="s">
        <v>7</v>
      </c>
      <c r="D127" s="1" t="s">
        <v>875</v>
      </c>
      <c r="E127" s="3">
        <v>1453</v>
      </c>
      <c r="F127" s="1" t="str">
        <f>VLOOKUP(D127,Table8[[Name]:[Native]],3,FALSE)</f>
        <v>定日县</v>
      </c>
      <c r="G127" s="12" t="str">
        <f ca="1">VLOOKUP(F127,Table8[[Native]:[Population4]],5,FALSE)</f>
        <v>日喀则市</v>
      </c>
    </row>
    <row r="128" spans="1:7" ht="15.75" thickBot="1" x14ac:dyDescent="0.3">
      <c r="A128" t="s">
        <v>1100</v>
      </c>
      <c r="B128" s="1" t="s">
        <v>1101</v>
      </c>
      <c r="C128" s="1" t="s">
        <v>7</v>
      </c>
      <c r="D128" s="1" t="s">
        <v>856</v>
      </c>
      <c r="E128" s="3">
        <v>1706</v>
      </c>
      <c r="F128" s="1" t="str">
        <f>VLOOKUP(D128,Table8[[Name]:[Native]],3,FALSE)</f>
        <v>仲巴县</v>
      </c>
      <c r="G128" s="12" t="str">
        <f ca="1">VLOOKUP(F128,Table8[[Native]:[Population4]],5,FALSE)</f>
        <v>日喀则市</v>
      </c>
    </row>
    <row r="129" spans="1:7" ht="15.75" thickBot="1" x14ac:dyDescent="0.3">
      <c r="A129" t="s">
        <v>1102</v>
      </c>
      <c r="B129" s="1" t="s">
        <v>1103</v>
      </c>
      <c r="C129" s="1" t="s">
        <v>7</v>
      </c>
      <c r="D129" s="1" t="s">
        <v>843</v>
      </c>
      <c r="E129" s="3">
        <v>3227</v>
      </c>
      <c r="F129" s="1" t="str">
        <f>VLOOKUP(D129,Table8[[Name]:[Native]],3,FALSE)</f>
        <v>南木林县</v>
      </c>
      <c r="G129" s="12" t="str">
        <f ca="1">VLOOKUP(F129,Table8[[Native]:[Population4]],5,FALSE)</f>
        <v>日喀则市</v>
      </c>
    </row>
    <row r="130" spans="1:7" ht="15.75" thickBot="1" x14ac:dyDescent="0.3">
      <c r="A130" t="s">
        <v>462</v>
      </c>
      <c r="B130" s="1" t="s">
        <v>463</v>
      </c>
      <c r="C130" s="1" t="s">
        <v>7</v>
      </c>
      <c r="D130" s="1" t="s">
        <v>859</v>
      </c>
      <c r="E130" s="3">
        <v>1763</v>
      </c>
      <c r="F130" s="1" t="str">
        <f>VLOOKUP(D130,Table8[[Name]:[Native]],3,FALSE)</f>
        <v>仁布县</v>
      </c>
      <c r="G130" s="12" t="str">
        <f ca="1">VLOOKUP(F130,Table8[[Native]:[Population4]],5,FALSE)</f>
        <v>日喀则市</v>
      </c>
    </row>
    <row r="131" spans="1:7" ht="15.75" thickBot="1" x14ac:dyDescent="0.3">
      <c r="A131" t="s">
        <v>1104</v>
      </c>
      <c r="B131" s="1" t="s">
        <v>1105</v>
      </c>
      <c r="C131" s="1" t="s">
        <v>7</v>
      </c>
      <c r="D131" s="1" t="s">
        <v>847</v>
      </c>
      <c r="E131" s="3">
        <v>2369</v>
      </c>
      <c r="F131" s="1" t="str">
        <f>VLOOKUP(D131,Table8[[Name]:[Native]],3,FALSE)</f>
        <v>白朗县</v>
      </c>
      <c r="G131" s="12" t="str">
        <f ca="1">VLOOKUP(F131,Table8[[Native]:[Population4]],5,FALSE)</f>
        <v>日喀则市</v>
      </c>
    </row>
    <row r="132" spans="1:7" ht="15.75" thickBot="1" x14ac:dyDescent="0.3">
      <c r="A132" t="s">
        <v>1106</v>
      </c>
      <c r="B132" s="1" t="s">
        <v>1107</v>
      </c>
      <c r="C132" s="1" t="s">
        <v>7</v>
      </c>
      <c r="D132" s="1" t="s">
        <v>861</v>
      </c>
      <c r="E132" s="3">
        <v>620</v>
      </c>
      <c r="F132" s="1" t="str">
        <f>VLOOKUP(D132,Table8[[Name]:[Native]],3,FALSE)</f>
        <v>谢通门县</v>
      </c>
      <c r="G132" s="12" t="str">
        <f ca="1">VLOOKUP(F132,Table8[[Native]:[Population4]],5,FALSE)</f>
        <v>日喀则市</v>
      </c>
    </row>
    <row r="133" spans="1:7" ht="15.75" thickBot="1" x14ac:dyDescent="0.3">
      <c r="A133" t="s">
        <v>1108</v>
      </c>
      <c r="B133" s="1" t="s">
        <v>1109</v>
      </c>
      <c r="C133" s="1" t="s">
        <v>7</v>
      </c>
      <c r="D133" s="1" t="s">
        <v>846</v>
      </c>
      <c r="E133" s="3">
        <v>1316</v>
      </c>
      <c r="F133" s="1" t="str">
        <f>VLOOKUP(D133,Table8[[Name]:[Native]],3,FALSE)</f>
        <v>昂仁县</v>
      </c>
      <c r="G133" s="12" t="str">
        <f ca="1">VLOOKUP(F133,Table8[[Native]:[Population4]],5,FALSE)</f>
        <v>日喀则市</v>
      </c>
    </row>
    <row r="134" spans="1:7" ht="15.75" thickBot="1" x14ac:dyDescent="0.3">
      <c r="A134" t="s">
        <v>1110</v>
      </c>
      <c r="B134" s="1" t="s">
        <v>1111</v>
      </c>
      <c r="C134" s="1" t="s">
        <v>7</v>
      </c>
      <c r="D134" s="1" t="s">
        <v>859</v>
      </c>
      <c r="E134" s="3">
        <v>3605</v>
      </c>
      <c r="F134" s="1" t="str">
        <f>VLOOKUP(D134,Table8[[Name]:[Native]],3,FALSE)</f>
        <v>仁布县</v>
      </c>
      <c r="G134" s="12" t="str">
        <f ca="1">VLOOKUP(F134,Table8[[Native]:[Population4]],5,FALSE)</f>
        <v>日喀则市</v>
      </c>
    </row>
    <row r="135" spans="1:7" ht="15.75" thickBot="1" x14ac:dyDescent="0.3">
      <c r="A135" t="s">
        <v>1112</v>
      </c>
      <c r="B135" s="1" t="s">
        <v>1113</v>
      </c>
      <c r="C135" s="1" t="s">
        <v>7</v>
      </c>
      <c r="D135" s="1" t="s">
        <v>861</v>
      </c>
      <c r="E135" s="3">
        <v>656</v>
      </c>
      <c r="F135" s="1" t="str">
        <f>VLOOKUP(D135,Table8[[Name]:[Native]],3,FALSE)</f>
        <v>谢通门县</v>
      </c>
      <c r="G135" s="12" t="str">
        <f ca="1">VLOOKUP(F135,Table8[[Native]:[Population4]],5,FALSE)</f>
        <v>日喀则市</v>
      </c>
    </row>
    <row r="136" spans="1:7" ht="15.75" thickBot="1" x14ac:dyDescent="0.3">
      <c r="A136" t="s">
        <v>1114</v>
      </c>
      <c r="B136" s="1" t="s">
        <v>1115</v>
      </c>
      <c r="C136" s="1" t="s">
        <v>7</v>
      </c>
      <c r="D136" s="1" t="s">
        <v>856</v>
      </c>
      <c r="E136" s="3">
        <v>1315</v>
      </c>
      <c r="F136" s="1" t="str">
        <f>VLOOKUP(D136,Table8[[Name]:[Native]],3,FALSE)</f>
        <v>仲巴县</v>
      </c>
      <c r="G136" s="12" t="str">
        <f ca="1">VLOOKUP(F136,Table8[[Native]:[Population4]],5,FALSE)</f>
        <v>日喀则市</v>
      </c>
    </row>
    <row r="137" spans="1:7" ht="15.75" thickBot="1" x14ac:dyDescent="0.3">
      <c r="A137" t="s">
        <v>1116</v>
      </c>
      <c r="B137" s="1" t="s">
        <v>1117</v>
      </c>
      <c r="C137" s="1" t="s">
        <v>7</v>
      </c>
      <c r="D137" s="1" t="s">
        <v>890</v>
      </c>
      <c r="E137" s="3">
        <v>2704</v>
      </c>
      <c r="F137" s="1" t="str">
        <f>VLOOKUP(D137,Table8[[Name]:[Native]],3,FALSE)</f>
        <v>定结县</v>
      </c>
      <c r="G137" s="12" t="str">
        <f ca="1">VLOOKUP(F137,Table8[[Native]:[Population4]],5,FALSE)</f>
        <v>日喀则市</v>
      </c>
    </row>
    <row r="138" spans="1:7" ht="15.75" thickBot="1" x14ac:dyDescent="0.3">
      <c r="A138" t="s">
        <v>1118</v>
      </c>
      <c r="B138" s="1" t="s">
        <v>1119</v>
      </c>
      <c r="C138" s="1" t="s">
        <v>7</v>
      </c>
      <c r="D138" s="1" t="s">
        <v>843</v>
      </c>
      <c r="E138" s="3">
        <v>2302</v>
      </c>
      <c r="F138" s="1" t="str">
        <f>VLOOKUP(D138,Table8[[Name]:[Native]],3,FALSE)</f>
        <v>南木林县</v>
      </c>
      <c r="G138" s="12" t="str">
        <f ca="1">VLOOKUP(F138,Table8[[Native]:[Population4]],5,FALSE)</f>
        <v>日喀则市</v>
      </c>
    </row>
    <row r="139" spans="1:7" ht="15.75" thickBot="1" x14ac:dyDescent="0.3">
      <c r="A139" t="s">
        <v>1120</v>
      </c>
      <c r="B139" s="1" t="s">
        <v>1121</v>
      </c>
      <c r="C139" s="1" t="s">
        <v>7</v>
      </c>
      <c r="D139" s="1" t="s">
        <v>846</v>
      </c>
      <c r="E139" s="3">
        <v>6707</v>
      </c>
      <c r="F139" s="1" t="str">
        <f>VLOOKUP(D139,Table8[[Name]:[Native]],3,FALSE)</f>
        <v>昂仁县</v>
      </c>
      <c r="G139" s="12" t="str">
        <f ca="1">VLOOKUP(F139,Table8[[Native]:[Population4]],5,FALSE)</f>
        <v>日喀则市</v>
      </c>
    </row>
    <row r="140" spans="1:7" ht="15.75" thickBot="1" x14ac:dyDescent="0.3">
      <c r="A140" t="s">
        <v>1122</v>
      </c>
      <c r="B140" s="1" t="s">
        <v>1123</v>
      </c>
      <c r="C140" s="1" t="s">
        <v>7</v>
      </c>
      <c r="D140" s="1" t="s">
        <v>850</v>
      </c>
      <c r="E140" s="3">
        <v>5428</v>
      </c>
      <c r="F140" s="1" t="str">
        <f>VLOOKUP(D140,Table8[[Name]:[Native]],3,FALSE)</f>
        <v>桑珠孜区</v>
      </c>
      <c r="G140" s="12" t="str">
        <f ca="1">VLOOKUP(F140,Table8[[Native]:[Population4]],5,FALSE)</f>
        <v>日喀则市</v>
      </c>
    </row>
    <row r="141" spans="1:7" ht="15.75" thickBot="1" x14ac:dyDescent="0.3">
      <c r="A141" t="s">
        <v>1124</v>
      </c>
      <c r="B141" s="1" t="s">
        <v>1125</v>
      </c>
      <c r="C141" s="1" t="s">
        <v>7</v>
      </c>
      <c r="D141" s="1" t="s">
        <v>875</v>
      </c>
      <c r="E141" s="3">
        <v>5903</v>
      </c>
      <c r="F141" s="1" t="str">
        <f>VLOOKUP(D141,Table8[[Name]:[Native]],3,FALSE)</f>
        <v>定日县</v>
      </c>
      <c r="G141" s="12" t="str">
        <f ca="1">VLOOKUP(F141,Table8[[Native]:[Population4]],5,FALSE)</f>
        <v>日喀则市</v>
      </c>
    </row>
    <row r="142" spans="1:7" ht="15.75" thickBot="1" x14ac:dyDescent="0.3">
      <c r="A142" t="s">
        <v>1126</v>
      </c>
      <c r="B142" s="1" t="s">
        <v>1127</v>
      </c>
      <c r="C142" s="1" t="s">
        <v>7</v>
      </c>
      <c r="D142" s="1" t="s">
        <v>890</v>
      </c>
      <c r="E142" s="3">
        <v>1609</v>
      </c>
      <c r="F142" s="1" t="str">
        <f>VLOOKUP(D142,Table8[[Name]:[Native]],3,FALSE)</f>
        <v>定结县</v>
      </c>
      <c r="G142" s="12" t="str">
        <f ca="1">VLOOKUP(F142,Table8[[Native]:[Population4]],5,FALSE)</f>
        <v>日喀则市</v>
      </c>
    </row>
    <row r="143" spans="1:7" ht="15.75" thickBot="1" x14ac:dyDescent="0.3">
      <c r="A143" t="s">
        <v>52</v>
      </c>
      <c r="B143" s="1" t="s">
        <v>53</v>
      </c>
      <c r="C143" s="1" t="s">
        <v>7</v>
      </c>
      <c r="D143" s="1" t="s">
        <v>875</v>
      </c>
      <c r="E143" s="3">
        <v>3033</v>
      </c>
      <c r="F143" s="1" t="str">
        <f>VLOOKUP(D143,Table8[[Name]:[Native]],3,FALSE)</f>
        <v>定日县</v>
      </c>
      <c r="G143" s="12" t="str">
        <f ca="1">VLOOKUP(F143,Table8[[Native]:[Population4]],5,FALSE)</f>
        <v>日喀则市</v>
      </c>
    </row>
    <row r="144" spans="1:7" ht="15.75" thickBot="1" x14ac:dyDescent="0.3">
      <c r="A144" t="s">
        <v>1128</v>
      </c>
      <c r="B144" s="1" t="s">
        <v>1129</v>
      </c>
      <c r="C144" s="1" t="s">
        <v>7</v>
      </c>
      <c r="D144" s="1" t="s">
        <v>881</v>
      </c>
      <c r="E144" s="3">
        <v>4541</v>
      </c>
      <c r="F144" s="1" t="str">
        <f>VLOOKUP(D144,Table8[[Name]:[Native]],3,FALSE)</f>
        <v>拉孜县</v>
      </c>
      <c r="G144" s="12" t="str">
        <f ca="1">VLOOKUP(F144,Table8[[Native]:[Population4]],5,FALSE)</f>
        <v>日喀则市</v>
      </c>
    </row>
    <row r="145" spans="1:7" ht="15.75" thickBot="1" x14ac:dyDescent="0.3">
      <c r="A145" t="s">
        <v>1130</v>
      </c>
      <c r="B145" s="1" t="s">
        <v>1131</v>
      </c>
      <c r="C145" s="1" t="s">
        <v>7</v>
      </c>
      <c r="D145" s="1" t="s">
        <v>850</v>
      </c>
      <c r="E145" s="3">
        <v>5998</v>
      </c>
      <c r="F145" s="1" t="str">
        <f>VLOOKUP(D145,Table8[[Name]:[Native]],3,FALSE)</f>
        <v>桑珠孜区</v>
      </c>
      <c r="G145" s="12" t="str">
        <f ca="1">VLOOKUP(F145,Table8[[Native]:[Population4]],5,FALSE)</f>
        <v>日喀则市</v>
      </c>
    </row>
    <row r="146" spans="1:7" ht="15.75" thickBot="1" x14ac:dyDescent="0.3">
      <c r="A146" t="s">
        <v>1132</v>
      </c>
      <c r="B146" s="1" t="s">
        <v>1133</v>
      </c>
      <c r="C146" s="1" t="s">
        <v>7</v>
      </c>
      <c r="D146" s="1" t="s">
        <v>847</v>
      </c>
      <c r="E146" s="3">
        <v>3305</v>
      </c>
      <c r="F146" s="1" t="str">
        <f>VLOOKUP(D146,Table8[[Name]:[Native]],3,FALSE)</f>
        <v>白朗县</v>
      </c>
      <c r="G146" s="12" t="str">
        <f ca="1">VLOOKUP(F146,Table8[[Native]:[Population4]],5,FALSE)</f>
        <v>日喀则市</v>
      </c>
    </row>
    <row r="147" spans="1:7" ht="15.75" thickBot="1" x14ac:dyDescent="0.3">
      <c r="A147" t="s">
        <v>1134</v>
      </c>
      <c r="B147" s="1" t="s">
        <v>1135</v>
      </c>
      <c r="C147" s="1" t="s">
        <v>17</v>
      </c>
      <c r="D147" s="1" t="s">
        <v>881</v>
      </c>
      <c r="E147" s="3">
        <v>6263</v>
      </c>
      <c r="F147" s="1" t="str">
        <f>VLOOKUP(D147,Table8[[Name]:[Native]],3,FALSE)</f>
        <v>拉孜县</v>
      </c>
      <c r="G147" s="12" t="str">
        <f ca="1">VLOOKUP(F147,Table8[[Native]:[Population4]],5,FALSE)</f>
        <v>日喀则市</v>
      </c>
    </row>
    <row r="148" spans="1:7" ht="15.75" thickBot="1" x14ac:dyDescent="0.3">
      <c r="A148" t="s">
        <v>1136</v>
      </c>
      <c r="B148" s="1" t="s">
        <v>1137</v>
      </c>
      <c r="C148" s="1" t="s">
        <v>7</v>
      </c>
      <c r="D148" s="1" t="s">
        <v>859</v>
      </c>
      <c r="E148" s="3">
        <v>2009</v>
      </c>
      <c r="F148" s="1" t="str">
        <f>VLOOKUP(D148,Table8[[Name]:[Native]],3,FALSE)</f>
        <v>仁布县</v>
      </c>
      <c r="G148" s="12" t="str">
        <f ca="1">VLOOKUP(F148,Table8[[Native]:[Population4]],5,FALSE)</f>
        <v>日喀则市</v>
      </c>
    </row>
    <row r="149" spans="1:7" ht="15.75" thickBot="1" x14ac:dyDescent="0.3">
      <c r="A149" t="s">
        <v>1138</v>
      </c>
      <c r="B149" s="1" t="s">
        <v>1139</v>
      </c>
      <c r="C149" s="1" t="s">
        <v>7</v>
      </c>
      <c r="D149" s="1" t="s">
        <v>843</v>
      </c>
      <c r="E149" s="3">
        <v>7310</v>
      </c>
      <c r="F149" s="1" t="str">
        <f>VLOOKUP(D149,Table8[[Name]:[Native]],3,FALSE)</f>
        <v>南木林县</v>
      </c>
      <c r="G149" s="12" t="str">
        <f ca="1">VLOOKUP(F149,Table8[[Native]:[Population4]],5,FALSE)</f>
        <v>日喀则市</v>
      </c>
    </row>
    <row r="150" spans="1:7" ht="15.75" thickBot="1" x14ac:dyDescent="0.3">
      <c r="A150" t="s">
        <v>1140</v>
      </c>
      <c r="B150" s="1" t="s">
        <v>1141</v>
      </c>
      <c r="C150" s="1" t="s">
        <v>7</v>
      </c>
      <c r="D150" s="1" t="s">
        <v>893</v>
      </c>
      <c r="E150" s="3">
        <v>2043</v>
      </c>
      <c r="F150" s="1" t="str">
        <f>VLOOKUP(D150,Table8[[Name]:[Native]],3,FALSE)</f>
        <v>江孜县</v>
      </c>
      <c r="G150" s="12" t="str">
        <f ca="1">VLOOKUP(F150,Table8[[Native]:[Population4]],5,FALSE)</f>
        <v>日喀则市</v>
      </c>
    </row>
    <row r="151" spans="1:7" ht="15.75" thickBot="1" x14ac:dyDescent="0.3">
      <c r="A151" t="s">
        <v>1142</v>
      </c>
      <c r="B151" s="1" t="s">
        <v>1143</v>
      </c>
      <c r="C151" s="1" t="s">
        <v>7</v>
      </c>
      <c r="D151" s="1" t="s">
        <v>859</v>
      </c>
      <c r="E151" s="3">
        <v>2484</v>
      </c>
      <c r="F151" s="1" t="str">
        <f>VLOOKUP(D151,Table8[[Name]:[Native]],3,FALSE)</f>
        <v>仁布县</v>
      </c>
      <c r="G151" s="12" t="str">
        <f ca="1">VLOOKUP(F151,Table8[[Native]:[Population4]],5,FALSE)</f>
        <v>日喀则市</v>
      </c>
    </row>
    <row r="152" spans="1:7" ht="15.75" thickBot="1" x14ac:dyDescent="0.3">
      <c r="A152" t="s">
        <v>1144</v>
      </c>
      <c r="B152" s="1" t="s">
        <v>1145</v>
      </c>
      <c r="C152" s="1" t="s">
        <v>7</v>
      </c>
      <c r="D152" s="1" t="s">
        <v>843</v>
      </c>
      <c r="E152" s="3">
        <v>1356</v>
      </c>
      <c r="F152" s="1" t="str">
        <f>VLOOKUP(D152,Table8[[Name]:[Native]],3,FALSE)</f>
        <v>南木林县</v>
      </c>
      <c r="G152" s="12" t="str">
        <f ca="1">VLOOKUP(F152,Table8[[Native]:[Population4]],5,FALSE)</f>
        <v>日喀则市</v>
      </c>
    </row>
    <row r="153" spans="1:7" ht="15.75" thickBot="1" x14ac:dyDescent="0.3">
      <c r="A153" t="s">
        <v>1146</v>
      </c>
      <c r="B153" s="1" t="s">
        <v>1147</v>
      </c>
      <c r="C153" s="1" t="s">
        <v>7</v>
      </c>
      <c r="D153" s="1" t="s">
        <v>856</v>
      </c>
      <c r="E153" s="3">
        <v>1987</v>
      </c>
      <c r="F153" s="1" t="str">
        <f>VLOOKUP(D153,Table8[[Name]:[Native]],3,FALSE)</f>
        <v>仲巴县</v>
      </c>
      <c r="G153" s="12" t="str">
        <f ca="1">VLOOKUP(F153,Table8[[Native]:[Population4]],5,FALSE)</f>
        <v>日喀则市</v>
      </c>
    </row>
    <row r="154" spans="1:7" ht="15.75" thickBot="1" x14ac:dyDescent="0.3">
      <c r="A154" t="s">
        <v>1148</v>
      </c>
      <c r="B154" s="1" t="s">
        <v>1149</v>
      </c>
      <c r="C154" s="1" t="s">
        <v>7</v>
      </c>
      <c r="D154" s="1" t="s">
        <v>861</v>
      </c>
      <c r="E154" s="3">
        <v>5213</v>
      </c>
      <c r="F154" s="1" t="str">
        <f>VLOOKUP(D154,Table8[[Name]:[Native]],3,FALSE)</f>
        <v>谢通门县</v>
      </c>
      <c r="G154" s="12" t="str">
        <f ca="1">VLOOKUP(F154,Table8[[Native]:[Population4]],5,FALSE)</f>
        <v>日喀则市</v>
      </c>
    </row>
    <row r="155" spans="1:7" ht="15.75" thickBot="1" x14ac:dyDescent="0.3">
      <c r="A155" t="s">
        <v>1150</v>
      </c>
      <c r="B155" s="1" t="s">
        <v>1151</v>
      </c>
      <c r="C155" s="1" t="s">
        <v>7</v>
      </c>
      <c r="D155" s="1" t="s">
        <v>881</v>
      </c>
      <c r="E155" s="3">
        <v>3445</v>
      </c>
      <c r="F155" s="1" t="str">
        <f>VLOOKUP(D155,Table8[[Name]:[Native]],3,FALSE)</f>
        <v>拉孜县</v>
      </c>
      <c r="G155" s="12" t="str">
        <f ca="1">VLOOKUP(F155,Table8[[Native]:[Population4]],5,FALSE)</f>
        <v>日喀则市</v>
      </c>
    </row>
    <row r="156" spans="1:7" ht="15.75" thickBot="1" x14ac:dyDescent="0.3">
      <c r="A156" t="s">
        <v>1152</v>
      </c>
      <c r="B156" s="1" t="s">
        <v>1153</v>
      </c>
      <c r="C156" s="1" t="s">
        <v>7</v>
      </c>
      <c r="D156" s="1" t="s">
        <v>893</v>
      </c>
      <c r="E156" s="3">
        <v>3244</v>
      </c>
      <c r="F156" s="1" t="str">
        <f>VLOOKUP(D156,Table8[[Name]:[Native]],3,FALSE)</f>
        <v>江孜县</v>
      </c>
      <c r="G156" s="12" t="str">
        <f ca="1">VLOOKUP(F156,Table8[[Native]:[Population4]],5,FALSE)</f>
        <v>日喀则市</v>
      </c>
    </row>
    <row r="157" spans="1:7" ht="15.75" thickBot="1" x14ac:dyDescent="0.3">
      <c r="A157" t="s">
        <v>1154</v>
      </c>
      <c r="B157" s="1" t="s">
        <v>1155</v>
      </c>
      <c r="C157" s="1" t="s">
        <v>7</v>
      </c>
      <c r="D157" s="1" t="s">
        <v>893</v>
      </c>
      <c r="E157" s="3">
        <v>1069</v>
      </c>
      <c r="F157" s="1" t="str">
        <f>VLOOKUP(D157,Table8[[Name]:[Native]],3,FALSE)</f>
        <v>江孜县</v>
      </c>
      <c r="G157" s="12" t="str">
        <f ca="1">VLOOKUP(F157,Table8[[Native]:[Population4]],5,FALSE)</f>
        <v>日喀则市</v>
      </c>
    </row>
    <row r="158" spans="1:7" ht="15.75" thickBot="1" x14ac:dyDescent="0.3">
      <c r="A158" t="s">
        <v>1156</v>
      </c>
      <c r="B158" s="1" t="s">
        <v>1157</v>
      </c>
      <c r="C158" s="1" t="s">
        <v>7</v>
      </c>
      <c r="D158" s="1" t="s">
        <v>846</v>
      </c>
      <c r="E158" s="3">
        <v>4970</v>
      </c>
      <c r="F158" s="1" t="str">
        <f>VLOOKUP(D158,Table8[[Name]:[Native]],3,FALSE)</f>
        <v>昂仁县</v>
      </c>
      <c r="G158" s="12" t="str">
        <f ca="1">VLOOKUP(F158,Table8[[Native]:[Population4]],5,FALSE)</f>
        <v>日喀则市</v>
      </c>
    </row>
    <row r="159" spans="1:7" ht="15.75" thickBot="1" x14ac:dyDescent="0.3">
      <c r="A159" t="s">
        <v>1158</v>
      </c>
      <c r="B159" s="1" t="s">
        <v>1159</v>
      </c>
      <c r="C159" s="1" t="s">
        <v>17</v>
      </c>
      <c r="D159" s="1" t="s">
        <v>890</v>
      </c>
      <c r="E159" s="3">
        <v>1135</v>
      </c>
      <c r="F159" s="1" t="str">
        <f>VLOOKUP(D159,Table8[[Name]:[Native]],3,FALSE)</f>
        <v>定结县</v>
      </c>
      <c r="G159" s="12" t="str">
        <f ca="1">VLOOKUP(F159,Table8[[Native]:[Population4]],5,FALSE)</f>
        <v>日喀则市</v>
      </c>
    </row>
    <row r="160" spans="1:7" ht="15.75" thickBot="1" x14ac:dyDescent="0.3">
      <c r="A160" t="s">
        <v>1160</v>
      </c>
      <c r="B160" s="1" t="s">
        <v>1161</v>
      </c>
      <c r="C160" s="1" t="s">
        <v>7</v>
      </c>
      <c r="D160" s="1" t="s">
        <v>893</v>
      </c>
      <c r="E160" s="3">
        <v>2226</v>
      </c>
      <c r="F160" s="1" t="str">
        <f>VLOOKUP(D160,Table8[[Name]:[Native]],3,FALSE)</f>
        <v>江孜县</v>
      </c>
      <c r="G160" s="12" t="str">
        <f ca="1">VLOOKUP(F160,Table8[[Native]:[Population4]],5,FALSE)</f>
        <v>日喀则市</v>
      </c>
    </row>
    <row r="161" spans="1:7" ht="15.75" thickBot="1" x14ac:dyDescent="0.3">
      <c r="A161" t="s">
        <v>767</v>
      </c>
      <c r="B161" s="1" t="s">
        <v>768</v>
      </c>
      <c r="C161" s="1" t="s">
        <v>7</v>
      </c>
      <c r="D161" s="1" t="s">
        <v>861</v>
      </c>
      <c r="E161" s="3">
        <v>2306</v>
      </c>
      <c r="F161" s="1" t="str">
        <f>VLOOKUP(D161,Table8[[Name]:[Native]],3,FALSE)</f>
        <v>谢通门县</v>
      </c>
      <c r="G161" s="12" t="str">
        <f ca="1">VLOOKUP(F161,Table8[[Native]:[Population4]],5,FALSE)</f>
        <v>日喀则市</v>
      </c>
    </row>
    <row r="162" spans="1:7" ht="15.75" thickBot="1" x14ac:dyDescent="0.3">
      <c r="A162" t="s">
        <v>1162</v>
      </c>
      <c r="B162" s="1" t="s">
        <v>1163</v>
      </c>
      <c r="C162" s="1" t="s">
        <v>7</v>
      </c>
      <c r="D162" s="1" t="s">
        <v>875</v>
      </c>
      <c r="E162" s="3">
        <v>783</v>
      </c>
      <c r="F162" s="1" t="str">
        <f>VLOOKUP(D162,Table8[[Name]:[Native]],3,FALSE)</f>
        <v>定日县</v>
      </c>
      <c r="G162" s="12" t="str">
        <f ca="1">VLOOKUP(F162,Table8[[Native]:[Population4]],5,FALSE)</f>
        <v>日喀则市</v>
      </c>
    </row>
    <row r="163" spans="1:7" ht="15.75" thickBot="1" x14ac:dyDescent="0.3">
      <c r="A163" t="s">
        <v>1164</v>
      </c>
      <c r="B163" s="1" t="s">
        <v>1165</v>
      </c>
      <c r="C163" s="1" t="s">
        <v>7</v>
      </c>
      <c r="D163" s="1" t="s">
        <v>869</v>
      </c>
      <c r="E163" s="3">
        <v>851</v>
      </c>
      <c r="F163" s="1" t="str">
        <f>VLOOKUP(D163,Table8[[Name]:[Native]],3,FALSE)</f>
        <v>萨嘎县</v>
      </c>
      <c r="G163" s="12" t="str">
        <f ca="1">VLOOKUP(F163,Table8[[Native]:[Population4]],5,FALSE)</f>
        <v>日喀则市</v>
      </c>
    </row>
    <row r="164" spans="1:7" ht="15.75" thickBot="1" x14ac:dyDescent="0.3">
      <c r="A164" t="s">
        <v>1166</v>
      </c>
      <c r="B164" s="1" t="s">
        <v>1167</v>
      </c>
      <c r="C164" s="1" t="s">
        <v>7</v>
      </c>
      <c r="D164" s="1" t="s">
        <v>846</v>
      </c>
      <c r="E164" s="3">
        <v>721</v>
      </c>
      <c r="F164" s="1" t="str">
        <f>VLOOKUP(D164,Table8[[Name]:[Native]],3,FALSE)</f>
        <v>昂仁县</v>
      </c>
      <c r="G164" s="12" t="str">
        <f ca="1">VLOOKUP(F164,Table8[[Native]:[Population4]],5,FALSE)</f>
        <v>日喀则市</v>
      </c>
    </row>
    <row r="165" spans="1:7" ht="15.75" thickBot="1" x14ac:dyDescent="0.3">
      <c r="A165" t="s">
        <v>1168</v>
      </c>
      <c r="B165" s="1" t="s">
        <v>1169</v>
      </c>
      <c r="C165" s="1" t="s">
        <v>7</v>
      </c>
      <c r="D165" s="1" t="s">
        <v>890</v>
      </c>
      <c r="E165" s="3">
        <v>2360</v>
      </c>
      <c r="F165" s="1" t="str">
        <f>VLOOKUP(D165,Table8[[Name]:[Native]],3,FALSE)</f>
        <v>定结县</v>
      </c>
      <c r="G165" s="12" t="str">
        <f ca="1">VLOOKUP(F165,Table8[[Native]:[Population4]],5,FALSE)</f>
        <v>日喀则市</v>
      </c>
    </row>
    <row r="166" spans="1:7" ht="15.75" thickBot="1" x14ac:dyDescent="0.3">
      <c r="A166" t="s">
        <v>1170</v>
      </c>
      <c r="B166" s="1" t="s">
        <v>1171</v>
      </c>
      <c r="C166" s="1" t="s">
        <v>7</v>
      </c>
      <c r="D166" s="1" t="s">
        <v>878</v>
      </c>
      <c r="E166" s="3">
        <v>3457</v>
      </c>
      <c r="F166" s="1" t="str">
        <f>VLOOKUP(D166,Table8[[Name]:[Native]],3,FALSE)</f>
        <v>萨迦县</v>
      </c>
      <c r="G166" s="12" t="str">
        <f ca="1">VLOOKUP(F166,Table8[[Native]:[Population4]],5,FALSE)</f>
        <v>日喀则市</v>
      </c>
    </row>
    <row r="167" spans="1:7" ht="15.75" thickBot="1" x14ac:dyDescent="0.3">
      <c r="A167" t="s">
        <v>1172</v>
      </c>
      <c r="B167" s="1" t="s">
        <v>1173</v>
      </c>
      <c r="C167" s="1" t="s">
        <v>17</v>
      </c>
      <c r="D167" s="1" t="s">
        <v>878</v>
      </c>
      <c r="E167" s="3">
        <v>4758</v>
      </c>
      <c r="F167" s="1" t="str">
        <f>VLOOKUP(D167,Table8[[Name]:[Native]],3,FALSE)</f>
        <v>萨迦县</v>
      </c>
      <c r="G167" s="12" t="str">
        <f ca="1">VLOOKUP(F167,Table8[[Native]:[Population4]],5,FALSE)</f>
        <v>日喀则市</v>
      </c>
    </row>
    <row r="168" spans="1:7" ht="15.75" thickBot="1" x14ac:dyDescent="0.3">
      <c r="A168" t="s">
        <v>1174</v>
      </c>
      <c r="B168" s="1" t="s">
        <v>1175</v>
      </c>
      <c r="C168" s="1" t="s">
        <v>7</v>
      </c>
      <c r="D168" s="1" t="s">
        <v>947</v>
      </c>
      <c r="E168" s="3">
        <v>1944</v>
      </c>
      <c r="F168" s="1" t="str">
        <f>VLOOKUP(D168,Table8[[Name]:[Native]],3,FALSE)</f>
        <v>康马县</v>
      </c>
      <c r="G168" s="12" t="str">
        <f ca="1">VLOOKUP(F168,Table8[[Native]:[Population4]],5,FALSE)</f>
        <v>日喀则市</v>
      </c>
    </row>
    <row r="169" spans="1:7" ht="15.75" thickBot="1" x14ac:dyDescent="0.3">
      <c r="A169" t="s">
        <v>1176</v>
      </c>
      <c r="B169" s="1" t="s">
        <v>1177</v>
      </c>
      <c r="C169" s="1" t="s">
        <v>17</v>
      </c>
      <c r="D169" s="1" t="s">
        <v>846</v>
      </c>
      <c r="E169" s="3">
        <v>4379</v>
      </c>
      <c r="F169" s="1" t="str">
        <f>VLOOKUP(D169,Table8[[Name]:[Native]],3,FALSE)</f>
        <v>昂仁县</v>
      </c>
      <c r="G169" s="12" t="str">
        <f ca="1">VLOOKUP(F169,Table8[[Native]:[Population4]],5,FALSE)</f>
        <v>日喀则市</v>
      </c>
    </row>
    <row r="170" spans="1:7" ht="15.75" thickBot="1" x14ac:dyDescent="0.3">
      <c r="A170" t="s">
        <v>1178</v>
      </c>
      <c r="B170" s="1" t="s">
        <v>1179</v>
      </c>
      <c r="C170" s="1" t="s">
        <v>7</v>
      </c>
      <c r="D170" s="1" t="s">
        <v>934</v>
      </c>
      <c r="E170" s="3">
        <v>1276</v>
      </c>
      <c r="F170" s="1" t="str">
        <f>VLOOKUP(D170,Table8[[Name]:[Native]],3,FALSE)</f>
        <v>亚东县</v>
      </c>
      <c r="G170" s="12" t="str">
        <f ca="1">VLOOKUP(F170,Table8[[Native]:[Population4]],5,FALSE)</f>
        <v>日喀则市</v>
      </c>
    </row>
    <row r="171" spans="1:7" ht="15.75" thickBot="1" x14ac:dyDescent="0.3">
      <c r="A171" t="s">
        <v>1180</v>
      </c>
      <c r="B171" s="1" t="s">
        <v>1181</v>
      </c>
      <c r="C171" s="1" t="s">
        <v>7</v>
      </c>
      <c r="D171" s="1" t="s">
        <v>947</v>
      </c>
      <c r="E171" s="3">
        <v>2344</v>
      </c>
      <c r="F171" s="1" t="str">
        <f>VLOOKUP(D171,Table8[[Name]:[Native]],3,FALSE)</f>
        <v>康马县</v>
      </c>
      <c r="G171" s="12" t="str">
        <f ca="1">VLOOKUP(F171,Table8[[Native]:[Population4]],5,FALSE)</f>
        <v>日喀则市</v>
      </c>
    </row>
    <row r="172" spans="1:7" ht="15.75" thickBot="1" x14ac:dyDescent="0.3">
      <c r="A172" t="s">
        <v>1182</v>
      </c>
      <c r="B172" s="1" t="s">
        <v>1183</v>
      </c>
      <c r="C172" s="1" t="s">
        <v>7</v>
      </c>
      <c r="D172" s="1" t="s">
        <v>843</v>
      </c>
      <c r="E172" s="3">
        <v>3434</v>
      </c>
      <c r="F172" s="1" t="str">
        <f>VLOOKUP(D172,Table8[[Name]:[Native]],3,FALSE)</f>
        <v>南木林县</v>
      </c>
      <c r="G172" s="12" t="str">
        <f ca="1">VLOOKUP(F172,Table8[[Native]:[Population4]],5,FALSE)</f>
        <v>日喀则市</v>
      </c>
    </row>
    <row r="173" spans="1:7" ht="15.75" thickBot="1" x14ac:dyDescent="0.3">
      <c r="A173" t="s">
        <v>1184</v>
      </c>
      <c r="B173" s="1" t="s">
        <v>1185</v>
      </c>
      <c r="C173" s="1" t="s">
        <v>7</v>
      </c>
      <c r="D173" s="1" t="s">
        <v>853</v>
      </c>
      <c r="E173" s="3">
        <v>3166</v>
      </c>
      <c r="F173" s="1" t="str">
        <f>VLOOKUP(D173,Table8[[Name]:[Native]],3,FALSE)</f>
        <v>聂拉木县</v>
      </c>
      <c r="G173" s="12" t="str">
        <f ca="1">VLOOKUP(F173,Table8[[Native]:[Population4]],5,FALSE)</f>
        <v>日喀则市</v>
      </c>
    </row>
    <row r="174" spans="1:7" ht="15.75" thickBot="1" x14ac:dyDescent="0.3">
      <c r="A174" t="s">
        <v>1186</v>
      </c>
      <c r="B174" s="1" t="s">
        <v>1187</v>
      </c>
      <c r="C174" s="1" t="s">
        <v>7</v>
      </c>
      <c r="D174" s="1" t="s">
        <v>861</v>
      </c>
      <c r="E174" s="3">
        <v>1824</v>
      </c>
      <c r="F174" s="1" t="str">
        <f>VLOOKUP(D174,Table8[[Name]:[Native]],3,FALSE)</f>
        <v>谢通门县</v>
      </c>
      <c r="G174" s="12" t="str">
        <f ca="1">VLOOKUP(F174,Table8[[Native]:[Population4]],5,FALSE)</f>
        <v>日喀则市</v>
      </c>
    </row>
    <row r="175" spans="1:7" ht="15.75" thickBot="1" x14ac:dyDescent="0.3">
      <c r="A175" t="s">
        <v>1188</v>
      </c>
      <c r="B175" s="1" t="s">
        <v>1189</v>
      </c>
      <c r="C175" s="1" t="s">
        <v>7</v>
      </c>
      <c r="D175" s="1" t="s">
        <v>861</v>
      </c>
      <c r="E175" s="3">
        <v>2770</v>
      </c>
      <c r="F175" s="1" t="str">
        <f>VLOOKUP(D175,Table8[[Name]:[Native]],3,FALSE)</f>
        <v>谢通门县</v>
      </c>
      <c r="G175" s="12" t="str">
        <f ca="1">VLOOKUP(F175,Table8[[Native]:[Population4]],5,FALSE)</f>
        <v>日喀则市</v>
      </c>
    </row>
    <row r="176" spans="1:7" ht="15.75" thickBot="1" x14ac:dyDescent="0.3">
      <c r="A176" t="s">
        <v>1190</v>
      </c>
      <c r="B176" s="1" t="s">
        <v>1191</v>
      </c>
      <c r="C176" s="1" t="s">
        <v>7</v>
      </c>
      <c r="D176" s="1" t="s">
        <v>843</v>
      </c>
      <c r="E176" s="3">
        <v>5607</v>
      </c>
      <c r="F176" s="1" t="str">
        <f>VLOOKUP(D176,Table8[[Name]:[Native]],3,FALSE)</f>
        <v>南木林县</v>
      </c>
      <c r="G176" s="12" t="str">
        <f ca="1">VLOOKUP(F176,Table8[[Native]:[Population4]],5,FALSE)</f>
        <v>日喀则市</v>
      </c>
    </row>
    <row r="177" spans="1:7" ht="15.75" thickBot="1" x14ac:dyDescent="0.3">
      <c r="A177" t="s">
        <v>1192</v>
      </c>
      <c r="B177" s="1" t="s">
        <v>1193</v>
      </c>
      <c r="C177" s="1" t="s">
        <v>7</v>
      </c>
      <c r="D177" s="1" t="s">
        <v>847</v>
      </c>
      <c r="E177" s="3">
        <v>4036</v>
      </c>
      <c r="F177" s="1" t="str">
        <f>VLOOKUP(D177,Table8[[Name]:[Native]],3,FALSE)</f>
        <v>白朗县</v>
      </c>
      <c r="G177" s="12" t="str">
        <f ca="1">VLOOKUP(F177,Table8[[Native]:[Population4]],5,FALSE)</f>
        <v>日喀则市</v>
      </c>
    </row>
    <row r="178" spans="1:7" ht="15.75" thickBot="1" x14ac:dyDescent="0.3">
      <c r="A178" t="s">
        <v>1194</v>
      </c>
      <c r="B178" s="1" t="s">
        <v>1195</v>
      </c>
      <c r="C178" s="1" t="s">
        <v>7</v>
      </c>
      <c r="D178" s="1" t="s">
        <v>869</v>
      </c>
      <c r="E178" s="3">
        <v>2490</v>
      </c>
      <c r="F178" s="1" t="str">
        <f>VLOOKUP(D178,Table8[[Name]:[Native]],3,FALSE)</f>
        <v>萨嘎县</v>
      </c>
      <c r="G178" s="12" t="str">
        <f ca="1">VLOOKUP(F178,Table8[[Native]:[Population4]],5,FALSE)</f>
        <v>日喀则市</v>
      </c>
    </row>
    <row r="179" spans="1:7" ht="15.75" thickBot="1" x14ac:dyDescent="0.3">
      <c r="A179" t="s">
        <v>1196</v>
      </c>
      <c r="B179" s="1" t="s">
        <v>1197</v>
      </c>
      <c r="C179" s="1" t="s">
        <v>17</v>
      </c>
      <c r="D179" s="1" t="s">
        <v>934</v>
      </c>
      <c r="E179" s="3">
        <v>3341</v>
      </c>
      <c r="F179" s="1" t="str">
        <f>VLOOKUP(D179,Table8[[Name]:[Native]],3,FALSE)</f>
        <v>亚东县</v>
      </c>
      <c r="G179" s="12" t="str">
        <f ca="1">VLOOKUP(F179,Table8[[Native]:[Population4]],5,FALSE)</f>
        <v>日喀则市</v>
      </c>
    </row>
    <row r="180" spans="1:7" ht="15.75" thickBot="1" x14ac:dyDescent="0.3">
      <c r="A180" t="s">
        <v>1198</v>
      </c>
      <c r="B180" s="1" t="s">
        <v>1199</v>
      </c>
      <c r="C180" s="1" t="s">
        <v>7</v>
      </c>
      <c r="D180" s="1" t="s">
        <v>934</v>
      </c>
      <c r="E180" s="3">
        <v>1097</v>
      </c>
      <c r="F180" s="1" t="str">
        <f>VLOOKUP(D180,Table8[[Name]:[Native]],3,FALSE)</f>
        <v>亚东县</v>
      </c>
      <c r="G180" s="12" t="str">
        <f ca="1">VLOOKUP(F180,Table8[[Native]:[Population4]],5,FALSE)</f>
        <v>日喀则市</v>
      </c>
    </row>
    <row r="181" spans="1:7" ht="15.75" thickBot="1" x14ac:dyDescent="0.3">
      <c r="A181" t="s">
        <v>1200</v>
      </c>
      <c r="B181" s="1" t="s">
        <v>1201</v>
      </c>
      <c r="C181" s="1" t="s">
        <v>17</v>
      </c>
      <c r="D181" s="1" t="s">
        <v>875</v>
      </c>
      <c r="E181" s="3">
        <v>9528</v>
      </c>
      <c r="F181" s="1" t="str">
        <f>VLOOKUP(D181,Table8[[Name]:[Native]],3,FALSE)</f>
        <v>定日县</v>
      </c>
      <c r="G181" s="12" t="str">
        <f ca="1">VLOOKUP(F181,Table8[[Native]:[Population4]],5,FALSE)</f>
        <v>日喀则市</v>
      </c>
    </row>
    <row r="182" spans="1:7" ht="15.75" thickBot="1" x14ac:dyDescent="0.3">
      <c r="A182" t="s">
        <v>76</v>
      </c>
      <c r="B182" s="1" t="s">
        <v>77</v>
      </c>
      <c r="C182" s="1" t="s">
        <v>7</v>
      </c>
      <c r="D182" s="1" t="s">
        <v>846</v>
      </c>
      <c r="E182" s="3">
        <v>786</v>
      </c>
      <c r="F182" s="1" t="str">
        <f>VLOOKUP(D182,Table8[[Name]:[Native]],3,FALSE)</f>
        <v>昂仁县</v>
      </c>
      <c r="G182" s="12" t="str">
        <f ca="1">VLOOKUP(F182,Table8[[Native]:[Population4]],5,FALSE)</f>
        <v>日喀则市</v>
      </c>
    </row>
    <row r="183" spans="1:7" ht="15.75" thickBot="1" x14ac:dyDescent="0.3">
      <c r="A183" t="s">
        <v>1202</v>
      </c>
      <c r="B183" s="1" t="s">
        <v>1203</v>
      </c>
      <c r="C183" s="1" t="s">
        <v>7</v>
      </c>
      <c r="D183" s="1" t="s">
        <v>878</v>
      </c>
      <c r="E183" s="3">
        <v>2382</v>
      </c>
      <c r="F183" s="1" t="str">
        <f>VLOOKUP(D183,Table8[[Name]:[Native]],3,FALSE)</f>
        <v>萨迦县</v>
      </c>
      <c r="G183" s="12" t="str">
        <f ca="1">VLOOKUP(F183,Table8[[Native]:[Population4]],5,FALSE)</f>
        <v>日喀则市</v>
      </c>
    </row>
    <row r="184" spans="1:7" ht="15.75" thickBot="1" x14ac:dyDescent="0.3">
      <c r="A184" t="s">
        <v>1204</v>
      </c>
      <c r="B184" s="1" t="s">
        <v>1205</v>
      </c>
      <c r="C184" s="1" t="s">
        <v>7</v>
      </c>
      <c r="D184" s="1" t="s">
        <v>878</v>
      </c>
      <c r="E184" s="3">
        <v>5796</v>
      </c>
      <c r="F184" s="1" t="str">
        <f>VLOOKUP(D184,Table8[[Name]:[Native]],3,FALSE)</f>
        <v>萨迦县</v>
      </c>
      <c r="G184" s="12" t="str">
        <f ca="1">VLOOKUP(F184,Table8[[Native]:[Population4]],5,FALSE)</f>
        <v>日喀则市</v>
      </c>
    </row>
    <row r="185" spans="1:7" ht="15.75" thickBot="1" x14ac:dyDescent="0.3">
      <c r="A185" t="s">
        <v>1206</v>
      </c>
      <c r="B185" s="1" t="s">
        <v>1207</v>
      </c>
      <c r="C185" s="1" t="s">
        <v>7</v>
      </c>
      <c r="D185" s="1" t="s">
        <v>869</v>
      </c>
      <c r="E185" s="3">
        <v>1900</v>
      </c>
      <c r="F185" s="1" t="str">
        <f>VLOOKUP(D185,Table8[[Name]:[Native]],3,FALSE)</f>
        <v>萨嘎县</v>
      </c>
      <c r="G185" s="12" t="str">
        <f ca="1">VLOOKUP(F185,Table8[[Native]:[Population4]],5,FALSE)</f>
        <v>日喀则市</v>
      </c>
    </row>
    <row r="186" spans="1:7" ht="15.75" thickBot="1" x14ac:dyDescent="0.3">
      <c r="A186" t="s">
        <v>1208</v>
      </c>
      <c r="B186" s="1" t="s">
        <v>1209</v>
      </c>
      <c r="C186" s="1" t="s">
        <v>7</v>
      </c>
      <c r="D186" s="1" t="s">
        <v>947</v>
      </c>
      <c r="E186" s="3">
        <v>1892</v>
      </c>
      <c r="F186" s="1" t="str">
        <f>VLOOKUP(D186,Table8[[Name]:[Native]],3,FALSE)</f>
        <v>康马县</v>
      </c>
      <c r="G186" s="12" t="str">
        <f ca="1">VLOOKUP(F186,Table8[[Native]:[Population4]],5,FALSE)</f>
        <v>日喀则市</v>
      </c>
    </row>
    <row r="187" spans="1:7" ht="15.75" thickBot="1" x14ac:dyDescent="0.3">
      <c r="A187" t="s">
        <v>1210</v>
      </c>
      <c r="B187" s="1" t="s">
        <v>1211</v>
      </c>
      <c r="C187" s="1" t="s">
        <v>7</v>
      </c>
      <c r="D187" s="1" t="s">
        <v>881</v>
      </c>
      <c r="E187" s="3">
        <v>5730</v>
      </c>
      <c r="F187" s="1" t="str">
        <f>VLOOKUP(D187,Table8[[Name]:[Native]],3,FALSE)</f>
        <v>拉孜县</v>
      </c>
      <c r="G187" s="12" t="str">
        <f ca="1">VLOOKUP(F187,Table8[[Native]:[Population4]],5,FALSE)</f>
        <v>日喀则市</v>
      </c>
    </row>
    <row r="188" spans="1:7" ht="15.75" thickBot="1" x14ac:dyDescent="0.3">
      <c r="A188" t="s">
        <v>1212</v>
      </c>
      <c r="B188" s="1" t="s">
        <v>1213</v>
      </c>
      <c r="C188" s="1" t="s">
        <v>7</v>
      </c>
      <c r="D188" s="1" t="s">
        <v>853</v>
      </c>
      <c r="E188" s="3">
        <v>1555</v>
      </c>
      <c r="F188" s="1" t="str">
        <f>VLOOKUP(D188,Table8[[Name]:[Native]],3,FALSE)</f>
        <v>聂拉木县</v>
      </c>
      <c r="G188" s="12" t="str">
        <f ca="1">VLOOKUP(F188,Table8[[Native]:[Population4]],5,FALSE)</f>
        <v>日喀则市</v>
      </c>
    </row>
    <row r="189" spans="1:7" ht="15.75" thickBot="1" x14ac:dyDescent="0.3">
      <c r="A189" t="s">
        <v>1214</v>
      </c>
      <c r="B189" s="1" t="s">
        <v>1215</v>
      </c>
      <c r="C189" s="1" t="s">
        <v>7</v>
      </c>
      <c r="D189" s="1" t="s">
        <v>846</v>
      </c>
      <c r="E189" s="3">
        <v>6313</v>
      </c>
      <c r="F189" s="1" t="str">
        <f>VLOOKUP(D189,Table8[[Name]:[Native]],3,FALSE)</f>
        <v>昂仁县</v>
      </c>
      <c r="G189" s="12" t="str">
        <f ca="1">VLOOKUP(F189,Table8[[Native]:[Population4]],5,FALSE)</f>
        <v>日喀则市</v>
      </c>
    </row>
    <row r="190" spans="1:7" ht="15.75" thickBot="1" x14ac:dyDescent="0.3">
      <c r="A190" t="s">
        <v>80</v>
      </c>
      <c r="B190" s="1" t="s">
        <v>81</v>
      </c>
      <c r="C190" s="1" t="s">
        <v>7</v>
      </c>
      <c r="D190" s="1" t="s">
        <v>856</v>
      </c>
      <c r="E190" s="3">
        <v>1342</v>
      </c>
      <c r="F190" s="1" t="str">
        <f>VLOOKUP(D190,Table8[[Name]:[Native]],3,FALSE)</f>
        <v>仲巴县</v>
      </c>
      <c r="G190" s="12" t="str">
        <f ca="1">VLOOKUP(F190,Table8[[Native]:[Population4]],5,FALSE)</f>
        <v>日喀则市</v>
      </c>
    </row>
    <row r="191" spans="1:7" ht="15.75" thickBot="1" x14ac:dyDescent="0.3">
      <c r="A191" t="s">
        <v>1216</v>
      </c>
      <c r="B191" s="1" t="s">
        <v>1217</v>
      </c>
      <c r="C191" s="1" t="s">
        <v>7</v>
      </c>
      <c r="D191" s="1" t="s">
        <v>893</v>
      </c>
      <c r="E191" s="3">
        <v>2309</v>
      </c>
      <c r="F191" s="1" t="str">
        <f>VLOOKUP(D191,Table8[[Name]:[Native]],3,FALSE)</f>
        <v>江孜县</v>
      </c>
      <c r="G191" s="12" t="str">
        <f ca="1">VLOOKUP(F191,Table8[[Native]:[Population4]],5,FALSE)</f>
        <v>日喀则市</v>
      </c>
    </row>
    <row r="192" spans="1:7" ht="15.75" thickBot="1" x14ac:dyDescent="0.3">
      <c r="A192" t="s">
        <v>1218</v>
      </c>
      <c r="B192" s="1" t="s">
        <v>1219</v>
      </c>
      <c r="C192" s="1" t="s">
        <v>7</v>
      </c>
      <c r="D192" s="1" t="s">
        <v>861</v>
      </c>
      <c r="E192" s="3">
        <v>700</v>
      </c>
      <c r="F192" s="1" t="str">
        <f>VLOOKUP(D192,Table8[[Name]:[Native]],3,FALSE)</f>
        <v>谢通门县</v>
      </c>
      <c r="G192" s="12" t="str">
        <f ca="1">VLOOKUP(F192,Table8[[Native]:[Population4]],5,FALSE)</f>
        <v>日喀则市</v>
      </c>
    </row>
    <row r="193" spans="1:7" ht="15.75" thickBot="1" x14ac:dyDescent="0.3">
      <c r="A193" t="s">
        <v>1220</v>
      </c>
      <c r="B193" s="1" t="s">
        <v>1221</v>
      </c>
      <c r="C193" s="1" t="s">
        <v>7</v>
      </c>
      <c r="D193" s="1" t="s">
        <v>875</v>
      </c>
      <c r="E193" s="3">
        <v>2285</v>
      </c>
      <c r="F193" s="1" t="str">
        <f>VLOOKUP(D193,Table8[[Name]:[Native]],3,FALSE)</f>
        <v>定日县</v>
      </c>
      <c r="G193" s="12" t="str">
        <f ca="1">VLOOKUP(F193,Table8[[Native]:[Population4]],5,FALSE)</f>
        <v>日喀则市</v>
      </c>
    </row>
    <row r="194" spans="1:7" ht="15.75" thickBot="1" x14ac:dyDescent="0.3">
      <c r="A194" t="s">
        <v>1222</v>
      </c>
      <c r="B194" s="1" t="s">
        <v>1223</v>
      </c>
      <c r="C194" s="1" t="s">
        <v>17</v>
      </c>
      <c r="D194" s="1" t="s">
        <v>853</v>
      </c>
      <c r="E194" s="3">
        <v>3469</v>
      </c>
      <c r="F194" s="1" t="str">
        <f>VLOOKUP(D194,Table8[[Name]:[Native]],3,FALSE)</f>
        <v>聂拉木县</v>
      </c>
      <c r="G194" s="12" t="str">
        <f ca="1">VLOOKUP(F194,Table8[[Native]:[Population4]],5,FALSE)</f>
        <v>日喀则市</v>
      </c>
    </row>
    <row r="195" spans="1:7" ht="15.75" thickBot="1" x14ac:dyDescent="0.3">
      <c r="A195" t="s">
        <v>82</v>
      </c>
      <c r="B195" s="1" t="s">
        <v>83</v>
      </c>
      <c r="C195" s="1" t="s">
        <v>7</v>
      </c>
      <c r="D195" s="1" t="s">
        <v>878</v>
      </c>
      <c r="E195" s="3">
        <v>4509</v>
      </c>
      <c r="F195" s="1" t="str">
        <f>VLOOKUP(D195,Table8[[Name]:[Native]],3,FALSE)</f>
        <v>萨迦县</v>
      </c>
      <c r="G195" s="12" t="str">
        <f ca="1">VLOOKUP(F195,Table8[[Native]:[Population4]],5,FALSE)</f>
        <v>日喀则市</v>
      </c>
    </row>
    <row r="196" spans="1:7" ht="15.75" thickBot="1" x14ac:dyDescent="0.3">
      <c r="A196" t="s">
        <v>82</v>
      </c>
      <c r="B196" s="1" t="s">
        <v>83</v>
      </c>
      <c r="C196" s="1" t="s">
        <v>7</v>
      </c>
      <c r="D196" s="1" t="s">
        <v>881</v>
      </c>
      <c r="E196" s="3">
        <v>6358</v>
      </c>
      <c r="F196" s="1" t="str">
        <f>VLOOKUP(D196,Table8[[Name]:[Native]],3,FALSE)</f>
        <v>拉孜县</v>
      </c>
      <c r="G196" s="12" t="str">
        <f ca="1">VLOOKUP(F196,Table8[[Native]:[Population4]],5,FALSE)</f>
        <v>日喀则市</v>
      </c>
    </row>
    <row r="197" spans="1:7" ht="15.75" thickBot="1" x14ac:dyDescent="0.3">
      <c r="A197" t="s">
        <v>82</v>
      </c>
      <c r="B197" s="1" t="s">
        <v>83</v>
      </c>
      <c r="C197" s="1" t="s">
        <v>7</v>
      </c>
      <c r="D197" s="1" t="s">
        <v>890</v>
      </c>
      <c r="E197" s="3">
        <v>2048</v>
      </c>
      <c r="F197" s="1" t="str">
        <f>VLOOKUP(D197,Table8[[Name]:[Native]],3,FALSE)</f>
        <v>定结县</v>
      </c>
      <c r="G197" s="12" t="str">
        <f ca="1">VLOOKUP(F197,Table8[[Native]:[Population4]],5,FALSE)</f>
        <v>日喀则市</v>
      </c>
    </row>
    <row r="198" spans="1:7" ht="15.75" thickBot="1" x14ac:dyDescent="0.3">
      <c r="A198" t="s">
        <v>1224</v>
      </c>
      <c r="B198" s="1" t="s">
        <v>1225</v>
      </c>
      <c r="C198" s="1" t="s">
        <v>7</v>
      </c>
      <c r="D198" s="1" t="s">
        <v>875</v>
      </c>
      <c r="E198" s="3">
        <v>6722</v>
      </c>
      <c r="F198" s="1" t="str">
        <f>VLOOKUP(D198,Table8[[Name]:[Native]],3,FALSE)</f>
        <v>定日县</v>
      </c>
      <c r="G198" s="12" t="str">
        <f ca="1">VLOOKUP(F198,Table8[[Native]:[Population4]],5,FALSE)</f>
        <v>日喀则市</v>
      </c>
    </row>
    <row r="199" spans="1:7" ht="15.75" thickBot="1" x14ac:dyDescent="0.3">
      <c r="A199" t="s">
        <v>1224</v>
      </c>
      <c r="B199" s="1" t="s">
        <v>1225</v>
      </c>
      <c r="C199" s="1" t="s">
        <v>7</v>
      </c>
      <c r="D199" s="1" t="s">
        <v>881</v>
      </c>
      <c r="E199" s="3">
        <v>2737</v>
      </c>
      <c r="F199" s="1" t="str">
        <f>VLOOKUP(D199,Table8[[Name]:[Native]],3,FALSE)</f>
        <v>拉孜县</v>
      </c>
      <c r="G199" s="12" t="str">
        <f ca="1">VLOOKUP(F199,Table8[[Native]:[Population4]],5,FALSE)</f>
        <v>日喀则市</v>
      </c>
    </row>
    <row r="200" spans="1:7" ht="15.75" thickBot="1" x14ac:dyDescent="0.3">
      <c r="A200" t="s">
        <v>1226</v>
      </c>
      <c r="B200" s="1" t="s">
        <v>1227</v>
      </c>
      <c r="C200" s="1" t="s">
        <v>7</v>
      </c>
      <c r="D200" s="1" t="s">
        <v>866</v>
      </c>
      <c r="E200" s="3">
        <v>2324</v>
      </c>
      <c r="F200" s="1" t="str">
        <f>VLOOKUP(D200,Table8[[Name]:[Native]],3,FALSE)</f>
        <v>吉隆县</v>
      </c>
      <c r="G200" s="12" t="str">
        <f ca="1">VLOOKUP(F200,Table8[[Native]:[Population4]],5,FALSE)</f>
        <v>日喀则市</v>
      </c>
    </row>
    <row r="201" spans="1:7" ht="15.75" thickBot="1" x14ac:dyDescent="0.3">
      <c r="A201" t="s">
        <v>1228</v>
      </c>
      <c r="B201" s="1" t="s">
        <v>1229</v>
      </c>
      <c r="C201" s="1" t="s">
        <v>7</v>
      </c>
      <c r="D201" s="1" t="s">
        <v>847</v>
      </c>
      <c r="E201" s="3">
        <v>1906</v>
      </c>
      <c r="F201" s="1" t="str">
        <f>VLOOKUP(D201,Table8[[Name]:[Native]],3,FALSE)</f>
        <v>白朗县</v>
      </c>
      <c r="G201" s="12" t="str">
        <f ca="1">VLOOKUP(F201,Table8[[Native]:[Population4]],5,FALSE)</f>
        <v>日喀则市</v>
      </c>
    </row>
    <row r="202" spans="1:7" ht="15.75" thickBot="1" x14ac:dyDescent="0.3">
      <c r="A202" t="s">
        <v>1230</v>
      </c>
      <c r="B202" s="1" t="s">
        <v>1231</v>
      </c>
      <c r="C202" s="1" t="s">
        <v>7</v>
      </c>
      <c r="D202" s="1" t="s">
        <v>872</v>
      </c>
      <c r="E202" s="3">
        <v>1226</v>
      </c>
      <c r="F202" s="1" t="str">
        <f>VLOOKUP(D202,Table8[[Name]:[Native]],3,FALSE)</f>
        <v>岗巴县</v>
      </c>
      <c r="G202" s="12" t="str">
        <f ca="1">VLOOKUP(F202,Table8[[Native]:[Population4]],5,FALSE)</f>
        <v>日喀则市</v>
      </c>
    </row>
    <row r="203" spans="1:7" ht="15.75" thickBot="1" x14ac:dyDescent="0.3">
      <c r="A203" t="s">
        <v>1232</v>
      </c>
      <c r="B203" s="1" t="s">
        <v>1233</v>
      </c>
      <c r="C203" s="1" t="s">
        <v>7</v>
      </c>
      <c r="D203" s="1" t="s">
        <v>893</v>
      </c>
      <c r="E203" s="3">
        <v>3424</v>
      </c>
      <c r="F203" s="1" t="str">
        <f>VLOOKUP(D203,Table8[[Name]:[Native]],3,FALSE)</f>
        <v>江孜县</v>
      </c>
      <c r="G203" s="12" t="str">
        <f ca="1">VLOOKUP(F203,Table8[[Native]:[Population4]],5,FALSE)</f>
        <v>日喀则市</v>
      </c>
    </row>
    <row r="204" spans="1:7" ht="15.75" thickBot="1" x14ac:dyDescent="0.3">
      <c r="A204" t="s">
        <v>1234</v>
      </c>
      <c r="B204" s="1" t="s">
        <v>1235</v>
      </c>
      <c r="C204" s="1" t="s">
        <v>17</v>
      </c>
      <c r="D204" s="1" t="s">
        <v>866</v>
      </c>
      <c r="E204" s="3">
        <v>4047</v>
      </c>
      <c r="F204" s="9" t="str">
        <f>VLOOKUP(D204,Table8[[Name]:[Native]],3,FALSE)</f>
        <v>吉隆县</v>
      </c>
      <c r="G204" s="12" t="str">
        <f ca="1">VLOOKUP(F204,Table8[[Native]:[Population4]],5,FALSE)</f>
        <v>日喀则市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57ED4-60BD-401F-948B-256FFF2AD61E}">
  <dimension ref="A1:G83"/>
  <sheetViews>
    <sheetView topLeftCell="A58" workbookViewId="0">
      <selection activeCell="G2" sqref="A2:G8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1502</v>
      </c>
      <c r="G1" t="s">
        <v>1504</v>
      </c>
    </row>
    <row r="2" spans="1:7" ht="15.75" thickBot="1" x14ac:dyDescent="0.3">
      <c r="A2" t="s">
        <v>1236</v>
      </c>
      <c r="B2" s="1" t="s">
        <v>1237</v>
      </c>
      <c r="C2" s="1" t="s">
        <v>17</v>
      </c>
      <c r="D2" s="1" t="s">
        <v>1238</v>
      </c>
      <c r="E2" s="3">
        <v>8009</v>
      </c>
      <c r="F2" s="8" t="str">
        <f>VLOOKUP(D2,Table8[[Name]:[Native]],3,FALSE)</f>
        <v>加查县</v>
      </c>
      <c r="G2" s="12" t="str">
        <f ca="1">VLOOKUP(F2,Table8[[Native]:[Population4]],5,FALSE)</f>
        <v>山南市</v>
      </c>
    </row>
    <row r="3" spans="1:7" ht="15.75" thickBot="1" x14ac:dyDescent="0.3">
      <c r="A3" t="s">
        <v>1239</v>
      </c>
      <c r="B3" s="1" t="s">
        <v>1240</v>
      </c>
      <c r="C3" s="1" t="s">
        <v>7</v>
      </c>
      <c r="D3" s="1" t="s">
        <v>1241</v>
      </c>
      <c r="E3" s="3">
        <v>2249</v>
      </c>
      <c r="F3" s="1" t="str">
        <f>VLOOKUP(D3,Table8[[Name]:[Native]],3,FALSE)</f>
        <v>扎囊县</v>
      </c>
      <c r="G3" s="12" t="str">
        <f ca="1">VLOOKUP(F3,Table8[[Native]:[Population4]],5,FALSE)</f>
        <v>山南市</v>
      </c>
    </row>
    <row r="4" spans="1:7" ht="15.75" thickBot="1" x14ac:dyDescent="0.3">
      <c r="A4" t="s">
        <v>1239</v>
      </c>
      <c r="B4" s="1" t="s">
        <v>1240</v>
      </c>
      <c r="C4" s="1" t="s">
        <v>7</v>
      </c>
      <c r="D4" s="1" t="s">
        <v>1242</v>
      </c>
      <c r="E4" s="3">
        <v>2016</v>
      </c>
      <c r="F4" s="1" t="str">
        <f>VLOOKUP(D4,Table8[[Name]:[Native]],3,FALSE)</f>
        <v>浪卡子县</v>
      </c>
      <c r="G4" s="12" t="str">
        <f ca="1">VLOOKUP(F4,Table8[[Native]:[Population4]],5,FALSE)</f>
        <v>山南市</v>
      </c>
    </row>
    <row r="5" spans="1:7" ht="15.75" thickBot="1" x14ac:dyDescent="0.3">
      <c r="A5" t="s">
        <v>1243</v>
      </c>
      <c r="B5" s="1" t="s">
        <v>1244</v>
      </c>
      <c r="C5" s="1" t="s">
        <v>7</v>
      </c>
      <c r="D5" s="1" t="s">
        <v>1242</v>
      </c>
      <c r="E5" s="3">
        <v>2038</v>
      </c>
      <c r="F5" s="1" t="str">
        <f>VLOOKUP(D5,Table8[[Name]:[Native]],3,FALSE)</f>
        <v>浪卡子县</v>
      </c>
      <c r="G5" s="12" t="str">
        <f ca="1">VLOOKUP(F5,Table8[[Native]:[Population4]],5,FALSE)</f>
        <v>山南市</v>
      </c>
    </row>
    <row r="6" spans="1:7" ht="15.75" thickBot="1" x14ac:dyDescent="0.3">
      <c r="A6" t="s">
        <v>1245</v>
      </c>
      <c r="B6" s="1" t="s">
        <v>1246</v>
      </c>
      <c r="C6" s="1" t="s">
        <v>7</v>
      </c>
      <c r="D6" s="1" t="s">
        <v>1247</v>
      </c>
      <c r="E6" s="3">
        <v>1846</v>
      </c>
      <c r="F6" s="1" t="str">
        <f>VLOOKUP(D6,Table8[[Name]:[Native]],3,FALSE)</f>
        <v>桑日县</v>
      </c>
      <c r="G6" s="12" t="str">
        <f ca="1">VLOOKUP(F6,Table8[[Native]:[Population4]],5,FALSE)</f>
        <v>山南市</v>
      </c>
    </row>
    <row r="7" spans="1:7" ht="15.75" thickBot="1" x14ac:dyDescent="0.3">
      <c r="A7" t="s">
        <v>1248</v>
      </c>
      <c r="B7" s="1" t="s">
        <v>1249</v>
      </c>
      <c r="C7" s="1" t="s">
        <v>7</v>
      </c>
      <c r="D7" s="1" t="s">
        <v>1238</v>
      </c>
      <c r="E7" s="3">
        <v>1271</v>
      </c>
      <c r="F7" s="1" t="str">
        <f>VLOOKUP(D7,Table8[[Name]:[Native]],3,FALSE)</f>
        <v>加查县</v>
      </c>
      <c r="G7" s="12" t="str">
        <f ca="1">VLOOKUP(F7,Table8[[Native]:[Population4]],5,FALSE)</f>
        <v>山南市</v>
      </c>
    </row>
    <row r="8" spans="1:7" ht="15.75" thickBot="1" x14ac:dyDescent="0.3">
      <c r="A8" t="s">
        <v>1250</v>
      </c>
      <c r="B8" s="1" t="s">
        <v>1251</v>
      </c>
      <c r="C8" s="1" t="s">
        <v>7</v>
      </c>
      <c r="D8" s="1" t="s">
        <v>1252</v>
      </c>
      <c r="E8" s="3">
        <v>1306</v>
      </c>
      <c r="F8" s="1" t="str">
        <f>VLOOKUP(D8,Table8[[Name]:[Native]],3,FALSE)</f>
        <v>洛扎县</v>
      </c>
      <c r="G8" s="12" t="str">
        <f ca="1">VLOOKUP(F8,Table8[[Native]:[Population4]],5,FALSE)</f>
        <v>山南市</v>
      </c>
    </row>
    <row r="9" spans="1:7" ht="15.75" thickBot="1" x14ac:dyDescent="0.3">
      <c r="A9" t="s">
        <v>867</v>
      </c>
      <c r="B9" s="1" t="s">
        <v>868</v>
      </c>
      <c r="C9" s="1" t="s">
        <v>7</v>
      </c>
      <c r="D9" s="1" t="s">
        <v>1253</v>
      </c>
      <c r="E9" s="3">
        <v>2782</v>
      </c>
      <c r="F9" s="1" t="str">
        <f>VLOOKUP(D9,Table8[[Name]:[Native]],3,FALSE)</f>
        <v>贡嘎县</v>
      </c>
      <c r="G9" s="12" t="str">
        <f ca="1">VLOOKUP(F9,Table8[[Native]:[Population4]],5,FALSE)</f>
        <v>山南市</v>
      </c>
    </row>
    <row r="10" spans="1:7" ht="15.75" thickBot="1" x14ac:dyDescent="0.3">
      <c r="A10" t="s">
        <v>1254</v>
      </c>
      <c r="B10" s="1" t="s">
        <v>1255</v>
      </c>
      <c r="C10" s="1" t="s">
        <v>17</v>
      </c>
      <c r="D10" s="1" t="s">
        <v>1256</v>
      </c>
      <c r="E10" s="3">
        <v>6621</v>
      </c>
      <c r="F10" s="1" t="str">
        <f>VLOOKUP(D10,Table8[[Name]:[Native]],3,FALSE)</f>
        <v>乃东区</v>
      </c>
      <c r="G10" s="12" t="str">
        <f ca="1">VLOOKUP(F10,Table8[[Native]:[Population4]],5,FALSE)</f>
        <v>山南市</v>
      </c>
    </row>
    <row r="11" spans="1:7" ht="15.75" thickBot="1" x14ac:dyDescent="0.3">
      <c r="A11" t="s">
        <v>1257</v>
      </c>
      <c r="B11" s="1" t="s">
        <v>1258</v>
      </c>
      <c r="C11" s="1" t="s">
        <v>7</v>
      </c>
      <c r="D11" s="1" t="s">
        <v>1238</v>
      </c>
      <c r="E11" s="3">
        <v>620</v>
      </c>
      <c r="F11" s="1" t="str">
        <f>VLOOKUP(D11,Table8[[Name]:[Native]],3,FALSE)</f>
        <v>加查县</v>
      </c>
      <c r="G11" s="12" t="str">
        <f ca="1">VLOOKUP(F11,Table8[[Native]:[Population4]],5,FALSE)</f>
        <v>山南市</v>
      </c>
    </row>
    <row r="12" spans="1:7" ht="15.75" thickBot="1" x14ac:dyDescent="0.3">
      <c r="A12" t="s">
        <v>1259</v>
      </c>
      <c r="B12" s="1" t="s">
        <v>1260</v>
      </c>
      <c r="C12" s="1" t="s">
        <v>17</v>
      </c>
      <c r="D12" s="1" t="s">
        <v>1261</v>
      </c>
      <c r="E12" s="3">
        <v>4926</v>
      </c>
      <c r="F12" s="1" t="str">
        <f>VLOOKUP(D12,Table8[[Name]:[Native]],3,FALSE)</f>
        <v>措美县</v>
      </c>
      <c r="G12" s="12" t="str">
        <f ca="1">VLOOKUP(F12,Table8[[Native]:[Population4]],5,FALSE)</f>
        <v>山南市</v>
      </c>
    </row>
    <row r="13" spans="1:7" ht="15.75" thickBot="1" x14ac:dyDescent="0.3">
      <c r="A13" t="s">
        <v>1262</v>
      </c>
      <c r="B13" s="1" t="s">
        <v>1263</v>
      </c>
      <c r="C13" s="1" t="s">
        <v>17</v>
      </c>
      <c r="D13" s="1" t="s">
        <v>1264</v>
      </c>
      <c r="E13" s="3">
        <v>3232</v>
      </c>
      <c r="F13" s="1" t="str">
        <f>VLOOKUP(D13,Table8[[Name]:[Native]],3,FALSE)</f>
        <v>错那县</v>
      </c>
      <c r="G13" s="12" t="str">
        <f ca="1">VLOOKUP(F13,Table8[[Native]:[Population4]],5,FALSE)</f>
        <v>山南市</v>
      </c>
    </row>
    <row r="14" spans="1:7" ht="15.75" thickBot="1" x14ac:dyDescent="0.3">
      <c r="A14" t="s">
        <v>1265</v>
      </c>
      <c r="B14" s="1" t="s">
        <v>1266</v>
      </c>
      <c r="C14" s="1" t="s">
        <v>17</v>
      </c>
      <c r="D14" s="1" t="s">
        <v>1242</v>
      </c>
      <c r="E14" s="3">
        <v>4672</v>
      </c>
      <c r="F14" s="1" t="str">
        <f>VLOOKUP(D14,Table8[[Name]:[Native]],3,FALSE)</f>
        <v>浪卡子县</v>
      </c>
      <c r="G14" s="12" t="str">
        <f ca="1">VLOOKUP(F14,Table8[[Native]:[Population4]],5,FALSE)</f>
        <v>山南市</v>
      </c>
    </row>
    <row r="15" spans="1:7" ht="15.75" thickBot="1" x14ac:dyDescent="0.3">
      <c r="A15" t="s">
        <v>1267</v>
      </c>
      <c r="B15" s="1" t="s">
        <v>1268</v>
      </c>
      <c r="C15" s="1" t="s">
        <v>7</v>
      </c>
      <c r="D15" s="1" t="s">
        <v>1253</v>
      </c>
      <c r="E15" s="3">
        <v>3877</v>
      </c>
      <c r="F15" s="1" t="str">
        <f>VLOOKUP(D15,Table8[[Name]:[Native]],3,FALSE)</f>
        <v>贡嘎县</v>
      </c>
      <c r="G15" s="12" t="str">
        <f ca="1">VLOOKUP(F15,Table8[[Native]:[Population4]],5,FALSE)</f>
        <v>山南市</v>
      </c>
    </row>
    <row r="16" spans="1:7" ht="15.75" thickBot="1" x14ac:dyDescent="0.3">
      <c r="A16" t="s">
        <v>1269</v>
      </c>
      <c r="B16" s="1" t="s">
        <v>1270</v>
      </c>
      <c r="C16" s="1" t="s">
        <v>7</v>
      </c>
      <c r="D16" s="1" t="s">
        <v>1271</v>
      </c>
      <c r="E16" s="3">
        <v>592</v>
      </c>
      <c r="F16" s="1" t="str">
        <f>VLOOKUP(D16,Table8[[Name]:[Native]],3,FALSE)</f>
        <v>隆子县</v>
      </c>
      <c r="G16" s="12" t="str">
        <f ca="1">VLOOKUP(F16,Table8[[Native]:[Population4]],5,FALSE)</f>
        <v>山南市</v>
      </c>
    </row>
    <row r="17" spans="1:7" ht="15.75" thickBot="1" x14ac:dyDescent="0.3">
      <c r="A17" t="s">
        <v>1272</v>
      </c>
      <c r="B17" s="1" t="s">
        <v>1273</v>
      </c>
      <c r="C17" s="1" t="s">
        <v>7</v>
      </c>
      <c r="D17" s="1" t="s">
        <v>1274</v>
      </c>
      <c r="E17" s="3">
        <v>2689</v>
      </c>
      <c r="F17" s="1" t="str">
        <f>VLOOKUP(D17,Table8[[Name]:[Native]],3,FALSE)</f>
        <v>曲松县</v>
      </c>
      <c r="G17" s="12" t="str">
        <f ca="1">VLOOKUP(F17,Table8[[Native]:[Population4]],5,FALSE)</f>
        <v>山南市</v>
      </c>
    </row>
    <row r="18" spans="1:7" ht="15.75" thickBot="1" x14ac:dyDescent="0.3">
      <c r="A18" t="s">
        <v>1275</v>
      </c>
      <c r="B18" s="1" t="s">
        <v>1276</v>
      </c>
      <c r="C18" s="1" t="s">
        <v>7</v>
      </c>
      <c r="D18" s="1" t="s">
        <v>1256</v>
      </c>
      <c r="E18" s="3">
        <v>1725</v>
      </c>
      <c r="F18" s="1" t="str">
        <f>VLOOKUP(D18,Table8[[Name]:[Native]],3,FALSE)</f>
        <v>乃东区</v>
      </c>
      <c r="G18" s="12" t="str">
        <f ca="1">VLOOKUP(F18,Table8[[Native]:[Population4]],5,FALSE)</f>
        <v>山南市</v>
      </c>
    </row>
    <row r="19" spans="1:7" ht="15.75" thickBot="1" x14ac:dyDescent="0.3">
      <c r="A19" t="s">
        <v>1277</v>
      </c>
      <c r="B19" s="1" t="s">
        <v>1278</v>
      </c>
      <c r="C19" s="1" t="s">
        <v>7</v>
      </c>
      <c r="D19" s="1" t="s">
        <v>1242</v>
      </c>
      <c r="E19" s="3">
        <v>5628</v>
      </c>
      <c r="F19" s="1" t="str">
        <f>VLOOKUP(D19,Table8[[Name]:[Native]],3,FALSE)</f>
        <v>浪卡子县</v>
      </c>
      <c r="G19" s="12" t="str">
        <f ca="1">VLOOKUP(F19,Table8[[Native]:[Population4]],5,FALSE)</f>
        <v>山南市</v>
      </c>
    </row>
    <row r="20" spans="1:7" ht="15.75" thickBot="1" x14ac:dyDescent="0.3">
      <c r="A20" t="s">
        <v>1279</v>
      </c>
      <c r="B20" s="1" t="s">
        <v>1280</v>
      </c>
      <c r="C20" s="1" t="s">
        <v>17</v>
      </c>
      <c r="D20" s="1" t="s">
        <v>1253</v>
      </c>
      <c r="E20" s="3">
        <v>6832</v>
      </c>
      <c r="F20" s="1" t="str">
        <f>VLOOKUP(D20,Table8[[Name]:[Native]],3,FALSE)</f>
        <v>贡嘎县</v>
      </c>
      <c r="G20" s="12" t="str">
        <f ca="1">VLOOKUP(F20,Table8[[Native]:[Population4]],5,FALSE)</f>
        <v>山南市</v>
      </c>
    </row>
    <row r="21" spans="1:7" ht="15.75" thickBot="1" x14ac:dyDescent="0.3">
      <c r="A21" t="s">
        <v>1281</v>
      </c>
      <c r="B21" s="1" t="s">
        <v>1282</v>
      </c>
      <c r="C21" s="1" t="s">
        <v>7</v>
      </c>
      <c r="D21" s="1" t="s">
        <v>1264</v>
      </c>
      <c r="E21" s="3">
        <v>190</v>
      </c>
      <c r="F21" s="1" t="str">
        <f>VLOOKUP(D21,Table8[[Name]:[Native]],3,FALSE)</f>
        <v>错那县</v>
      </c>
      <c r="G21" s="12" t="str">
        <f ca="1">VLOOKUP(F21,Table8[[Native]:[Population4]],5,FALSE)</f>
        <v>山南市</v>
      </c>
    </row>
    <row r="22" spans="1:7" ht="15.75" thickBot="1" x14ac:dyDescent="0.3">
      <c r="A22" t="s">
        <v>1283</v>
      </c>
      <c r="B22" s="1" t="s">
        <v>1284</v>
      </c>
      <c r="C22" s="1" t="s">
        <v>7</v>
      </c>
      <c r="D22" s="1" t="s">
        <v>1261</v>
      </c>
      <c r="E22" s="3">
        <v>1421</v>
      </c>
      <c r="F22" s="1" t="str">
        <f>VLOOKUP(D22,Table8[[Name]:[Native]],3,FALSE)</f>
        <v>措美县</v>
      </c>
      <c r="G22" s="12" t="str">
        <f ca="1">VLOOKUP(F22,Table8[[Native]:[Population4]],5,FALSE)</f>
        <v>山南市</v>
      </c>
    </row>
    <row r="23" spans="1:7" ht="15.75" thickBot="1" x14ac:dyDescent="0.3">
      <c r="A23" t="s">
        <v>1285</v>
      </c>
      <c r="B23" s="1" t="s">
        <v>1286</v>
      </c>
      <c r="C23" s="1" t="s">
        <v>17</v>
      </c>
      <c r="D23" s="1" t="s">
        <v>1238</v>
      </c>
      <c r="E23" s="3">
        <v>3261</v>
      </c>
      <c r="F23" s="1" t="str">
        <f>VLOOKUP(D23,Table8[[Name]:[Native]],3,FALSE)</f>
        <v>加查县</v>
      </c>
      <c r="G23" s="12" t="str">
        <f ca="1">VLOOKUP(F23,Table8[[Native]:[Population4]],5,FALSE)</f>
        <v>山南市</v>
      </c>
    </row>
    <row r="24" spans="1:7" ht="15.75" thickBot="1" x14ac:dyDescent="0.3">
      <c r="A24" t="s">
        <v>1287</v>
      </c>
      <c r="B24" s="1" t="s">
        <v>1288</v>
      </c>
      <c r="C24" s="1" t="s">
        <v>7</v>
      </c>
      <c r="D24" s="1" t="s">
        <v>1289</v>
      </c>
      <c r="E24" s="3">
        <v>4330</v>
      </c>
      <c r="F24" s="1" t="str">
        <f>VLOOKUP(D24,Table8[[Name]:[Native]],3,FALSE)</f>
        <v>琼结县</v>
      </c>
      <c r="G24" s="12" t="str">
        <f ca="1">VLOOKUP(F24,Table8[[Native]:[Population4]],5,FALSE)</f>
        <v>山南市</v>
      </c>
    </row>
    <row r="25" spans="1:7" ht="15.75" thickBot="1" x14ac:dyDescent="0.3">
      <c r="A25" t="s">
        <v>1290</v>
      </c>
      <c r="B25" s="1" t="s">
        <v>1291</v>
      </c>
      <c r="C25" s="1" t="s">
        <v>17</v>
      </c>
      <c r="D25" s="1" t="s">
        <v>1253</v>
      </c>
      <c r="E25" s="3">
        <v>4852</v>
      </c>
      <c r="F25" s="1" t="str">
        <f>VLOOKUP(D25,Table8[[Name]:[Native]],3,FALSE)</f>
        <v>贡嘎县</v>
      </c>
      <c r="G25" s="12" t="str">
        <f ca="1">VLOOKUP(F25,Table8[[Native]:[Population4]],5,FALSE)</f>
        <v>山南市</v>
      </c>
    </row>
    <row r="26" spans="1:7" ht="15.75" thickBot="1" x14ac:dyDescent="0.3">
      <c r="A26" t="s">
        <v>1292</v>
      </c>
      <c r="B26" s="1" t="s">
        <v>1293</v>
      </c>
      <c r="C26" s="1" t="s">
        <v>7</v>
      </c>
      <c r="D26" s="1" t="s">
        <v>1271</v>
      </c>
      <c r="E26" s="3">
        <v>3341</v>
      </c>
      <c r="F26" s="1" t="str">
        <f>VLOOKUP(D26,Table8[[Name]:[Native]],3,FALSE)</f>
        <v>隆子县</v>
      </c>
      <c r="G26" s="12" t="str">
        <f ca="1">VLOOKUP(F26,Table8[[Native]:[Population4]],5,FALSE)</f>
        <v>山南市</v>
      </c>
    </row>
    <row r="27" spans="1:7" ht="15.75" thickBot="1" x14ac:dyDescent="0.3">
      <c r="A27" t="s">
        <v>1294</v>
      </c>
      <c r="B27" s="1" t="s">
        <v>1295</v>
      </c>
      <c r="C27" s="1" t="s">
        <v>17</v>
      </c>
      <c r="D27" s="1" t="s">
        <v>1253</v>
      </c>
      <c r="E27" s="3">
        <v>8459</v>
      </c>
      <c r="F27" s="1" t="str">
        <f>VLOOKUP(D27,Table8[[Name]:[Native]],3,FALSE)</f>
        <v>贡嘎县</v>
      </c>
      <c r="G27" s="12" t="str">
        <f ca="1">VLOOKUP(F27,Table8[[Native]:[Population4]],5,FALSE)</f>
        <v>山南市</v>
      </c>
    </row>
    <row r="28" spans="1:7" ht="15.75" thickBot="1" x14ac:dyDescent="0.3">
      <c r="A28" t="s">
        <v>1296</v>
      </c>
      <c r="B28" s="1" t="s">
        <v>1297</v>
      </c>
      <c r="C28" s="1" t="s">
        <v>7</v>
      </c>
      <c r="D28" s="1" t="s">
        <v>1264</v>
      </c>
      <c r="E28" s="3">
        <v>241</v>
      </c>
      <c r="F28" s="1" t="str">
        <f>VLOOKUP(D28,Table8[[Name]:[Native]],3,FALSE)</f>
        <v>错那县</v>
      </c>
      <c r="G28" s="12" t="str">
        <f ca="1">VLOOKUP(F28,Table8[[Native]:[Population4]],5,FALSE)</f>
        <v>山南市</v>
      </c>
    </row>
    <row r="29" spans="1:7" ht="15.75" thickBot="1" x14ac:dyDescent="0.3">
      <c r="A29" t="s">
        <v>1298</v>
      </c>
      <c r="B29" s="1" t="s">
        <v>1299</v>
      </c>
      <c r="C29" s="1" t="s">
        <v>7</v>
      </c>
      <c r="D29" s="1" t="s">
        <v>1256</v>
      </c>
      <c r="E29" s="3">
        <v>4508</v>
      </c>
      <c r="F29" s="1" t="str">
        <f>VLOOKUP(D29,Table8[[Name]:[Native]],3,FALSE)</f>
        <v>乃东区</v>
      </c>
      <c r="G29" s="12" t="str">
        <f ca="1">VLOOKUP(F29,Table8[[Native]:[Population4]],5,FALSE)</f>
        <v>山南市</v>
      </c>
    </row>
    <row r="30" spans="1:7" ht="15.75" thickBot="1" x14ac:dyDescent="0.3">
      <c r="A30" t="s">
        <v>1300</v>
      </c>
      <c r="B30" s="1" t="s">
        <v>1301</v>
      </c>
      <c r="C30" s="1" t="s">
        <v>17</v>
      </c>
      <c r="D30" s="1" t="s">
        <v>1253</v>
      </c>
      <c r="E30" s="3">
        <v>7508</v>
      </c>
      <c r="F30" s="1" t="str">
        <f>VLOOKUP(D30,Table8[[Name]:[Native]],3,FALSE)</f>
        <v>贡嘎县</v>
      </c>
      <c r="G30" s="12" t="str">
        <f ca="1">VLOOKUP(F30,Table8[[Native]:[Population4]],5,FALSE)</f>
        <v>山南市</v>
      </c>
    </row>
    <row r="31" spans="1:7" ht="15.75" thickBot="1" x14ac:dyDescent="0.3">
      <c r="A31" t="s">
        <v>990</v>
      </c>
      <c r="B31" s="1" t="s">
        <v>991</v>
      </c>
      <c r="C31" s="1" t="s">
        <v>7</v>
      </c>
      <c r="D31" s="1" t="s">
        <v>1241</v>
      </c>
      <c r="E31" s="3">
        <v>10083</v>
      </c>
      <c r="F31" s="1" t="str">
        <f>VLOOKUP(D31,Table8[[Name]:[Native]],3,FALSE)</f>
        <v>扎囊县</v>
      </c>
      <c r="G31" s="12" t="str">
        <f ca="1">VLOOKUP(F31,Table8[[Native]:[Population4]],5,FALSE)</f>
        <v>山南市</v>
      </c>
    </row>
    <row r="32" spans="1:7" ht="15.75" thickBot="1" x14ac:dyDescent="0.3">
      <c r="A32" t="s">
        <v>1302</v>
      </c>
      <c r="B32" s="1" t="s">
        <v>1303</v>
      </c>
      <c r="C32" s="1" t="s">
        <v>17</v>
      </c>
      <c r="D32" s="1" t="s">
        <v>1253</v>
      </c>
      <c r="E32" s="3">
        <v>5016</v>
      </c>
      <c r="F32" s="1" t="str">
        <f>VLOOKUP(D32,Table8[[Name]:[Native]],3,FALSE)</f>
        <v>贡嘎县</v>
      </c>
      <c r="G32" s="12" t="str">
        <f ca="1">VLOOKUP(F32,Table8[[Native]:[Population4]],5,FALSE)</f>
        <v>山南市</v>
      </c>
    </row>
    <row r="33" spans="1:7" ht="15.75" thickBot="1" x14ac:dyDescent="0.3">
      <c r="A33" t="s">
        <v>1304</v>
      </c>
      <c r="B33" s="1" t="s">
        <v>1305</v>
      </c>
      <c r="C33" s="1" t="s">
        <v>7</v>
      </c>
      <c r="D33" s="1" t="s">
        <v>1264</v>
      </c>
      <c r="E33" s="3">
        <v>4481</v>
      </c>
      <c r="F33" s="1" t="str">
        <f>VLOOKUP(D33,Table8[[Name]:[Native]],3,FALSE)</f>
        <v>错那县</v>
      </c>
      <c r="G33" s="12" t="str">
        <f ca="1">VLOOKUP(F33,Table8[[Native]:[Population4]],5,FALSE)</f>
        <v>山南市</v>
      </c>
    </row>
    <row r="34" spans="1:7" ht="15.75" thickBot="1" x14ac:dyDescent="0.3">
      <c r="A34" t="s">
        <v>1306</v>
      </c>
      <c r="B34" s="1" t="s">
        <v>1307</v>
      </c>
      <c r="C34" s="1" t="s">
        <v>7</v>
      </c>
      <c r="D34" s="1" t="s">
        <v>1264</v>
      </c>
      <c r="E34" s="3">
        <v>1991</v>
      </c>
      <c r="F34" s="1" t="str">
        <f>VLOOKUP(D34,Table8[[Name]:[Native]],3,FALSE)</f>
        <v>错那县</v>
      </c>
      <c r="G34" s="12" t="str">
        <f ca="1">VLOOKUP(F34,Table8[[Native]:[Population4]],5,FALSE)</f>
        <v>山南市</v>
      </c>
    </row>
    <row r="35" spans="1:7" ht="15.75" thickBot="1" x14ac:dyDescent="0.3">
      <c r="A35" t="s">
        <v>1308</v>
      </c>
      <c r="B35" s="1" t="s">
        <v>1309</v>
      </c>
      <c r="C35" s="1" t="s">
        <v>7</v>
      </c>
      <c r="D35" s="1" t="s">
        <v>1242</v>
      </c>
      <c r="E35" s="3">
        <v>1950</v>
      </c>
      <c r="F35" s="1" t="str">
        <f>VLOOKUP(D35,Table8[[Name]:[Native]],3,FALSE)</f>
        <v>浪卡子县</v>
      </c>
      <c r="G35" s="12" t="str">
        <f ca="1">VLOOKUP(F35,Table8[[Native]:[Population4]],5,FALSE)</f>
        <v>山南市</v>
      </c>
    </row>
    <row r="36" spans="1:7" ht="15.75" thickBot="1" x14ac:dyDescent="0.3">
      <c r="A36" t="s">
        <v>1310</v>
      </c>
      <c r="B36" s="1" t="s">
        <v>1311</v>
      </c>
      <c r="C36" s="1" t="s">
        <v>7</v>
      </c>
      <c r="D36" s="1" t="s">
        <v>1242</v>
      </c>
      <c r="E36" s="3">
        <v>2542</v>
      </c>
      <c r="F36" s="1" t="str">
        <f>VLOOKUP(D36,Table8[[Name]:[Native]],3,FALSE)</f>
        <v>浪卡子县</v>
      </c>
      <c r="G36" s="12" t="str">
        <f ca="1">VLOOKUP(F36,Table8[[Native]:[Population4]],5,FALSE)</f>
        <v>山南市</v>
      </c>
    </row>
    <row r="37" spans="1:7" ht="15.75" thickBot="1" x14ac:dyDescent="0.3">
      <c r="A37" t="s">
        <v>1312</v>
      </c>
      <c r="B37" s="1" t="s">
        <v>1313</v>
      </c>
      <c r="C37" s="1" t="s">
        <v>7</v>
      </c>
      <c r="D37" s="1" t="s">
        <v>1264</v>
      </c>
      <c r="E37" s="3">
        <v>412</v>
      </c>
      <c r="F37" s="1" t="str">
        <f>VLOOKUP(D37,Table8[[Name]:[Native]],3,FALSE)</f>
        <v>错那县</v>
      </c>
      <c r="G37" s="12" t="str">
        <f ca="1">VLOOKUP(F37,Table8[[Native]:[Population4]],5,FALSE)</f>
        <v>山南市</v>
      </c>
    </row>
    <row r="38" spans="1:7" ht="15.75" thickBot="1" x14ac:dyDescent="0.3">
      <c r="A38" t="s">
        <v>1314</v>
      </c>
      <c r="B38" s="1" t="s">
        <v>1315</v>
      </c>
      <c r="C38" s="1" t="s">
        <v>7</v>
      </c>
      <c r="D38" s="1" t="s">
        <v>1252</v>
      </c>
      <c r="E38" s="3">
        <v>198</v>
      </c>
      <c r="F38" s="1" t="str">
        <f>VLOOKUP(D38,Table8[[Name]:[Native]],3,FALSE)</f>
        <v>洛扎县</v>
      </c>
      <c r="G38" s="12" t="str">
        <f ca="1">VLOOKUP(F38,Table8[[Native]:[Population4]],5,FALSE)</f>
        <v>山南市</v>
      </c>
    </row>
    <row r="39" spans="1:7" ht="15.75" thickBot="1" x14ac:dyDescent="0.3">
      <c r="A39" t="s">
        <v>1316</v>
      </c>
      <c r="B39" s="1" t="s">
        <v>1317</v>
      </c>
      <c r="C39" s="1" t="s">
        <v>17</v>
      </c>
      <c r="D39" s="1" t="s">
        <v>1252</v>
      </c>
      <c r="E39" s="3">
        <v>1799</v>
      </c>
      <c r="F39" s="1" t="str">
        <f>VLOOKUP(D39,Table8[[Name]:[Native]],3,FALSE)</f>
        <v>洛扎县</v>
      </c>
      <c r="G39" s="12" t="str">
        <f ca="1">VLOOKUP(F39,Table8[[Native]:[Population4]],5,FALSE)</f>
        <v>山南市</v>
      </c>
    </row>
    <row r="40" spans="1:7" ht="15.75" thickBot="1" x14ac:dyDescent="0.3">
      <c r="A40" t="s">
        <v>1318</v>
      </c>
      <c r="B40" s="1" t="s">
        <v>1319</v>
      </c>
      <c r="C40" s="1" t="s">
        <v>7</v>
      </c>
      <c r="D40" s="1" t="s">
        <v>1253</v>
      </c>
      <c r="E40" s="3">
        <v>6382</v>
      </c>
      <c r="F40" s="1" t="str">
        <f>VLOOKUP(D40,Table8[[Name]:[Native]],3,FALSE)</f>
        <v>贡嘎县</v>
      </c>
      <c r="G40" s="12" t="str">
        <f ca="1">VLOOKUP(F40,Table8[[Native]:[Population4]],5,FALSE)</f>
        <v>山南市</v>
      </c>
    </row>
    <row r="41" spans="1:7" ht="15.75" thickBot="1" x14ac:dyDescent="0.3">
      <c r="A41" t="s">
        <v>1320</v>
      </c>
      <c r="B41" s="1" t="s">
        <v>1321</v>
      </c>
      <c r="C41" s="1" t="s">
        <v>17</v>
      </c>
      <c r="D41" s="1" t="s">
        <v>1242</v>
      </c>
      <c r="E41" s="3">
        <v>4560</v>
      </c>
      <c r="F41" s="1" t="str">
        <f>VLOOKUP(D41,Table8[[Name]:[Native]],3,FALSE)</f>
        <v>浪卡子县</v>
      </c>
      <c r="G41" s="12" t="str">
        <f ca="1">VLOOKUP(F41,Table8[[Native]:[Population4]],5,FALSE)</f>
        <v>山南市</v>
      </c>
    </row>
    <row r="42" spans="1:7" ht="15.75" thickBot="1" x14ac:dyDescent="0.3">
      <c r="A42" t="s">
        <v>1322</v>
      </c>
      <c r="B42" s="1" t="s">
        <v>1323</v>
      </c>
      <c r="C42" s="1" t="s">
        <v>7</v>
      </c>
      <c r="D42" s="1" t="s">
        <v>1264</v>
      </c>
      <c r="E42" s="3">
        <v>327</v>
      </c>
      <c r="F42" s="1" t="str">
        <f>VLOOKUP(D42,Table8[[Name]:[Native]],3,FALSE)</f>
        <v>错那县</v>
      </c>
      <c r="G42" s="12" t="str">
        <f ca="1">VLOOKUP(F42,Table8[[Native]:[Population4]],5,FALSE)</f>
        <v>山南市</v>
      </c>
    </row>
    <row r="43" spans="1:7" ht="15.75" thickBot="1" x14ac:dyDescent="0.3">
      <c r="A43" t="s">
        <v>1324</v>
      </c>
      <c r="B43" s="1" t="s">
        <v>1325</v>
      </c>
      <c r="C43" s="1" t="s">
        <v>7</v>
      </c>
      <c r="D43" s="1" t="s">
        <v>1238</v>
      </c>
      <c r="E43" s="3">
        <v>3704</v>
      </c>
      <c r="F43" s="1" t="str">
        <f>VLOOKUP(D43,Table8[[Name]:[Native]],3,FALSE)</f>
        <v>加查县</v>
      </c>
      <c r="G43" s="12" t="str">
        <f ca="1">VLOOKUP(F43,Table8[[Native]:[Population4]],5,FALSE)</f>
        <v>山南市</v>
      </c>
    </row>
    <row r="44" spans="1:7" ht="15.75" thickBot="1" x14ac:dyDescent="0.3">
      <c r="A44" t="s">
        <v>1326</v>
      </c>
      <c r="B44" s="1" t="s">
        <v>1327</v>
      </c>
      <c r="C44" s="1" t="s">
        <v>7</v>
      </c>
      <c r="D44" s="1" t="s">
        <v>1289</v>
      </c>
      <c r="E44" s="3">
        <v>4450</v>
      </c>
      <c r="F44" s="1" t="str">
        <f>VLOOKUP(D44,Table8[[Name]:[Native]],3,FALSE)</f>
        <v>琼结县</v>
      </c>
      <c r="G44" s="12" t="str">
        <f ca="1">VLOOKUP(F44,Table8[[Native]:[Population4]],5,FALSE)</f>
        <v>山南市</v>
      </c>
    </row>
    <row r="45" spans="1:7" ht="15.75" thickBot="1" x14ac:dyDescent="0.3">
      <c r="A45" t="s">
        <v>1328</v>
      </c>
      <c r="B45" s="1" t="s">
        <v>1329</v>
      </c>
      <c r="C45" s="1" t="s">
        <v>7</v>
      </c>
      <c r="D45" s="1" t="s">
        <v>1264</v>
      </c>
      <c r="E45" s="3">
        <v>171</v>
      </c>
      <c r="F45" s="1" t="str">
        <f>VLOOKUP(D45,Table8[[Name]:[Native]],3,FALSE)</f>
        <v>错那县</v>
      </c>
      <c r="G45" s="12" t="str">
        <f ca="1">VLOOKUP(F45,Table8[[Native]:[Population4]],5,FALSE)</f>
        <v>山南市</v>
      </c>
    </row>
    <row r="46" spans="1:7" ht="15.75" thickBot="1" x14ac:dyDescent="0.3">
      <c r="A46" t="s">
        <v>1330</v>
      </c>
      <c r="B46" s="1" t="s">
        <v>1331</v>
      </c>
      <c r="C46" s="1" t="s">
        <v>7</v>
      </c>
      <c r="D46" s="1" t="s">
        <v>1238</v>
      </c>
      <c r="E46" s="3">
        <v>2245</v>
      </c>
      <c r="F46" s="1" t="str">
        <f>VLOOKUP(D46,Table8[[Name]:[Native]],3,FALSE)</f>
        <v>加查县</v>
      </c>
      <c r="G46" s="12" t="str">
        <f ca="1">VLOOKUP(F46,Table8[[Native]:[Population4]],5,FALSE)</f>
        <v>山南市</v>
      </c>
    </row>
    <row r="47" spans="1:7" ht="15.75" thickBot="1" x14ac:dyDescent="0.3">
      <c r="A47" t="s">
        <v>1332</v>
      </c>
      <c r="B47" s="1" t="s">
        <v>1333</v>
      </c>
      <c r="C47" s="1" t="s">
        <v>7</v>
      </c>
      <c r="D47" s="1" t="s">
        <v>1271</v>
      </c>
      <c r="E47" s="3">
        <v>2192</v>
      </c>
      <c r="F47" s="1" t="str">
        <f>VLOOKUP(D47,Table8[[Name]:[Native]],3,FALSE)</f>
        <v>隆子县</v>
      </c>
      <c r="G47" s="12" t="str">
        <f ca="1">VLOOKUP(F47,Table8[[Native]:[Population4]],5,FALSE)</f>
        <v>山南市</v>
      </c>
    </row>
    <row r="48" spans="1:7" ht="15.75" thickBot="1" x14ac:dyDescent="0.3">
      <c r="A48" t="s">
        <v>1334</v>
      </c>
      <c r="B48" s="1" t="s">
        <v>1335</v>
      </c>
      <c r="C48" s="1" t="s">
        <v>17</v>
      </c>
      <c r="D48" s="1" t="s">
        <v>1271</v>
      </c>
      <c r="E48" s="3">
        <v>7778</v>
      </c>
      <c r="F48" s="1" t="str">
        <f>VLOOKUP(D48,Table8[[Name]:[Native]],3,FALSE)</f>
        <v>隆子县</v>
      </c>
      <c r="G48" s="12" t="str">
        <f ca="1">VLOOKUP(F48,Table8[[Native]:[Population4]],5,FALSE)</f>
        <v>山南市</v>
      </c>
    </row>
    <row r="49" spans="1:7" ht="15.75" thickBot="1" x14ac:dyDescent="0.3">
      <c r="A49" t="s">
        <v>1336</v>
      </c>
      <c r="B49" s="1" t="s">
        <v>1337</v>
      </c>
      <c r="C49" s="1" t="s">
        <v>7</v>
      </c>
      <c r="D49" s="1" t="s">
        <v>1242</v>
      </c>
      <c r="E49" s="3">
        <v>6505</v>
      </c>
      <c r="F49" s="1" t="str">
        <f>VLOOKUP(D49,Table8[[Name]:[Native]],3,FALSE)</f>
        <v>浪卡子县</v>
      </c>
      <c r="G49" s="12" t="str">
        <f ca="1">VLOOKUP(F49,Table8[[Native]:[Population4]],5,FALSE)</f>
        <v>山南市</v>
      </c>
    </row>
    <row r="50" spans="1:7" ht="15.75" thickBot="1" x14ac:dyDescent="0.3">
      <c r="A50" t="s">
        <v>1338</v>
      </c>
      <c r="B50" s="1" t="s">
        <v>1339</v>
      </c>
      <c r="C50" s="1" t="s">
        <v>17</v>
      </c>
      <c r="D50" s="1" t="s">
        <v>1274</v>
      </c>
      <c r="E50" s="3">
        <v>1183</v>
      </c>
      <c r="F50" s="1" t="str">
        <f>VLOOKUP(D50,Table8[[Name]:[Native]],3,FALSE)</f>
        <v>曲松县</v>
      </c>
      <c r="G50" s="12" t="str">
        <f ca="1">VLOOKUP(F50,Table8[[Native]:[Population4]],5,FALSE)</f>
        <v>山南市</v>
      </c>
    </row>
    <row r="51" spans="1:7" ht="15.75" thickBot="1" x14ac:dyDescent="0.3">
      <c r="A51" t="s">
        <v>1340</v>
      </c>
      <c r="B51" s="1" t="s">
        <v>1341</v>
      </c>
      <c r="C51" s="1" t="s">
        <v>7</v>
      </c>
      <c r="D51" s="1" t="s">
        <v>1238</v>
      </c>
      <c r="E51" s="3">
        <v>4324</v>
      </c>
      <c r="F51" s="1" t="str">
        <f>VLOOKUP(D51,Table8[[Name]:[Native]],3,FALSE)</f>
        <v>加查县</v>
      </c>
      <c r="G51" s="12" t="str">
        <f ca="1">VLOOKUP(F51,Table8[[Native]:[Population4]],5,FALSE)</f>
        <v>山南市</v>
      </c>
    </row>
    <row r="52" spans="1:7" ht="15.75" thickBot="1" x14ac:dyDescent="0.3">
      <c r="A52" t="s">
        <v>1342</v>
      </c>
      <c r="B52" s="1" t="s">
        <v>1343</v>
      </c>
      <c r="C52" s="1" t="s">
        <v>17</v>
      </c>
      <c r="D52" s="1" t="s">
        <v>1252</v>
      </c>
      <c r="E52" s="3">
        <v>5696</v>
      </c>
      <c r="F52" s="1" t="str">
        <f>VLOOKUP(D52,Table8[[Name]:[Native]],3,FALSE)</f>
        <v>洛扎县</v>
      </c>
      <c r="G52" s="12" t="str">
        <f ca="1">VLOOKUP(F52,Table8[[Native]:[Population4]],5,FALSE)</f>
        <v>山南市</v>
      </c>
    </row>
    <row r="53" spans="1:7" ht="15.75" thickBot="1" x14ac:dyDescent="0.3">
      <c r="A53" t="s">
        <v>1344</v>
      </c>
      <c r="B53" s="1" t="s">
        <v>1345</v>
      </c>
      <c r="C53" s="1" t="s">
        <v>7</v>
      </c>
      <c r="D53" s="1" t="s">
        <v>1264</v>
      </c>
      <c r="E53" s="3">
        <v>227</v>
      </c>
      <c r="F53" s="1" t="str">
        <f>VLOOKUP(D53,Table8[[Name]:[Native]],3,FALSE)</f>
        <v>错那县</v>
      </c>
      <c r="G53" s="12" t="str">
        <f ca="1">VLOOKUP(F53,Table8[[Native]:[Population4]],5,FALSE)</f>
        <v>山南市</v>
      </c>
    </row>
    <row r="54" spans="1:7" ht="15.75" thickBot="1" x14ac:dyDescent="0.3">
      <c r="A54" t="s">
        <v>1346</v>
      </c>
      <c r="B54" s="1" t="s">
        <v>1347</v>
      </c>
      <c r="C54" s="1" t="s">
        <v>7</v>
      </c>
      <c r="D54" s="1" t="s">
        <v>1261</v>
      </c>
      <c r="E54" s="3">
        <v>2254</v>
      </c>
      <c r="F54" s="1" t="str">
        <f>VLOOKUP(D54,Table8[[Name]:[Native]],3,FALSE)</f>
        <v>措美县</v>
      </c>
      <c r="G54" s="12" t="str">
        <f ca="1">VLOOKUP(F54,Table8[[Native]:[Population4]],5,FALSE)</f>
        <v>山南市</v>
      </c>
    </row>
    <row r="55" spans="1:7" ht="15.75" thickBot="1" x14ac:dyDescent="0.3">
      <c r="A55" t="s">
        <v>1348</v>
      </c>
      <c r="B55" s="1" t="s">
        <v>1349</v>
      </c>
      <c r="C55" s="1" t="s">
        <v>7</v>
      </c>
      <c r="D55" s="1" t="s">
        <v>1256</v>
      </c>
      <c r="E55" s="3">
        <v>7174</v>
      </c>
      <c r="F55" s="1" t="str">
        <f>VLOOKUP(D55,Table8[[Name]:[Native]],3,FALSE)</f>
        <v>乃东区</v>
      </c>
      <c r="G55" s="12" t="str">
        <f ca="1">VLOOKUP(F55,Table8[[Native]:[Population4]],5,FALSE)</f>
        <v>山南市</v>
      </c>
    </row>
    <row r="56" spans="1:7" ht="15.75" thickBot="1" x14ac:dyDescent="0.3">
      <c r="A56" t="s">
        <v>1350</v>
      </c>
      <c r="B56" s="1" t="s">
        <v>1351</v>
      </c>
      <c r="C56" s="1" t="s">
        <v>7</v>
      </c>
      <c r="D56" s="1" t="s">
        <v>1242</v>
      </c>
      <c r="E56" s="3">
        <v>979</v>
      </c>
      <c r="F56" s="1" t="str">
        <f>VLOOKUP(D56,Table8[[Name]:[Native]],3,FALSE)</f>
        <v>浪卡子县</v>
      </c>
      <c r="G56" s="12" t="str">
        <f ca="1">VLOOKUP(F56,Table8[[Native]:[Population4]],5,FALSE)</f>
        <v>山南市</v>
      </c>
    </row>
    <row r="57" spans="1:7" ht="15.75" thickBot="1" x14ac:dyDescent="0.3">
      <c r="A57" t="s">
        <v>1352</v>
      </c>
      <c r="B57" s="1" t="s">
        <v>1353</v>
      </c>
      <c r="C57" s="1" t="s">
        <v>17</v>
      </c>
      <c r="D57" s="1" t="s">
        <v>1289</v>
      </c>
      <c r="E57" s="3">
        <v>5155</v>
      </c>
      <c r="F57" s="1" t="str">
        <f>VLOOKUP(D57,Table8[[Name]:[Native]],3,FALSE)</f>
        <v>琼结县</v>
      </c>
      <c r="G57" s="12" t="str">
        <f ca="1">VLOOKUP(F57,Table8[[Native]:[Population4]],5,FALSE)</f>
        <v>山南市</v>
      </c>
    </row>
    <row r="58" spans="1:7" ht="15.75" thickBot="1" x14ac:dyDescent="0.3">
      <c r="A58" t="s">
        <v>1354</v>
      </c>
      <c r="B58" s="1" t="s">
        <v>1355</v>
      </c>
      <c r="C58" s="1" t="s">
        <v>7</v>
      </c>
      <c r="D58" s="1" t="s">
        <v>1274</v>
      </c>
      <c r="E58" s="3">
        <v>2427</v>
      </c>
      <c r="F58" s="1" t="str">
        <f>VLOOKUP(D58,Table8[[Name]:[Native]],3,FALSE)</f>
        <v>曲松县</v>
      </c>
      <c r="G58" s="12" t="str">
        <f ca="1">VLOOKUP(F58,Table8[[Native]:[Population4]],5,FALSE)</f>
        <v>山南市</v>
      </c>
    </row>
    <row r="59" spans="1:7" ht="15.75" thickBot="1" x14ac:dyDescent="0.3">
      <c r="A59" t="s">
        <v>1356</v>
      </c>
      <c r="B59" s="1" t="s">
        <v>1357</v>
      </c>
      <c r="C59" s="1" t="s">
        <v>17</v>
      </c>
      <c r="D59" s="1" t="s">
        <v>1274</v>
      </c>
      <c r="E59" s="3">
        <v>6159</v>
      </c>
      <c r="F59" s="1" t="str">
        <f>VLOOKUP(D59,Table8[[Name]:[Native]],3,FALSE)</f>
        <v>曲松县</v>
      </c>
      <c r="G59" s="12" t="str">
        <f ca="1">VLOOKUP(F59,Table8[[Native]:[Population4]],5,FALSE)</f>
        <v>山南市</v>
      </c>
    </row>
    <row r="60" spans="1:7" ht="15.75" thickBot="1" x14ac:dyDescent="0.3">
      <c r="A60" t="s">
        <v>1358</v>
      </c>
      <c r="B60" s="1" t="s">
        <v>1359</v>
      </c>
      <c r="C60" s="1" t="s">
        <v>7</v>
      </c>
      <c r="D60" s="1" t="s">
        <v>1264</v>
      </c>
      <c r="E60" s="3">
        <v>3852</v>
      </c>
      <c r="F60" s="1" t="str">
        <f>VLOOKUP(D60,Table8[[Name]:[Native]],3,FALSE)</f>
        <v>错那县</v>
      </c>
      <c r="G60" s="12" t="str">
        <f ca="1">VLOOKUP(F60,Table8[[Native]:[Population4]],5,FALSE)</f>
        <v>山南市</v>
      </c>
    </row>
    <row r="61" spans="1:7" ht="15.75" thickBot="1" x14ac:dyDescent="0.3">
      <c r="A61" t="s">
        <v>1360</v>
      </c>
      <c r="B61" s="1" t="s">
        <v>1361</v>
      </c>
      <c r="C61" s="1" t="s">
        <v>7</v>
      </c>
      <c r="D61" s="1" t="s">
        <v>1271</v>
      </c>
      <c r="E61" s="3">
        <v>3896</v>
      </c>
      <c r="F61" s="1" t="str">
        <f>VLOOKUP(D61,Table8[[Name]:[Native]],3,FALSE)</f>
        <v>隆子县</v>
      </c>
      <c r="G61" s="12" t="str">
        <f ca="1">VLOOKUP(F61,Table8[[Native]:[Population4]],5,FALSE)</f>
        <v>山南市</v>
      </c>
    </row>
    <row r="62" spans="1:7" ht="15.75" thickBot="1" x14ac:dyDescent="0.3">
      <c r="A62" t="s">
        <v>1362</v>
      </c>
      <c r="B62" s="1" t="s">
        <v>1363</v>
      </c>
      <c r="C62" s="1" t="s">
        <v>17</v>
      </c>
      <c r="D62" s="1" t="s">
        <v>1271</v>
      </c>
      <c r="E62" s="3">
        <v>8340</v>
      </c>
      <c r="F62" s="1" t="str">
        <f>VLOOKUP(D62,Table8[[Name]:[Native]],3,FALSE)</f>
        <v>隆子县</v>
      </c>
      <c r="G62" s="12" t="str">
        <f ca="1">VLOOKUP(F62,Table8[[Native]:[Population4]],5,FALSE)</f>
        <v>山南市</v>
      </c>
    </row>
    <row r="63" spans="1:7" ht="15.75" thickBot="1" x14ac:dyDescent="0.3">
      <c r="A63" t="s">
        <v>1364</v>
      </c>
      <c r="B63" s="1" t="s">
        <v>1365</v>
      </c>
      <c r="C63" s="1" t="s">
        <v>7</v>
      </c>
      <c r="D63" s="1" t="s">
        <v>1247</v>
      </c>
      <c r="E63" s="3">
        <v>6356</v>
      </c>
      <c r="F63" s="1" t="str">
        <f>VLOOKUP(D63,Table8[[Name]:[Native]],3,FALSE)</f>
        <v>桑日县</v>
      </c>
      <c r="G63" s="12" t="str">
        <f ca="1">VLOOKUP(F63,Table8[[Native]:[Population4]],5,FALSE)</f>
        <v>山南市</v>
      </c>
    </row>
    <row r="64" spans="1:7" ht="15.75" thickBot="1" x14ac:dyDescent="0.3">
      <c r="A64" t="s">
        <v>1366</v>
      </c>
      <c r="B64" s="1" t="s">
        <v>1367</v>
      </c>
      <c r="C64" s="1" t="s">
        <v>7</v>
      </c>
      <c r="D64" s="1" t="s">
        <v>1271</v>
      </c>
      <c r="E64" s="3">
        <v>2840</v>
      </c>
      <c r="F64" s="1" t="str">
        <f>VLOOKUP(D64,Table8[[Name]:[Native]],3,FALSE)</f>
        <v>隆子县</v>
      </c>
      <c r="G64" s="12" t="str">
        <f ca="1">VLOOKUP(F64,Table8[[Native]:[Population4]],5,FALSE)</f>
        <v>山南市</v>
      </c>
    </row>
    <row r="65" spans="1:7" ht="15.75" thickBot="1" x14ac:dyDescent="0.3">
      <c r="A65" t="s">
        <v>1368</v>
      </c>
      <c r="B65" s="1" t="s">
        <v>1369</v>
      </c>
      <c r="C65" s="1" t="s">
        <v>17</v>
      </c>
      <c r="D65" s="1" t="s">
        <v>1247</v>
      </c>
      <c r="E65" s="3">
        <v>4720</v>
      </c>
      <c r="F65" s="1" t="str">
        <f>VLOOKUP(D65,Table8[[Name]:[Native]],3,FALSE)</f>
        <v>桑日县</v>
      </c>
      <c r="G65" s="12" t="str">
        <f ca="1">VLOOKUP(F65,Table8[[Native]:[Population4]],5,FALSE)</f>
        <v>山南市</v>
      </c>
    </row>
    <row r="66" spans="1:7" ht="15.75" thickBot="1" x14ac:dyDescent="0.3">
      <c r="A66" t="s">
        <v>1370</v>
      </c>
      <c r="B66" s="1" t="s">
        <v>1371</v>
      </c>
      <c r="C66" s="1" t="s">
        <v>17</v>
      </c>
      <c r="D66" s="1" t="s">
        <v>1241</v>
      </c>
      <c r="E66" s="3">
        <v>4625</v>
      </c>
      <c r="F66" s="1" t="str">
        <f>VLOOKUP(D66,Table8[[Name]:[Native]],3,FALSE)</f>
        <v>扎囊县</v>
      </c>
      <c r="G66" s="12" t="str">
        <f ca="1">VLOOKUP(F66,Table8[[Native]:[Population4]],5,FALSE)</f>
        <v>山南市</v>
      </c>
    </row>
    <row r="67" spans="1:7" ht="15.75" thickBot="1" x14ac:dyDescent="0.3">
      <c r="A67" t="s">
        <v>1372</v>
      </c>
      <c r="B67" s="1" t="s">
        <v>1373</v>
      </c>
      <c r="C67" s="1" t="s">
        <v>7</v>
      </c>
      <c r="D67" s="1" t="s">
        <v>1252</v>
      </c>
      <c r="E67" s="3">
        <v>2029</v>
      </c>
      <c r="F67" s="1" t="str">
        <f>VLOOKUP(D67,Table8[[Name]:[Native]],3,FALSE)</f>
        <v>洛扎县</v>
      </c>
      <c r="G67" s="12" t="str">
        <f ca="1">VLOOKUP(F67,Table8[[Native]:[Population4]],5,FALSE)</f>
        <v>山南市</v>
      </c>
    </row>
    <row r="68" spans="1:7" ht="15.75" thickBot="1" x14ac:dyDescent="0.3">
      <c r="A68" t="s">
        <v>1374</v>
      </c>
      <c r="B68" s="1" t="s">
        <v>1375</v>
      </c>
      <c r="C68" s="1" t="s">
        <v>7</v>
      </c>
      <c r="D68" s="1" t="s">
        <v>1252</v>
      </c>
      <c r="E68" s="3">
        <v>2965</v>
      </c>
      <c r="F68" s="1" t="str">
        <f>VLOOKUP(D68,Table8[[Name]:[Native]],3,FALSE)</f>
        <v>洛扎县</v>
      </c>
      <c r="G68" s="12" t="str">
        <f ca="1">VLOOKUP(F68,Table8[[Native]:[Population4]],5,FALSE)</f>
        <v>山南市</v>
      </c>
    </row>
    <row r="69" spans="1:7" ht="15.75" thickBot="1" x14ac:dyDescent="0.3">
      <c r="A69" t="s">
        <v>1376</v>
      </c>
      <c r="B69" s="1" t="s">
        <v>1377</v>
      </c>
      <c r="C69" s="1" t="s">
        <v>7</v>
      </c>
      <c r="D69" s="1" t="s">
        <v>1256</v>
      </c>
      <c r="E69" s="3">
        <v>2374</v>
      </c>
      <c r="F69" s="1" t="str">
        <f>VLOOKUP(D69,Table8[[Name]:[Native]],3,FALSE)</f>
        <v>乃东区</v>
      </c>
      <c r="G69" s="12" t="str">
        <f ca="1">VLOOKUP(F69,Table8[[Native]:[Population4]],5,FALSE)</f>
        <v>山南市</v>
      </c>
    </row>
    <row r="70" spans="1:7" ht="15.75" thickBot="1" x14ac:dyDescent="0.3">
      <c r="A70" t="s">
        <v>1378</v>
      </c>
      <c r="B70" s="1" t="s">
        <v>1379</v>
      </c>
      <c r="C70" s="1" t="s">
        <v>7</v>
      </c>
      <c r="D70" s="1" t="s">
        <v>1274</v>
      </c>
      <c r="E70" s="3">
        <v>1822</v>
      </c>
      <c r="F70" s="1" t="str">
        <f>VLOOKUP(D70,Table8[[Name]:[Native]],3,FALSE)</f>
        <v>曲松县</v>
      </c>
      <c r="G70" s="12" t="str">
        <f ca="1">VLOOKUP(F70,Table8[[Native]:[Population4]],5,FALSE)</f>
        <v>山南市</v>
      </c>
    </row>
    <row r="71" spans="1:7" ht="15.75" thickBot="1" x14ac:dyDescent="0.3">
      <c r="A71" t="s">
        <v>1380</v>
      </c>
      <c r="B71" s="1" t="s">
        <v>1381</v>
      </c>
      <c r="C71" s="1" t="s">
        <v>7</v>
      </c>
      <c r="D71" s="1" t="s">
        <v>1289</v>
      </c>
      <c r="E71" s="3">
        <v>3158</v>
      </c>
      <c r="F71" s="1" t="str">
        <f>VLOOKUP(D71,Table8[[Name]:[Native]],3,FALSE)</f>
        <v>琼结县</v>
      </c>
      <c r="G71" s="12" t="str">
        <f ca="1">VLOOKUP(F71,Table8[[Native]:[Population4]],5,FALSE)</f>
        <v>山南市</v>
      </c>
    </row>
    <row r="72" spans="1:7" ht="15.75" thickBot="1" x14ac:dyDescent="0.3">
      <c r="A72" t="s">
        <v>1382</v>
      </c>
      <c r="B72" s="1" t="s">
        <v>1383</v>
      </c>
      <c r="C72" s="1" t="s">
        <v>7</v>
      </c>
      <c r="D72" s="1" t="s">
        <v>1271</v>
      </c>
      <c r="E72" s="3">
        <v>4163</v>
      </c>
      <c r="F72" s="1" t="str">
        <f>VLOOKUP(D72,Table8[[Name]:[Native]],3,FALSE)</f>
        <v>隆子县</v>
      </c>
      <c r="G72" s="12" t="str">
        <f ca="1">VLOOKUP(F72,Table8[[Native]:[Population4]],5,FALSE)</f>
        <v>山南市</v>
      </c>
    </row>
    <row r="73" spans="1:7" ht="15.75" thickBot="1" x14ac:dyDescent="0.3">
      <c r="A73" t="s">
        <v>1384</v>
      </c>
      <c r="B73" s="1" t="s">
        <v>1385</v>
      </c>
      <c r="C73" s="1" t="s">
        <v>7</v>
      </c>
      <c r="D73" s="1" t="s">
        <v>1256</v>
      </c>
      <c r="E73" s="3">
        <v>6843</v>
      </c>
      <c r="F73" s="1" t="str">
        <f>VLOOKUP(D73,Table8[[Name]:[Native]],3,FALSE)</f>
        <v>乃东区</v>
      </c>
      <c r="G73" s="12" t="str">
        <f ca="1">VLOOKUP(F73,Table8[[Native]:[Population4]],5,FALSE)</f>
        <v>山南市</v>
      </c>
    </row>
    <row r="74" spans="1:7" ht="15.75" thickBot="1" x14ac:dyDescent="0.3">
      <c r="A74" t="s">
        <v>1386</v>
      </c>
      <c r="B74" s="1" t="s">
        <v>1387</v>
      </c>
      <c r="C74" s="1" t="s">
        <v>7</v>
      </c>
      <c r="D74" s="1" t="s">
        <v>1271</v>
      </c>
      <c r="E74" s="3">
        <v>33</v>
      </c>
      <c r="F74" s="1" t="str">
        <f>VLOOKUP(D74,Table8[[Name]:[Native]],3,FALSE)</f>
        <v>隆子县</v>
      </c>
      <c r="G74" s="12" t="str">
        <f ca="1">VLOOKUP(F74,Table8[[Native]:[Population4]],5,FALSE)</f>
        <v>山南市</v>
      </c>
    </row>
    <row r="75" spans="1:7" ht="15.75" thickBot="1" x14ac:dyDescent="0.3">
      <c r="A75" t="s">
        <v>1388</v>
      </c>
      <c r="B75" s="1" t="s">
        <v>1389</v>
      </c>
      <c r="C75" s="1" t="s">
        <v>374</v>
      </c>
      <c r="D75" s="1" t="s">
        <v>1256</v>
      </c>
      <c r="E75" s="3">
        <v>30370</v>
      </c>
      <c r="F75" s="1" t="str">
        <f>VLOOKUP(D75,Table8[[Name]:[Native]],3,FALSE)</f>
        <v>乃东区</v>
      </c>
      <c r="G75" s="12" t="str">
        <f ca="1">VLOOKUP(F75,Table8[[Native]:[Population4]],5,FALSE)</f>
        <v>山南市</v>
      </c>
    </row>
    <row r="76" spans="1:7" ht="15.75" thickBot="1" x14ac:dyDescent="0.3">
      <c r="A76" t="s">
        <v>1390</v>
      </c>
      <c r="B76" s="1" t="s">
        <v>1391</v>
      </c>
      <c r="C76" s="1" t="s">
        <v>7</v>
      </c>
      <c r="D76" s="1" t="s">
        <v>1247</v>
      </c>
      <c r="E76" s="3">
        <v>4339</v>
      </c>
      <c r="F76" s="1" t="str">
        <f>VLOOKUP(D76,Table8[[Name]:[Native]],3,FALSE)</f>
        <v>桑日县</v>
      </c>
      <c r="G76" s="12" t="str">
        <f ca="1">VLOOKUP(F76,Table8[[Native]:[Population4]],5,FALSE)</f>
        <v>山南市</v>
      </c>
    </row>
    <row r="77" spans="1:7" ht="15.75" thickBot="1" x14ac:dyDescent="0.3">
      <c r="A77" t="s">
        <v>1392</v>
      </c>
      <c r="B77" s="1" t="s">
        <v>1393</v>
      </c>
      <c r="C77" s="1" t="s">
        <v>7</v>
      </c>
      <c r="D77" s="1" t="s">
        <v>1242</v>
      </c>
      <c r="E77" s="3">
        <v>3877</v>
      </c>
      <c r="F77" s="1" t="str">
        <f>VLOOKUP(D77,Table8[[Name]:[Native]],3,FALSE)</f>
        <v>浪卡子县</v>
      </c>
      <c r="G77" s="12" t="str">
        <f ca="1">VLOOKUP(F77,Table8[[Native]:[Population4]],5,FALSE)</f>
        <v>山南市</v>
      </c>
    </row>
    <row r="78" spans="1:7" ht="15.75" thickBot="1" x14ac:dyDescent="0.3">
      <c r="A78" t="s">
        <v>1394</v>
      </c>
      <c r="B78" s="1" t="s">
        <v>1395</v>
      </c>
      <c r="C78" s="1" t="s">
        <v>7</v>
      </c>
      <c r="D78" s="1" t="s">
        <v>1241</v>
      </c>
      <c r="E78" s="3">
        <v>9021</v>
      </c>
      <c r="F78" s="1" t="str">
        <f>VLOOKUP(D78,Table8[[Name]:[Native]],3,FALSE)</f>
        <v>扎囊县</v>
      </c>
      <c r="G78" s="12" t="str">
        <f ca="1">VLOOKUP(F78,Table8[[Native]:[Population4]],5,FALSE)</f>
        <v>山南市</v>
      </c>
    </row>
    <row r="79" spans="1:7" ht="15.75" thickBot="1" x14ac:dyDescent="0.3">
      <c r="A79" t="s">
        <v>1396</v>
      </c>
      <c r="B79" s="1" t="s">
        <v>1397</v>
      </c>
      <c r="C79" s="1" t="s">
        <v>7</v>
      </c>
      <c r="D79" s="1" t="s">
        <v>1252</v>
      </c>
      <c r="E79" s="3">
        <v>4460</v>
      </c>
      <c r="F79" s="1" t="str">
        <f>VLOOKUP(D79,Table8[[Name]:[Native]],3,FALSE)</f>
        <v>洛扎县</v>
      </c>
      <c r="G79" s="12" t="str">
        <f ca="1">VLOOKUP(F79,Table8[[Native]:[Population4]],5,FALSE)</f>
        <v>山南市</v>
      </c>
    </row>
    <row r="80" spans="1:7" ht="15.75" thickBot="1" x14ac:dyDescent="0.3">
      <c r="A80" t="s">
        <v>1396</v>
      </c>
      <c r="B80" s="1" t="s">
        <v>1397</v>
      </c>
      <c r="C80" s="1" t="s">
        <v>7</v>
      </c>
      <c r="D80" s="1" t="s">
        <v>1271</v>
      </c>
      <c r="E80" s="3">
        <v>531</v>
      </c>
      <c r="F80" s="1" t="str">
        <f>VLOOKUP(D80,Table8[[Name]:[Native]],3,FALSE)</f>
        <v>隆子县</v>
      </c>
      <c r="G80" s="12" t="str">
        <f ca="1">VLOOKUP(F80,Table8[[Native]:[Population4]],5,FALSE)</f>
        <v>山南市</v>
      </c>
    </row>
    <row r="81" spans="1:7" ht="15.75" thickBot="1" x14ac:dyDescent="0.3">
      <c r="A81" t="s">
        <v>1398</v>
      </c>
      <c r="B81" s="1" t="s">
        <v>1399</v>
      </c>
      <c r="C81" s="1" t="s">
        <v>17</v>
      </c>
      <c r="D81" s="1" t="s">
        <v>1241</v>
      </c>
      <c r="E81" s="3">
        <v>9495</v>
      </c>
      <c r="F81" s="1" t="str">
        <f>VLOOKUP(D81,Table8[[Name]:[Native]],3,FALSE)</f>
        <v>扎囊县</v>
      </c>
      <c r="G81" s="12" t="str">
        <f ca="1">VLOOKUP(F81,Table8[[Native]:[Population4]],5,FALSE)</f>
        <v>山南市</v>
      </c>
    </row>
    <row r="82" spans="1:7" ht="15.75" thickBot="1" x14ac:dyDescent="0.3">
      <c r="A82" t="s">
        <v>1400</v>
      </c>
      <c r="B82" s="1" t="s">
        <v>1401</v>
      </c>
      <c r="C82" s="1" t="s">
        <v>17</v>
      </c>
      <c r="D82" s="1" t="s">
        <v>1261</v>
      </c>
      <c r="E82" s="3">
        <v>5040</v>
      </c>
      <c r="F82" s="1" t="str">
        <f>VLOOKUP(D82,Table8[[Name]:[Native]],3,FALSE)</f>
        <v>措美县</v>
      </c>
      <c r="G82" s="12" t="str">
        <f ca="1">VLOOKUP(F82,Table8[[Native]:[Population4]],5,FALSE)</f>
        <v>山南市</v>
      </c>
    </row>
    <row r="83" spans="1:7" ht="15.75" thickBot="1" x14ac:dyDescent="0.3">
      <c r="A83" t="s">
        <v>1402</v>
      </c>
      <c r="B83" s="1" t="s">
        <v>1403</v>
      </c>
      <c r="C83" s="1" t="s">
        <v>7</v>
      </c>
      <c r="D83" s="1" t="s">
        <v>1271</v>
      </c>
      <c r="E83" s="3">
        <v>435</v>
      </c>
      <c r="F83" s="9" t="str">
        <f>VLOOKUP(D83,Table8[[Name]:[Native]],3,FALSE)</f>
        <v>隆子县</v>
      </c>
      <c r="G83" s="12" t="str">
        <f ca="1">VLOOKUP(F83,Table8[[Native]:[Population4]],5,FALSE)</f>
        <v>山南市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6FFEE-99F5-4BAE-AF7A-39B4C31B1D4E}">
  <dimension ref="A1:P692"/>
  <sheetViews>
    <sheetView tabSelected="1" workbookViewId="0">
      <selection activeCell="C7" sqref="C7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1502</v>
      </c>
      <c r="B1" t="s">
        <v>1512</v>
      </c>
      <c r="C1" t="s">
        <v>1658</v>
      </c>
      <c r="D1" t="s">
        <v>1504</v>
      </c>
      <c r="E1" t="s">
        <v>1505</v>
      </c>
      <c r="F1" t="s">
        <v>1506</v>
      </c>
      <c r="G1" t="s">
        <v>1507</v>
      </c>
      <c r="H1" t="s">
        <v>1508</v>
      </c>
      <c r="I1" t="s">
        <v>1509</v>
      </c>
      <c r="J1" t="s">
        <v>1510</v>
      </c>
      <c r="K1" t="s">
        <v>1511</v>
      </c>
      <c r="L1" t="s">
        <v>1659</v>
      </c>
      <c r="M1" t="s">
        <v>1660</v>
      </c>
      <c r="N1" t="s">
        <v>1661</v>
      </c>
      <c r="O1" t="s">
        <v>2351</v>
      </c>
      <c r="P1" t="s">
        <v>2352</v>
      </c>
    </row>
    <row r="2" spans="1:16" hidden="1" x14ac:dyDescent="0.25">
      <c r="A2" t="s">
        <v>841</v>
      </c>
      <c r="B2" t="str">
        <f>IF(COUNTIF(A:A,A2)&gt;1,_xlfn.CONCAT(A2," (",N2,")"),A2)</f>
        <v>Àimă Xiāng</v>
      </c>
      <c r="C2" t="str">
        <f>IF(COUNTIF(B:B,B2)&gt;1,_xlfn.CONCAT(A2," (",M2,")"),B2)</f>
        <v>Àimă Xiāng</v>
      </c>
      <c r="D2" t="s">
        <v>842</v>
      </c>
      <c r="E2" t="s">
        <v>7</v>
      </c>
      <c r="F2" t="str">
        <f>_xlfn.CONCAT(D2,", ",H2,", ",I2,", ","西藏自治区")</f>
        <v>艾玛乡, 南木林县, 日喀则市, 西藏自治区</v>
      </c>
      <c r="G2">
        <v>9612</v>
      </c>
      <c r="H2" t="s">
        <v>1468</v>
      </c>
      <c r="I2" t="s">
        <v>1458</v>
      </c>
      <c r="J2" t="e">
        <f>VLOOKUP(F2,[1]!china_towns_second__2[[Column1]:[Y]],3,FALSE)</f>
        <v>#N/A</v>
      </c>
      <c r="K2" t="e">
        <f>VLOOKUP(F2,[1]!china_towns_second__2[[Column1]:[Y]],2,FALSE)</f>
        <v>#N/A</v>
      </c>
      <c r="L2" t="s">
        <v>1662</v>
      </c>
      <c r="M2" t="str">
        <f>VLOOKUP(H2,CHOOSE({1,2},Table8[Native],Table8[Name]),2,0)</f>
        <v>Nánmùlín Xiàn</v>
      </c>
      <c r="N2" s="13" t="str">
        <f>VLOOKUP(I2,CHOOSE({1,2},Table8[Native],Table8[Name]),2,0)</f>
        <v>Rìkāzé Shì</v>
      </c>
      <c r="O2" s="13" t="str">
        <f t="shared" ref="O2:O65" si="0">_xlfn.CONCAT(L2," (",N2,")")</f>
        <v>Aima Xiang (Rìkāzé Shì)</v>
      </c>
      <c r="P2" s="13" t="str">
        <f t="shared" ref="P2:P65" si="1">IF(COUNTIF(O:O,O2)&gt;1,_xlfn.CONCAT(L2," (",M2,")"),O2)</f>
        <v>Aima Xiang (Rìkāzé Shì)</v>
      </c>
    </row>
    <row r="3" spans="1:16" hidden="1" x14ac:dyDescent="0.25">
      <c r="A3" t="s">
        <v>86</v>
      </c>
      <c r="B3" t="str">
        <f>IF(COUNTIF(A:A,A3)&gt;1,_xlfn.CONCAT(A3," (",N3,")"),A3)</f>
        <v>Āixī Xiāng</v>
      </c>
      <c r="C3" t="str">
        <f>IF(COUNTIF(B:B,B3)&gt;1,_xlfn.CONCAT(A3," (",M3,")"),B3)</f>
        <v>Āixī Xiāng</v>
      </c>
      <c r="D3" t="s">
        <v>87</v>
      </c>
      <c r="E3" t="s">
        <v>7</v>
      </c>
      <c r="F3" t="str">
        <f>_xlfn.CONCAT(D3,", ",H3,", ",I3,", ","西藏自治区")</f>
        <v>埃西乡, 卡若区, 昌都市, 西藏自治区</v>
      </c>
      <c r="G3">
        <v>4344</v>
      </c>
      <c r="H3" t="s">
        <v>1423</v>
      </c>
      <c r="I3" t="s">
        <v>1415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1663</v>
      </c>
      <c r="M3" t="str">
        <f>VLOOKUP(H3,CHOOSE({1,2},Table8[Native],Table8[Name]),2,0)</f>
        <v>Kǎruò Qū</v>
      </c>
      <c r="N3" s="13" t="str">
        <f>VLOOKUP(I3,CHOOSE({1,2},Table8[Native],Table8[Name]),2,0)</f>
        <v>Chāngdū Shì</v>
      </c>
      <c r="O3" s="13" t="str">
        <f t="shared" si="0"/>
        <v>Aixi Xiang (Chāngdū Shì)</v>
      </c>
      <c r="P3" s="13" t="str">
        <f t="shared" si="1"/>
        <v>Aixi Xiang (Chāngdū Shì)</v>
      </c>
    </row>
    <row r="4" spans="1:16" hidden="1" x14ac:dyDescent="0.25">
      <c r="A4" t="s">
        <v>369</v>
      </c>
      <c r="B4" t="str">
        <f>IF(COUNTIF(A:A,A4)&gt;1,_xlfn.CONCAT(A4," (",N4,")"),A4)</f>
        <v>Ālăng Xiāng</v>
      </c>
      <c r="C4" t="str">
        <f>IF(COUNTIF(B:B,B4)&gt;1,_xlfn.CONCAT(A4," (",M4,")"),B4)</f>
        <v>Ālăng Xiāng</v>
      </c>
      <c r="D4" t="s">
        <v>370</v>
      </c>
      <c r="E4" t="s">
        <v>7</v>
      </c>
      <c r="F4" t="str">
        <f>_xlfn.CONCAT(D4,", ",H4,", ",I4,", ","西藏自治区")</f>
        <v>阿朗乡, 林周县, 拉萨市, 西藏自治区</v>
      </c>
      <c r="G4">
        <v>3905</v>
      </c>
      <c r="H4" t="s">
        <v>1433</v>
      </c>
      <c r="I4" t="s">
        <v>1428</v>
      </c>
      <c r="J4" t="e">
        <f>VLOOKUP(F4,[1]!china_towns_second__2[[Column1]:[Y]],3,FALSE)</f>
        <v>#N/A</v>
      </c>
      <c r="K4" t="e">
        <f>VLOOKUP(F4,[1]!china_towns_second__2[[Column1]:[Y]],2,FALSE)</f>
        <v>#N/A</v>
      </c>
      <c r="L4" t="s">
        <v>1664</v>
      </c>
      <c r="M4" t="str">
        <f>VLOOKUP(H4,CHOOSE({1,2},Table8[Native],Table8[Name]),2,0)</f>
        <v>Línzhōu Xiàn</v>
      </c>
      <c r="N4" s="13" t="str">
        <f>VLOOKUP(I4,CHOOSE({1,2},Table8[Native],Table8[Name]),2,0)</f>
        <v>Lāsà Shì</v>
      </c>
      <c r="O4" s="13" t="str">
        <f t="shared" si="0"/>
        <v>Alang Xiang (Lāsà Shì)</v>
      </c>
      <c r="P4" s="13" t="str">
        <f t="shared" si="1"/>
        <v>Alang Xiang (Lāsà Shì)</v>
      </c>
    </row>
    <row r="5" spans="1:16" hidden="1" x14ac:dyDescent="0.25">
      <c r="A5" t="s">
        <v>844</v>
      </c>
      <c r="B5" t="str">
        <f>IF(COUNTIF(A:A,A5)&gt;1,_xlfn.CONCAT(A5," (",N5,")"),A5)</f>
        <v>Āmùxióng Xiāng</v>
      </c>
      <c r="C5" t="str">
        <f>IF(COUNTIF(B:B,B5)&gt;1,_xlfn.CONCAT(A5," (",M5,")"),B5)</f>
        <v>Āmùxióng Xiāng</v>
      </c>
      <c r="D5" t="s">
        <v>845</v>
      </c>
      <c r="E5" t="s">
        <v>7</v>
      </c>
      <c r="F5" t="str">
        <f>_xlfn.CONCAT(D5,", ",H5,", ",I5,", ","西藏自治区")</f>
        <v>阿木雄乡, 昂仁县, 日喀则市, 西藏自治区</v>
      </c>
      <c r="G5">
        <v>857</v>
      </c>
      <c r="H5" t="s">
        <v>1459</v>
      </c>
      <c r="I5" t="s">
        <v>1458</v>
      </c>
      <c r="J5" t="e">
        <f>VLOOKUP(F5,[1]!china_towns_second__2[[Column1]:[Y]],3,FALSE)</f>
        <v>#N/A</v>
      </c>
      <c r="K5" t="e">
        <f>VLOOKUP(F5,[1]!china_towns_second__2[[Column1]:[Y]],2,FALSE)</f>
        <v>#N/A</v>
      </c>
      <c r="L5" t="s">
        <v>1665</v>
      </c>
      <c r="M5" t="str">
        <f>VLOOKUP(H5,CHOOSE({1,2},Table8[Native],Table8[Name]),2,0)</f>
        <v>Ángrén Xiàn</v>
      </c>
      <c r="N5" s="13" t="str">
        <f>VLOOKUP(I5,CHOOSE({1,2},Table8[Native],Table8[Name]),2,0)</f>
        <v>Rìkāzé Shì</v>
      </c>
      <c r="O5" s="13" t="str">
        <f t="shared" si="0"/>
        <v>Amuxiong Xiang (Rìkāzé Shì)</v>
      </c>
      <c r="P5" s="13" t="str">
        <f t="shared" si="1"/>
        <v>Amuxiong Xiang (Rìkāzé Shì)</v>
      </c>
    </row>
    <row r="6" spans="1:16" hidden="1" x14ac:dyDescent="0.25">
      <c r="A6" t="s">
        <v>89</v>
      </c>
      <c r="B6" t="str">
        <f>IF(COUNTIF(A:A,A6)&gt;1,_xlfn.CONCAT(A6," (",N6,")"),A6)</f>
        <v>Ángduō Xiāng</v>
      </c>
      <c r="C6" t="str">
        <f>IF(COUNTIF(B:B,B6)&gt;1,_xlfn.CONCAT(A6," (",M6,")"),B6)</f>
        <v>Ángduō Xiāng</v>
      </c>
      <c r="D6" t="s">
        <v>90</v>
      </c>
      <c r="E6" t="s">
        <v>7</v>
      </c>
      <c r="F6" t="str">
        <f>_xlfn.CONCAT(D6,", ",H6,", ",I6,", ","西藏自治区")</f>
        <v>昂多乡, 芒康县, 昌都市, 西藏自治区</v>
      </c>
      <c r="G6">
        <v>2156</v>
      </c>
      <c r="H6" t="s">
        <v>1426</v>
      </c>
      <c r="I6" t="s">
        <v>1415</v>
      </c>
      <c r="J6" t="e">
        <f>VLOOKUP(F6,[1]!china_towns_second__2[[Column1]:[Y]],3,FALSE)</f>
        <v>#N/A</v>
      </c>
      <c r="K6" t="e">
        <f>VLOOKUP(F6,[1]!china_towns_second__2[[Column1]:[Y]],2,FALSE)</f>
        <v>#N/A</v>
      </c>
      <c r="L6" t="s">
        <v>1666</v>
      </c>
      <c r="M6" t="str">
        <f>VLOOKUP(H6,CHOOSE({1,2},Table8[Native],Table8[Name]),2,0)</f>
        <v>Mángkāng Xiàn</v>
      </c>
      <c r="N6" s="13" t="str">
        <f>VLOOKUP(I6,CHOOSE({1,2},Table8[Native],Table8[Name]),2,0)</f>
        <v>Chāngdū Shì</v>
      </c>
      <c r="O6" s="13" t="str">
        <f t="shared" si="0"/>
        <v>Angduo Xiang (Chāngdū Shì)</v>
      </c>
      <c r="P6" s="13" t="str">
        <f t="shared" si="1"/>
        <v>Angduo Xiang (Chāngdū Shì)</v>
      </c>
    </row>
    <row r="7" spans="1:16" x14ac:dyDescent="0.25">
      <c r="A7" t="s">
        <v>1236</v>
      </c>
      <c r="B7" t="str">
        <f>IF(COUNTIF(A:A,A7)&gt;1,_xlfn.CONCAT(A7," (",N7,")"),A7)</f>
        <v>Ānrăo Zhèn</v>
      </c>
      <c r="C7" t="str">
        <f>IF(COUNTIF(B:B,B7)&gt;1,_xlfn.CONCAT(A7," (",M7,")"),B7)</f>
        <v>Ānrăo Zhèn</v>
      </c>
      <c r="D7" t="s">
        <v>1237</v>
      </c>
      <c r="E7" t="s">
        <v>17</v>
      </c>
      <c r="F7" t="str">
        <f>_xlfn.CONCAT(D7,", ",H7,", ",I7,", ","西藏自治区")</f>
        <v>安绕镇, 加查县, 山南市, 西藏自治区</v>
      </c>
      <c r="G7">
        <v>8009</v>
      </c>
      <c r="H7" t="s">
        <v>1481</v>
      </c>
      <c r="I7" t="s">
        <v>1477</v>
      </c>
      <c r="J7">
        <f>VLOOKUP(F7,[1]!china_towns_second__2[[Column1]:[Y]],3,FALSE)</f>
        <v>29.251793091554202</v>
      </c>
      <c r="K7">
        <f>VLOOKUP(F7,[1]!china_towns_second__2[[Column1]:[Y]],2,FALSE)</f>
        <v>92.567465279999993</v>
      </c>
      <c r="L7" t="s">
        <v>1667</v>
      </c>
      <c r="M7" t="str">
        <f>VLOOKUP(H7,CHOOSE({1,2},Table8[Native],Table8[Name]),2,0)</f>
        <v>Jiāchá Xiàn</v>
      </c>
      <c r="N7" s="13" t="str">
        <f>VLOOKUP(I7,CHOOSE({1,2},Table8[Native],Table8[Name]),2,0)</f>
        <v>Shānnán Shì</v>
      </c>
      <c r="O7" s="13" t="str">
        <f t="shared" si="0"/>
        <v>Anrao Zhen (Shānnán Shì)</v>
      </c>
      <c r="P7" s="13" t="str">
        <f t="shared" si="1"/>
        <v>Anrao Zhen (Shānnán Shì)</v>
      </c>
    </row>
    <row r="8" spans="1:16" hidden="1" x14ac:dyDescent="0.25">
      <c r="A8" t="s">
        <v>613</v>
      </c>
      <c r="B8" t="str">
        <f>IF(COUNTIF(A:A,A8)&gt;1,_xlfn.CONCAT(A8," (",N8,")"),A8)</f>
        <v>Āsuŏ Xiāng</v>
      </c>
      <c r="C8" t="str">
        <f>IF(COUNTIF(B:B,B8)&gt;1,_xlfn.CONCAT(A8," (",M8,")"),B8)</f>
        <v>Āsuŏ Xiāng</v>
      </c>
      <c r="D8" t="s">
        <v>614</v>
      </c>
      <c r="E8" t="s">
        <v>7</v>
      </c>
      <c r="F8" t="str">
        <f>_xlfn.CONCAT(D8,", ",H8,", ",I8,", ","西藏自治区")</f>
        <v>阿索乡, 尼玛县, 那曲市, 西藏自治区</v>
      </c>
      <c r="G8">
        <v>1584</v>
      </c>
      <c r="H8" t="s">
        <v>1452</v>
      </c>
      <c r="I8" t="s">
        <v>1445</v>
      </c>
      <c r="J8" t="e">
        <f>VLOOKUP(F8,[1]!china_towns_second__2[[Column1]:[Y]],3,FALSE)</f>
        <v>#N/A</v>
      </c>
      <c r="K8" t="e">
        <f>VLOOKUP(F8,[1]!china_towns_second__2[[Column1]:[Y]],2,FALSE)</f>
        <v>#N/A</v>
      </c>
      <c r="L8" t="s">
        <v>1668</v>
      </c>
      <c r="M8" t="str">
        <f>VLOOKUP(H8,CHOOSE({1,2},Table8[Native],Table8[Name]),2,0)</f>
        <v>Nímă Xiàn</v>
      </c>
      <c r="N8" s="13" t="str">
        <f>VLOOKUP(I8,CHOOSE({1,2},Table8[Native],Table8[Name]),2,0)</f>
        <v>Nàqŭ Shì</v>
      </c>
      <c r="O8" s="13" t="str">
        <f t="shared" si="0"/>
        <v>Asuo Xiang (Nàqŭ Shì)</v>
      </c>
      <c r="P8" s="13" t="str">
        <f t="shared" si="1"/>
        <v>Asuo Xiang (Nàqŭ Shì)</v>
      </c>
    </row>
    <row r="9" spans="1:16" hidden="1" x14ac:dyDescent="0.25">
      <c r="A9" t="s">
        <v>92</v>
      </c>
      <c r="B9" t="str">
        <f>IF(COUNTIF(A:A,A9)&gt;1,_xlfn.CONCAT(A9," (",N9,")"),A9)</f>
        <v>Āwàng Xiāng</v>
      </c>
      <c r="C9" t="str">
        <f>IF(COUNTIF(B:B,B9)&gt;1,_xlfn.CONCAT(A9," (",M9,")"),B9)</f>
        <v>Āwàng Xiāng</v>
      </c>
      <c r="D9" t="s">
        <v>93</v>
      </c>
      <c r="E9" t="s">
        <v>7</v>
      </c>
      <c r="F9" t="str">
        <f>_xlfn.CONCAT(D9,", ",H9,", ",I9,", ","西藏自治区")</f>
        <v>阿旺乡, 贡觉县, 昌都市, 西藏自治区</v>
      </c>
      <c r="G9">
        <v>1886</v>
      </c>
      <c r="H9" t="s">
        <v>1420</v>
      </c>
      <c r="I9" t="s">
        <v>1415</v>
      </c>
      <c r="J9" t="e">
        <f>VLOOKUP(F9,[1]!china_towns_second__2[[Column1]:[Y]],3,FALSE)</f>
        <v>#N/A</v>
      </c>
      <c r="K9" t="e">
        <f>VLOOKUP(F9,[1]!china_towns_second__2[[Column1]:[Y]],2,FALSE)</f>
        <v>#N/A</v>
      </c>
      <c r="L9" t="s">
        <v>1669</v>
      </c>
      <c r="M9" t="str">
        <f>VLOOKUP(H9,CHOOSE({1,2},Table8[Native],Table8[Name]),2,0)</f>
        <v>Gòngjué Xiàn</v>
      </c>
      <c r="N9" s="13" t="str">
        <f>VLOOKUP(I9,CHOOSE({1,2},Table8[Native],Table8[Name]),2,0)</f>
        <v>Chāngdū Shì</v>
      </c>
      <c r="O9" s="13" t="str">
        <f t="shared" si="0"/>
        <v>Awang Xiang (Chāngdū Shì)</v>
      </c>
      <c r="P9" s="13" t="str">
        <f t="shared" si="1"/>
        <v>Awang Xiang (Chāngdū Shì)</v>
      </c>
    </row>
    <row r="10" spans="1:16" hidden="1" x14ac:dyDescent="0.25">
      <c r="A10" t="s">
        <v>616</v>
      </c>
      <c r="B10" t="str">
        <f>IF(COUNTIF(A:A,A10)&gt;1,_xlfn.CONCAT(A10," (",N10,")"),A10)</f>
        <v>Āxiù Xiāng</v>
      </c>
      <c r="C10" t="str">
        <f>IF(COUNTIF(B:B,B10)&gt;1,_xlfn.CONCAT(A10," (",M10,")"),B10)</f>
        <v>Āxiù Xiāng</v>
      </c>
      <c r="D10" t="s">
        <v>617</v>
      </c>
      <c r="E10" t="s">
        <v>7</v>
      </c>
      <c r="F10" t="str">
        <f>_xlfn.CONCAT(D10,", ",H10,", ",I10,", ","西藏自治区")</f>
        <v>阿秀乡, 巴青县, 那曲市, 西藏自治区</v>
      </c>
      <c r="G10">
        <v>2262</v>
      </c>
      <c r="H10" t="s">
        <v>1448</v>
      </c>
      <c r="I10" t="s">
        <v>1445</v>
      </c>
      <c r="J10" t="e">
        <f>VLOOKUP(F10,[1]!china_towns_second__2[[Column1]:[Y]],3,FALSE)</f>
        <v>#N/A</v>
      </c>
      <c r="K10" t="e">
        <f>VLOOKUP(F10,[1]!china_towns_second__2[[Column1]:[Y]],2,FALSE)</f>
        <v>#N/A</v>
      </c>
      <c r="L10" t="s">
        <v>1670</v>
      </c>
      <c r="M10" t="str">
        <f>VLOOKUP(H10,CHOOSE({1,2},Table8[Native],Table8[Name]),2,0)</f>
        <v>Bāqīng Xiàn</v>
      </c>
      <c r="N10" s="13" t="str">
        <f>VLOOKUP(I10,CHOOSE({1,2},Table8[Native],Table8[Name]),2,0)</f>
        <v>Nàqŭ Shì</v>
      </c>
      <c r="O10" s="13" t="str">
        <f t="shared" si="0"/>
        <v>Axiu Xiang (Nàqŭ Shì)</v>
      </c>
      <c r="P10" s="13" t="str">
        <f t="shared" si="1"/>
        <v>Axiu Xiang (Nàqŭ Shì)</v>
      </c>
    </row>
    <row r="11" spans="1:16" hidden="1" x14ac:dyDescent="0.25">
      <c r="A11" t="s">
        <v>1239</v>
      </c>
      <c r="B11" t="str">
        <f>IF(COUNTIF(A:A,A11)&gt;1,_xlfn.CONCAT(A11," (",N11,")"),A11)</f>
        <v>Āzhā Xiāng (Shānnán Shì)</v>
      </c>
      <c r="C11" t="str">
        <f>IF(COUNTIF(B:B,B11)&gt;1,_xlfn.CONCAT(A11," (",M11,")"),B11)</f>
        <v>Āzhā Xiāng (Zhānáng Xiàn)</v>
      </c>
      <c r="D11" t="s">
        <v>1240</v>
      </c>
      <c r="E11" t="s">
        <v>7</v>
      </c>
      <c r="F11" t="str">
        <f>_xlfn.CONCAT(D11,", ",H11,", ",I11,", ","西藏自治区")</f>
        <v>阿扎乡, 扎囊县, 山南市, 西藏自治区</v>
      </c>
      <c r="G11">
        <v>2249</v>
      </c>
      <c r="H11" t="s">
        <v>1489</v>
      </c>
      <c r="I11" t="s">
        <v>1477</v>
      </c>
      <c r="J11" t="e">
        <f>VLOOKUP(F11,[1]!china_towns_second__2[[Column1]:[Y]],3,FALSE)</f>
        <v>#N/A</v>
      </c>
      <c r="K11" t="e">
        <f>VLOOKUP(F11,[1]!china_towns_second__2[[Column1]:[Y]],2,FALSE)</f>
        <v>#N/A</v>
      </c>
      <c r="L11" t="s">
        <v>1671</v>
      </c>
      <c r="M11" t="str">
        <f>VLOOKUP(H11,CHOOSE({1,2},Table8[Native],Table8[Name]),2,0)</f>
        <v>Zhānáng Xiàn</v>
      </c>
      <c r="N11" s="13" t="str">
        <f>VLOOKUP(I11,CHOOSE({1,2},Table8[Native],Table8[Name]),2,0)</f>
        <v>Shānnán Shì</v>
      </c>
      <c r="O11" s="13" t="str">
        <f t="shared" si="0"/>
        <v>Azha Xiang (Zhanang Xian) (Shānnán Shì)</v>
      </c>
      <c r="P11" s="13" t="str">
        <f t="shared" si="1"/>
        <v>Azha Xiang (Zhanang Xian) (Shānnán Shì)</v>
      </c>
    </row>
    <row r="12" spans="1:16" hidden="1" x14ac:dyDescent="0.25">
      <c r="A12" t="s">
        <v>1239</v>
      </c>
      <c r="B12" t="str">
        <f>IF(COUNTIF(A:A,A12)&gt;1,_xlfn.CONCAT(A12," (",N12,")"),A12)</f>
        <v>Āzhā Xiāng (Shānnán Shì)</v>
      </c>
      <c r="C12" t="str">
        <f>IF(COUNTIF(B:B,B12)&gt;1,_xlfn.CONCAT(A12," (",M12,")"),B12)</f>
        <v>Āzhā Xiāng (Làngkăzi Xiàn)</v>
      </c>
      <c r="D12" t="s">
        <v>1240</v>
      </c>
      <c r="E12" t="s">
        <v>7</v>
      </c>
      <c r="F12" t="str">
        <f>_xlfn.CONCAT(D12,", ",H12,", ",I12,", ","西藏自治区")</f>
        <v>阿扎乡, 浪卡子县, 山南市, 西藏自治区</v>
      </c>
      <c r="G12">
        <v>2016</v>
      </c>
      <c r="H12" t="s">
        <v>1482</v>
      </c>
      <c r="I12" t="s">
        <v>1477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1672</v>
      </c>
      <c r="M12" t="str">
        <f>VLOOKUP(H12,CHOOSE({1,2},Table8[Native],Table8[Name]),2,0)</f>
        <v>Làngkăzi Xiàn</v>
      </c>
      <c r="N12" s="13" t="str">
        <f>VLOOKUP(I12,CHOOSE({1,2},Table8[Native],Table8[Name]),2,0)</f>
        <v>Shānnán Shì</v>
      </c>
      <c r="O12" s="13" t="str">
        <f t="shared" si="0"/>
        <v>Azha Xiang (Langkazi Xian) (Shānnán Shì)</v>
      </c>
      <c r="P12" s="13" t="str">
        <f t="shared" si="1"/>
        <v>Azha Xiang (Langkazi Xian) (Shānnán Shì)</v>
      </c>
    </row>
    <row r="13" spans="1:16" x14ac:dyDescent="0.25">
      <c r="A13" t="s">
        <v>619</v>
      </c>
      <c r="B13" t="str">
        <f>IF(COUNTIF(A:A,A13)&gt;1,_xlfn.CONCAT(A13," (",N13,")"),A13)</f>
        <v>Āzhā Zhèn</v>
      </c>
      <c r="C13" t="str">
        <f>IF(COUNTIF(B:B,B13)&gt;1,_xlfn.CONCAT(A13," (",M13,")"),B13)</f>
        <v>Āzhā Zhèn</v>
      </c>
      <c r="D13" t="s">
        <v>620</v>
      </c>
      <c r="E13" t="s">
        <v>17</v>
      </c>
      <c r="F13" t="str">
        <f>_xlfn.CONCAT(D13,", ",H13,", ",I13,", ","西藏自治区")</f>
        <v>阿扎镇, 嘉黎县, 那曲市, 西藏自治区</v>
      </c>
      <c r="G13">
        <v>4879</v>
      </c>
      <c r="H13" t="s">
        <v>1450</v>
      </c>
      <c r="I13" t="s">
        <v>1445</v>
      </c>
      <c r="J13">
        <f>VLOOKUP(F13,[1]!china_towns_second__2[[Column1]:[Y]],3,FALSE)</f>
        <v>30.5922394156505</v>
      </c>
      <c r="K13">
        <f>VLOOKUP(F13,[1]!china_towns_second__2[[Column1]:[Y]],2,FALSE)</f>
        <v>93.254508729999998</v>
      </c>
      <c r="L13" t="s">
        <v>1673</v>
      </c>
      <c r="M13" t="str">
        <f>VLOOKUP(H13,CHOOSE({1,2},Table8[Native],Table8[Name]),2,0)</f>
        <v>Jiālí Xiàn</v>
      </c>
      <c r="N13" s="13" t="str">
        <f>VLOOKUP(I13,CHOOSE({1,2},Table8[Native],Table8[Name]),2,0)</f>
        <v>Nàqŭ Shì</v>
      </c>
      <c r="O13" s="13" t="str">
        <f t="shared" si="0"/>
        <v>Azha Zhen (Nàqŭ Shì)</v>
      </c>
      <c r="P13" s="13" t="str">
        <f t="shared" si="1"/>
        <v>Azha Zhen (Nàqŭ Shì)</v>
      </c>
    </row>
    <row r="14" spans="1:16" hidden="1" x14ac:dyDescent="0.25">
      <c r="A14" t="s">
        <v>95</v>
      </c>
      <c r="B14" t="str">
        <f>IF(COUNTIF(A:A,A14)&gt;1,_xlfn.CONCAT(A14," (",N14,")"),A14)</f>
        <v>Āzī Xiāng</v>
      </c>
      <c r="C14" t="str">
        <f>IF(COUNTIF(B:B,B14)&gt;1,_xlfn.CONCAT(A14," (",M14,")"),B14)</f>
        <v>Āzī Xiāng</v>
      </c>
      <c r="D14" t="s">
        <v>96</v>
      </c>
      <c r="E14" t="s">
        <v>7</v>
      </c>
      <c r="F14" t="str">
        <f>_xlfn.CONCAT(D14,", ",H14,", ",I14,", ","西藏自治区")</f>
        <v>阿孜乡, 察雅县, 昌都市, 西藏自治区</v>
      </c>
      <c r="G14">
        <v>1646</v>
      </c>
      <c r="H14" t="s">
        <v>1418</v>
      </c>
      <c r="I14" t="s">
        <v>1415</v>
      </c>
      <c r="J14" t="e">
        <f>VLOOKUP(F14,[1]!china_towns_second__2[[Column1]:[Y]],3,FALSE)</f>
        <v>#N/A</v>
      </c>
      <c r="K14" t="e">
        <f>VLOOKUP(F14,[1]!china_towns_second__2[[Column1]:[Y]],2,FALSE)</f>
        <v>#N/A</v>
      </c>
      <c r="L14" t="s">
        <v>1674</v>
      </c>
      <c r="M14" t="str">
        <f>VLOOKUP(H14,CHOOSE({1,2},Table8[Native],Table8[Name]),2,0)</f>
        <v>Cháyă Xiàn</v>
      </c>
      <c r="N14" s="13" t="str">
        <f>VLOOKUP(I14,CHOOSE({1,2},Table8[Native],Table8[Name]),2,0)</f>
        <v>Chāngdū Shì</v>
      </c>
      <c r="O14" s="13" t="str">
        <f t="shared" si="0"/>
        <v>Azi Xiang (Chāngdū Shì)</v>
      </c>
      <c r="P14" s="13" t="str">
        <f t="shared" si="1"/>
        <v>Azi Xiang (Chāngdū Shì)</v>
      </c>
    </row>
    <row r="15" spans="1:16" hidden="1" x14ac:dyDescent="0.25">
      <c r="A15" t="s">
        <v>1248</v>
      </c>
      <c r="B15" t="str">
        <f>IF(COUNTIF(A:A,A15)&gt;1,_xlfn.CONCAT(A15," (",N15,")"),A15)</f>
        <v>Bà Xiāng</v>
      </c>
      <c r="C15" t="str">
        <f>IF(COUNTIF(B:B,B15)&gt;1,_xlfn.CONCAT(A15," (",M15,")"),B15)</f>
        <v>Bà Xiāng</v>
      </c>
      <c r="D15" t="s">
        <v>1249</v>
      </c>
      <c r="E15" t="s">
        <v>7</v>
      </c>
      <c r="F15" t="str">
        <f>_xlfn.CONCAT(D15,", ",H15,", ",I15,", ","西藏自治区")</f>
        <v>坝乡, 加查县, 山南市, 西藏自治区</v>
      </c>
      <c r="G15">
        <v>1271</v>
      </c>
      <c r="H15" t="s">
        <v>1481</v>
      </c>
      <c r="I15" t="s">
        <v>1477</v>
      </c>
      <c r="J15" t="e">
        <f>VLOOKUP(F15,[1]!china_towns_second__2[[Column1]:[Y]],3,FALSE)</f>
        <v>#N/A</v>
      </c>
      <c r="K15" t="e">
        <f>VLOOKUP(F15,[1]!china_towns_second__2[[Column1]:[Y]],2,FALSE)</f>
        <v>#N/A</v>
      </c>
      <c r="L15" t="s">
        <v>1675</v>
      </c>
      <c r="M15" t="str">
        <f>VLOOKUP(H15,CHOOSE({1,2},Table8[Native],Table8[Name]),2,0)</f>
        <v>Jiāchá Xiàn</v>
      </c>
      <c r="N15" s="13" t="str">
        <f>VLOOKUP(I15,CHOOSE({1,2},Table8[Native],Table8[Name]),2,0)</f>
        <v>Shānnán Shì</v>
      </c>
      <c r="O15" s="13" t="str">
        <f t="shared" si="0"/>
        <v>Ba Xiang (Shānnán Shì)</v>
      </c>
      <c r="P15" s="13" t="str">
        <f t="shared" si="1"/>
        <v>Ba Xiang (Shānnán Shì)</v>
      </c>
    </row>
    <row r="16" spans="1:16" hidden="1" x14ac:dyDescent="0.25">
      <c r="A16" t="s">
        <v>98</v>
      </c>
      <c r="B16" t="str">
        <f>IF(COUNTIF(A:A,A16)&gt;1,_xlfn.CONCAT(A16," (",N16,")"),A16)</f>
        <v>Bādá Xiāng</v>
      </c>
      <c r="C16" t="str">
        <f>IF(COUNTIF(B:B,B16)&gt;1,_xlfn.CONCAT(A16," (",M16,")"),B16)</f>
        <v>Bādá Xiāng</v>
      </c>
      <c r="D16" t="s">
        <v>99</v>
      </c>
      <c r="E16" t="s">
        <v>7</v>
      </c>
      <c r="F16" t="str">
        <f>_xlfn.CONCAT(D16,", ",H16,", ",I16,", ","西藏自治区")</f>
        <v>巴达乡, 丁青县, 昌都市, 西藏自治区</v>
      </c>
      <c r="G16">
        <v>2169</v>
      </c>
      <c r="H16" t="s">
        <v>1419</v>
      </c>
      <c r="I16" t="s">
        <v>1415</v>
      </c>
      <c r="J16" t="e">
        <f>VLOOKUP(F16,[1]!china_towns_second__2[[Column1]:[Y]],3,FALSE)</f>
        <v>#N/A</v>
      </c>
      <c r="K16" t="e">
        <f>VLOOKUP(F16,[1]!china_towns_second__2[[Column1]:[Y]],2,FALSE)</f>
        <v>#N/A</v>
      </c>
      <c r="L16" t="s">
        <v>1676</v>
      </c>
      <c r="M16" t="str">
        <f>VLOOKUP(H16,CHOOSE({1,2},Table8[Native],Table8[Name]),2,0)</f>
        <v>Dīngqīng Xiàn</v>
      </c>
      <c r="N16" s="13" t="str">
        <f>VLOOKUP(I16,CHOOSE({1,2},Table8[Native],Table8[Name]),2,0)</f>
        <v>Chāngdū Shì</v>
      </c>
      <c r="O16" s="13" t="str">
        <f t="shared" si="0"/>
        <v>Bada Xiang (Chāngdū Shì)</v>
      </c>
      <c r="P16" s="13" t="str">
        <f t="shared" si="1"/>
        <v>Bada Xiang (Chāngdū Shì)</v>
      </c>
    </row>
    <row r="17" spans="1:16" hidden="1" x14ac:dyDescent="0.25">
      <c r="A17" t="s">
        <v>5</v>
      </c>
      <c r="B17" t="str">
        <f>IF(COUNTIF(A:A,A17)&gt;1,_xlfn.CONCAT(A17," (",N17,")"),A17)</f>
        <v>Bāgā Xiāng</v>
      </c>
      <c r="C17" t="str">
        <f>IF(COUNTIF(B:B,B17)&gt;1,_xlfn.CONCAT(A17," (",M17,")"),B17)</f>
        <v>Bāgā Xiāng</v>
      </c>
      <c r="D17" t="s">
        <v>6</v>
      </c>
      <c r="E17" t="s">
        <v>7</v>
      </c>
      <c r="F17" t="str">
        <f>_xlfn.CONCAT(D17,", ",H17,", ",I17,", ","西藏自治区")</f>
        <v>巴嘎乡, 普兰县, 阿里地区, 西藏自治区</v>
      </c>
      <c r="G17">
        <v>1659</v>
      </c>
      <c r="H17" t="s">
        <v>1411</v>
      </c>
      <c r="I17" t="s">
        <v>1405</v>
      </c>
      <c r="J17" t="e">
        <f>VLOOKUP(F17,[1]!china_towns_second__2[[Column1]:[Y]],3,FALSE)</f>
        <v>#N/A</v>
      </c>
      <c r="K17" t="e">
        <f>VLOOKUP(F17,[1]!china_towns_second__2[[Column1]:[Y]],2,FALSE)</f>
        <v>#N/A</v>
      </c>
      <c r="L17" t="s">
        <v>1677</v>
      </c>
      <c r="M17" t="str">
        <f>VLOOKUP(H17,CHOOSE({1,2},Table8[Native],Table8[Name]),2,0)</f>
        <v>Pŭlán Xiàn</v>
      </c>
      <c r="N17" s="13" t="str">
        <f>VLOOKUP(I17,CHOOSE({1,2},Table8[Native],Table8[Name]),2,0)</f>
        <v>Ālĭ Dìqū</v>
      </c>
      <c r="O17" s="13" t="str">
        <f t="shared" si="0"/>
        <v>Baga Xiang (Ālĭ Dìqū)</v>
      </c>
      <c r="P17" s="13" t="str">
        <f t="shared" si="1"/>
        <v>Baga Xiang (Ālĭ Dìqū)</v>
      </c>
    </row>
    <row r="18" spans="1:16" hidden="1" x14ac:dyDescent="0.25">
      <c r="A18" t="s">
        <v>500</v>
      </c>
      <c r="B18" t="str">
        <f>IF(COUNTIF(A:A,A18)&gt;1,_xlfn.CONCAT(A18," (",N18,")"),A18)</f>
        <v>Bāgài Xiāng</v>
      </c>
      <c r="C18" t="str">
        <f>IF(COUNTIF(B:B,B18)&gt;1,_xlfn.CONCAT(A18," (",M18,")"),B18)</f>
        <v>Bāgài Xiāng</v>
      </c>
      <c r="D18" t="s">
        <v>501</v>
      </c>
      <c r="E18" t="s">
        <v>7</v>
      </c>
      <c r="F18" t="str">
        <f>_xlfn.CONCAT(D18,", ",H18,", ",I18,", ","西藏自治区")</f>
        <v>八盖乡, 波密县, 林芝市, 西藏自治区</v>
      </c>
      <c r="G18">
        <v>1283</v>
      </c>
      <c r="H18" t="s">
        <v>1439</v>
      </c>
      <c r="I18" t="s">
        <v>1437</v>
      </c>
      <c r="J18" t="e">
        <f>VLOOKUP(F18,[1]!china_towns_second__2[[Column1]:[Y]],3,FALSE)</f>
        <v>#N/A</v>
      </c>
      <c r="K18" t="e">
        <f>VLOOKUP(F18,[1]!china_towns_second__2[[Column1]:[Y]],2,FALSE)</f>
        <v>#N/A</v>
      </c>
      <c r="L18" t="s">
        <v>1678</v>
      </c>
      <c r="M18" t="str">
        <f>VLOOKUP(H18,CHOOSE({1,2},Table8[Native],Table8[Name]),2,0)</f>
        <v>Bōmì Xiàn</v>
      </c>
      <c r="N18" s="13" t="str">
        <f>VLOOKUP(I18,CHOOSE({1,2},Table8[Native],Table8[Name]),2,0)</f>
        <v>Línzhī Shì</v>
      </c>
      <c r="O18" s="13" t="str">
        <f t="shared" si="0"/>
        <v>Bagai Xiang (Línzhī Shì)</v>
      </c>
      <c r="P18" s="13" t="str">
        <f t="shared" si="1"/>
        <v>Bagai Xiang (Línzhī Shì)</v>
      </c>
    </row>
    <row r="19" spans="1:16" x14ac:dyDescent="0.25">
      <c r="A19" t="s">
        <v>503</v>
      </c>
      <c r="B19" t="str">
        <f>IF(COUNTIF(A:A,A19)&gt;1,_xlfn.CONCAT(A19," (",N19,")"),A19)</f>
        <v>Bāhé Zhèn</v>
      </c>
      <c r="C19" t="str">
        <f>IF(COUNTIF(B:B,B19)&gt;1,_xlfn.CONCAT(A19," (",M19,")"),B19)</f>
        <v>Bāhé Zhèn</v>
      </c>
      <c r="D19" t="s">
        <v>504</v>
      </c>
      <c r="E19" t="s">
        <v>17</v>
      </c>
      <c r="F19" t="str">
        <f>_xlfn.CONCAT(D19,", ",H19,", ",I19,", ","西藏自治区")</f>
        <v>巴河镇, 工布江达县, 林芝市, 西藏自治区</v>
      </c>
      <c r="G19">
        <v>2926</v>
      </c>
      <c r="H19" t="s">
        <v>1441</v>
      </c>
      <c r="I19" t="s">
        <v>1437</v>
      </c>
      <c r="J19">
        <f>VLOOKUP(F19,[1]!china_towns_second__2[[Column1]:[Y]],3,FALSE)</f>
        <v>30.016079911510101</v>
      </c>
      <c r="K19">
        <f>VLOOKUP(F19,[1]!china_towns_second__2[[Column1]:[Y]],2,FALSE)</f>
        <v>93.754166990000002</v>
      </c>
      <c r="L19" t="s">
        <v>1679</v>
      </c>
      <c r="M19" t="str">
        <f>VLOOKUP(H19,CHOOSE({1,2},Table8[Native],Table8[Name]),2,0)</f>
        <v>Gōngbùjiāngdá Xiàn</v>
      </c>
      <c r="N19" s="13" t="str">
        <f>VLOOKUP(I19,CHOOSE({1,2},Table8[Native],Table8[Name]),2,0)</f>
        <v>Línzhī Shì</v>
      </c>
      <c r="O19" s="13" t="str">
        <f t="shared" si="0"/>
        <v>Bahe Zhen (Línzhī Shì)</v>
      </c>
      <c r="P19" s="13" t="str">
        <f t="shared" si="1"/>
        <v>Bahe Zhen (Línzhī Shì)</v>
      </c>
    </row>
    <row r="20" spans="1:16" x14ac:dyDescent="0.25">
      <c r="A20" t="s">
        <v>506</v>
      </c>
      <c r="B20" t="str">
        <f>IF(COUNTIF(A:A,A20)&gt;1,_xlfn.CONCAT(A20," (",N20,")"),A20)</f>
        <v>Băibā Zhèn</v>
      </c>
      <c r="C20" t="str">
        <f>IF(COUNTIF(B:B,B20)&gt;1,_xlfn.CONCAT(A20," (",M20,")"),B20)</f>
        <v>Băibā Zhèn</v>
      </c>
      <c r="D20" t="s">
        <v>507</v>
      </c>
      <c r="E20" t="s">
        <v>17</v>
      </c>
      <c r="F20" t="str">
        <f>_xlfn.CONCAT(D20,", ",H20,", ",I20,", ","西藏自治区")</f>
        <v>百巴镇, 巴宜区, 林芝市, 西藏自治区</v>
      </c>
      <c r="G20">
        <v>3748</v>
      </c>
      <c r="H20" t="s">
        <v>1438</v>
      </c>
      <c r="I20" t="s">
        <v>1437</v>
      </c>
      <c r="J20">
        <f>VLOOKUP(F20,[1]!china_towns_second__2[[Column1]:[Y]],3,FALSE)</f>
        <v>29.6794032779401</v>
      </c>
      <c r="K20">
        <f>VLOOKUP(F20,[1]!china_towns_second__2[[Column1]:[Y]],2,FALSE)</f>
        <v>93.806714040000003</v>
      </c>
      <c r="L20" t="s">
        <v>1680</v>
      </c>
      <c r="M20" t="str">
        <f>VLOOKUP(H20,CHOOSE({1,2},Table8[Native],Table8[Name]),2,0)</f>
        <v>Bāyí Qū</v>
      </c>
      <c r="N20" s="13" t="str">
        <f>VLOOKUP(I20,CHOOSE({1,2},Table8[Native],Table8[Name]),2,0)</f>
        <v>Línzhī Shì</v>
      </c>
      <c r="O20" s="13" t="str">
        <f t="shared" si="0"/>
        <v>Baiba Zhen (Línzhī Shì)</v>
      </c>
      <c r="P20" s="13" t="str">
        <f t="shared" si="1"/>
        <v>Baiba Zhen (Línzhī Shì)</v>
      </c>
    </row>
    <row r="21" spans="1:16" hidden="1" x14ac:dyDescent="0.25">
      <c r="A21" t="s">
        <v>101</v>
      </c>
      <c r="B21" t="str">
        <f>IF(COUNTIF(A:A,A21)&gt;1,_xlfn.CONCAT(A21," (",N21,")"),A21)</f>
        <v>Báidá Xiāng</v>
      </c>
      <c r="C21" t="str">
        <f>IF(COUNTIF(B:B,B21)&gt;1,_xlfn.CONCAT(A21," (",M21,")"),B21)</f>
        <v>Báidá Xiāng</v>
      </c>
      <c r="D21" t="s">
        <v>102</v>
      </c>
      <c r="E21" t="s">
        <v>7</v>
      </c>
      <c r="F21" t="str">
        <f>_xlfn.CONCAT(D21,", ",H21,", ",I21,", ","西藏自治区")</f>
        <v>白达乡, 洛隆县, 昌都市, 西藏自治区</v>
      </c>
      <c r="G21">
        <v>765</v>
      </c>
      <c r="H21" t="s">
        <v>1425</v>
      </c>
      <c r="I21" t="s">
        <v>1415</v>
      </c>
      <c r="J21" t="e">
        <f>VLOOKUP(F21,[1]!china_towns_second__2[[Column1]:[Y]],3,FALSE)</f>
        <v>#N/A</v>
      </c>
      <c r="K21" t="e">
        <f>VLOOKUP(F21,[1]!china_towns_second__2[[Column1]:[Y]],2,FALSE)</f>
        <v>#N/A</v>
      </c>
      <c r="L21" t="s">
        <v>1681</v>
      </c>
      <c r="M21" t="str">
        <f>VLOOKUP(H21,CHOOSE({1,2},Table8[Native],Table8[Name]),2,0)</f>
        <v>Luòlóng Xiàn</v>
      </c>
      <c r="N21" s="13" t="str">
        <f>VLOOKUP(I21,CHOOSE({1,2},Table8[Native],Table8[Name]),2,0)</f>
        <v>Chāngdū Shì</v>
      </c>
      <c r="O21" s="13" t="str">
        <f t="shared" si="0"/>
        <v>Baida Xiang (Chāngdū Shì)</v>
      </c>
      <c r="P21" s="13" t="str">
        <f t="shared" si="1"/>
        <v>Baida Xiang (Chāngdū Shì)</v>
      </c>
    </row>
    <row r="22" spans="1:16" hidden="1" x14ac:dyDescent="0.25">
      <c r="A22" t="s">
        <v>1243</v>
      </c>
      <c r="B22" t="str">
        <f>IF(COUNTIF(A:A,A22)&gt;1,_xlfn.CONCAT(A22," (",N22,")"),A22)</f>
        <v>Báidì Xiāng</v>
      </c>
      <c r="C22" t="str">
        <f>IF(COUNTIF(B:B,B22)&gt;1,_xlfn.CONCAT(A22," (",M22,")"),B22)</f>
        <v>Báidì Xiāng</v>
      </c>
      <c r="D22" t="s">
        <v>1244</v>
      </c>
      <c r="E22" t="s">
        <v>7</v>
      </c>
      <c r="F22" t="str">
        <f>_xlfn.CONCAT(D22,", ",H22,", ",I22,", ","西藏自治区")</f>
        <v>白地乡, 浪卡子县, 山南市, 西藏自治区</v>
      </c>
      <c r="G22">
        <v>2038</v>
      </c>
      <c r="H22" t="s">
        <v>1482</v>
      </c>
      <c r="I22" t="s">
        <v>1477</v>
      </c>
      <c r="J22" t="e">
        <f>VLOOKUP(F22,[1]!china_towns_second__2[[Column1]:[Y]],3,FALSE)</f>
        <v>#N/A</v>
      </c>
      <c r="K22" t="e">
        <f>VLOOKUP(F22,[1]!china_towns_second__2[[Column1]:[Y]],2,FALSE)</f>
        <v>#N/A</v>
      </c>
      <c r="L22" t="s">
        <v>1682</v>
      </c>
      <c r="M22" t="str">
        <f>VLOOKUP(H22,CHOOSE({1,2},Table8[Native],Table8[Name]),2,0)</f>
        <v>Làngkăzi Xiàn</v>
      </c>
      <c r="N22" s="13" t="str">
        <f>VLOOKUP(I22,CHOOSE({1,2},Table8[Native],Table8[Name]),2,0)</f>
        <v>Shānnán Shì</v>
      </c>
      <c r="O22" s="13" t="str">
        <f t="shared" si="0"/>
        <v>Baidi Xiang (Shānnán Shì)</v>
      </c>
      <c r="P22" s="13" t="str">
        <f t="shared" si="1"/>
        <v>Baidi Xiang (Shānnán Shì)</v>
      </c>
    </row>
    <row r="23" spans="1:16" hidden="1" x14ac:dyDescent="0.25">
      <c r="A23" t="s">
        <v>1245</v>
      </c>
      <c r="B23" t="str">
        <f>IF(COUNTIF(A:A,A23)&gt;1,_xlfn.CONCAT(A23," (",N23,")"),A23)</f>
        <v>Báiduī Xiāng</v>
      </c>
      <c r="C23" t="str">
        <f>IF(COUNTIF(B:B,B23)&gt;1,_xlfn.CONCAT(A23," (",M23,")"),B23)</f>
        <v>Báiduī Xiāng</v>
      </c>
      <c r="D23" t="s">
        <v>1246</v>
      </c>
      <c r="E23" t="s">
        <v>7</v>
      </c>
      <c r="F23" t="str">
        <f>_xlfn.CONCAT(D23,", ",H23,", ",I23,", ","西藏自治区")</f>
        <v>白堆乡, 桑日县, 山南市, 西藏自治区</v>
      </c>
      <c r="G23">
        <v>1846</v>
      </c>
      <c r="H23" t="s">
        <v>1488</v>
      </c>
      <c r="I23" t="s">
        <v>1477</v>
      </c>
      <c r="J23" t="e">
        <f>VLOOKUP(F23,[1]!china_towns_second__2[[Column1]:[Y]],3,FALSE)</f>
        <v>#N/A</v>
      </c>
      <c r="K23" t="e">
        <f>VLOOKUP(F23,[1]!china_towns_second__2[[Column1]:[Y]],2,FALSE)</f>
        <v>#N/A</v>
      </c>
      <c r="L23" t="s">
        <v>1683</v>
      </c>
      <c r="M23" t="str">
        <f>VLOOKUP(H23,CHOOSE({1,2},Table8[Native],Table8[Name]),2,0)</f>
        <v>Sāngrì Xiàn</v>
      </c>
      <c r="N23" s="13" t="str">
        <f>VLOOKUP(I23,CHOOSE({1,2},Table8[Native],Table8[Name]),2,0)</f>
        <v>Shānnán Shì</v>
      </c>
      <c r="O23" s="13" t="str">
        <f t="shared" si="0"/>
        <v>Baidui Xiang (Shānnán Shì)</v>
      </c>
      <c r="P23" s="13" t="str">
        <f t="shared" si="1"/>
        <v>Baidui Xiang (Shānnán Shì)</v>
      </c>
    </row>
    <row r="24" spans="1:16" hidden="1" x14ac:dyDescent="0.25">
      <c r="A24" t="s">
        <v>622</v>
      </c>
      <c r="B24" t="str">
        <f>IF(COUNTIF(A:A,A24)&gt;1,_xlfn.CONCAT(A24," (",N24,")"),A24)</f>
        <v>Báigā Xiāng</v>
      </c>
      <c r="C24" t="str">
        <f>IF(COUNTIF(B:B,B24)&gt;1,_xlfn.CONCAT(A24," (",M24,")"),B24)</f>
        <v>Báigā Xiāng</v>
      </c>
      <c r="D24" t="s">
        <v>623</v>
      </c>
      <c r="E24" t="s">
        <v>7</v>
      </c>
      <c r="F24" t="str">
        <f>_xlfn.CONCAT(D24,", ",H24,", ",I24,", ","西藏自治区")</f>
        <v>白嘎乡, 比如县, 那曲市, 西藏自治区</v>
      </c>
      <c r="G24">
        <v>7431</v>
      </c>
      <c r="H24" t="s">
        <v>1449</v>
      </c>
      <c r="I24" t="s">
        <v>1445</v>
      </c>
      <c r="J24" t="e">
        <f>VLOOKUP(F24,[1]!china_towns_second__2[[Column1]:[Y]],3,FALSE)</f>
        <v>#N/A</v>
      </c>
      <c r="K24" t="e">
        <f>VLOOKUP(F24,[1]!china_towns_second__2[[Column1]:[Y]],2,FALSE)</f>
        <v>#N/A</v>
      </c>
      <c r="L24" t="s">
        <v>1684</v>
      </c>
      <c r="M24" t="str">
        <f>VLOOKUP(H24,CHOOSE({1,2},Table8[Native],Table8[Name]),2,0)</f>
        <v>Bĭrú Xiàn</v>
      </c>
      <c r="N24" s="13" t="str">
        <f>VLOOKUP(I24,CHOOSE({1,2},Table8[Native],Table8[Name]),2,0)</f>
        <v>Nàqŭ Shì</v>
      </c>
      <c r="O24" s="13" t="str">
        <f t="shared" si="0"/>
        <v>Baiga Xiang (Nàqŭ Shì)</v>
      </c>
      <c r="P24" s="13" t="str">
        <f t="shared" si="1"/>
        <v>Baiga Xiang (Nàqŭ Shì)</v>
      </c>
    </row>
    <row r="25" spans="1:16" x14ac:dyDescent="0.25">
      <c r="A25" t="s">
        <v>104</v>
      </c>
      <c r="B25" t="str">
        <f>IF(COUNTIF(A:A,A25)&gt;1,_xlfn.CONCAT(A25," (",N25,")"),A25)</f>
        <v>Báimă Zhèn</v>
      </c>
      <c r="C25" t="str">
        <f>IF(COUNTIF(B:B,B25)&gt;1,_xlfn.CONCAT(A25," (",M25,")"),B25)</f>
        <v>Báimă Zhèn</v>
      </c>
      <c r="D25" t="s">
        <v>105</v>
      </c>
      <c r="E25" t="s">
        <v>17</v>
      </c>
      <c r="F25" t="str">
        <f>_xlfn.CONCAT(D25,", ",H25,", ",I25,", ","西藏自治区")</f>
        <v>白玛镇, 八宿县, 昌都市, 西藏自治区</v>
      </c>
      <c r="G25">
        <v>6402</v>
      </c>
      <c r="H25" t="s">
        <v>1416</v>
      </c>
      <c r="I25" t="s">
        <v>1415</v>
      </c>
      <c r="J25">
        <f>VLOOKUP(F25,[1]!china_towns_second__2[[Column1]:[Y]],3,FALSE)</f>
        <v>30.055783938936401</v>
      </c>
      <c r="K25">
        <f>VLOOKUP(F25,[1]!china_towns_second__2[[Column1]:[Y]],2,FALSE)</f>
        <v>96.839617410000002</v>
      </c>
      <c r="L25" t="s">
        <v>1685</v>
      </c>
      <c r="M25" t="str">
        <f>VLOOKUP(H25,CHOOSE({1,2},Table8[Native],Table8[Name]),2,0)</f>
        <v>Bāsù Xiàn</v>
      </c>
      <c r="N25" s="13" t="str">
        <f>VLOOKUP(I25,CHOOSE({1,2},Table8[Native],Table8[Name]),2,0)</f>
        <v>Chāngdū Shì</v>
      </c>
      <c r="O25" s="13" t="str">
        <f t="shared" si="0"/>
        <v>Baima Zhen (Chāngdū Shì)</v>
      </c>
      <c r="P25" s="13" t="str">
        <f t="shared" si="1"/>
        <v>Baima Zhen (Chāngdū Shì)</v>
      </c>
    </row>
    <row r="26" spans="1:16" hidden="1" x14ac:dyDescent="0.25">
      <c r="A26" t="s">
        <v>625</v>
      </c>
      <c r="B26" t="str">
        <f>IF(COUNTIF(A:A,A26)&gt;1,_xlfn.CONCAT(A26," (",N26,")"),A26)</f>
        <v>Báixióng Xiāng</v>
      </c>
      <c r="C26" t="str">
        <f>IF(COUNTIF(B:B,B26)&gt;1,_xlfn.CONCAT(A26," (",M26,")"),B26)</f>
        <v>Báixióng Xiāng</v>
      </c>
      <c r="D26" t="s">
        <v>626</v>
      </c>
      <c r="E26" t="s">
        <v>7</v>
      </c>
      <c r="F26" t="str">
        <f>_xlfn.CONCAT(D26,", ",H26,", ",I26,", ","西藏自治区")</f>
        <v>白雄乡, 聂荣县, 那曲市, 西藏自治区</v>
      </c>
      <c r="G26">
        <v>3749</v>
      </c>
      <c r="H26" t="s">
        <v>1451</v>
      </c>
      <c r="I26" t="s">
        <v>1445</v>
      </c>
      <c r="J26" t="e">
        <f>VLOOKUP(F26,[1]!china_towns_second__2[[Column1]:[Y]],3,FALSE)</f>
        <v>#N/A</v>
      </c>
      <c r="K26" t="e">
        <f>VLOOKUP(F26,[1]!china_towns_second__2[[Column1]:[Y]],2,FALSE)</f>
        <v>#N/A</v>
      </c>
      <c r="L26" t="s">
        <v>1686</v>
      </c>
      <c r="M26" t="str">
        <f>VLOOKUP(H26,CHOOSE({1,2},Table8[Native],Table8[Name]),2,0)</f>
        <v>Nièróng Xiàn</v>
      </c>
      <c r="N26" s="13" t="str">
        <f>VLOOKUP(I26,CHOOSE({1,2},Table8[Native],Table8[Name]),2,0)</f>
        <v>Nàqŭ Shì</v>
      </c>
      <c r="O26" s="13" t="str">
        <f t="shared" si="0"/>
        <v>Baixiong Xiang (Nàqŭ Shì)</v>
      </c>
      <c r="P26" s="13" t="str">
        <f t="shared" si="1"/>
        <v>Baixiong Xiang (Nàqŭ Shì)</v>
      </c>
    </row>
    <row r="27" spans="1:16" hidden="1" x14ac:dyDescent="0.25">
      <c r="A27" t="s">
        <v>372</v>
      </c>
      <c r="B27" t="str">
        <f>IF(COUNTIF(A:A,A27)&gt;1,_xlfn.CONCAT(A27," (",N27,")"),A27)</f>
        <v>Bākuò Jiēdào [incl. Chōngsàikāng Jiēdào]</v>
      </c>
      <c r="C27" t="str">
        <f>IF(COUNTIF(B:B,B27)&gt;1,_xlfn.CONCAT(A27," (",M27,")"),B27)</f>
        <v>Bākuò Jiēdào [incl. Chōngsàikāng Jiēdào]</v>
      </c>
      <c r="D27" t="s">
        <v>373</v>
      </c>
      <c r="E27" t="s">
        <v>374</v>
      </c>
      <c r="F27" t="str">
        <f>_xlfn.CONCAT(D27,", ",H27,", ",I27,", ","西藏自治区")</f>
        <v>八廓街道, 城关区, 拉萨市, 西藏自治区</v>
      </c>
      <c r="G27">
        <v>19860</v>
      </c>
      <c r="H27" t="s">
        <v>1429</v>
      </c>
      <c r="I27" t="s">
        <v>1428</v>
      </c>
      <c r="J27">
        <f>VLOOKUP(F27,[1]!china_towns_second__2[[Column1]:[Y]],3,FALSE)</f>
        <v>29.650034437558698</v>
      </c>
      <c r="K27">
        <f>VLOOKUP(F27,[1]!china_towns_second__2[[Column1]:[Y]],2,FALSE)</f>
        <v>91.126870359999998</v>
      </c>
      <c r="L27" t="s">
        <v>1687</v>
      </c>
      <c r="M27" t="str">
        <f>VLOOKUP(H27,CHOOSE({1,2},Table8[Native],Table8[Name]),2,0)</f>
        <v>Chéngguān Qū</v>
      </c>
      <c r="N27" s="13" t="str">
        <f>VLOOKUP(I27,CHOOSE({1,2},Table8[Native],Table8[Name]),2,0)</f>
        <v>Lāsà Shì</v>
      </c>
      <c r="O27" s="13" t="str">
        <f t="shared" si="0"/>
        <v>Bakuo Jiedao [incl. Chongsaikang Jiedao] (Lāsà Shì)</v>
      </c>
      <c r="P27" s="13" t="str">
        <f t="shared" si="1"/>
        <v>Bakuo Jiedao [incl. Chongsaikang Jiedao] (Lāsà Shì)</v>
      </c>
    </row>
    <row r="28" spans="1:16" hidden="1" x14ac:dyDescent="0.25">
      <c r="A28" t="s">
        <v>628</v>
      </c>
      <c r="B28" t="str">
        <f>IF(COUNTIF(A:A,A28)&gt;1,_xlfn.CONCAT(A28," (",N28,")"),A28)</f>
        <v>Bālĭng Xiāng</v>
      </c>
      <c r="C28" t="str">
        <f>IF(COUNTIF(B:B,B28)&gt;1,_xlfn.CONCAT(A28," (",M28,")"),B28)</f>
        <v>Bālĭng Xiāng</v>
      </c>
      <c r="D28" t="s">
        <v>629</v>
      </c>
      <c r="E28" t="s">
        <v>7</v>
      </c>
      <c r="F28" t="str">
        <f>_xlfn.CONCAT(D28,", ",H28,", ",I28,", ","西藏自治区")</f>
        <v>巴岭乡, 双湖县, 那曲市, 西藏自治区</v>
      </c>
      <c r="G28">
        <v>1499</v>
      </c>
      <c r="H28" t="s">
        <v>1456</v>
      </c>
      <c r="I28" t="s">
        <v>1445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1688</v>
      </c>
      <c r="M28" t="str">
        <f>VLOOKUP(H28,CHOOSE({1,2},Table8[Native],Table8[Name]),2,0)</f>
        <v>Shuānghú Xiàn</v>
      </c>
      <c r="N28" s="13" t="str">
        <f>VLOOKUP(I28,CHOOSE({1,2},Table8[Native],Table8[Name]),2,0)</f>
        <v>Nàqŭ Shì</v>
      </c>
      <c r="O28" s="13" t="str">
        <f t="shared" si="0"/>
        <v>Baling Xiang (Nàqŭ Shì)</v>
      </c>
      <c r="P28" s="13" t="str">
        <f t="shared" si="1"/>
        <v>Baling Xiang (Nàqŭ Shì)</v>
      </c>
    </row>
    <row r="29" spans="1:16" hidden="1" x14ac:dyDescent="0.25">
      <c r="A29" t="s">
        <v>631</v>
      </c>
      <c r="B29" t="str">
        <f>IF(COUNTIF(A:A,A29)&gt;1,_xlfn.CONCAT(A29," (",N29,")"),A29)</f>
        <v>Bāngài Xiāng</v>
      </c>
      <c r="C29" t="str">
        <f>IF(COUNTIF(B:B,B29)&gt;1,_xlfn.CONCAT(A29," (",M29,")"),B29)</f>
        <v>Bāngài Xiāng</v>
      </c>
      <c r="D29" t="s">
        <v>632</v>
      </c>
      <c r="E29" t="s">
        <v>7</v>
      </c>
      <c r="F29" t="str">
        <f>_xlfn.CONCAT(D29,", ",H29,", ",I29,", ","西藏自治区")</f>
        <v>帮爱乡, 安多县, 那曲市, 西藏自治区</v>
      </c>
      <c r="G29">
        <v>1923</v>
      </c>
      <c r="H29" t="s">
        <v>1446</v>
      </c>
      <c r="I29" t="s">
        <v>1445</v>
      </c>
      <c r="J29" t="e">
        <f>VLOOKUP(F29,[1]!china_towns_second__2[[Column1]:[Y]],3,FALSE)</f>
        <v>#N/A</v>
      </c>
      <c r="K29" t="e">
        <f>VLOOKUP(F29,[1]!china_towns_second__2[[Column1]:[Y]],2,FALSE)</f>
        <v>#N/A</v>
      </c>
      <c r="L29" t="s">
        <v>1689</v>
      </c>
      <c r="M29" t="str">
        <f>VLOOKUP(H29,CHOOSE({1,2},Table8[Native],Table8[Name]),2,0)</f>
        <v>Ānduō Xiàn</v>
      </c>
      <c r="N29" s="13" t="str">
        <f>VLOOKUP(I29,CHOOSE({1,2},Table8[Native],Table8[Name]),2,0)</f>
        <v>Nàqŭ Shì</v>
      </c>
      <c r="O29" s="13" t="str">
        <f t="shared" si="0"/>
        <v>Bangai Xiang (Nàqŭ Shì)</v>
      </c>
      <c r="P29" s="13" t="str">
        <f t="shared" si="1"/>
        <v>Bangai Xiang (Nàqŭ Shì)</v>
      </c>
    </row>
    <row r="30" spans="1:16" hidden="1" x14ac:dyDescent="0.25">
      <c r="A30" t="s">
        <v>107</v>
      </c>
      <c r="B30" t="str">
        <f>IF(COUNTIF(A:A,A30)&gt;1,_xlfn.CONCAT(A30," (",N30,")"),A30)</f>
        <v>Bāngdá Xiāng</v>
      </c>
      <c r="C30" t="str">
        <f>IF(COUNTIF(B:B,B30)&gt;1,_xlfn.CONCAT(A30," (",M30,")"),B30)</f>
        <v>Bāngdá Xiāng</v>
      </c>
      <c r="D30" t="s">
        <v>108</v>
      </c>
      <c r="E30" t="s">
        <v>7</v>
      </c>
      <c r="F30" t="str">
        <f>_xlfn.CONCAT(D30,", ",H30,", ",I30,", ","西藏自治区")</f>
        <v>帮达乡, 芒康县, 昌都市, 西藏自治区</v>
      </c>
      <c r="G30">
        <v>8182</v>
      </c>
      <c r="H30" t="s">
        <v>1426</v>
      </c>
      <c r="I30" t="s">
        <v>1415</v>
      </c>
      <c r="J30" t="e">
        <f>VLOOKUP(F30,[1]!china_towns_second__2[[Column1]:[Y]],3,FALSE)</f>
        <v>#N/A</v>
      </c>
      <c r="K30" t="e">
        <f>VLOOKUP(F30,[1]!china_towns_second__2[[Column1]:[Y]],2,FALSE)</f>
        <v>#N/A</v>
      </c>
      <c r="L30" t="s">
        <v>1690</v>
      </c>
      <c r="M30" t="str">
        <f>VLOOKUP(H30,CHOOSE({1,2},Table8[Native],Table8[Name]),2,0)</f>
        <v>Mángkāng Xiàn</v>
      </c>
      <c r="N30" s="13" t="str">
        <f>VLOOKUP(I30,CHOOSE({1,2},Table8[Native],Table8[Name]),2,0)</f>
        <v>Chāngdū Shì</v>
      </c>
      <c r="O30" s="13" t="str">
        <f t="shared" si="0"/>
        <v>Bangda Xiang (Chāngdū Shì)</v>
      </c>
      <c r="P30" s="13" t="str">
        <f t="shared" si="1"/>
        <v>Bangda Xiang (Chāngdū Shì)</v>
      </c>
    </row>
    <row r="31" spans="1:16" x14ac:dyDescent="0.25">
      <c r="A31" t="s">
        <v>109</v>
      </c>
      <c r="B31" t="str">
        <f>IF(COUNTIF(A:A,A31)&gt;1,_xlfn.CONCAT(A31," (",N31,")"),A31)</f>
        <v>Bāngdá Zhèn</v>
      </c>
      <c r="C31" t="str">
        <f>IF(COUNTIF(B:B,B31)&gt;1,_xlfn.CONCAT(A31," (",M31,")"),B31)</f>
        <v>Bāngdá Zhèn</v>
      </c>
      <c r="D31" t="s">
        <v>110</v>
      </c>
      <c r="E31" t="s">
        <v>17</v>
      </c>
      <c r="F31" t="str">
        <f>_xlfn.CONCAT(D31,", ",H31,", ",I31,", ","西藏自治区")</f>
        <v>帮达镇, 八宿县, 昌都市, 西藏自治区</v>
      </c>
      <c r="G31">
        <v>2284</v>
      </c>
      <c r="H31" t="s">
        <v>1416</v>
      </c>
      <c r="I31" t="s">
        <v>1415</v>
      </c>
      <c r="J31">
        <f>VLOOKUP(F31,[1]!china_towns_second__2[[Column1]:[Y]],3,FALSE)</f>
        <v>30.2047865432394</v>
      </c>
      <c r="K31">
        <f>VLOOKUP(F31,[1]!china_towns_second__2[[Column1]:[Y]],2,FALSE)</f>
        <v>97.252914880000006</v>
      </c>
      <c r="L31" t="s">
        <v>1691</v>
      </c>
      <c r="M31" t="str">
        <f>VLOOKUP(H31,CHOOSE({1,2},Table8[Native],Table8[Name]),2,0)</f>
        <v>Bāsù Xiàn</v>
      </c>
      <c r="N31" s="13" t="str">
        <f>VLOOKUP(I31,CHOOSE({1,2},Table8[Native],Table8[Name]),2,0)</f>
        <v>Chāngdū Shì</v>
      </c>
      <c r="O31" s="13" t="str">
        <f t="shared" si="0"/>
        <v>Bangda Zhen (Chāngdū Shì)</v>
      </c>
      <c r="P31" s="13" t="str">
        <f t="shared" si="1"/>
        <v>Bangda Zhen (Chāngdū Shì)</v>
      </c>
    </row>
    <row r="32" spans="1:16" hidden="1" x14ac:dyDescent="0.25">
      <c r="A32" t="s">
        <v>376</v>
      </c>
      <c r="B32" t="str">
        <f>IF(COUNTIF(A:A,A32)&gt;1,_xlfn.CONCAT(A32," (",N32,")"),A32)</f>
        <v>Bāngduī Xiāng</v>
      </c>
      <c r="C32" t="str">
        <f>IF(COUNTIF(B:B,B32)&gt;1,_xlfn.CONCAT(A32," (",M32,")"),B32)</f>
        <v>Bāngduī Xiāng</v>
      </c>
      <c r="D32" t="s">
        <v>377</v>
      </c>
      <c r="E32" t="s">
        <v>7</v>
      </c>
      <c r="F32" t="str">
        <f>_xlfn.CONCAT(D32,", ",H32,", ",I32,", ","西藏自治区")</f>
        <v>帮堆乡, 达孜区, 拉萨市, 西藏自治区</v>
      </c>
      <c r="G32">
        <v>3300</v>
      </c>
      <c r="H32" t="s">
        <v>1431</v>
      </c>
      <c r="I32" t="s">
        <v>1428</v>
      </c>
      <c r="J32" t="e">
        <f>VLOOKUP(F32,[1]!china_towns_second__2[[Column1]:[Y]],3,FALSE)</f>
        <v>#N/A</v>
      </c>
      <c r="K32" t="e">
        <f>VLOOKUP(F32,[1]!china_towns_second__2[[Column1]:[Y]],2,FALSE)</f>
        <v>#N/A</v>
      </c>
      <c r="L32" t="s">
        <v>1692</v>
      </c>
      <c r="M32" t="str">
        <f>VLOOKUP(H32,CHOOSE({1,2},Table8[Native],Table8[Name]),2,0)</f>
        <v>Dázī Qū</v>
      </c>
      <c r="N32" s="13" t="str">
        <f>VLOOKUP(I32,CHOOSE({1,2},Table8[Native],Table8[Name]),2,0)</f>
        <v>Lāsà Shì</v>
      </c>
      <c r="O32" s="13" t="str">
        <f t="shared" si="0"/>
        <v>Bangdui Xiang (Lāsà Shì)</v>
      </c>
      <c r="P32" s="13" t="str">
        <f t="shared" si="1"/>
        <v>Bangdui Xiang (Lāsà Shì)</v>
      </c>
    </row>
    <row r="33" spans="1:16" hidden="1" x14ac:dyDescent="0.25">
      <c r="A33" t="s">
        <v>509</v>
      </c>
      <c r="B33" t="str">
        <f>IF(COUNTIF(A:A,A33)&gt;1,_xlfn.CONCAT(A33," (",N33,")"),A33)</f>
        <v>Bāngxīn Xiāng</v>
      </c>
      <c r="C33" t="str">
        <f>IF(COUNTIF(B:B,B33)&gt;1,_xlfn.CONCAT(A33," (",M33,")"),B33)</f>
        <v>Bāngxīn Xiāng</v>
      </c>
      <c r="D33" t="s">
        <v>510</v>
      </c>
      <c r="E33" t="s">
        <v>7</v>
      </c>
      <c r="F33" t="str">
        <f>_xlfn.CONCAT(D33,", ",H33,", ",I33,", ","西藏自治区")</f>
        <v>帮辛乡, 墨脱县, 林芝市, 西藏自治区</v>
      </c>
      <c r="G33">
        <v>1266</v>
      </c>
      <c r="H33" t="s">
        <v>1444</v>
      </c>
      <c r="I33" t="s">
        <v>1437</v>
      </c>
      <c r="J33" t="e">
        <f>VLOOKUP(F33,[1]!china_towns_second__2[[Column1]:[Y]],3,FALSE)</f>
        <v>#N/A</v>
      </c>
      <c r="K33" t="e">
        <f>VLOOKUP(F33,[1]!china_towns_second__2[[Column1]:[Y]],2,FALSE)</f>
        <v>#N/A</v>
      </c>
      <c r="L33" t="s">
        <v>1693</v>
      </c>
      <c r="M33" t="str">
        <f>VLOOKUP(H33,CHOOSE({1,2},Table8[Native],Table8[Name]),2,0)</f>
        <v>Mòtuō Xiàn</v>
      </c>
      <c r="N33" s="13" t="str">
        <f>VLOOKUP(I33,CHOOSE({1,2},Table8[Native],Table8[Name]),2,0)</f>
        <v>Línzhī Shì</v>
      </c>
      <c r="O33" s="13" t="str">
        <f t="shared" si="0"/>
        <v>Bangxin Xiang (Línzhī Shì)</v>
      </c>
      <c r="P33" s="13" t="str">
        <f t="shared" si="1"/>
        <v>Bangxin Xiang (Línzhī Shì)</v>
      </c>
    </row>
    <row r="34" spans="1:16" hidden="1" x14ac:dyDescent="0.25">
      <c r="A34" t="s">
        <v>634</v>
      </c>
      <c r="B34" t="str">
        <f>IF(COUNTIF(A:A,A34)&gt;1,_xlfn.CONCAT(A34," (",N34,")"),A34)</f>
        <v>Băojí Xiāng</v>
      </c>
      <c r="C34" t="str">
        <f>IF(COUNTIF(B:B,B34)&gt;1,_xlfn.CONCAT(A34," (",M34,")"),B34)</f>
        <v>Băojí Xiāng</v>
      </c>
      <c r="D34" t="s">
        <v>635</v>
      </c>
      <c r="E34" t="s">
        <v>7</v>
      </c>
      <c r="F34" t="str">
        <f>_xlfn.CONCAT(D34,", ",H34,", ",I34,", ","西藏自治区")</f>
        <v>保吉乡, 班戈县, 那曲市, 西藏自治区</v>
      </c>
      <c r="G34">
        <v>2048</v>
      </c>
      <c r="H34" t="s">
        <v>1447</v>
      </c>
      <c r="I34" t="s">
        <v>1445</v>
      </c>
      <c r="J34" t="e">
        <f>VLOOKUP(F34,[1]!china_towns_second__2[[Column1]:[Y]],3,FALSE)</f>
        <v>#N/A</v>
      </c>
      <c r="K34" t="e">
        <f>VLOOKUP(F34,[1]!china_towns_second__2[[Column1]:[Y]],2,FALSE)</f>
        <v>#N/A</v>
      </c>
      <c r="L34" t="s">
        <v>1694</v>
      </c>
      <c r="M34" t="str">
        <f>VLOOKUP(H34,CHOOSE({1,2},Table8[Native],Table8[Name]),2,0)</f>
        <v>Bāngē Xiàn</v>
      </c>
      <c r="N34" s="13" t="str">
        <f>VLOOKUP(I34,CHOOSE({1,2},Table8[Native],Table8[Name]),2,0)</f>
        <v>Nàqŭ Shì</v>
      </c>
      <c r="O34" s="13" t="str">
        <f t="shared" si="0"/>
        <v>Baoji Xiang (Nàqŭ Shì)</v>
      </c>
      <c r="P34" s="13" t="str">
        <f t="shared" si="1"/>
        <v>Baoji Xiang (Nàqŭ Shì)</v>
      </c>
    </row>
    <row r="35" spans="1:16" hidden="1" x14ac:dyDescent="0.25">
      <c r="A35" t="s">
        <v>637</v>
      </c>
      <c r="B35" t="str">
        <f>IF(COUNTIF(A:A,A35)&gt;1,_xlfn.CONCAT(A35," (",N35,")"),A35)</f>
        <v>Bāqīng Xiāng</v>
      </c>
      <c r="C35" t="str">
        <f>IF(COUNTIF(B:B,B35)&gt;1,_xlfn.CONCAT(A35," (",M35,")"),B35)</f>
        <v>Bāqīng Xiāng</v>
      </c>
      <c r="D35" t="s">
        <v>638</v>
      </c>
      <c r="E35" t="s">
        <v>7</v>
      </c>
      <c r="F35" t="str">
        <f>_xlfn.CONCAT(D35,", ",H35,", ",I35,", ","西藏自治区")</f>
        <v>巴青乡, 巴青县, 那曲市, 西藏自治区</v>
      </c>
      <c r="G35">
        <v>2520</v>
      </c>
      <c r="H35" t="s">
        <v>1448</v>
      </c>
      <c r="I35" t="s">
        <v>1445</v>
      </c>
      <c r="J35" t="e">
        <f>VLOOKUP(F35,[1]!china_towns_second__2[[Column1]:[Y]],3,FALSE)</f>
        <v>#N/A</v>
      </c>
      <c r="K35" t="e">
        <f>VLOOKUP(F35,[1]!china_towns_second__2[[Column1]:[Y]],2,FALSE)</f>
        <v>#N/A</v>
      </c>
      <c r="L35" t="s">
        <v>1695</v>
      </c>
      <c r="M35" t="str">
        <f>VLOOKUP(H35,CHOOSE({1,2},Table8[Native],Table8[Name]),2,0)</f>
        <v>Bāqīng Xiàn</v>
      </c>
      <c r="N35" s="13" t="str">
        <f>VLOOKUP(I35,CHOOSE({1,2},Table8[Native],Table8[Name]),2,0)</f>
        <v>Nàqŭ Shì</v>
      </c>
      <c r="O35" s="13" t="str">
        <f t="shared" si="0"/>
        <v>Baqing Xiang (Nàqŭ Shì)</v>
      </c>
      <c r="P35" s="13" t="str">
        <f t="shared" si="1"/>
        <v>Baqing Xiang (Nàqŭ Shì)</v>
      </c>
    </row>
    <row r="36" spans="1:16" hidden="1" x14ac:dyDescent="0.25">
      <c r="A36" t="s">
        <v>111</v>
      </c>
      <c r="B36" t="str">
        <f>IF(COUNTIF(A:A,A36)&gt;1,_xlfn.CONCAT(A36," (",N36,")"),A36)</f>
        <v>Bārì Xiāng</v>
      </c>
      <c r="C36" t="str">
        <f>IF(COUNTIF(B:B,B36)&gt;1,_xlfn.CONCAT(A36," (",M36,")"),B36)</f>
        <v>Bārì Xiāng</v>
      </c>
      <c r="D36" t="s">
        <v>112</v>
      </c>
      <c r="E36" t="s">
        <v>7</v>
      </c>
      <c r="F36" t="str">
        <f>_xlfn.CONCAT(D36,", ",H36,", ",I36,", ","西藏自治区")</f>
        <v>巴日乡, 察雅县, 昌都市, 西藏自治区</v>
      </c>
      <c r="G36">
        <v>4592</v>
      </c>
      <c r="H36" t="s">
        <v>1418</v>
      </c>
      <c r="I36" t="s">
        <v>1415</v>
      </c>
      <c r="J36" t="e">
        <f>VLOOKUP(F36,[1]!china_towns_second__2[[Column1]:[Y]],3,FALSE)</f>
        <v>#N/A</v>
      </c>
      <c r="K36" t="e">
        <f>VLOOKUP(F36,[1]!china_towns_second__2[[Column1]:[Y]],2,FALSE)</f>
        <v>#N/A</v>
      </c>
      <c r="L36" t="s">
        <v>1696</v>
      </c>
      <c r="M36" t="str">
        <f>VLOOKUP(H36,CHOOSE({1,2},Table8[Native],Table8[Name]),2,0)</f>
        <v>Cháyă Xiàn</v>
      </c>
      <c r="N36" s="13" t="str">
        <f>VLOOKUP(I36,CHOOSE({1,2},Table8[Native],Table8[Name]),2,0)</f>
        <v>Chāngdū Shì</v>
      </c>
      <c r="O36" s="13" t="str">
        <f t="shared" si="0"/>
        <v>Bari Xiang (Chāngdū Shì)</v>
      </c>
      <c r="P36" s="13" t="str">
        <f t="shared" si="1"/>
        <v>Bari Xiang (Chāngdū Shì)</v>
      </c>
    </row>
    <row r="37" spans="1:16" x14ac:dyDescent="0.25">
      <c r="A37" t="s">
        <v>512</v>
      </c>
      <c r="B37" t="str">
        <f>IF(COUNTIF(A:A,A37)&gt;1,_xlfn.CONCAT(A37," (",N37,")"),A37)</f>
        <v>Bāyī Zhèn [incl. Báimǎgǎng Jiēdào, Juémù Jiēdào]</v>
      </c>
      <c r="C37" t="str">
        <f>IF(COUNTIF(B:B,B37)&gt;1,_xlfn.CONCAT(A37," (",M37,")"),B37)</f>
        <v>Bāyī Zhèn [incl. Báimǎgǎng Jiēdào, Juémù Jiēdào]</v>
      </c>
      <c r="D37" t="s">
        <v>513</v>
      </c>
      <c r="E37" t="s">
        <v>17</v>
      </c>
      <c r="F37" t="str">
        <f>_xlfn.CONCAT(D37,", ",H37,", ",I37,", ","西藏自治区")</f>
        <v>八一镇, 巴宜区, 林芝市, 西藏自治区</v>
      </c>
      <c r="G37">
        <v>39110</v>
      </c>
      <c r="H37" t="s">
        <v>1438</v>
      </c>
      <c r="I37" t="s">
        <v>1437</v>
      </c>
      <c r="J37">
        <f>VLOOKUP(F37,[1]!china_towns_second__2[[Column1]:[Y]],3,FALSE)</f>
        <v>29.7294455553753</v>
      </c>
      <c r="K37">
        <f>VLOOKUP(F37,[1]!china_towns_second__2[[Column1]:[Y]],2,FALSE)</f>
        <v>94.30912069</v>
      </c>
      <c r="L37" t="s">
        <v>1697</v>
      </c>
      <c r="M37" t="str">
        <f>VLOOKUP(H37,CHOOSE({1,2},Table8[Native],Table8[Name]),2,0)</f>
        <v>Bāyí Qū</v>
      </c>
      <c r="N37" s="13" t="str">
        <f>VLOOKUP(I37,CHOOSE({1,2},Table8[Native],Table8[Name]),2,0)</f>
        <v>Línzhī Shì</v>
      </c>
      <c r="O37" s="13" t="str">
        <f t="shared" si="0"/>
        <v>Bayi Zhen [incl. Baimagang Jiedao, Juemu Jiedao] (Línzhī Shì)</v>
      </c>
      <c r="P37" s="13" t="str">
        <f t="shared" si="1"/>
        <v>Bayi Zhen [incl. Baimagang Jiedao, Juemu Jiedao] (Línzhī Shì)</v>
      </c>
    </row>
    <row r="38" spans="1:16" hidden="1" x14ac:dyDescent="0.25">
      <c r="A38" t="s">
        <v>639</v>
      </c>
      <c r="B38" t="str">
        <f>IF(COUNTIF(A:A,A38)&gt;1,_xlfn.CONCAT(A38," (",N38,")"),A38)</f>
        <v>Bāzhā Xiāng (Nàqŭ Shì)</v>
      </c>
      <c r="C38" t="str">
        <f>IF(COUNTIF(B:B,B38)&gt;1,_xlfn.CONCAT(A38," (",M38,")"),B38)</f>
        <v>Bāzhā Xiāng (Nàqŭ Shì)</v>
      </c>
      <c r="D38" t="s">
        <v>640</v>
      </c>
      <c r="E38" t="s">
        <v>7</v>
      </c>
      <c r="F38" t="str">
        <f>_xlfn.CONCAT(D38,", ",H38,", ",I38,", ","西藏自治区")</f>
        <v>巴扎乡, 申扎县, 那曲市, 西藏自治区</v>
      </c>
      <c r="G38">
        <v>2040</v>
      </c>
      <c r="H38" t="s">
        <v>1455</v>
      </c>
      <c r="I38" t="s">
        <v>1445</v>
      </c>
      <c r="J38" t="e">
        <f>VLOOKUP(F38,[1]!china_towns_second__2[[Column1]:[Y]],3,FALSE)</f>
        <v>#N/A</v>
      </c>
      <c r="K38" t="e">
        <f>VLOOKUP(F38,[1]!china_towns_second__2[[Column1]:[Y]],2,FALSE)</f>
        <v>#N/A</v>
      </c>
      <c r="L38" t="s">
        <v>1698</v>
      </c>
      <c r="M38" t="str">
        <f>VLOOKUP(H38,CHOOSE({1,2},Table8[Native],Table8[Name]),2,0)</f>
        <v>Shēnzhā Xiàn</v>
      </c>
      <c r="N38" s="13" t="str">
        <f>VLOOKUP(I38,CHOOSE({1,2},Table8[Native],Table8[Name]),2,0)</f>
        <v>Nàqŭ Shì</v>
      </c>
      <c r="O38" s="13" t="str">
        <f t="shared" si="0"/>
        <v>Bazha Xiang (Naqu Shi) (Nàqŭ Shì)</v>
      </c>
      <c r="P38" s="13" t="str">
        <f t="shared" si="1"/>
        <v>Bazha Xiang (Naqu Shi) (Nàqŭ Shì)</v>
      </c>
    </row>
    <row r="39" spans="1:16" hidden="1" x14ac:dyDescent="0.25">
      <c r="A39" t="s">
        <v>639</v>
      </c>
      <c r="B39" t="str">
        <f>IF(COUNTIF(A:A,A39)&gt;1,_xlfn.CONCAT(A39," (",N39,")"),A39)</f>
        <v>Bāzhā Xiāng (Rìkāzé Shì)</v>
      </c>
      <c r="C39" t="str">
        <f>IF(COUNTIF(B:B,B39)&gt;1,_xlfn.CONCAT(A39," (",M39,")"),B39)</f>
        <v>Bāzhā Xiāng (Rìkāzé Shì)</v>
      </c>
      <c r="D39" t="s">
        <v>640</v>
      </c>
      <c r="E39" t="s">
        <v>7</v>
      </c>
      <c r="F39" t="str">
        <f>_xlfn.CONCAT(D39,", ",H39,", ",I39,", ","西藏自治区")</f>
        <v>巴扎乡, 白朗县, 日喀则市, 西藏自治区</v>
      </c>
      <c r="G39">
        <v>5134</v>
      </c>
      <c r="H39" t="s">
        <v>1460</v>
      </c>
      <c r="I39" t="s">
        <v>1458</v>
      </c>
      <c r="J39" t="e">
        <f>VLOOKUP(F39,[1]!china_towns_second__2[[Column1]:[Y]],3,FALSE)</f>
        <v>#N/A</v>
      </c>
      <c r="K39" t="e">
        <f>VLOOKUP(F39,[1]!china_towns_second__2[[Column1]:[Y]],2,FALSE)</f>
        <v>#N/A</v>
      </c>
      <c r="L39" t="s">
        <v>1699</v>
      </c>
      <c r="M39" t="str">
        <f>VLOOKUP(H39,CHOOSE({1,2},Table8[Native],Table8[Name]),2,0)</f>
        <v>Báilăng Xiàn</v>
      </c>
      <c r="N39" s="13" t="str">
        <f>VLOOKUP(I39,CHOOSE({1,2},Table8[Native],Table8[Name]),2,0)</f>
        <v>Rìkāzé Shì</v>
      </c>
      <c r="O39" s="13" t="str">
        <f t="shared" si="0"/>
        <v>Bazha Xiang (Rikaze Shi) (Rìkāzé Shì)</v>
      </c>
      <c r="P39" s="13" t="str">
        <f t="shared" si="1"/>
        <v>Bazha Xiang (Rikaze Shi) (Rìkāzé Shì)</v>
      </c>
    </row>
    <row r="40" spans="1:16" hidden="1" x14ac:dyDescent="0.25">
      <c r="A40" t="s">
        <v>514</v>
      </c>
      <c r="B40" t="str">
        <f>IF(COUNTIF(A:A,A40)&gt;1,_xlfn.CONCAT(A40," (",N40,")"),A40)</f>
        <v>Bèibēng Xiāng</v>
      </c>
      <c r="C40" t="str">
        <f>IF(COUNTIF(B:B,B40)&gt;1,_xlfn.CONCAT(A40," (",M40,")"),B40)</f>
        <v>Bèibēng Xiāng</v>
      </c>
      <c r="D40" t="s">
        <v>515</v>
      </c>
      <c r="E40" t="s">
        <v>7</v>
      </c>
      <c r="F40" t="str">
        <f>_xlfn.CONCAT(D40,", ",H40,", ",I40,", ","西藏自治区")</f>
        <v>背崩乡, 墨脱县, 林芝市, 西藏自治区</v>
      </c>
      <c r="G40">
        <v>2236</v>
      </c>
      <c r="H40" t="s">
        <v>1444</v>
      </c>
      <c r="I40" t="s">
        <v>1437</v>
      </c>
      <c r="J40" t="e">
        <f>VLOOKUP(F40,[1]!china_towns_second__2[[Column1]:[Y]],3,FALSE)</f>
        <v>#N/A</v>
      </c>
      <c r="K40" t="e">
        <f>VLOOKUP(F40,[1]!china_towns_second__2[[Column1]:[Y]],2,FALSE)</f>
        <v>#N/A</v>
      </c>
      <c r="L40" t="s">
        <v>1700</v>
      </c>
      <c r="M40" t="str">
        <f>VLOOKUP(H40,CHOOSE({1,2},Table8[Native],Table8[Name]),2,0)</f>
        <v>Mòtuō Xiàn</v>
      </c>
      <c r="N40" s="13" t="str">
        <f>VLOOKUP(I40,CHOOSE({1,2},Table8[Native],Table8[Name]),2,0)</f>
        <v>Línzhī Shì</v>
      </c>
      <c r="O40" s="13" t="str">
        <f t="shared" si="0"/>
        <v>Beibeng Xiang (Línzhī Shì)</v>
      </c>
      <c r="P40" s="13" t="str">
        <f t="shared" si="1"/>
        <v>Beibeng Xiang (Línzhī Shì)</v>
      </c>
    </row>
    <row r="41" spans="1:16" x14ac:dyDescent="0.25">
      <c r="A41" t="s">
        <v>642</v>
      </c>
      <c r="B41" t="str">
        <f>IF(COUNTIF(A:A,A41)&gt;1,_xlfn.CONCAT(A41," (",N41,")"),A41)</f>
        <v>Bĕilā Zhèn</v>
      </c>
      <c r="C41" t="str">
        <f>IF(COUNTIF(B:B,B41)&gt;1,_xlfn.CONCAT(A41," (",M41,")"),B41)</f>
        <v>Bĕilā Zhèn</v>
      </c>
      <c r="D41" t="s">
        <v>643</v>
      </c>
      <c r="E41" t="s">
        <v>17</v>
      </c>
      <c r="F41" t="str">
        <f>_xlfn.CONCAT(D41,", ",H41,", ",I41,", ","西藏自治区")</f>
        <v>北拉镇, 班戈县, 那曲市, 西藏自治区</v>
      </c>
      <c r="G41">
        <v>4656</v>
      </c>
      <c r="H41" t="s">
        <v>1447</v>
      </c>
      <c r="I41" t="s">
        <v>1445</v>
      </c>
      <c r="J41">
        <f>VLOOKUP(F41,[1]!china_towns_second__2[[Column1]:[Y]],3,FALSE)</f>
        <v>31.4113496989754</v>
      </c>
      <c r="K41">
        <f>VLOOKUP(F41,[1]!china_towns_second__2[[Column1]:[Y]],2,FALSE)</f>
        <v>90.768966719999995</v>
      </c>
      <c r="L41" t="s">
        <v>1701</v>
      </c>
      <c r="M41" t="str">
        <f>VLOOKUP(H41,CHOOSE({1,2},Table8[Native],Table8[Name]),2,0)</f>
        <v>Bāngē Xiàn</v>
      </c>
      <c r="N41" s="13" t="str">
        <f>VLOOKUP(I41,CHOOSE({1,2},Table8[Native],Table8[Name]),2,0)</f>
        <v>Nàqŭ Shì</v>
      </c>
      <c r="O41" s="13" t="str">
        <f t="shared" si="0"/>
        <v>Beila Zhen (Nàqŭ Shì)</v>
      </c>
      <c r="P41" s="13" t="str">
        <f t="shared" si="1"/>
        <v>Beila Zhen (Nàqŭ Shì)</v>
      </c>
    </row>
    <row r="42" spans="1:16" hidden="1" x14ac:dyDescent="0.25">
      <c r="A42" t="s">
        <v>644</v>
      </c>
      <c r="B42" t="str">
        <f>IF(COUNTIF(A:A,A42)&gt;1,_xlfn.CONCAT(A42," (",N42,")"),A42)</f>
        <v>Bĕntă Xiāng</v>
      </c>
      <c r="C42" t="str">
        <f>IF(COUNTIF(B:B,B42)&gt;1,_xlfn.CONCAT(A42," (",M42,")"),B42)</f>
        <v>Bĕntă Xiāng</v>
      </c>
      <c r="D42" t="s">
        <v>645</v>
      </c>
      <c r="E42" t="s">
        <v>7</v>
      </c>
      <c r="F42" t="str">
        <f>_xlfn.CONCAT(D42,", ",H42,", ",I42,", ","西藏自治区")</f>
        <v>本塔乡, 巴青县, 那曲市, 西藏自治区</v>
      </c>
      <c r="G42">
        <v>3670</v>
      </c>
      <c r="H42" t="s">
        <v>1448</v>
      </c>
      <c r="I42" t="s">
        <v>1445</v>
      </c>
      <c r="J42" t="e">
        <f>VLOOKUP(F42,[1]!china_towns_second__2[[Column1]:[Y]],3,FALSE)</f>
        <v>#N/A</v>
      </c>
      <c r="K42" t="e">
        <f>VLOOKUP(F42,[1]!china_towns_second__2[[Column1]:[Y]],2,FALSE)</f>
        <v>#N/A</v>
      </c>
      <c r="L42" t="s">
        <v>1702</v>
      </c>
      <c r="M42" t="str">
        <f>VLOOKUP(H42,CHOOSE({1,2},Table8[Native],Table8[Name]),2,0)</f>
        <v>Bāqīng Xiàn</v>
      </c>
      <c r="N42" s="13" t="str">
        <f>VLOOKUP(I42,CHOOSE({1,2},Table8[Native],Table8[Name]),2,0)</f>
        <v>Nàqŭ Shì</v>
      </c>
      <c r="O42" s="13" t="str">
        <f t="shared" si="0"/>
        <v>Benta Xiang (Nàqŭ Shì)</v>
      </c>
      <c r="P42" s="13" t="str">
        <f t="shared" si="1"/>
        <v>Benta Xiang (Nàqŭ Shì)</v>
      </c>
    </row>
    <row r="43" spans="1:16" hidden="1" x14ac:dyDescent="0.25">
      <c r="A43" t="s">
        <v>1250</v>
      </c>
      <c r="B43" t="str">
        <f>IF(COUNTIF(A:A,A43)&gt;1,_xlfn.CONCAT(A43," (",N43,")"),A43)</f>
        <v>Biānbā Xiāng</v>
      </c>
      <c r="C43" t="str">
        <f>IF(COUNTIF(B:B,B43)&gt;1,_xlfn.CONCAT(A43," (",M43,")"),B43)</f>
        <v>Biānbā Xiāng</v>
      </c>
      <c r="D43" t="s">
        <v>1251</v>
      </c>
      <c r="E43" t="s">
        <v>7</v>
      </c>
      <c r="F43" t="str">
        <f>_xlfn.CONCAT(D43,", ",H43,", ",I43,", ","西藏自治区")</f>
        <v>边巴乡, 洛扎县, 山南市, 西藏自治区</v>
      </c>
      <c r="G43">
        <v>1306</v>
      </c>
      <c r="H43" t="s">
        <v>1484</v>
      </c>
      <c r="I43" t="s">
        <v>1477</v>
      </c>
      <c r="J43" t="e">
        <f>VLOOKUP(F43,[1]!china_towns_second__2[[Column1]:[Y]],3,FALSE)</f>
        <v>#N/A</v>
      </c>
      <c r="K43" t="e">
        <f>VLOOKUP(F43,[1]!china_towns_second__2[[Column1]:[Y]],2,FALSE)</f>
        <v>#N/A</v>
      </c>
      <c r="L43" t="s">
        <v>1703</v>
      </c>
      <c r="M43" t="str">
        <f>VLOOKUP(H43,CHOOSE({1,2},Table8[Native],Table8[Name]),2,0)</f>
        <v>Luòzhā Xiàn</v>
      </c>
      <c r="N43" s="13" t="str">
        <f>VLOOKUP(I43,CHOOSE({1,2},Table8[Native],Table8[Name]),2,0)</f>
        <v>Shānnán Shì</v>
      </c>
      <c r="O43" s="13" t="str">
        <f t="shared" si="0"/>
        <v>Bianba Xiang (Shānnán Shì)</v>
      </c>
      <c r="P43" s="13" t="str">
        <f t="shared" si="1"/>
        <v>Bianba Xiang (Shānnán Shì)</v>
      </c>
    </row>
    <row r="44" spans="1:16" x14ac:dyDescent="0.25">
      <c r="A44" t="s">
        <v>113</v>
      </c>
      <c r="B44" t="str">
        <f>IF(COUNTIF(A:A,A44)&gt;1,_xlfn.CONCAT(A44," (",N44,")"),A44)</f>
        <v>Biānbà Zhèn</v>
      </c>
      <c r="C44" t="str">
        <f>IF(COUNTIF(B:B,B44)&gt;1,_xlfn.CONCAT(A44," (",M44,")"),B44)</f>
        <v>Biānbà Zhèn</v>
      </c>
      <c r="D44" t="s">
        <v>114</v>
      </c>
      <c r="E44" t="s">
        <v>17</v>
      </c>
      <c r="F44" t="str">
        <f>_xlfn.CONCAT(D44,", ",H44,", ",I44,", ","西藏自治区")</f>
        <v>边坝镇, 边坝县, 昌都市, 西藏自治区</v>
      </c>
      <c r="G44">
        <v>5032</v>
      </c>
      <c r="H44" t="s">
        <v>1417</v>
      </c>
      <c r="I44" t="s">
        <v>1415</v>
      </c>
      <c r="J44">
        <f>VLOOKUP(F44,[1]!china_towns_second__2[[Column1]:[Y]],3,FALSE)</f>
        <v>30.7162123201417</v>
      </c>
      <c r="K44">
        <f>VLOOKUP(F44,[1]!china_towns_second__2[[Column1]:[Y]],2,FALSE)</f>
        <v>94.831562579999996</v>
      </c>
      <c r="L44" t="s">
        <v>1704</v>
      </c>
      <c r="M44" t="str">
        <f>VLOOKUP(H44,CHOOSE({1,2},Table8[Native],Table8[Name]),2,0)</f>
        <v>Biānbà Xiàn</v>
      </c>
      <c r="N44" s="13" t="str">
        <f>VLOOKUP(I44,CHOOSE({1,2},Table8[Native],Table8[Name]),2,0)</f>
        <v>Chāngdū Shì</v>
      </c>
      <c r="O44" s="13" t="str">
        <f t="shared" si="0"/>
        <v>Bianba Zhen (Chāngdū Shì)</v>
      </c>
      <c r="P44" s="13" t="str">
        <f t="shared" si="1"/>
        <v>Bianba Zhen (Chāngdū Shì)</v>
      </c>
    </row>
    <row r="45" spans="1:16" hidden="1" x14ac:dyDescent="0.25">
      <c r="A45" t="s">
        <v>379</v>
      </c>
      <c r="B45" t="str">
        <f>IF(COUNTIF(A:A,A45)&gt;1,_xlfn.CONCAT(A45," (",N45,")"),A45)</f>
        <v>Biānjiāolín Xiāng</v>
      </c>
      <c r="C45" t="str">
        <f>IF(COUNTIF(B:B,B45)&gt;1,_xlfn.CONCAT(A45," (",M45,")"),B45)</f>
        <v>Biānjiāolín Xiāng</v>
      </c>
      <c r="D45" t="s">
        <v>380</v>
      </c>
      <c r="E45" t="s">
        <v>7</v>
      </c>
      <c r="F45" t="str">
        <f>_xlfn.CONCAT(D45,", ",H45,", ",I45,", ","西藏自治区")</f>
        <v>边交林乡, 林周县, 拉萨市, 西藏自治区</v>
      </c>
      <c r="G45">
        <v>4704</v>
      </c>
      <c r="H45" t="s">
        <v>1433</v>
      </c>
      <c r="I45" t="s">
        <v>1428</v>
      </c>
      <c r="J45" t="e">
        <f>VLOOKUP(F45,[1]!china_towns_second__2[[Column1]:[Y]],3,FALSE)</f>
        <v>#N/A</v>
      </c>
      <c r="K45" t="e">
        <f>VLOOKUP(F45,[1]!china_towns_second__2[[Column1]:[Y]],2,FALSE)</f>
        <v>#N/A</v>
      </c>
      <c r="L45" t="s">
        <v>1705</v>
      </c>
      <c r="M45" t="str">
        <f>VLOOKUP(H45,CHOOSE({1,2},Table8[Native],Table8[Name]),2,0)</f>
        <v>Línzhōu Xiàn</v>
      </c>
      <c r="N45" s="13" t="str">
        <f>VLOOKUP(I45,CHOOSE({1,2},Table8[Native],Table8[Name]),2,0)</f>
        <v>Lāsà Shì</v>
      </c>
      <c r="O45" s="13" t="str">
        <f t="shared" si="0"/>
        <v>Bianjiaolin Xiang (Lāsà Shì)</v>
      </c>
      <c r="P45" s="13" t="str">
        <f t="shared" si="1"/>
        <v>Bianjiaolin Xiang (Lāsà Shì)</v>
      </c>
    </row>
    <row r="46" spans="1:16" hidden="1" x14ac:dyDescent="0.25">
      <c r="A46" t="s">
        <v>848</v>
      </c>
      <c r="B46" t="str">
        <f>IF(COUNTIF(A:A,A46)&gt;1,_xlfn.CONCAT(A46," (",N46,")"),A46)</f>
        <v>Biānxióng Xiāng</v>
      </c>
      <c r="C46" t="str">
        <f>IF(COUNTIF(B:B,B46)&gt;1,_xlfn.CONCAT(A46," (",M46,")"),B46)</f>
        <v>Biānxióng Xiāng</v>
      </c>
      <c r="D46" t="s">
        <v>849</v>
      </c>
      <c r="E46" t="s">
        <v>7</v>
      </c>
      <c r="F46" t="str">
        <f>_xlfn.CONCAT(D46,", ",H46,", ",I46,", ","西藏自治区")</f>
        <v>边雄乡, 桑珠孜区, 日喀则市, 西藏自治区</v>
      </c>
      <c r="G46">
        <v>4106</v>
      </c>
      <c r="H46" t="s">
        <v>1473</v>
      </c>
      <c r="I46" t="s">
        <v>1458</v>
      </c>
      <c r="J46" t="e">
        <f>VLOOKUP(F46,[1]!china_towns_second__2[[Column1]:[Y]],3,FALSE)</f>
        <v>#N/A</v>
      </c>
      <c r="K46" t="e">
        <f>VLOOKUP(F46,[1]!china_towns_second__2[[Column1]:[Y]],2,FALSE)</f>
        <v>#N/A</v>
      </c>
      <c r="L46" t="s">
        <v>1706</v>
      </c>
      <c r="M46" t="str">
        <f>VLOOKUP(H46,CHOOSE({1,2},Table8[Native],Table8[Name]),2,0)</f>
        <v>Sāngzhūzī Qū</v>
      </c>
      <c r="N46" s="13" t="str">
        <f>VLOOKUP(I46,CHOOSE({1,2},Table8[Native],Table8[Name]),2,0)</f>
        <v>Rìkāzé Shì</v>
      </c>
      <c r="O46" s="13" t="str">
        <f t="shared" si="0"/>
        <v>Bianxiong Xiang (Rìkāzé Shì)</v>
      </c>
      <c r="P46" s="13" t="str">
        <f t="shared" si="1"/>
        <v>Bianxiong Xiang (Rìkāzé Shì)</v>
      </c>
    </row>
    <row r="47" spans="1:16" hidden="1" x14ac:dyDescent="0.25">
      <c r="A47" t="s">
        <v>116</v>
      </c>
      <c r="B47" t="str">
        <f>IF(COUNTIF(A:A,A47)&gt;1,_xlfn.CONCAT(A47," (",N47,")"),A47)</f>
        <v>Bīndá Xiāng</v>
      </c>
      <c r="C47" t="str">
        <f>IF(COUNTIF(B:B,B47)&gt;1,_xlfn.CONCAT(A47," (",M47,")"),B47)</f>
        <v>Bīndá Xiāng</v>
      </c>
      <c r="D47" t="s">
        <v>117</v>
      </c>
      <c r="E47" t="s">
        <v>7</v>
      </c>
      <c r="F47" t="str">
        <f>_xlfn.CONCAT(D47,", ",H47,", ",I47,", ","西藏自治区")</f>
        <v>宾达乡, 类乌齐县, 昌都市, 西藏自治区</v>
      </c>
      <c r="G47">
        <v>2556</v>
      </c>
      <c r="H47" t="s">
        <v>1424</v>
      </c>
      <c r="I47" t="s">
        <v>1415</v>
      </c>
      <c r="J47" t="e">
        <f>VLOOKUP(F47,[1]!china_towns_second__2[[Column1]:[Y]],3,FALSE)</f>
        <v>#N/A</v>
      </c>
      <c r="K47" t="e">
        <f>VLOOKUP(F47,[1]!china_towns_second__2[[Column1]:[Y]],2,FALSE)</f>
        <v>#N/A</v>
      </c>
      <c r="L47" t="s">
        <v>1707</v>
      </c>
      <c r="M47" t="str">
        <f>VLOOKUP(H47,CHOOSE({1,2},Table8[Native],Table8[Name]),2,0)</f>
        <v>Lèiwūqí Xiàn</v>
      </c>
      <c r="N47" s="13" t="str">
        <f>VLOOKUP(I47,CHOOSE({1,2},Table8[Native],Table8[Name]),2,0)</f>
        <v>Chāngdū Shì</v>
      </c>
      <c r="O47" s="13" t="str">
        <f t="shared" si="0"/>
        <v>Binda Xiang (Chāngdū Shì)</v>
      </c>
      <c r="P47" s="13" t="str">
        <f t="shared" si="1"/>
        <v>Binda Xiang (Chāngdū Shì)</v>
      </c>
    </row>
    <row r="48" spans="1:16" x14ac:dyDescent="0.25">
      <c r="A48" t="s">
        <v>646</v>
      </c>
      <c r="B48" t="str">
        <f>IF(COUNTIF(A:A,A48)&gt;1,_xlfn.CONCAT(A48," (",N48,")"),A48)</f>
        <v>Bĭrú Zhèn</v>
      </c>
      <c r="C48" t="str">
        <f>IF(COUNTIF(B:B,B48)&gt;1,_xlfn.CONCAT(A48," (",M48,")"),B48)</f>
        <v>Bĭrú Zhèn</v>
      </c>
      <c r="D48" t="s">
        <v>647</v>
      </c>
      <c r="E48" t="s">
        <v>17</v>
      </c>
      <c r="F48" t="str">
        <f>_xlfn.CONCAT(D48,", ",H48,", ",I48,", ","西藏自治区")</f>
        <v>比如镇, 比如县, 那曲市, 西藏自治区</v>
      </c>
      <c r="G48">
        <v>10709</v>
      </c>
      <c r="H48" t="s">
        <v>1449</v>
      </c>
      <c r="I48" t="s">
        <v>1445</v>
      </c>
      <c r="J48">
        <f>VLOOKUP(F48,[1]!china_towns_second__2[[Column1]:[Y]],3,FALSE)</f>
        <v>31.476575362998801</v>
      </c>
      <c r="K48">
        <f>VLOOKUP(F48,[1]!china_towns_second__2[[Column1]:[Y]],2,FALSE)</f>
        <v>93.607669090000002</v>
      </c>
      <c r="L48" t="s">
        <v>1708</v>
      </c>
      <c r="M48" t="str">
        <f>VLOOKUP(H48,CHOOSE({1,2},Table8[Native],Table8[Name]),2,0)</f>
        <v>Bĭrú Xiàn</v>
      </c>
      <c r="N48" s="13" t="str">
        <f>VLOOKUP(I48,CHOOSE({1,2},Table8[Native],Table8[Name]),2,0)</f>
        <v>Nàqŭ Shì</v>
      </c>
      <c r="O48" s="13" t="str">
        <f t="shared" si="0"/>
        <v>Biru Zhen (Nàqŭ Shì)</v>
      </c>
      <c r="P48" s="13" t="str">
        <f t="shared" si="1"/>
        <v>Biru Zhen (Nàqŭ Shì)</v>
      </c>
    </row>
    <row r="49" spans="1:16" hidden="1" x14ac:dyDescent="0.25">
      <c r="A49" t="s">
        <v>119</v>
      </c>
      <c r="B49" t="str">
        <f>IF(COUNTIF(A:A,A49)&gt;1,_xlfn.CONCAT(A49," (",N49,")"),A49)</f>
        <v>Bìtŭ Xiāng</v>
      </c>
      <c r="C49" t="str">
        <f>IF(COUNTIF(B:B,B49)&gt;1,_xlfn.CONCAT(A49," (",M49,")"),B49)</f>
        <v>Bìtŭ Xiāng</v>
      </c>
      <c r="D49" t="s">
        <v>120</v>
      </c>
      <c r="E49" t="s">
        <v>7</v>
      </c>
      <c r="F49" t="str">
        <f>_xlfn.CONCAT(D49,", ",H49,", ",I49,", ","西藏自治区")</f>
        <v>碧土乡, 左贡县, 昌都市, 西藏自治区</v>
      </c>
      <c r="G49">
        <v>2233</v>
      </c>
      <c r="H49" t="s">
        <v>1427</v>
      </c>
      <c r="I49" t="s">
        <v>1415</v>
      </c>
      <c r="J49" t="e">
        <f>VLOOKUP(F49,[1]!china_towns_second__2[[Column1]:[Y]],3,FALSE)</f>
        <v>#N/A</v>
      </c>
      <c r="K49" t="e">
        <f>VLOOKUP(F49,[1]!china_towns_second__2[[Column1]:[Y]],2,FALSE)</f>
        <v>#N/A</v>
      </c>
      <c r="L49" t="s">
        <v>1709</v>
      </c>
      <c r="M49" t="str">
        <f>VLOOKUP(H49,CHOOSE({1,2},Table8[Native],Table8[Name]),2,0)</f>
        <v>Zuŏgòng Xiàn</v>
      </c>
      <c r="N49" s="13" t="str">
        <f>VLOOKUP(I49,CHOOSE({1,2},Table8[Native],Table8[Name]),2,0)</f>
        <v>Chāngdū Shì</v>
      </c>
      <c r="O49" s="13" t="str">
        <f t="shared" si="0"/>
        <v>Bitu Xiang (Chāngdū Shì)</v>
      </c>
      <c r="P49" s="13" t="str">
        <f t="shared" si="1"/>
        <v>Bitu Xiang (Chāngdū Shì)</v>
      </c>
    </row>
    <row r="50" spans="1:16" hidden="1" x14ac:dyDescent="0.25">
      <c r="A50" t="s">
        <v>122</v>
      </c>
      <c r="B50" t="str">
        <f>IF(COUNTIF(A:A,A50)&gt;1,_xlfn.CONCAT(A50," (",N50,")"),A50)</f>
        <v>Bōluó Xiāng</v>
      </c>
      <c r="C50" t="str">
        <f>IF(COUNTIF(B:B,B50)&gt;1,_xlfn.CONCAT(A50," (",M50,")"),B50)</f>
        <v>Bōluó Xiāng</v>
      </c>
      <c r="D50" t="s">
        <v>123</v>
      </c>
      <c r="E50" t="s">
        <v>7</v>
      </c>
      <c r="F50" t="str">
        <f>_xlfn.CONCAT(D50,", ",H50,", ",I50,", ","西藏自治区")</f>
        <v>波罗乡, 江达县, 昌都市, 西藏自治区</v>
      </c>
      <c r="G50">
        <v>7306</v>
      </c>
      <c r="H50" t="s">
        <v>1421</v>
      </c>
      <c r="I50" t="s">
        <v>1415</v>
      </c>
      <c r="J50" t="e">
        <f>VLOOKUP(F50,[1]!china_towns_second__2[[Column1]:[Y]],3,FALSE)</f>
        <v>#N/A</v>
      </c>
      <c r="K50" t="e">
        <f>VLOOKUP(F50,[1]!china_towns_second__2[[Column1]:[Y]],2,FALSE)</f>
        <v>#N/A</v>
      </c>
      <c r="L50" t="s">
        <v>1710</v>
      </c>
      <c r="M50" t="str">
        <f>VLOOKUP(H50,CHOOSE({1,2},Table8[Native],Table8[Name]),2,0)</f>
        <v>Jiāngdá Xiàn</v>
      </c>
      <c r="N50" s="13" t="str">
        <f>VLOOKUP(I50,CHOOSE({1,2},Table8[Native],Table8[Name]),2,0)</f>
        <v>Chāngdū Shì</v>
      </c>
      <c r="O50" s="13" t="str">
        <f t="shared" si="0"/>
        <v>Boluo Xiang (Chāngdū Shì)</v>
      </c>
      <c r="P50" s="13" t="str">
        <f t="shared" si="1"/>
        <v>Boluo Xiang (Chāngdū Shì)</v>
      </c>
    </row>
    <row r="51" spans="1:16" hidden="1" x14ac:dyDescent="0.25">
      <c r="A51" t="s">
        <v>851</v>
      </c>
      <c r="B51" t="str">
        <f>IF(COUNTIF(A:A,A51)&gt;1,_xlfn.CONCAT(A51," (",N51,")"),A51)</f>
        <v>Bōróng Xiāng</v>
      </c>
      <c r="C51" t="str">
        <f>IF(COUNTIF(B:B,B51)&gt;1,_xlfn.CONCAT(A51," (",M51,")"),B51)</f>
        <v>Bōróng Xiāng</v>
      </c>
      <c r="D51" t="s">
        <v>852</v>
      </c>
      <c r="E51" t="s">
        <v>7</v>
      </c>
      <c r="F51" t="str">
        <f>_xlfn.CONCAT(D51,", ",H51,", ",I51,", ","西藏自治区")</f>
        <v>波绒乡, 聂拉木县, 日喀则市, 西藏自治区</v>
      </c>
      <c r="G51">
        <v>2370</v>
      </c>
      <c r="H51" t="s">
        <v>1469</v>
      </c>
      <c r="I51" t="s">
        <v>1458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1711</v>
      </c>
      <c r="M51" t="str">
        <f>VLOOKUP(H51,CHOOSE({1,2},Table8[Native],Table8[Name]),2,0)</f>
        <v>Nièlāmù Xiàn</v>
      </c>
      <c r="N51" s="13" t="str">
        <f>VLOOKUP(I51,CHOOSE({1,2},Table8[Native],Table8[Name]),2,0)</f>
        <v>Rìkāzé Shì</v>
      </c>
      <c r="O51" s="13" t="str">
        <f t="shared" si="0"/>
        <v>Borong Xiang (Rìkāzé Shì)</v>
      </c>
      <c r="P51" s="13" t="str">
        <f t="shared" si="1"/>
        <v>Borong Xiang (Rìkāzé Shì)</v>
      </c>
    </row>
    <row r="52" spans="1:16" hidden="1" x14ac:dyDescent="0.25">
      <c r="A52" t="s">
        <v>854</v>
      </c>
      <c r="B52" t="str">
        <f>IF(COUNTIF(A:A,A52)&gt;1,_xlfn.CONCAT(A52," (",N52,")"),A52)</f>
        <v>Bùduō Xiāng</v>
      </c>
      <c r="C52" t="str">
        <f>IF(COUNTIF(B:B,B52)&gt;1,_xlfn.CONCAT(A52," (",M52,")"),B52)</f>
        <v>Bùduō Xiāng</v>
      </c>
      <c r="D52" t="s">
        <v>855</v>
      </c>
      <c r="E52" t="s">
        <v>7</v>
      </c>
      <c r="F52" t="str">
        <f>_xlfn.CONCAT(D52,", ",H52,", ",I52,", ","西藏自治区")</f>
        <v>布多乡, 仲巴县, 日喀则市, 西藏自治区</v>
      </c>
      <c r="G52">
        <v>630</v>
      </c>
      <c r="H52" t="s">
        <v>1476</v>
      </c>
      <c r="I52" t="s">
        <v>1458</v>
      </c>
      <c r="J52" t="e">
        <f>VLOOKUP(F52,[1]!china_towns_second__2[[Column1]:[Y]],3,FALSE)</f>
        <v>#N/A</v>
      </c>
      <c r="K52" t="e">
        <f>VLOOKUP(F52,[1]!china_towns_second__2[[Column1]:[Y]],2,FALSE)</f>
        <v>#N/A</v>
      </c>
      <c r="L52" t="s">
        <v>1712</v>
      </c>
      <c r="M52" t="str">
        <f>VLOOKUP(H52,CHOOSE({1,2},Table8[Native],Table8[Name]),2,0)</f>
        <v>Zhòngbā Xiàn</v>
      </c>
      <c r="N52" s="13" t="str">
        <f>VLOOKUP(I52,CHOOSE({1,2},Table8[Native],Table8[Name]),2,0)</f>
        <v>Rìkāzé Shì</v>
      </c>
      <c r="O52" s="13" t="str">
        <f t="shared" si="0"/>
        <v>Buduo Xiang (Rìkāzé Shì)</v>
      </c>
      <c r="P52" s="13" t="str">
        <f t="shared" si="1"/>
        <v>Buduo Xiang (Rìkāzé Shì)</v>
      </c>
    </row>
    <row r="53" spans="1:16" hidden="1" x14ac:dyDescent="0.25">
      <c r="A53" t="s">
        <v>516</v>
      </c>
      <c r="B53" t="str">
        <f>IF(COUNTIF(A:A,A53)&gt;1,_xlfn.CONCAT(A53," (",N53,")"),A53)</f>
        <v>Bùjiŭ Xiāng</v>
      </c>
      <c r="C53" t="str">
        <f>IF(COUNTIF(B:B,B53)&gt;1,_xlfn.CONCAT(A53," (",M53,")"),B53)</f>
        <v>Bùjiŭ Xiāng</v>
      </c>
      <c r="D53" t="s">
        <v>517</v>
      </c>
      <c r="E53" t="s">
        <v>7</v>
      </c>
      <c r="F53" t="str">
        <f>_xlfn.CONCAT(D53,", ",H53,", ",I53,", ","西藏自治区")</f>
        <v>布久乡, 巴宜区, 林芝市, 西藏自治区</v>
      </c>
      <c r="G53">
        <v>3128</v>
      </c>
      <c r="H53" t="s">
        <v>1438</v>
      </c>
      <c r="I53" t="s">
        <v>1437</v>
      </c>
      <c r="J53" t="e">
        <f>VLOOKUP(F53,[1]!china_towns_second__2[[Column1]:[Y]],3,FALSE)</f>
        <v>#N/A</v>
      </c>
      <c r="K53" t="e">
        <f>VLOOKUP(F53,[1]!china_towns_second__2[[Column1]:[Y]],2,FALSE)</f>
        <v>#N/A</v>
      </c>
      <c r="L53" t="s">
        <v>1713</v>
      </c>
      <c r="M53" t="str">
        <f>VLOOKUP(H53,CHOOSE({1,2},Table8[Native],Table8[Name]),2,0)</f>
        <v>Bāyí Qū</v>
      </c>
      <c r="N53" s="13" t="str">
        <f>VLOOKUP(I53,CHOOSE({1,2},Table8[Native],Table8[Name]),2,0)</f>
        <v>Línzhī Shì</v>
      </c>
      <c r="O53" s="13" t="str">
        <f t="shared" si="0"/>
        <v>Bujiu Xiang (Línzhī Shì)</v>
      </c>
      <c r="P53" s="13" t="str">
        <f t="shared" si="1"/>
        <v>Bujiu Xiang (Línzhī Shì)</v>
      </c>
    </row>
    <row r="54" spans="1:16" hidden="1" x14ac:dyDescent="0.25">
      <c r="A54" t="s">
        <v>125</v>
      </c>
      <c r="B54" t="str">
        <f>IF(COUNTIF(A:A,A54)&gt;1,_xlfn.CONCAT(A54," (",N54,")"),A54)</f>
        <v>Bùtă Xiāng</v>
      </c>
      <c r="C54" t="str">
        <f>IF(COUNTIF(B:B,B54)&gt;1,_xlfn.CONCAT(A54," (",M54,")"),B54)</f>
        <v>Bùtă Xiāng</v>
      </c>
      <c r="D54" t="s">
        <v>126</v>
      </c>
      <c r="E54" t="s">
        <v>7</v>
      </c>
      <c r="F54" t="str">
        <f>_xlfn.CONCAT(D54,", ",H54,", ",I54,", ","西藏自治区")</f>
        <v>布塔乡, 丁青县, 昌都市, 西藏自治区</v>
      </c>
      <c r="G54">
        <v>2259</v>
      </c>
      <c r="H54" t="s">
        <v>1419</v>
      </c>
      <c r="I54" t="s">
        <v>1415</v>
      </c>
      <c r="J54" t="e">
        <f>VLOOKUP(F54,[1]!china_towns_second__2[[Column1]:[Y]],3,FALSE)</f>
        <v>#N/A</v>
      </c>
      <c r="K54" t="e">
        <f>VLOOKUP(F54,[1]!china_towns_second__2[[Column1]:[Y]],2,FALSE)</f>
        <v>#N/A</v>
      </c>
      <c r="L54" t="s">
        <v>1714</v>
      </c>
      <c r="M54" t="str">
        <f>VLOOKUP(H54,CHOOSE({1,2},Table8[Native],Table8[Name]),2,0)</f>
        <v>Dīngqīng Xiàn</v>
      </c>
      <c r="N54" s="13" t="str">
        <f>VLOOKUP(I54,CHOOSE({1,2},Table8[Native],Table8[Name]),2,0)</f>
        <v>Chāngdū Shì</v>
      </c>
      <c r="O54" s="13" t="str">
        <f t="shared" si="0"/>
        <v>Buta Xiang (Chāngdū Shì)</v>
      </c>
      <c r="P54" s="13" t="str">
        <f t="shared" si="1"/>
        <v>Buta Xiang (Chāngdū Shì)</v>
      </c>
    </row>
    <row r="55" spans="1:16" hidden="1" x14ac:dyDescent="0.25">
      <c r="A55" t="s">
        <v>381</v>
      </c>
      <c r="B55" t="str">
        <f>IF(COUNTIF(A:A,A55)&gt;1,_xlfn.CONCAT(A55," (",N55,")"),A55)</f>
        <v>Càigōngtáng Jiēdào</v>
      </c>
      <c r="C55" t="str">
        <f>IF(COUNTIF(B:B,B55)&gt;1,_xlfn.CONCAT(A55," (",M55,")"),B55)</f>
        <v>Càigōngtáng Jiēdào</v>
      </c>
      <c r="D55" t="s">
        <v>382</v>
      </c>
      <c r="E55" t="s">
        <v>374</v>
      </c>
      <c r="F55" t="str">
        <f>_xlfn.CONCAT(D55,", ",H55,", ",I55,", ","西藏自治区")</f>
        <v>蔡公堂街道, 城关区, 拉萨市, 西藏自治区</v>
      </c>
      <c r="G55">
        <v>8800</v>
      </c>
      <c r="H55" t="s">
        <v>1429</v>
      </c>
      <c r="I55" t="s">
        <v>1428</v>
      </c>
      <c r="J55" t="e">
        <f>VLOOKUP(F55,[1]!china_towns_second__2[[Column1]:[Y]],3,FALSE)</f>
        <v>#N/A</v>
      </c>
      <c r="K55" t="e">
        <f>VLOOKUP(F55,[1]!china_towns_second__2[[Column1]:[Y]],2,FALSE)</f>
        <v>#N/A</v>
      </c>
      <c r="L55" t="s">
        <v>1715</v>
      </c>
      <c r="M55" t="str">
        <f>VLOOKUP(H55,CHOOSE({1,2},Table8[Native],Table8[Name]),2,0)</f>
        <v>Chéngguān Qū</v>
      </c>
      <c r="N55" s="13" t="str">
        <f>VLOOKUP(I55,CHOOSE({1,2},Table8[Native],Table8[Name]),2,0)</f>
        <v>Lāsà Shì</v>
      </c>
      <c r="O55" s="13" t="str">
        <f t="shared" si="0"/>
        <v>Caigongtang Jiedao (Lāsà Shì)</v>
      </c>
      <c r="P55" s="13" t="str">
        <f t="shared" si="1"/>
        <v>Caigongtang Jiedao (Lāsà Shì)</v>
      </c>
    </row>
    <row r="56" spans="1:16" hidden="1" x14ac:dyDescent="0.25">
      <c r="A56" t="s">
        <v>383</v>
      </c>
      <c r="B56" t="str">
        <f>IF(COUNTIF(A:A,A56)&gt;1,_xlfn.CONCAT(A56," (",N56,")"),A56)</f>
        <v>Cáinà Xiāng</v>
      </c>
      <c r="C56" t="str">
        <f>IF(COUNTIF(B:B,B56)&gt;1,_xlfn.CONCAT(A56," (",M56,")"),B56)</f>
        <v>Cáinà Xiāng</v>
      </c>
      <c r="D56" t="s">
        <v>384</v>
      </c>
      <c r="E56" t="s">
        <v>7</v>
      </c>
      <c r="F56" t="str">
        <f>_xlfn.CONCAT(D56,", ",H56,", ",I56,", ","西藏自治区")</f>
        <v>才纳乡, 曲水县, 拉萨市, 西藏自治区</v>
      </c>
      <c r="G56">
        <v>4471</v>
      </c>
      <c r="H56" t="s">
        <v>1436</v>
      </c>
      <c r="I56" t="s">
        <v>1428</v>
      </c>
      <c r="J56" t="e">
        <f>VLOOKUP(F56,[1]!china_towns_second__2[[Column1]:[Y]],3,FALSE)</f>
        <v>#N/A</v>
      </c>
      <c r="K56" t="e">
        <f>VLOOKUP(F56,[1]!china_towns_second__2[[Column1]:[Y]],2,FALSE)</f>
        <v>#N/A</v>
      </c>
      <c r="L56" t="s">
        <v>1716</v>
      </c>
      <c r="M56" t="str">
        <f>VLOOKUP(H56,CHOOSE({1,2},Table8[Native],Table8[Name]),2,0)</f>
        <v>Qŭshuĭ Xiàn</v>
      </c>
      <c r="N56" s="13" t="str">
        <f>VLOOKUP(I56,CHOOSE({1,2},Table8[Native],Table8[Name]),2,0)</f>
        <v>Lāsà Shì</v>
      </c>
      <c r="O56" s="13" t="str">
        <f t="shared" si="0"/>
        <v>Caina Xiang (Lāsà Shì)</v>
      </c>
      <c r="P56" s="13" t="str">
        <f t="shared" si="1"/>
        <v>Caina Xiang (Lāsà Shì)</v>
      </c>
    </row>
    <row r="57" spans="1:16" x14ac:dyDescent="0.25">
      <c r="A57" t="s">
        <v>127</v>
      </c>
      <c r="B57" t="str">
        <f>IF(COUNTIF(A:A,A57)&gt;1,_xlfn.CONCAT(A57," (",N57,")"),A57)</f>
        <v>Căokă Zhèn</v>
      </c>
      <c r="C57" t="str">
        <f>IF(COUNTIF(B:B,B57)&gt;1,_xlfn.CONCAT(A57," (",M57,")"),B57)</f>
        <v>Căokă Zhèn</v>
      </c>
      <c r="D57" t="s">
        <v>128</v>
      </c>
      <c r="E57" t="s">
        <v>17</v>
      </c>
      <c r="F57" t="str">
        <f>_xlfn.CONCAT(D57,", ",H57,", ",I57,", ","西藏自治区")</f>
        <v>草卡镇, 边坝县, 昌都市, 西藏自治区</v>
      </c>
      <c r="G57">
        <v>7250</v>
      </c>
      <c r="H57" t="s">
        <v>1417</v>
      </c>
      <c r="I57" t="s">
        <v>1415</v>
      </c>
      <c r="J57">
        <f>VLOOKUP(F57,[1]!china_towns_second__2[[Column1]:[Y]],3,FALSE)</f>
        <v>30.909015113741599</v>
      </c>
      <c r="K57">
        <f>VLOOKUP(F57,[1]!china_towns_second__2[[Column1]:[Y]],2,FALSE)</f>
        <v>94.708927169999995</v>
      </c>
      <c r="L57" t="s">
        <v>1717</v>
      </c>
      <c r="M57" t="str">
        <f>VLOOKUP(H57,CHOOSE({1,2},Table8[Native],Table8[Name]),2,0)</f>
        <v>Biānbà Xiàn</v>
      </c>
      <c r="N57" s="13" t="str">
        <f>VLOOKUP(I57,CHOOSE({1,2},Table8[Native],Table8[Name]),2,0)</f>
        <v>Chāngdū Shì</v>
      </c>
      <c r="O57" s="13" t="str">
        <f t="shared" si="0"/>
        <v>Caoka Zhen (Chāngdū Shì)</v>
      </c>
      <c r="P57" s="13" t="str">
        <f t="shared" si="1"/>
        <v>Caoka Zhen (Chāngdū Shì)</v>
      </c>
    </row>
    <row r="58" spans="1:16" hidden="1" x14ac:dyDescent="0.25">
      <c r="A58" t="s">
        <v>857</v>
      </c>
      <c r="B58" t="str">
        <f>IF(COUNTIF(A:A,A58)&gt;1,_xlfn.CONCAT(A58," (",N58,")"),A58)</f>
        <v>Chábā Xiāng</v>
      </c>
      <c r="C58" t="str">
        <f>IF(COUNTIF(B:B,B58)&gt;1,_xlfn.CONCAT(A58," (",M58,")"),B58)</f>
        <v>Chábā Xiāng</v>
      </c>
      <c r="D58" t="s">
        <v>858</v>
      </c>
      <c r="E58" t="s">
        <v>7</v>
      </c>
      <c r="F58" t="str">
        <f>_xlfn.CONCAT(D58,", ",H58,", ",I58,", ","西藏自治区")</f>
        <v>查巴乡, 仁布县, 日喀则市, 西藏自治区</v>
      </c>
      <c r="G58">
        <v>3876</v>
      </c>
      <c r="H58" t="s">
        <v>1470</v>
      </c>
      <c r="I58" t="s">
        <v>1458</v>
      </c>
      <c r="J58" t="e">
        <f>VLOOKUP(F58,[1]!china_towns_second__2[[Column1]:[Y]],3,FALSE)</f>
        <v>#N/A</v>
      </c>
      <c r="K58" t="e">
        <f>VLOOKUP(F58,[1]!china_towns_second__2[[Column1]:[Y]],2,FALSE)</f>
        <v>#N/A</v>
      </c>
      <c r="L58" t="s">
        <v>1718</v>
      </c>
      <c r="M58" t="str">
        <f>VLOOKUP(H58,CHOOSE({1,2},Table8[Native],Table8[Name]),2,0)</f>
        <v>Rénbù Xiàn</v>
      </c>
      <c r="N58" s="13" t="str">
        <f>VLOOKUP(I58,CHOOSE({1,2},Table8[Native],Table8[Name]),2,0)</f>
        <v>Rìkāzé Shì</v>
      </c>
      <c r="O58" s="13" t="str">
        <f t="shared" si="0"/>
        <v>Chaba Xiang (Rìkāzé Shì)</v>
      </c>
      <c r="P58" s="13" t="str">
        <f t="shared" si="1"/>
        <v>Chaba Xiang (Rìkāzé Shì)</v>
      </c>
    </row>
    <row r="59" spans="1:16" hidden="1" x14ac:dyDescent="0.25">
      <c r="A59" t="s">
        <v>386</v>
      </c>
      <c r="B59" t="str">
        <f>IF(COUNTIF(A:A,A59)&gt;1,_xlfn.CONCAT(A59," (",N59,")"),A59)</f>
        <v>Chábālā Xiāng</v>
      </c>
      <c r="C59" t="str">
        <f>IF(COUNTIF(B:B,B59)&gt;1,_xlfn.CONCAT(A59," (",M59,")"),B59)</f>
        <v>Chábālā Xiāng</v>
      </c>
      <c r="D59" t="s">
        <v>387</v>
      </c>
      <c r="E59" t="s">
        <v>7</v>
      </c>
      <c r="F59" t="str">
        <f>_xlfn.CONCAT(D59,", ",H59,", ",I59,", ","西藏自治区")</f>
        <v>茶巴拉乡, 曲水县, 拉萨市, 西藏自治区</v>
      </c>
      <c r="G59">
        <v>3586</v>
      </c>
      <c r="H59" t="s">
        <v>1436</v>
      </c>
      <c r="I59" t="s">
        <v>1428</v>
      </c>
      <c r="J59" t="e">
        <f>VLOOKUP(F59,[1]!china_towns_second__2[[Column1]:[Y]],3,FALSE)</f>
        <v>#N/A</v>
      </c>
      <c r="K59" t="e">
        <f>VLOOKUP(F59,[1]!china_towns_second__2[[Column1]:[Y]],2,FALSE)</f>
        <v>#N/A</v>
      </c>
      <c r="L59" t="s">
        <v>1719</v>
      </c>
      <c r="M59" t="str">
        <f>VLOOKUP(H59,CHOOSE({1,2},Table8[Native],Table8[Name]),2,0)</f>
        <v>Qŭshuĭ Xiàn</v>
      </c>
      <c r="N59" s="13" t="str">
        <f>VLOOKUP(I59,CHOOSE({1,2},Table8[Native],Table8[Name]),2,0)</f>
        <v>Lāsà Shì</v>
      </c>
      <c r="O59" s="13" t="str">
        <f t="shared" si="0"/>
        <v>Chabala Xiang (Lāsà Shì)</v>
      </c>
      <c r="P59" s="13" t="str">
        <f t="shared" si="1"/>
        <v>Chabala Xiang (Lāsà Shì)</v>
      </c>
    </row>
    <row r="60" spans="1:16" hidden="1" x14ac:dyDescent="0.25">
      <c r="A60" t="s">
        <v>9</v>
      </c>
      <c r="B60" t="str">
        <f>IF(COUNTIF(A:A,A60)&gt;1,_xlfn.CONCAT(A60," (",N60,")"),A60)</f>
        <v>Chábù Xiāng (Ālĭ Dìqū)</v>
      </c>
      <c r="C60" t="str">
        <f>IF(COUNTIF(B:B,B60)&gt;1,_xlfn.CONCAT(A60," (",M60,")"),B60)</f>
        <v>Chábù Xiāng (Ālĭ Dìqū)</v>
      </c>
      <c r="D60" t="s">
        <v>10</v>
      </c>
      <c r="E60" t="s">
        <v>7</v>
      </c>
      <c r="F60" t="str">
        <f>_xlfn.CONCAT(D60,", ",H60,", ",I60,", ","西藏自治区")</f>
        <v>察布乡, 改则县, 阿里地区, 西藏自治区</v>
      </c>
      <c r="G60">
        <v>3719</v>
      </c>
      <c r="H60" t="s">
        <v>1409</v>
      </c>
      <c r="I60" t="s">
        <v>1405</v>
      </c>
      <c r="J60" t="e">
        <f>VLOOKUP(F60,[1]!china_towns_second__2[[Column1]:[Y]],3,FALSE)</f>
        <v>#N/A</v>
      </c>
      <c r="K60" t="e">
        <f>VLOOKUP(F60,[1]!china_towns_second__2[[Column1]:[Y]],2,FALSE)</f>
        <v>#N/A</v>
      </c>
      <c r="L60" t="s">
        <v>1720</v>
      </c>
      <c r="M60" t="str">
        <f>VLOOKUP(H60,CHOOSE({1,2},Table8[Native],Table8[Name]),2,0)</f>
        <v>Găizé Xiàn</v>
      </c>
      <c r="N60" s="13" t="str">
        <f>VLOOKUP(I60,CHOOSE({1,2},Table8[Native],Table8[Name]),2,0)</f>
        <v>Ālĭ Dìqū</v>
      </c>
      <c r="O60" s="13" t="str">
        <f t="shared" si="0"/>
        <v>Chabu Xiang (Ali Diqu) (Ālĭ Dìqū)</v>
      </c>
      <c r="P60" s="13" t="str">
        <f t="shared" si="1"/>
        <v>Chabu Xiang (Ali Diqu) (Ālĭ Dìqū)</v>
      </c>
    </row>
    <row r="61" spans="1:16" hidden="1" x14ac:dyDescent="0.25">
      <c r="A61" t="s">
        <v>9</v>
      </c>
      <c r="B61" t="str">
        <f>IF(COUNTIF(A:A,A61)&gt;1,_xlfn.CONCAT(A61," (",N61,")"),A61)</f>
        <v>Chábù Xiāng (Rìkāzé Shì)</v>
      </c>
      <c r="C61" t="str">
        <f>IF(COUNTIF(B:B,B61)&gt;1,_xlfn.CONCAT(A61," (",M61,")"),B61)</f>
        <v>Chábù Xiāng (Rìkāzé Shì)</v>
      </c>
      <c r="D61" t="s">
        <v>860</v>
      </c>
      <c r="E61" t="s">
        <v>7</v>
      </c>
      <c r="F61" t="str">
        <f>_xlfn.CONCAT(D61,", ",H61,", ",I61,", ","西藏自治区")</f>
        <v>查布乡, 谢通门县, 日喀则市, 西藏自治区</v>
      </c>
      <c r="G61">
        <v>1666</v>
      </c>
      <c r="H61" t="s">
        <v>1474</v>
      </c>
      <c r="I61" t="s">
        <v>1458</v>
      </c>
      <c r="J61" t="e">
        <f>VLOOKUP(F61,[1]!china_towns_second__2[[Column1]:[Y]],3,FALSE)</f>
        <v>#N/A</v>
      </c>
      <c r="K61" t="e">
        <f>VLOOKUP(F61,[1]!china_towns_second__2[[Column1]:[Y]],2,FALSE)</f>
        <v>#N/A</v>
      </c>
      <c r="L61" t="s">
        <v>1721</v>
      </c>
      <c r="M61" t="str">
        <f>VLOOKUP(H61,CHOOSE({1,2},Table8[Native],Table8[Name]),2,0)</f>
        <v>Xiètōngmén Xiàn</v>
      </c>
      <c r="N61" s="13" t="str">
        <f>VLOOKUP(I61,CHOOSE({1,2},Table8[Native],Table8[Name]),2,0)</f>
        <v>Rìkāzé Shì</v>
      </c>
      <c r="O61" s="13" t="str">
        <f t="shared" si="0"/>
        <v>Chabu Xiang (Rikaze Shi) (Rìkāzé Shì)</v>
      </c>
      <c r="P61" s="13" t="str">
        <f t="shared" si="1"/>
        <v>Chabu Xiang (Rikaze Shi) (Rìkāzé Shì)</v>
      </c>
    </row>
    <row r="62" spans="1:16" hidden="1" x14ac:dyDescent="0.25">
      <c r="A62" t="s">
        <v>648</v>
      </c>
      <c r="B62" t="str">
        <f>IF(COUNTIF(A:A,A62)&gt;1,_xlfn.CONCAT(A62," (",N62,")"),A62)</f>
        <v>Chádāng Xiāng [in: Qīnghăi (partly)]</v>
      </c>
      <c r="C62" t="str">
        <f>IF(COUNTIF(B:B,B62)&gt;1,_xlfn.CONCAT(A62," (",M62,")"),B62)</f>
        <v>Chádāng Xiāng [in: Qīnghăi (partly)]</v>
      </c>
      <c r="D62" t="s">
        <v>649</v>
      </c>
      <c r="E62" t="s">
        <v>7</v>
      </c>
      <c r="F62" t="str">
        <f>_xlfn.CONCAT(D62,", ",H62,", ",I62,", ","西藏自治区")</f>
        <v>查当乡, 聂荣县, 那曲市, 西藏自治区</v>
      </c>
      <c r="G62">
        <v>2953</v>
      </c>
      <c r="H62" t="s">
        <v>1451</v>
      </c>
      <c r="I62" t="s">
        <v>1445</v>
      </c>
      <c r="J62" t="e">
        <f>VLOOKUP(F62,[1]!china_towns_second__2[[Column1]:[Y]],3,FALSE)</f>
        <v>#N/A</v>
      </c>
      <c r="K62" t="e">
        <f>VLOOKUP(F62,[1]!china_towns_second__2[[Column1]:[Y]],2,FALSE)</f>
        <v>#N/A</v>
      </c>
      <c r="L62" t="s">
        <v>1722</v>
      </c>
      <c r="M62" t="str">
        <f>VLOOKUP(H62,CHOOSE({1,2},Table8[Native],Table8[Name]),2,0)</f>
        <v>Nièróng Xiàn</v>
      </c>
      <c r="N62" s="13" t="str">
        <f>VLOOKUP(I62,CHOOSE({1,2},Table8[Native],Table8[Name]),2,0)</f>
        <v>Nàqŭ Shì</v>
      </c>
      <c r="O62" s="13" t="str">
        <f t="shared" si="0"/>
        <v>Chadang Xiang [in: Qinghai (partly)] (Nàqŭ Shì)</v>
      </c>
      <c r="P62" s="13" t="str">
        <f t="shared" si="1"/>
        <v>Chadang Xiang [in: Qinghai (partly)] (Nàqŭ Shì)</v>
      </c>
    </row>
    <row r="63" spans="1:16" hidden="1" x14ac:dyDescent="0.25">
      <c r="A63" t="s">
        <v>862</v>
      </c>
      <c r="B63" t="str">
        <f>IF(COUNTIF(A:A,A63)&gt;1,_xlfn.CONCAT(A63," (",N63,")"),A63)</f>
        <v>Cháěr Xiāng</v>
      </c>
      <c r="C63" t="str">
        <f>IF(COUNTIF(B:B,B63)&gt;1,_xlfn.CONCAT(A63," (",M63,")"),B63)</f>
        <v>Cháěr Xiāng</v>
      </c>
      <c r="D63" t="s">
        <v>863</v>
      </c>
      <c r="E63" t="s">
        <v>7</v>
      </c>
      <c r="F63" t="str">
        <f>_xlfn.CONCAT(D63,", ",H63,", ",I63,", ","西藏自治区")</f>
        <v>查尔乡, 南木林县, 日喀则市, 西藏自治区</v>
      </c>
      <c r="G63">
        <v>2404</v>
      </c>
      <c r="H63" t="s">
        <v>1468</v>
      </c>
      <c r="I63" t="s">
        <v>1458</v>
      </c>
      <c r="J63" t="e">
        <f>VLOOKUP(F63,[1]!china_towns_second__2[[Column1]:[Y]],3,FALSE)</f>
        <v>#N/A</v>
      </c>
      <c r="K63" t="e">
        <f>VLOOKUP(F63,[1]!china_towns_second__2[[Column1]:[Y]],2,FALSE)</f>
        <v>#N/A</v>
      </c>
      <c r="L63" t="s">
        <v>1723</v>
      </c>
      <c r="M63" t="str">
        <f>VLOOKUP(H63,CHOOSE({1,2},Table8[Native],Table8[Name]),2,0)</f>
        <v>Nánmùlín Xiàn</v>
      </c>
      <c r="N63" s="13" t="str">
        <f>VLOOKUP(I63,CHOOSE({1,2},Table8[Native],Table8[Name]),2,0)</f>
        <v>Rìkāzé Shì</v>
      </c>
      <c r="O63" s="13" t="str">
        <f t="shared" si="0"/>
        <v>Chaer Xiang (Rìkāzé Shì)</v>
      </c>
      <c r="P63" s="13" t="str">
        <f t="shared" si="1"/>
        <v>Chaer Xiang (Rìkāzé Shì)</v>
      </c>
    </row>
    <row r="64" spans="1:16" hidden="1" x14ac:dyDescent="0.25">
      <c r="A64" t="s">
        <v>129</v>
      </c>
      <c r="B64" t="str">
        <f>IF(COUNTIF(A:A,A64)&gt;1,_xlfn.CONCAT(A64," (",N64,")"),A64)</f>
        <v>Cháiwéi Xiāng</v>
      </c>
      <c r="C64" t="str">
        <f>IF(COUNTIF(B:B,B64)&gt;1,_xlfn.CONCAT(A64," (",M64,")"),B64)</f>
        <v>Cháiwéi Xiāng</v>
      </c>
      <c r="D64" t="s">
        <v>130</v>
      </c>
      <c r="E64" t="s">
        <v>7</v>
      </c>
      <c r="F64" t="str">
        <f>_xlfn.CONCAT(D64,", ",H64,", ",I64,", ","西藏自治区")</f>
        <v>柴维乡, 卡若区, 昌都市, 西藏自治区</v>
      </c>
      <c r="G64">
        <v>7338</v>
      </c>
      <c r="H64" t="s">
        <v>1423</v>
      </c>
      <c r="I64" t="s">
        <v>1415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1724</v>
      </c>
      <c r="M64" t="str">
        <f>VLOOKUP(H64,CHOOSE({1,2},Table8[Native],Table8[Name]),2,0)</f>
        <v>Kǎruò Qū</v>
      </c>
      <c r="N64" s="13" t="str">
        <f>VLOOKUP(I64,CHOOSE({1,2},Table8[Native],Table8[Name]),2,0)</f>
        <v>Chāngdū Shì</v>
      </c>
      <c r="O64" s="13" t="str">
        <f t="shared" si="0"/>
        <v>Chaiwei Xiang (Chāngdū Shì)</v>
      </c>
      <c r="P64" s="13" t="str">
        <f t="shared" si="1"/>
        <v>Chaiwei Xiang (Chāngdū Shì)</v>
      </c>
    </row>
    <row r="65" spans="1:16" hidden="1" x14ac:dyDescent="0.25">
      <c r="A65" t="s">
        <v>131</v>
      </c>
      <c r="B65" t="str">
        <f>IF(COUNTIF(A:A,A65)&gt;1,_xlfn.CONCAT(A65," (",N65,")"),A65)</f>
        <v>Chálā Xiāng</v>
      </c>
      <c r="C65" t="str">
        <f>IF(COUNTIF(B:B,B65)&gt;1,_xlfn.CONCAT(A65," (",M65,")"),B65)</f>
        <v>Chálā Xiāng</v>
      </c>
      <c r="D65" t="s">
        <v>132</v>
      </c>
      <c r="E65" t="s">
        <v>7</v>
      </c>
      <c r="F65" t="str">
        <f>_xlfn.CONCAT(D65,", ",H65,", ",I65,", ","西藏自治区")</f>
        <v>察拉乡, 察雅县, 昌都市, 西藏自治区</v>
      </c>
      <c r="G65">
        <v>1620</v>
      </c>
      <c r="H65" t="s">
        <v>1418</v>
      </c>
      <c r="I65" t="s">
        <v>1415</v>
      </c>
      <c r="J65" t="e">
        <f>VLOOKUP(F65,[1]!china_towns_second__2[[Column1]:[Y]],3,FALSE)</f>
        <v>#N/A</v>
      </c>
      <c r="K65" t="e">
        <f>VLOOKUP(F65,[1]!china_towns_second__2[[Column1]:[Y]],2,FALSE)</f>
        <v>#N/A</v>
      </c>
      <c r="L65" t="s">
        <v>1725</v>
      </c>
      <c r="M65" t="str">
        <f>VLOOKUP(H65,CHOOSE({1,2},Table8[Native],Table8[Name]),2,0)</f>
        <v>Cháyă Xiàn</v>
      </c>
      <c r="N65" s="13" t="str">
        <f>VLOOKUP(I65,CHOOSE({1,2},Table8[Native],Table8[Name]),2,0)</f>
        <v>Chāngdū Shì</v>
      </c>
      <c r="O65" s="13" t="str">
        <f t="shared" si="0"/>
        <v>Chala Xiang (Chāngdū Shì)</v>
      </c>
      <c r="P65" s="13" t="str">
        <f t="shared" si="1"/>
        <v>Chala Xiang (Chāngdū Shì)</v>
      </c>
    </row>
    <row r="66" spans="1:16" hidden="1" x14ac:dyDescent="0.25">
      <c r="A66" t="s">
        <v>864</v>
      </c>
      <c r="B66" t="str">
        <f>IF(COUNTIF(A:A,A66)&gt;1,_xlfn.CONCAT(A66," (",N66,")"),A66)</f>
        <v>Chānèi Xiāng</v>
      </c>
      <c r="C66" t="str">
        <f>IF(COUNTIF(B:B,B66)&gt;1,_xlfn.CONCAT(A66," (",M66,")"),B66)</f>
        <v>Chānèi Xiāng</v>
      </c>
      <c r="D66" t="s">
        <v>865</v>
      </c>
      <c r="E66" t="s">
        <v>7</v>
      </c>
      <c r="F66" t="str">
        <f>_xlfn.CONCAT(D66,", ",H66,", ",I66,", ","西藏自治区")</f>
        <v>差那乡, 吉隆县, 日喀则市, 西藏自治区</v>
      </c>
      <c r="G66">
        <v>2691</v>
      </c>
      <c r="H66" t="s">
        <v>1465</v>
      </c>
      <c r="I66" t="s">
        <v>1458</v>
      </c>
      <c r="J66" t="e">
        <f>VLOOKUP(F66,[1]!china_towns_second__2[[Column1]:[Y]],3,FALSE)</f>
        <v>#N/A</v>
      </c>
      <c r="K66" t="e">
        <f>VLOOKUP(F66,[1]!china_towns_second__2[[Column1]:[Y]],2,FALSE)</f>
        <v>#N/A</v>
      </c>
      <c r="L66" t="s">
        <v>1726</v>
      </c>
      <c r="M66" t="str">
        <f>VLOOKUP(H66,CHOOSE({1,2},Table8[Native],Table8[Name]),2,0)</f>
        <v>Jílóng Xiàn</v>
      </c>
      <c r="N66" s="13" t="str">
        <f>VLOOKUP(I66,CHOOSE({1,2},Table8[Native],Table8[Name]),2,0)</f>
        <v>Rìkāzé Shì</v>
      </c>
      <c r="O66" s="13" t="str">
        <f t="shared" ref="O66:O129" si="2">_xlfn.CONCAT(L66," (",N66,")")</f>
        <v>Chanei Xiang (Rìkāzé Shì)</v>
      </c>
      <c r="P66" s="13" t="str">
        <f t="shared" ref="P66:P129" si="3">IF(COUNTIF(O:O,O66)&gt;1,_xlfn.CONCAT(L66," (",M66,")"),O66)</f>
        <v>Chanei Xiang (Rìkāzé Shì)</v>
      </c>
    </row>
    <row r="67" spans="1:16" hidden="1" x14ac:dyDescent="0.25">
      <c r="A67" t="s">
        <v>867</v>
      </c>
      <c r="B67" t="str">
        <f>IF(COUNTIF(A:A,A67)&gt;1,_xlfn.CONCAT(A67," (",N67,")"),A67)</f>
        <v>Chāngguŏ Xiāng (Rìkāzé Shì)</v>
      </c>
      <c r="C67" t="str">
        <f>IF(COUNTIF(B:B,B67)&gt;1,_xlfn.CONCAT(A67," (",M67,")"),B67)</f>
        <v>Chāngguŏ Xiāng (Rìkāzé Shì)</v>
      </c>
      <c r="D67" t="s">
        <v>868</v>
      </c>
      <c r="E67" t="s">
        <v>7</v>
      </c>
      <c r="F67" t="str">
        <f>_xlfn.CONCAT(D67,", ",H67,", ",I67,", ","西藏自治区")</f>
        <v>昌果乡, 萨嘎县, 日喀则市, 西藏自治区</v>
      </c>
      <c r="G67">
        <v>1384</v>
      </c>
      <c r="H67" t="s">
        <v>1471</v>
      </c>
      <c r="I67" t="s">
        <v>1458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1727</v>
      </c>
      <c r="M67" t="str">
        <f>VLOOKUP(H67,CHOOSE({1,2},Table8[Native],Table8[Name]),2,0)</f>
        <v>Sàgā Xiàn</v>
      </c>
      <c r="N67" s="13" t="str">
        <f>VLOOKUP(I67,CHOOSE({1,2},Table8[Native],Table8[Name]),2,0)</f>
        <v>Rìkāzé Shì</v>
      </c>
      <c r="O67" s="13" t="str">
        <f t="shared" si="2"/>
        <v>Changguo Xiang (Rikaze Shi) (Rìkāzé Shì)</v>
      </c>
      <c r="P67" s="13" t="str">
        <f t="shared" si="3"/>
        <v>Changguo Xiang (Rikaze Shi) (Rìkāzé Shì)</v>
      </c>
    </row>
    <row r="68" spans="1:16" hidden="1" x14ac:dyDescent="0.25">
      <c r="A68" t="s">
        <v>867</v>
      </c>
      <c r="B68" t="str">
        <f>IF(COUNTIF(A:A,A68)&gt;1,_xlfn.CONCAT(A68," (",N68,")"),A68)</f>
        <v>Chāngguŏ Xiāng (Shānnán Shì)</v>
      </c>
      <c r="C68" t="str">
        <f>IF(COUNTIF(B:B,B68)&gt;1,_xlfn.CONCAT(A68," (",M68,")"),B68)</f>
        <v>Chāngguŏ Xiāng (Shānnán Shì)</v>
      </c>
      <c r="D68" t="s">
        <v>868</v>
      </c>
      <c r="E68" t="s">
        <v>7</v>
      </c>
      <c r="F68" t="str">
        <f>_xlfn.CONCAT(D68,", ",H68,", ",I68,", ","西藏自治区")</f>
        <v>昌果乡, 贡嘎县, 山南市, 西藏自治区</v>
      </c>
      <c r="G68">
        <v>2782</v>
      </c>
      <c r="H68" t="s">
        <v>1480</v>
      </c>
      <c r="I68" t="s">
        <v>1477</v>
      </c>
      <c r="J68" t="e">
        <f>VLOOKUP(F68,[1]!china_towns_second__2[[Column1]:[Y]],3,FALSE)</f>
        <v>#N/A</v>
      </c>
      <c r="K68" t="e">
        <f>VLOOKUP(F68,[1]!china_towns_second__2[[Column1]:[Y]],2,FALSE)</f>
        <v>#N/A</v>
      </c>
      <c r="L68" t="s">
        <v>1728</v>
      </c>
      <c r="M68" t="str">
        <f>VLOOKUP(H68,CHOOSE({1,2},Table8[Native],Table8[Name]),2,0)</f>
        <v>Gònggā Xiàn</v>
      </c>
      <c r="N68" s="13" t="str">
        <f>VLOOKUP(I68,CHOOSE({1,2},Table8[Native],Table8[Name]),2,0)</f>
        <v>Shānnán Shì</v>
      </c>
      <c r="O68" s="13" t="str">
        <f t="shared" si="2"/>
        <v>Changguo Xiang (Shannan Shi) (Shānnán Shì)</v>
      </c>
      <c r="P68" s="13" t="str">
        <f t="shared" si="3"/>
        <v>Changguo Xiang (Shannan Shi) (Shānnán Shì)</v>
      </c>
    </row>
    <row r="69" spans="1:16" hidden="1" x14ac:dyDescent="0.25">
      <c r="A69" t="s">
        <v>870</v>
      </c>
      <c r="B69" t="str">
        <f>IF(COUNTIF(A:A,A69)&gt;1,_xlfn.CONCAT(A69," (",N69,")"),A69)</f>
        <v>Chānglóng Xiāng</v>
      </c>
      <c r="C69" t="str">
        <f>IF(COUNTIF(B:B,B69)&gt;1,_xlfn.CONCAT(A69," (",M69,")"),B69)</f>
        <v>Chānglóng Xiāng</v>
      </c>
      <c r="D69" t="s">
        <v>871</v>
      </c>
      <c r="E69" t="s">
        <v>7</v>
      </c>
      <c r="F69" t="str">
        <f>_xlfn.CONCAT(D69,", ",H69,", ",I69,", ","西藏自治区")</f>
        <v>昌龙乡, 岗巴县, 日喀则市, 西藏自治区</v>
      </c>
      <c r="G69">
        <v>2113</v>
      </c>
      <c r="H69" t="s">
        <v>1463</v>
      </c>
      <c r="I69" t="s">
        <v>1458</v>
      </c>
      <c r="J69" t="e">
        <f>VLOOKUP(F69,[1]!china_towns_second__2[[Column1]:[Y]],3,FALSE)</f>
        <v>#N/A</v>
      </c>
      <c r="K69" t="e">
        <f>VLOOKUP(F69,[1]!china_towns_second__2[[Column1]:[Y]],2,FALSE)</f>
        <v>#N/A</v>
      </c>
      <c r="L69" t="s">
        <v>1729</v>
      </c>
      <c r="M69" t="str">
        <f>VLOOKUP(H69,CHOOSE({1,2},Table8[Native],Table8[Name]),2,0)</f>
        <v>Găngbā Xiàn</v>
      </c>
      <c r="N69" s="13" t="str">
        <f>VLOOKUP(I69,CHOOSE({1,2},Table8[Native],Table8[Name]),2,0)</f>
        <v>Rìkāzé Shì</v>
      </c>
      <c r="O69" s="13" t="str">
        <f t="shared" si="2"/>
        <v>Changlong Xiang (Rìkāzé Shì)</v>
      </c>
      <c r="P69" s="13" t="str">
        <f t="shared" si="3"/>
        <v>Changlong Xiang (Rìkāzé Shì)</v>
      </c>
    </row>
    <row r="70" spans="1:16" hidden="1" x14ac:dyDescent="0.25">
      <c r="A70" t="s">
        <v>133</v>
      </c>
      <c r="B70" t="str">
        <f>IF(COUNTIF(A:A,A70)&gt;1,_xlfn.CONCAT(A70," (",N70,")"),A70)</f>
        <v>Chángmáolĭng Xiāng</v>
      </c>
      <c r="C70" t="str">
        <f>IF(COUNTIF(B:B,B70)&gt;1,_xlfn.CONCAT(A70," (",M70,")"),B70)</f>
        <v>Chángmáolĭng Xiāng</v>
      </c>
      <c r="D70" t="s">
        <v>134</v>
      </c>
      <c r="E70" t="s">
        <v>7</v>
      </c>
      <c r="F70" t="str">
        <f>_xlfn.CONCAT(D70,", ",H70,", ",I70,", ","西藏自治区")</f>
        <v>长毛岭乡, 类乌齐县, 昌都市, 西藏自治区</v>
      </c>
      <c r="G70">
        <v>6842</v>
      </c>
      <c r="H70" t="s">
        <v>1424</v>
      </c>
      <c r="I70" t="s">
        <v>1415</v>
      </c>
      <c r="J70" t="e">
        <f>VLOOKUP(F70,[1]!china_towns_second__2[[Column1]:[Y]],3,FALSE)</f>
        <v>#N/A</v>
      </c>
      <c r="K70" t="e">
        <f>VLOOKUP(F70,[1]!china_towns_second__2[[Column1]:[Y]],2,FALSE)</f>
        <v>#N/A</v>
      </c>
      <c r="L70" t="s">
        <v>1730</v>
      </c>
      <c r="M70" t="str">
        <f>VLOOKUP(H70,CHOOSE({1,2},Table8[Native],Table8[Name]),2,0)</f>
        <v>Lèiwūqí Xiàn</v>
      </c>
      <c r="N70" s="13" t="str">
        <f>VLOOKUP(I70,CHOOSE({1,2},Table8[Native],Table8[Name]),2,0)</f>
        <v>Chāngdū Shì</v>
      </c>
      <c r="O70" s="13" t="str">
        <f t="shared" si="2"/>
        <v>Changmaoling Xiang (Chāngdū Shì)</v>
      </c>
      <c r="P70" s="13" t="str">
        <f t="shared" si="3"/>
        <v>Changmaoling Xiang (Chāngdū Shì)</v>
      </c>
    </row>
    <row r="71" spans="1:16" hidden="1" x14ac:dyDescent="0.25">
      <c r="A71" t="s">
        <v>873</v>
      </c>
      <c r="B71" t="str">
        <f>IF(COUNTIF(A:A,A71)&gt;1,_xlfn.CONCAT(A71," (",N71,")"),A71)</f>
        <v>Chángsuŏ Xiāng</v>
      </c>
      <c r="C71" t="str">
        <f>IF(COUNTIF(B:B,B71)&gt;1,_xlfn.CONCAT(A71," (",M71,")"),B71)</f>
        <v>Chángsuŏ Xiāng</v>
      </c>
      <c r="D71" t="s">
        <v>874</v>
      </c>
      <c r="E71" t="s">
        <v>7</v>
      </c>
      <c r="F71" t="str">
        <f>_xlfn.CONCAT(D71,", ",H71,", ",I71,", ","西藏自治区")</f>
        <v>长所乡, 定日县, 日喀则市, 西藏自治区</v>
      </c>
      <c r="G71">
        <v>3601</v>
      </c>
      <c r="H71" t="s">
        <v>1462</v>
      </c>
      <c r="I71" t="s">
        <v>1458</v>
      </c>
      <c r="J71" t="e">
        <f>VLOOKUP(F71,[1]!china_towns_second__2[[Column1]:[Y]],3,FALSE)</f>
        <v>#N/A</v>
      </c>
      <c r="K71" t="e">
        <f>VLOOKUP(F71,[1]!china_towns_second__2[[Column1]:[Y]],2,FALSE)</f>
        <v>#N/A</v>
      </c>
      <c r="L71" t="s">
        <v>1731</v>
      </c>
      <c r="M71" t="str">
        <f>VLOOKUP(H71,CHOOSE({1,2},Table8[Native],Table8[Name]),2,0)</f>
        <v>Dìngrì Xiàn</v>
      </c>
      <c r="N71" s="13" t="str">
        <f>VLOOKUP(I71,CHOOSE({1,2},Table8[Native],Table8[Name]),2,0)</f>
        <v>Rìkāzé Shì</v>
      </c>
      <c r="O71" s="13" t="str">
        <f t="shared" si="2"/>
        <v>Changsuo Xiang (Rìkāzé Shì)</v>
      </c>
      <c r="P71" s="13" t="str">
        <f t="shared" si="3"/>
        <v>Changsuo Xiang (Rìkāzé Shì)</v>
      </c>
    </row>
    <row r="72" spans="1:16" x14ac:dyDescent="0.25">
      <c r="A72" t="s">
        <v>1254</v>
      </c>
      <c r="B72" t="str">
        <f>IF(COUNTIF(A:A,A72)&gt;1,_xlfn.CONCAT(A72," (",N72,")"),A72)</f>
        <v>Chāngzhū Zhèn</v>
      </c>
      <c r="C72" t="str">
        <f>IF(COUNTIF(B:B,B72)&gt;1,_xlfn.CONCAT(A72," (",M72,")"),B72)</f>
        <v>Chāngzhū Zhèn</v>
      </c>
      <c r="D72" t="s">
        <v>1255</v>
      </c>
      <c r="E72" t="s">
        <v>17</v>
      </c>
      <c r="F72" t="str">
        <f>_xlfn.CONCAT(D72,", ",H72,", ",I72,", ","西藏自治区")</f>
        <v>昌珠镇, 乃东区, 山南市, 西藏自治区</v>
      </c>
      <c r="G72">
        <v>6621</v>
      </c>
      <c r="H72" t="s">
        <v>1485</v>
      </c>
      <c r="I72" t="s">
        <v>1477</v>
      </c>
      <c r="J72">
        <f>VLOOKUP(F72,[1]!china_towns_second__2[[Column1]:[Y]],3,FALSE)</f>
        <v>29.167814140646001</v>
      </c>
      <c r="K72">
        <f>VLOOKUP(F72,[1]!china_towns_second__2[[Column1]:[Y]],2,FALSE)</f>
        <v>91.769429290000005</v>
      </c>
      <c r="L72" t="s">
        <v>1732</v>
      </c>
      <c r="M72" t="str">
        <f>VLOOKUP(H72,CHOOSE({1,2},Table8[Native],Table8[Name]),2,0)</f>
        <v>Năidōng Qū</v>
      </c>
      <c r="N72" s="13" t="str">
        <f>VLOOKUP(I72,CHOOSE({1,2},Table8[Native],Table8[Name]),2,0)</f>
        <v>Shānnán Shì</v>
      </c>
      <c r="O72" s="13" t="str">
        <f t="shared" si="2"/>
        <v>Changzhu Zhen (Shānnán Shì)</v>
      </c>
      <c r="P72" s="13" t="str">
        <f t="shared" si="3"/>
        <v>Changzhu Zhen (Shānnán Shì)</v>
      </c>
    </row>
    <row r="73" spans="1:16" hidden="1" x14ac:dyDescent="0.25">
      <c r="A73" t="s">
        <v>650</v>
      </c>
      <c r="B73" t="str">
        <f>IF(COUNTIF(A:A,A73)&gt;1,_xlfn.CONCAT(A73," (",N73,")"),A73)</f>
        <v>Cháqŭ Xiāng</v>
      </c>
      <c r="C73" t="str">
        <f>IF(COUNTIF(B:B,B73)&gt;1,_xlfn.CONCAT(A73," (",M73,")"),B73)</f>
        <v>Cháqŭ Xiāng</v>
      </c>
      <c r="D73" t="s">
        <v>651</v>
      </c>
      <c r="E73" t="s">
        <v>7</v>
      </c>
      <c r="F73" t="str">
        <f>_xlfn.CONCAT(D73,", ",H73,", ",I73,", ","西藏自治区")</f>
        <v>茶曲乡, 比如县, 那曲市, 西藏自治区</v>
      </c>
      <c r="G73">
        <v>5557</v>
      </c>
      <c r="H73" t="s">
        <v>1449</v>
      </c>
      <c r="I73" t="s">
        <v>1445</v>
      </c>
      <c r="J73" t="e">
        <f>VLOOKUP(F73,[1]!china_towns_second__2[[Column1]:[Y]],3,FALSE)</f>
        <v>#N/A</v>
      </c>
      <c r="K73" t="e">
        <f>VLOOKUP(F73,[1]!china_towns_second__2[[Column1]:[Y]],2,FALSE)</f>
        <v>#N/A</v>
      </c>
      <c r="L73" t="s">
        <v>1733</v>
      </c>
      <c r="M73" t="str">
        <f>VLOOKUP(H73,CHOOSE({1,2},Table8[Native],Table8[Name]),2,0)</f>
        <v>Bĭrú Xiàn</v>
      </c>
      <c r="N73" s="13" t="str">
        <f>VLOOKUP(I73,CHOOSE({1,2},Table8[Native],Table8[Name]),2,0)</f>
        <v>Nàqŭ Shì</v>
      </c>
      <c r="O73" s="13" t="str">
        <f t="shared" si="2"/>
        <v>Chaqu Xiang (Nàqŭ Shì)</v>
      </c>
      <c r="P73" s="13" t="str">
        <f t="shared" si="3"/>
        <v>Chaqu Xiang (Nàqŭ Shì)</v>
      </c>
    </row>
    <row r="74" spans="1:16" hidden="1" x14ac:dyDescent="0.25">
      <c r="A74" t="s">
        <v>876</v>
      </c>
      <c r="B74" t="str">
        <f>IF(COUNTIF(A:A,A74)&gt;1,_xlfn.CONCAT(A74," (",N74,")"),A74)</f>
        <v>Cháróng Xiāng</v>
      </c>
      <c r="C74" t="str">
        <f>IF(COUNTIF(B:B,B74)&gt;1,_xlfn.CONCAT(A74," (",M74,")"),B74)</f>
        <v>Cháróng Xiāng</v>
      </c>
      <c r="D74" t="s">
        <v>877</v>
      </c>
      <c r="E74" t="s">
        <v>7</v>
      </c>
      <c r="F74" t="str">
        <f>_xlfn.CONCAT(D74,", ",H74,", ",I74,", ","西藏自治区")</f>
        <v>查荣乡, 萨迦县, 日喀则市, 西藏自治区</v>
      </c>
      <c r="G74">
        <v>4002</v>
      </c>
      <c r="H74" t="s">
        <v>1472</v>
      </c>
      <c r="I74" t="s">
        <v>1458</v>
      </c>
      <c r="J74" t="e">
        <f>VLOOKUP(F74,[1]!china_towns_second__2[[Column1]:[Y]],3,FALSE)</f>
        <v>#N/A</v>
      </c>
      <c r="K74" t="e">
        <f>VLOOKUP(F74,[1]!china_towns_second__2[[Column1]:[Y]],2,FALSE)</f>
        <v>#N/A</v>
      </c>
      <c r="L74" t="s">
        <v>1734</v>
      </c>
      <c r="M74" t="str">
        <f>VLOOKUP(H74,CHOOSE({1,2},Table8[Native],Table8[Name]),2,0)</f>
        <v>Sàjiā Xiàn</v>
      </c>
      <c r="N74" s="13" t="str">
        <f>VLOOKUP(I74,CHOOSE({1,2},Table8[Native],Table8[Name]),2,0)</f>
        <v>Rìkāzé Shì</v>
      </c>
      <c r="O74" s="13" t="str">
        <f t="shared" si="2"/>
        <v>Charong Xiang (Rìkāzé Shì)</v>
      </c>
      <c r="P74" s="13" t="str">
        <f t="shared" si="3"/>
        <v>Charong Xiang (Rìkāzé Shì)</v>
      </c>
    </row>
    <row r="75" spans="1:16" hidden="1" x14ac:dyDescent="0.25">
      <c r="A75" t="s">
        <v>518</v>
      </c>
      <c r="B75" t="str">
        <f>IF(COUNTIF(A:A,A75)&gt;1,_xlfn.CONCAT(A75," (",N75,")"),A75)</f>
        <v>Cháwălóng Xiāng</v>
      </c>
      <c r="C75" t="str">
        <f>IF(COUNTIF(B:B,B75)&gt;1,_xlfn.CONCAT(A75," (",M75,")"),B75)</f>
        <v>Cháwălóng Xiāng</v>
      </c>
      <c r="D75" t="s">
        <v>519</v>
      </c>
      <c r="E75" t="s">
        <v>7</v>
      </c>
      <c r="F75" t="str">
        <f>_xlfn.CONCAT(D75,", ",H75,", ",I75,", ","西藏自治区")</f>
        <v>察瓦龙乡, 察隅县, 林芝市, 西藏自治区</v>
      </c>
      <c r="G75">
        <v>6638</v>
      </c>
      <c r="H75" t="s">
        <v>1440</v>
      </c>
      <c r="I75" t="s">
        <v>1437</v>
      </c>
      <c r="J75" t="e">
        <f>VLOOKUP(F75,[1]!china_towns_second__2[[Column1]:[Y]],3,FALSE)</f>
        <v>#N/A</v>
      </c>
      <c r="K75" t="e">
        <f>VLOOKUP(F75,[1]!china_towns_second__2[[Column1]:[Y]],2,FALSE)</f>
        <v>#N/A</v>
      </c>
      <c r="L75" t="s">
        <v>1735</v>
      </c>
      <c r="M75" t="str">
        <f>VLOOKUP(H75,CHOOSE({1,2},Table8[Native],Table8[Name]),2,0)</f>
        <v>Cháyú Xiàn</v>
      </c>
      <c r="N75" s="13" t="str">
        <f>VLOOKUP(I75,CHOOSE({1,2},Table8[Native],Table8[Name]),2,0)</f>
        <v>Línzhī Shì</v>
      </c>
      <c r="O75" s="13" t="str">
        <f t="shared" si="2"/>
        <v>Chawalong Xiang (Línzhī Shì)</v>
      </c>
      <c r="P75" s="13" t="str">
        <f t="shared" si="3"/>
        <v>Chawalong Xiang (Línzhī Shì)</v>
      </c>
    </row>
    <row r="76" spans="1:16" hidden="1" x14ac:dyDescent="0.25">
      <c r="A76" t="s">
        <v>879</v>
      </c>
      <c r="B76" t="str">
        <f>IF(COUNTIF(A:A,A76)&gt;1,_xlfn.CONCAT(A76," (",N76,")"),A76)</f>
        <v>Cháwù Xiāng</v>
      </c>
      <c r="C76" t="str">
        <f>IF(COUNTIF(B:B,B76)&gt;1,_xlfn.CONCAT(A76," (",M76,")"),B76)</f>
        <v>Cháwù Xiāng</v>
      </c>
      <c r="D76" t="s">
        <v>880</v>
      </c>
      <c r="E76" t="s">
        <v>7</v>
      </c>
      <c r="F76" t="str">
        <f>_xlfn.CONCAT(D76,", ",H76,", ",I76,", ","西藏自治区")</f>
        <v>查务乡, 拉孜县, 日喀则市, 西藏自治区</v>
      </c>
      <c r="G76">
        <v>3692</v>
      </c>
      <c r="H76" t="s">
        <v>1467</v>
      </c>
      <c r="I76" t="s">
        <v>1458</v>
      </c>
      <c r="J76" t="e">
        <f>VLOOKUP(F76,[1]!china_towns_second__2[[Column1]:[Y]],3,FALSE)</f>
        <v>#N/A</v>
      </c>
      <c r="K76" t="e">
        <f>VLOOKUP(F76,[1]!china_towns_second__2[[Column1]:[Y]],2,FALSE)</f>
        <v>#N/A</v>
      </c>
      <c r="L76" t="s">
        <v>1736</v>
      </c>
      <c r="M76" t="str">
        <f>VLOOKUP(H76,CHOOSE({1,2},Table8[Native],Table8[Name]),2,0)</f>
        <v>Lāzī Xiàn</v>
      </c>
      <c r="N76" s="13" t="str">
        <f>VLOOKUP(I76,CHOOSE({1,2},Table8[Native],Table8[Name]),2,0)</f>
        <v>Rìkāzé Shì</v>
      </c>
      <c r="O76" s="13" t="str">
        <f t="shared" si="2"/>
        <v>Chawu Xiang (Rìkāzé Shì)</v>
      </c>
      <c r="P76" s="13" t="str">
        <f t="shared" si="3"/>
        <v>Chawu Xiang (Rìkāzé Shì)</v>
      </c>
    </row>
    <row r="77" spans="1:16" hidden="1" x14ac:dyDescent="0.25">
      <c r="A77" t="s">
        <v>882</v>
      </c>
      <c r="B77" t="str">
        <f>IF(COUNTIF(A:A,A77)&gt;1,_xlfn.CONCAT(A77," (",N77,")"),A77)</f>
        <v>Cházī Xiāng</v>
      </c>
      <c r="C77" t="str">
        <f>IF(COUNTIF(B:B,B77)&gt;1,_xlfn.CONCAT(A77," (",M77,")"),B77)</f>
        <v>Cházī Xiāng</v>
      </c>
      <c r="D77" t="s">
        <v>883</v>
      </c>
      <c r="E77" t="s">
        <v>7</v>
      </c>
      <c r="F77" t="str">
        <f>_xlfn.CONCAT(D77,", ",H77,", ",I77,", ","西藏自治区")</f>
        <v>查孜乡, 昂仁县, 日喀则市, 西藏自治区</v>
      </c>
      <c r="G77">
        <v>1187</v>
      </c>
      <c r="H77" t="s">
        <v>1459</v>
      </c>
      <c r="I77" t="s">
        <v>1458</v>
      </c>
      <c r="J77" t="e">
        <f>VLOOKUP(F77,[1]!china_towns_second__2[[Column1]:[Y]],3,FALSE)</f>
        <v>#N/A</v>
      </c>
      <c r="K77" t="e">
        <f>VLOOKUP(F77,[1]!china_towns_second__2[[Column1]:[Y]],2,FALSE)</f>
        <v>#N/A</v>
      </c>
      <c r="L77" t="s">
        <v>1737</v>
      </c>
      <c r="M77" t="str">
        <f>VLOOKUP(H77,CHOOSE({1,2},Table8[Native],Table8[Name]),2,0)</f>
        <v>Ángrén Xiàn</v>
      </c>
      <c r="N77" s="13" t="str">
        <f>VLOOKUP(I77,CHOOSE({1,2},Table8[Native],Table8[Name]),2,0)</f>
        <v>Rìkāzé Shì</v>
      </c>
      <c r="O77" s="13" t="str">
        <f t="shared" si="2"/>
        <v>Chazi Xiang (Rìkāzé Shì)</v>
      </c>
      <c r="P77" s="13" t="str">
        <f t="shared" si="3"/>
        <v>Chazi Xiang (Rìkāzé Shì)</v>
      </c>
    </row>
    <row r="78" spans="1:16" hidden="1" x14ac:dyDescent="0.25">
      <c r="A78" t="s">
        <v>884</v>
      </c>
      <c r="B78" t="str">
        <f>IF(COUNTIF(A:A,A78)&gt;1,_xlfn.CONCAT(A78," (",N78,")"),A78)</f>
        <v>Chéngbĕi Jiēdào</v>
      </c>
      <c r="C78" t="str">
        <f>IF(COUNTIF(B:B,B78)&gt;1,_xlfn.CONCAT(A78," (",M78,")"),B78)</f>
        <v>Chéngbĕi Jiēdào</v>
      </c>
      <c r="D78" t="s">
        <v>885</v>
      </c>
      <c r="E78" t="s">
        <v>374</v>
      </c>
      <c r="F78" t="str">
        <f>_xlfn.CONCAT(D78,", ",H78,", ",I78,", ","西藏自治区")</f>
        <v>城北街道, 桑珠孜区, 日喀则市, 西藏自治区</v>
      </c>
      <c r="G78">
        <v>13110</v>
      </c>
      <c r="H78" t="s">
        <v>1473</v>
      </c>
      <c r="I78" t="s">
        <v>1458</v>
      </c>
      <c r="J78">
        <f>VLOOKUP(F78,[1]!china_towns_second__2[[Column1]:[Y]],3,FALSE)</f>
        <v>29.295860860369899</v>
      </c>
      <c r="K78">
        <f>VLOOKUP(F78,[1]!china_towns_second__2[[Column1]:[Y]],2,FALSE)</f>
        <v>88.861753280000002</v>
      </c>
      <c r="L78" t="s">
        <v>1738</v>
      </c>
      <c r="M78" t="str">
        <f>VLOOKUP(H78,CHOOSE({1,2},Table8[Native],Table8[Name]),2,0)</f>
        <v>Sāngzhūzī Qū</v>
      </c>
      <c r="N78" s="13" t="str">
        <f>VLOOKUP(I78,CHOOSE({1,2},Table8[Native],Table8[Name]),2,0)</f>
        <v>Rìkāzé Shì</v>
      </c>
      <c r="O78" s="13" t="str">
        <f t="shared" si="2"/>
        <v>Chengbei Jiedao (Rìkāzé Shì)</v>
      </c>
      <c r="P78" s="13" t="str">
        <f t="shared" si="3"/>
        <v>Chengbei Jiedao (Rìkāzé Shì)</v>
      </c>
    </row>
    <row r="79" spans="1:16" x14ac:dyDescent="0.25">
      <c r="A79" t="s">
        <v>135</v>
      </c>
      <c r="B79" t="str">
        <f>IF(COUNTIF(A:A,A79)&gt;1,_xlfn.CONCAT(A79," (",N79,")"),A79)</f>
        <v>Chéngguān Zhèn</v>
      </c>
      <c r="C79" t="str">
        <f>IF(COUNTIF(B:B,B79)&gt;1,_xlfn.CONCAT(A79," (",M79,")"),B79)</f>
        <v>Chéngguān Zhèn</v>
      </c>
      <c r="D79" t="s">
        <v>136</v>
      </c>
      <c r="E79" t="s">
        <v>17</v>
      </c>
      <c r="F79" t="str">
        <f>_xlfn.CONCAT(D79,", ",H79,", ",I79,", ","西藏自治区")</f>
        <v>城关镇, 卡若区, 昌都市, 西藏自治区</v>
      </c>
      <c r="G79">
        <v>45861</v>
      </c>
      <c r="H79" t="s">
        <v>1423</v>
      </c>
      <c r="I79" t="s">
        <v>1415</v>
      </c>
      <c r="J79">
        <f>VLOOKUP(F79,[1]!china_towns_second__2[[Column1]:[Y]],3,FALSE)</f>
        <v>31.142743264006398</v>
      </c>
      <c r="K79">
        <f>VLOOKUP(F79,[1]!china_towns_second__2[[Column1]:[Y]],2,FALSE)</f>
        <v>97.167916099999999</v>
      </c>
      <c r="L79" t="s">
        <v>1739</v>
      </c>
      <c r="M79" t="str">
        <f>VLOOKUP(H79,CHOOSE({1,2},Table8[Native],Table8[Name]),2,0)</f>
        <v>Kǎruò Qū</v>
      </c>
      <c r="N79" s="13" t="str">
        <f>VLOOKUP(I79,CHOOSE({1,2},Table8[Native],Table8[Name]),2,0)</f>
        <v>Chāngdū Shì</v>
      </c>
      <c r="O79" s="13" t="str">
        <f t="shared" si="2"/>
        <v>Chengguan Zhen (Chāngdū Shì)</v>
      </c>
      <c r="P79" s="13" t="str">
        <f t="shared" si="3"/>
        <v>Chengguan Zhen (Chāngdū Shì)</v>
      </c>
    </row>
    <row r="80" spans="1:16" hidden="1" x14ac:dyDescent="0.25">
      <c r="A80" t="s">
        <v>886</v>
      </c>
      <c r="B80" t="str">
        <f>IF(COUNTIF(A:A,A80)&gt;1,_xlfn.CONCAT(A80," (",N80,")"),A80)</f>
        <v>Chéngnán Jiēdào</v>
      </c>
      <c r="C80" t="str">
        <f>IF(COUNTIF(B:B,B80)&gt;1,_xlfn.CONCAT(A80," (",M80,")"),B80)</f>
        <v>Chéngnán Jiēdào</v>
      </c>
      <c r="D80" t="s">
        <v>887</v>
      </c>
      <c r="E80" t="s">
        <v>374</v>
      </c>
      <c r="F80" t="str">
        <f>_xlfn.CONCAT(D80,", ",H80,", ",I80,", ","西藏自治区")</f>
        <v>城南街道, 桑珠孜区, 日喀则市, 西藏自治区</v>
      </c>
      <c r="G80">
        <v>50857</v>
      </c>
      <c r="H80" t="s">
        <v>1473</v>
      </c>
      <c r="I80" t="s">
        <v>1458</v>
      </c>
      <c r="J80">
        <f>VLOOKUP(F80,[1]!china_towns_second__2[[Column1]:[Y]],3,FALSE)</f>
        <v>29.2790579685228</v>
      </c>
      <c r="K80">
        <f>VLOOKUP(F80,[1]!china_towns_second__2[[Column1]:[Y]],2,FALSE)</f>
        <v>88.900580890000001</v>
      </c>
      <c r="L80" t="s">
        <v>1740</v>
      </c>
      <c r="M80" t="str">
        <f>VLOOKUP(H80,CHOOSE({1,2},Table8[Native],Table8[Name]),2,0)</f>
        <v>Sāngzhūzī Qū</v>
      </c>
      <c r="N80" s="13" t="str">
        <f>VLOOKUP(I80,CHOOSE({1,2},Table8[Native],Table8[Name]),2,0)</f>
        <v>Rìkāzé Shì</v>
      </c>
      <c r="O80" s="13" t="str">
        <f t="shared" si="2"/>
        <v>Chengnan Jiedao (Rìkāzé Shì)</v>
      </c>
      <c r="P80" s="13" t="str">
        <f t="shared" si="3"/>
        <v>Chengnan Jiedao (Rìkāzé Shì)</v>
      </c>
    </row>
    <row r="81" spans="1:16" x14ac:dyDescent="0.25">
      <c r="A81" t="s">
        <v>888</v>
      </c>
      <c r="B81" t="str">
        <f>IF(COUNTIF(A:A,A81)&gt;1,_xlfn.CONCAT(A81," (",N81,")"),A81)</f>
        <v>Chéntáng Zhèn</v>
      </c>
      <c r="C81" t="str">
        <f>IF(COUNTIF(B:B,B81)&gt;1,_xlfn.CONCAT(A81," (",M81,")"),B81)</f>
        <v>Chéntáng Zhèn</v>
      </c>
      <c r="D81" t="s">
        <v>889</v>
      </c>
      <c r="E81" t="s">
        <v>17</v>
      </c>
      <c r="F81" t="str">
        <f>_xlfn.CONCAT(D81,", ",H81,", ",I81,", ","西藏自治区")</f>
        <v>陈塘镇, 定结县, 日喀则市, 西藏自治区</v>
      </c>
      <c r="G81">
        <v>2043</v>
      </c>
      <c r="H81" t="s">
        <v>1461</v>
      </c>
      <c r="I81" t="s">
        <v>1458</v>
      </c>
      <c r="J81">
        <f>VLOOKUP(F81,[1]!china_towns_second__2[[Column1]:[Y]],3,FALSE)</f>
        <v>27.9151885063545</v>
      </c>
      <c r="K81">
        <f>VLOOKUP(F81,[1]!china_towns_second__2[[Column1]:[Y]],2,FALSE)</f>
        <v>87.446689309999996</v>
      </c>
      <c r="L81" t="s">
        <v>1741</v>
      </c>
      <c r="M81" t="str">
        <f>VLOOKUP(H81,CHOOSE({1,2},Table8[Native],Table8[Name]),2,0)</f>
        <v>Dìngjié Xiàn</v>
      </c>
      <c r="N81" s="13" t="str">
        <f>VLOOKUP(I81,CHOOSE({1,2},Table8[Native],Table8[Name]),2,0)</f>
        <v>Rìkāzé Shì</v>
      </c>
      <c r="O81" s="13" t="str">
        <f t="shared" si="2"/>
        <v>Chentang Zhen (Rìkāzé Shì)</v>
      </c>
      <c r="P81" s="13" t="str">
        <f t="shared" si="3"/>
        <v>Chentang Zhen (Rìkāzé Shì)</v>
      </c>
    </row>
    <row r="82" spans="1:16" hidden="1" x14ac:dyDescent="0.25">
      <c r="A82" t="s">
        <v>891</v>
      </c>
      <c r="B82" t="str">
        <f>IF(COUNTIF(A:A,A82)&gt;1,_xlfn.CONCAT(A82," (",N82,")"),A82)</f>
        <v>Chērén Xiāng</v>
      </c>
      <c r="C82" t="str">
        <f>IF(COUNTIF(B:B,B82)&gt;1,_xlfn.CONCAT(A82," (",M82,")"),B82)</f>
        <v>Chērén Xiāng</v>
      </c>
      <c r="D82" t="s">
        <v>892</v>
      </c>
      <c r="E82" t="s">
        <v>7</v>
      </c>
      <c r="F82" t="str">
        <f>_xlfn.CONCAT(D82,", ",H82,", ",I82,", ","西藏自治区")</f>
        <v>车仁乡, 江孜县, 日喀则市, 西藏自治区</v>
      </c>
      <c r="G82">
        <v>2603</v>
      </c>
      <c r="H82" t="s">
        <v>1464</v>
      </c>
      <c r="I82" t="s">
        <v>1458</v>
      </c>
      <c r="J82" t="e">
        <f>VLOOKUP(F82,[1]!china_towns_second__2[[Column1]:[Y]],3,FALSE)</f>
        <v>#N/A</v>
      </c>
      <c r="K82" t="e">
        <f>VLOOKUP(F82,[1]!china_towns_second__2[[Column1]:[Y]],2,FALSE)</f>
        <v>#N/A</v>
      </c>
      <c r="L82" t="s">
        <v>1742</v>
      </c>
      <c r="M82" t="str">
        <f>VLOOKUP(H82,CHOOSE({1,2},Table8[Native],Table8[Name]),2,0)</f>
        <v>Jiāngzī Xiàn</v>
      </c>
      <c r="N82" s="13" t="str">
        <f>VLOOKUP(I82,CHOOSE({1,2},Table8[Native],Table8[Name]),2,0)</f>
        <v>Rìkāzé Shì</v>
      </c>
      <c r="O82" s="13" t="str">
        <f t="shared" si="2"/>
        <v>Cheren Xiang (Rìkāzé Shì)</v>
      </c>
      <c r="P82" s="13" t="str">
        <f t="shared" si="3"/>
        <v>Cheren Xiang (Rìkāzé Shì)</v>
      </c>
    </row>
    <row r="83" spans="1:16" hidden="1" x14ac:dyDescent="0.25">
      <c r="A83" t="s">
        <v>894</v>
      </c>
      <c r="B83" t="str">
        <f>IF(COUNTIF(A:A,A83)&gt;1,_xlfn.CONCAT(A83," (",N83,")"),A83)</f>
        <v>Chĕxiū Xiāng</v>
      </c>
      <c r="C83" t="str">
        <f>IF(COUNTIF(B:B,B83)&gt;1,_xlfn.CONCAT(A83," (",M83,")"),B83)</f>
        <v>Chĕxiū Xiāng</v>
      </c>
      <c r="D83" t="s">
        <v>895</v>
      </c>
      <c r="E83" t="s">
        <v>7</v>
      </c>
      <c r="F83" t="str">
        <f>_xlfn.CONCAT(D83,", ",H83,", ",I83,", ","西藏自治区")</f>
        <v>扯休乡, 萨迦县, 日喀则市, 西藏自治区</v>
      </c>
      <c r="G83">
        <v>5111</v>
      </c>
      <c r="H83" t="s">
        <v>1472</v>
      </c>
      <c r="I83" t="s">
        <v>1458</v>
      </c>
      <c r="J83" t="e">
        <f>VLOOKUP(F83,[1]!china_towns_second__2[[Column1]:[Y]],3,FALSE)</f>
        <v>#N/A</v>
      </c>
      <c r="K83" t="e">
        <f>VLOOKUP(F83,[1]!china_towns_second__2[[Column1]:[Y]],2,FALSE)</f>
        <v>#N/A</v>
      </c>
      <c r="L83" t="s">
        <v>1743</v>
      </c>
      <c r="M83" t="str">
        <f>VLOOKUP(H83,CHOOSE({1,2},Table8[Native],Table8[Name]),2,0)</f>
        <v>Sàjiā Xiàn</v>
      </c>
      <c r="N83" s="13" t="str">
        <f>VLOOKUP(I83,CHOOSE({1,2},Table8[Native],Table8[Name]),2,0)</f>
        <v>Rìkāzé Shì</v>
      </c>
      <c r="O83" s="13" t="str">
        <f t="shared" si="2"/>
        <v>Chexiu Xiang (Rìkāzé Shì)</v>
      </c>
      <c r="P83" s="13" t="str">
        <f t="shared" si="3"/>
        <v>Chexiu Xiang (Rìkāzé Shì)</v>
      </c>
    </row>
    <row r="84" spans="1:16" x14ac:dyDescent="0.25">
      <c r="A84" t="s">
        <v>137</v>
      </c>
      <c r="B84" t="str">
        <f>IF(COUNTIF(A:A,A84)&gt;1,_xlfn.CONCAT(A84," (",N84,")"),A84)</f>
        <v>Chĭdú Zhèn</v>
      </c>
      <c r="C84" t="str">
        <f>IF(COUNTIF(B:B,B84)&gt;1,_xlfn.CONCAT(A84," (",M84,")"),B84)</f>
        <v>Chĭdú Zhèn</v>
      </c>
      <c r="D84" t="s">
        <v>138</v>
      </c>
      <c r="E84" t="s">
        <v>17</v>
      </c>
      <c r="F84" t="str">
        <f>_xlfn.CONCAT(D84,", ",H84,", ",I84,", ","西藏自治区")</f>
        <v>尺犊镇, 丁青县, 昌都市, 西藏自治区</v>
      </c>
      <c r="G84">
        <v>9463</v>
      </c>
      <c r="H84" t="s">
        <v>1419</v>
      </c>
      <c r="I84" t="s">
        <v>1415</v>
      </c>
      <c r="J84">
        <f>VLOOKUP(F84,[1]!china_towns_second__2[[Column1]:[Y]],3,FALSE)</f>
        <v>31.539969932156001</v>
      </c>
      <c r="K84">
        <f>VLOOKUP(F84,[1]!china_towns_second__2[[Column1]:[Y]],2,FALSE)</f>
        <v>95.037113340000005</v>
      </c>
      <c r="L84" t="s">
        <v>1744</v>
      </c>
      <c r="M84" t="str">
        <f>VLOOKUP(H84,CHOOSE({1,2},Table8[Native],Table8[Name]),2,0)</f>
        <v>Dīngqīng Xiàn</v>
      </c>
      <c r="N84" s="13" t="str">
        <f>VLOOKUP(I84,CHOOSE({1,2},Table8[Native],Table8[Name]),2,0)</f>
        <v>Chāngdū Shì</v>
      </c>
      <c r="O84" s="13" t="str">
        <f t="shared" si="2"/>
        <v>Chidu Zhen (Chāngdū Shì)</v>
      </c>
      <c r="P84" s="13" t="str">
        <f t="shared" si="3"/>
        <v>Chidu Zhen (Chāngdū Shì)</v>
      </c>
    </row>
    <row r="85" spans="1:16" hidden="1" x14ac:dyDescent="0.25">
      <c r="A85" t="s">
        <v>652</v>
      </c>
      <c r="B85" t="str">
        <f>IF(COUNTIF(A:A,A85)&gt;1,_xlfn.CONCAT(A85," (",N85,")"),A85)</f>
        <v>Chìduō Xiāng</v>
      </c>
      <c r="C85" t="str">
        <f>IF(COUNTIF(B:B,B85)&gt;1,_xlfn.CONCAT(A85," (",M85,")"),B85)</f>
        <v>Chìduō Xiāng</v>
      </c>
      <c r="D85" t="s">
        <v>653</v>
      </c>
      <c r="E85" t="s">
        <v>7</v>
      </c>
      <c r="F85" t="str">
        <f>_xlfn.CONCAT(D85,", ",H85,", ",I85,", ","西藏自治区")</f>
        <v>赤多乡, 索县, 那曲市, 西藏自治区</v>
      </c>
      <c r="G85">
        <v>2991</v>
      </c>
      <c r="H85" t="s">
        <v>1457</v>
      </c>
      <c r="I85" t="s">
        <v>1445</v>
      </c>
      <c r="J85" t="e">
        <f>VLOOKUP(F85,[1]!china_towns_second__2[[Column1]:[Y]],3,FALSE)</f>
        <v>#N/A</v>
      </c>
      <c r="K85" t="e">
        <f>VLOOKUP(F85,[1]!china_towns_second__2[[Column1]:[Y]],2,FALSE)</f>
        <v>#N/A</v>
      </c>
      <c r="L85" t="s">
        <v>1745</v>
      </c>
      <c r="M85" t="str">
        <f>VLOOKUP(H85,CHOOSE({1,2},Table8[Native],Table8[Name]),2,0)</f>
        <v>Suŏ Xiàn</v>
      </c>
      <c r="N85" s="13" t="str">
        <f>VLOOKUP(I85,CHOOSE({1,2},Table8[Native],Table8[Name]),2,0)</f>
        <v>Nàqŭ Shì</v>
      </c>
      <c r="O85" s="13" t="str">
        <f t="shared" si="2"/>
        <v>Chiduo Xiang (Nàqŭ Shì)</v>
      </c>
      <c r="P85" s="13" t="str">
        <f t="shared" si="3"/>
        <v>Chiduo Xiang (Nàqŭ Shì)</v>
      </c>
    </row>
    <row r="86" spans="1:16" hidden="1" x14ac:dyDescent="0.25">
      <c r="A86" t="s">
        <v>896</v>
      </c>
      <c r="B86" t="str">
        <f>IF(COUNTIF(A:A,A86)&gt;1,_xlfn.CONCAT(A86," (",N86,")"),A86)</f>
        <v>Chóngzī Xiāng</v>
      </c>
      <c r="C86" t="str">
        <f>IF(COUNTIF(B:B,B86)&gt;1,_xlfn.CONCAT(A86," (",M86,")"),B86)</f>
        <v>Chóngzī Xiāng</v>
      </c>
      <c r="D86" t="s">
        <v>897</v>
      </c>
      <c r="E86" t="s">
        <v>7</v>
      </c>
      <c r="F86" t="str">
        <f>_xlfn.CONCAT(D86,", ",H86,", ",I86,", ","西藏自治区")</f>
        <v>重孜乡, 江孜县, 日喀则市, 西藏自治区</v>
      </c>
      <c r="G86">
        <v>4232</v>
      </c>
      <c r="H86" t="s">
        <v>1464</v>
      </c>
      <c r="I86" t="s">
        <v>1458</v>
      </c>
      <c r="J86" t="e">
        <f>VLOOKUP(F86,[1]!china_towns_second__2[[Column1]:[Y]],3,FALSE)</f>
        <v>#N/A</v>
      </c>
      <c r="K86" t="e">
        <f>VLOOKUP(F86,[1]!china_towns_second__2[[Column1]:[Y]],2,FALSE)</f>
        <v>#N/A</v>
      </c>
      <c r="L86" t="s">
        <v>1746</v>
      </c>
      <c r="M86" t="str">
        <f>VLOOKUP(H86,CHOOSE({1,2},Table8[Native],Table8[Name]),2,0)</f>
        <v>Jiāngzī Xiàn</v>
      </c>
      <c r="N86" s="13" t="str">
        <f>VLOOKUP(I86,CHOOSE({1,2},Table8[Native],Table8[Name]),2,0)</f>
        <v>Rìkāzé Shì</v>
      </c>
      <c r="O86" s="13" t="str">
        <f t="shared" si="2"/>
        <v>Chongzi Xiang (Rìkāzé Shì)</v>
      </c>
      <c r="P86" s="13" t="str">
        <f t="shared" si="3"/>
        <v>Chongzi Xiang (Rìkāzé Shì)</v>
      </c>
    </row>
    <row r="87" spans="1:16" hidden="1" x14ac:dyDescent="0.25">
      <c r="A87" t="s">
        <v>388</v>
      </c>
      <c r="B87" t="str">
        <f>IF(COUNTIF(A:A,A87)&gt;1,_xlfn.CONCAT(A87," (",N87,")"),A87)</f>
        <v>Chūnduī Xiāng</v>
      </c>
      <c r="C87" t="str">
        <f>IF(COUNTIF(B:B,B87)&gt;1,_xlfn.CONCAT(A87," (",M87,")"),B87)</f>
        <v>Chūnduī Xiāng</v>
      </c>
      <c r="D87" t="s">
        <v>389</v>
      </c>
      <c r="E87" t="s">
        <v>7</v>
      </c>
      <c r="F87" t="str">
        <f>_xlfn.CONCAT(D87,", ",H87,", ",I87,", ","西藏自治区")</f>
        <v>春堆乡, 林周县, 拉萨市, 西藏自治区</v>
      </c>
      <c r="G87">
        <v>4840</v>
      </c>
      <c r="H87" t="s">
        <v>1433</v>
      </c>
      <c r="I87" t="s">
        <v>1428</v>
      </c>
      <c r="J87" t="e">
        <f>VLOOKUP(F87,[1]!china_towns_second__2[[Column1]:[Y]],3,FALSE)</f>
        <v>#N/A</v>
      </c>
      <c r="K87" t="e">
        <f>VLOOKUP(F87,[1]!china_towns_second__2[[Column1]:[Y]],2,FALSE)</f>
        <v>#N/A</v>
      </c>
      <c r="L87" t="s">
        <v>1747</v>
      </c>
      <c r="M87" t="str">
        <f>VLOOKUP(H87,CHOOSE({1,2},Table8[Native],Table8[Name]),2,0)</f>
        <v>Línzhōu Xiàn</v>
      </c>
      <c r="N87" s="13" t="str">
        <f>VLOOKUP(I87,CHOOSE({1,2},Table8[Native],Table8[Name]),2,0)</f>
        <v>Lāsà Shì</v>
      </c>
      <c r="O87" s="13" t="str">
        <f t="shared" si="2"/>
        <v>Chundui Xiang (Lāsà Shì)</v>
      </c>
      <c r="P87" s="13" t="str">
        <f t="shared" si="3"/>
        <v>Chundui Xiang (Lāsà Shì)</v>
      </c>
    </row>
    <row r="88" spans="1:16" hidden="1" x14ac:dyDescent="0.25">
      <c r="A88" t="s">
        <v>898</v>
      </c>
      <c r="B88" t="str">
        <f>IF(COUNTIF(A:A,A88)&gt;1,_xlfn.CONCAT(A88," (",N88,")"),A88)</f>
        <v>Chūnzhé Xiāng</v>
      </c>
      <c r="C88" t="str">
        <f>IF(COUNTIF(B:B,B88)&gt;1,_xlfn.CONCAT(A88," (",M88,")"),B88)</f>
        <v>Chūnzhé Xiāng</v>
      </c>
      <c r="D88" t="s">
        <v>899</v>
      </c>
      <c r="E88" t="s">
        <v>7</v>
      </c>
      <c r="F88" t="str">
        <f>_xlfn.CONCAT(D88,", ",H88,", ",I88,", ","西藏自治区")</f>
        <v>春哲乡, 谢通门县, 日喀则市, 西藏自治区</v>
      </c>
      <c r="G88">
        <v>1222</v>
      </c>
      <c r="H88" t="s">
        <v>1474</v>
      </c>
      <c r="I88" t="s">
        <v>1458</v>
      </c>
      <c r="J88" t="e">
        <f>VLOOKUP(F88,[1]!china_towns_second__2[[Column1]:[Y]],3,FALSE)</f>
        <v>#N/A</v>
      </c>
      <c r="K88" t="e">
        <f>VLOOKUP(F88,[1]!china_towns_second__2[[Column1]:[Y]],2,FALSE)</f>
        <v>#N/A</v>
      </c>
      <c r="L88" t="s">
        <v>1748</v>
      </c>
      <c r="M88" t="str">
        <f>VLOOKUP(H88,CHOOSE({1,2},Table8[Native],Table8[Name]),2,0)</f>
        <v>Xiètōngmén Xiàn</v>
      </c>
      <c r="N88" s="13" t="str">
        <f>VLOOKUP(I88,CHOOSE({1,2},Table8[Native],Table8[Name]),2,0)</f>
        <v>Rìkāzé Shì</v>
      </c>
      <c r="O88" s="13" t="str">
        <f t="shared" si="2"/>
        <v>Chunzhe Xiang (Rìkāzé Shì)</v>
      </c>
      <c r="P88" s="13" t="str">
        <f t="shared" si="3"/>
        <v>Chunzhe Xiang (Rìkāzé Shì)</v>
      </c>
    </row>
    <row r="89" spans="1:16" hidden="1" x14ac:dyDescent="0.25">
      <c r="A89" t="s">
        <v>12</v>
      </c>
      <c r="B89" t="str">
        <f>IF(COUNTIF(A:A,A89)&gt;1,_xlfn.CONCAT(A89," (",N89,")"),A89)</f>
        <v>Císhí Xiāng</v>
      </c>
      <c r="C89" t="str">
        <f>IF(COUNTIF(B:B,B89)&gt;1,_xlfn.CONCAT(A89," (",M89,")"),B89)</f>
        <v>Císhí Xiāng</v>
      </c>
      <c r="D89" t="s">
        <v>13</v>
      </c>
      <c r="E89" t="s">
        <v>7</v>
      </c>
      <c r="F89" t="str">
        <f>_xlfn.CONCAT(D89,", ",H89,", ",I89,", ","西藏自治区")</f>
        <v>磁石乡, 措勤县, 阿里地区, 西藏自治区</v>
      </c>
      <c r="G89">
        <v>2498</v>
      </c>
      <c r="H89" t="s">
        <v>1407</v>
      </c>
      <c r="I89" t="s">
        <v>1405</v>
      </c>
      <c r="J89" t="e">
        <f>VLOOKUP(F89,[1]!china_towns_second__2[[Column1]:[Y]],3,FALSE)</f>
        <v>#N/A</v>
      </c>
      <c r="K89" t="e">
        <f>VLOOKUP(F89,[1]!china_towns_second__2[[Column1]:[Y]],2,FALSE)</f>
        <v>#N/A</v>
      </c>
      <c r="L89" t="s">
        <v>1749</v>
      </c>
      <c r="M89" t="str">
        <f>VLOOKUP(H89,CHOOSE({1,2},Table8[Native],Table8[Name]),2,0)</f>
        <v>Cuòqín Xiàn</v>
      </c>
      <c r="N89" s="13" t="str">
        <f>VLOOKUP(I89,CHOOSE({1,2},Table8[Native],Table8[Name]),2,0)</f>
        <v>Ālĭ Dìqū</v>
      </c>
      <c r="O89" s="13" t="str">
        <f t="shared" si="2"/>
        <v>Cishi Xiang (Ālĭ Dìqū)</v>
      </c>
      <c r="P89" s="13" t="str">
        <f t="shared" si="3"/>
        <v>Cishi Xiang (Ālĭ Dìqū)</v>
      </c>
    </row>
    <row r="90" spans="1:16" hidden="1" x14ac:dyDescent="0.25">
      <c r="A90" t="s">
        <v>1257</v>
      </c>
      <c r="B90" t="str">
        <f>IF(COUNTIF(A:A,A90)&gt;1,_xlfn.CONCAT(A90," (",N90,")"),A90)</f>
        <v>Cuījiŭ Xiāng</v>
      </c>
      <c r="C90" t="str">
        <f>IF(COUNTIF(B:B,B90)&gt;1,_xlfn.CONCAT(A90," (",M90,")"),B90)</f>
        <v>Cuījiŭ Xiāng</v>
      </c>
      <c r="D90" t="s">
        <v>1258</v>
      </c>
      <c r="E90" t="s">
        <v>7</v>
      </c>
      <c r="F90" t="str">
        <f>_xlfn.CONCAT(D90,", ",H90,", ",I90,", ","西藏自治区")</f>
        <v>崔久乡, 加查县, 山南市, 西藏自治区</v>
      </c>
      <c r="G90">
        <v>620</v>
      </c>
      <c r="H90" t="s">
        <v>1481</v>
      </c>
      <c r="I90" t="s">
        <v>1477</v>
      </c>
      <c r="J90" t="e">
        <f>VLOOKUP(F90,[1]!china_towns_second__2[[Column1]:[Y]],3,FALSE)</f>
        <v>#N/A</v>
      </c>
      <c r="K90" t="e">
        <f>VLOOKUP(F90,[1]!china_towns_second__2[[Column1]:[Y]],2,FALSE)</f>
        <v>#N/A</v>
      </c>
      <c r="L90" t="s">
        <v>1750</v>
      </c>
      <c r="M90" t="str">
        <f>VLOOKUP(H90,CHOOSE({1,2},Table8[Native],Table8[Name]),2,0)</f>
        <v>Jiāchá Xiàn</v>
      </c>
      <c r="N90" s="13" t="str">
        <f>VLOOKUP(I90,CHOOSE({1,2},Table8[Native],Table8[Name]),2,0)</f>
        <v>Shānnán Shì</v>
      </c>
      <c r="O90" s="13" t="str">
        <f t="shared" si="2"/>
        <v>Cuijiu Xiang (Shānnán Shì)</v>
      </c>
      <c r="P90" s="13" t="str">
        <f t="shared" si="3"/>
        <v>Cuijiu Xiang (Shānnán Shì)</v>
      </c>
    </row>
    <row r="91" spans="1:16" hidden="1" x14ac:dyDescent="0.25">
      <c r="A91" t="s">
        <v>900</v>
      </c>
      <c r="B91" t="str">
        <f>IF(COUNTIF(A:A,A91)&gt;1,_xlfn.CONCAT(A91," (",N91,")"),A91)</f>
        <v>Cuòbùxī Xiāng</v>
      </c>
      <c r="C91" t="str">
        <f>IF(COUNTIF(B:B,B91)&gt;1,_xlfn.CONCAT(A91," (",M91,")"),B91)</f>
        <v>Cuòbùxī Xiāng</v>
      </c>
      <c r="D91" t="s">
        <v>901</v>
      </c>
      <c r="E91" t="s">
        <v>7</v>
      </c>
      <c r="F91" t="str">
        <f>_xlfn.CONCAT(D91,", ",H91,", ",I91,", ","西藏自治区")</f>
        <v>措布西乡, 谢通门县, 日喀则市, 西藏自治区</v>
      </c>
      <c r="G91">
        <v>1720</v>
      </c>
      <c r="H91" t="s">
        <v>1474</v>
      </c>
      <c r="I91" t="s">
        <v>1458</v>
      </c>
      <c r="J91" t="e">
        <f>VLOOKUP(F91,[1]!china_towns_second__2[[Column1]:[Y]],3,FALSE)</f>
        <v>#N/A</v>
      </c>
      <c r="K91" t="e">
        <f>VLOOKUP(F91,[1]!china_towns_second__2[[Column1]:[Y]],2,FALSE)</f>
        <v>#N/A</v>
      </c>
      <c r="L91" t="s">
        <v>1751</v>
      </c>
      <c r="M91" t="str">
        <f>VLOOKUP(H91,CHOOSE({1,2},Table8[Native],Table8[Name]),2,0)</f>
        <v>Xiètōngmén Xiàn</v>
      </c>
      <c r="N91" s="13" t="str">
        <f>VLOOKUP(I91,CHOOSE({1,2},Table8[Native],Table8[Name]),2,0)</f>
        <v>Rìkāzé Shì</v>
      </c>
      <c r="O91" s="13" t="str">
        <f t="shared" si="2"/>
        <v>Cuobuxi Xiang (Rìkāzé Shì)</v>
      </c>
      <c r="P91" s="13" t="str">
        <f t="shared" si="3"/>
        <v>Cuobuxi Xiang (Rìkāzé Shì)</v>
      </c>
    </row>
    <row r="92" spans="1:16" hidden="1" x14ac:dyDescent="0.25">
      <c r="A92" t="s">
        <v>655</v>
      </c>
      <c r="B92" t="str">
        <f>IF(COUNTIF(A:A,A92)&gt;1,_xlfn.CONCAT(A92," (",N92,")"),A92)</f>
        <v>Cuòduō Xiāng</v>
      </c>
      <c r="C92" t="str">
        <f>IF(COUNTIF(B:B,B92)&gt;1,_xlfn.CONCAT(A92," (",M92,")"),B92)</f>
        <v>Cuòduō Xiāng</v>
      </c>
      <c r="D92" t="s">
        <v>656</v>
      </c>
      <c r="E92" t="s">
        <v>7</v>
      </c>
      <c r="F92" t="str">
        <f>_xlfn.CONCAT(D92,", ",H92,", ",I92,", ","西藏自治区")</f>
        <v>措多乡, 嘉黎县, 那曲市, 西藏自治区</v>
      </c>
      <c r="G92">
        <v>4676</v>
      </c>
      <c r="H92" t="s">
        <v>1450</v>
      </c>
      <c r="I92" t="s">
        <v>1445</v>
      </c>
      <c r="J92" t="e">
        <f>VLOOKUP(F92,[1]!china_towns_second__2[[Column1]:[Y]],3,FALSE)</f>
        <v>#N/A</v>
      </c>
      <c r="K92" t="e">
        <f>VLOOKUP(F92,[1]!china_towns_second__2[[Column1]:[Y]],2,FALSE)</f>
        <v>#N/A</v>
      </c>
      <c r="L92" t="s">
        <v>1752</v>
      </c>
      <c r="M92" t="str">
        <f>VLOOKUP(H92,CHOOSE({1,2},Table8[Native],Table8[Name]),2,0)</f>
        <v>Jiālí Xiàn</v>
      </c>
      <c r="N92" s="13" t="str">
        <f>VLOOKUP(I92,CHOOSE({1,2},Table8[Native],Table8[Name]),2,0)</f>
        <v>Nàqŭ Shì</v>
      </c>
      <c r="O92" s="13" t="str">
        <f t="shared" si="2"/>
        <v>Cuoduo Xiang (Nàqŭ Shì)</v>
      </c>
      <c r="P92" s="13" t="str">
        <f t="shared" si="3"/>
        <v>Cuoduo Xiang (Nàqŭ Shì)</v>
      </c>
    </row>
    <row r="93" spans="1:16" hidden="1" x14ac:dyDescent="0.25">
      <c r="A93" t="s">
        <v>521</v>
      </c>
      <c r="B93" t="str">
        <f>IF(COUNTIF(A:A,A93)&gt;1,_xlfn.CONCAT(A93," (",N93,")"),A93)</f>
        <v>Cuògāo Xiāng</v>
      </c>
      <c r="C93" t="str">
        <f>IF(COUNTIF(B:B,B93)&gt;1,_xlfn.CONCAT(A93," (",M93,")"),B93)</f>
        <v>Cuògāo Xiāng</v>
      </c>
      <c r="D93" t="s">
        <v>522</v>
      </c>
      <c r="E93" t="s">
        <v>7</v>
      </c>
      <c r="F93" t="str">
        <f>_xlfn.CONCAT(D93,", ",H93,", ",I93,", ","西藏自治区")</f>
        <v>错高乡, 工布江达县, 林芝市, 西藏自治区</v>
      </c>
      <c r="G93">
        <v>2365</v>
      </c>
      <c r="H93" t="s">
        <v>1441</v>
      </c>
      <c r="I93" t="s">
        <v>1437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1753</v>
      </c>
      <c r="M93" t="str">
        <f>VLOOKUP(H93,CHOOSE({1,2},Table8[Native],Table8[Name]),2,0)</f>
        <v>Gōngbùjiāngdá Xiàn</v>
      </c>
      <c r="N93" s="13" t="str">
        <f>VLOOKUP(I93,CHOOSE({1,2},Table8[Native],Table8[Name]),2,0)</f>
        <v>Línzhī Shì</v>
      </c>
      <c r="O93" s="13" t="str">
        <f t="shared" si="2"/>
        <v>Cuogao Xiang (Línzhī Shì)</v>
      </c>
      <c r="P93" s="13" t="str">
        <f t="shared" si="3"/>
        <v>Cuogao Xiang (Línzhī Shì)</v>
      </c>
    </row>
    <row r="94" spans="1:16" hidden="1" x14ac:dyDescent="0.25">
      <c r="A94" t="s">
        <v>902</v>
      </c>
      <c r="B94" t="str">
        <f>IF(COUNTIF(A:A,A94)&gt;1,_xlfn.CONCAT(A94," (",N94,")"),A94)</f>
        <v>Cuòguŏ Xiāng</v>
      </c>
      <c r="C94" t="str">
        <f>IF(COUNTIF(B:B,B94)&gt;1,_xlfn.CONCAT(A94," (",M94,")"),B94)</f>
        <v>Cuòguŏ Xiāng</v>
      </c>
      <c r="D94" t="s">
        <v>903</v>
      </c>
      <c r="E94" t="s">
        <v>7</v>
      </c>
      <c r="F94" t="str">
        <f>_xlfn.CONCAT(D94,", ",H94,", ",I94,", ","西藏自治区")</f>
        <v>措果乡, 定日县, 日喀则市, 西藏自治区</v>
      </c>
      <c r="G94">
        <v>3556</v>
      </c>
      <c r="H94" t="s">
        <v>1462</v>
      </c>
      <c r="I94" t="s">
        <v>1458</v>
      </c>
      <c r="J94" t="e">
        <f>VLOOKUP(F94,[1]!china_towns_second__2[[Column1]:[Y]],3,FALSE)</f>
        <v>#N/A</v>
      </c>
      <c r="K94" t="e">
        <f>VLOOKUP(F94,[1]!china_towns_second__2[[Column1]:[Y]],2,FALSE)</f>
        <v>#N/A</v>
      </c>
      <c r="L94" t="s">
        <v>1754</v>
      </c>
      <c r="M94" t="str">
        <f>VLOOKUP(H94,CHOOSE({1,2},Table8[Native],Table8[Name]),2,0)</f>
        <v>Dìngrì Xiàn</v>
      </c>
      <c r="N94" s="13" t="str">
        <f>VLOOKUP(I94,CHOOSE({1,2},Table8[Native],Table8[Name]),2,0)</f>
        <v>Rìkāzé Shì</v>
      </c>
      <c r="O94" s="13" t="str">
        <f t="shared" si="2"/>
        <v>Cuoguo Xiang (Rìkāzé Shì)</v>
      </c>
      <c r="P94" s="13" t="str">
        <f t="shared" si="3"/>
        <v>Cuoguo Xiang (Rìkāzé Shì)</v>
      </c>
    </row>
    <row r="95" spans="1:16" hidden="1" x14ac:dyDescent="0.25">
      <c r="A95" t="s">
        <v>657</v>
      </c>
      <c r="B95" t="str">
        <f>IF(COUNTIF(A:A,A95)&gt;1,_xlfn.CONCAT(A95," (",N95,")"),A95)</f>
        <v>Cuòmă Xiāng</v>
      </c>
      <c r="C95" t="str">
        <f>IF(COUNTIF(B:B,B95)&gt;1,_xlfn.CONCAT(A95," (",M95,")"),B95)</f>
        <v>Cuòmă Xiāng</v>
      </c>
      <c r="D95" t="s">
        <v>658</v>
      </c>
      <c r="E95" t="s">
        <v>7</v>
      </c>
      <c r="F95" t="str">
        <f>_xlfn.CONCAT(D95,", ",H95,", ",I95,", ","西藏自治区")</f>
        <v>措玛乡, 安多县, 那曲市, 西藏自治区</v>
      </c>
      <c r="G95">
        <v>3998</v>
      </c>
      <c r="H95" t="s">
        <v>1446</v>
      </c>
      <c r="I95" t="s">
        <v>1445</v>
      </c>
      <c r="J95" t="e">
        <f>VLOOKUP(F95,[1]!china_towns_second__2[[Column1]:[Y]],3,FALSE)</f>
        <v>#N/A</v>
      </c>
      <c r="K95" t="e">
        <f>VLOOKUP(F95,[1]!china_towns_second__2[[Column1]:[Y]],2,FALSE)</f>
        <v>#N/A</v>
      </c>
      <c r="L95" t="s">
        <v>1755</v>
      </c>
      <c r="M95" t="str">
        <f>VLOOKUP(H95,CHOOSE({1,2},Table8[Native],Table8[Name]),2,0)</f>
        <v>Ānduō Xiàn</v>
      </c>
      <c r="N95" s="13" t="str">
        <f>VLOOKUP(I95,CHOOSE({1,2},Table8[Native],Table8[Name]),2,0)</f>
        <v>Nàqŭ Shì</v>
      </c>
      <c r="O95" s="13" t="str">
        <f t="shared" si="2"/>
        <v>Cuoma Xiang (Nàqŭ Shì)</v>
      </c>
      <c r="P95" s="13" t="str">
        <f t="shared" si="3"/>
        <v>Cuoma Xiang (Nàqŭ Shì)</v>
      </c>
    </row>
    <row r="96" spans="1:16" hidden="1" x14ac:dyDescent="0.25">
      <c r="A96" t="s">
        <v>904</v>
      </c>
      <c r="B96" t="str">
        <f>IF(COUNTIF(A:A,A96)&gt;1,_xlfn.CONCAT(A96," (",N96,")"),A96)</f>
        <v>Cuòmài Xiāng</v>
      </c>
      <c r="C96" t="str">
        <f>IF(COUNTIF(B:B,B96)&gt;1,_xlfn.CONCAT(A96," (",M96,")"),B96)</f>
        <v>Cuòmài Xiāng</v>
      </c>
      <c r="D96" t="s">
        <v>905</v>
      </c>
      <c r="E96" t="s">
        <v>7</v>
      </c>
      <c r="F96" t="str">
        <f>_xlfn.CONCAT(D96,", ",H96,", ",I96,", ","西藏自治区")</f>
        <v>措迈乡, 昂仁县, 日喀则市, 西藏自治区</v>
      </c>
      <c r="G96">
        <v>1508</v>
      </c>
      <c r="H96" t="s">
        <v>1459</v>
      </c>
      <c r="I96" t="s">
        <v>1458</v>
      </c>
      <c r="J96" t="e">
        <f>VLOOKUP(F96,[1]!china_towns_second__2[[Column1]:[Y]],3,FALSE)</f>
        <v>#N/A</v>
      </c>
      <c r="K96" t="e">
        <f>VLOOKUP(F96,[1]!china_towns_second__2[[Column1]:[Y]],2,FALSE)</f>
        <v>#N/A</v>
      </c>
      <c r="L96" t="s">
        <v>1756</v>
      </c>
      <c r="M96" t="str">
        <f>VLOOKUP(H96,CHOOSE({1,2},Table8[Native],Table8[Name]),2,0)</f>
        <v>Ángrén Xiàn</v>
      </c>
      <c r="N96" s="13" t="str">
        <f>VLOOKUP(I96,CHOOSE({1,2},Table8[Native],Table8[Name]),2,0)</f>
        <v>Rìkāzé Shì</v>
      </c>
      <c r="O96" s="13" t="str">
        <f t="shared" si="2"/>
        <v>Cuomai Xiang (Rìkāzé Shì)</v>
      </c>
      <c r="P96" s="13" t="str">
        <f t="shared" si="3"/>
        <v>Cuomai Xiang (Rìkāzé Shì)</v>
      </c>
    </row>
    <row r="97" spans="1:16" x14ac:dyDescent="0.25">
      <c r="A97" t="s">
        <v>1259</v>
      </c>
      <c r="B97" t="str">
        <f>IF(COUNTIF(A:A,A97)&gt;1,_xlfn.CONCAT(A97," (",N97,")"),A97)</f>
        <v>Cuòmĕi Zhèn</v>
      </c>
      <c r="C97" t="str">
        <f>IF(COUNTIF(B:B,B97)&gt;1,_xlfn.CONCAT(A97," (",M97,")"),B97)</f>
        <v>Cuòmĕi Zhèn</v>
      </c>
      <c r="D97" t="s">
        <v>1260</v>
      </c>
      <c r="E97" t="s">
        <v>17</v>
      </c>
      <c r="F97" t="str">
        <f>_xlfn.CONCAT(D97,", ",H97,", ",I97,", ","西藏自治区")</f>
        <v>措美镇, 措美县, 山南市, 西藏自治区</v>
      </c>
      <c r="G97">
        <v>4926</v>
      </c>
      <c r="H97" t="s">
        <v>1478</v>
      </c>
      <c r="I97" t="s">
        <v>1477</v>
      </c>
      <c r="J97">
        <f>VLOOKUP(F97,[1]!china_towns_second__2[[Column1]:[Y]],3,FALSE)</f>
        <v>28.472628568632</v>
      </c>
      <c r="K97">
        <f>VLOOKUP(F97,[1]!china_towns_second__2[[Column1]:[Y]],2,FALSE)</f>
        <v>91.358785940000004</v>
      </c>
      <c r="L97" t="s">
        <v>1757</v>
      </c>
      <c r="M97" t="str">
        <f>VLOOKUP(H97,CHOOSE({1,2},Table8[Native],Table8[Name]),2,0)</f>
        <v>Cuòmĕi Xiàn</v>
      </c>
      <c r="N97" s="13" t="str">
        <f>VLOOKUP(I97,CHOOSE({1,2},Table8[Native],Table8[Name]),2,0)</f>
        <v>Shānnán Shì</v>
      </c>
      <c r="O97" s="13" t="str">
        <f t="shared" si="2"/>
        <v>Cuomei Zhen (Shānnán Shì)</v>
      </c>
      <c r="P97" s="13" t="str">
        <f t="shared" si="3"/>
        <v>Cuomei Zhen (Shānnán Shì)</v>
      </c>
    </row>
    <row r="98" spans="1:16" x14ac:dyDescent="0.25">
      <c r="A98" t="s">
        <v>1262</v>
      </c>
      <c r="B98" t="str">
        <f>IF(COUNTIF(A:A,A98)&gt;1,_xlfn.CONCAT(A98," (",N98,")"),A98)</f>
        <v>Cuònèi Zhèn</v>
      </c>
      <c r="C98" t="str">
        <f>IF(COUNTIF(B:B,B98)&gt;1,_xlfn.CONCAT(A98," (",M98,")"),B98)</f>
        <v>Cuònèi Zhèn</v>
      </c>
      <c r="D98" t="s">
        <v>1263</v>
      </c>
      <c r="E98" t="s">
        <v>17</v>
      </c>
      <c r="F98" t="str">
        <f>_xlfn.CONCAT(D98,", ",H98,", ",I98,", ","西藏自治区")</f>
        <v>错那镇, 错那县, 山南市, 西藏自治区</v>
      </c>
      <c r="G98">
        <v>3232</v>
      </c>
      <c r="H98" t="s">
        <v>1479</v>
      </c>
      <c r="I98" t="s">
        <v>1477</v>
      </c>
      <c r="J98">
        <f>VLOOKUP(F98,[1]!china_towns_second__2[[Column1]:[Y]],3,FALSE)</f>
        <v>28.1024315699838</v>
      </c>
      <c r="K98">
        <f>VLOOKUP(F98,[1]!china_towns_second__2[[Column1]:[Y]],2,FALSE)</f>
        <v>91.997766670000004</v>
      </c>
      <c r="L98" t="s">
        <v>1758</v>
      </c>
      <c r="M98" t="str">
        <f>VLOOKUP(H98,CHOOSE({1,2},Table8[Native],Table8[Name]),2,0)</f>
        <v>Cuònà Xiàn</v>
      </c>
      <c r="N98" s="13" t="str">
        <f>VLOOKUP(I98,CHOOSE({1,2},Table8[Native],Table8[Name]),2,0)</f>
        <v>Shānnán Shì</v>
      </c>
      <c r="O98" s="13" t="str">
        <f t="shared" si="2"/>
        <v>Cuonei Zhen (Shānnán Shì)</v>
      </c>
      <c r="P98" s="13" t="str">
        <f t="shared" si="3"/>
        <v>Cuonei Zhen (Shānnán Shì)</v>
      </c>
    </row>
    <row r="99" spans="1:16" x14ac:dyDescent="0.25">
      <c r="A99" t="s">
        <v>15</v>
      </c>
      <c r="B99" t="str">
        <f>IF(COUNTIF(A:A,A99)&gt;1,_xlfn.CONCAT(A99," (",N99,")"),A99)</f>
        <v>Cuòqín Zhèn</v>
      </c>
      <c r="C99" t="str">
        <f>IF(COUNTIF(B:B,B99)&gt;1,_xlfn.CONCAT(A99," (",M99,")"),B99)</f>
        <v>Cuòqín Zhèn</v>
      </c>
      <c r="D99" t="s">
        <v>16</v>
      </c>
      <c r="E99" t="s">
        <v>17</v>
      </c>
      <c r="F99" t="str">
        <f>_xlfn.CONCAT(D99,", ",H99,", ",I99,", ","西藏自治区")</f>
        <v>措勤镇, 措勤县, 阿里地区, 西藏自治区</v>
      </c>
      <c r="G99">
        <v>4190</v>
      </c>
      <c r="H99" t="s">
        <v>1407</v>
      </c>
      <c r="I99" t="s">
        <v>1405</v>
      </c>
      <c r="J99">
        <f>VLOOKUP(F99,[1]!china_towns_second__2[[Column1]:[Y]],3,FALSE)</f>
        <v>30.972762623845899</v>
      </c>
      <c r="K99">
        <f>VLOOKUP(F99,[1]!china_towns_second__2[[Column1]:[Y]],2,FALSE)</f>
        <v>85.154303569999996</v>
      </c>
      <c r="L99" t="s">
        <v>1759</v>
      </c>
      <c r="M99" t="str">
        <f>VLOOKUP(H99,CHOOSE({1,2},Table8[Native],Table8[Name]),2,0)</f>
        <v>Cuòqín Xiàn</v>
      </c>
      <c r="N99" s="13" t="str">
        <f>VLOOKUP(I99,CHOOSE({1,2},Table8[Native],Table8[Name]),2,0)</f>
        <v>Ālĭ Dìqū</v>
      </c>
      <c r="O99" s="13" t="str">
        <f t="shared" si="2"/>
        <v>Cuoqin Zhen (Ālĭ Dìqū)</v>
      </c>
      <c r="P99" s="13" t="str">
        <f t="shared" si="3"/>
        <v>Cuoqin Zhen (Ālĭ Dìqū)</v>
      </c>
    </row>
    <row r="100" spans="1:16" hidden="1" x14ac:dyDescent="0.25">
      <c r="A100" t="s">
        <v>139</v>
      </c>
      <c r="B100" t="str">
        <f>IF(COUNTIF(A:A,A100)&gt;1,_xlfn.CONCAT(A100," (",N100,")"),A100)</f>
        <v>Cuòwă Xiāng</v>
      </c>
      <c r="C100" t="str">
        <f>IF(COUNTIF(B:B,B100)&gt;1,_xlfn.CONCAT(A100," (",M100,")"),B100)</f>
        <v>Cuòwă Xiāng</v>
      </c>
      <c r="D100" t="s">
        <v>140</v>
      </c>
      <c r="E100" t="s">
        <v>7</v>
      </c>
      <c r="F100" t="str">
        <f>_xlfn.CONCAT(D100,", ",H100,", ",I100,", ","西藏自治区")</f>
        <v>措瓦乡, 芒康县, 昌都市, 西藏自治区</v>
      </c>
      <c r="G100">
        <v>8646</v>
      </c>
      <c r="H100" t="s">
        <v>1426</v>
      </c>
      <c r="I100" t="s">
        <v>1415</v>
      </c>
      <c r="J100" t="e">
        <f>VLOOKUP(F100,[1]!china_towns_second__2[[Column1]:[Y]],3,FALSE)</f>
        <v>#N/A</v>
      </c>
      <c r="K100" t="e">
        <f>VLOOKUP(F100,[1]!china_towns_second__2[[Column1]:[Y]],2,FALSE)</f>
        <v>#N/A</v>
      </c>
      <c r="L100" t="s">
        <v>1760</v>
      </c>
      <c r="M100" t="str">
        <f>VLOOKUP(H100,CHOOSE({1,2},Table8[Native],Table8[Name]),2,0)</f>
        <v>Mángkāng Xiàn</v>
      </c>
      <c r="N100" s="13" t="str">
        <f>VLOOKUP(I100,CHOOSE({1,2},Table8[Native],Table8[Name]),2,0)</f>
        <v>Chāngdū Shì</v>
      </c>
      <c r="O100" s="13" t="str">
        <f t="shared" si="2"/>
        <v>Cuowa Xiang (Chāngdū Shì)</v>
      </c>
      <c r="P100" s="13" t="str">
        <f t="shared" si="3"/>
        <v>Cuowa Xiang (Chāngdū Shì)</v>
      </c>
    </row>
    <row r="101" spans="1:16" x14ac:dyDescent="0.25">
      <c r="A101" t="s">
        <v>659</v>
      </c>
      <c r="B101" t="str">
        <f>IF(COUNTIF(A:A,A101)&gt;1,_xlfn.CONCAT(A101," (",N101,")"),A101)</f>
        <v>Cuòzhéluómă Zhèn</v>
      </c>
      <c r="C101" t="str">
        <f>IF(COUNTIF(B:B,B101)&gt;1,_xlfn.CONCAT(A101," (",M101,")"),B101)</f>
        <v>Cuòzhéluómă Zhèn</v>
      </c>
      <c r="D101" t="s">
        <v>660</v>
      </c>
      <c r="E101" t="s">
        <v>17</v>
      </c>
      <c r="F101" t="str">
        <f>_xlfn.CONCAT(D101,", ",H101,", ",I101,", ","西藏自治区")</f>
        <v>措折罗玛镇, 双湖县, 那曲市, 西藏自治区</v>
      </c>
      <c r="G101">
        <v>2818</v>
      </c>
      <c r="H101" t="s">
        <v>1456</v>
      </c>
      <c r="I101" t="s">
        <v>1445</v>
      </c>
      <c r="J101">
        <f>VLOOKUP(F101,[1]!china_towns_second__2[[Column1]:[Y]],3,FALSE)</f>
        <v>32.151111551855799</v>
      </c>
      <c r="K101">
        <f>VLOOKUP(F101,[1]!china_towns_second__2[[Column1]:[Y]],2,FALSE)</f>
        <v>87.851088570000002</v>
      </c>
      <c r="L101" t="s">
        <v>1761</v>
      </c>
      <c r="M101" t="str">
        <f>VLOOKUP(H101,CHOOSE({1,2},Table8[Native],Table8[Name]),2,0)</f>
        <v>Shuānghú Xiàn</v>
      </c>
      <c r="N101" s="13" t="str">
        <f>VLOOKUP(I101,CHOOSE({1,2},Table8[Native],Table8[Name]),2,0)</f>
        <v>Nàqŭ Shì</v>
      </c>
      <c r="O101" s="13" t="str">
        <f t="shared" si="2"/>
        <v>Cuozheluoma Zhen (Nàqŭ Shì)</v>
      </c>
      <c r="P101" s="13" t="str">
        <f t="shared" si="3"/>
        <v>Cuozheluoma Zhen (Nàqŭ Shì)</v>
      </c>
    </row>
    <row r="102" spans="1:16" hidden="1" x14ac:dyDescent="0.25">
      <c r="A102" t="s">
        <v>661</v>
      </c>
      <c r="B102" t="str">
        <f>IF(COUNTIF(A:A,A102)&gt;1,_xlfn.CONCAT(A102," (",N102,")"),A102)</f>
        <v>Cuòzhéqiángmă Xiāng</v>
      </c>
      <c r="C102" t="str">
        <f>IF(COUNTIF(B:B,B102)&gt;1,_xlfn.CONCAT(A102," (",M102,")"),B102)</f>
        <v>Cuòzhéqiángmă Xiāng</v>
      </c>
      <c r="D102" t="s">
        <v>662</v>
      </c>
      <c r="E102" t="s">
        <v>7</v>
      </c>
      <c r="F102" t="str">
        <f>_xlfn.CONCAT(D102,", ",H102,", ",I102,", ","西藏自治区")</f>
        <v>措折强玛乡, 双湖县, 那曲市, 西藏自治区</v>
      </c>
      <c r="G102">
        <v>1092</v>
      </c>
      <c r="H102" t="s">
        <v>1456</v>
      </c>
      <c r="I102" t="s">
        <v>1445</v>
      </c>
      <c r="J102" t="e">
        <f>VLOOKUP(F102,[1]!china_towns_second__2[[Column1]:[Y]],3,FALSE)</f>
        <v>#N/A</v>
      </c>
      <c r="K102" t="e">
        <f>VLOOKUP(F102,[1]!china_towns_second__2[[Column1]:[Y]],2,FALSE)</f>
        <v>#N/A</v>
      </c>
      <c r="L102" t="s">
        <v>1762</v>
      </c>
      <c r="M102" t="str">
        <f>VLOOKUP(H102,CHOOSE({1,2},Table8[Native],Table8[Name]),2,0)</f>
        <v>Shuānghú Xiàn</v>
      </c>
      <c r="N102" s="13" t="str">
        <f>VLOOKUP(I102,CHOOSE({1,2},Table8[Native],Table8[Name]),2,0)</f>
        <v>Nàqŭ Shì</v>
      </c>
      <c r="O102" s="13" t="str">
        <f t="shared" si="2"/>
        <v>Cuozheqiangma Xiang (Nàqŭ Shì)</v>
      </c>
      <c r="P102" s="13" t="str">
        <f t="shared" si="3"/>
        <v>Cuozheqiangma Xiang (Nàqŭ Shì)</v>
      </c>
    </row>
    <row r="103" spans="1:16" hidden="1" x14ac:dyDescent="0.25">
      <c r="A103" t="s">
        <v>18</v>
      </c>
      <c r="B103" t="str">
        <f>IF(COUNTIF(A:A,A103)&gt;1,_xlfn.CONCAT(A103," (",N103,")"),A103)</f>
        <v>Dábā Xiāng</v>
      </c>
      <c r="C103" t="str">
        <f>IF(COUNTIF(B:B,B103)&gt;1,_xlfn.CONCAT(A103," (",M103,")"),B103)</f>
        <v>Dábā Xiāng</v>
      </c>
      <c r="D103" t="s">
        <v>19</v>
      </c>
      <c r="E103" t="s">
        <v>7</v>
      </c>
      <c r="F103" t="str">
        <f>_xlfn.CONCAT(D103,", ",H103,", ",I103,", ","西藏自治区")</f>
        <v>达巴乡, 札达县, 阿里地区, 西藏自治区</v>
      </c>
      <c r="G103">
        <v>1241</v>
      </c>
      <c r="H103" t="s">
        <v>1413</v>
      </c>
      <c r="I103" t="s">
        <v>1405</v>
      </c>
      <c r="J103" t="e">
        <f>VLOOKUP(F103,[1]!china_towns_second__2[[Column1]:[Y]],3,FALSE)</f>
        <v>#N/A</v>
      </c>
      <c r="K103" t="e">
        <f>VLOOKUP(F103,[1]!china_towns_second__2[[Column1]:[Y]],2,FALSE)</f>
        <v>#N/A</v>
      </c>
      <c r="L103" t="s">
        <v>1763</v>
      </c>
      <c r="M103" t="str">
        <f>VLOOKUP(H103,CHOOSE({1,2},Table8[Native],Table8[Name]),2,0)</f>
        <v>Zhádá Xiàn</v>
      </c>
      <c r="N103" s="13" t="str">
        <f>VLOOKUP(I103,CHOOSE({1,2},Table8[Native],Table8[Name]),2,0)</f>
        <v>Ālĭ Dìqū</v>
      </c>
      <c r="O103" s="13" t="str">
        <f t="shared" si="2"/>
        <v>Daba Xiang (Ālĭ Dìqū)</v>
      </c>
      <c r="P103" s="13" t="str">
        <f t="shared" si="3"/>
        <v>Daba Xiang (Ālĭ Dìqū)</v>
      </c>
    </row>
    <row r="104" spans="1:16" x14ac:dyDescent="0.25">
      <c r="A104" t="s">
        <v>390</v>
      </c>
      <c r="B104" t="str">
        <f>IF(COUNTIF(A:A,A104)&gt;1,_xlfn.CONCAT(A104," (",N104,")"),A104)</f>
        <v>Dágā Zhèn</v>
      </c>
      <c r="C104" t="str">
        <f>IF(COUNTIF(B:B,B104)&gt;1,_xlfn.CONCAT(A104," (",M104,")"),B104)</f>
        <v>Dágā Zhèn</v>
      </c>
      <c r="D104" t="s">
        <v>391</v>
      </c>
      <c r="E104" t="s">
        <v>17</v>
      </c>
      <c r="F104" t="str">
        <f>_xlfn.CONCAT(D104,", ",H104,", ",I104,", ","西藏自治区")</f>
        <v>达嘎镇, 曲水县, 拉萨市, 西藏自治区</v>
      </c>
      <c r="G104">
        <v>7050</v>
      </c>
      <c r="H104" t="s">
        <v>1436</v>
      </c>
      <c r="I104" t="s">
        <v>1428</v>
      </c>
      <c r="J104">
        <f>VLOOKUP(F104,[1]!china_towns_second__2[[Column1]:[Y]],3,FALSE)</f>
        <v>29.430145066107698</v>
      </c>
      <c r="K104">
        <f>VLOOKUP(F104,[1]!china_towns_second__2[[Column1]:[Y]],2,FALSE)</f>
        <v>90.576400050000004</v>
      </c>
      <c r="L104" t="s">
        <v>1764</v>
      </c>
      <c r="M104" t="str">
        <f>VLOOKUP(H104,CHOOSE({1,2},Table8[Native],Table8[Name]),2,0)</f>
        <v>Qŭshuĭ Xiàn</v>
      </c>
      <c r="N104" s="13" t="str">
        <f>VLOOKUP(I104,CHOOSE({1,2},Table8[Native],Table8[Name]),2,0)</f>
        <v>Lāsà Shì</v>
      </c>
      <c r="O104" s="13" t="str">
        <f t="shared" si="2"/>
        <v>Daga Zhen (Lāsà Shì)</v>
      </c>
      <c r="P104" s="13" t="str">
        <f t="shared" si="3"/>
        <v>Daga Zhen (Lāsà Shì)</v>
      </c>
    </row>
    <row r="105" spans="1:16" hidden="1" x14ac:dyDescent="0.25">
      <c r="A105" t="s">
        <v>663</v>
      </c>
      <c r="B105" t="str">
        <f>IF(COUNTIF(A:A,A105)&gt;1,_xlfn.CONCAT(A105," (",N105,")"),A105)</f>
        <v>Dáguŏ Xiāng</v>
      </c>
      <c r="C105" t="str">
        <f>IF(COUNTIF(B:B,B105)&gt;1,_xlfn.CONCAT(A105," (",M105,")"),B105)</f>
        <v>Dáguŏ Xiāng</v>
      </c>
      <c r="D105" t="s">
        <v>664</v>
      </c>
      <c r="E105" t="s">
        <v>7</v>
      </c>
      <c r="F105" t="str">
        <f>_xlfn.CONCAT(D105,", ",H105,", ",I105,", ","西藏自治区")</f>
        <v>达果乡, 尼玛县, 那曲市, 西藏自治区</v>
      </c>
      <c r="G105">
        <v>1649</v>
      </c>
      <c r="H105" t="s">
        <v>1452</v>
      </c>
      <c r="I105" t="s">
        <v>1445</v>
      </c>
      <c r="J105" t="e">
        <f>VLOOKUP(F105,[1]!china_towns_second__2[[Column1]:[Y]],3,FALSE)</f>
        <v>#N/A</v>
      </c>
      <c r="K105" t="e">
        <f>VLOOKUP(F105,[1]!china_towns_second__2[[Column1]:[Y]],2,FALSE)</f>
        <v>#N/A</v>
      </c>
      <c r="L105" t="s">
        <v>1765</v>
      </c>
      <c r="M105" t="str">
        <f>VLOOKUP(H105,CHOOSE({1,2},Table8[Native],Table8[Name]),2,0)</f>
        <v>Nímă Xiàn</v>
      </c>
      <c r="N105" s="13" t="str">
        <f>VLOOKUP(I105,CHOOSE({1,2},Table8[Native],Table8[Name]),2,0)</f>
        <v>Nàqŭ Shì</v>
      </c>
      <c r="O105" s="13" t="str">
        <f t="shared" si="2"/>
        <v>Daguo Xiang (Nàqŭ Shì)</v>
      </c>
      <c r="P105" s="13" t="str">
        <f t="shared" si="3"/>
        <v>Daguo Xiang (Nàqŭ Shì)</v>
      </c>
    </row>
    <row r="106" spans="1:16" hidden="1" x14ac:dyDescent="0.25">
      <c r="A106" t="s">
        <v>906</v>
      </c>
      <c r="B106" t="str">
        <f>IF(COUNTIF(A:A,A106)&gt;1,_xlfn.CONCAT(A106," (",N106,")"),A106)</f>
        <v>Dájílĭng Xiāng</v>
      </c>
      <c r="C106" t="str">
        <f>IF(COUNTIF(B:B,B106)&gt;1,_xlfn.CONCAT(A106," (",M106,")"),B106)</f>
        <v>Dájílĭng Xiāng</v>
      </c>
      <c r="D106" t="s">
        <v>907</v>
      </c>
      <c r="E106" t="s">
        <v>7</v>
      </c>
      <c r="F106" t="str">
        <f>_xlfn.CONCAT(D106,", ",H106,", ",I106,", ","西藏自治区")</f>
        <v>达吉岭乡, 萨嘎县, 日喀则市, 西藏自治区</v>
      </c>
      <c r="G106">
        <v>1169</v>
      </c>
      <c r="H106" t="s">
        <v>1471</v>
      </c>
      <c r="I106" t="s">
        <v>1458</v>
      </c>
      <c r="J106" t="e">
        <f>VLOOKUP(F106,[1]!china_towns_second__2[[Column1]:[Y]],3,FALSE)</f>
        <v>#N/A</v>
      </c>
      <c r="K106" t="e">
        <f>VLOOKUP(F106,[1]!china_towns_second__2[[Column1]:[Y]],2,FALSE)</f>
        <v>#N/A</v>
      </c>
      <c r="L106" t="s">
        <v>1766</v>
      </c>
      <c r="M106" t="str">
        <f>VLOOKUP(H106,CHOOSE({1,2},Table8[Native],Table8[Name]),2,0)</f>
        <v>Sàgā Xiàn</v>
      </c>
      <c r="N106" s="13" t="str">
        <f>VLOOKUP(I106,CHOOSE({1,2},Table8[Native],Table8[Name]),2,0)</f>
        <v>Rìkāzé Shì</v>
      </c>
      <c r="O106" s="13" t="str">
        <f t="shared" si="2"/>
        <v>Dajiling Xiang (Rìkāzé Shì)</v>
      </c>
      <c r="P106" s="13" t="str">
        <f t="shared" si="3"/>
        <v>Dajiling Xiang (Rìkāzé Shì)</v>
      </c>
    </row>
    <row r="107" spans="1:16" hidden="1" x14ac:dyDescent="0.25">
      <c r="A107" t="s">
        <v>908</v>
      </c>
      <c r="B107" t="str">
        <f>IF(COUNTIF(A:A,A107)&gt;1,_xlfn.CONCAT(A107," (",N107,")"),A107)</f>
        <v>Dájū Xiāng</v>
      </c>
      <c r="C107" t="str">
        <f>IF(COUNTIF(B:B,B107)&gt;1,_xlfn.CONCAT(A107," (",M107,")"),B107)</f>
        <v>Dájū Xiāng</v>
      </c>
      <c r="D107" t="s">
        <v>909</v>
      </c>
      <c r="E107" t="s">
        <v>7</v>
      </c>
      <c r="F107" t="str">
        <f>_xlfn.CONCAT(D107,", ",H107,", ",I107,", ","西藏自治区")</f>
        <v>达居乡, 昂仁县, 日喀则市, 西藏自治区</v>
      </c>
      <c r="G107">
        <v>4407</v>
      </c>
      <c r="H107" t="s">
        <v>1459</v>
      </c>
      <c r="I107" t="s">
        <v>1458</v>
      </c>
      <c r="J107" t="e">
        <f>VLOOKUP(F107,[1]!china_towns_second__2[[Column1]:[Y]],3,FALSE)</f>
        <v>#N/A</v>
      </c>
      <c r="K107" t="e">
        <f>VLOOKUP(F107,[1]!china_towns_second__2[[Column1]:[Y]],2,FALSE)</f>
        <v>#N/A</v>
      </c>
      <c r="L107" t="s">
        <v>1767</v>
      </c>
      <c r="M107" t="str">
        <f>VLOOKUP(H107,CHOOSE({1,2},Table8[Native],Table8[Name]),2,0)</f>
        <v>Ángrén Xiàn</v>
      </c>
      <c r="N107" s="13" t="str">
        <f>VLOOKUP(I107,CHOOSE({1,2},Table8[Native],Table8[Name]),2,0)</f>
        <v>Rìkāzé Shì</v>
      </c>
      <c r="O107" s="13" t="str">
        <f t="shared" si="2"/>
        <v>Daju Xiang (Rìkāzé Shì)</v>
      </c>
      <c r="P107" s="13" t="str">
        <f t="shared" si="3"/>
        <v>Daju Xiang (Rìkāzé Shì)</v>
      </c>
    </row>
    <row r="108" spans="1:16" hidden="1" x14ac:dyDescent="0.25">
      <c r="A108" t="s">
        <v>141</v>
      </c>
      <c r="B108" t="str">
        <f>IF(COUNTIF(A:A,A108)&gt;1,_xlfn.CONCAT(A108," (",N108,")"),A108)</f>
        <v>Dálóng Xiāng</v>
      </c>
      <c r="C108" t="str">
        <f>IF(COUNTIF(B:B,B108)&gt;1,_xlfn.CONCAT(A108," (",M108,")"),B108)</f>
        <v>Dálóng Xiāng</v>
      </c>
      <c r="D108" t="s">
        <v>142</v>
      </c>
      <c r="E108" t="s">
        <v>7</v>
      </c>
      <c r="F108" t="str">
        <f>_xlfn.CONCAT(D108,", ",H108,", ",I108,", ","西藏自治区")</f>
        <v>达龙乡, 洛隆县, 昌都市, 西藏自治区</v>
      </c>
      <c r="G108">
        <v>1244</v>
      </c>
      <c r="H108" t="s">
        <v>1425</v>
      </c>
      <c r="I108" t="s">
        <v>1415</v>
      </c>
      <c r="J108" t="e">
        <f>VLOOKUP(F108,[1]!china_towns_second__2[[Column1]:[Y]],3,FALSE)</f>
        <v>#N/A</v>
      </c>
      <c r="K108" t="e">
        <f>VLOOKUP(F108,[1]!china_towns_second__2[[Column1]:[Y]],2,FALSE)</f>
        <v>#N/A</v>
      </c>
      <c r="L108" t="s">
        <v>1768</v>
      </c>
      <c r="M108" t="str">
        <f>VLOOKUP(H108,CHOOSE({1,2},Table8[Native],Table8[Name]),2,0)</f>
        <v>Luòlóng Xiàn</v>
      </c>
      <c r="N108" s="13" t="str">
        <f>VLOOKUP(I108,CHOOSE({1,2},Table8[Native],Table8[Name]),2,0)</f>
        <v>Chāngdū Shì</v>
      </c>
      <c r="O108" s="13" t="str">
        <f t="shared" si="2"/>
        <v>Dalong Xiang (Chāngdū Shì)</v>
      </c>
      <c r="P108" s="13" t="str">
        <f t="shared" si="3"/>
        <v>Dalong Xiang (Chāngdū Shì)</v>
      </c>
    </row>
    <row r="109" spans="1:16" x14ac:dyDescent="0.25">
      <c r="A109" t="s">
        <v>1265</v>
      </c>
      <c r="B109" t="str">
        <f>IF(COUNTIF(A:A,A109)&gt;1,_xlfn.CONCAT(A109," (",N109,")"),A109)</f>
        <v>Dălóng Zhèn</v>
      </c>
      <c r="C109" t="str">
        <f>IF(COUNTIF(B:B,B109)&gt;1,_xlfn.CONCAT(A109," (",M109,")"),B109)</f>
        <v>Dălóng Zhèn</v>
      </c>
      <c r="D109" t="s">
        <v>1266</v>
      </c>
      <c r="E109" t="s">
        <v>17</v>
      </c>
      <c r="F109" t="str">
        <f>_xlfn.CONCAT(D109,", ",H109,", ",I109,", ","西藏自治区")</f>
        <v>打隆镇, 浪卡子县, 山南市, 西藏自治区</v>
      </c>
      <c r="G109">
        <v>4672</v>
      </c>
      <c r="H109" t="s">
        <v>1482</v>
      </c>
      <c r="I109" t="s">
        <v>1477</v>
      </c>
      <c r="J109">
        <f>VLOOKUP(F109,[1]!china_towns_second__2[[Column1]:[Y]],3,FALSE)</f>
        <v>28.649337221682799</v>
      </c>
      <c r="K109">
        <f>VLOOKUP(F109,[1]!china_towns_second__2[[Column1]:[Y]],2,FALSE)</f>
        <v>90.502583200000004</v>
      </c>
      <c r="L109" t="s">
        <v>1769</v>
      </c>
      <c r="M109" t="str">
        <f>VLOOKUP(H109,CHOOSE({1,2},Table8[Native],Table8[Name]),2,0)</f>
        <v>Làngkăzi Xiàn</v>
      </c>
      <c r="N109" s="13" t="str">
        <f>VLOOKUP(I109,CHOOSE({1,2},Table8[Native],Table8[Name]),2,0)</f>
        <v>Shānnán Shì</v>
      </c>
      <c r="O109" s="13" t="str">
        <f t="shared" si="2"/>
        <v>Dalong Zhen (Shānnán Shì)</v>
      </c>
      <c r="P109" s="13" t="str">
        <f t="shared" si="3"/>
        <v>Dalong Zhen (Shānnán Shì)</v>
      </c>
    </row>
    <row r="110" spans="1:16" hidden="1" x14ac:dyDescent="0.25">
      <c r="A110" t="s">
        <v>523</v>
      </c>
      <c r="B110" t="str">
        <f>IF(COUNTIF(A:A,A110)&gt;1,_xlfn.CONCAT(A110," (",N110,")"),A110)</f>
        <v>Dámùluòbā Mínzú Xiāng</v>
      </c>
      <c r="C110" t="str">
        <f>IF(COUNTIF(B:B,B110)&gt;1,_xlfn.CONCAT(A110," (",M110,")"),B110)</f>
        <v>Dámùluòbā Mínzú Xiāng</v>
      </c>
      <c r="D110" t="s">
        <v>524</v>
      </c>
      <c r="E110" t="s">
        <v>7</v>
      </c>
      <c r="F110" t="str">
        <f>_xlfn.CONCAT(D110,", ",H110,", ",I110,", ","西藏自治区")</f>
        <v>达木珞巴民族乡, 墨脱县, 林芝市, 西藏自治区</v>
      </c>
      <c r="G110">
        <v>1263</v>
      </c>
      <c r="H110" t="s">
        <v>1444</v>
      </c>
      <c r="I110" t="s">
        <v>1437</v>
      </c>
      <c r="J110" t="e">
        <f>VLOOKUP(F110,[1]!china_towns_second__2[[Column1]:[Y]],3,FALSE)</f>
        <v>#N/A</v>
      </c>
      <c r="K110" t="e">
        <f>VLOOKUP(F110,[1]!china_towns_second__2[[Column1]:[Y]],2,FALSE)</f>
        <v>#N/A</v>
      </c>
      <c r="L110" t="s">
        <v>1770</v>
      </c>
      <c r="M110" t="str">
        <f>VLOOKUP(H110,CHOOSE({1,2},Table8[Native],Table8[Name]),2,0)</f>
        <v>Mòtuō Xiàn</v>
      </c>
      <c r="N110" s="13" t="str">
        <f>VLOOKUP(I110,CHOOSE({1,2},Table8[Native],Table8[Name]),2,0)</f>
        <v>Línzhī Shì</v>
      </c>
      <c r="O110" s="13" t="str">
        <f t="shared" si="2"/>
        <v>Damuluoba Minzu Xiang (Línzhī Shì)</v>
      </c>
      <c r="P110" s="13" t="str">
        <f t="shared" si="3"/>
        <v>Damuluoba Minzu Xiang (Línzhī Shì)</v>
      </c>
    </row>
    <row r="111" spans="1:16" hidden="1" x14ac:dyDescent="0.25">
      <c r="A111" t="s">
        <v>910</v>
      </c>
      <c r="B111" t="str">
        <f>IF(COUNTIF(A:A,A111)&gt;1,_xlfn.CONCAT(A111," (",N111,")"),A111)</f>
        <v>Dámùxià Xiāng</v>
      </c>
      <c r="C111" t="str">
        <f>IF(COUNTIF(B:B,B111)&gt;1,_xlfn.CONCAT(A111," (",M111,")"),B111)</f>
        <v>Dámùxià Xiāng</v>
      </c>
      <c r="D111" t="s">
        <v>911</v>
      </c>
      <c r="E111" t="s">
        <v>7</v>
      </c>
      <c r="F111" t="str">
        <f>_xlfn.CONCAT(D111,", ",H111,", ",I111,", ","西藏自治区")</f>
        <v>达木夏乡, 谢通门县, 日喀则市, 西藏自治区</v>
      </c>
      <c r="G111">
        <v>4237</v>
      </c>
      <c r="H111" t="s">
        <v>1474</v>
      </c>
      <c r="I111" t="s">
        <v>1458</v>
      </c>
      <c r="J111" t="e">
        <f>VLOOKUP(F111,[1]!china_towns_second__2[[Column1]:[Y]],3,FALSE)</f>
        <v>#N/A</v>
      </c>
      <c r="K111" t="e">
        <f>VLOOKUP(F111,[1]!china_towns_second__2[[Column1]:[Y]],2,FALSE)</f>
        <v>#N/A</v>
      </c>
      <c r="L111" t="s">
        <v>1771</v>
      </c>
      <c r="M111" t="str">
        <f>VLOOKUP(H111,CHOOSE({1,2},Table8[Native],Table8[Name]),2,0)</f>
        <v>Xiètōngmén Xiàn</v>
      </c>
      <c r="N111" s="13" t="str">
        <f>VLOOKUP(I111,CHOOSE({1,2},Table8[Native],Table8[Name]),2,0)</f>
        <v>Rìkāzé Shì</v>
      </c>
      <c r="O111" s="13" t="str">
        <f t="shared" si="2"/>
        <v>Damuxia Xiang (Rìkāzé Shì)</v>
      </c>
      <c r="P111" s="13" t="str">
        <f t="shared" si="3"/>
        <v>Damuxia Xiang (Rìkāzé Shì)</v>
      </c>
    </row>
    <row r="112" spans="1:16" hidden="1" x14ac:dyDescent="0.25">
      <c r="A112" t="s">
        <v>912</v>
      </c>
      <c r="B112" t="str">
        <f>IF(COUNTIF(A:A,A112)&gt;1,_xlfn.CONCAT(A112," (",N112,")"),A112)</f>
        <v>Dánàdá Xiāng</v>
      </c>
      <c r="C112" t="str">
        <f>IF(COUNTIF(B:B,B112)&gt;1,_xlfn.CONCAT(A112," (",M112,")"),B112)</f>
        <v>Dánàdá Xiāng</v>
      </c>
      <c r="D112" t="s">
        <v>913</v>
      </c>
      <c r="E112" t="s">
        <v>7</v>
      </c>
      <c r="F112" t="str">
        <f>_xlfn.CONCAT(D112,", ",H112,", ",I112,", ","西藏自治区")</f>
        <v>达那答乡, 谢通门县, 日喀则市, 西藏自治区</v>
      </c>
      <c r="G112">
        <v>3631</v>
      </c>
      <c r="H112" t="s">
        <v>1474</v>
      </c>
      <c r="I112" t="s">
        <v>1458</v>
      </c>
      <c r="J112" t="e">
        <f>VLOOKUP(F112,[1]!china_towns_second__2[[Column1]:[Y]],3,FALSE)</f>
        <v>#N/A</v>
      </c>
      <c r="K112" t="e">
        <f>VLOOKUP(F112,[1]!china_towns_second__2[[Column1]:[Y]],2,FALSE)</f>
        <v>#N/A</v>
      </c>
      <c r="L112" t="s">
        <v>1772</v>
      </c>
      <c r="M112" t="str">
        <f>VLOOKUP(H112,CHOOSE({1,2},Table8[Native],Table8[Name]),2,0)</f>
        <v>Xiètōngmén Xiàn</v>
      </c>
      <c r="N112" s="13" t="str">
        <f>VLOOKUP(I112,CHOOSE({1,2},Table8[Native],Table8[Name]),2,0)</f>
        <v>Rìkāzé Shì</v>
      </c>
      <c r="O112" s="13" t="str">
        <f t="shared" si="2"/>
        <v>Danada Xiang (Rìkāzé Shì)</v>
      </c>
      <c r="P112" s="13" t="str">
        <f t="shared" si="3"/>
        <v>Danada Xiang (Rìkāzé Shì)</v>
      </c>
    </row>
    <row r="113" spans="1:16" hidden="1" x14ac:dyDescent="0.25">
      <c r="A113" t="s">
        <v>914</v>
      </c>
      <c r="B113" t="str">
        <f>IF(COUNTIF(A:A,A113)&gt;1,_xlfn.CONCAT(A113," (",N113,")"),A113)</f>
        <v>Dánàpŭ Xiāng</v>
      </c>
      <c r="C113" t="str">
        <f>IF(COUNTIF(B:B,B113)&gt;1,_xlfn.CONCAT(A113," (",M113,")"),B113)</f>
        <v>Dánàpŭ Xiāng</v>
      </c>
      <c r="D113" t="s">
        <v>915</v>
      </c>
      <c r="E113" t="s">
        <v>7</v>
      </c>
      <c r="F113" t="str">
        <f>_xlfn.CONCAT(D113,", ",H113,", ",I113,", ","西藏自治区")</f>
        <v>达那普乡, 谢通门县, 日喀则市, 西藏自治区</v>
      </c>
      <c r="G113">
        <v>2216</v>
      </c>
      <c r="H113" t="s">
        <v>1474</v>
      </c>
      <c r="I113" t="s">
        <v>1458</v>
      </c>
      <c r="J113" t="e">
        <f>VLOOKUP(F113,[1]!china_towns_second__2[[Column1]:[Y]],3,FALSE)</f>
        <v>#N/A</v>
      </c>
      <c r="K113" t="e">
        <f>VLOOKUP(F113,[1]!china_towns_second__2[[Column1]:[Y]],2,FALSE)</f>
        <v>#N/A</v>
      </c>
      <c r="L113" t="s">
        <v>1773</v>
      </c>
      <c r="M113" t="str">
        <f>VLOOKUP(H113,CHOOSE({1,2},Table8[Native],Table8[Name]),2,0)</f>
        <v>Xiètōngmén Xiàn</v>
      </c>
      <c r="N113" s="13" t="str">
        <f>VLOOKUP(I113,CHOOSE({1,2},Table8[Native],Table8[Name]),2,0)</f>
        <v>Rìkāzé Shì</v>
      </c>
      <c r="O113" s="13" t="str">
        <f t="shared" si="2"/>
        <v>Danapu Xiang (Rìkāzé Shì)</v>
      </c>
      <c r="P113" s="13" t="str">
        <f t="shared" si="3"/>
        <v>Danapu Xiang (Rìkāzé Shì)</v>
      </c>
    </row>
    <row r="114" spans="1:16" hidden="1" x14ac:dyDescent="0.25">
      <c r="A114" t="s">
        <v>916</v>
      </c>
      <c r="B114" t="str">
        <f>IF(COUNTIF(A:A,A114)&gt;1,_xlfn.CONCAT(A114," (",N114,")"),A114)</f>
        <v>Dánèi Xiāng</v>
      </c>
      <c r="C114" t="str">
        <f>IF(COUNTIF(B:B,B114)&gt;1,_xlfn.CONCAT(A114," (",M114,")"),B114)</f>
        <v>Dánèi Xiāng</v>
      </c>
      <c r="D114" t="s">
        <v>917</v>
      </c>
      <c r="E114" t="s">
        <v>7</v>
      </c>
      <c r="F114" t="str">
        <f>_xlfn.CONCAT(D114,", ",H114,", ",I114,", ","西藏自治区")</f>
        <v>达那乡, 南木林县, 日喀则市, 西藏自治区</v>
      </c>
      <c r="G114">
        <v>2448</v>
      </c>
      <c r="H114" t="s">
        <v>1468</v>
      </c>
      <c r="I114" t="s">
        <v>1458</v>
      </c>
      <c r="J114" t="e">
        <f>VLOOKUP(F114,[1]!china_towns_second__2[[Column1]:[Y]],3,FALSE)</f>
        <v>#N/A</v>
      </c>
      <c r="K114" t="e">
        <f>VLOOKUP(F114,[1]!china_towns_second__2[[Column1]:[Y]],2,FALSE)</f>
        <v>#N/A</v>
      </c>
      <c r="L114" t="s">
        <v>1774</v>
      </c>
      <c r="M114" t="str">
        <f>VLOOKUP(H114,CHOOSE({1,2},Table8[Native],Table8[Name]),2,0)</f>
        <v>Nánmùlín Xiàn</v>
      </c>
      <c r="N114" s="13" t="str">
        <f>VLOOKUP(I114,CHOOSE({1,2},Table8[Native],Table8[Name]),2,0)</f>
        <v>Rìkāzé Shì</v>
      </c>
      <c r="O114" s="13" t="str">
        <f t="shared" si="2"/>
        <v>Danei Xiang (Rìkāzé Shì)</v>
      </c>
      <c r="P114" s="13" t="str">
        <f t="shared" si="3"/>
        <v>Danei Xiang (Rìkāzé Shì)</v>
      </c>
    </row>
    <row r="115" spans="1:16" hidden="1" x14ac:dyDescent="0.25">
      <c r="A115" t="s">
        <v>918</v>
      </c>
      <c r="B115" t="str">
        <f>IF(COUNTIF(A:A,A115)&gt;1,_xlfn.CONCAT(A115," (",N115,")"),A115)</f>
        <v>Dàngā Xiāng</v>
      </c>
      <c r="C115" t="str">
        <f>IF(COUNTIF(B:B,B115)&gt;1,_xlfn.CONCAT(A115," (",M115,")"),B115)</f>
        <v>Dàngā Xiāng</v>
      </c>
      <c r="D115" t="s">
        <v>919</v>
      </c>
      <c r="E115" t="s">
        <v>7</v>
      </c>
      <c r="F115" t="str">
        <f>_xlfn.CONCAT(D115,", ",H115,", ",I115,", ","西藏自治区")</f>
        <v>旦嘎乡, 萨嘎县, 日喀则市, 西藏自治区</v>
      </c>
      <c r="G115">
        <v>1505</v>
      </c>
      <c r="H115" t="s">
        <v>1471</v>
      </c>
      <c r="I115" t="s">
        <v>1458</v>
      </c>
      <c r="J115" t="e">
        <f>VLOOKUP(F115,[1]!china_towns_second__2[[Column1]:[Y]],3,FALSE)</f>
        <v>#N/A</v>
      </c>
      <c r="K115" t="e">
        <f>VLOOKUP(F115,[1]!china_towns_second__2[[Column1]:[Y]],2,FALSE)</f>
        <v>#N/A</v>
      </c>
      <c r="L115" t="s">
        <v>1775</v>
      </c>
      <c r="M115" t="str">
        <f>VLOOKUP(H115,CHOOSE({1,2},Table8[Native],Table8[Name]),2,0)</f>
        <v>Sàgā Xiàn</v>
      </c>
      <c r="N115" s="13" t="str">
        <f>VLOOKUP(I115,CHOOSE({1,2},Table8[Native],Table8[Name]),2,0)</f>
        <v>Rìkāzé Shì</v>
      </c>
      <c r="O115" s="13" t="str">
        <f t="shared" si="2"/>
        <v>Danga Xiang (Rìkāzé Shì)</v>
      </c>
      <c r="P115" s="13" t="str">
        <f t="shared" si="3"/>
        <v>Danga Xiang (Rìkāzé Shì)</v>
      </c>
    </row>
    <row r="116" spans="1:16" hidden="1" x14ac:dyDescent="0.25">
      <c r="A116" t="s">
        <v>143</v>
      </c>
      <c r="B116" t="str">
        <f>IF(COUNTIF(A:A,A116)&gt;1,_xlfn.CONCAT(A116," (",N116,")"),A116)</f>
        <v>Dāngduī Xiāng</v>
      </c>
      <c r="C116" t="str">
        <f>IF(COUNTIF(B:B,B116)&gt;1,_xlfn.CONCAT(A116," (",M116,")"),B116)</f>
        <v>Dāngduī Xiāng</v>
      </c>
      <c r="D116" t="s">
        <v>144</v>
      </c>
      <c r="E116" t="s">
        <v>7</v>
      </c>
      <c r="F116" t="str">
        <f>_xlfn.CONCAT(D116,", ",H116,", ",I116,", ","西藏自治区")</f>
        <v>当堆乡, 丁青县, 昌都市, 西藏自治区</v>
      </c>
      <c r="G116">
        <v>5926</v>
      </c>
      <c r="H116" t="s">
        <v>1419</v>
      </c>
      <c r="I116" t="s">
        <v>1415</v>
      </c>
      <c r="J116" t="e">
        <f>VLOOKUP(F116,[1]!china_towns_second__2[[Column1]:[Y]],3,FALSE)</f>
        <v>#N/A</v>
      </c>
      <c r="K116" t="e">
        <f>VLOOKUP(F116,[1]!china_towns_second__2[[Column1]:[Y]],2,FALSE)</f>
        <v>#N/A</v>
      </c>
      <c r="L116" t="s">
        <v>1776</v>
      </c>
      <c r="M116" t="str">
        <f>VLOOKUP(H116,CHOOSE({1,2},Table8[Native],Table8[Name]),2,0)</f>
        <v>Dīngqīng Xiàn</v>
      </c>
      <c r="N116" s="13" t="str">
        <f>VLOOKUP(I116,CHOOSE({1,2},Table8[Native],Table8[Name]),2,0)</f>
        <v>Chāngdū Shì</v>
      </c>
      <c r="O116" s="13" t="str">
        <f t="shared" si="2"/>
        <v>Dangdui Xiang (Chāngdū Shì)</v>
      </c>
      <c r="P116" s="13" t="str">
        <f t="shared" si="3"/>
        <v>Dangdui Xiang (Chāngdū Shì)</v>
      </c>
    </row>
    <row r="117" spans="1:16" hidden="1" x14ac:dyDescent="0.25">
      <c r="A117" t="s">
        <v>665</v>
      </c>
      <c r="B117" t="str">
        <f>IF(COUNTIF(A:A,A117)&gt;1,_xlfn.CONCAT(A117," (",N117,")"),A117)</f>
        <v>Dāngmùjiāng Xiāng [in: Qīnghăi (partly)]</v>
      </c>
      <c r="C117" t="str">
        <f>IF(COUNTIF(B:B,B117)&gt;1,_xlfn.CONCAT(A117," (",M117,")"),B117)</f>
        <v>Dāngmùjiāng Xiāng [in: Qīnghăi (partly)]</v>
      </c>
      <c r="D117" t="s">
        <v>666</v>
      </c>
      <c r="E117" t="s">
        <v>7</v>
      </c>
      <c r="F117" t="str">
        <f>_xlfn.CONCAT(D117,", ",H117,", ",I117,", ","西藏自治区")</f>
        <v>当木江乡, 聂荣县, 那曲市, 西藏自治区</v>
      </c>
      <c r="G117">
        <v>2817</v>
      </c>
      <c r="H117" t="s">
        <v>1451</v>
      </c>
      <c r="I117" t="s">
        <v>1445</v>
      </c>
      <c r="J117" t="e">
        <f>VLOOKUP(F117,[1]!china_towns_second__2[[Column1]:[Y]],3,FALSE)</f>
        <v>#N/A</v>
      </c>
      <c r="K117" t="e">
        <f>VLOOKUP(F117,[1]!china_towns_second__2[[Column1]:[Y]],2,FALSE)</f>
        <v>#N/A</v>
      </c>
      <c r="L117" t="s">
        <v>1777</v>
      </c>
      <c r="M117" t="str">
        <f>VLOOKUP(H117,CHOOSE({1,2},Table8[Native],Table8[Name]),2,0)</f>
        <v>Nièróng Xiàn</v>
      </c>
      <c r="N117" s="13" t="str">
        <f>VLOOKUP(I117,CHOOSE({1,2},Table8[Native],Table8[Name]),2,0)</f>
        <v>Nàqŭ Shì</v>
      </c>
      <c r="O117" s="13" t="str">
        <f t="shared" si="2"/>
        <v>Dangmujiang Xiang [in: Qinghai (partly)] (Nàqŭ Shì)</v>
      </c>
      <c r="P117" s="13" t="str">
        <f t="shared" si="3"/>
        <v>Dangmujiang Xiang [in: Qinghai (partly)] (Nàqŭ Shì)</v>
      </c>
    </row>
    <row r="118" spans="1:16" x14ac:dyDescent="0.25">
      <c r="A118" t="s">
        <v>392</v>
      </c>
      <c r="B118" t="str">
        <f>IF(COUNTIF(A:A,A118)&gt;1,_xlfn.CONCAT(A118," (",N118,")"),A118)</f>
        <v>Dāngqŭkă Zhèn</v>
      </c>
      <c r="C118" t="str">
        <f>IF(COUNTIF(B:B,B118)&gt;1,_xlfn.CONCAT(A118," (",M118,")"),B118)</f>
        <v>Dāngqŭkă Zhèn</v>
      </c>
      <c r="D118" t="s">
        <v>393</v>
      </c>
      <c r="E118" t="s">
        <v>17</v>
      </c>
      <c r="F118" t="str">
        <f>_xlfn.CONCAT(D118,", ",H118,", ",I118,", ","西藏自治区")</f>
        <v>当曲卡镇, 当雄县, 拉萨市, 西藏自治区</v>
      </c>
      <c r="G118">
        <v>5202</v>
      </c>
      <c r="H118" t="s">
        <v>1430</v>
      </c>
      <c r="I118" t="s">
        <v>1428</v>
      </c>
      <c r="J118">
        <f>VLOOKUP(F118,[1]!china_towns_second__2[[Column1]:[Y]],3,FALSE)</f>
        <v>30.504279366446799</v>
      </c>
      <c r="K118">
        <f>VLOOKUP(F118,[1]!china_towns_second__2[[Column1]:[Y]],2,FALSE)</f>
        <v>91.017356329999998</v>
      </c>
      <c r="L118" t="s">
        <v>1778</v>
      </c>
      <c r="M118" t="str">
        <f>VLOOKUP(H118,CHOOSE({1,2},Table8[Native],Table8[Name]),2,0)</f>
        <v>Dāngxióng Xiàn</v>
      </c>
      <c r="N118" s="13" t="str">
        <f>VLOOKUP(I118,CHOOSE({1,2},Table8[Native],Table8[Name]),2,0)</f>
        <v>Lāsà Shì</v>
      </c>
      <c r="O118" s="13" t="str">
        <f t="shared" si="2"/>
        <v>Dangquka Zhen (Lāsà Shì)</v>
      </c>
      <c r="P118" s="13" t="str">
        <f t="shared" si="3"/>
        <v>Dangquka Zhen (Lāsà Shì)</v>
      </c>
    </row>
    <row r="119" spans="1:16" hidden="1" x14ac:dyDescent="0.25">
      <c r="A119" t="s">
        <v>525</v>
      </c>
      <c r="B119" t="str">
        <f>IF(COUNTIF(A:A,A119)&gt;1,_xlfn.CONCAT(A119," (",N119,")"),A119)</f>
        <v>Dānniáng Xiāng</v>
      </c>
      <c r="C119" t="str">
        <f>IF(COUNTIF(B:B,B119)&gt;1,_xlfn.CONCAT(A119," (",M119,")"),B119)</f>
        <v>Dānniáng Xiāng</v>
      </c>
      <c r="D119" t="s">
        <v>526</v>
      </c>
      <c r="E119" t="s">
        <v>7</v>
      </c>
      <c r="F119" t="str">
        <f>_xlfn.CONCAT(D119,", ",H119,", ",I119,", ","西藏自治区")</f>
        <v>丹娘乡, 米林县, 林芝市, 西藏自治区</v>
      </c>
      <c r="G119">
        <v>1774</v>
      </c>
      <c r="H119" t="s">
        <v>1443</v>
      </c>
      <c r="I119" t="s">
        <v>1437</v>
      </c>
      <c r="J119" t="e">
        <f>VLOOKUP(F119,[1]!china_towns_second__2[[Column1]:[Y]],3,FALSE)</f>
        <v>#N/A</v>
      </c>
      <c r="K119" t="e">
        <f>VLOOKUP(F119,[1]!china_towns_second__2[[Column1]:[Y]],2,FALSE)</f>
        <v>#N/A</v>
      </c>
      <c r="L119" t="s">
        <v>1779</v>
      </c>
      <c r="M119" t="str">
        <f>VLOOKUP(H119,CHOOSE({1,2},Table8[Native],Table8[Name]),2,0)</f>
        <v>Mĭlín Xiàn</v>
      </c>
      <c r="N119" s="13" t="str">
        <f>VLOOKUP(I119,CHOOSE({1,2},Table8[Native],Table8[Name]),2,0)</f>
        <v>Línzhī Shì</v>
      </c>
      <c r="O119" s="13" t="str">
        <f t="shared" si="2"/>
        <v>Danniang Xiang (Línzhī Shì)</v>
      </c>
      <c r="P119" s="13" t="str">
        <f t="shared" si="3"/>
        <v>Danniang Xiang (Línzhī Shì)</v>
      </c>
    </row>
    <row r="120" spans="1:16" hidden="1" x14ac:dyDescent="0.25">
      <c r="A120" t="s">
        <v>667</v>
      </c>
      <c r="B120" t="str">
        <f>IF(COUNTIF(A:A,A120)&gt;1,_xlfn.CONCAT(A120," (",N120,")"),A120)</f>
        <v>Dáqián Xiāng</v>
      </c>
      <c r="C120" t="str">
        <f>IF(COUNTIF(B:B,B120)&gt;1,_xlfn.CONCAT(A120," (",M120,")"),B120)</f>
        <v>Dáqián Xiāng</v>
      </c>
      <c r="D120" t="s">
        <v>668</v>
      </c>
      <c r="E120" t="s">
        <v>7</v>
      </c>
      <c r="F120" t="str">
        <f>_xlfn.CONCAT(D120,", ",H120,", ",I120,", ","西藏自治区")</f>
        <v>达前乡, 色尼区, 那曲市, 西藏自治区</v>
      </c>
      <c r="G120">
        <v>4534</v>
      </c>
      <c r="H120" t="s">
        <v>1454</v>
      </c>
      <c r="I120" t="s">
        <v>1445</v>
      </c>
      <c r="J120" t="e">
        <f>VLOOKUP(F120,[1]!china_towns_second__2[[Column1]:[Y]],3,FALSE)</f>
        <v>#N/A</v>
      </c>
      <c r="K120" t="e">
        <f>VLOOKUP(F120,[1]!china_towns_second__2[[Column1]:[Y]],2,FALSE)</f>
        <v>#N/A</v>
      </c>
      <c r="L120" t="s">
        <v>1780</v>
      </c>
      <c r="M120" t="str">
        <f>VLOOKUP(H120,CHOOSE({1,2},Table8[Native],Table8[Name]),2,0)</f>
        <v>Sèní Qū</v>
      </c>
      <c r="N120" s="13" t="str">
        <f>VLOOKUP(I120,CHOOSE({1,2},Table8[Native],Table8[Name]),2,0)</f>
        <v>Nàqŭ Shì</v>
      </c>
      <c r="O120" s="13" t="str">
        <f t="shared" si="2"/>
        <v>Daqian Xiang (Nàqŭ Shì)</v>
      </c>
      <c r="P120" s="13" t="str">
        <f t="shared" si="3"/>
        <v>Daqian Xiang (Nàqŭ Shì)</v>
      </c>
    </row>
    <row r="121" spans="1:16" hidden="1" x14ac:dyDescent="0.25">
      <c r="A121" t="s">
        <v>920</v>
      </c>
      <c r="B121" t="str">
        <f>IF(COUNTIF(A:A,A121)&gt;1,_xlfn.CONCAT(A121," (",N121,")"),A121)</f>
        <v>Dáruò Xiāng</v>
      </c>
      <c r="C121" t="str">
        <f>IF(COUNTIF(B:B,B121)&gt;1,_xlfn.CONCAT(A121," (",M121,")"),B121)</f>
        <v>Dáruò Xiāng</v>
      </c>
      <c r="D121" t="s">
        <v>921</v>
      </c>
      <c r="E121" t="s">
        <v>7</v>
      </c>
      <c r="F121" t="str">
        <f>_xlfn.CONCAT(D121,", ",H121,", ",I121,", ","西藏自治区")</f>
        <v>达若乡, 昂仁县, 日喀则市, 西藏自治区</v>
      </c>
      <c r="G121">
        <v>612</v>
      </c>
      <c r="H121" t="s">
        <v>1459</v>
      </c>
      <c r="I121" t="s">
        <v>1458</v>
      </c>
      <c r="J121" t="e">
        <f>VLOOKUP(F121,[1]!china_towns_second__2[[Column1]:[Y]],3,FALSE)</f>
        <v>#N/A</v>
      </c>
      <c r="K121" t="e">
        <f>VLOOKUP(F121,[1]!china_towns_second__2[[Column1]:[Y]],2,FALSE)</f>
        <v>#N/A</v>
      </c>
      <c r="L121" t="s">
        <v>1781</v>
      </c>
      <c r="M121" t="str">
        <f>VLOOKUP(H121,CHOOSE({1,2},Table8[Native],Table8[Name]),2,0)</f>
        <v>Ángrén Xiàn</v>
      </c>
      <c r="N121" s="13" t="str">
        <f>VLOOKUP(I121,CHOOSE({1,2},Table8[Native],Table8[Name]),2,0)</f>
        <v>Rìkāzé Shì</v>
      </c>
      <c r="O121" s="13" t="str">
        <f t="shared" si="2"/>
        <v>Daruo Xiang (Rìkāzé Shì)</v>
      </c>
      <c r="P121" s="13" t="str">
        <f t="shared" si="3"/>
        <v>Daruo Xiang (Rìkāzé Shì)</v>
      </c>
    </row>
    <row r="122" spans="1:16" hidden="1" x14ac:dyDescent="0.25">
      <c r="A122" t="s">
        <v>670</v>
      </c>
      <c r="B122" t="str">
        <f>IF(COUNTIF(A:A,A122)&gt;1,_xlfn.CONCAT(A122," (",N122,")"),A122)</f>
        <v>Dásà Xiāng</v>
      </c>
      <c r="C122" t="str">
        <f>IF(COUNTIF(B:B,B122)&gt;1,_xlfn.CONCAT(A122," (",M122,")"),B122)</f>
        <v>Dásà Xiāng</v>
      </c>
      <c r="D122" t="s">
        <v>671</v>
      </c>
      <c r="E122" t="s">
        <v>7</v>
      </c>
      <c r="F122" t="str">
        <f>_xlfn.CONCAT(D122,", ",H122,", ",I122,", ","西藏自治区")</f>
        <v>达萨乡, 色尼区, 那曲市, 西藏自治区</v>
      </c>
      <c r="G122">
        <v>8098</v>
      </c>
      <c r="H122" t="s">
        <v>1454</v>
      </c>
      <c r="I122" t="s">
        <v>1445</v>
      </c>
      <c r="J122" t="e">
        <f>VLOOKUP(F122,[1]!china_towns_second__2[[Column1]:[Y]],3,FALSE)</f>
        <v>#N/A</v>
      </c>
      <c r="K122" t="e">
        <f>VLOOKUP(F122,[1]!china_towns_second__2[[Column1]:[Y]],2,FALSE)</f>
        <v>#N/A</v>
      </c>
      <c r="L122" t="s">
        <v>1782</v>
      </c>
      <c r="M122" t="str">
        <f>VLOOKUP(H122,CHOOSE({1,2},Table8[Native],Table8[Name]),2,0)</f>
        <v>Sèní Qū</v>
      </c>
      <c r="N122" s="13" t="str">
        <f>VLOOKUP(I122,CHOOSE({1,2},Table8[Native],Table8[Name]),2,0)</f>
        <v>Nàqŭ Shì</v>
      </c>
      <c r="O122" s="13" t="str">
        <f t="shared" si="2"/>
        <v>Dasa Xiang (Nàqŭ Shì)</v>
      </c>
      <c r="P122" s="13" t="str">
        <f t="shared" si="3"/>
        <v>Dasa Xiang (Nàqŭ Shì)</v>
      </c>
    </row>
    <row r="123" spans="1:16" hidden="1" x14ac:dyDescent="0.25">
      <c r="A123" t="s">
        <v>672</v>
      </c>
      <c r="B123" t="str">
        <f>IF(COUNTIF(A:A,A123)&gt;1,_xlfn.CONCAT(A123," (",N123,")"),A123)</f>
        <v>Dátáng Xiāng</v>
      </c>
      <c r="C123" t="str">
        <f>IF(COUNTIF(B:B,B123)&gt;1,_xlfn.CONCAT(A123," (",M123,")"),B123)</f>
        <v>Dátáng Xiāng</v>
      </c>
      <c r="D123" t="s">
        <v>673</v>
      </c>
      <c r="E123" t="s">
        <v>7</v>
      </c>
      <c r="F123" t="str">
        <f>_xlfn.CONCAT(D123,", ",H123,", ",I123,", ","西藏自治区")</f>
        <v>达塘乡, 比如县, 那曲市, 西藏自治区</v>
      </c>
      <c r="G123">
        <v>7025</v>
      </c>
      <c r="H123" t="s">
        <v>1449</v>
      </c>
      <c r="I123" t="s">
        <v>1445</v>
      </c>
      <c r="J123" t="e">
        <f>VLOOKUP(F123,[1]!china_towns_second__2[[Column1]:[Y]],3,FALSE)</f>
        <v>#N/A</v>
      </c>
      <c r="K123" t="e">
        <f>VLOOKUP(F123,[1]!china_towns_second__2[[Column1]:[Y]],2,FALSE)</f>
        <v>#N/A</v>
      </c>
      <c r="L123" t="s">
        <v>1783</v>
      </c>
      <c r="M123" t="str">
        <f>VLOOKUP(H123,CHOOSE({1,2},Table8[Native],Table8[Name]),2,0)</f>
        <v>Bĭrú Xiàn</v>
      </c>
      <c r="N123" s="13" t="str">
        <f>VLOOKUP(I123,CHOOSE({1,2},Table8[Native],Table8[Name]),2,0)</f>
        <v>Nàqŭ Shì</v>
      </c>
      <c r="O123" s="13" t="str">
        <f t="shared" si="2"/>
        <v>Datang Xiang (Nàqŭ Shì)</v>
      </c>
      <c r="P123" s="13" t="str">
        <f t="shared" si="3"/>
        <v>Datang Xiang (Nàqŭ Shì)</v>
      </c>
    </row>
    <row r="124" spans="1:16" hidden="1" x14ac:dyDescent="0.25">
      <c r="A124" t="s">
        <v>21</v>
      </c>
      <c r="B124" t="str">
        <f>IF(COUNTIF(A:A,A124)&gt;1,_xlfn.CONCAT(A124," (",N124,")"),A124)</f>
        <v>Dáxióng Xiāng</v>
      </c>
      <c r="C124" t="str">
        <f>IF(COUNTIF(B:B,B124)&gt;1,_xlfn.CONCAT(A124," (",M124,")"),B124)</f>
        <v>Dáxióng Xiāng</v>
      </c>
      <c r="D124" t="s">
        <v>22</v>
      </c>
      <c r="E124" t="s">
        <v>7</v>
      </c>
      <c r="F124" t="str">
        <f>_xlfn.CONCAT(D124,", ",H124,", ",I124,", ","西藏自治区")</f>
        <v>达雄乡, 措勤县, 阿里地区, 西藏自治区</v>
      </c>
      <c r="G124">
        <v>2616</v>
      </c>
      <c r="H124" t="s">
        <v>1407</v>
      </c>
      <c r="I124" t="s">
        <v>1405</v>
      </c>
      <c r="J124" t="e">
        <f>VLOOKUP(F124,[1]!china_towns_second__2[[Column1]:[Y]],3,FALSE)</f>
        <v>#N/A</v>
      </c>
      <c r="K124" t="e">
        <f>VLOOKUP(F124,[1]!china_towns_second__2[[Column1]:[Y]],2,FALSE)</f>
        <v>#N/A</v>
      </c>
      <c r="L124" t="s">
        <v>1784</v>
      </c>
      <c r="M124" t="str">
        <f>VLOOKUP(H124,CHOOSE({1,2},Table8[Native],Table8[Name]),2,0)</f>
        <v>Cuòqín Xiàn</v>
      </c>
      <c r="N124" s="13" t="str">
        <f>VLOOKUP(I124,CHOOSE({1,2},Table8[Native],Table8[Name]),2,0)</f>
        <v>Ālĭ Dìqū</v>
      </c>
      <c r="O124" s="13" t="str">
        <f t="shared" si="2"/>
        <v>Daxiong Xiang (Ālĭ Dìqū)</v>
      </c>
      <c r="P124" s="13" t="str">
        <f t="shared" si="3"/>
        <v>Daxiong Xiang (Ālĭ Dìqū)</v>
      </c>
    </row>
    <row r="125" spans="1:16" hidden="1" x14ac:dyDescent="0.25">
      <c r="A125" t="s">
        <v>922</v>
      </c>
      <c r="B125" t="str">
        <f>IF(COUNTIF(A:A,A125)&gt;1,_xlfn.CONCAT(A125," (",N125,")"),A125)</f>
        <v>Dázī Xiāng (Rìkāzé Shì)</v>
      </c>
      <c r="C125" t="str">
        <f>IF(COUNTIF(B:B,B125)&gt;1,_xlfn.CONCAT(A125," (",M125,")"),B125)</f>
        <v>Dázī Xiāng (Nánmùlín Xiàn)</v>
      </c>
      <c r="D125" t="s">
        <v>923</v>
      </c>
      <c r="E125" t="s">
        <v>7</v>
      </c>
      <c r="F125" t="str">
        <f>_xlfn.CONCAT(D125,", ",H125,", ",I125,", ","西藏自治区")</f>
        <v>达孜乡, 南木林县, 日喀则市, 西藏自治区</v>
      </c>
      <c r="G125">
        <v>4231</v>
      </c>
      <c r="H125" t="s">
        <v>1468</v>
      </c>
      <c r="I125" t="s">
        <v>1458</v>
      </c>
      <c r="J125" t="e">
        <f>VLOOKUP(F125,[1]!china_towns_second__2[[Column1]:[Y]],3,FALSE)</f>
        <v>#N/A</v>
      </c>
      <c r="K125" t="e">
        <f>VLOOKUP(F125,[1]!china_towns_second__2[[Column1]:[Y]],2,FALSE)</f>
        <v>#N/A</v>
      </c>
      <c r="L125" t="s">
        <v>1785</v>
      </c>
      <c r="M125" t="str">
        <f>VLOOKUP(H125,CHOOSE({1,2},Table8[Native],Table8[Name]),2,0)</f>
        <v>Nánmùlín Xiàn</v>
      </c>
      <c r="N125" s="13" t="str">
        <f>VLOOKUP(I125,CHOOSE({1,2},Table8[Native],Table8[Name]),2,0)</f>
        <v>Rìkāzé Shì</v>
      </c>
      <c r="O125" s="13" t="str">
        <f t="shared" si="2"/>
        <v>Dazi Xiang (Nanmulin Xian) (Rìkāzé Shì)</v>
      </c>
      <c r="P125" s="13" t="str">
        <f t="shared" si="3"/>
        <v>Dazi Xiang (Nanmulin Xian) (Rìkāzé Shì)</v>
      </c>
    </row>
    <row r="126" spans="1:16" hidden="1" x14ac:dyDescent="0.25">
      <c r="A126" t="s">
        <v>922</v>
      </c>
      <c r="B126" t="str">
        <f>IF(COUNTIF(A:A,A126)&gt;1,_xlfn.CONCAT(A126," (",N126,")"),A126)</f>
        <v>Dázī Xiāng (Rìkāzé Shì)</v>
      </c>
      <c r="C126" t="str">
        <f>IF(COUNTIF(B:B,B126)&gt;1,_xlfn.CONCAT(A126," (",M126,")"),B126)</f>
        <v>Dázī Xiāng (Jiāngzī Xiàn)</v>
      </c>
      <c r="D126" t="s">
        <v>923</v>
      </c>
      <c r="E126" t="s">
        <v>7</v>
      </c>
      <c r="F126" t="str">
        <f>_xlfn.CONCAT(D126,", ",H126,", ",I126,", ","西藏自治区")</f>
        <v>达孜乡, 江孜县, 日喀则市, 西藏自治区</v>
      </c>
      <c r="G126">
        <v>2483</v>
      </c>
      <c r="H126" t="s">
        <v>1464</v>
      </c>
      <c r="I126" t="s">
        <v>1458</v>
      </c>
      <c r="J126" t="e">
        <f>VLOOKUP(F126,[1]!china_towns_second__2[[Column1]:[Y]],3,FALSE)</f>
        <v>#N/A</v>
      </c>
      <c r="K126" t="e">
        <f>VLOOKUP(F126,[1]!china_towns_second__2[[Column1]:[Y]],2,FALSE)</f>
        <v>#N/A</v>
      </c>
      <c r="L126" t="s">
        <v>1786</v>
      </c>
      <c r="M126" t="str">
        <f>VLOOKUP(H126,CHOOSE({1,2},Table8[Native],Table8[Name]),2,0)</f>
        <v>Jiāngzī Xiàn</v>
      </c>
      <c r="N126" s="13" t="str">
        <f>VLOOKUP(I126,CHOOSE({1,2},Table8[Native],Table8[Name]),2,0)</f>
        <v>Rìkāzé Shì</v>
      </c>
      <c r="O126" s="13" t="str">
        <f t="shared" si="2"/>
        <v>Dazi Xiang (Jiangzi Xian) (Rìkāzé Shì)</v>
      </c>
      <c r="P126" s="13" t="str">
        <f t="shared" si="3"/>
        <v>Dazi Xiang (Jiangzi Xian) (Rìkāzé Shì)</v>
      </c>
    </row>
    <row r="127" spans="1:16" hidden="1" x14ac:dyDescent="0.25">
      <c r="A127" t="s">
        <v>145</v>
      </c>
      <c r="B127" t="str">
        <f>IF(COUNTIF(A:A,A127)&gt;1,_xlfn.CONCAT(A127," (",N127,")"),A127)</f>
        <v>Dédēng Xiāng</v>
      </c>
      <c r="C127" t="str">
        <f>IF(COUNTIF(B:B,B127)&gt;1,_xlfn.CONCAT(A127," (",M127,")"),B127)</f>
        <v>Dédēng Xiāng</v>
      </c>
      <c r="D127" t="s">
        <v>146</v>
      </c>
      <c r="E127" t="s">
        <v>7</v>
      </c>
      <c r="F127" t="str">
        <f>_xlfn.CONCAT(D127,", ",H127,", ",I127,", ","西藏自治区")</f>
        <v>德登乡, 江达县, 昌都市, 西藏自治区</v>
      </c>
      <c r="G127">
        <v>6150</v>
      </c>
      <c r="H127" t="s">
        <v>1421</v>
      </c>
      <c r="I127" t="s">
        <v>1415</v>
      </c>
      <c r="J127" t="e">
        <f>VLOOKUP(F127,[1]!china_towns_second__2[[Column1]:[Y]],3,FALSE)</f>
        <v>#N/A</v>
      </c>
      <c r="K127" t="e">
        <f>VLOOKUP(F127,[1]!china_towns_second__2[[Column1]:[Y]],2,FALSE)</f>
        <v>#N/A</v>
      </c>
      <c r="L127" t="s">
        <v>1787</v>
      </c>
      <c r="M127" t="str">
        <f>VLOOKUP(H127,CHOOSE({1,2},Table8[Native],Table8[Name]),2,0)</f>
        <v>Jiāngdá Xiàn</v>
      </c>
      <c r="N127" s="13" t="str">
        <f>VLOOKUP(I127,CHOOSE({1,2},Table8[Native],Table8[Name]),2,0)</f>
        <v>Chāngdū Shì</v>
      </c>
      <c r="O127" s="13" t="str">
        <f t="shared" si="2"/>
        <v>Dedeng Xiang (Chāngdū Shì)</v>
      </c>
      <c r="P127" s="13" t="str">
        <f t="shared" si="3"/>
        <v>Dedeng Xiang (Chāngdū Shì)</v>
      </c>
    </row>
    <row r="128" spans="1:16" x14ac:dyDescent="0.25">
      <c r="A128" t="s">
        <v>924</v>
      </c>
      <c r="B128" t="str">
        <f>IF(COUNTIF(A:A,A128)&gt;1,_xlfn.CONCAT(A128," (",N128,")"),A128)</f>
        <v>Déjílín Zhèn</v>
      </c>
      <c r="C128" t="str">
        <f>IF(COUNTIF(B:B,B128)&gt;1,_xlfn.CONCAT(A128," (",M128,")"),B128)</f>
        <v>Déjílín Zhèn</v>
      </c>
      <c r="D128" t="s">
        <v>925</v>
      </c>
      <c r="E128" t="s">
        <v>17</v>
      </c>
      <c r="F128" t="str">
        <f>_xlfn.CONCAT(D128,", ",H128,", ",I128,", ","西藏自治区")</f>
        <v>德吉林镇, 仁布县, 日喀则市, 西藏自治区</v>
      </c>
      <c r="G128">
        <v>4722</v>
      </c>
      <c r="H128" t="s">
        <v>1470</v>
      </c>
      <c r="I128" t="s">
        <v>1458</v>
      </c>
      <c r="J128">
        <f>VLOOKUP(F128,[1]!china_towns_second__2[[Column1]:[Y]],3,FALSE)</f>
        <v>29.115923283898201</v>
      </c>
      <c r="K128">
        <f>VLOOKUP(F128,[1]!china_towns_second__2[[Column1]:[Y]],2,FALSE)</f>
        <v>89.859560759999994</v>
      </c>
      <c r="L128" t="s">
        <v>1788</v>
      </c>
      <c r="M128" t="str">
        <f>VLOOKUP(H128,CHOOSE({1,2},Table8[Native],Table8[Name]),2,0)</f>
        <v>Rénbù Xiàn</v>
      </c>
      <c r="N128" s="13" t="str">
        <f>VLOOKUP(I128,CHOOSE({1,2},Table8[Native],Table8[Name]),2,0)</f>
        <v>Rìkāzé Shì</v>
      </c>
      <c r="O128" s="13" t="str">
        <f t="shared" si="2"/>
        <v>Dejilin Zhen (Rìkāzé Shì)</v>
      </c>
      <c r="P128" s="13" t="str">
        <f t="shared" si="3"/>
        <v>Dejilin Zhen (Rìkāzé Shì)</v>
      </c>
    </row>
    <row r="129" spans="1:16" hidden="1" x14ac:dyDescent="0.25">
      <c r="A129" t="s">
        <v>147</v>
      </c>
      <c r="B129" t="str">
        <f>IF(COUNTIF(A:A,A129)&gt;1,_xlfn.CONCAT(A129," (",N129,")"),A129)</f>
        <v>Dèngkē Xiāng</v>
      </c>
      <c r="C129" t="str">
        <f>IF(COUNTIF(B:B,B129)&gt;1,_xlfn.CONCAT(A129," (",M129,")"),B129)</f>
        <v>Dèngkē Xiāng</v>
      </c>
      <c r="D129" t="s">
        <v>148</v>
      </c>
      <c r="E129" t="s">
        <v>7</v>
      </c>
      <c r="F129" t="str">
        <f>_xlfn.CONCAT(D129,", ",H129,", ",I129,", ","西藏自治区")</f>
        <v>邓柯乡, 江达县, 昌都市, 西藏自治区</v>
      </c>
      <c r="G129">
        <v>6229</v>
      </c>
      <c r="H129" t="s">
        <v>1421</v>
      </c>
      <c r="I129" t="s">
        <v>1415</v>
      </c>
      <c r="J129" t="e">
        <f>VLOOKUP(F129,[1]!china_towns_second__2[[Column1]:[Y]],3,FALSE)</f>
        <v>#N/A</v>
      </c>
      <c r="K129" t="e">
        <f>VLOOKUP(F129,[1]!china_towns_second__2[[Column1]:[Y]],2,FALSE)</f>
        <v>#N/A</v>
      </c>
      <c r="L129" t="s">
        <v>1789</v>
      </c>
      <c r="M129" t="str">
        <f>VLOOKUP(H129,CHOOSE({1,2},Table8[Native],Table8[Name]),2,0)</f>
        <v>Jiāngdá Xiàn</v>
      </c>
      <c r="N129" s="13" t="str">
        <f>VLOOKUP(I129,CHOOSE({1,2},Table8[Native],Table8[Name]),2,0)</f>
        <v>Chāngdū Shì</v>
      </c>
      <c r="O129" s="13" t="str">
        <f t="shared" si="2"/>
        <v>Dengke Xiang (Chāngdū Shì)</v>
      </c>
      <c r="P129" s="13" t="str">
        <f t="shared" si="3"/>
        <v>Dengke Xiang (Chāngdū Shì)</v>
      </c>
    </row>
    <row r="130" spans="1:16" hidden="1" x14ac:dyDescent="0.25">
      <c r="A130" t="s">
        <v>528</v>
      </c>
      <c r="B130" t="str">
        <f>IF(COUNTIF(A:A,A130)&gt;1,_xlfn.CONCAT(A130," (",N130,")"),A130)</f>
        <v>Dēngmù Xiāng</v>
      </c>
      <c r="C130" t="str">
        <f>IF(COUNTIF(B:B,B130)&gt;1,_xlfn.CONCAT(A130," (",M130,")"),B130)</f>
        <v>Dēngmù Xiāng</v>
      </c>
      <c r="D130" t="s">
        <v>529</v>
      </c>
      <c r="E130" t="s">
        <v>7</v>
      </c>
      <c r="F130" t="str">
        <f>_xlfn.CONCAT(D130,", ",H130,", ",I130,", ","西藏自治区")</f>
        <v>登木乡, 朗县, 林芝市, 西藏自治区</v>
      </c>
      <c r="G130">
        <v>2859</v>
      </c>
      <c r="H130" t="s">
        <v>1442</v>
      </c>
      <c r="I130" t="s">
        <v>1437</v>
      </c>
      <c r="J130" t="e">
        <f>VLOOKUP(F130,[1]!china_towns_second__2[[Column1]:[Y]],3,FALSE)</f>
        <v>#N/A</v>
      </c>
      <c r="K130" t="e">
        <f>VLOOKUP(F130,[1]!china_towns_second__2[[Column1]:[Y]],2,FALSE)</f>
        <v>#N/A</v>
      </c>
      <c r="L130" t="s">
        <v>1790</v>
      </c>
      <c r="M130" t="str">
        <f>VLOOKUP(H130,CHOOSE({1,2},Table8[Native],Table8[Name]),2,0)</f>
        <v>Lăng Xiàn</v>
      </c>
      <c r="N130" s="13" t="str">
        <f>VLOOKUP(I130,CHOOSE({1,2},Table8[Native],Table8[Name]),2,0)</f>
        <v>Línzhī Shì</v>
      </c>
      <c r="O130" s="13" t="str">
        <f t="shared" ref="O130:O193" si="4">_xlfn.CONCAT(L130," (",N130,")")</f>
        <v>Dengmu Xiang (Línzhī Shì)</v>
      </c>
      <c r="P130" s="13" t="str">
        <f t="shared" ref="P130:P193" si="5">IF(COUNTIF(O:O,O130)&gt;1,_xlfn.CONCAT(L130," (",M130,")"),O130)</f>
        <v>Dengmu Xiang (Línzhī Shì)</v>
      </c>
    </row>
    <row r="131" spans="1:16" x14ac:dyDescent="0.25">
      <c r="A131" t="s">
        <v>395</v>
      </c>
      <c r="B131" t="str">
        <f>IF(COUNTIF(A:A,A131)&gt;1,_xlfn.CONCAT(A131," (",N131,")"),A131)</f>
        <v>Déqìng Zhèn (Lāsà Shì)</v>
      </c>
      <c r="C131" t="str">
        <f>IF(COUNTIF(B:B,B131)&gt;1,_xlfn.CONCAT(A131," (",M131,")"),B131)</f>
        <v>Déqìng Zhèn (Duīlóngdéqìng Qū)</v>
      </c>
      <c r="D131" t="s">
        <v>396</v>
      </c>
      <c r="E131" t="s">
        <v>17</v>
      </c>
      <c r="F131" t="str">
        <f>_xlfn.CONCAT(D131,", ",H131,", ",I131,", ","西藏自治区")</f>
        <v>德庆镇, 堆龙德庆区, 拉萨市, 西藏自治区</v>
      </c>
      <c r="G131">
        <v>6243</v>
      </c>
      <c r="H131" t="s">
        <v>1432</v>
      </c>
      <c r="I131" t="s">
        <v>1428</v>
      </c>
      <c r="J131">
        <f>VLOOKUP(F131,[1]!china_towns_second__2[[Column1]:[Y]],3,FALSE)</f>
        <v>30.047785502645301</v>
      </c>
      <c r="K131">
        <f>VLOOKUP(F131,[1]!china_towns_second__2[[Column1]:[Y]],2,FALSE)</f>
        <v>90.814096180000007</v>
      </c>
      <c r="L131" t="s">
        <v>1791</v>
      </c>
      <c r="M131" t="str">
        <f>VLOOKUP(H131,CHOOSE({1,2},Table8[Native],Table8[Name]),2,0)</f>
        <v>Duīlóngdéqìng Qū</v>
      </c>
      <c r="N131" s="13" t="str">
        <f>VLOOKUP(I131,CHOOSE({1,2},Table8[Native],Table8[Name]),2,0)</f>
        <v>Lāsà Shì</v>
      </c>
      <c r="O131" s="13" t="str">
        <f t="shared" si="4"/>
        <v>Deqing Zhen (Duilongdeqing Qu) (Lāsà Shì)</v>
      </c>
      <c r="P131" s="13" t="str">
        <f t="shared" si="5"/>
        <v>Deqing Zhen (Duilongdeqing Qu) (Lāsà Shì)</v>
      </c>
    </row>
    <row r="132" spans="1:16" x14ac:dyDescent="0.25">
      <c r="A132" t="s">
        <v>395</v>
      </c>
      <c r="B132" t="str">
        <f>IF(COUNTIF(A:A,A132)&gt;1,_xlfn.CONCAT(A132," (",N132,")"),A132)</f>
        <v>Déqìng Zhèn (Lāsà Shì)</v>
      </c>
      <c r="C132" t="str">
        <f>IF(COUNTIF(B:B,B132)&gt;1,_xlfn.CONCAT(A132," (",M132,")"),B132)</f>
        <v>Déqìng Zhèn (Dázī Qū)</v>
      </c>
      <c r="D132" t="s">
        <v>396</v>
      </c>
      <c r="E132" t="s">
        <v>17</v>
      </c>
      <c r="F132" t="str">
        <f>_xlfn.CONCAT(D132,", ",H132,", ",I132,", ","西藏自治区")</f>
        <v>德庆镇, 达孜区, 拉萨市, 西藏自治区</v>
      </c>
      <c r="G132">
        <v>9040</v>
      </c>
      <c r="H132" t="s">
        <v>1431</v>
      </c>
      <c r="I132" t="s">
        <v>1428</v>
      </c>
      <c r="J132">
        <f>VLOOKUP(F132,[1]!china_towns_second__2[[Column1]:[Y]],3,FALSE)</f>
        <v>29.595912338229599</v>
      </c>
      <c r="K132">
        <f>VLOOKUP(F132,[1]!china_towns_second__2[[Column1]:[Y]],2,FALSE)</f>
        <v>91.407617209999998</v>
      </c>
      <c r="L132" t="s">
        <v>1792</v>
      </c>
      <c r="M132" t="str">
        <f>VLOOKUP(H132,CHOOSE({1,2},Table8[Native],Table8[Name]),2,0)</f>
        <v>Dázī Qū</v>
      </c>
      <c r="N132" s="13" t="str">
        <f>VLOOKUP(I132,CHOOSE({1,2},Table8[Native],Table8[Name]),2,0)</f>
        <v>Lāsà Shì</v>
      </c>
      <c r="O132" s="13" t="str">
        <f t="shared" si="4"/>
        <v>Deqing Zhen (Dazi Qu) (Lāsà Shì)</v>
      </c>
      <c r="P132" s="13" t="str">
        <f t="shared" si="5"/>
        <v>Deqing Zhen (Dazi Qu) (Lāsà Shì)</v>
      </c>
    </row>
    <row r="133" spans="1:16" x14ac:dyDescent="0.25">
      <c r="A133" t="s">
        <v>395</v>
      </c>
      <c r="B133" t="str">
        <f>IF(COUNTIF(A:A,A133)&gt;1,_xlfn.CONCAT(A133," (",N133,")"),A133)</f>
        <v>Déqìng Zhèn (Nàqŭ Shì)</v>
      </c>
      <c r="C133" t="str">
        <f>IF(COUNTIF(B:B,B133)&gt;1,_xlfn.CONCAT(A133," (",M133,")"),B133)</f>
        <v>Déqìng Zhèn (Nàqŭ Shì)</v>
      </c>
      <c r="D133" t="s">
        <v>396</v>
      </c>
      <c r="E133" t="s">
        <v>17</v>
      </c>
      <c r="F133" t="str">
        <f>_xlfn.CONCAT(D133,", ",H133,", ",I133,", ","西藏自治区")</f>
        <v>德庆镇, 班戈县, 那曲市, 西藏自治区</v>
      </c>
      <c r="G133">
        <v>3698</v>
      </c>
      <c r="H133" t="s">
        <v>1447</v>
      </c>
      <c r="I133" t="s">
        <v>1445</v>
      </c>
      <c r="J133">
        <f>VLOOKUP(F133,[1]!china_towns_second__2[[Column1]:[Y]],3,FALSE)</f>
        <v>30.390459502287499</v>
      </c>
      <c r="K133">
        <f>VLOOKUP(F133,[1]!china_towns_second__2[[Column1]:[Y]],2,FALSE)</f>
        <v>90.169847790000006</v>
      </c>
      <c r="L133" t="s">
        <v>1793</v>
      </c>
      <c r="M133" t="str">
        <f>VLOOKUP(H133,CHOOSE({1,2},Table8[Native],Table8[Name]),2,0)</f>
        <v>Bāngē Xiàn</v>
      </c>
      <c r="N133" s="13" t="str">
        <f>VLOOKUP(I133,CHOOSE({1,2},Table8[Native],Table8[Name]),2,0)</f>
        <v>Nàqŭ Shì</v>
      </c>
      <c r="O133" s="13" t="str">
        <f t="shared" si="4"/>
        <v>Deqing Zhen (Naqu Shi) (Nàqŭ Shì)</v>
      </c>
      <c r="P133" s="13" t="str">
        <f t="shared" si="5"/>
        <v>Deqing Zhen (Naqu Shi) (Nàqŭ Shì)</v>
      </c>
    </row>
    <row r="134" spans="1:16" hidden="1" x14ac:dyDescent="0.25">
      <c r="A134" t="s">
        <v>531</v>
      </c>
      <c r="B134" t="str">
        <f>IF(COUNTIF(A:A,A134)&gt;1,_xlfn.CONCAT(A134," (",N134,")"),A134)</f>
        <v>Déxīng Xiāng</v>
      </c>
      <c r="C134" t="str">
        <f>IF(COUNTIF(B:B,B134)&gt;1,_xlfn.CONCAT(A134," (",M134,")"),B134)</f>
        <v>Déxīng Xiāng</v>
      </c>
      <c r="D134" t="s">
        <v>532</v>
      </c>
      <c r="E134" t="s">
        <v>7</v>
      </c>
      <c r="F134" t="str">
        <f>_xlfn.CONCAT(D134,", ",H134,", ",I134,", ","西藏自治区")</f>
        <v>德兴乡, 墨脱县, 林芝市, 西藏自治区</v>
      </c>
      <c r="G134">
        <v>1473</v>
      </c>
      <c r="H134" t="s">
        <v>1444</v>
      </c>
      <c r="I134" t="s">
        <v>1437</v>
      </c>
      <c r="J134" t="e">
        <f>VLOOKUP(F134,[1]!china_towns_second__2[[Column1]:[Y]],3,FALSE)</f>
        <v>#N/A</v>
      </c>
      <c r="K134" t="e">
        <f>VLOOKUP(F134,[1]!china_towns_second__2[[Column1]:[Y]],2,FALSE)</f>
        <v>#N/A</v>
      </c>
      <c r="L134" t="s">
        <v>1794</v>
      </c>
      <c r="M134" t="str">
        <f>VLOOKUP(H134,CHOOSE({1,2},Table8[Native],Table8[Name]),2,0)</f>
        <v>Mòtuō Xiàn</v>
      </c>
      <c r="N134" s="13" t="str">
        <f>VLOOKUP(I134,CHOOSE({1,2},Table8[Native],Table8[Name]),2,0)</f>
        <v>Línzhī Shì</v>
      </c>
      <c r="O134" s="13" t="str">
        <f t="shared" si="4"/>
        <v>Dexing Xiang (Línzhī Shì)</v>
      </c>
      <c r="P134" s="13" t="str">
        <f t="shared" si="5"/>
        <v>Dexing Xiang (Línzhī Shì)</v>
      </c>
    </row>
    <row r="135" spans="1:16" hidden="1" x14ac:dyDescent="0.25">
      <c r="A135" t="s">
        <v>926</v>
      </c>
      <c r="B135" t="str">
        <f>IF(COUNTIF(A:A,A135)&gt;1,_xlfn.CONCAT(A135," (",N135,")"),A135)</f>
        <v>Dìngjié Xiāng</v>
      </c>
      <c r="C135" t="str">
        <f>IF(COUNTIF(B:B,B135)&gt;1,_xlfn.CONCAT(A135," (",M135,")"),B135)</f>
        <v>Dìngjié Xiāng</v>
      </c>
      <c r="D135" t="s">
        <v>927</v>
      </c>
      <c r="E135" t="s">
        <v>7</v>
      </c>
      <c r="F135" t="str">
        <f>_xlfn.CONCAT(D135,", ",H135,", ",I135,", ","西藏自治区")</f>
        <v>定结乡, 定结县, 日喀则市, 西藏自治区</v>
      </c>
      <c r="G135">
        <v>1586</v>
      </c>
      <c r="H135" t="s">
        <v>1461</v>
      </c>
      <c r="I135" t="s">
        <v>1458</v>
      </c>
      <c r="J135" t="e">
        <f>VLOOKUP(F135,[1]!china_towns_second__2[[Column1]:[Y]],3,FALSE)</f>
        <v>#N/A</v>
      </c>
      <c r="K135" t="e">
        <f>VLOOKUP(F135,[1]!china_towns_second__2[[Column1]:[Y]],2,FALSE)</f>
        <v>#N/A</v>
      </c>
      <c r="L135" t="s">
        <v>1795</v>
      </c>
      <c r="M135" t="str">
        <f>VLOOKUP(H135,CHOOSE({1,2},Table8[Native],Table8[Name]),2,0)</f>
        <v>Dìngjié Xiàn</v>
      </c>
      <c r="N135" s="13" t="str">
        <f>VLOOKUP(I135,CHOOSE({1,2},Table8[Native],Table8[Name]),2,0)</f>
        <v>Rìkāzé Shì</v>
      </c>
      <c r="O135" s="13" t="str">
        <f t="shared" si="4"/>
        <v>Dingjie Xiang (Rìkāzé Shì)</v>
      </c>
      <c r="P135" s="13" t="str">
        <f t="shared" si="5"/>
        <v>Dingjie Xiang (Rìkāzé Shì)</v>
      </c>
    </row>
    <row r="136" spans="1:16" x14ac:dyDescent="0.25">
      <c r="A136" t="s">
        <v>149</v>
      </c>
      <c r="B136" t="str">
        <f>IF(COUNTIF(A:A,A136)&gt;1,_xlfn.CONCAT(A136," (",N136,")"),A136)</f>
        <v>Dīngqīng Zhèn</v>
      </c>
      <c r="C136" t="str">
        <f>IF(COUNTIF(B:B,B136)&gt;1,_xlfn.CONCAT(A136," (",M136,")"),B136)</f>
        <v>Dīngqīng Zhèn</v>
      </c>
      <c r="D136" t="s">
        <v>150</v>
      </c>
      <c r="E136" t="s">
        <v>17</v>
      </c>
      <c r="F136" t="str">
        <f>_xlfn.CONCAT(D136,", ",H136,", ",I136,", ","西藏自治区")</f>
        <v>丁青镇, 丁青县, 昌都市, 西藏自治区</v>
      </c>
      <c r="G136">
        <v>10028</v>
      </c>
      <c r="H136" t="s">
        <v>1419</v>
      </c>
      <c r="I136" t="s">
        <v>1415</v>
      </c>
      <c r="J136">
        <f>VLOOKUP(F136,[1]!china_towns_second__2[[Column1]:[Y]],3,FALSE)</f>
        <v>31.5655926435156</v>
      </c>
      <c r="K136">
        <f>VLOOKUP(F136,[1]!china_towns_second__2[[Column1]:[Y]],2,FALSE)</f>
        <v>95.608533300000005</v>
      </c>
      <c r="L136" t="s">
        <v>1796</v>
      </c>
      <c r="M136" t="str">
        <f>VLOOKUP(H136,CHOOSE({1,2},Table8[Native],Table8[Name]),2,0)</f>
        <v>Dīngqīng Xiàn</v>
      </c>
      <c r="N136" s="13" t="str">
        <f>VLOOKUP(I136,CHOOSE({1,2},Table8[Native],Table8[Name]),2,0)</f>
        <v>Chāngdū Shì</v>
      </c>
      <c r="O136" s="13" t="str">
        <f t="shared" si="4"/>
        <v>Dingqing Zhen (Chāngdū Shì)</v>
      </c>
      <c r="P136" s="13" t="str">
        <f t="shared" si="5"/>
        <v>Dingqing Zhen (Chāngdū Shì)</v>
      </c>
    </row>
    <row r="137" spans="1:16" hidden="1" x14ac:dyDescent="0.25">
      <c r="A137" t="s">
        <v>23</v>
      </c>
      <c r="B137" t="str">
        <f>IF(COUNTIF(A:A,A137)&gt;1,_xlfn.CONCAT(A137," (",N137,")"),A137)</f>
        <v>Dĭyă Xiāng</v>
      </c>
      <c r="C137" t="str">
        <f>IF(COUNTIF(B:B,B137)&gt;1,_xlfn.CONCAT(A137," (",M137,")"),B137)</f>
        <v>Dĭyă Xiāng</v>
      </c>
      <c r="D137" t="s">
        <v>24</v>
      </c>
      <c r="E137" t="s">
        <v>7</v>
      </c>
      <c r="F137" t="str">
        <f>_xlfn.CONCAT(D137,", ",H137,", ",I137,", ","西藏自治区")</f>
        <v>底雅乡, 札达县, 阿里地区, 西藏自治区</v>
      </c>
      <c r="G137">
        <v>789</v>
      </c>
      <c r="H137" t="s">
        <v>1413</v>
      </c>
      <c r="I137" t="s">
        <v>1405</v>
      </c>
      <c r="J137" t="e">
        <f>VLOOKUP(F137,[1]!china_towns_second__2[[Column1]:[Y]],3,FALSE)</f>
        <v>#N/A</v>
      </c>
      <c r="K137" t="e">
        <f>VLOOKUP(F137,[1]!china_towns_second__2[[Column1]:[Y]],2,FALSE)</f>
        <v>#N/A</v>
      </c>
      <c r="L137" t="s">
        <v>1797</v>
      </c>
      <c r="M137" t="str">
        <f>VLOOKUP(H137,CHOOSE({1,2},Table8[Native],Table8[Name]),2,0)</f>
        <v>Zhádá Xiàn</v>
      </c>
      <c r="N137" s="13" t="str">
        <f>VLOOKUP(I137,CHOOSE({1,2},Table8[Native],Table8[Name]),2,0)</f>
        <v>Ālĭ Dìqū</v>
      </c>
      <c r="O137" s="13" t="str">
        <f t="shared" si="4"/>
        <v>Diya Xiang (Ālĭ Dìqū)</v>
      </c>
      <c r="P137" s="13" t="str">
        <f t="shared" si="5"/>
        <v>Diya Xiang (Ālĭ Dìqū)</v>
      </c>
    </row>
    <row r="138" spans="1:16" hidden="1" x14ac:dyDescent="0.25">
      <c r="A138" t="s">
        <v>151</v>
      </c>
      <c r="B138" t="str">
        <f>IF(COUNTIF(A:A,A138)&gt;1,_xlfn.CONCAT(A138," (",N138,")"),A138)</f>
        <v>Dōngbà Xiāng</v>
      </c>
      <c r="C138" t="str">
        <f>IF(COUNTIF(B:B,B138)&gt;1,_xlfn.CONCAT(A138," (",M138,")"),B138)</f>
        <v>Dōngbà Xiāng</v>
      </c>
      <c r="D138" t="s">
        <v>152</v>
      </c>
      <c r="E138" t="s">
        <v>7</v>
      </c>
      <c r="F138" t="str">
        <f>_xlfn.CONCAT(D138,", ",H138,", ",I138,", ","西藏自治区")</f>
        <v>东坝乡, 左贡县, 昌都市, 西藏自治区</v>
      </c>
      <c r="G138">
        <v>2554</v>
      </c>
      <c r="H138" t="s">
        <v>1427</v>
      </c>
      <c r="I138" t="s">
        <v>1415</v>
      </c>
      <c r="J138" t="e">
        <f>VLOOKUP(F138,[1]!china_towns_second__2[[Column1]:[Y]],3,FALSE)</f>
        <v>#N/A</v>
      </c>
      <c r="K138" t="e">
        <f>VLOOKUP(F138,[1]!china_towns_second__2[[Column1]:[Y]],2,FALSE)</f>
        <v>#N/A</v>
      </c>
      <c r="L138" t="s">
        <v>1798</v>
      </c>
      <c r="M138" t="str">
        <f>VLOOKUP(H138,CHOOSE({1,2},Table8[Native],Table8[Name]),2,0)</f>
        <v>Zuŏgòng Xiàn</v>
      </c>
      <c r="N138" s="13" t="str">
        <f>VLOOKUP(I138,CHOOSE({1,2},Table8[Native],Table8[Name]),2,0)</f>
        <v>Chāngdū Shì</v>
      </c>
      <c r="O138" s="13" t="str">
        <f t="shared" si="4"/>
        <v>Dongba Xiang (Chāngdū Shì)</v>
      </c>
      <c r="P138" s="13" t="str">
        <f t="shared" si="5"/>
        <v>Dongba Xiang (Chāngdū Shì)</v>
      </c>
    </row>
    <row r="139" spans="1:16" hidden="1" x14ac:dyDescent="0.25">
      <c r="A139" t="s">
        <v>25</v>
      </c>
      <c r="B139" t="str">
        <f>IF(COUNTIF(A:A,A139)&gt;1,_xlfn.CONCAT(A139," (",N139,")"),A139)</f>
        <v>Dòngcuò Xiāng</v>
      </c>
      <c r="C139" t="str">
        <f>IF(COUNTIF(B:B,B139)&gt;1,_xlfn.CONCAT(A139," (",M139,")"),B139)</f>
        <v>Dòngcuò Xiāng</v>
      </c>
      <c r="D139" t="s">
        <v>26</v>
      </c>
      <c r="E139" t="s">
        <v>7</v>
      </c>
      <c r="F139" t="str">
        <f>_xlfn.CONCAT(D139,", ",H139,", ",I139,", ","西藏自治区")</f>
        <v>洞措乡, 改则县, 阿里地区, 西藏自治区</v>
      </c>
      <c r="G139">
        <v>2571</v>
      </c>
      <c r="H139" t="s">
        <v>1409</v>
      </c>
      <c r="I139" t="s">
        <v>1405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1799</v>
      </c>
      <c r="M139" t="str">
        <f>VLOOKUP(H139,CHOOSE({1,2},Table8[Native],Table8[Name]),2,0)</f>
        <v>Găizé Xiàn</v>
      </c>
      <c r="N139" s="13" t="str">
        <f>VLOOKUP(I139,CHOOSE({1,2},Table8[Native],Table8[Name]),2,0)</f>
        <v>Ālĭ Dìqū</v>
      </c>
      <c r="O139" s="13" t="str">
        <f t="shared" si="4"/>
        <v>Dongcuo Xiang (Ālĭ Dìqū)</v>
      </c>
      <c r="P139" s="13" t="str">
        <f t="shared" si="5"/>
        <v>Dongcuo Xiang (Ālĭ Dìqū)</v>
      </c>
    </row>
    <row r="140" spans="1:16" hidden="1" x14ac:dyDescent="0.25">
      <c r="A140" t="s">
        <v>398</v>
      </c>
      <c r="B140" t="str">
        <f>IF(COUNTIF(A:A,A140)&gt;1,_xlfn.CONCAT(A140," (",N140,")"),A140)</f>
        <v>Dōnggā Jiēdào</v>
      </c>
      <c r="C140" t="str">
        <f>IF(COUNTIF(B:B,B140)&gt;1,_xlfn.CONCAT(A140," (",M140,")"),B140)</f>
        <v>Dōnggā Jiēdào</v>
      </c>
      <c r="D140" t="s">
        <v>399</v>
      </c>
      <c r="E140" t="s">
        <v>374</v>
      </c>
      <c r="F140" t="str">
        <f>_xlfn.CONCAT(D140,", ",H140,", ",I140,", ","西藏自治区")</f>
        <v>东嘎街道, 堆龙德庆区, 拉萨市, 西藏自治区</v>
      </c>
      <c r="G140">
        <v>13371</v>
      </c>
      <c r="H140" t="s">
        <v>1432</v>
      </c>
      <c r="I140" t="s">
        <v>1428</v>
      </c>
      <c r="J140" t="e">
        <f>VLOOKUP(F140,[1]!china_towns_second__2[[Column1]:[Y]],3,FALSE)</f>
        <v>#N/A</v>
      </c>
      <c r="K140" t="e">
        <f>VLOOKUP(F140,[1]!china_towns_second__2[[Column1]:[Y]],2,FALSE)</f>
        <v>#N/A</v>
      </c>
      <c r="L140" t="s">
        <v>1800</v>
      </c>
      <c r="M140" t="str">
        <f>VLOOKUP(H140,CHOOSE({1,2},Table8[Native],Table8[Name]),2,0)</f>
        <v>Duīlóngdéqìng Qū</v>
      </c>
      <c r="N140" s="13" t="str">
        <f>VLOOKUP(I140,CHOOSE({1,2},Table8[Native],Table8[Name]),2,0)</f>
        <v>Lāsà Shì</v>
      </c>
      <c r="O140" s="13" t="str">
        <f t="shared" si="4"/>
        <v>Dongga Jiedao (Lāsà Shì)</v>
      </c>
      <c r="P140" s="13" t="str">
        <f t="shared" si="5"/>
        <v>Dongga Jiedao (Lāsà Shì)</v>
      </c>
    </row>
    <row r="141" spans="1:16" hidden="1" x14ac:dyDescent="0.25">
      <c r="A141" t="s">
        <v>928</v>
      </c>
      <c r="B141" t="str">
        <f>IF(COUNTIF(A:A,A141)&gt;1,_xlfn.CONCAT(A141," (",N141,")"),A141)</f>
        <v>Dōnggā Xiāng</v>
      </c>
      <c r="C141" t="str">
        <f>IF(COUNTIF(B:B,B141)&gt;1,_xlfn.CONCAT(A141," (",M141,")"),B141)</f>
        <v>Dōnggā Xiāng</v>
      </c>
      <c r="D141" t="s">
        <v>929</v>
      </c>
      <c r="E141" t="s">
        <v>7</v>
      </c>
      <c r="F141" t="str">
        <f>_xlfn.CONCAT(D141,", ",H141,", ",I141,", ","西藏自治区")</f>
        <v>东嘎乡, 桑珠孜区, 日喀则市, 西藏自治区</v>
      </c>
      <c r="G141">
        <v>8625</v>
      </c>
      <c r="H141" t="s">
        <v>1473</v>
      </c>
      <c r="I141" t="s">
        <v>1458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1801</v>
      </c>
      <c r="M141" t="str">
        <f>VLOOKUP(H141,CHOOSE({1,2},Table8[Native],Table8[Name]),2,0)</f>
        <v>Sāngzhūzī Qū</v>
      </c>
      <c r="N141" s="13" t="str">
        <f>VLOOKUP(I141,CHOOSE({1,2},Table8[Native],Table8[Name]),2,0)</f>
        <v>Rìkāzé Shì</v>
      </c>
      <c r="O141" s="13" t="str">
        <f t="shared" si="4"/>
        <v>Dongga Xiang (Rìkāzé Shì)</v>
      </c>
      <c r="P141" s="13" t="str">
        <f t="shared" si="5"/>
        <v>Dongga Xiang (Rìkāzé Shì)</v>
      </c>
    </row>
    <row r="142" spans="1:16" x14ac:dyDescent="0.25">
      <c r="A142" t="s">
        <v>533</v>
      </c>
      <c r="B142" t="str">
        <f>IF(COUNTIF(A:A,A142)&gt;1,_xlfn.CONCAT(A142," (",N142,")"),A142)</f>
        <v>Dònggā Zhèn</v>
      </c>
      <c r="C142" t="str">
        <f>IF(COUNTIF(B:B,B142)&gt;1,_xlfn.CONCAT(A142," (",M142,")"),B142)</f>
        <v>Dònggā Zhèn</v>
      </c>
      <c r="D142" t="s">
        <v>534</v>
      </c>
      <c r="E142" t="s">
        <v>17</v>
      </c>
      <c r="F142" t="str">
        <f>_xlfn.CONCAT(D142,", ",H142,", ",I142,", ","西藏自治区")</f>
        <v>洞嘎镇, 朗县, 林芝市, 西藏自治区</v>
      </c>
      <c r="G142">
        <v>2489</v>
      </c>
      <c r="H142" t="s">
        <v>1442</v>
      </c>
      <c r="I142" t="s">
        <v>1437</v>
      </c>
      <c r="J142">
        <f>VLOOKUP(F142,[1]!china_towns_second__2[[Column1]:[Y]],3,FALSE)</f>
        <v>29.140790788569699</v>
      </c>
      <c r="K142">
        <f>VLOOKUP(F142,[1]!china_towns_second__2[[Column1]:[Y]],2,FALSE)</f>
        <v>93.177365550000005</v>
      </c>
      <c r="L142" t="s">
        <v>1802</v>
      </c>
      <c r="M142" t="str">
        <f>VLOOKUP(H142,CHOOSE({1,2},Table8[Native],Table8[Name]),2,0)</f>
        <v>Lăng Xiàn</v>
      </c>
      <c r="N142" s="13" t="str">
        <f>VLOOKUP(I142,CHOOSE({1,2},Table8[Native],Table8[Name]),2,0)</f>
        <v>Línzhī Shì</v>
      </c>
      <c r="O142" s="13" t="str">
        <f t="shared" si="4"/>
        <v>Dongga Zhen (Línzhī Shì)</v>
      </c>
      <c r="P142" s="13" t="str">
        <f t="shared" si="5"/>
        <v>Dongga Zhen (Línzhī Shì)</v>
      </c>
    </row>
    <row r="143" spans="1:16" hidden="1" x14ac:dyDescent="0.25">
      <c r="A143" t="s">
        <v>1267</v>
      </c>
      <c r="B143" t="str">
        <f>IF(COUNTIF(A:A,A143)&gt;1,_xlfn.CONCAT(A143," (",N143,")"),A143)</f>
        <v>Dōnglā Xiāng</v>
      </c>
      <c r="C143" t="str">
        <f>IF(COUNTIF(B:B,B143)&gt;1,_xlfn.CONCAT(A143," (",M143,")"),B143)</f>
        <v>Dōnglā Xiāng</v>
      </c>
      <c r="D143" t="s">
        <v>1268</v>
      </c>
      <c r="E143" t="s">
        <v>7</v>
      </c>
      <c r="F143" t="str">
        <f>_xlfn.CONCAT(D143,", ",H143,", ",I143,", ","西藏自治区")</f>
        <v>东拉乡, 贡嘎县, 山南市, 西藏自治区</v>
      </c>
      <c r="G143">
        <v>3877</v>
      </c>
      <c r="H143" t="s">
        <v>1480</v>
      </c>
      <c r="I143" t="s">
        <v>1477</v>
      </c>
      <c r="J143" t="e">
        <f>VLOOKUP(F143,[1]!china_towns_second__2[[Column1]:[Y]],3,FALSE)</f>
        <v>#N/A</v>
      </c>
      <c r="K143" t="e">
        <f>VLOOKUP(F143,[1]!china_towns_second__2[[Column1]:[Y]],2,FALSE)</f>
        <v>#N/A</v>
      </c>
      <c r="L143" t="s">
        <v>1803</v>
      </c>
      <c r="M143" t="str">
        <f>VLOOKUP(H143,CHOOSE({1,2},Table8[Native],Table8[Name]),2,0)</f>
        <v>Gònggā Xiàn</v>
      </c>
      <c r="N143" s="13" t="str">
        <f>VLOOKUP(I143,CHOOSE({1,2},Table8[Native],Table8[Name]),2,0)</f>
        <v>Shānnán Shì</v>
      </c>
      <c r="O143" s="13" t="str">
        <f t="shared" si="4"/>
        <v>Dongla Xiang (Shānnán Shì)</v>
      </c>
      <c r="P143" s="13" t="str">
        <f t="shared" si="5"/>
        <v>Dongla Xiang (Shānnán Shì)</v>
      </c>
    </row>
    <row r="144" spans="1:16" hidden="1" x14ac:dyDescent="0.25">
      <c r="A144" t="s">
        <v>27</v>
      </c>
      <c r="B144" t="str">
        <f>IF(COUNTIF(A:A,A144)&gt;1,_xlfn.CONCAT(A144," (",N144,")"),A144)</f>
        <v>Dōngrŭ Xiāng</v>
      </c>
      <c r="C144" t="str">
        <f>IF(COUNTIF(B:B,B144)&gt;1,_xlfn.CONCAT(A144," (",M144,")"),B144)</f>
        <v>Dōngrŭ Xiāng</v>
      </c>
      <c r="D144" t="s">
        <v>28</v>
      </c>
      <c r="E144" t="s">
        <v>7</v>
      </c>
      <c r="F144" t="str">
        <f>_xlfn.CONCAT(D144,", ",H144,", ",I144,", ","西藏自治区")</f>
        <v>东汝乡, 日土县, 阿里地区, 西藏自治区</v>
      </c>
      <c r="G144">
        <v>1278</v>
      </c>
      <c r="H144" t="s">
        <v>1412</v>
      </c>
      <c r="I144" t="s">
        <v>1405</v>
      </c>
      <c r="J144" t="e">
        <f>VLOOKUP(F144,[1]!china_towns_second__2[[Column1]:[Y]],3,FALSE)</f>
        <v>#N/A</v>
      </c>
      <c r="K144" t="e">
        <f>VLOOKUP(F144,[1]!china_towns_second__2[[Column1]:[Y]],2,FALSE)</f>
        <v>#N/A</v>
      </c>
      <c r="L144" t="s">
        <v>1804</v>
      </c>
      <c r="M144" t="str">
        <f>VLOOKUP(H144,CHOOSE({1,2},Table8[Native],Table8[Name]),2,0)</f>
        <v>Rìtŭ Xiàn</v>
      </c>
      <c r="N144" s="13" t="str">
        <f>VLOOKUP(I144,CHOOSE({1,2},Table8[Native],Table8[Name]),2,0)</f>
        <v>Ālĭ Dìqū</v>
      </c>
      <c r="O144" s="13" t="str">
        <f t="shared" si="4"/>
        <v>Dongru Xiang (Ālĭ Dìqū)</v>
      </c>
      <c r="P144" s="13" t="str">
        <f t="shared" si="5"/>
        <v>Dongru Xiang (Ālĭ Dìqū)</v>
      </c>
    </row>
    <row r="145" spans="1:16" hidden="1" x14ac:dyDescent="0.25">
      <c r="A145" t="s">
        <v>930</v>
      </c>
      <c r="B145" t="str">
        <f>IF(COUNTIF(A:A,A145)&gt;1,_xlfn.CONCAT(A145," (",N145,")"),A145)</f>
        <v>Dōngxĭ Xiāng</v>
      </c>
      <c r="C145" t="str">
        <f>IF(COUNTIF(B:B,B145)&gt;1,_xlfn.CONCAT(A145," (",M145,")"),B145)</f>
        <v>Dōngxĭ Xiāng</v>
      </c>
      <c r="D145" t="s">
        <v>931</v>
      </c>
      <c r="E145" t="s">
        <v>7</v>
      </c>
      <c r="F145" t="str">
        <f>_xlfn.CONCAT(D145,", ",H145,", ",I145,", ","西藏自治区")</f>
        <v>东喜乡, 白朗县, 日喀则市, 西藏自治区</v>
      </c>
      <c r="G145">
        <v>1144</v>
      </c>
      <c r="H145" t="s">
        <v>1460</v>
      </c>
      <c r="I145" t="s">
        <v>1458</v>
      </c>
      <c r="J145" t="e">
        <f>VLOOKUP(F145,[1]!china_towns_second__2[[Column1]:[Y]],3,FALSE)</f>
        <v>#N/A</v>
      </c>
      <c r="K145" t="e">
        <f>VLOOKUP(F145,[1]!china_towns_second__2[[Column1]:[Y]],2,FALSE)</f>
        <v>#N/A</v>
      </c>
      <c r="L145" t="s">
        <v>1805</v>
      </c>
      <c r="M145" t="str">
        <f>VLOOKUP(H145,CHOOSE({1,2},Table8[Native],Table8[Name]),2,0)</f>
        <v>Báilăng Xiàn</v>
      </c>
      <c r="N145" s="13" t="str">
        <f>VLOOKUP(I145,CHOOSE({1,2},Table8[Native],Table8[Name]),2,0)</f>
        <v>Rìkāzé Shì</v>
      </c>
      <c r="O145" s="13" t="str">
        <f t="shared" si="4"/>
        <v>Dongxi Xiang (Rìkāzé Shì)</v>
      </c>
      <c r="P145" s="13" t="str">
        <f t="shared" si="5"/>
        <v>Dongxi Xiang (Rìkāzé Shì)</v>
      </c>
    </row>
    <row r="146" spans="1:16" hidden="1" x14ac:dyDescent="0.25">
      <c r="A146" t="s">
        <v>1269</v>
      </c>
      <c r="B146" t="str">
        <f>IF(COUNTIF(A:A,A146)&gt;1,_xlfn.CONCAT(A146," (",N146,")"),A146)</f>
        <v>Dòuyùluòbā Mínzú Xiāng</v>
      </c>
      <c r="C146" t="str">
        <f>IF(COUNTIF(B:B,B146)&gt;1,_xlfn.CONCAT(A146," (",M146,")"),B146)</f>
        <v>Dòuyùluòbā Mínzú Xiāng</v>
      </c>
      <c r="D146" t="s">
        <v>1270</v>
      </c>
      <c r="E146" t="s">
        <v>7</v>
      </c>
      <c r="F146" t="str">
        <f>_xlfn.CONCAT(D146,", ",H146,", ",I146,", ","西藏自治区")</f>
        <v>斗玉珞巴民族乡, 隆子县, 山南市, 西藏自治区</v>
      </c>
      <c r="G146">
        <v>592</v>
      </c>
      <c r="H146" t="s">
        <v>1483</v>
      </c>
      <c r="I146" t="s">
        <v>1477</v>
      </c>
      <c r="J146" t="e">
        <f>VLOOKUP(F146,[1]!china_towns_second__2[[Column1]:[Y]],3,FALSE)</f>
        <v>#N/A</v>
      </c>
      <c r="K146" t="e">
        <f>VLOOKUP(F146,[1]!china_towns_second__2[[Column1]:[Y]],2,FALSE)</f>
        <v>#N/A</v>
      </c>
      <c r="L146" t="s">
        <v>1806</v>
      </c>
      <c r="M146" t="str">
        <f>VLOOKUP(H146,CHOOSE({1,2},Table8[Native],Table8[Name]),2,0)</f>
        <v>Lóngzi Xiàn</v>
      </c>
      <c r="N146" s="13" t="str">
        <f>VLOOKUP(I146,CHOOSE({1,2},Table8[Native],Table8[Name]),2,0)</f>
        <v>Shānnán Shì</v>
      </c>
      <c r="O146" s="13" t="str">
        <f t="shared" si="4"/>
        <v>Douyuluoba Minzu Xiang (Shānnán Shì)</v>
      </c>
      <c r="P146" s="13" t="str">
        <f t="shared" si="5"/>
        <v>Douyuluoba Minzu Xiang (Shānnán Shì)</v>
      </c>
    </row>
    <row r="147" spans="1:16" hidden="1" x14ac:dyDescent="0.25">
      <c r="A147" t="s">
        <v>932</v>
      </c>
      <c r="B147" t="str">
        <f>IF(COUNTIF(A:A,A147)&gt;1,_xlfn.CONCAT(A147," (",N147,")"),A147)</f>
        <v>Duīnà Xiāng</v>
      </c>
      <c r="C147" t="str">
        <f>IF(COUNTIF(B:B,B147)&gt;1,_xlfn.CONCAT(A147," (",M147,")"),B147)</f>
        <v>Duīnà Xiāng</v>
      </c>
      <c r="D147" t="s">
        <v>933</v>
      </c>
      <c r="E147" t="s">
        <v>7</v>
      </c>
      <c r="F147" t="str">
        <f>_xlfn.CONCAT(D147,", ",H147,", ",I147,", ","西藏自治区")</f>
        <v>堆纳乡, 亚东县, 日喀则市, 西藏自治区</v>
      </c>
      <c r="G147">
        <v>2746</v>
      </c>
      <c r="H147" t="s">
        <v>1475</v>
      </c>
      <c r="I147" t="s">
        <v>1458</v>
      </c>
      <c r="J147" t="e">
        <f>VLOOKUP(F147,[1]!china_towns_second__2[[Column1]:[Y]],3,FALSE)</f>
        <v>#N/A</v>
      </c>
      <c r="K147" t="e">
        <f>VLOOKUP(F147,[1]!china_towns_second__2[[Column1]:[Y]],2,FALSE)</f>
        <v>#N/A</v>
      </c>
      <c r="L147" t="s">
        <v>1807</v>
      </c>
      <c r="M147" t="str">
        <f>VLOOKUP(H147,CHOOSE({1,2},Table8[Native],Table8[Name]),2,0)</f>
        <v>Yàdōng Xiàn</v>
      </c>
      <c r="N147" s="13" t="str">
        <f>VLOOKUP(I147,CHOOSE({1,2},Table8[Native],Table8[Name]),2,0)</f>
        <v>Rìkāzé Shì</v>
      </c>
      <c r="O147" s="13" t="str">
        <f t="shared" si="4"/>
        <v>Duina Xiang (Rìkāzé Shì)</v>
      </c>
      <c r="P147" s="13" t="str">
        <f t="shared" si="5"/>
        <v>Duina Xiang (Rìkāzé Shì)</v>
      </c>
    </row>
    <row r="148" spans="1:16" hidden="1" x14ac:dyDescent="0.25">
      <c r="A148" t="s">
        <v>1272</v>
      </c>
      <c r="B148" t="str">
        <f>IF(COUNTIF(A:A,A148)&gt;1,_xlfn.CONCAT(A148," (",N148,")"),A148)</f>
        <v>Duīsuí Xiāng</v>
      </c>
      <c r="C148" t="str">
        <f>IF(COUNTIF(B:B,B148)&gt;1,_xlfn.CONCAT(A148," (",M148,")"),B148)</f>
        <v>Duīsuí Xiāng</v>
      </c>
      <c r="D148" t="s">
        <v>1273</v>
      </c>
      <c r="E148" t="s">
        <v>7</v>
      </c>
      <c r="F148" t="str">
        <f>_xlfn.CONCAT(D148,", ",H148,", ",I148,", ","西藏自治区")</f>
        <v>堆随乡, 曲松县, 山南市, 西藏自治区</v>
      </c>
      <c r="G148">
        <v>2689</v>
      </c>
      <c r="H148" t="s">
        <v>1487</v>
      </c>
      <c r="I148" t="s">
        <v>1477</v>
      </c>
      <c r="J148" t="e">
        <f>VLOOKUP(F148,[1]!china_towns_second__2[[Column1]:[Y]],3,FALSE)</f>
        <v>#N/A</v>
      </c>
      <c r="K148" t="e">
        <f>VLOOKUP(F148,[1]!china_towns_second__2[[Column1]:[Y]],2,FALSE)</f>
        <v>#N/A</v>
      </c>
      <c r="L148" t="s">
        <v>1808</v>
      </c>
      <c r="M148" t="str">
        <f>VLOOKUP(H148,CHOOSE({1,2},Table8[Native],Table8[Name]),2,0)</f>
        <v>Qŭsōng Xiàn</v>
      </c>
      <c r="N148" s="13" t="str">
        <f>VLOOKUP(I148,CHOOSE({1,2},Table8[Native],Table8[Name]),2,0)</f>
        <v>Shānnán Shì</v>
      </c>
      <c r="O148" s="13" t="str">
        <f t="shared" si="4"/>
        <v>Duisui Xiang (Shānnán Shì)</v>
      </c>
      <c r="P148" s="13" t="str">
        <f t="shared" si="5"/>
        <v>Duisui Xiang (Shānnán Shì)</v>
      </c>
    </row>
    <row r="149" spans="1:16" hidden="1" x14ac:dyDescent="0.25">
      <c r="A149" t="s">
        <v>935</v>
      </c>
      <c r="B149" t="str">
        <f>IF(COUNTIF(A:A,A149)&gt;1,_xlfn.CONCAT(A149," (",N149,")"),A149)</f>
        <v>Duōbái Xiāng</v>
      </c>
      <c r="C149" t="str">
        <f>IF(COUNTIF(B:B,B149)&gt;1,_xlfn.CONCAT(A149," (",M149,")"),B149)</f>
        <v>Duōbái Xiāng</v>
      </c>
      <c r="D149" t="s">
        <v>936</v>
      </c>
      <c r="E149" t="s">
        <v>7</v>
      </c>
      <c r="F149" t="str">
        <f>_xlfn.CONCAT(D149,", ",H149,", ",I149,", ","西藏自治区")</f>
        <v>多白乡, 昂仁县, 日喀则市, 西藏自治区</v>
      </c>
      <c r="G149">
        <v>5830</v>
      </c>
      <c r="H149" t="s">
        <v>1459</v>
      </c>
      <c r="I149" t="s">
        <v>1458</v>
      </c>
      <c r="J149" t="e">
        <f>VLOOKUP(F149,[1]!china_towns_second__2[[Column1]:[Y]],3,FALSE)</f>
        <v>#N/A</v>
      </c>
      <c r="K149" t="e">
        <f>VLOOKUP(F149,[1]!china_towns_second__2[[Column1]:[Y]],2,FALSE)</f>
        <v>#N/A</v>
      </c>
      <c r="L149" t="s">
        <v>1809</v>
      </c>
      <c r="M149" t="str">
        <f>VLOOKUP(H149,CHOOSE({1,2},Table8[Native],Table8[Name]),2,0)</f>
        <v>Ángrén Xiàn</v>
      </c>
      <c r="N149" s="13" t="str">
        <f>VLOOKUP(I149,CHOOSE({1,2},Table8[Native],Table8[Name]),2,0)</f>
        <v>Rìkāzé Shì</v>
      </c>
      <c r="O149" s="13" t="str">
        <f t="shared" si="4"/>
        <v>Duobai Xiang (Rìkāzé Shì)</v>
      </c>
      <c r="P149" s="13" t="str">
        <f t="shared" si="5"/>
        <v>Duobai Xiang (Rìkāzé Shì)</v>
      </c>
    </row>
    <row r="150" spans="1:16" hidden="1" x14ac:dyDescent="0.25">
      <c r="A150" t="s">
        <v>937</v>
      </c>
      <c r="B150" t="str">
        <f>IF(COUNTIF(A:A,A150)&gt;1,_xlfn.CONCAT(A150," (",N150,")"),A150)</f>
        <v>Duōbùzhā Xiāng</v>
      </c>
      <c r="C150" t="str">
        <f>IF(COUNTIF(B:B,B150)&gt;1,_xlfn.CONCAT(A150," (",M150,")"),B150)</f>
        <v>Duōbùzhā Xiāng</v>
      </c>
      <c r="D150" t="s">
        <v>938</v>
      </c>
      <c r="E150" t="s">
        <v>7</v>
      </c>
      <c r="F150" t="str">
        <f>_xlfn.CONCAT(D150,", ",H150,", ",I150,", ","西藏自治区")</f>
        <v>多布扎乡, 定结县, 日喀则市, 西藏自治区</v>
      </c>
      <c r="G150">
        <v>1606</v>
      </c>
      <c r="H150" t="s">
        <v>1461</v>
      </c>
      <c r="I150" t="s">
        <v>1458</v>
      </c>
      <c r="J150" t="e">
        <f>VLOOKUP(F150,[1]!china_towns_second__2[[Column1]:[Y]],3,FALSE)</f>
        <v>#N/A</v>
      </c>
      <c r="K150" t="e">
        <f>VLOOKUP(F150,[1]!china_towns_second__2[[Column1]:[Y]],2,FALSE)</f>
        <v>#N/A</v>
      </c>
      <c r="L150" t="s">
        <v>1810</v>
      </c>
      <c r="M150" t="str">
        <f>VLOOKUP(H150,CHOOSE({1,2},Table8[Native],Table8[Name]),2,0)</f>
        <v>Dìngjié Xiàn</v>
      </c>
      <c r="N150" s="13" t="str">
        <f>VLOOKUP(I150,CHOOSE({1,2},Table8[Native],Table8[Name]),2,0)</f>
        <v>Rìkāzé Shì</v>
      </c>
      <c r="O150" s="13" t="str">
        <f t="shared" si="4"/>
        <v>Duobuzha Xiang (Rìkāzé Shì)</v>
      </c>
      <c r="P150" s="13" t="str">
        <f t="shared" si="5"/>
        <v>Duobuzha Xiang (Rìkāzé Shì)</v>
      </c>
    </row>
    <row r="151" spans="1:16" hidden="1" x14ac:dyDescent="0.25">
      <c r="A151" t="s">
        <v>400</v>
      </c>
      <c r="B151" t="str">
        <f>IF(COUNTIF(A:A,A151)&gt;1,_xlfn.CONCAT(A151," (",N151,")"),A151)</f>
        <v>Duódĭ Jiēdào</v>
      </c>
      <c r="C151" t="str">
        <f>IF(COUNTIF(B:B,B151)&gt;1,_xlfn.CONCAT(A151," (",M151,")"),B151)</f>
        <v>Duódĭ Jiēdào</v>
      </c>
      <c r="D151" t="s">
        <v>401</v>
      </c>
      <c r="E151" t="s">
        <v>374</v>
      </c>
      <c r="F151" t="str">
        <f>_xlfn.CONCAT(D151,", ",H151,", ",I151,", ","西藏自治区")</f>
        <v>夺底街道, 城关区, 拉萨市, 西藏自治区</v>
      </c>
      <c r="G151">
        <v>15186</v>
      </c>
      <c r="H151" t="s">
        <v>1429</v>
      </c>
      <c r="I151" t="s">
        <v>1428</v>
      </c>
      <c r="J151" t="e">
        <f>VLOOKUP(F151,[1]!china_towns_second__2[[Column1]:[Y]],3,FALSE)</f>
        <v>#N/A</v>
      </c>
      <c r="K151" t="e">
        <f>VLOOKUP(F151,[1]!china_towns_second__2[[Column1]:[Y]],2,FALSE)</f>
        <v>#N/A</v>
      </c>
      <c r="L151" t="s">
        <v>1811</v>
      </c>
      <c r="M151" t="str">
        <f>VLOOKUP(H151,CHOOSE({1,2},Table8[Native],Table8[Name]),2,0)</f>
        <v>Chéngguān Qū</v>
      </c>
      <c r="N151" s="13" t="str">
        <f>VLOOKUP(I151,CHOOSE({1,2},Table8[Native],Table8[Name]),2,0)</f>
        <v>Lāsà Shì</v>
      </c>
      <c r="O151" s="13" t="str">
        <f t="shared" si="4"/>
        <v>Duodi Jiedao (Lāsà Shì)</v>
      </c>
      <c r="P151" s="13" t="str">
        <f t="shared" si="5"/>
        <v>Duodi Jiedao (Lāsà Shì)</v>
      </c>
    </row>
    <row r="152" spans="1:16" hidden="1" x14ac:dyDescent="0.25">
      <c r="A152" t="s">
        <v>535</v>
      </c>
      <c r="B152" t="str">
        <f>IF(COUNTIF(A:A,A152)&gt;1,_xlfn.CONCAT(A152," (",N152,")"),A152)</f>
        <v>Duōjí Xiāng</v>
      </c>
      <c r="C152" t="str">
        <f>IF(COUNTIF(B:B,B152)&gt;1,_xlfn.CONCAT(A152," (",M152,")"),B152)</f>
        <v>Duōjí Xiāng</v>
      </c>
      <c r="D152" t="s">
        <v>536</v>
      </c>
      <c r="E152" t="s">
        <v>7</v>
      </c>
      <c r="F152" t="str">
        <f>_xlfn.CONCAT(D152,", ",H152,", ",I152,", ","西藏自治区")</f>
        <v>多吉乡, 波密县, 林芝市, 西藏自治区</v>
      </c>
      <c r="G152">
        <v>3041</v>
      </c>
      <c r="H152" t="s">
        <v>1439</v>
      </c>
      <c r="I152" t="s">
        <v>1437</v>
      </c>
      <c r="J152" t="e">
        <f>VLOOKUP(F152,[1]!china_towns_second__2[[Column1]:[Y]],3,FALSE)</f>
        <v>#N/A</v>
      </c>
      <c r="K152" t="e">
        <f>VLOOKUP(F152,[1]!china_towns_second__2[[Column1]:[Y]],2,FALSE)</f>
        <v>#N/A</v>
      </c>
      <c r="L152" t="s">
        <v>1812</v>
      </c>
      <c r="M152" t="str">
        <f>VLOOKUP(H152,CHOOSE({1,2},Table8[Native],Table8[Name]),2,0)</f>
        <v>Bōmì Xiàn</v>
      </c>
      <c r="N152" s="13" t="str">
        <f>VLOOKUP(I152,CHOOSE({1,2},Table8[Native],Table8[Name]),2,0)</f>
        <v>Línzhī Shì</v>
      </c>
      <c r="O152" s="13" t="str">
        <f t="shared" si="4"/>
        <v>Duoji Xiang (Línzhī Shì)</v>
      </c>
      <c r="P152" s="13" t="str">
        <f t="shared" si="5"/>
        <v>Duoji Xiang (Línzhī Shì)</v>
      </c>
    </row>
    <row r="153" spans="1:16" hidden="1" x14ac:dyDescent="0.25">
      <c r="A153" t="s">
        <v>939</v>
      </c>
      <c r="B153" t="str">
        <f>IF(COUNTIF(A:A,A153)&gt;1,_xlfn.CONCAT(A153," (",N153,")"),A153)</f>
        <v>Duōjiăo Xiāng</v>
      </c>
      <c r="C153" t="str">
        <f>IF(COUNTIF(B:B,B153)&gt;1,_xlfn.CONCAT(A153," (",M153,")"),B153)</f>
        <v>Duōjiăo Xiāng</v>
      </c>
      <c r="D153" t="s">
        <v>940</v>
      </c>
      <c r="E153" t="s">
        <v>7</v>
      </c>
      <c r="F153" t="str">
        <f>_xlfn.CONCAT(D153,", ",H153,", ",I153,", ","西藏自治区")</f>
        <v>多角乡, 南木林县, 日喀则市, 西藏自治区</v>
      </c>
      <c r="G153">
        <v>4860</v>
      </c>
      <c r="H153" t="s">
        <v>1468</v>
      </c>
      <c r="I153" t="s">
        <v>1458</v>
      </c>
      <c r="J153" t="e">
        <f>VLOOKUP(F153,[1]!china_towns_second__2[[Column1]:[Y]],3,FALSE)</f>
        <v>#N/A</v>
      </c>
      <c r="K153" t="e">
        <f>VLOOKUP(F153,[1]!china_towns_second__2[[Column1]:[Y]],2,FALSE)</f>
        <v>#N/A</v>
      </c>
      <c r="L153" t="s">
        <v>1813</v>
      </c>
      <c r="M153" t="str">
        <f>VLOOKUP(H153,CHOOSE({1,2},Table8[Native],Table8[Name]),2,0)</f>
        <v>Nánmùlín Xiàn</v>
      </c>
      <c r="N153" s="13" t="str">
        <f>VLOOKUP(I153,CHOOSE({1,2},Table8[Native],Table8[Name]),2,0)</f>
        <v>Rìkāzé Shì</v>
      </c>
      <c r="O153" s="13" t="str">
        <f t="shared" si="4"/>
        <v>Duojiao Xiang (Rìkāzé Shì)</v>
      </c>
      <c r="P153" s="13" t="str">
        <f t="shared" si="5"/>
        <v>Duojiao Xiang (Rìkāzé Shì)</v>
      </c>
    </row>
    <row r="154" spans="1:16" hidden="1" x14ac:dyDescent="0.25">
      <c r="A154" t="s">
        <v>30</v>
      </c>
      <c r="B154" t="str">
        <f>IF(COUNTIF(A:A,A154)&gt;1,_xlfn.CONCAT(A154," (",N154,")"),A154)</f>
        <v>Duōmă Xiāng (Ālĭ Dìqū)</v>
      </c>
      <c r="C154" t="str">
        <f>IF(COUNTIF(B:B,B154)&gt;1,_xlfn.CONCAT(A154," (",M154,")"),B154)</f>
        <v>Duōmă Xiāng (Ālĭ Dìqū)</v>
      </c>
      <c r="D154" t="s">
        <v>31</v>
      </c>
      <c r="E154" t="s">
        <v>7</v>
      </c>
      <c r="F154" t="str">
        <f>_xlfn.CONCAT(D154,", ",H154,", ",I154,", ","西藏自治区")</f>
        <v>多玛乡, 日土县, 阿里地区, 西藏自治区</v>
      </c>
      <c r="G154">
        <v>1240</v>
      </c>
      <c r="H154" t="s">
        <v>1412</v>
      </c>
      <c r="I154" t="s">
        <v>1405</v>
      </c>
      <c r="J154" t="e">
        <f>VLOOKUP(F154,[1]!china_towns_second__2[[Column1]:[Y]],3,FALSE)</f>
        <v>#N/A</v>
      </c>
      <c r="K154" t="e">
        <f>VLOOKUP(F154,[1]!china_towns_second__2[[Column1]:[Y]],2,FALSE)</f>
        <v>#N/A</v>
      </c>
      <c r="L154" t="s">
        <v>1814</v>
      </c>
      <c r="M154" t="str">
        <f>VLOOKUP(H154,CHOOSE({1,2},Table8[Native],Table8[Name]),2,0)</f>
        <v>Rìtŭ Xiàn</v>
      </c>
      <c r="N154" s="13" t="str">
        <f>VLOOKUP(I154,CHOOSE({1,2},Table8[Native],Table8[Name]),2,0)</f>
        <v>Ālĭ Dìqū</v>
      </c>
      <c r="O154" s="13" t="str">
        <f t="shared" si="4"/>
        <v>Duoma Xiang (Ali Diqu) (Ālĭ Dìqū)</v>
      </c>
      <c r="P154" s="13" t="str">
        <f t="shared" si="5"/>
        <v>Duoma Xiang (Ali Diqu) (Ālĭ Dìqū)</v>
      </c>
    </row>
    <row r="155" spans="1:16" hidden="1" x14ac:dyDescent="0.25">
      <c r="A155" t="s">
        <v>30</v>
      </c>
      <c r="B155" t="str">
        <f>IF(COUNTIF(A:A,A155)&gt;1,_xlfn.CONCAT(A155," (",N155,")"),A155)</f>
        <v>Duōmă Xiāng (Nàqŭ Shì)</v>
      </c>
      <c r="C155" t="str">
        <f>IF(COUNTIF(B:B,B155)&gt;1,_xlfn.CONCAT(A155," (",M155,")"),B155)</f>
        <v>Duōmă Xiāng (Nàqŭ Shì)</v>
      </c>
      <c r="D155" t="s">
        <v>31</v>
      </c>
      <c r="E155" t="s">
        <v>7</v>
      </c>
      <c r="F155" t="str">
        <f>_xlfn.CONCAT(D155,", ",H155,", ",I155,", ","西藏自治区")</f>
        <v>多玛乡, 双湖县, 那曲市, 西藏自治区</v>
      </c>
      <c r="G155">
        <v>2764</v>
      </c>
      <c r="H155" t="s">
        <v>1456</v>
      </c>
      <c r="I155" t="s">
        <v>1445</v>
      </c>
      <c r="J155" t="e">
        <f>VLOOKUP(F155,[1]!china_towns_second__2[[Column1]:[Y]],3,FALSE)</f>
        <v>#N/A</v>
      </c>
      <c r="K155" t="e">
        <f>VLOOKUP(F155,[1]!china_towns_second__2[[Column1]:[Y]],2,FALSE)</f>
        <v>#N/A</v>
      </c>
      <c r="L155" t="s">
        <v>1815</v>
      </c>
      <c r="M155" t="str">
        <f>VLOOKUP(H155,CHOOSE({1,2},Table8[Native],Table8[Name]),2,0)</f>
        <v>Shuānghú Xiàn</v>
      </c>
      <c r="N155" s="13" t="str">
        <f>VLOOKUP(I155,CHOOSE({1,2},Table8[Native],Table8[Name]),2,0)</f>
        <v>Nàqŭ Shì</v>
      </c>
      <c r="O155" s="13" t="str">
        <f t="shared" si="4"/>
        <v>Duoma Xiang (Naqu Shi) (Nàqŭ Shì)</v>
      </c>
      <c r="P155" s="13" t="str">
        <f t="shared" si="5"/>
        <v>Duoma Xiang (Naqu Shi) (Nàqŭ Shì)</v>
      </c>
    </row>
    <row r="156" spans="1:16" hidden="1" x14ac:dyDescent="0.25">
      <c r="A156" t="s">
        <v>674</v>
      </c>
      <c r="B156" t="str">
        <f>IF(COUNTIF(A:A,A156)&gt;1,_xlfn.CONCAT(A156," (",N156,")"),A156)</f>
        <v>Duōmă Xiāng [in: Qīnghăi]</v>
      </c>
      <c r="C156" t="str">
        <f>IF(COUNTIF(B:B,B156)&gt;1,_xlfn.CONCAT(A156," (",M156,")"),B156)</f>
        <v>Duōmă Xiāng [in: Qīnghăi]</v>
      </c>
      <c r="D156" t="s">
        <v>31</v>
      </c>
      <c r="E156" t="s">
        <v>7</v>
      </c>
      <c r="F156" t="str">
        <f>_xlfn.CONCAT(D156,", ",H156,", ",I156,", ","西藏自治区")</f>
        <v>多玛乡, 安多县, 那曲市, 西藏自治区</v>
      </c>
      <c r="G156">
        <v>1685</v>
      </c>
      <c r="H156" t="s">
        <v>1446</v>
      </c>
      <c r="I156" t="s">
        <v>1445</v>
      </c>
      <c r="J156" t="e">
        <f>VLOOKUP(F156,[1]!china_towns_second__2[[Column1]:[Y]],3,FALSE)</f>
        <v>#N/A</v>
      </c>
      <c r="K156" t="e">
        <f>VLOOKUP(F156,[1]!china_towns_second__2[[Column1]:[Y]],2,FALSE)</f>
        <v>#N/A</v>
      </c>
      <c r="L156" t="s">
        <v>1816</v>
      </c>
      <c r="M156" t="str">
        <f>VLOOKUP(H156,CHOOSE({1,2},Table8[Native],Table8[Name]),2,0)</f>
        <v>Ānduō Xiàn</v>
      </c>
      <c r="N156" s="13" t="str">
        <f>VLOOKUP(I156,CHOOSE({1,2},Table8[Native],Table8[Name]),2,0)</f>
        <v>Nàqŭ Shì</v>
      </c>
      <c r="O156" s="13" t="str">
        <f t="shared" si="4"/>
        <v>Duoma Xiang [in: Qinghai] (Nàqŭ Shì)</v>
      </c>
      <c r="P156" s="13" t="str">
        <f t="shared" si="5"/>
        <v>Duoma Xiang [in: Qinghai] (Nàqŭ Shì)</v>
      </c>
    </row>
    <row r="157" spans="1:16" hidden="1" x14ac:dyDescent="0.25">
      <c r="A157" t="s">
        <v>1275</v>
      </c>
      <c r="B157" t="str">
        <f>IF(COUNTIF(A:A,A157)&gt;1,_xlfn.CONCAT(A157," (",N157,")"),A157)</f>
        <v>Duōpōzhāng Xiāng</v>
      </c>
      <c r="C157" t="str">
        <f>IF(COUNTIF(B:B,B157)&gt;1,_xlfn.CONCAT(A157," (",M157,")"),B157)</f>
        <v>Duōpōzhāng Xiāng</v>
      </c>
      <c r="D157" t="s">
        <v>1276</v>
      </c>
      <c r="E157" t="s">
        <v>7</v>
      </c>
      <c r="F157" t="str">
        <f>_xlfn.CONCAT(D157,", ",H157,", ",I157,", ","西藏自治区")</f>
        <v>多颇章乡, 乃东区, 山南市, 西藏自治区</v>
      </c>
      <c r="G157">
        <v>1725</v>
      </c>
      <c r="H157" t="s">
        <v>1485</v>
      </c>
      <c r="I157" t="s">
        <v>1477</v>
      </c>
      <c r="J157" t="e">
        <f>VLOOKUP(F157,[1]!china_towns_second__2[[Column1]:[Y]],3,FALSE)</f>
        <v>#N/A</v>
      </c>
      <c r="K157" t="e">
        <f>VLOOKUP(F157,[1]!china_towns_second__2[[Column1]:[Y]],2,FALSE)</f>
        <v>#N/A</v>
      </c>
      <c r="L157" t="s">
        <v>1817</v>
      </c>
      <c r="M157" t="str">
        <f>VLOOKUP(H157,CHOOSE({1,2},Table8[Native],Table8[Name]),2,0)</f>
        <v>Năidōng Qū</v>
      </c>
      <c r="N157" s="13" t="str">
        <f>VLOOKUP(I157,CHOOSE({1,2},Table8[Native],Table8[Name]),2,0)</f>
        <v>Shānnán Shì</v>
      </c>
      <c r="O157" s="13" t="str">
        <f t="shared" si="4"/>
        <v>Duopozhang Xiang (Shānnán Shì)</v>
      </c>
      <c r="P157" s="13" t="str">
        <f t="shared" si="5"/>
        <v>Duopozhang Xiang (Shānnán Shì)</v>
      </c>
    </row>
    <row r="158" spans="1:16" hidden="1" x14ac:dyDescent="0.25">
      <c r="A158" t="s">
        <v>1277</v>
      </c>
      <c r="B158" t="str">
        <f>IF(COUNTIF(A:A,A158)&gt;1,_xlfn.CONCAT(A158," (",N158,")"),A158)</f>
        <v>Duōquè Xiāng</v>
      </c>
      <c r="C158" t="str">
        <f>IF(COUNTIF(B:B,B158)&gt;1,_xlfn.CONCAT(A158," (",M158,")"),B158)</f>
        <v>Duōquè Xiāng</v>
      </c>
      <c r="D158" t="s">
        <v>1278</v>
      </c>
      <c r="E158" t="s">
        <v>7</v>
      </c>
      <c r="F158" t="str">
        <f>_xlfn.CONCAT(D158,", ",H158,", ",I158,", ","西藏自治区")</f>
        <v>多却乡, 浪卡子县, 山南市, 西藏自治区</v>
      </c>
      <c r="G158">
        <v>5628</v>
      </c>
      <c r="H158" t="s">
        <v>1482</v>
      </c>
      <c r="I158" t="s">
        <v>1477</v>
      </c>
      <c r="J158" t="e">
        <f>VLOOKUP(F158,[1]!china_towns_second__2[[Column1]:[Y]],3,FALSE)</f>
        <v>#N/A</v>
      </c>
      <c r="K158" t="e">
        <f>VLOOKUP(F158,[1]!china_towns_second__2[[Column1]:[Y]],2,FALSE)</f>
        <v>#N/A</v>
      </c>
      <c r="L158" t="s">
        <v>1818</v>
      </c>
      <c r="M158" t="str">
        <f>VLOOKUP(H158,CHOOSE({1,2},Table8[Native],Table8[Name]),2,0)</f>
        <v>Làngkăzi Xiàn</v>
      </c>
      <c r="N158" s="13" t="str">
        <f>VLOOKUP(I158,CHOOSE({1,2},Table8[Native],Table8[Name]),2,0)</f>
        <v>Shānnán Shì</v>
      </c>
      <c r="O158" s="13" t="str">
        <f t="shared" si="4"/>
        <v>Duoque Xiang (Shānnán Shì)</v>
      </c>
      <c r="P158" s="13" t="str">
        <f t="shared" si="5"/>
        <v>Duoque Xiang (Shānnán Shì)</v>
      </c>
    </row>
    <row r="159" spans="1:16" hidden="1" x14ac:dyDescent="0.25">
      <c r="A159" t="s">
        <v>941</v>
      </c>
      <c r="B159" t="str">
        <f>IF(COUNTIF(A:A,A159)&gt;1,_xlfn.CONCAT(A159," (",N159,")"),A159)</f>
        <v>Dùqióng Xiāng</v>
      </c>
      <c r="C159" t="str">
        <f>IF(COUNTIF(B:B,B159)&gt;1,_xlfn.CONCAT(A159," (",M159,")"),B159)</f>
        <v>Dùqióng Xiāng</v>
      </c>
      <c r="D159" t="s">
        <v>942</v>
      </c>
      <c r="E159" t="s">
        <v>7</v>
      </c>
      <c r="F159" t="str">
        <f>_xlfn.CONCAT(D159,", ",H159,", ",I159,", ","西藏自治区")</f>
        <v>杜琼乡, 白朗县, 日喀则市, 西藏自治区</v>
      </c>
      <c r="G159">
        <v>3192</v>
      </c>
      <c r="H159" t="s">
        <v>1460</v>
      </c>
      <c r="I159" t="s">
        <v>1458</v>
      </c>
      <c r="J159" t="e">
        <f>VLOOKUP(F159,[1]!china_towns_second__2[[Column1]:[Y]],3,FALSE)</f>
        <v>#N/A</v>
      </c>
      <c r="K159" t="e">
        <f>VLOOKUP(F159,[1]!china_towns_second__2[[Column1]:[Y]],2,FALSE)</f>
        <v>#N/A</v>
      </c>
      <c r="L159" t="s">
        <v>1819</v>
      </c>
      <c r="M159" t="str">
        <f>VLOOKUP(H159,CHOOSE({1,2},Table8[Native],Table8[Name]),2,0)</f>
        <v>Báilăng Xiàn</v>
      </c>
      <c r="N159" s="13" t="str">
        <f>VLOOKUP(I159,CHOOSE({1,2},Table8[Native],Table8[Name]),2,0)</f>
        <v>Rìkāzé Shì</v>
      </c>
      <c r="O159" s="13" t="str">
        <f t="shared" si="4"/>
        <v>Duqiong Xiang (Rìkāzé Shì)</v>
      </c>
      <c r="P159" s="13" t="str">
        <f t="shared" si="5"/>
        <v>Duqiong Xiang (Rìkāzé Shì)</v>
      </c>
    </row>
    <row r="160" spans="1:16" hidden="1" x14ac:dyDescent="0.25">
      <c r="A160" t="s">
        <v>153</v>
      </c>
      <c r="B160" t="str">
        <f>IF(COUNTIF(A:A,A160)&gt;1,_xlfn.CONCAT(A160," (",N160,")"),A160)</f>
        <v>Dūwă Xiāng</v>
      </c>
      <c r="C160" t="str">
        <f>IF(COUNTIF(B:B,B160)&gt;1,_xlfn.CONCAT(A160," (",M160,")"),B160)</f>
        <v>Dūwă Xiāng</v>
      </c>
      <c r="D160" t="s">
        <v>154</v>
      </c>
      <c r="E160" t="s">
        <v>7</v>
      </c>
      <c r="F160" t="str">
        <f>_xlfn.CONCAT(D160,", ",H160,", ",I160,", ","西藏自治区")</f>
        <v>都瓦乡, 边坝县, 昌都市, 西藏自治区</v>
      </c>
      <c r="G160">
        <v>2832</v>
      </c>
      <c r="H160" t="s">
        <v>1417</v>
      </c>
      <c r="I160" t="s">
        <v>1415</v>
      </c>
      <c r="J160" t="e">
        <f>VLOOKUP(F160,[1]!china_towns_second__2[[Column1]:[Y]],3,FALSE)</f>
        <v>#N/A</v>
      </c>
      <c r="K160" t="e">
        <f>VLOOKUP(F160,[1]!china_towns_second__2[[Column1]:[Y]],2,FALSE)</f>
        <v>#N/A</v>
      </c>
      <c r="L160" t="s">
        <v>1820</v>
      </c>
      <c r="M160" t="str">
        <f>VLOOKUP(H160,CHOOSE({1,2},Table8[Native],Table8[Name]),2,0)</f>
        <v>Biānbà Xiàn</v>
      </c>
      <c r="N160" s="13" t="str">
        <f>VLOOKUP(I160,CHOOSE({1,2},Table8[Native],Table8[Name]),2,0)</f>
        <v>Chāngdū Shì</v>
      </c>
      <c r="O160" s="13" t="str">
        <f t="shared" si="4"/>
        <v>Duwa Xiang (Chāngdū Shì)</v>
      </c>
      <c r="P160" s="13" t="str">
        <f t="shared" si="5"/>
        <v>Duwa Xiang (Chāngdū Shì)</v>
      </c>
    </row>
    <row r="161" spans="1:16" hidden="1" x14ac:dyDescent="0.25">
      <c r="A161" t="s">
        <v>675</v>
      </c>
      <c r="B161" t="str">
        <f>IF(COUNTIF(A:A,A161)&gt;1,_xlfn.CONCAT(A161," (",N161,")"),A161)</f>
        <v>Éjiŭ Xiāng</v>
      </c>
      <c r="C161" t="str">
        <f>IF(COUNTIF(B:B,B161)&gt;1,_xlfn.CONCAT(A161," (",M161,")"),B161)</f>
        <v>Éjiŭ Xiāng</v>
      </c>
      <c r="D161" t="s">
        <v>676</v>
      </c>
      <c r="E161" t="s">
        <v>7</v>
      </c>
      <c r="F161" t="str">
        <f>_xlfn.CONCAT(D161,", ",H161,", ",I161,", ","西藏自治区")</f>
        <v>俄久乡, 尼玛县, 那曲市, 西藏自治区</v>
      </c>
      <c r="G161">
        <v>2081</v>
      </c>
      <c r="H161" t="s">
        <v>1452</v>
      </c>
      <c r="I161" t="s">
        <v>1445</v>
      </c>
      <c r="J161" t="e">
        <f>VLOOKUP(F161,[1]!china_towns_second__2[[Column1]:[Y]],3,FALSE)</f>
        <v>#N/A</v>
      </c>
      <c r="K161" t="e">
        <f>VLOOKUP(F161,[1]!china_towns_second__2[[Column1]:[Y]],2,FALSE)</f>
        <v>#N/A</v>
      </c>
      <c r="L161" t="s">
        <v>1821</v>
      </c>
      <c r="M161" t="str">
        <f>VLOOKUP(H161,CHOOSE({1,2},Table8[Native],Table8[Name]),2,0)</f>
        <v>Nímă Xiàn</v>
      </c>
      <c r="N161" s="13" t="str">
        <f>VLOOKUP(I161,CHOOSE({1,2},Table8[Native],Table8[Name]),2,0)</f>
        <v>Nàqŭ Shì</v>
      </c>
      <c r="O161" s="13" t="str">
        <f t="shared" si="4"/>
        <v>Ejiu Xiang (Nàqŭ Shì)</v>
      </c>
      <c r="P161" s="13" t="str">
        <f t="shared" si="5"/>
        <v>Ejiu Xiang (Nàqŭ Shì)</v>
      </c>
    </row>
    <row r="162" spans="1:16" x14ac:dyDescent="0.25">
      <c r="A162" t="s">
        <v>155</v>
      </c>
      <c r="B162" t="str">
        <f>IF(COUNTIF(A:A,A162)&gt;1,_xlfn.CONCAT(A162," (",N162,")"),A162)</f>
        <v>Éluò Zhèn</v>
      </c>
      <c r="C162" t="str">
        <f>IF(COUNTIF(B:B,B162)&gt;1,_xlfn.CONCAT(A162," (",M162,")"),B162)</f>
        <v>Éluò Zhèn</v>
      </c>
      <c r="D162" t="s">
        <v>156</v>
      </c>
      <c r="E162" t="s">
        <v>17</v>
      </c>
      <c r="F162" t="str">
        <f>_xlfn.CONCAT(D162,", ",H162,", ",I162,", ","西藏自治区")</f>
        <v>俄洛镇, 卡若区, 昌都市, 西藏自治区</v>
      </c>
      <c r="G162">
        <v>6502</v>
      </c>
      <c r="H162" t="s">
        <v>1423</v>
      </c>
      <c r="I162" t="s">
        <v>1415</v>
      </c>
      <c r="J162">
        <f>VLOOKUP(F162,[1]!china_towns_second__2[[Column1]:[Y]],3,FALSE)</f>
        <v>31.2081008356982</v>
      </c>
      <c r="K162">
        <f>VLOOKUP(F162,[1]!china_towns_second__2[[Column1]:[Y]],2,FALSE)</f>
        <v>96.972081410000001</v>
      </c>
      <c r="L162" t="s">
        <v>1822</v>
      </c>
      <c r="M162" t="str">
        <f>VLOOKUP(H162,CHOOSE({1,2},Table8[Native],Table8[Name]),2,0)</f>
        <v>Kǎruò Qū</v>
      </c>
      <c r="N162" s="13" t="str">
        <f>VLOOKUP(I162,CHOOSE({1,2},Table8[Native],Table8[Name]),2,0)</f>
        <v>Chāngdū Shì</v>
      </c>
      <c r="O162" s="13" t="str">
        <f t="shared" si="4"/>
        <v>Eluo Zhen (Chāngdū Shì)</v>
      </c>
      <c r="P162" s="13" t="str">
        <f t="shared" si="5"/>
        <v>Eluo Zhen (Chāngdū Shì)</v>
      </c>
    </row>
    <row r="163" spans="1:16" hidden="1" x14ac:dyDescent="0.25">
      <c r="A163" t="s">
        <v>157</v>
      </c>
      <c r="B163" t="str">
        <f>IF(COUNTIF(A:A,A163)&gt;1,_xlfn.CONCAT(A163," (",N163,")"),A163)</f>
        <v>Éxī Xiāng</v>
      </c>
      <c r="C163" t="str">
        <f>IF(COUNTIF(B:B,B163)&gt;1,_xlfn.CONCAT(A163," (",M163,")"),B163)</f>
        <v>Éxī Xiāng</v>
      </c>
      <c r="D163" t="s">
        <v>158</v>
      </c>
      <c r="E163" t="s">
        <v>7</v>
      </c>
      <c r="F163" t="str">
        <f>_xlfn.CONCAT(D163,", ",H163,", ",I163,", ","西藏自治区")</f>
        <v>俄西乡, 洛隆县, 昌都市, 西藏自治区</v>
      </c>
      <c r="G163">
        <v>6140</v>
      </c>
      <c r="H163" t="s">
        <v>1425</v>
      </c>
      <c r="I163" t="s">
        <v>1415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1823</v>
      </c>
      <c r="M163" t="str">
        <f>VLOOKUP(H163,CHOOSE({1,2},Table8[Native],Table8[Name]),2,0)</f>
        <v>Luòlóng Xiàn</v>
      </c>
      <c r="N163" s="13" t="str">
        <f>VLOOKUP(I163,CHOOSE({1,2},Table8[Native],Table8[Name]),2,0)</f>
        <v>Chāngdū Shì</v>
      </c>
      <c r="O163" s="13" t="str">
        <f t="shared" si="4"/>
        <v>Exi Xiang (Chāngdū Shì)</v>
      </c>
      <c r="P163" s="13" t="str">
        <f t="shared" si="5"/>
        <v>Exi Xiang (Chāngdū Shì)</v>
      </c>
    </row>
    <row r="164" spans="1:16" hidden="1" x14ac:dyDescent="0.25">
      <c r="A164" t="s">
        <v>677</v>
      </c>
      <c r="B164" t="str">
        <f>IF(COUNTIF(A:A,A164)&gt;1,_xlfn.CONCAT(A164," (",N164,")"),A164)</f>
        <v>Gācuò Xiāng</v>
      </c>
      <c r="C164" t="str">
        <f>IF(COUNTIF(B:B,B164)&gt;1,_xlfn.CONCAT(A164," (",M164,")"),B164)</f>
        <v>Gācuò Xiāng</v>
      </c>
      <c r="D164" t="s">
        <v>678</v>
      </c>
      <c r="E164" t="s">
        <v>7</v>
      </c>
      <c r="F164" t="str">
        <f>_xlfn.CONCAT(D164,", ",H164,", ",I164,", ","西藏自治区")</f>
        <v>嘎措乡, 双湖县, 那曲市, 西藏自治区</v>
      </c>
      <c r="G164">
        <v>537</v>
      </c>
      <c r="H164" t="s">
        <v>1456</v>
      </c>
      <c r="I164" t="s">
        <v>1445</v>
      </c>
      <c r="J164" t="e">
        <f>VLOOKUP(F164,[1]!china_towns_second__2[[Column1]:[Y]],3,FALSE)</f>
        <v>#N/A</v>
      </c>
      <c r="K164" t="e">
        <f>VLOOKUP(F164,[1]!china_towns_second__2[[Column1]:[Y]],2,FALSE)</f>
        <v>#N/A</v>
      </c>
      <c r="L164" t="s">
        <v>1824</v>
      </c>
      <c r="M164" t="str">
        <f>VLOOKUP(H164,CHOOSE({1,2},Table8[Native],Table8[Name]),2,0)</f>
        <v>Shuānghú Xiàn</v>
      </c>
      <c r="N164" s="13" t="str">
        <f>VLOOKUP(I164,CHOOSE({1,2},Table8[Native],Table8[Name]),2,0)</f>
        <v>Nàqŭ Shì</v>
      </c>
      <c r="O164" s="13" t="str">
        <f t="shared" si="4"/>
        <v>Gacuo Xiang (Nàqŭ Shì)</v>
      </c>
      <c r="P164" s="13" t="str">
        <f t="shared" si="5"/>
        <v>Gacuo Xiang (Nàqŭ Shì)</v>
      </c>
    </row>
    <row r="165" spans="1:16" x14ac:dyDescent="0.25">
      <c r="A165" t="s">
        <v>943</v>
      </c>
      <c r="B165" t="str">
        <f>IF(COUNTIF(A:A,A165)&gt;1,_xlfn.CONCAT(A165," (",N165,")"),A165)</f>
        <v>Gādōng Zhèn</v>
      </c>
      <c r="C165" t="str">
        <f>IF(COUNTIF(B:B,B165)&gt;1,_xlfn.CONCAT(A165," (",M165,")"),B165)</f>
        <v>Gādōng Zhèn</v>
      </c>
      <c r="D165" t="s">
        <v>944</v>
      </c>
      <c r="E165" t="s">
        <v>17</v>
      </c>
      <c r="F165" t="str">
        <f>_xlfn.CONCAT(D165,", ",H165,", ",I165,", ","西藏自治区")</f>
        <v>嘎东镇, 白朗县, 日喀则市, 西藏自治区</v>
      </c>
      <c r="G165">
        <v>7601</v>
      </c>
      <c r="H165" t="s">
        <v>1460</v>
      </c>
      <c r="I165" t="s">
        <v>1458</v>
      </c>
      <c r="J165">
        <f>VLOOKUP(F165,[1]!china_towns_second__2[[Column1]:[Y]],3,FALSE)</f>
        <v>29.227338606772399</v>
      </c>
      <c r="K165">
        <f>VLOOKUP(F165,[1]!china_towns_second__2[[Column1]:[Y]],2,FALSE)</f>
        <v>89.166714720000002</v>
      </c>
      <c r="L165" t="s">
        <v>1825</v>
      </c>
      <c r="M165" t="str">
        <f>VLOOKUP(H165,CHOOSE({1,2},Table8[Native],Table8[Name]),2,0)</f>
        <v>Báilăng Xiàn</v>
      </c>
      <c r="N165" s="13" t="str">
        <f>VLOOKUP(I165,CHOOSE({1,2},Table8[Native],Table8[Name]),2,0)</f>
        <v>Rìkāzé Shì</v>
      </c>
      <c r="O165" s="13" t="str">
        <f t="shared" si="4"/>
        <v>Gadong Zhen (Rìkāzé Shì)</v>
      </c>
      <c r="P165" s="13" t="str">
        <f t="shared" si="5"/>
        <v>Gadong Zhen (Rìkāzé Shì)</v>
      </c>
    </row>
    <row r="166" spans="1:16" x14ac:dyDescent="0.25">
      <c r="A166" t="s">
        <v>32</v>
      </c>
      <c r="B166" t="str">
        <f>IF(COUNTIF(A:A,A166)&gt;1,_xlfn.CONCAT(A166," (",N166,")"),A166)</f>
        <v>Găizé Zhèn</v>
      </c>
      <c r="C166" t="str">
        <f>IF(COUNTIF(B:B,B166)&gt;1,_xlfn.CONCAT(A166," (",M166,")"),B166)</f>
        <v>Găizé Zhèn</v>
      </c>
      <c r="D166" t="s">
        <v>33</v>
      </c>
      <c r="E166" t="s">
        <v>17</v>
      </c>
      <c r="F166" t="str">
        <f>_xlfn.CONCAT(D166,", ",H166,", ",I166,", ","西藏自治区")</f>
        <v>改则镇, 改则县, 阿里地区, 西藏自治区</v>
      </c>
      <c r="G166">
        <v>5072</v>
      </c>
      <c r="H166" t="s">
        <v>1409</v>
      </c>
      <c r="I166" t="s">
        <v>1405</v>
      </c>
      <c r="J166">
        <f>VLOOKUP(F166,[1]!china_towns_second__2[[Column1]:[Y]],3,FALSE)</f>
        <v>32.430198024782399</v>
      </c>
      <c r="K166">
        <f>VLOOKUP(F166,[1]!china_towns_second__2[[Column1]:[Y]],2,FALSE)</f>
        <v>84.218654189999995</v>
      </c>
      <c r="L166" t="s">
        <v>1826</v>
      </c>
      <c r="M166" t="str">
        <f>VLOOKUP(H166,CHOOSE({1,2},Table8[Native],Table8[Name]),2,0)</f>
        <v>Găizé Xiàn</v>
      </c>
      <c r="N166" s="13" t="str">
        <f>VLOOKUP(I166,CHOOSE({1,2},Table8[Native],Table8[Name]),2,0)</f>
        <v>Ālĭ Dìqū</v>
      </c>
      <c r="O166" s="13" t="str">
        <f t="shared" si="4"/>
        <v>Gaize Zhen (Ālĭ Dìqū)</v>
      </c>
      <c r="P166" s="13" t="str">
        <f t="shared" si="5"/>
        <v>Gaize Zhen (Ālĭ Dìqū)</v>
      </c>
    </row>
    <row r="167" spans="1:16" hidden="1" x14ac:dyDescent="0.25">
      <c r="A167" t="s">
        <v>945</v>
      </c>
      <c r="B167" t="str">
        <f>IF(COUNTIF(A:A,A167)&gt;1,_xlfn.CONCAT(A167," (",N167,")"),A167)</f>
        <v>Gālā Xiāng</v>
      </c>
      <c r="C167" t="str">
        <f>IF(COUNTIF(B:B,B167)&gt;1,_xlfn.CONCAT(A167," (",M167,")"),B167)</f>
        <v>Gālā Xiāng</v>
      </c>
      <c r="D167" t="s">
        <v>946</v>
      </c>
      <c r="E167" t="s">
        <v>7</v>
      </c>
      <c r="F167" t="str">
        <f>_xlfn.CONCAT(D167,", ",H167,", ",I167,", ","西藏自治区")</f>
        <v>嘎拉乡, 康马县, 日喀则市, 西藏自治区</v>
      </c>
      <c r="G167">
        <v>3404</v>
      </c>
      <c r="H167" t="s">
        <v>1466</v>
      </c>
      <c r="I167" t="s">
        <v>1458</v>
      </c>
      <c r="J167" t="e">
        <f>VLOOKUP(F167,[1]!china_towns_second__2[[Column1]:[Y]],3,FALSE)</f>
        <v>#N/A</v>
      </c>
      <c r="K167" t="e">
        <f>VLOOKUP(F167,[1]!china_towns_second__2[[Column1]:[Y]],2,FALSE)</f>
        <v>#N/A</v>
      </c>
      <c r="L167" t="s">
        <v>1827</v>
      </c>
      <c r="M167" t="str">
        <f>VLOOKUP(H167,CHOOSE({1,2},Table8[Native],Table8[Name]),2,0)</f>
        <v>Kāngmă Xiàn</v>
      </c>
      <c r="N167" s="13" t="str">
        <f>VLOOKUP(I167,CHOOSE({1,2},Table8[Native],Table8[Name]),2,0)</f>
        <v>Rìkāzé Shì</v>
      </c>
      <c r="O167" s="13" t="str">
        <f t="shared" si="4"/>
        <v>Gala Xiang (Rìkāzé Shì)</v>
      </c>
      <c r="P167" s="13" t="str">
        <f t="shared" si="5"/>
        <v>Gala Xiang (Rìkāzé Shì)</v>
      </c>
    </row>
    <row r="168" spans="1:16" hidden="1" x14ac:dyDescent="0.25">
      <c r="A168" t="s">
        <v>159</v>
      </c>
      <c r="B168" t="str">
        <f>IF(COUNTIF(A:A,A168)&gt;1,_xlfn.CONCAT(A168," (",N168,")"),A168)</f>
        <v>Gāmă Xiāng</v>
      </c>
      <c r="C168" t="str">
        <f>IF(COUNTIF(B:B,B168)&gt;1,_xlfn.CONCAT(A168," (",M168,")"),B168)</f>
        <v>Gāmă Xiāng</v>
      </c>
      <c r="D168" t="s">
        <v>160</v>
      </c>
      <c r="E168" t="s">
        <v>7</v>
      </c>
      <c r="F168" t="str">
        <f>_xlfn.CONCAT(D168,", ",H168,", ",I168,", ","西藏自治区")</f>
        <v>嘎玛乡, 卡若区, 昌都市, 西藏自治区</v>
      </c>
      <c r="G168">
        <v>3806</v>
      </c>
      <c r="H168" t="s">
        <v>1423</v>
      </c>
      <c r="I168" t="s">
        <v>1415</v>
      </c>
      <c r="J168" t="e">
        <f>VLOOKUP(F168,[1]!china_towns_second__2[[Column1]:[Y]],3,FALSE)</f>
        <v>#N/A</v>
      </c>
      <c r="K168" t="e">
        <f>VLOOKUP(F168,[1]!china_towns_second__2[[Column1]:[Y]],2,FALSE)</f>
        <v>#N/A</v>
      </c>
      <c r="L168" t="s">
        <v>1828</v>
      </c>
      <c r="M168" t="str">
        <f>VLOOKUP(H168,CHOOSE({1,2},Table8[Native],Table8[Name]),2,0)</f>
        <v>Kǎruò Qū</v>
      </c>
      <c r="N168" s="13" t="str">
        <f>VLOOKUP(I168,CHOOSE({1,2},Table8[Native],Table8[Name]),2,0)</f>
        <v>Chāngdū Shì</v>
      </c>
      <c r="O168" s="13" t="str">
        <f t="shared" si="4"/>
        <v>Gama Xiang (Chāngdū Shì)</v>
      </c>
      <c r="P168" s="13" t="str">
        <f t="shared" si="5"/>
        <v>Gama Xiang (Chāngdū Shì)</v>
      </c>
    </row>
    <row r="169" spans="1:16" hidden="1" x14ac:dyDescent="0.25">
      <c r="A169" t="s">
        <v>402</v>
      </c>
      <c r="B169" t="str">
        <f>IF(COUNTIF(A:A,A169)&gt;1,_xlfn.CONCAT(A169," (",N169,")"),A169)</f>
        <v>Gāmăgòngsāng Jiēdào</v>
      </c>
      <c r="C169" t="str">
        <f>IF(COUNTIF(B:B,B169)&gt;1,_xlfn.CONCAT(A169," (",M169,")"),B169)</f>
        <v>Gāmăgòngsāng Jiēdào</v>
      </c>
      <c r="D169" t="s">
        <v>403</v>
      </c>
      <c r="E169" t="s">
        <v>374</v>
      </c>
      <c r="F169" t="str">
        <f>_xlfn.CONCAT(D169,", ",H169,", ",I169,", ","西藏自治区")</f>
        <v>嘎玛贡桑街道, 城关区, 拉萨市, 西藏自治区</v>
      </c>
      <c r="G169">
        <v>19472</v>
      </c>
      <c r="H169" t="s">
        <v>1429</v>
      </c>
      <c r="I169" t="s">
        <v>1428</v>
      </c>
      <c r="J169">
        <f>VLOOKUP(F169,[1]!china_towns_second__2[[Column1]:[Y]],3,FALSE)</f>
        <v>29.6584416216335</v>
      </c>
      <c r="K169">
        <f>VLOOKUP(F169,[1]!china_towns_second__2[[Column1]:[Y]],2,FALSE)</f>
        <v>91.15148275</v>
      </c>
      <c r="L169" t="s">
        <v>1829</v>
      </c>
      <c r="M169" t="str">
        <f>VLOOKUP(H169,CHOOSE({1,2},Table8[Native],Table8[Name]),2,0)</f>
        <v>Chéngguān Qū</v>
      </c>
      <c r="N169" s="13" t="str">
        <f>VLOOKUP(I169,CHOOSE({1,2},Table8[Native],Table8[Name]),2,0)</f>
        <v>Lāsà Shì</v>
      </c>
      <c r="O169" s="13" t="str">
        <f t="shared" si="4"/>
        <v>Gamagongsang Jiedao (Lāsà Shì)</v>
      </c>
      <c r="P169" s="13" t="str">
        <f t="shared" si="5"/>
        <v>Gamagongsang Jiedao (Lāsà Shì)</v>
      </c>
    </row>
    <row r="170" spans="1:16" hidden="1" x14ac:dyDescent="0.25">
      <c r="A170" t="s">
        <v>679</v>
      </c>
      <c r="B170" t="str">
        <f>IF(COUNTIF(A:A,A170)&gt;1,_xlfn.CONCAT(A170," (",N170,")"),A170)</f>
        <v>Gāmĕi Xiāng</v>
      </c>
      <c r="C170" t="str">
        <f>IF(COUNTIF(B:B,B170)&gt;1,_xlfn.CONCAT(A170," (",M170,")"),B170)</f>
        <v>Gāmĕi Xiāng</v>
      </c>
      <c r="D170" t="s">
        <v>680</v>
      </c>
      <c r="E170" t="s">
        <v>7</v>
      </c>
      <c r="F170" t="str">
        <f>_xlfn.CONCAT(D170,", ",H170,", ",I170,", ","西藏自治区")</f>
        <v>嘎美乡, 索县, 那曲市, 西藏自治区</v>
      </c>
      <c r="G170">
        <v>4947</v>
      </c>
      <c r="H170" t="s">
        <v>1457</v>
      </c>
      <c r="I170" t="s">
        <v>1445</v>
      </c>
      <c r="J170" t="e">
        <f>VLOOKUP(F170,[1]!china_towns_second__2[[Column1]:[Y]],3,FALSE)</f>
        <v>#N/A</v>
      </c>
      <c r="K170" t="e">
        <f>VLOOKUP(F170,[1]!china_towns_second__2[[Column1]:[Y]],2,FALSE)</f>
        <v>#N/A</v>
      </c>
      <c r="L170" t="s">
        <v>1830</v>
      </c>
      <c r="M170" t="str">
        <f>VLOOKUP(H170,CHOOSE({1,2},Table8[Native],Table8[Name]),2,0)</f>
        <v>Suŏ Xiàn</v>
      </c>
      <c r="N170" s="13" t="str">
        <f>VLOOKUP(I170,CHOOSE({1,2},Table8[Native],Table8[Name]),2,0)</f>
        <v>Nàqŭ Shì</v>
      </c>
      <c r="O170" s="13" t="str">
        <f t="shared" si="4"/>
        <v>Gamei Xiang (Nàqŭ Shì)</v>
      </c>
      <c r="P170" s="13" t="str">
        <f t="shared" si="5"/>
        <v>Gamei Xiang (Nàqŭ Shì)</v>
      </c>
    </row>
    <row r="171" spans="1:16" hidden="1" x14ac:dyDescent="0.25">
      <c r="A171" t="s">
        <v>681</v>
      </c>
      <c r="B171" t="str">
        <f>IF(COUNTIF(A:A,A171)&gt;1,_xlfn.CONCAT(A171," (",N171,")"),A171)</f>
        <v>Gāmù Xiāng</v>
      </c>
      <c r="C171" t="str">
        <f>IF(COUNTIF(B:B,B171)&gt;1,_xlfn.CONCAT(A171," (",M171,")"),B171)</f>
        <v>Gāmù Xiāng</v>
      </c>
      <c r="D171" t="s">
        <v>682</v>
      </c>
      <c r="E171" t="s">
        <v>7</v>
      </c>
      <c r="F171" t="str">
        <f>_xlfn.CONCAT(D171,", ",H171,", ",I171,", ","西藏自治区")</f>
        <v>嘎木乡, 索县, 那曲市, 西藏自治区</v>
      </c>
      <c r="G171">
        <v>2155</v>
      </c>
      <c r="H171" t="s">
        <v>1457</v>
      </c>
      <c r="I171" t="s">
        <v>1445</v>
      </c>
      <c r="J171" t="e">
        <f>VLOOKUP(F171,[1]!china_towns_second__2[[Column1]:[Y]],3,FALSE)</f>
        <v>#N/A</v>
      </c>
      <c r="K171" t="e">
        <f>VLOOKUP(F171,[1]!china_towns_second__2[[Column1]:[Y]],2,FALSE)</f>
        <v>#N/A</v>
      </c>
      <c r="L171" t="s">
        <v>1831</v>
      </c>
      <c r="M171" t="str">
        <f>VLOOKUP(H171,CHOOSE({1,2},Table8[Native],Table8[Name]),2,0)</f>
        <v>Suŏ Xiàn</v>
      </c>
      <c r="N171" s="13" t="str">
        <f>VLOOKUP(I171,CHOOSE({1,2},Table8[Native],Table8[Name]),2,0)</f>
        <v>Nàqŭ Shì</v>
      </c>
      <c r="O171" s="13" t="str">
        <f t="shared" si="4"/>
        <v>Gamu Xiang (Nàqŭ Shì)</v>
      </c>
      <c r="P171" s="13" t="str">
        <f t="shared" si="5"/>
        <v>Gamu Xiang (Nàqŭ Shì)</v>
      </c>
    </row>
    <row r="172" spans="1:16" x14ac:dyDescent="0.25">
      <c r="A172" t="s">
        <v>404</v>
      </c>
      <c r="B172" t="str">
        <f>IF(COUNTIF(A:A,A172)&gt;1,_xlfn.CONCAT(A172," (",N172,")"),A172)</f>
        <v>Gāndānqŭguŏ Zhèn</v>
      </c>
      <c r="C172" t="str">
        <f>IF(COUNTIF(B:B,B172)&gt;1,_xlfn.CONCAT(A172," (",M172,")"),B172)</f>
        <v>Gāndānqŭguŏ Zhèn</v>
      </c>
      <c r="D172" t="s">
        <v>405</v>
      </c>
      <c r="E172" t="s">
        <v>17</v>
      </c>
      <c r="F172" t="str">
        <f>_xlfn.CONCAT(D172,", ",H172,", ",I172,", ","西藏自治区")</f>
        <v>甘丹曲果镇, 林周县, 拉萨市, 西藏自治区</v>
      </c>
      <c r="G172">
        <v>8267</v>
      </c>
      <c r="H172" t="s">
        <v>1433</v>
      </c>
      <c r="I172" t="s">
        <v>1428</v>
      </c>
      <c r="J172">
        <f>VLOOKUP(F172,[1]!china_towns_second__2[[Column1]:[Y]],3,FALSE)</f>
        <v>29.849028733750501</v>
      </c>
      <c r="K172">
        <f>VLOOKUP(F172,[1]!china_towns_second__2[[Column1]:[Y]],2,FALSE)</f>
        <v>91.244682179999998</v>
      </c>
      <c r="L172" t="s">
        <v>1832</v>
      </c>
      <c r="M172" t="str">
        <f>VLOOKUP(H172,CHOOSE({1,2},Table8[Native],Table8[Name]),2,0)</f>
        <v>Línzhōu Xiàn</v>
      </c>
      <c r="N172" s="13" t="str">
        <f>VLOOKUP(I172,CHOOSE({1,2},Table8[Native],Table8[Name]),2,0)</f>
        <v>Lāsà Shì</v>
      </c>
      <c r="O172" s="13" t="str">
        <f t="shared" si="4"/>
        <v>Gandanquguo Zhen (Lāsà Shì)</v>
      </c>
      <c r="P172" s="13" t="str">
        <f t="shared" si="5"/>
        <v>Gandanquguo Zhen (Lāsà Shì)</v>
      </c>
    </row>
    <row r="173" spans="1:16" hidden="1" x14ac:dyDescent="0.25">
      <c r="A173" t="s">
        <v>537</v>
      </c>
      <c r="B173" t="str">
        <f>IF(COUNTIF(A:A,A173)&gt;1,_xlfn.CONCAT(A173," (",N173,")"),A173)</f>
        <v>Gāndēng Xiāng</v>
      </c>
      <c r="C173" t="str">
        <f>IF(COUNTIF(B:B,B173)&gt;1,_xlfn.CONCAT(A173," (",M173,")"),B173)</f>
        <v>Gāndēng Xiāng</v>
      </c>
      <c r="D173" t="s">
        <v>538</v>
      </c>
      <c r="E173" t="s">
        <v>7</v>
      </c>
      <c r="F173" t="str">
        <f>_xlfn.CONCAT(D173,", ",H173,", ",I173,", ","西藏自治区")</f>
        <v>甘登乡, 墨脱县, 林芝市, 西藏自治区</v>
      </c>
      <c r="G173">
        <v>330</v>
      </c>
      <c r="H173" t="s">
        <v>1444</v>
      </c>
      <c r="I173" t="s">
        <v>1437</v>
      </c>
      <c r="J173" t="e">
        <f>VLOOKUP(F173,[1]!china_towns_second__2[[Column1]:[Y]],3,FALSE)</f>
        <v>#N/A</v>
      </c>
      <c r="K173" t="e">
        <f>VLOOKUP(F173,[1]!china_towns_second__2[[Column1]:[Y]],2,FALSE)</f>
        <v>#N/A</v>
      </c>
      <c r="L173" t="s">
        <v>1833</v>
      </c>
      <c r="M173" t="str">
        <f>VLOOKUP(H173,CHOOSE({1,2},Table8[Native],Table8[Name]),2,0)</f>
        <v>Mòtuō Xiàn</v>
      </c>
      <c r="N173" s="13" t="str">
        <f>VLOOKUP(I173,CHOOSE({1,2},Table8[Native],Table8[Name]),2,0)</f>
        <v>Línzhī Shì</v>
      </c>
      <c r="O173" s="13" t="str">
        <f t="shared" si="4"/>
        <v>Gandeng Xiang (Línzhī Shì)</v>
      </c>
      <c r="P173" s="13" t="str">
        <f t="shared" si="5"/>
        <v>Gandeng Xiang (Línzhī Shì)</v>
      </c>
    </row>
    <row r="174" spans="1:16" x14ac:dyDescent="0.25">
      <c r="A174" t="s">
        <v>948</v>
      </c>
      <c r="B174" t="str">
        <f>IF(COUNTIF(A:A,A174)&gt;1,_xlfn.CONCAT(A174," (",N174,")"),A174)</f>
        <v>Găngbā Zhèn</v>
      </c>
      <c r="C174" t="str">
        <f>IF(COUNTIF(B:B,B174)&gt;1,_xlfn.CONCAT(A174," (",M174,")"),B174)</f>
        <v>Găngbā Zhèn</v>
      </c>
      <c r="D174" t="s">
        <v>949</v>
      </c>
      <c r="E174" t="s">
        <v>17</v>
      </c>
      <c r="F174" t="str">
        <f>_xlfn.CONCAT(D174,", ",H174,", ",I174,", ","西藏自治区")</f>
        <v>岗巴镇, 岗巴县, 日喀则市, 西藏自治区</v>
      </c>
      <c r="G174">
        <v>3417</v>
      </c>
      <c r="H174" t="s">
        <v>1463</v>
      </c>
      <c r="I174" t="s">
        <v>1458</v>
      </c>
      <c r="J174">
        <f>VLOOKUP(F174,[1]!china_towns_second__2[[Column1]:[Y]],3,FALSE)</f>
        <v>28.167132920284001</v>
      </c>
      <c r="K174">
        <f>VLOOKUP(F174,[1]!china_towns_second__2[[Column1]:[Y]],2,FALSE)</f>
        <v>88.547393749999998</v>
      </c>
      <c r="L174" t="s">
        <v>1834</v>
      </c>
      <c r="M174" t="str">
        <f>VLOOKUP(H174,CHOOSE({1,2},Table8[Native],Table8[Name]),2,0)</f>
        <v>Găngbā Xiàn</v>
      </c>
      <c r="N174" s="13" t="str">
        <f>VLOOKUP(I174,CHOOSE({1,2},Table8[Native],Table8[Name]),2,0)</f>
        <v>Rìkāzé Shì</v>
      </c>
      <c r="O174" s="13" t="str">
        <f t="shared" si="4"/>
        <v>Gangba Zhen (Rìkāzé Shì)</v>
      </c>
      <c r="P174" s="13" t="str">
        <f t="shared" si="5"/>
        <v>Gangba Zhen (Rìkāzé Shì)</v>
      </c>
    </row>
    <row r="175" spans="1:16" x14ac:dyDescent="0.25">
      <c r="A175" t="s">
        <v>1279</v>
      </c>
      <c r="B175" t="str">
        <f>IF(COUNTIF(A:A,A175)&gt;1,_xlfn.CONCAT(A175," (",N175,")"),A175)</f>
        <v>Găngduī Zhèn</v>
      </c>
      <c r="C175" t="str">
        <f>IF(COUNTIF(B:B,B175)&gt;1,_xlfn.CONCAT(A175," (",M175,")"),B175)</f>
        <v>Găngduī Zhèn</v>
      </c>
      <c r="D175" t="s">
        <v>1280</v>
      </c>
      <c r="E175" t="s">
        <v>17</v>
      </c>
      <c r="F175" t="str">
        <f>_xlfn.CONCAT(D175,", ",H175,", ",I175,", ","西藏自治区")</f>
        <v>岗堆镇, 贡嘎县, 山南市, 西藏自治区</v>
      </c>
      <c r="G175">
        <v>6832</v>
      </c>
      <c r="H175" t="s">
        <v>1480</v>
      </c>
      <c r="I175" t="s">
        <v>1477</v>
      </c>
      <c r="J175">
        <f>VLOOKUP(F175,[1]!china_towns_second__2[[Column1]:[Y]],3,FALSE)</f>
        <v>29.2205883074603</v>
      </c>
      <c r="K175">
        <f>VLOOKUP(F175,[1]!china_towns_second__2[[Column1]:[Y]],2,FALSE)</f>
        <v>90.795744369999994</v>
      </c>
      <c r="L175" t="s">
        <v>1835</v>
      </c>
      <c r="M175" t="str">
        <f>VLOOKUP(H175,CHOOSE({1,2},Table8[Native],Table8[Name]),2,0)</f>
        <v>Gònggā Xiàn</v>
      </c>
      <c r="N175" s="13" t="str">
        <f>VLOOKUP(I175,CHOOSE({1,2},Table8[Native],Table8[Name]),2,0)</f>
        <v>Shānnán Shì</v>
      </c>
      <c r="O175" s="13" t="str">
        <f t="shared" si="4"/>
        <v>Gangdui Zhen (Shānnán Shì)</v>
      </c>
      <c r="P175" s="13" t="str">
        <f t="shared" si="5"/>
        <v>Gangdui Zhen (Shānnán Shì)</v>
      </c>
    </row>
    <row r="176" spans="1:16" x14ac:dyDescent="0.25">
      <c r="A176" t="s">
        <v>950</v>
      </c>
      <c r="B176" t="str">
        <f>IF(COUNTIF(A:A,A176)&gt;1,_xlfn.CONCAT(A176," (",N176,")"),A176)</f>
        <v>Gănggā Zhèn</v>
      </c>
      <c r="C176" t="str">
        <f>IF(COUNTIF(B:B,B176)&gt;1,_xlfn.CONCAT(A176," (",M176,")"),B176)</f>
        <v>Gănggā Zhèn</v>
      </c>
      <c r="D176" t="s">
        <v>951</v>
      </c>
      <c r="E176" t="s">
        <v>17</v>
      </c>
      <c r="F176" t="str">
        <f>_xlfn.CONCAT(D176,", ",H176,", ",I176,", ","西藏自治区")</f>
        <v>岗嘎镇, 定日县, 日喀则市, 西藏自治区</v>
      </c>
      <c r="G176">
        <v>6850</v>
      </c>
      <c r="H176" t="s">
        <v>1462</v>
      </c>
      <c r="I176" t="s">
        <v>1458</v>
      </c>
      <c r="J176">
        <f>VLOOKUP(F176,[1]!china_towns_second__2[[Column1]:[Y]],3,FALSE)</f>
        <v>28.5029016877908</v>
      </c>
      <c r="K176">
        <f>VLOOKUP(F176,[1]!china_towns_second__2[[Column1]:[Y]],2,FALSE)</f>
        <v>86.523682010000002</v>
      </c>
      <c r="L176" t="s">
        <v>1836</v>
      </c>
      <c r="M176" t="str">
        <f>VLOOKUP(H176,CHOOSE({1,2},Table8[Native],Table8[Name]),2,0)</f>
        <v>Dìngrì Xiàn</v>
      </c>
      <c r="N176" s="13" t="str">
        <f>VLOOKUP(I176,CHOOSE({1,2},Table8[Native],Table8[Name]),2,0)</f>
        <v>Rìkāzé Shì</v>
      </c>
      <c r="O176" s="13" t="str">
        <f t="shared" si="4"/>
        <v>Gangga Zhen (Rìkāzé Shì)</v>
      </c>
      <c r="P176" s="13" t="str">
        <f t="shared" si="5"/>
        <v>Gangga Zhen (Rìkāzé Shì)</v>
      </c>
    </row>
    <row r="177" spans="1:16" hidden="1" x14ac:dyDescent="0.25">
      <c r="A177" t="s">
        <v>683</v>
      </c>
      <c r="B177" t="str">
        <f>IF(COUNTIF(A:A,A177)&gt;1,_xlfn.CONCAT(A177," (",N177,")"),A177)</f>
        <v>Găngní Xiāng [in: Qīnghăi (partly)]</v>
      </c>
      <c r="C177" t="str">
        <f>IF(COUNTIF(B:B,B177)&gt;1,_xlfn.CONCAT(A177," (",M177,")"),B177)</f>
        <v>Găngní Xiāng [in: Qīnghăi (partly)]</v>
      </c>
      <c r="D177" t="s">
        <v>684</v>
      </c>
      <c r="E177" t="s">
        <v>7</v>
      </c>
      <c r="F177" t="str">
        <f>_xlfn.CONCAT(D177,", ",H177,", ",I177,", ","西藏自治区")</f>
        <v>岗尼乡, 安多县, 那曲市, 西藏自治区</v>
      </c>
      <c r="G177">
        <v>1705</v>
      </c>
      <c r="H177" t="s">
        <v>1446</v>
      </c>
      <c r="I177" t="s">
        <v>1445</v>
      </c>
      <c r="J177" t="e">
        <f>VLOOKUP(F177,[1]!china_towns_second__2[[Column1]:[Y]],3,FALSE)</f>
        <v>#N/A</v>
      </c>
      <c r="K177" t="e">
        <f>VLOOKUP(F177,[1]!china_towns_second__2[[Column1]:[Y]],2,FALSE)</f>
        <v>#N/A</v>
      </c>
      <c r="L177" t="s">
        <v>1837</v>
      </c>
      <c r="M177" t="str">
        <f>VLOOKUP(H177,CHOOSE({1,2},Table8[Native],Table8[Name]),2,0)</f>
        <v>Ānduō Xiàn</v>
      </c>
      <c r="N177" s="13" t="str">
        <f>VLOOKUP(I177,CHOOSE({1,2},Table8[Native],Table8[Name]),2,0)</f>
        <v>Nàqŭ Shì</v>
      </c>
      <c r="O177" s="13" t="str">
        <f t="shared" si="4"/>
        <v>Gangni Xiang [in: Qinghai (partly)] (Nàqŭ Shì)</v>
      </c>
      <c r="P177" s="13" t="str">
        <f t="shared" si="5"/>
        <v>Gangni Xiang [in: Qinghai (partly)] (Nàqŭ Shì)</v>
      </c>
    </row>
    <row r="178" spans="1:16" hidden="1" x14ac:dyDescent="0.25">
      <c r="A178" t="s">
        <v>685</v>
      </c>
      <c r="B178" t="str">
        <f>IF(COUNTIF(A:A,A178)&gt;1,_xlfn.CONCAT(A178," (",N178,")"),A178)</f>
        <v>Găngqiè Xiāng</v>
      </c>
      <c r="C178" t="str">
        <f>IF(COUNTIF(B:B,B178)&gt;1,_xlfn.CONCAT(A178," (",M178,")"),B178)</f>
        <v>Găngqiè Xiāng</v>
      </c>
      <c r="D178" t="s">
        <v>686</v>
      </c>
      <c r="E178" t="s">
        <v>7</v>
      </c>
      <c r="F178" t="str">
        <f>_xlfn.CONCAT(D178,", ",H178,", ",I178,", ","西藏自治区")</f>
        <v>岗切乡, 巴青县, 那曲市, 西藏自治区</v>
      </c>
      <c r="G178">
        <v>4089</v>
      </c>
      <c r="H178" t="s">
        <v>1448</v>
      </c>
      <c r="I178" t="s">
        <v>1445</v>
      </c>
      <c r="J178" t="e">
        <f>VLOOKUP(F178,[1]!china_towns_second__2[[Column1]:[Y]],3,FALSE)</f>
        <v>#N/A</v>
      </c>
      <c r="K178" t="e">
        <f>VLOOKUP(F178,[1]!china_towns_second__2[[Column1]:[Y]],2,FALSE)</f>
        <v>#N/A</v>
      </c>
      <c r="L178" t="s">
        <v>1838</v>
      </c>
      <c r="M178" t="str">
        <f>VLOOKUP(H178,CHOOSE({1,2},Table8[Native],Table8[Name]),2,0)</f>
        <v>Bāqīng Xiàn</v>
      </c>
      <c r="N178" s="13" t="str">
        <f>VLOOKUP(I178,CHOOSE({1,2},Table8[Native],Table8[Name]),2,0)</f>
        <v>Nàqŭ Shì</v>
      </c>
      <c r="O178" s="13" t="str">
        <f t="shared" si="4"/>
        <v>Gangqie Xiang (Nàqŭ Shì)</v>
      </c>
      <c r="P178" s="13" t="str">
        <f t="shared" si="5"/>
        <v>Gangqie Xiang (Nàqŭ Shì)</v>
      </c>
    </row>
    <row r="179" spans="1:16" hidden="1" x14ac:dyDescent="0.25">
      <c r="A179" t="s">
        <v>161</v>
      </c>
      <c r="B179" t="str">
        <f>IF(COUNTIF(A:A,A179)&gt;1,_xlfn.CONCAT(A179," (",N179,")"),A179)</f>
        <v>Găngsè Xiāng</v>
      </c>
      <c r="C179" t="str">
        <f>IF(COUNTIF(B:B,B179)&gt;1,_xlfn.CONCAT(A179," (",M179,")"),B179)</f>
        <v>Găngsè Xiāng</v>
      </c>
      <c r="D179" t="s">
        <v>162</v>
      </c>
      <c r="E179" t="s">
        <v>7</v>
      </c>
      <c r="F179" t="str">
        <f>_xlfn.CONCAT(D179,", ",H179,", ",I179,", ","西藏自治区")</f>
        <v>岗色乡, 类乌齐县, 昌都市, 西藏自治区</v>
      </c>
      <c r="G179">
        <v>1987</v>
      </c>
      <c r="H179" t="s">
        <v>1424</v>
      </c>
      <c r="I179" t="s">
        <v>1415</v>
      </c>
      <c r="J179" t="e">
        <f>VLOOKUP(F179,[1]!china_towns_second__2[[Column1]:[Y]],3,FALSE)</f>
        <v>#N/A</v>
      </c>
      <c r="K179" t="e">
        <f>VLOOKUP(F179,[1]!china_towns_second__2[[Column1]:[Y]],2,FALSE)</f>
        <v>#N/A</v>
      </c>
      <c r="L179" t="s">
        <v>1839</v>
      </c>
      <c r="M179" t="str">
        <f>VLOOKUP(H179,CHOOSE({1,2},Table8[Native],Table8[Name]),2,0)</f>
        <v>Lèiwūqí Xiàn</v>
      </c>
      <c r="N179" s="13" t="str">
        <f>VLOOKUP(I179,CHOOSE({1,2},Table8[Native],Table8[Name]),2,0)</f>
        <v>Chāngdū Shì</v>
      </c>
      <c r="O179" s="13" t="str">
        <f t="shared" si="4"/>
        <v>Gangse Xiang (Chāngdū Shì)</v>
      </c>
      <c r="P179" s="13" t="str">
        <f t="shared" si="5"/>
        <v>Gangse Xiang (Chāngdū Shì)</v>
      </c>
    </row>
    <row r="180" spans="1:16" x14ac:dyDescent="0.25">
      <c r="A180" t="s">
        <v>163</v>
      </c>
      <c r="B180" t="str">
        <f>IF(COUNTIF(A:A,A180)&gt;1,_xlfn.CONCAT(A180," (",N180,")"),A180)</f>
        <v>Găngtuō Zhèn</v>
      </c>
      <c r="C180" t="str">
        <f>IF(COUNTIF(B:B,B180)&gt;1,_xlfn.CONCAT(A180," (",M180,")"),B180)</f>
        <v>Găngtuō Zhèn</v>
      </c>
      <c r="D180" t="s">
        <v>164</v>
      </c>
      <c r="E180" t="s">
        <v>17</v>
      </c>
      <c r="F180" t="str">
        <f>_xlfn.CONCAT(D180,", ",H180,", ",I180,", ","西藏自治区")</f>
        <v>岗托镇, 江达县, 昌都市, 西藏自治区</v>
      </c>
      <c r="G180">
        <v>3484</v>
      </c>
      <c r="H180" t="s">
        <v>1421</v>
      </c>
      <c r="I180" t="s">
        <v>1415</v>
      </c>
      <c r="J180">
        <f>VLOOKUP(F180,[1]!china_towns_second__2[[Column1]:[Y]],3,FALSE)</f>
        <v>31.574263213131498</v>
      </c>
      <c r="K180">
        <f>VLOOKUP(F180,[1]!china_towns_second__2[[Column1]:[Y]],2,FALSE)</f>
        <v>98.565752349999997</v>
      </c>
      <c r="L180" t="s">
        <v>1840</v>
      </c>
      <c r="M180" t="str">
        <f>VLOOKUP(H180,CHOOSE({1,2},Table8[Native],Table8[Name]),2,0)</f>
        <v>Jiāngdá Xiàn</v>
      </c>
      <c r="N180" s="13" t="str">
        <f>VLOOKUP(I180,CHOOSE({1,2},Table8[Native],Table8[Name]),2,0)</f>
        <v>Chāngdū Shì</v>
      </c>
      <c r="O180" s="13" t="str">
        <f t="shared" si="4"/>
        <v>Gangtuo Zhen (Chāngdū Shì)</v>
      </c>
      <c r="P180" s="13" t="str">
        <f t="shared" si="5"/>
        <v>Gangtuo Zhen (Chāngdū Shì)</v>
      </c>
    </row>
    <row r="181" spans="1:16" hidden="1" x14ac:dyDescent="0.25">
      <c r="A181" t="s">
        <v>165</v>
      </c>
      <c r="B181" t="str">
        <f>IF(COUNTIF(A:A,A181)&gt;1,_xlfn.CONCAT(A181," (",N181,")"),A181)</f>
        <v>Gānyán Xiāng</v>
      </c>
      <c r="C181" t="str">
        <f>IF(COUNTIF(B:B,B181)&gt;1,_xlfn.CONCAT(A181," (",M181,")"),B181)</f>
        <v>Gānyán Xiāng</v>
      </c>
      <c r="D181" t="s">
        <v>166</v>
      </c>
      <c r="E181" t="s">
        <v>7</v>
      </c>
      <c r="F181" t="str">
        <f>_xlfn.CONCAT(D181,", ",H181,", ",I181,", ","西藏自治区")</f>
        <v>甘岩乡, 丁青县, 昌都市, 西藏自治区</v>
      </c>
      <c r="G181">
        <v>1939</v>
      </c>
      <c r="H181" t="s">
        <v>1419</v>
      </c>
      <c r="I181" t="s">
        <v>1415</v>
      </c>
      <c r="J181" t="e">
        <f>VLOOKUP(F181,[1]!china_towns_second__2[[Column1]:[Y]],3,FALSE)</f>
        <v>#N/A</v>
      </c>
      <c r="K181" t="e">
        <f>VLOOKUP(F181,[1]!china_towns_second__2[[Column1]:[Y]],2,FALSE)</f>
        <v>#N/A</v>
      </c>
      <c r="L181" t="s">
        <v>1841</v>
      </c>
      <c r="M181" t="str">
        <f>VLOOKUP(H181,CHOOSE({1,2},Table8[Native],Table8[Name]),2,0)</f>
        <v>Dīngqīng Xiàn</v>
      </c>
      <c r="N181" s="13" t="str">
        <f>VLOOKUP(I181,CHOOSE({1,2},Table8[Native],Table8[Name]),2,0)</f>
        <v>Chāngdū Shì</v>
      </c>
      <c r="O181" s="13" t="str">
        <f t="shared" si="4"/>
        <v>Ganyan Xiang (Chāngdū Shì)</v>
      </c>
      <c r="P181" s="13" t="str">
        <f t="shared" si="5"/>
        <v>Ganyan Xiang (Chāngdū Shì)</v>
      </c>
    </row>
    <row r="182" spans="1:16" hidden="1" x14ac:dyDescent="0.25">
      <c r="A182" t="s">
        <v>952</v>
      </c>
      <c r="B182" t="str">
        <f>IF(COUNTIF(A:A,A182)&gt;1,_xlfn.CONCAT(A182," (",N182,")"),A182)</f>
        <v>Gāpŭ Xiāng</v>
      </c>
      <c r="C182" t="str">
        <f>IF(COUNTIF(B:B,B182)&gt;1,_xlfn.CONCAT(A182," (",M182,")"),B182)</f>
        <v>Gāpŭ Xiāng</v>
      </c>
      <c r="D182" t="s">
        <v>953</v>
      </c>
      <c r="E182" t="s">
        <v>7</v>
      </c>
      <c r="F182" t="str">
        <f>_xlfn.CONCAT(D182,", ",H182,", ",I182,", ","西藏自治区")</f>
        <v>嘎普乡, 白朗县, 日喀则市, 西藏自治区</v>
      </c>
      <c r="G182">
        <v>1989</v>
      </c>
      <c r="H182" t="s">
        <v>1460</v>
      </c>
      <c r="I182" t="s">
        <v>1458</v>
      </c>
      <c r="J182" t="e">
        <f>VLOOKUP(F182,[1]!china_towns_second__2[[Column1]:[Y]],3,FALSE)</f>
        <v>#N/A</v>
      </c>
      <c r="K182" t="e">
        <f>VLOOKUP(F182,[1]!china_towns_second__2[[Column1]:[Y]],2,FALSE)</f>
        <v>#N/A</v>
      </c>
      <c r="L182" t="s">
        <v>1842</v>
      </c>
      <c r="M182" t="str">
        <f>VLOOKUP(H182,CHOOSE({1,2},Table8[Native],Table8[Name]),2,0)</f>
        <v>Báilăng Xiàn</v>
      </c>
      <c r="N182" s="13" t="str">
        <f>VLOOKUP(I182,CHOOSE({1,2},Table8[Native],Table8[Name]),2,0)</f>
        <v>Rìkāzé Shì</v>
      </c>
      <c r="O182" s="13" t="str">
        <f t="shared" si="4"/>
        <v>Gapu Xiang (Rìkāzé Shì)</v>
      </c>
      <c r="P182" s="13" t="str">
        <f t="shared" si="5"/>
        <v>Gapu Xiang (Rìkāzé Shì)</v>
      </c>
    </row>
    <row r="183" spans="1:16" hidden="1" x14ac:dyDescent="0.25">
      <c r="A183" t="s">
        <v>167</v>
      </c>
      <c r="B183" t="str">
        <f>IF(COUNTIF(A:A,A183)&gt;1,_xlfn.CONCAT(A183," (",N183,")"),A183)</f>
        <v>Gātă Xiāng</v>
      </c>
      <c r="C183" t="str">
        <f>IF(COUNTIF(B:B,B183)&gt;1,_xlfn.CONCAT(A183," (",M183,")"),B183)</f>
        <v>Gātă Xiāng</v>
      </c>
      <c r="D183" t="s">
        <v>168</v>
      </c>
      <c r="E183" t="s">
        <v>7</v>
      </c>
      <c r="F183" t="str">
        <f>_xlfn.CONCAT(D183,", ",H183,", ",I183,", ","西藏自治区")</f>
        <v>嘎塔乡, 丁青县, 昌都市, 西藏自治区</v>
      </c>
      <c r="G183">
        <v>3687</v>
      </c>
      <c r="H183" t="s">
        <v>1419</v>
      </c>
      <c r="I183" t="s">
        <v>1415</v>
      </c>
      <c r="J183" t="e">
        <f>VLOOKUP(F183,[1]!china_towns_second__2[[Column1]:[Y]],3,FALSE)</f>
        <v>#N/A</v>
      </c>
      <c r="K183" t="e">
        <f>VLOOKUP(F183,[1]!china_towns_second__2[[Column1]:[Y]],2,FALSE)</f>
        <v>#N/A</v>
      </c>
      <c r="L183" t="s">
        <v>1843</v>
      </c>
      <c r="M183" t="str">
        <f>VLOOKUP(H183,CHOOSE({1,2},Table8[Native],Table8[Name]),2,0)</f>
        <v>Dīngqīng Xiàn</v>
      </c>
      <c r="N183" s="13" t="str">
        <f>VLOOKUP(I183,CHOOSE({1,2},Table8[Native],Table8[Name]),2,0)</f>
        <v>Chāngdū Shì</v>
      </c>
      <c r="O183" s="13" t="str">
        <f t="shared" si="4"/>
        <v>Gata Xiang (Chāngdū Shì)</v>
      </c>
      <c r="P183" s="13" t="str">
        <f t="shared" si="5"/>
        <v>Gata Xiang (Chāngdū Shì)</v>
      </c>
    </row>
    <row r="184" spans="1:16" x14ac:dyDescent="0.25">
      <c r="A184" t="s">
        <v>169</v>
      </c>
      <c r="B184" t="str">
        <f>IF(COUNTIF(A:A,A184)&gt;1,_xlfn.CONCAT(A184," (",N184,")"),A184)</f>
        <v>Gātuō Zhèn</v>
      </c>
      <c r="C184" t="str">
        <f>IF(COUNTIF(B:B,B184)&gt;1,_xlfn.CONCAT(A184," (",M184,")"),B184)</f>
        <v>Gātuō Zhèn</v>
      </c>
      <c r="D184" t="s">
        <v>170</v>
      </c>
      <c r="E184" t="s">
        <v>17</v>
      </c>
      <c r="F184" t="str">
        <f>_xlfn.CONCAT(D184,", ",H184,", ",I184,", ","西藏自治区")</f>
        <v>嘎托镇, 芒康县, 昌都市, 西藏自治区</v>
      </c>
      <c r="G184">
        <v>12217</v>
      </c>
      <c r="H184" t="s">
        <v>1426</v>
      </c>
      <c r="I184" t="s">
        <v>1415</v>
      </c>
      <c r="J184">
        <f>VLOOKUP(F184,[1]!china_towns_second__2[[Column1]:[Y]],3,FALSE)</f>
        <v>29.5127830586136</v>
      </c>
      <c r="K184">
        <f>VLOOKUP(F184,[1]!china_towns_second__2[[Column1]:[Y]],2,FALSE)</f>
        <v>98.545609389999996</v>
      </c>
      <c r="L184" t="s">
        <v>1844</v>
      </c>
      <c r="M184" t="str">
        <f>VLOOKUP(H184,CHOOSE({1,2},Table8[Native],Table8[Name]),2,0)</f>
        <v>Mángkāng Xiàn</v>
      </c>
      <c r="N184" s="13" t="str">
        <f>VLOOKUP(I184,CHOOSE({1,2},Table8[Native],Table8[Name]),2,0)</f>
        <v>Chāngdū Shì</v>
      </c>
      <c r="O184" s="13" t="str">
        <f t="shared" si="4"/>
        <v>Gatuo Zhen (Chāngdū Shì)</v>
      </c>
      <c r="P184" s="13" t="str">
        <f t="shared" si="5"/>
        <v>Gatuo Zhen (Chāngdū Shì)</v>
      </c>
    </row>
    <row r="185" spans="1:16" hidden="1" x14ac:dyDescent="0.25">
      <c r="A185" t="s">
        <v>171</v>
      </c>
      <c r="B185" t="str">
        <f>IF(COUNTIF(A:A,A185)&gt;1,_xlfn.CONCAT(A185," (",N185,")"),A185)</f>
        <v>Gēbō Xiāng</v>
      </c>
      <c r="C185" t="str">
        <f>IF(COUNTIF(B:B,B185)&gt;1,_xlfn.CONCAT(A185," (",M185,")"),B185)</f>
        <v>Gēbō Xiāng</v>
      </c>
      <c r="D185" t="s">
        <v>172</v>
      </c>
      <c r="E185" t="s">
        <v>7</v>
      </c>
      <c r="F185" t="str">
        <f>_xlfn.CONCAT(D185,", ",H185,", ",I185,", ","西藏自治区")</f>
        <v>戈波乡, 芒康县, 昌都市, 西藏自治区</v>
      </c>
      <c r="G185">
        <v>2800</v>
      </c>
      <c r="H185" t="s">
        <v>1426</v>
      </c>
      <c r="I185" t="s">
        <v>1415</v>
      </c>
      <c r="J185" t="e">
        <f>VLOOKUP(F185,[1]!china_towns_second__2[[Column1]:[Y]],3,FALSE)</f>
        <v>#N/A</v>
      </c>
      <c r="K185" t="e">
        <f>VLOOKUP(F185,[1]!china_towns_second__2[[Column1]:[Y]],2,FALSE)</f>
        <v>#N/A</v>
      </c>
      <c r="L185" t="s">
        <v>1845</v>
      </c>
      <c r="M185" t="str">
        <f>VLOOKUP(H185,CHOOSE({1,2},Table8[Native],Table8[Name]),2,0)</f>
        <v>Mángkāng Xiàn</v>
      </c>
      <c r="N185" s="13" t="str">
        <f>VLOOKUP(I185,CHOOSE({1,2},Table8[Native],Table8[Name]),2,0)</f>
        <v>Chāngdū Shì</v>
      </c>
      <c r="O185" s="13" t="str">
        <f t="shared" si="4"/>
        <v>Gebo Xiang (Chāngdū Shì)</v>
      </c>
      <c r="P185" s="13" t="str">
        <f t="shared" si="5"/>
        <v>Gebo Xiang (Chāngdū Shì)</v>
      </c>
    </row>
    <row r="186" spans="1:16" hidden="1" x14ac:dyDescent="0.25">
      <c r="A186" t="s">
        <v>406</v>
      </c>
      <c r="B186" t="str">
        <f>IF(COUNTIF(A:A,A186)&gt;1,_xlfn.CONCAT(A186," (",N186,")"),A186)</f>
        <v>Gédá Xiāng</v>
      </c>
      <c r="C186" t="str">
        <f>IF(COUNTIF(B:B,B186)&gt;1,_xlfn.CONCAT(A186," (",M186,")"),B186)</f>
        <v>Gédá Xiāng</v>
      </c>
      <c r="D186" t="s">
        <v>407</v>
      </c>
      <c r="E186" t="s">
        <v>7</v>
      </c>
      <c r="F186" t="str">
        <f>_xlfn.CONCAT(D186,", ",H186,", ",I186,", ","西藏自治区")</f>
        <v>格达乡, 当雄县, 拉萨市, 西藏自治区</v>
      </c>
      <c r="G186">
        <v>4301</v>
      </c>
      <c r="H186" t="s">
        <v>1430</v>
      </c>
      <c r="I186" t="s">
        <v>1428</v>
      </c>
      <c r="J186" t="e">
        <f>VLOOKUP(F186,[1]!china_towns_second__2[[Column1]:[Y]],3,FALSE)</f>
        <v>#N/A</v>
      </c>
      <c r="K186" t="e">
        <f>VLOOKUP(F186,[1]!china_towns_second__2[[Column1]:[Y]],2,FALSE)</f>
        <v>#N/A</v>
      </c>
      <c r="L186" t="s">
        <v>1846</v>
      </c>
      <c r="M186" t="str">
        <f>VLOOKUP(H186,CHOOSE({1,2},Table8[Native],Table8[Name]),2,0)</f>
        <v>Dāngxióng Xiàn</v>
      </c>
      <c r="N186" s="13" t="str">
        <f>VLOOKUP(I186,CHOOSE({1,2},Table8[Native],Table8[Name]),2,0)</f>
        <v>Lāsà Shì</v>
      </c>
      <c r="O186" s="13" t="str">
        <f t="shared" si="4"/>
        <v>Geda Xiang (Lāsà Shì)</v>
      </c>
      <c r="P186" s="13" t="str">
        <f t="shared" si="5"/>
        <v>Geda Xiang (Lāsà Shì)</v>
      </c>
    </row>
    <row r="187" spans="1:16" hidden="1" x14ac:dyDescent="0.25">
      <c r="A187" t="s">
        <v>539</v>
      </c>
      <c r="B187" t="str">
        <f>IF(COUNTIF(A:A,A187)&gt;1,_xlfn.CONCAT(A187," (",N187,")"),A187)</f>
        <v>Gédāng Xiāng</v>
      </c>
      <c r="C187" t="str">
        <f>IF(COUNTIF(B:B,B187)&gt;1,_xlfn.CONCAT(A187," (",M187,")"),B187)</f>
        <v>Gédāng Xiāng</v>
      </c>
      <c r="D187" t="s">
        <v>540</v>
      </c>
      <c r="E187" t="s">
        <v>7</v>
      </c>
      <c r="F187" t="str">
        <f>_xlfn.CONCAT(D187,", ",H187,", ",I187,", ","西藏自治区")</f>
        <v>格当乡, 墨脱县, 林芝市, 西藏自治区</v>
      </c>
      <c r="G187">
        <v>585</v>
      </c>
      <c r="H187" t="s">
        <v>1444</v>
      </c>
      <c r="I187" t="s">
        <v>1437</v>
      </c>
      <c r="J187" t="e">
        <f>VLOOKUP(F187,[1]!china_towns_second__2[[Column1]:[Y]],3,FALSE)</f>
        <v>#N/A</v>
      </c>
      <c r="K187" t="e">
        <f>VLOOKUP(F187,[1]!china_towns_second__2[[Column1]:[Y]],2,FALSE)</f>
        <v>#N/A</v>
      </c>
      <c r="L187" t="s">
        <v>1847</v>
      </c>
      <c r="M187" t="str">
        <f>VLOOKUP(H187,CHOOSE({1,2},Table8[Native],Table8[Name]),2,0)</f>
        <v>Mòtuō Xiàn</v>
      </c>
      <c r="N187" s="13" t="str">
        <f>VLOOKUP(I187,CHOOSE({1,2},Table8[Native],Table8[Name]),2,0)</f>
        <v>Línzhī Shì</v>
      </c>
      <c r="O187" s="13" t="str">
        <f t="shared" si="4"/>
        <v>Gedang Xiang (Línzhī Shì)</v>
      </c>
      <c r="P187" s="13" t="str">
        <f t="shared" si="5"/>
        <v>Gedang Xiang (Línzhī Shì)</v>
      </c>
    </row>
    <row r="188" spans="1:16" x14ac:dyDescent="0.25">
      <c r="A188" t="s">
        <v>34</v>
      </c>
      <c r="B188" t="str">
        <f>IF(COUNTIF(A:A,A188)&gt;1,_xlfn.CONCAT(A188," (",N188,")"),A188)</f>
        <v>Géjí Zhèn</v>
      </c>
      <c r="C188" t="str">
        <f>IF(COUNTIF(B:B,B188)&gt;1,_xlfn.CONCAT(A188," (",M188,")"),B188)</f>
        <v>Géjí Zhèn</v>
      </c>
      <c r="D188" t="s">
        <v>35</v>
      </c>
      <c r="E188" t="s">
        <v>17</v>
      </c>
      <c r="F188" t="str">
        <f>_xlfn.CONCAT(D188,", ",H188,", ",I188,", ","西藏自治区")</f>
        <v>革吉镇, 革吉县, 阿里地区, 西藏自治区</v>
      </c>
      <c r="G188">
        <v>3886</v>
      </c>
      <c r="H188" t="s">
        <v>1410</v>
      </c>
      <c r="I188" t="s">
        <v>1405</v>
      </c>
      <c r="J188">
        <f>VLOOKUP(F188,[1]!china_towns_second__2[[Column1]:[Y]],3,FALSE)</f>
        <v>32.033706782925499</v>
      </c>
      <c r="K188">
        <f>VLOOKUP(F188,[1]!china_towns_second__2[[Column1]:[Y]],2,FALSE)</f>
        <v>81.268679250000005</v>
      </c>
      <c r="L188" t="s">
        <v>1848</v>
      </c>
      <c r="M188" t="str">
        <f>VLOOKUP(H188,CHOOSE({1,2},Table8[Native],Table8[Name]),2,0)</f>
        <v>Géjí Xiàn</v>
      </c>
      <c r="N188" s="13" t="str">
        <f>VLOOKUP(I188,CHOOSE({1,2},Table8[Native],Table8[Name]),2,0)</f>
        <v>Ālĭ Dìqū</v>
      </c>
      <c r="O188" s="13" t="str">
        <f t="shared" si="4"/>
        <v>Geji Zhen (Ālĭ Dìqū)</v>
      </c>
      <c r="P188" s="13" t="str">
        <f t="shared" si="5"/>
        <v>Geji Zhen (Ālĭ Dìqū)</v>
      </c>
    </row>
    <row r="189" spans="1:16" hidden="1" x14ac:dyDescent="0.25">
      <c r="A189" t="s">
        <v>541</v>
      </c>
      <c r="B189" t="str">
        <f>IF(COUNTIF(A:A,A189)&gt;1,_xlfn.CONCAT(A189," (",N189,")"),A189)</f>
        <v>Gèngzhāngménbā Mínzú Xiāng</v>
      </c>
      <c r="C189" t="str">
        <f>IF(COUNTIF(B:B,B189)&gt;1,_xlfn.CONCAT(A189," (",M189,")"),B189)</f>
        <v>Gèngzhāngménbā Mínzú Xiāng</v>
      </c>
      <c r="D189" t="s">
        <v>542</v>
      </c>
      <c r="E189" t="s">
        <v>7</v>
      </c>
      <c r="F189" t="str">
        <f>_xlfn.CONCAT(D189,", ",H189,", ",I189,", ","西藏自治区")</f>
        <v>更章门巴民族乡, 巴宜区, 林芝市, 西藏自治区</v>
      </c>
      <c r="G189">
        <v>1614</v>
      </c>
      <c r="H189" t="s">
        <v>1438</v>
      </c>
      <c r="I189" t="s">
        <v>1437</v>
      </c>
      <c r="J189" t="e">
        <f>VLOOKUP(F189,[1]!china_towns_second__2[[Column1]:[Y]],3,FALSE)</f>
        <v>#N/A</v>
      </c>
      <c r="K189" t="e">
        <f>VLOOKUP(F189,[1]!china_towns_second__2[[Column1]:[Y]],2,FALSE)</f>
        <v>#N/A</v>
      </c>
      <c r="L189" t="s">
        <v>1849</v>
      </c>
      <c r="M189" t="str">
        <f>VLOOKUP(H189,CHOOSE({1,2},Table8[Native],Table8[Name]),2,0)</f>
        <v>Bāyí Qū</v>
      </c>
      <c r="N189" s="13" t="str">
        <f>VLOOKUP(I189,CHOOSE({1,2},Table8[Native],Table8[Name]),2,0)</f>
        <v>Línzhī Shì</v>
      </c>
      <c r="O189" s="13" t="str">
        <f t="shared" si="4"/>
        <v>Gengzhangmenba Minzu Xiang (Línzhī Shì)</v>
      </c>
      <c r="P189" s="13" t="str">
        <f t="shared" si="5"/>
        <v>Gengzhangmenba Minzu Xiang (Línzhī Shì)</v>
      </c>
    </row>
    <row r="190" spans="1:16" hidden="1" x14ac:dyDescent="0.25">
      <c r="A190" t="s">
        <v>687</v>
      </c>
      <c r="B190" t="str">
        <f>IF(COUNTIF(A:A,A190)&gt;1,_xlfn.CONCAT(A190," (",N190,")"),A190)</f>
        <v>Gēqún Xiāng</v>
      </c>
      <c r="C190" t="str">
        <f>IF(COUNTIF(B:B,B190)&gt;1,_xlfn.CONCAT(A190," (",M190,")"),B190)</f>
        <v>Gēqún Xiāng</v>
      </c>
      <c r="D190" t="s">
        <v>688</v>
      </c>
      <c r="E190" t="s">
        <v>7</v>
      </c>
      <c r="F190" t="str">
        <f>_xlfn.CONCAT(D190,", ",H190,", ",I190,", ","西藏自治区")</f>
        <v>鸽群乡, 嘉黎县, 那曲市, 西藏自治区</v>
      </c>
      <c r="G190">
        <v>2292</v>
      </c>
      <c r="H190" t="s">
        <v>1450</v>
      </c>
      <c r="I190" t="s">
        <v>1445</v>
      </c>
      <c r="J190" t="e">
        <f>VLOOKUP(F190,[1]!china_towns_second__2[[Column1]:[Y]],3,FALSE)</f>
        <v>#N/A</v>
      </c>
      <c r="K190" t="e">
        <f>VLOOKUP(F190,[1]!china_towns_second__2[[Column1]:[Y]],2,FALSE)</f>
        <v>#N/A</v>
      </c>
      <c r="L190" t="s">
        <v>1850</v>
      </c>
      <c r="M190" t="str">
        <f>VLOOKUP(H190,CHOOSE({1,2},Table8[Native],Table8[Name]),2,0)</f>
        <v>Jiālí Xiàn</v>
      </c>
      <c r="N190" s="13" t="str">
        <f>VLOOKUP(I190,CHOOSE({1,2},Table8[Native],Table8[Name]),2,0)</f>
        <v>Nàqŭ Shì</v>
      </c>
      <c r="O190" s="13" t="str">
        <f t="shared" si="4"/>
        <v>Gequn Xiang (Nàqŭ Shì)</v>
      </c>
      <c r="P190" s="13" t="str">
        <f t="shared" si="5"/>
        <v>Gequn Xiang (Nàqŭ Shì)</v>
      </c>
    </row>
    <row r="191" spans="1:16" x14ac:dyDescent="0.25">
      <c r="A191" t="s">
        <v>543</v>
      </c>
      <c r="B191" t="str">
        <f>IF(COUNTIF(A:A,A191)&gt;1,_xlfn.CONCAT(A191," (",N191,")"),A191)</f>
        <v>Gōngbùjiāngdá Zhèn</v>
      </c>
      <c r="C191" t="str">
        <f>IF(COUNTIF(B:B,B191)&gt;1,_xlfn.CONCAT(A191," (",M191,")"),B191)</f>
        <v>Gōngbùjiāngdá Zhèn</v>
      </c>
      <c r="D191" t="s">
        <v>544</v>
      </c>
      <c r="E191" t="s">
        <v>17</v>
      </c>
      <c r="F191" t="str">
        <f>_xlfn.CONCAT(D191,", ",H191,", ",I191,", ","西藏自治区")</f>
        <v>工布江达镇, 工布江达县, 林芝市, 西藏自治区</v>
      </c>
      <c r="G191">
        <v>5451</v>
      </c>
      <c r="H191" t="s">
        <v>1441</v>
      </c>
      <c r="I191" t="s">
        <v>1437</v>
      </c>
      <c r="J191">
        <f>VLOOKUP(F191,[1]!china_towns_second__2[[Column1]:[Y]],3,FALSE)</f>
        <v>29.935811877631402</v>
      </c>
      <c r="K191">
        <f>VLOOKUP(F191,[1]!china_towns_second__2[[Column1]:[Y]],2,FALSE)</f>
        <v>93.420324649999998</v>
      </c>
      <c r="L191" t="s">
        <v>1851</v>
      </c>
      <c r="M191" t="str">
        <f>VLOOKUP(H191,CHOOSE({1,2},Table8[Native],Table8[Name]),2,0)</f>
        <v>Gōngbùjiāngdá Xiàn</v>
      </c>
      <c r="N191" s="13" t="str">
        <f>VLOOKUP(I191,CHOOSE({1,2},Table8[Native],Table8[Name]),2,0)</f>
        <v>Línzhī Shì</v>
      </c>
      <c r="O191" s="13" t="str">
        <f t="shared" si="4"/>
        <v>Gongbujiangda Zhen (Línzhī Shì)</v>
      </c>
      <c r="P191" s="13" t="str">
        <f t="shared" si="5"/>
        <v>Gongbujiangda Zhen (Línzhī Shì)</v>
      </c>
    </row>
    <row r="192" spans="1:16" hidden="1" x14ac:dyDescent="0.25">
      <c r="A192" t="s">
        <v>954</v>
      </c>
      <c r="B192" t="str">
        <f>IF(COUNTIF(A:A,A192)&gt;1,_xlfn.CONCAT(A192," (",N192,")"),A192)</f>
        <v>Gòngdāng Xiāng</v>
      </c>
      <c r="C192" t="str">
        <f>IF(COUNTIF(B:B,B192)&gt;1,_xlfn.CONCAT(A192," (",M192,")"),B192)</f>
        <v>Gòngdāng Xiāng</v>
      </c>
      <c r="D192" t="s">
        <v>955</v>
      </c>
      <c r="E192" t="s">
        <v>7</v>
      </c>
      <c r="F192" t="str">
        <f>_xlfn.CONCAT(D192,", ",H192,", ",I192,", ","西藏自治区")</f>
        <v>贡当乡, 吉隆县, 日喀则市, 西藏自治区</v>
      </c>
      <c r="G192">
        <v>1047</v>
      </c>
      <c r="H192" t="s">
        <v>1465</v>
      </c>
      <c r="I192" t="s">
        <v>1458</v>
      </c>
      <c r="J192" t="e">
        <f>VLOOKUP(F192,[1]!china_towns_second__2[[Column1]:[Y]],3,FALSE)</f>
        <v>#N/A</v>
      </c>
      <c r="K192" t="e">
        <f>VLOOKUP(F192,[1]!china_towns_second__2[[Column1]:[Y]],2,FALSE)</f>
        <v>#N/A</v>
      </c>
      <c r="L192" t="s">
        <v>1852</v>
      </c>
      <c r="M192" t="str">
        <f>VLOOKUP(H192,CHOOSE({1,2},Table8[Native],Table8[Name]),2,0)</f>
        <v>Jílóng Xiàn</v>
      </c>
      <c r="N192" s="13" t="str">
        <f>VLOOKUP(I192,CHOOSE({1,2},Table8[Native],Table8[Name]),2,0)</f>
        <v>Rìkāzé Shì</v>
      </c>
      <c r="O192" s="13" t="str">
        <f t="shared" si="4"/>
        <v>Gongdang Xiang (Rìkāzé Shì)</v>
      </c>
      <c r="P192" s="13" t="str">
        <f t="shared" si="5"/>
        <v>Gongdang Xiang (Rìkāzé Shì)</v>
      </c>
    </row>
    <row r="193" spans="1:16" hidden="1" x14ac:dyDescent="0.25">
      <c r="A193" t="s">
        <v>408</v>
      </c>
      <c r="B193" t="str">
        <f>IF(COUNTIF(A:A,A193)&gt;1,_xlfn.CONCAT(A193," (",N193,")"),A193)</f>
        <v>Gōngdélín Jiēdào</v>
      </c>
      <c r="C193" t="str">
        <f>IF(COUNTIF(B:B,B193)&gt;1,_xlfn.CONCAT(A193," (",M193,")"),B193)</f>
        <v>Gōngdélín Jiēdào</v>
      </c>
      <c r="D193" t="s">
        <v>409</v>
      </c>
      <c r="E193" t="s">
        <v>374</v>
      </c>
      <c r="F193" t="str">
        <f>_xlfn.CONCAT(D193,", ",H193,", ",I193,", ","西藏自治区")</f>
        <v>公德林街道, 城关区, 拉萨市, 西藏自治区</v>
      </c>
      <c r="G193">
        <v>72247</v>
      </c>
      <c r="H193" t="s">
        <v>1429</v>
      </c>
      <c r="I193" t="s">
        <v>1428</v>
      </c>
      <c r="J193">
        <f>VLOOKUP(F193,[1]!china_towns_second__2[[Column1]:[Y]],3,FALSE)</f>
        <v>29.663841688545201</v>
      </c>
      <c r="K193">
        <f>VLOOKUP(F193,[1]!china_towns_second__2[[Column1]:[Y]],2,FALSE)</f>
        <v>91.098678309999997</v>
      </c>
      <c r="L193" t="s">
        <v>1853</v>
      </c>
      <c r="M193" t="str">
        <f>VLOOKUP(H193,CHOOSE({1,2},Table8[Native],Table8[Name]),2,0)</f>
        <v>Chéngguān Qū</v>
      </c>
      <c r="N193" s="13" t="str">
        <f>VLOOKUP(I193,CHOOSE({1,2},Table8[Native],Table8[Name]),2,0)</f>
        <v>Lāsà Shì</v>
      </c>
      <c r="O193" s="13" t="str">
        <f t="shared" si="4"/>
        <v>Gongdelin Jiedao (Lāsà Shì)</v>
      </c>
      <c r="P193" s="13" t="str">
        <f t="shared" si="5"/>
        <v>Gongdelin Jiedao (Lāsà Shì)</v>
      </c>
    </row>
    <row r="194" spans="1:16" hidden="1" x14ac:dyDescent="0.25">
      <c r="A194" t="s">
        <v>956</v>
      </c>
      <c r="B194" t="str">
        <f>IF(COUNTIF(A:A,A194)&gt;1,_xlfn.CONCAT(A194," (",N194,")"),A194)</f>
        <v>Gòngjiŭbù Xiāng</v>
      </c>
      <c r="C194" t="str">
        <f>IF(COUNTIF(B:B,B194)&gt;1,_xlfn.CONCAT(A194," (",M194,")"),B194)</f>
        <v>Gòngjiŭbù Xiāng</v>
      </c>
      <c r="D194" t="s">
        <v>957</v>
      </c>
      <c r="E194" t="s">
        <v>7</v>
      </c>
      <c r="F194" t="str">
        <f>_xlfn.CONCAT(D194,", ",H194,", ",I194,", ","西藏自治区")</f>
        <v>贡久布乡, 昂仁县, 日喀则市, 西藏自治区</v>
      </c>
      <c r="G194">
        <v>1147</v>
      </c>
      <c r="H194" t="s">
        <v>1459</v>
      </c>
      <c r="I194" t="s">
        <v>1458</v>
      </c>
      <c r="J194" t="e">
        <f>VLOOKUP(F194,[1]!china_towns_second__2[[Column1]:[Y]],3,FALSE)</f>
        <v>#N/A</v>
      </c>
      <c r="K194" t="e">
        <f>VLOOKUP(F194,[1]!china_towns_second__2[[Column1]:[Y]],2,FALSE)</f>
        <v>#N/A</v>
      </c>
      <c r="L194" t="s">
        <v>1854</v>
      </c>
      <c r="M194" t="str">
        <f>VLOOKUP(H194,CHOOSE({1,2},Table8[Native],Table8[Name]),2,0)</f>
        <v>Ángrén Xiàn</v>
      </c>
      <c r="N194" s="13" t="str">
        <f>VLOOKUP(I194,CHOOSE({1,2},Table8[Native],Table8[Name]),2,0)</f>
        <v>Rìkāzé Shì</v>
      </c>
      <c r="O194" s="13" t="str">
        <f t="shared" ref="O194:O257" si="6">_xlfn.CONCAT(L194," (",N194,")")</f>
        <v>Gongjiubu Xiang (Rìkāzé Shì)</v>
      </c>
      <c r="P194" s="13" t="str">
        <f t="shared" ref="P194:P257" si="7">IF(COUNTIF(O:O,O194)&gt;1,_xlfn.CONCAT(L194," (",M194,")"),O194)</f>
        <v>Gongjiubu Xiang (Rìkāzé Shì)</v>
      </c>
    </row>
    <row r="195" spans="1:16" x14ac:dyDescent="0.25">
      <c r="A195" t="s">
        <v>410</v>
      </c>
      <c r="B195" t="str">
        <f>IF(COUNTIF(A:A,A195)&gt;1,_xlfn.CONCAT(A195," (",N195,")"),A195)</f>
        <v>Gōngkă Zhèn</v>
      </c>
      <c r="C195" t="str">
        <f>IF(COUNTIF(B:B,B195)&gt;1,_xlfn.CONCAT(A195," (",M195,")"),B195)</f>
        <v>Gōngkă Zhèn</v>
      </c>
      <c r="D195" t="s">
        <v>411</v>
      </c>
      <c r="E195" t="s">
        <v>17</v>
      </c>
      <c r="F195" t="str">
        <f>_xlfn.CONCAT(D195,", ",H195,", ",I195,", ","西藏自治区")</f>
        <v>工卡镇, 墨竹工卡县, 拉萨市, 西藏自治区</v>
      </c>
      <c r="G195">
        <v>6493</v>
      </c>
      <c r="H195" t="s">
        <v>1434</v>
      </c>
      <c r="I195" t="s">
        <v>1428</v>
      </c>
      <c r="J195">
        <f>VLOOKUP(F195,[1]!china_towns_second__2[[Column1]:[Y]],3,FALSE)</f>
        <v>29.7879686654294</v>
      </c>
      <c r="K195">
        <f>VLOOKUP(F195,[1]!china_towns_second__2[[Column1]:[Y]],2,FALSE)</f>
        <v>91.767625519999996</v>
      </c>
      <c r="L195" t="s">
        <v>1855</v>
      </c>
      <c r="M195" t="str">
        <f>VLOOKUP(H195,CHOOSE({1,2},Table8[Native],Table8[Name]),2,0)</f>
        <v>Mòzhúgōngkă Xiàn</v>
      </c>
      <c r="N195" s="13" t="str">
        <f>VLOOKUP(I195,CHOOSE({1,2},Table8[Native],Table8[Name]),2,0)</f>
        <v>Lāsà Shì</v>
      </c>
      <c r="O195" s="13" t="str">
        <f t="shared" si="6"/>
        <v>Gongka Zhen (Lāsà Shì)</v>
      </c>
      <c r="P195" s="13" t="str">
        <f t="shared" si="7"/>
        <v>Gongka Zhen (Lāsà Shì)</v>
      </c>
    </row>
    <row r="196" spans="1:16" hidden="1" x14ac:dyDescent="0.25">
      <c r="A196" t="s">
        <v>689</v>
      </c>
      <c r="B196" t="str">
        <f>IF(COUNTIF(A:A,A196)&gt;1,_xlfn.CONCAT(A196," (",N196,")"),A196)</f>
        <v>Gòngrì Xiāng</v>
      </c>
      <c r="C196" t="str">
        <f>IF(COUNTIF(B:B,B196)&gt;1,_xlfn.CONCAT(A196," (",M196,")"),B196)</f>
        <v>Gòngrì Xiāng</v>
      </c>
      <c r="D196" t="s">
        <v>690</v>
      </c>
      <c r="E196" t="s">
        <v>7</v>
      </c>
      <c r="F196" t="str">
        <f>_xlfn.CONCAT(D196,", ",H196,", ",I196,", ","西藏自治区")</f>
        <v>贡日乡, 巴青县, 那曲市, 西藏自治区</v>
      </c>
      <c r="G196">
        <v>1737</v>
      </c>
      <c r="H196" t="s">
        <v>1448</v>
      </c>
      <c r="I196" t="s">
        <v>1445</v>
      </c>
      <c r="J196" t="e">
        <f>VLOOKUP(F196,[1]!china_towns_second__2[[Column1]:[Y]],3,FALSE)</f>
        <v>#N/A</v>
      </c>
      <c r="K196" t="e">
        <f>VLOOKUP(F196,[1]!china_towns_second__2[[Column1]:[Y]],2,FALSE)</f>
        <v>#N/A</v>
      </c>
      <c r="L196" t="s">
        <v>1856</v>
      </c>
      <c r="M196" t="str">
        <f>VLOOKUP(H196,CHOOSE({1,2},Table8[Native],Table8[Name]),2,0)</f>
        <v>Bāqīng Xiàn</v>
      </c>
      <c r="N196" s="13" t="str">
        <f>VLOOKUP(I196,CHOOSE({1,2},Table8[Native],Table8[Name]),2,0)</f>
        <v>Nàqŭ Shì</v>
      </c>
      <c r="O196" s="13" t="str">
        <f t="shared" si="6"/>
        <v>Gongri Xiang (Nàqŭ Shì)</v>
      </c>
      <c r="P196" s="13" t="str">
        <f t="shared" si="7"/>
        <v>Gongri Xiang (Nàqŭ Shì)</v>
      </c>
    </row>
    <row r="197" spans="1:16" hidden="1" x14ac:dyDescent="0.25">
      <c r="A197" t="s">
        <v>1281</v>
      </c>
      <c r="B197" t="str">
        <f>IF(COUNTIF(A:A,A197)&gt;1,_xlfn.CONCAT(A197," (",N197,")"),A197)</f>
        <v>Gòngrìménbā Mínzú Xiāng</v>
      </c>
      <c r="C197" t="str">
        <f>IF(COUNTIF(B:B,B197)&gt;1,_xlfn.CONCAT(A197," (",M197,")"),B197)</f>
        <v>Gòngrìménbā Mínzú Xiāng</v>
      </c>
      <c r="D197" t="s">
        <v>1282</v>
      </c>
      <c r="E197" t="s">
        <v>7</v>
      </c>
      <c r="F197" t="str">
        <f>_xlfn.CONCAT(D197,", ",H197,", ",I197,", ","西藏自治区")</f>
        <v>贡日门巴民族乡, 错那县, 山南市, 西藏自治区</v>
      </c>
      <c r="G197">
        <v>190</v>
      </c>
      <c r="H197" t="s">
        <v>1479</v>
      </c>
      <c r="I197" t="s">
        <v>1477</v>
      </c>
      <c r="J197" t="e">
        <f>VLOOKUP(F197,[1]!china_towns_second__2[[Column1]:[Y]],3,FALSE)</f>
        <v>#N/A</v>
      </c>
      <c r="K197" t="e">
        <f>VLOOKUP(F197,[1]!china_towns_second__2[[Column1]:[Y]],2,FALSE)</f>
        <v>#N/A</v>
      </c>
      <c r="L197" t="s">
        <v>1857</v>
      </c>
      <c r="M197" t="str">
        <f>VLOOKUP(H197,CHOOSE({1,2},Table8[Native],Table8[Name]),2,0)</f>
        <v>Cuònà Xiàn</v>
      </c>
      <c r="N197" s="13" t="str">
        <f>VLOOKUP(I197,CHOOSE({1,2},Table8[Native],Table8[Name]),2,0)</f>
        <v>Shānnán Shì</v>
      </c>
      <c r="O197" s="13" t="str">
        <f t="shared" si="6"/>
        <v>Gongrimenba Minzu Xiang (Shānnán Shì)</v>
      </c>
      <c r="P197" s="13" t="str">
        <f t="shared" si="7"/>
        <v>Gongrimenba Minzu Xiang (Shānnán Shì)</v>
      </c>
    </row>
    <row r="198" spans="1:16" hidden="1" x14ac:dyDescent="0.25">
      <c r="A198" t="s">
        <v>413</v>
      </c>
      <c r="B198" t="str">
        <f>IF(COUNTIF(A:A,A198)&gt;1,_xlfn.CONCAT(A198," (",N198,")"),A198)</f>
        <v>Gōngtáng Xiāng</v>
      </c>
      <c r="C198" t="str">
        <f>IF(COUNTIF(B:B,B198)&gt;1,_xlfn.CONCAT(A198," (",M198,")"),B198)</f>
        <v>Gōngtáng Xiāng</v>
      </c>
      <c r="D198" t="s">
        <v>414</v>
      </c>
      <c r="E198" t="s">
        <v>7</v>
      </c>
      <c r="F198" t="str">
        <f>_xlfn.CONCAT(D198,", ",H198,", ",I198,", ","西藏自治区")</f>
        <v>公塘乡, 当雄县, 拉萨市, 西藏自治区</v>
      </c>
      <c r="G198">
        <v>5898</v>
      </c>
      <c r="H198" t="s">
        <v>1430</v>
      </c>
      <c r="I198" t="s">
        <v>1428</v>
      </c>
      <c r="J198" t="e">
        <f>VLOOKUP(F198,[1]!china_towns_second__2[[Column1]:[Y]],3,FALSE)</f>
        <v>#N/A</v>
      </c>
      <c r="K198" t="e">
        <f>VLOOKUP(F198,[1]!china_towns_second__2[[Column1]:[Y]],2,FALSE)</f>
        <v>#N/A</v>
      </c>
      <c r="L198" t="s">
        <v>1858</v>
      </c>
      <c r="M198" t="str">
        <f>VLOOKUP(H198,CHOOSE({1,2},Table8[Native],Table8[Name]),2,0)</f>
        <v>Dāngxióng Xiàn</v>
      </c>
      <c r="N198" s="13" t="str">
        <f>VLOOKUP(I198,CHOOSE({1,2},Table8[Native],Table8[Name]),2,0)</f>
        <v>Lāsà Shì</v>
      </c>
      <c r="O198" s="13" t="str">
        <f t="shared" si="6"/>
        <v>Gongtang Xiang (Lāsà Shì)</v>
      </c>
      <c r="P198" s="13" t="str">
        <f t="shared" si="7"/>
        <v>Gongtang Xiang (Lāsà Shì)</v>
      </c>
    </row>
    <row r="199" spans="1:16" hidden="1" x14ac:dyDescent="0.25">
      <c r="A199" t="s">
        <v>547</v>
      </c>
      <c r="B199" t="str">
        <f>IF(COUNTIF(A:A,A199)&gt;1,_xlfn.CONCAT(A199," (",N199,")"),A199)</f>
        <v>Gŭ Xiāng</v>
      </c>
      <c r="C199" t="str">
        <f>IF(COUNTIF(B:B,B199)&gt;1,_xlfn.CONCAT(A199," (",M199,")"),B199)</f>
        <v>Gŭ Xiāng</v>
      </c>
      <c r="D199" t="s">
        <v>548</v>
      </c>
      <c r="E199" t="s">
        <v>7</v>
      </c>
      <c r="F199" t="str">
        <f>_xlfn.CONCAT(D199,", ",H199,", ",I199,", ","西藏自治区")</f>
        <v>古乡, 波密县, 林芝市, 西藏自治区</v>
      </c>
      <c r="G199">
        <v>1549</v>
      </c>
      <c r="H199" t="s">
        <v>1439</v>
      </c>
      <c r="I199" t="s">
        <v>1437</v>
      </c>
      <c r="J199" t="e">
        <f>VLOOKUP(F199,[1]!china_towns_second__2[[Column1]:[Y]],3,FALSE)</f>
        <v>#N/A</v>
      </c>
      <c r="K199" t="e">
        <f>VLOOKUP(F199,[1]!china_towns_second__2[[Column1]:[Y]],2,FALSE)</f>
        <v>#N/A</v>
      </c>
      <c r="L199" t="s">
        <v>1859</v>
      </c>
      <c r="M199" t="str">
        <f>VLOOKUP(H199,CHOOSE({1,2},Table8[Native],Table8[Name]),2,0)</f>
        <v>Bōmì Xiàn</v>
      </c>
      <c r="N199" s="13" t="str">
        <f>VLOOKUP(I199,CHOOSE({1,2},Table8[Native],Table8[Name]),2,0)</f>
        <v>Línzhī Shì</v>
      </c>
      <c r="O199" s="13" t="str">
        <f t="shared" si="6"/>
        <v>Gu Xiang (Línzhī Shì)</v>
      </c>
      <c r="P199" s="13" t="str">
        <f t="shared" si="7"/>
        <v>Gu Xiang (Línzhī Shì)</v>
      </c>
    </row>
    <row r="200" spans="1:16" hidden="1" x14ac:dyDescent="0.25">
      <c r="A200" t="s">
        <v>1283</v>
      </c>
      <c r="B200" t="str">
        <f>IF(COUNTIF(A:A,A200)&gt;1,_xlfn.CONCAT(A200," (",N200,")"),A200)</f>
        <v>Gŭduī Xiāng</v>
      </c>
      <c r="C200" t="str">
        <f>IF(COUNTIF(B:B,B200)&gt;1,_xlfn.CONCAT(A200," (",M200,")"),B200)</f>
        <v>Gŭduī Xiāng</v>
      </c>
      <c r="D200" t="s">
        <v>1284</v>
      </c>
      <c r="E200" t="s">
        <v>7</v>
      </c>
      <c r="F200" t="str">
        <f>_xlfn.CONCAT(D200,", ",H200,", ",I200,", ","西藏自治区")</f>
        <v>古堆乡, 措美县, 山南市, 西藏自治区</v>
      </c>
      <c r="G200">
        <v>1421</v>
      </c>
      <c r="H200" t="s">
        <v>1478</v>
      </c>
      <c r="I200" t="s">
        <v>1477</v>
      </c>
      <c r="J200" t="e">
        <f>VLOOKUP(F200,[1]!china_towns_second__2[[Column1]:[Y]],3,FALSE)</f>
        <v>#N/A</v>
      </c>
      <c r="K200" t="e">
        <f>VLOOKUP(F200,[1]!china_towns_second__2[[Column1]:[Y]],2,FALSE)</f>
        <v>#N/A</v>
      </c>
      <c r="L200" t="s">
        <v>1860</v>
      </c>
      <c r="M200" t="str">
        <f>VLOOKUP(H200,CHOOSE({1,2},Table8[Native],Table8[Name]),2,0)</f>
        <v>Cuòmĕi Xiàn</v>
      </c>
      <c r="N200" s="13" t="str">
        <f>VLOOKUP(I200,CHOOSE({1,2},Table8[Native],Table8[Name]),2,0)</f>
        <v>Shānnán Shì</v>
      </c>
      <c r="O200" s="13" t="str">
        <f t="shared" si="6"/>
        <v>Gudui Xiang (Shānnán Shì)</v>
      </c>
      <c r="P200" s="13" t="str">
        <f t="shared" si="7"/>
        <v>Gudui Xiang (Shānnán Shì)</v>
      </c>
    </row>
    <row r="201" spans="1:16" hidden="1" x14ac:dyDescent="0.25">
      <c r="A201" t="s">
        <v>545</v>
      </c>
      <c r="B201" t="str">
        <f>IF(COUNTIF(A:A,A201)&gt;1,_xlfn.CONCAT(A201," (",N201,")"),A201)</f>
        <v>Gŭlā Xiāng</v>
      </c>
      <c r="C201" t="str">
        <f>IF(COUNTIF(B:B,B201)&gt;1,_xlfn.CONCAT(A201," (",M201,")"),B201)</f>
        <v>Gŭlā Xiāng</v>
      </c>
      <c r="D201" t="s">
        <v>546</v>
      </c>
      <c r="E201" t="s">
        <v>7</v>
      </c>
      <c r="F201" t="str">
        <f>_xlfn.CONCAT(D201,", ",H201,", ",I201,", ","西藏自治区")</f>
        <v>古拉乡, 察隅县, 林芝市, 西藏自治区</v>
      </c>
      <c r="G201">
        <v>2911</v>
      </c>
      <c r="H201" t="s">
        <v>1440</v>
      </c>
      <c r="I201" t="s">
        <v>1437</v>
      </c>
      <c r="J201" t="e">
        <f>VLOOKUP(F201,[1]!china_towns_second__2[[Column1]:[Y]],3,FALSE)</f>
        <v>#N/A</v>
      </c>
      <c r="K201" t="e">
        <f>VLOOKUP(F201,[1]!china_towns_second__2[[Column1]:[Y]],2,FALSE)</f>
        <v>#N/A</v>
      </c>
      <c r="L201" t="s">
        <v>1861</v>
      </c>
      <c r="M201" t="str">
        <f>VLOOKUP(H201,CHOOSE({1,2},Table8[Native],Table8[Name]),2,0)</f>
        <v>Cháyú Xiàn</v>
      </c>
      <c r="N201" s="13" t="str">
        <f>VLOOKUP(I201,CHOOSE({1,2},Table8[Native],Table8[Name]),2,0)</f>
        <v>Línzhī Shì</v>
      </c>
      <c r="O201" s="13" t="str">
        <f t="shared" si="6"/>
        <v>Gula Xiang (Línzhī Shì)</v>
      </c>
      <c r="P201" s="13" t="str">
        <f t="shared" si="7"/>
        <v>Gula Xiang (Línzhī Shì)</v>
      </c>
    </row>
    <row r="202" spans="1:16" x14ac:dyDescent="0.25">
      <c r="A202" t="s">
        <v>691</v>
      </c>
      <c r="B202" t="str">
        <f>IF(COUNTIF(A:A,A202)&gt;1,_xlfn.CONCAT(A202," (",N202,")"),A202)</f>
        <v>Gŭlù Zhèn</v>
      </c>
      <c r="C202" t="str">
        <f>IF(COUNTIF(B:B,B202)&gt;1,_xlfn.CONCAT(A202," (",M202,")"),B202)</f>
        <v>Gŭlù Zhèn</v>
      </c>
      <c r="D202" t="s">
        <v>692</v>
      </c>
      <c r="E202" t="s">
        <v>17</v>
      </c>
      <c r="F202" t="str">
        <f>_xlfn.CONCAT(D202,", ",H202,", ",I202,", ","西藏自治区")</f>
        <v>古露镇, 色尼区, 那曲市, 西藏自治区</v>
      </c>
      <c r="G202">
        <v>3695</v>
      </c>
      <c r="H202" t="s">
        <v>1454</v>
      </c>
      <c r="I202" t="s">
        <v>1445</v>
      </c>
      <c r="J202">
        <f>VLOOKUP(F202,[1]!china_towns_second__2[[Column1]:[Y]],3,FALSE)</f>
        <v>30.815002576537701</v>
      </c>
      <c r="K202">
        <f>VLOOKUP(F202,[1]!china_towns_second__2[[Column1]:[Y]],2,FALSE)</f>
        <v>91.604020270000007</v>
      </c>
      <c r="L202" t="s">
        <v>1862</v>
      </c>
      <c r="M202" t="str">
        <f>VLOOKUP(H202,CHOOSE({1,2},Table8[Native],Table8[Name]),2,0)</f>
        <v>Sèní Qū</v>
      </c>
      <c r="N202" s="13" t="str">
        <f>VLOOKUP(I202,CHOOSE({1,2},Table8[Native],Table8[Name]),2,0)</f>
        <v>Nàqŭ Shì</v>
      </c>
      <c r="O202" s="13" t="str">
        <f t="shared" si="6"/>
        <v>Gulu Zhen (Nàqŭ Shì)</v>
      </c>
      <c r="P202" s="13" t="str">
        <f t="shared" si="7"/>
        <v>Gulu Zhen (Nàqŭ Shì)</v>
      </c>
    </row>
    <row r="203" spans="1:16" hidden="1" x14ac:dyDescent="0.25">
      <c r="A203" t="s">
        <v>37</v>
      </c>
      <c r="B203" t="str">
        <f>IF(COUNTIF(A:A,A203)&gt;1,_xlfn.CONCAT(A203," (",N203,")"),A203)</f>
        <v>Gŭmŭ Xiāng</v>
      </c>
      <c r="C203" t="str">
        <f>IF(COUNTIF(B:B,B203)&gt;1,_xlfn.CONCAT(A203," (",M203,")"),B203)</f>
        <v>Gŭmŭ Xiāng</v>
      </c>
      <c r="D203" t="s">
        <v>38</v>
      </c>
      <c r="E203" t="s">
        <v>7</v>
      </c>
      <c r="F203" t="str">
        <f>_xlfn.CONCAT(D203,", ",H203,", ",I203,", ","西藏自治区")</f>
        <v>古姆乡, 改则县, 阿里地区, 西藏自治区</v>
      </c>
      <c r="G203">
        <v>2312</v>
      </c>
      <c r="H203" t="s">
        <v>1409</v>
      </c>
      <c r="I203" t="s">
        <v>1405</v>
      </c>
      <c r="J203" t="e">
        <f>VLOOKUP(F203,[1]!china_towns_second__2[[Column1]:[Y]],3,FALSE)</f>
        <v>#N/A</v>
      </c>
      <c r="K203" t="e">
        <f>VLOOKUP(F203,[1]!china_towns_second__2[[Column1]:[Y]],2,FALSE)</f>
        <v>#N/A</v>
      </c>
      <c r="L203" t="s">
        <v>1863</v>
      </c>
      <c r="M203" t="str">
        <f>VLOOKUP(H203,CHOOSE({1,2},Table8[Native],Table8[Name]),2,0)</f>
        <v>Găizé Xiàn</v>
      </c>
      <c r="N203" s="13" t="str">
        <f>VLOOKUP(I203,CHOOSE({1,2},Table8[Native],Table8[Name]),2,0)</f>
        <v>Ālĭ Dìqū</v>
      </c>
      <c r="O203" s="13" t="str">
        <f t="shared" si="6"/>
        <v>Gumu Xiang (Ālĭ Dìqū)</v>
      </c>
      <c r="P203" s="13" t="str">
        <f t="shared" si="7"/>
        <v>Gumu Xiang (Ālĭ Dìqū)</v>
      </c>
    </row>
    <row r="204" spans="1:16" hidden="1" x14ac:dyDescent="0.25">
      <c r="A204" t="s">
        <v>958</v>
      </c>
      <c r="B204" t="str">
        <f>IF(COUNTIF(A:A,A204)&gt;1,_xlfn.CONCAT(A204," (",N204,")"),A204)</f>
        <v>Guōjiā Xiāng</v>
      </c>
      <c r="C204" t="str">
        <f>IF(COUNTIF(B:B,B204)&gt;1,_xlfn.CONCAT(A204," (",M204,")"),B204)</f>
        <v>Guōjiā Xiāng</v>
      </c>
      <c r="D204" t="s">
        <v>959</v>
      </c>
      <c r="E204" t="s">
        <v>7</v>
      </c>
      <c r="F204" t="str">
        <f>_xlfn.CONCAT(D204,", ",H204,", ",I204,", ","西藏自治区")</f>
        <v>郭加乡, 定结县, 日喀则市, 西藏自治区</v>
      </c>
      <c r="G204">
        <v>800</v>
      </c>
      <c r="H204" t="s">
        <v>1461</v>
      </c>
      <c r="I204" t="s">
        <v>1458</v>
      </c>
      <c r="J204" t="e">
        <f>VLOOKUP(F204,[1]!china_towns_second__2[[Column1]:[Y]],3,FALSE)</f>
        <v>#N/A</v>
      </c>
      <c r="K204" t="e">
        <f>VLOOKUP(F204,[1]!china_towns_second__2[[Column1]:[Y]],2,FALSE)</f>
        <v>#N/A</v>
      </c>
      <c r="L204" t="s">
        <v>1864</v>
      </c>
      <c r="M204" t="str">
        <f>VLOOKUP(H204,CHOOSE({1,2},Table8[Native],Table8[Name]),2,0)</f>
        <v>Dìngjié Xiàn</v>
      </c>
      <c r="N204" s="13" t="str">
        <f>VLOOKUP(I204,CHOOSE({1,2},Table8[Native],Table8[Name]),2,0)</f>
        <v>Rìkāzé Shì</v>
      </c>
      <c r="O204" s="13" t="str">
        <f t="shared" si="6"/>
        <v>Guojia Xiang (Rìkāzé Shì)</v>
      </c>
      <c r="P204" s="13" t="str">
        <f t="shared" si="7"/>
        <v>Guojia Xiang (Rìkāzé Shì)</v>
      </c>
    </row>
    <row r="205" spans="1:16" hidden="1" x14ac:dyDescent="0.25">
      <c r="A205" t="s">
        <v>173</v>
      </c>
      <c r="B205" t="str">
        <f>IF(COUNTIF(A:A,A205)&gt;1,_xlfn.CONCAT(A205," (",N205,")"),A205)</f>
        <v>Guōqìng Xiāng</v>
      </c>
      <c r="C205" t="str">
        <f>IF(COUNTIF(B:B,B205)&gt;1,_xlfn.CONCAT(A205," (",M205,")"),B205)</f>
        <v>Guōqìng Xiāng</v>
      </c>
      <c r="D205" t="s">
        <v>174</v>
      </c>
      <c r="E205" t="s">
        <v>7</v>
      </c>
      <c r="F205" t="str">
        <f>_xlfn.CONCAT(D205,", ",H205,", ",I205,", ","西藏自治区")</f>
        <v>郭庆乡, 八宿县, 昌都市, 西藏自治区</v>
      </c>
      <c r="G205">
        <v>4937</v>
      </c>
      <c r="H205" t="s">
        <v>1416</v>
      </c>
      <c r="I205" t="s">
        <v>1415</v>
      </c>
      <c r="J205" t="e">
        <f>VLOOKUP(F205,[1]!china_towns_second__2[[Column1]:[Y]],3,FALSE)</f>
        <v>#N/A</v>
      </c>
      <c r="K205" t="e">
        <f>VLOOKUP(F205,[1]!china_towns_second__2[[Column1]:[Y]],2,FALSE)</f>
        <v>#N/A</v>
      </c>
      <c r="L205" t="s">
        <v>1865</v>
      </c>
      <c r="M205" t="str">
        <f>VLOOKUP(H205,CHOOSE({1,2},Table8[Native],Table8[Name]),2,0)</f>
        <v>Bāsù Xiàn</v>
      </c>
      <c r="N205" s="13" t="str">
        <f>VLOOKUP(I205,CHOOSE({1,2},Table8[Native],Table8[Name]),2,0)</f>
        <v>Chāngdū Shì</v>
      </c>
      <c r="O205" s="13" t="str">
        <f t="shared" si="6"/>
        <v>Guoqing Xiang (Chāngdū Shì)</v>
      </c>
      <c r="P205" s="13" t="str">
        <f t="shared" si="7"/>
        <v>Guoqing Xiang (Chāngdū Shì)</v>
      </c>
    </row>
    <row r="206" spans="1:16" x14ac:dyDescent="0.25">
      <c r="A206" t="s">
        <v>415</v>
      </c>
      <c r="B206" t="str">
        <f>IF(COUNTIF(A:A,A206)&gt;1,_xlfn.CONCAT(A206," (",N206,")"),A206)</f>
        <v>Gŭróng Zhèn</v>
      </c>
      <c r="C206" t="str">
        <f>IF(COUNTIF(B:B,B206)&gt;1,_xlfn.CONCAT(A206," (",M206,")"),B206)</f>
        <v>Gŭróng Zhèn</v>
      </c>
      <c r="D206" t="s">
        <v>416</v>
      </c>
      <c r="E206" t="s">
        <v>17</v>
      </c>
      <c r="F206" t="str">
        <f>_xlfn.CONCAT(D206,", ",H206,", ",I206,", ","西藏自治区")</f>
        <v>古荣镇, 堆龙德庆区, 拉萨市, 西藏自治区</v>
      </c>
      <c r="G206">
        <v>5763</v>
      </c>
      <c r="H206" t="s">
        <v>1432</v>
      </c>
      <c r="I206" t="s">
        <v>1428</v>
      </c>
      <c r="J206">
        <f>VLOOKUP(F206,[1]!china_towns_second__2[[Column1]:[Y]],3,FALSE)</f>
        <v>29.7013384231002</v>
      </c>
      <c r="K206">
        <f>VLOOKUP(F206,[1]!china_towns_second__2[[Column1]:[Y]],2,FALSE)</f>
        <v>90.655484250000001</v>
      </c>
      <c r="L206" t="s">
        <v>1866</v>
      </c>
      <c r="M206" t="str">
        <f>VLOOKUP(H206,CHOOSE({1,2},Table8[Native],Table8[Name]),2,0)</f>
        <v>Duīlóngdéqìng Qū</v>
      </c>
      <c r="N206" s="13" t="str">
        <f>VLOOKUP(I206,CHOOSE({1,2},Table8[Native],Table8[Name]),2,0)</f>
        <v>Lāsà Shì</v>
      </c>
      <c r="O206" s="13" t="str">
        <f t="shared" si="6"/>
        <v>Gurong Zhen (Lāsà Shì)</v>
      </c>
      <c r="P206" s="13" t="str">
        <f t="shared" si="7"/>
        <v>Gurong Zhen (Lāsà Shì)</v>
      </c>
    </row>
    <row r="207" spans="1:16" hidden="1" x14ac:dyDescent="0.25">
      <c r="A207" t="s">
        <v>549</v>
      </c>
      <c r="B207" t="str">
        <f>IF(COUNTIF(A:A,A207)&gt;1,_xlfn.CONCAT(A207," (",N207,")"),A207)</f>
        <v>Gŭyù Xiāng</v>
      </c>
      <c r="C207" t="str">
        <f>IF(COUNTIF(B:B,B207)&gt;1,_xlfn.CONCAT(A207," (",M207,")"),B207)</f>
        <v>Gŭyù Xiāng</v>
      </c>
      <c r="D207" t="s">
        <v>550</v>
      </c>
      <c r="E207" t="s">
        <v>7</v>
      </c>
      <c r="F207" t="str">
        <f>_xlfn.CONCAT(D207,", ",H207,", ",I207,", ","西藏自治区")</f>
        <v>古玉乡, 察隅县, 林芝市, 西藏自治区</v>
      </c>
      <c r="G207">
        <v>2899</v>
      </c>
      <c r="H207" t="s">
        <v>1440</v>
      </c>
      <c r="I207" t="s">
        <v>1437</v>
      </c>
      <c r="J207" t="e">
        <f>VLOOKUP(F207,[1]!china_towns_second__2[[Column1]:[Y]],3,FALSE)</f>
        <v>#N/A</v>
      </c>
      <c r="K207" t="e">
        <f>VLOOKUP(F207,[1]!china_towns_second__2[[Column1]:[Y]],2,FALSE)</f>
        <v>#N/A</v>
      </c>
      <c r="L207" t="s">
        <v>1867</v>
      </c>
      <c r="M207" t="str">
        <f>VLOOKUP(H207,CHOOSE({1,2},Table8[Native],Table8[Name]),2,0)</f>
        <v>Cháyú Xiàn</v>
      </c>
      <c r="N207" s="13" t="str">
        <f>VLOOKUP(I207,CHOOSE({1,2},Table8[Native],Table8[Name]),2,0)</f>
        <v>Línzhī Shì</v>
      </c>
      <c r="O207" s="13" t="str">
        <f t="shared" si="6"/>
        <v>Guyu Xiang (Línzhī Shì)</v>
      </c>
      <c r="P207" s="13" t="str">
        <f t="shared" si="7"/>
        <v>Guyu Xiang (Línzhī Shì)</v>
      </c>
    </row>
    <row r="208" spans="1:16" hidden="1" x14ac:dyDescent="0.25">
      <c r="A208" t="s">
        <v>175</v>
      </c>
      <c r="B208" t="str">
        <f>IF(COUNTIF(A:A,A208)&gt;1,_xlfn.CONCAT(A208," (",N208,")"),A208)</f>
        <v>Hājiā Xiāng</v>
      </c>
      <c r="C208" t="str">
        <f>IF(COUNTIF(B:B,B208)&gt;1,_xlfn.CONCAT(A208," (",M208,")"),B208)</f>
        <v>Hājiā Xiāng</v>
      </c>
      <c r="D208" t="s">
        <v>176</v>
      </c>
      <c r="E208" t="s">
        <v>7</v>
      </c>
      <c r="F208" t="str">
        <f>_xlfn.CONCAT(D208,", ",H208,", ",I208,", ","西藏自治区")</f>
        <v>哈加乡, 贡觉县, 昌都市, 西藏自治区</v>
      </c>
      <c r="G208">
        <v>5812</v>
      </c>
      <c r="H208" t="s">
        <v>1420</v>
      </c>
      <c r="I208" t="s">
        <v>1415</v>
      </c>
      <c r="J208" t="e">
        <f>VLOOKUP(F208,[1]!china_towns_second__2[[Column1]:[Y]],3,FALSE)</f>
        <v>#N/A</v>
      </c>
      <c r="K208" t="e">
        <f>VLOOKUP(F208,[1]!china_towns_second__2[[Column1]:[Y]],2,FALSE)</f>
        <v>#N/A</v>
      </c>
      <c r="L208" t="s">
        <v>1868</v>
      </c>
      <c r="M208" t="str">
        <f>VLOOKUP(H208,CHOOSE({1,2},Table8[Native],Table8[Name]),2,0)</f>
        <v>Gòngjué Xiàn</v>
      </c>
      <c r="N208" s="13" t="str">
        <f>VLOOKUP(I208,CHOOSE({1,2},Table8[Native],Table8[Name]),2,0)</f>
        <v>Chāngdū Shì</v>
      </c>
      <c r="O208" s="13" t="str">
        <f t="shared" si="6"/>
        <v>Hajia Xiang (Chāngdū Shì)</v>
      </c>
      <c r="P208" s="13" t="str">
        <f t="shared" si="7"/>
        <v>Hajia Xiang (Chāngdū Shì)</v>
      </c>
    </row>
    <row r="209" spans="1:16" hidden="1" x14ac:dyDescent="0.25">
      <c r="A209" t="s">
        <v>39</v>
      </c>
      <c r="B209" t="str">
        <f>IF(COUNTIF(A:A,A209)&gt;1,_xlfn.CONCAT(A209," (",N209,")"),A209)</f>
        <v>Huò'ĕr Xiāng</v>
      </c>
      <c r="C209" t="str">
        <f>IF(COUNTIF(B:B,B209)&gt;1,_xlfn.CONCAT(A209," (",M209,")"),B209)</f>
        <v>Huò'ĕr Xiāng</v>
      </c>
      <c r="D209" t="s">
        <v>40</v>
      </c>
      <c r="E209" t="s">
        <v>7</v>
      </c>
      <c r="F209" t="str">
        <f>_xlfn.CONCAT(D209,", ",H209,", ",I209,", ","西藏自治区")</f>
        <v>霍尔乡, 普兰县, 阿里地区, 西藏自治区</v>
      </c>
      <c r="G209">
        <v>1951</v>
      </c>
      <c r="H209" t="s">
        <v>1411</v>
      </c>
      <c r="I209" t="s">
        <v>1405</v>
      </c>
      <c r="J209" t="e">
        <f>VLOOKUP(F209,[1]!china_towns_second__2[[Column1]:[Y]],3,FALSE)</f>
        <v>#N/A</v>
      </c>
      <c r="K209" t="e">
        <f>VLOOKUP(F209,[1]!china_towns_second__2[[Column1]:[Y]],2,FALSE)</f>
        <v>#N/A</v>
      </c>
      <c r="L209" t="s">
        <v>1869</v>
      </c>
      <c r="M209" t="str">
        <f>VLOOKUP(H209,CHOOSE({1,2},Table8[Native],Table8[Name]),2,0)</f>
        <v>Pŭlán Xiàn</v>
      </c>
      <c r="N209" s="13" t="str">
        <f>VLOOKUP(I209,CHOOSE({1,2},Table8[Native],Table8[Name]),2,0)</f>
        <v>Ālĭ Dìqū</v>
      </c>
      <c r="O209" s="13" t="str">
        <f t="shared" si="6"/>
        <v>Huo'er Xiang (Ālĭ Dìqū)</v>
      </c>
      <c r="P209" s="13" t="str">
        <f t="shared" si="7"/>
        <v>Huo'er Xiang (Ālĭ Dìqū)</v>
      </c>
    </row>
    <row r="210" spans="1:16" hidden="1" x14ac:dyDescent="0.25">
      <c r="A210" t="s">
        <v>960</v>
      </c>
      <c r="B210" t="str">
        <f>IF(COUNTIF(A:A,A210)&gt;1,_xlfn.CONCAT(A210," (",N210,")"),A210)</f>
        <v>Huò'ĕrbā Xiāng</v>
      </c>
      <c r="C210" t="str">
        <f>IF(COUNTIF(B:B,B210)&gt;1,_xlfn.CONCAT(A210," (",M210,")"),B210)</f>
        <v>Huò'ĕrbā Xiāng</v>
      </c>
      <c r="D210" t="s">
        <v>961</v>
      </c>
      <c r="E210" t="s">
        <v>7</v>
      </c>
      <c r="F210" t="str">
        <f>_xlfn.CONCAT(D210,", ",H210,", ",I210,", ","西藏自治区")</f>
        <v>霍尔巴乡, 仲巴县, 日喀则市, 西藏自治区</v>
      </c>
      <c r="G210">
        <v>1341</v>
      </c>
      <c r="H210" t="s">
        <v>1476</v>
      </c>
      <c r="I210" t="s">
        <v>1458</v>
      </c>
      <c r="J210" t="e">
        <f>VLOOKUP(F210,[1]!china_towns_second__2[[Column1]:[Y]],3,FALSE)</f>
        <v>#N/A</v>
      </c>
      <c r="K210" t="e">
        <f>VLOOKUP(F210,[1]!china_towns_second__2[[Column1]:[Y]],2,FALSE)</f>
        <v>#N/A</v>
      </c>
      <c r="L210" t="s">
        <v>1870</v>
      </c>
      <c r="M210" t="str">
        <f>VLOOKUP(H210,CHOOSE({1,2},Table8[Native],Table8[Name]),2,0)</f>
        <v>Zhòngbā Xiàn</v>
      </c>
      <c r="N210" s="13" t="str">
        <f>VLOOKUP(I210,CHOOSE({1,2},Table8[Native],Table8[Name]),2,0)</f>
        <v>Rìkāzé Shì</v>
      </c>
      <c r="O210" s="13" t="str">
        <f t="shared" si="6"/>
        <v>Huo'erba Xiang (Rìkāzé Shì)</v>
      </c>
      <c r="P210" s="13" t="str">
        <f t="shared" si="7"/>
        <v>Huo'erba Xiang (Rìkāzé Shì)</v>
      </c>
    </row>
    <row r="211" spans="1:16" x14ac:dyDescent="0.25">
      <c r="A211" t="s">
        <v>1285</v>
      </c>
      <c r="B211" t="str">
        <f>IF(COUNTIF(A:A,A211)&gt;1,_xlfn.CONCAT(A211," (",N211,")"),A211)</f>
        <v>Jiāchá Zhèn</v>
      </c>
      <c r="C211" t="str">
        <f>IF(COUNTIF(B:B,B211)&gt;1,_xlfn.CONCAT(A211," (",M211,")"),B211)</f>
        <v>Jiāchá Zhèn</v>
      </c>
      <c r="D211" t="s">
        <v>1286</v>
      </c>
      <c r="E211" t="s">
        <v>17</v>
      </c>
      <c r="F211" t="str">
        <f>_xlfn.CONCAT(D211,", ",H211,", ",I211,", ","西藏自治区")</f>
        <v>加查镇, 加查县, 山南市, 西藏自治区</v>
      </c>
      <c r="G211">
        <v>3261</v>
      </c>
      <c r="H211" t="s">
        <v>1481</v>
      </c>
      <c r="I211" t="s">
        <v>1477</v>
      </c>
      <c r="J211">
        <f>VLOOKUP(F211,[1]!china_towns_second__2[[Column1]:[Y]],3,FALSE)</f>
        <v>29.1759297723993</v>
      </c>
      <c r="K211">
        <f>VLOOKUP(F211,[1]!china_towns_second__2[[Column1]:[Y]],2,FALSE)</f>
        <v>92.787712369999994</v>
      </c>
      <c r="L211" t="s">
        <v>1871</v>
      </c>
      <c r="M211" t="str">
        <f>VLOOKUP(H211,CHOOSE({1,2},Table8[Native],Table8[Name]),2,0)</f>
        <v>Jiāchá Xiàn</v>
      </c>
      <c r="N211" s="13" t="str">
        <f>VLOOKUP(I211,CHOOSE({1,2},Table8[Native],Table8[Name]),2,0)</f>
        <v>Shānnán Shì</v>
      </c>
      <c r="O211" s="13" t="str">
        <f t="shared" si="6"/>
        <v>Jiacha Zhen (Shānnán Shì)</v>
      </c>
      <c r="P211" s="13" t="str">
        <f t="shared" si="7"/>
        <v>Jiacha Zhen (Shānnán Shì)</v>
      </c>
    </row>
    <row r="212" spans="1:16" hidden="1" x14ac:dyDescent="0.25">
      <c r="A212" t="s">
        <v>962</v>
      </c>
      <c r="B212" t="str">
        <f>IF(COUNTIF(A:A,A212)&gt;1,_xlfn.CONCAT(A212," (",N212,")"),A212)</f>
        <v>Jiăcuò Xiāng</v>
      </c>
      <c r="C212" t="str">
        <f>IF(COUNTIF(B:B,B212)&gt;1,_xlfn.CONCAT(A212," (",M212,")"),B212)</f>
        <v>Jiăcuò Xiāng</v>
      </c>
      <c r="D212" t="s">
        <v>963</v>
      </c>
      <c r="E212" t="s">
        <v>7</v>
      </c>
      <c r="F212" t="str">
        <f>_xlfn.CONCAT(D212,", ",H212,", ",I212,", ","西藏自治区")</f>
        <v>甲措乡, 南木林县, 日喀则市, 西藏自治区</v>
      </c>
      <c r="G212">
        <v>4654</v>
      </c>
      <c r="H212" t="s">
        <v>1468</v>
      </c>
      <c r="I212" t="s">
        <v>1458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1872</v>
      </c>
      <c r="M212" t="str">
        <f>VLOOKUP(H212,CHOOSE({1,2},Table8[Native],Table8[Name]),2,0)</f>
        <v>Nánmùlín Xiàn</v>
      </c>
      <c r="N212" s="13" t="str">
        <f>VLOOKUP(I212,CHOOSE({1,2},Table8[Native],Table8[Name]),2,0)</f>
        <v>Rìkāzé Shì</v>
      </c>
      <c r="O212" s="13" t="str">
        <f t="shared" si="6"/>
        <v>Jiacuo Xiang (Rìkāzé Shì)</v>
      </c>
      <c r="P212" s="13" t="str">
        <f t="shared" si="7"/>
        <v>Jiacuo Xiang (Nánmùlín Xiàn)</v>
      </c>
    </row>
    <row r="213" spans="1:16" hidden="1" x14ac:dyDescent="0.25">
      <c r="A213" t="s">
        <v>964</v>
      </c>
      <c r="B213" t="str">
        <f>IF(COUNTIF(A:A,A213)&gt;1,_xlfn.CONCAT(A213," (",N213,")"),A213)</f>
        <v>Jiācuò Xiāng</v>
      </c>
      <c r="C213" t="str">
        <f>IF(COUNTIF(B:B,B213)&gt;1,_xlfn.CONCAT(A213," (",M213,")"),B213)</f>
        <v>Jiācuò Xiāng</v>
      </c>
      <c r="D213" t="s">
        <v>965</v>
      </c>
      <c r="E213" t="s">
        <v>7</v>
      </c>
      <c r="F213" t="str">
        <f>_xlfn.CONCAT(D213,", ",H213,", ",I213,", ","西藏自治区")</f>
        <v>加措乡, 定日县, 日喀则市, 西藏自治区</v>
      </c>
      <c r="G213">
        <v>1319</v>
      </c>
      <c r="H213" t="s">
        <v>1462</v>
      </c>
      <c r="I213" t="s">
        <v>1458</v>
      </c>
      <c r="J213" t="e">
        <f>VLOOKUP(F213,[1]!china_towns_second__2[[Column1]:[Y]],3,FALSE)</f>
        <v>#N/A</v>
      </c>
      <c r="K213" t="e">
        <f>VLOOKUP(F213,[1]!china_towns_second__2[[Column1]:[Y]],2,FALSE)</f>
        <v>#N/A</v>
      </c>
      <c r="L213" t="s">
        <v>1872</v>
      </c>
      <c r="M213" t="str">
        <f>VLOOKUP(H213,CHOOSE({1,2},Table8[Native],Table8[Name]),2,0)</f>
        <v>Dìngrì Xiàn</v>
      </c>
      <c r="N213" s="13" t="str">
        <f>VLOOKUP(I213,CHOOSE({1,2},Table8[Native],Table8[Name]),2,0)</f>
        <v>Rìkāzé Shì</v>
      </c>
      <c r="O213" s="13" t="str">
        <f t="shared" si="6"/>
        <v>Jiacuo Xiang (Rìkāzé Shì)</v>
      </c>
      <c r="P213" s="13" t="str">
        <f t="shared" si="7"/>
        <v>Jiacuo Xiang (Dìngrì Xiàn)</v>
      </c>
    </row>
    <row r="214" spans="1:16" hidden="1" x14ac:dyDescent="0.25">
      <c r="A214" t="s">
        <v>966</v>
      </c>
      <c r="B214" t="str">
        <f>IF(COUNTIF(A:A,A214)&gt;1,_xlfn.CONCAT(A214," (",N214,")"),A214)</f>
        <v>Jiăcuòxióng Xiāng</v>
      </c>
      <c r="C214" t="str">
        <f>IF(COUNTIF(B:B,B214)&gt;1,_xlfn.CONCAT(A214," (",M214,")"),B214)</f>
        <v>Jiăcuòxióng Xiāng</v>
      </c>
      <c r="D214" t="s">
        <v>967</v>
      </c>
      <c r="E214" t="s">
        <v>7</v>
      </c>
      <c r="F214" t="str">
        <f>_xlfn.CONCAT(D214,", ",H214,", ",I214,", ","西藏自治区")</f>
        <v>甲措雄乡, 桑珠孜区, 日喀则市, 西藏自治区</v>
      </c>
      <c r="G214">
        <v>11946</v>
      </c>
      <c r="H214" t="s">
        <v>1473</v>
      </c>
      <c r="I214" t="s">
        <v>1458</v>
      </c>
      <c r="J214" t="e">
        <f>VLOOKUP(F214,[1]!china_towns_second__2[[Column1]:[Y]],3,FALSE)</f>
        <v>#N/A</v>
      </c>
      <c r="K214" t="e">
        <f>VLOOKUP(F214,[1]!china_towns_second__2[[Column1]:[Y]],2,FALSE)</f>
        <v>#N/A</v>
      </c>
      <c r="L214" t="s">
        <v>1873</v>
      </c>
      <c r="M214" t="str">
        <f>VLOOKUP(H214,CHOOSE({1,2},Table8[Native],Table8[Name]),2,0)</f>
        <v>Sāngzhūzī Qū</v>
      </c>
      <c r="N214" s="13" t="str">
        <f>VLOOKUP(I214,CHOOSE({1,2},Table8[Native],Table8[Name]),2,0)</f>
        <v>Rìkāzé Shì</v>
      </c>
      <c r="O214" s="13" t="str">
        <f t="shared" si="6"/>
        <v>Jiacuoxiong Xiang (Rìkāzé Shì)</v>
      </c>
      <c r="P214" s="13" t="str">
        <f t="shared" si="7"/>
        <v>Jiacuoxiong Xiang (Rìkāzé Shì)</v>
      </c>
    </row>
    <row r="215" spans="1:16" hidden="1" x14ac:dyDescent="0.25">
      <c r="A215" t="s">
        <v>177</v>
      </c>
      <c r="B215" t="str">
        <f>IF(COUNTIF(A:A,A215)&gt;1,_xlfn.CONCAT(A215," (",N215,")"),A215)</f>
        <v>Jiāgòng Xiāng</v>
      </c>
      <c r="C215" t="str">
        <f>IF(COUNTIF(B:B,B215)&gt;1,_xlfn.CONCAT(A215," (",M215,")"),B215)</f>
        <v>Jiāgòng Xiāng</v>
      </c>
      <c r="D215" t="s">
        <v>178</v>
      </c>
      <c r="E215" t="s">
        <v>7</v>
      </c>
      <c r="F215" t="str">
        <f>_xlfn.CONCAT(D215,", ",H215,", ",I215,", ","西藏自治区")</f>
        <v>加贡乡, 边坝县, 昌都市, 西藏自治区</v>
      </c>
      <c r="G215">
        <v>957</v>
      </c>
      <c r="H215" t="s">
        <v>1417</v>
      </c>
      <c r="I215" t="s">
        <v>1415</v>
      </c>
      <c r="J215" t="e">
        <f>VLOOKUP(F215,[1]!china_towns_second__2[[Column1]:[Y]],3,FALSE)</f>
        <v>#N/A</v>
      </c>
      <c r="K215" t="e">
        <f>VLOOKUP(F215,[1]!china_towns_second__2[[Column1]:[Y]],2,FALSE)</f>
        <v>#N/A</v>
      </c>
      <c r="L215" t="s">
        <v>1874</v>
      </c>
      <c r="M215" t="str">
        <f>VLOOKUP(H215,CHOOSE({1,2},Table8[Native],Table8[Name]),2,0)</f>
        <v>Biānbà Xiàn</v>
      </c>
      <c r="N215" s="13" t="str">
        <f>VLOOKUP(I215,CHOOSE({1,2},Table8[Native],Table8[Name]),2,0)</f>
        <v>Chāngdū Shì</v>
      </c>
      <c r="O215" s="13" t="str">
        <f t="shared" si="6"/>
        <v>Jiagong Xiang (Chāngdū Shì)</v>
      </c>
      <c r="P215" s="13" t="str">
        <f t="shared" si="7"/>
        <v>Jiagong Xiang (Chāngdū Shì)</v>
      </c>
    </row>
    <row r="216" spans="1:16" hidden="1" x14ac:dyDescent="0.25">
      <c r="A216" t="s">
        <v>693</v>
      </c>
      <c r="B216" t="str">
        <f>IF(COUNTIF(A:A,A216)&gt;1,_xlfn.CONCAT(A216," (",N216,")"),A216)</f>
        <v>Jiăgŭ Xiāng</v>
      </c>
      <c r="C216" t="str">
        <f>IF(COUNTIF(B:B,B216)&gt;1,_xlfn.CONCAT(A216," (",M216,")"),B216)</f>
        <v>Jiăgŭ Xiāng</v>
      </c>
      <c r="D216" t="s">
        <v>694</v>
      </c>
      <c r="E216" t="s">
        <v>7</v>
      </c>
      <c r="F216" t="str">
        <f>_xlfn.CONCAT(D216,", ",H216,", ",I216,", ","西藏自治区")</f>
        <v>甲谷乡, 尼玛县, 那曲市, 西藏自治区</v>
      </c>
      <c r="G216">
        <v>1871</v>
      </c>
      <c r="H216" t="s">
        <v>1452</v>
      </c>
      <c r="I216" t="s">
        <v>1445</v>
      </c>
      <c r="J216" t="e">
        <f>VLOOKUP(F216,[1]!china_towns_second__2[[Column1]:[Y]],3,FALSE)</f>
        <v>#N/A</v>
      </c>
      <c r="K216" t="e">
        <f>VLOOKUP(F216,[1]!china_towns_second__2[[Column1]:[Y]],2,FALSE)</f>
        <v>#N/A</v>
      </c>
      <c r="L216" t="s">
        <v>1875</v>
      </c>
      <c r="M216" t="str">
        <f>VLOOKUP(H216,CHOOSE({1,2},Table8[Native],Table8[Name]),2,0)</f>
        <v>Nímă Xiàn</v>
      </c>
      <c r="N216" s="13" t="str">
        <f>VLOOKUP(I216,CHOOSE({1,2},Table8[Native],Table8[Name]),2,0)</f>
        <v>Nàqŭ Shì</v>
      </c>
      <c r="O216" s="13" t="str">
        <f t="shared" si="6"/>
        <v>Jiagu Xiang (Nàqŭ Shì)</v>
      </c>
      <c r="P216" s="13" t="str">
        <f t="shared" si="7"/>
        <v>Jiagu Xiang (Nàqŭ Shì)</v>
      </c>
    </row>
    <row r="217" spans="1:16" x14ac:dyDescent="0.25">
      <c r="A217" t="s">
        <v>968</v>
      </c>
      <c r="B217" t="str">
        <f>IF(COUNTIF(A:A,A217)&gt;1,_xlfn.CONCAT(A217," (",N217,")"),A217)</f>
        <v>Jiājiā Zhèn</v>
      </c>
      <c r="C217" t="str">
        <f>IF(COUNTIF(B:B,B217)&gt;1,_xlfn.CONCAT(A217," (",M217,")"),B217)</f>
        <v>Jiājiā Zhèn</v>
      </c>
      <c r="D217" t="s">
        <v>969</v>
      </c>
      <c r="E217" t="s">
        <v>17</v>
      </c>
      <c r="F217" t="str">
        <f>_xlfn.CONCAT(D217,", ",H217,", ",I217,", ","西藏自治区")</f>
        <v>加加镇, 萨嘎县, 日喀则市, 西藏自治区</v>
      </c>
      <c r="G217">
        <v>3242</v>
      </c>
      <c r="H217" t="s">
        <v>1471</v>
      </c>
      <c r="I217" t="s">
        <v>1458</v>
      </c>
      <c r="J217">
        <f>VLOOKUP(F217,[1]!china_towns_second__2[[Column1]:[Y]],3,FALSE)</f>
        <v>29.503341343617599</v>
      </c>
      <c r="K217">
        <f>VLOOKUP(F217,[1]!china_towns_second__2[[Column1]:[Y]],2,FALSE)</f>
        <v>85.561061330000001</v>
      </c>
      <c r="L217" t="s">
        <v>1876</v>
      </c>
      <c r="M217" t="str">
        <f>VLOOKUP(H217,CHOOSE({1,2},Table8[Native],Table8[Name]),2,0)</f>
        <v>Sàgā Xiàn</v>
      </c>
      <c r="N217" s="13" t="str">
        <f>VLOOKUP(I217,CHOOSE({1,2},Table8[Native],Table8[Name]),2,0)</f>
        <v>Rìkāzé Shì</v>
      </c>
      <c r="O217" s="13" t="str">
        <f t="shared" si="6"/>
        <v>Jiajia Zhen (Rìkāzé Shì)</v>
      </c>
      <c r="P217" s="13" t="str">
        <f t="shared" si="7"/>
        <v>Jiajia Zhen (Rìkāzé Shì)</v>
      </c>
    </row>
    <row r="218" spans="1:16" hidden="1" x14ac:dyDescent="0.25">
      <c r="A218" t="s">
        <v>970</v>
      </c>
      <c r="B218" t="str">
        <f>IF(COUNTIF(A:A,A218)&gt;1,_xlfn.CONCAT(A218," (",N218,")"),A218)</f>
        <v>Jiākèxī Xiāng</v>
      </c>
      <c r="C218" t="str">
        <f>IF(COUNTIF(B:B,B218)&gt;1,_xlfn.CONCAT(A218," (",M218,")"),B218)</f>
        <v>Jiākèxī Xiāng</v>
      </c>
      <c r="D218" t="s">
        <v>971</v>
      </c>
      <c r="E218" t="s">
        <v>7</v>
      </c>
      <c r="F218" t="str">
        <f>_xlfn.CONCAT(D218,", ",H218,", ",I218,", ","西藏自治区")</f>
        <v>加克西乡, 江孜县, 日喀则市, 西藏自治区</v>
      </c>
      <c r="G218">
        <v>624</v>
      </c>
      <c r="H218" t="s">
        <v>1464</v>
      </c>
      <c r="I218" t="s">
        <v>1458</v>
      </c>
      <c r="J218" t="e">
        <f>VLOOKUP(F218,[1]!china_towns_second__2[[Column1]:[Y]],3,FALSE)</f>
        <v>#N/A</v>
      </c>
      <c r="K218" t="e">
        <f>VLOOKUP(F218,[1]!china_towns_second__2[[Column1]:[Y]],2,FALSE)</f>
        <v>#N/A</v>
      </c>
      <c r="L218" t="s">
        <v>1877</v>
      </c>
      <c r="M218" t="str">
        <f>VLOOKUP(H218,CHOOSE({1,2},Table8[Native],Table8[Name]),2,0)</f>
        <v>Jiāngzī Xiàn</v>
      </c>
      <c r="N218" s="13" t="str">
        <f>VLOOKUP(I218,CHOOSE({1,2},Table8[Native],Table8[Name]),2,0)</f>
        <v>Rìkāzé Shì</v>
      </c>
      <c r="O218" s="13" t="str">
        <f t="shared" si="6"/>
        <v>Jiakexi Xiang (Rìkāzé Shì)</v>
      </c>
      <c r="P218" s="13" t="str">
        <f t="shared" si="7"/>
        <v>Jiakexi Xiang (Rìkāzé Shì)</v>
      </c>
    </row>
    <row r="219" spans="1:16" x14ac:dyDescent="0.25">
      <c r="A219" t="s">
        <v>695</v>
      </c>
      <c r="B219" t="str">
        <f>IF(COUNTIF(A:A,A219)&gt;1,_xlfn.CONCAT(A219," (",N219,")"),A219)</f>
        <v>Jiālí Zhèn</v>
      </c>
      <c r="C219" t="str">
        <f>IF(COUNTIF(B:B,B219)&gt;1,_xlfn.CONCAT(A219," (",M219,")"),B219)</f>
        <v>Jiālí Zhèn</v>
      </c>
      <c r="D219" t="s">
        <v>696</v>
      </c>
      <c r="E219" t="s">
        <v>17</v>
      </c>
      <c r="F219" t="str">
        <f>_xlfn.CONCAT(D219,", ",H219,", ",I219,", ","西藏自治区")</f>
        <v>嘉黎镇, 嘉黎县, 那曲市, 西藏自治区</v>
      </c>
      <c r="G219">
        <v>3455</v>
      </c>
      <c r="H219" t="s">
        <v>1450</v>
      </c>
      <c r="I219" t="s">
        <v>1445</v>
      </c>
      <c r="J219">
        <f>VLOOKUP(F219,[1]!china_towns_second__2[[Column1]:[Y]],3,FALSE)</f>
        <v>30.787603655355799</v>
      </c>
      <c r="K219">
        <f>VLOOKUP(F219,[1]!china_towns_second__2[[Column1]:[Y]],2,FALSE)</f>
        <v>93.310445439999995</v>
      </c>
      <c r="L219" t="s">
        <v>1878</v>
      </c>
      <c r="M219" t="str">
        <f>VLOOKUP(H219,CHOOSE({1,2},Table8[Native],Table8[Name]),2,0)</f>
        <v>Jiālí Xiàn</v>
      </c>
      <c r="N219" s="13" t="str">
        <f>VLOOKUP(I219,CHOOSE({1,2},Table8[Native],Table8[Name]),2,0)</f>
        <v>Nàqŭ Shì</v>
      </c>
      <c r="O219" s="13" t="str">
        <f t="shared" si="6"/>
        <v>Jiali Zhen (Nàqŭ Shì)</v>
      </c>
      <c r="P219" s="13" t="str">
        <f t="shared" si="7"/>
        <v>Jiali Zhen (Nàqŭ Shì)</v>
      </c>
    </row>
    <row r="220" spans="1:16" hidden="1" x14ac:dyDescent="0.25">
      <c r="A220" t="s">
        <v>417</v>
      </c>
      <c r="B220" t="str">
        <f>IF(COUNTIF(A:A,A220)&gt;1,_xlfn.CONCAT(A220," (",N220,")"),A220)</f>
        <v>Jiămă Xiāng</v>
      </c>
      <c r="C220" t="str">
        <f>IF(COUNTIF(B:B,B220)&gt;1,_xlfn.CONCAT(A220," (",M220,")"),B220)</f>
        <v>Jiămă Xiāng</v>
      </c>
      <c r="D220" t="s">
        <v>418</v>
      </c>
      <c r="E220" t="s">
        <v>7</v>
      </c>
      <c r="F220" t="str">
        <f>_xlfn.CONCAT(D220,", ",H220,", ",I220,", ","西藏自治区")</f>
        <v>甲玛乡, 墨竹工卡县, 拉萨市, 西藏自治区</v>
      </c>
      <c r="G220">
        <v>3622</v>
      </c>
      <c r="H220" t="s">
        <v>1434</v>
      </c>
      <c r="I220" t="s">
        <v>1428</v>
      </c>
      <c r="J220" t="e">
        <f>VLOOKUP(F220,[1]!china_towns_second__2[[Column1]:[Y]],3,FALSE)</f>
        <v>#N/A</v>
      </c>
      <c r="K220" t="e">
        <f>VLOOKUP(F220,[1]!china_towns_second__2[[Column1]:[Y]],2,FALSE)</f>
        <v>#N/A</v>
      </c>
      <c r="L220" t="s">
        <v>1879</v>
      </c>
      <c r="M220" t="str">
        <f>VLOOKUP(H220,CHOOSE({1,2},Table8[Native],Table8[Name]),2,0)</f>
        <v>Mòzhúgōngkă Xiàn</v>
      </c>
      <c r="N220" s="13" t="str">
        <f>VLOOKUP(I220,CHOOSE({1,2},Table8[Native],Table8[Name]),2,0)</f>
        <v>Lāsà Shì</v>
      </c>
      <c r="O220" s="13" t="str">
        <f t="shared" si="6"/>
        <v>Jiama Xiang (Lāsà Shì)</v>
      </c>
      <c r="P220" s="13" t="str">
        <f t="shared" si="7"/>
        <v>Jiama Xiang (Lāsà Shì)</v>
      </c>
    </row>
    <row r="221" spans="1:16" hidden="1" x14ac:dyDescent="0.25">
      <c r="A221" t="s">
        <v>1287</v>
      </c>
      <c r="B221" t="str">
        <f>IF(COUNTIF(A:A,A221)&gt;1,_xlfn.CONCAT(A221," (",N221,")"),A221)</f>
        <v>Jiāmá Xiāng</v>
      </c>
      <c r="C221" t="str">
        <f>IF(COUNTIF(B:B,B221)&gt;1,_xlfn.CONCAT(A221," (",M221,")"),B221)</f>
        <v>Jiāmá Xiāng</v>
      </c>
      <c r="D221" t="s">
        <v>1288</v>
      </c>
      <c r="E221" t="s">
        <v>7</v>
      </c>
      <c r="F221" t="str">
        <f>_xlfn.CONCAT(D221,", ",H221,", ",I221,", ","西藏自治区")</f>
        <v>加麻乡, 琼结县, 山南市, 西藏自治区</v>
      </c>
      <c r="G221">
        <v>4330</v>
      </c>
      <c r="H221" t="s">
        <v>1486</v>
      </c>
      <c r="I221" t="s">
        <v>1477</v>
      </c>
      <c r="J221" t="e">
        <f>VLOOKUP(F221,[1]!china_towns_second__2[[Column1]:[Y]],3,FALSE)</f>
        <v>#N/A</v>
      </c>
      <c r="K221" t="e">
        <f>VLOOKUP(F221,[1]!china_towns_second__2[[Column1]:[Y]],2,FALSE)</f>
        <v>#N/A</v>
      </c>
      <c r="L221" t="s">
        <v>1879</v>
      </c>
      <c r="M221" t="str">
        <f>VLOOKUP(H221,CHOOSE({1,2},Table8[Native],Table8[Name]),2,0)</f>
        <v>Qióngjié Xiàn</v>
      </c>
      <c r="N221" s="13" t="str">
        <f>VLOOKUP(I221,CHOOSE({1,2},Table8[Native],Table8[Name]),2,0)</f>
        <v>Shānnán Shì</v>
      </c>
      <c r="O221" s="13" t="str">
        <f t="shared" si="6"/>
        <v>Jiama Xiang (Shānnán Shì)</v>
      </c>
      <c r="P221" s="13" t="str">
        <f t="shared" si="7"/>
        <v>Jiama Xiang (Shānnán Shì)</v>
      </c>
    </row>
    <row r="222" spans="1:16" hidden="1" x14ac:dyDescent="0.25">
      <c r="A222" t="s">
        <v>551</v>
      </c>
      <c r="B222" t="str">
        <f>IF(COUNTIF(A:A,A222)&gt;1,_xlfn.CONCAT(A222," (",N222,")"),A222)</f>
        <v>Jiāngdá Xiāng (Línzhī Shì)</v>
      </c>
      <c r="C222" t="str">
        <f>IF(COUNTIF(B:B,B222)&gt;1,_xlfn.CONCAT(A222," (",M222,")"),B222)</f>
        <v>Jiāngdá Xiāng (Línzhī Shì)</v>
      </c>
      <c r="D222" t="s">
        <v>552</v>
      </c>
      <c r="E222" t="s">
        <v>7</v>
      </c>
      <c r="F222" t="str">
        <f>_xlfn.CONCAT(D222,", ",H222,", ",I222,", ","西藏自治区")</f>
        <v>江达乡, 工布江达县, 林芝市, 西藏自治区</v>
      </c>
      <c r="G222">
        <v>2332</v>
      </c>
      <c r="H222" t="s">
        <v>1441</v>
      </c>
      <c r="I222" t="s">
        <v>1437</v>
      </c>
      <c r="J222" t="e">
        <f>VLOOKUP(F222,[1]!china_towns_second__2[[Column1]:[Y]],3,FALSE)</f>
        <v>#N/A</v>
      </c>
      <c r="K222" t="e">
        <f>VLOOKUP(F222,[1]!china_towns_second__2[[Column1]:[Y]],2,FALSE)</f>
        <v>#N/A</v>
      </c>
      <c r="L222" t="s">
        <v>1880</v>
      </c>
      <c r="M222" t="str">
        <f>VLOOKUP(H222,CHOOSE({1,2},Table8[Native],Table8[Name]),2,0)</f>
        <v>Gōngbùjiāngdá Xiàn</v>
      </c>
      <c r="N222" s="13" t="str">
        <f>VLOOKUP(I222,CHOOSE({1,2},Table8[Native],Table8[Name]),2,0)</f>
        <v>Línzhī Shì</v>
      </c>
      <c r="O222" s="13" t="str">
        <f t="shared" si="6"/>
        <v>Jiangda Xiang (Linzhi Shi) (Línzhī Shì)</v>
      </c>
      <c r="P222" s="13" t="str">
        <f t="shared" si="7"/>
        <v>Jiangda Xiang (Linzhi Shi) (Línzhī Shì)</v>
      </c>
    </row>
    <row r="223" spans="1:16" hidden="1" x14ac:dyDescent="0.25">
      <c r="A223" t="s">
        <v>551</v>
      </c>
      <c r="B223" t="str">
        <f>IF(COUNTIF(A:A,A223)&gt;1,_xlfn.CONCAT(A223," (",N223,")"),A223)</f>
        <v>Jiāngdá Xiāng (Nàqŭ Shì)</v>
      </c>
      <c r="C223" t="str">
        <f>IF(COUNTIF(B:B,B223)&gt;1,_xlfn.CONCAT(A223," (",M223,")"),B223)</f>
        <v>Jiāngdá Xiāng (Nàqŭ Shì)</v>
      </c>
      <c r="D223" t="s">
        <v>552</v>
      </c>
      <c r="E223" t="s">
        <v>7</v>
      </c>
      <c r="F223" t="str">
        <f>_xlfn.CONCAT(D223,", ",H223,", ",I223,", ","西藏自治区")</f>
        <v>江达乡, 索县, 那曲市, 西藏自治区</v>
      </c>
      <c r="G223">
        <v>3155</v>
      </c>
      <c r="H223" t="s">
        <v>1457</v>
      </c>
      <c r="I223" t="s">
        <v>1445</v>
      </c>
      <c r="J223" t="e">
        <f>VLOOKUP(F223,[1]!china_towns_second__2[[Column1]:[Y]],3,FALSE)</f>
        <v>#N/A</v>
      </c>
      <c r="K223" t="e">
        <f>VLOOKUP(F223,[1]!china_towns_second__2[[Column1]:[Y]],2,FALSE)</f>
        <v>#N/A</v>
      </c>
      <c r="L223" t="s">
        <v>1881</v>
      </c>
      <c r="M223" t="str">
        <f>VLOOKUP(H223,CHOOSE({1,2},Table8[Native],Table8[Name]),2,0)</f>
        <v>Suŏ Xiàn</v>
      </c>
      <c r="N223" s="13" t="str">
        <f>VLOOKUP(I223,CHOOSE({1,2},Table8[Native],Table8[Name]),2,0)</f>
        <v>Nàqŭ Shì</v>
      </c>
      <c r="O223" s="13" t="str">
        <f t="shared" si="6"/>
        <v>Jiangda Xiang (Naqu Shi) (Nàqŭ Shì)</v>
      </c>
      <c r="P223" s="13" t="str">
        <f t="shared" si="7"/>
        <v>Jiangda Xiang (Naqu Shi) (Nàqŭ Shì)</v>
      </c>
    </row>
    <row r="224" spans="1:16" x14ac:dyDescent="0.25">
      <c r="A224" t="s">
        <v>179</v>
      </c>
      <c r="B224" t="str">
        <f>IF(COUNTIF(A:A,A224)&gt;1,_xlfn.CONCAT(A224," (",N224,")"),A224)</f>
        <v>Jiāngdá Zhèn</v>
      </c>
      <c r="C224" t="str">
        <f>IF(COUNTIF(B:B,B224)&gt;1,_xlfn.CONCAT(A224," (",M224,")"),B224)</f>
        <v>Jiāngdá Zhèn</v>
      </c>
      <c r="D224" t="s">
        <v>180</v>
      </c>
      <c r="E224" t="s">
        <v>17</v>
      </c>
      <c r="F224" t="str">
        <f>_xlfn.CONCAT(D224,", ",H224,", ",I224,", ","西藏自治区")</f>
        <v>江达镇, 江达县, 昌都市, 西藏自治区</v>
      </c>
      <c r="G224">
        <v>4255</v>
      </c>
      <c r="H224" t="s">
        <v>1421</v>
      </c>
      <c r="I224" t="s">
        <v>1415</v>
      </c>
      <c r="J224">
        <f>VLOOKUP(F224,[1]!china_towns_second__2[[Column1]:[Y]],3,FALSE)</f>
        <v>31.493642945187499</v>
      </c>
      <c r="K224">
        <f>VLOOKUP(F224,[1]!china_towns_second__2[[Column1]:[Y]],2,FALSE)</f>
        <v>98.220373809999998</v>
      </c>
      <c r="L224" t="s">
        <v>1882</v>
      </c>
      <c r="M224" t="str">
        <f>VLOOKUP(H224,CHOOSE({1,2},Table8[Native],Table8[Name]),2,0)</f>
        <v>Jiāngdá Xiàn</v>
      </c>
      <c r="N224" s="13" t="str">
        <f>VLOOKUP(I224,CHOOSE({1,2},Table8[Native],Table8[Name]),2,0)</f>
        <v>Chāngdū Shì</v>
      </c>
      <c r="O224" s="13" t="str">
        <f t="shared" si="6"/>
        <v>Jiangda Zhen (Chāngdū Shì)</v>
      </c>
      <c r="P224" s="13" t="str">
        <f t="shared" si="7"/>
        <v>Jiangda Zhen (Chāngdū Shì)</v>
      </c>
    </row>
    <row r="225" spans="1:16" hidden="1" x14ac:dyDescent="0.25">
      <c r="A225" t="s">
        <v>972</v>
      </c>
      <c r="B225" t="str">
        <f>IF(COUNTIF(A:A,A225)&gt;1,_xlfn.CONCAT(A225," (",N225,")"),A225)</f>
        <v>Jiāngdāng Xiāng</v>
      </c>
      <c r="C225" t="str">
        <f>IF(COUNTIF(B:B,B225)&gt;1,_xlfn.CONCAT(A225," (",M225,")"),B225)</f>
        <v>Jiāngdāng Xiāng</v>
      </c>
      <c r="D225" t="s">
        <v>973</v>
      </c>
      <c r="E225" t="s">
        <v>7</v>
      </c>
      <c r="F225" t="str">
        <f>_xlfn.CONCAT(D225,", ",H225,", ",I225,", ","西藏自治区")</f>
        <v>江当乡, 桑珠孜区, 日喀则市, 西藏自治区</v>
      </c>
      <c r="G225">
        <v>4951</v>
      </c>
      <c r="H225" t="s">
        <v>1473</v>
      </c>
      <c r="I225" t="s">
        <v>1458</v>
      </c>
      <c r="J225" t="e">
        <f>VLOOKUP(F225,[1]!china_towns_second__2[[Column1]:[Y]],3,FALSE)</f>
        <v>#N/A</v>
      </c>
      <c r="K225" t="e">
        <f>VLOOKUP(F225,[1]!china_towns_second__2[[Column1]:[Y]],2,FALSE)</f>
        <v>#N/A</v>
      </c>
      <c r="L225" t="s">
        <v>1883</v>
      </c>
      <c r="M225" t="str">
        <f>VLOOKUP(H225,CHOOSE({1,2},Table8[Native],Table8[Name]),2,0)</f>
        <v>Sāngzhūzī Qū</v>
      </c>
      <c r="N225" s="13" t="str">
        <f>VLOOKUP(I225,CHOOSE({1,2},Table8[Native],Table8[Name]),2,0)</f>
        <v>Rìkāzé Shì</v>
      </c>
      <c r="O225" s="13" t="str">
        <f t="shared" si="6"/>
        <v>Jiangdang Xiang (Rìkāzé Shì)</v>
      </c>
      <c r="P225" s="13" t="str">
        <f t="shared" si="7"/>
        <v>Jiangdang Xiang (Rìkāzé Shì)</v>
      </c>
    </row>
    <row r="226" spans="1:16" x14ac:dyDescent="0.25">
      <c r="A226" t="s">
        <v>974</v>
      </c>
      <c r="B226" t="str">
        <f>IF(COUNTIF(A:A,A226)&gt;1,_xlfn.CONCAT(A226," (",N226,")"),A226)</f>
        <v>Jiānggā Zhèn</v>
      </c>
      <c r="C226" t="str">
        <f>IF(COUNTIF(B:B,B226)&gt;1,_xlfn.CONCAT(A226," (",M226,")"),B226)</f>
        <v>Jiānggā Zhèn</v>
      </c>
      <c r="D226" t="s">
        <v>975</v>
      </c>
      <c r="E226" t="s">
        <v>17</v>
      </c>
      <c r="F226" t="str">
        <f>_xlfn.CONCAT(D226,", ",H226,", ",I226,", ","西藏自治区")</f>
        <v>江嘎镇, 定结县, 日喀则市, 西藏自治区</v>
      </c>
      <c r="G226">
        <v>4428</v>
      </c>
      <c r="H226" t="s">
        <v>1461</v>
      </c>
      <c r="I226" t="s">
        <v>1458</v>
      </c>
      <c r="J226">
        <f>VLOOKUP(F226,[1]!china_towns_second__2[[Column1]:[Y]],3,FALSE)</f>
        <v>28.348557614270099</v>
      </c>
      <c r="K226">
        <f>VLOOKUP(F226,[1]!china_towns_second__2[[Column1]:[Y]],2,FALSE)</f>
        <v>87.818106909999997</v>
      </c>
      <c r="L226" t="s">
        <v>1884</v>
      </c>
      <c r="M226" t="str">
        <f>VLOOKUP(H226,CHOOSE({1,2},Table8[Native],Table8[Name]),2,0)</f>
        <v>Dìngjié Xiàn</v>
      </c>
      <c r="N226" s="13" t="str">
        <f>VLOOKUP(I226,CHOOSE({1,2},Table8[Native],Table8[Name]),2,0)</f>
        <v>Rìkāzé Shì</v>
      </c>
      <c r="O226" s="13" t="str">
        <f t="shared" si="6"/>
        <v>Jiangga Zhen (Rìkāzé Shì)</v>
      </c>
      <c r="P226" s="13" t="str">
        <f t="shared" si="7"/>
        <v>Jiangga Zhen (Rìkāzé Shì)</v>
      </c>
    </row>
    <row r="227" spans="1:16" hidden="1" x14ac:dyDescent="0.25">
      <c r="A227" t="s">
        <v>697</v>
      </c>
      <c r="B227" t="str">
        <f>IF(COUNTIF(A:A,A227)&gt;1,_xlfn.CONCAT(A227," (",N227,")"),A227)</f>
        <v>Jiāngmián Xiāng</v>
      </c>
      <c r="C227" t="str">
        <f>IF(COUNTIF(B:B,B227)&gt;1,_xlfn.CONCAT(A227," (",M227,")"),B227)</f>
        <v>Jiāngmián Xiāng</v>
      </c>
      <c r="D227" t="s">
        <v>698</v>
      </c>
      <c r="E227" t="s">
        <v>7</v>
      </c>
      <c r="F227" t="str">
        <f>_xlfn.CONCAT(D227,", ",H227,", ",I227,", ","西藏自治区")</f>
        <v>江绵乡, 巴青县, 那曲市, 西藏自治区</v>
      </c>
      <c r="G227">
        <v>5882</v>
      </c>
      <c r="H227" t="s">
        <v>1448</v>
      </c>
      <c r="I227" t="s">
        <v>1445</v>
      </c>
      <c r="J227" t="e">
        <f>VLOOKUP(F227,[1]!china_towns_second__2[[Column1]:[Y]],3,FALSE)</f>
        <v>#N/A</v>
      </c>
      <c r="K227" t="e">
        <f>VLOOKUP(F227,[1]!china_towns_second__2[[Column1]:[Y]],2,FALSE)</f>
        <v>#N/A</v>
      </c>
      <c r="L227" t="s">
        <v>1885</v>
      </c>
      <c r="M227" t="str">
        <f>VLOOKUP(H227,CHOOSE({1,2},Table8[Native],Table8[Name]),2,0)</f>
        <v>Bāqīng Xiàn</v>
      </c>
      <c r="N227" s="13" t="str">
        <f>VLOOKUP(I227,CHOOSE({1,2},Table8[Native],Table8[Name]),2,0)</f>
        <v>Nàqŭ Shì</v>
      </c>
      <c r="O227" s="13" t="str">
        <f t="shared" si="6"/>
        <v>Jiangmian Xiang (Nàqŭ Shì)</v>
      </c>
      <c r="P227" s="13" t="str">
        <f t="shared" si="7"/>
        <v>Jiangmian Xiang (Nàqŭ Shì)</v>
      </c>
    </row>
    <row r="228" spans="1:16" hidden="1" x14ac:dyDescent="0.25">
      <c r="A228" t="s">
        <v>41</v>
      </c>
      <c r="B228" t="str">
        <f>IF(COUNTIF(A:A,A228)&gt;1,_xlfn.CONCAT(A228," (",N228,")"),A228)</f>
        <v>Jiāngràng Xiāng</v>
      </c>
      <c r="C228" t="str">
        <f>IF(COUNTIF(B:B,B228)&gt;1,_xlfn.CONCAT(A228," (",M228,")"),B228)</f>
        <v>Jiāngràng Xiāng</v>
      </c>
      <c r="D228" t="s">
        <v>42</v>
      </c>
      <c r="E228" t="s">
        <v>7</v>
      </c>
      <c r="F228" t="str">
        <f>_xlfn.CONCAT(D228,", ",H228,", ",I228,", ","西藏自治区")</f>
        <v>江让乡, 措勤县, 阿里地区, 西藏自治区</v>
      </c>
      <c r="G228">
        <v>2924</v>
      </c>
      <c r="H228" t="s">
        <v>1407</v>
      </c>
      <c r="I228" t="s">
        <v>1405</v>
      </c>
      <c r="J228" t="e">
        <f>VLOOKUP(F228,[1]!china_towns_second__2[[Column1]:[Y]],3,FALSE)</f>
        <v>#N/A</v>
      </c>
      <c r="K228" t="e">
        <f>VLOOKUP(F228,[1]!china_towns_second__2[[Column1]:[Y]],2,FALSE)</f>
        <v>#N/A</v>
      </c>
      <c r="L228" t="s">
        <v>1886</v>
      </c>
      <c r="M228" t="str">
        <f>VLOOKUP(H228,CHOOSE({1,2},Table8[Native],Table8[Name]),2,0)</f>
        <v>Cuòqín Xiàn</v>
      </c>
      <c r="N228" s="13" t="str">
        <f>VLOOKUP(I228,CHOOSE({1,2},Table8[Native],Table8[Name]),2,0)</f>
        <v>Ālĭ Dìqū</v>
      </c>
      <c r="O228" s="13" t="str">
        <f t="shared" si="6"/>
        <v>Jiangrang Xiang (Ālĭ Dìqū)</v>
      </c>
      <c r="P228" s="13" t="str">
        <f t="shared" si="7"/>
        <v>Jiangrang Xiang (Ālĭ Dìqū)</v>
      </c>
    </row>
    <row r="229" spans="1:16" hidden="1" x14ac:dyDescent="0.25">
      <c r="A229" t="s">
        <v>976</v>
      </c>
      <c r="B229" t="str">
        <f>IF(COUNTIF(A:A,A229)&gt;1,_xlfn.CONCAT(A229," (",N229,")"),A229)</f>
        <v>Jiāngrè Xiāng</v>
      </c>
      <c r="C229" t="str">
        <f>IF(COUNTIF(B:B,B229)&gt;1,_xlfn.CONCAT(A229," (",M229,")"),B229)</f>
        <v>Jiāngrè Xiāng</v>
      </c>
      <c r="D229" t="s">
        <v>977</v>
      </c>
      <c r="E229" t="s">
        <v>7</v>
      </c>
      <c r="F229" t="str">
        <f>_xlfn.CONCAT(D229,", ",H229,", ",I229,", ","西藏自治区")</f>
        <v>江热乡, 江孜县, 日喀则市, 西藏自治区</v>
      </c>
      <c r="G229">
        <v>4242</v>
      </c>
      <c r="H229" t="s">
        <v>1464</v>
      </c>
      <c r="I229" t="s">
        <v>1458</v>
      </c>
      <c r="J229" t="e">
        <f>VLOOKUP(F229,[1]!china_towns_second__2[[Column1]:[Y]],3,FALSE)</f>
        <v>#N/A</v>
      </c>
      <c r="K229" t="e">
        <f>VLOOKUP(F229,[1]!china_towns_second__2[[Column1]:[Y]],2,FALSE)</f>
        <v>#N/A</v>
      </c>
      <c r="L229" t="s">
        <v>1887</v>
      </c>
      <c r="M229" t="str">
        <f>VLOOKUP(H229,CHOOSE({1,2},Table8[Native],Table8[Name]),2,0)</f>
        <v>Jiāngzī Xiàn</v>
      </c>
      <c r="N229" s="13" t="str">
        <f>VLOOKUP(I229,CHOOSE({1,2},Table8[Native],Table8[Name]),2,0)</f>
        <v>Rìkāzé Shì</v>
      </c>
      <c r="O229" s="13" t="str">
        <f t="shared" si="6"/>
        <v>Jiangre Xiang (Rìkāzé Shì)</v>
      </c>
      <c r="P229" s="13" t="str">
        <f t="shared" si="7"/>
        <v>Jiangre Xiang (Rìkāzé Shì)</v>
      </c>
    </row>
    <row r="230" spans="1:16" hidden="1" x14ac:dyDescent="0.25">
      <c r="A230" t="s">
        <v>419</v>
      </c>
      <c r="B230" t="str">
        <f>IF(COUNTIF(A:A,A230)&gt;1,_xlfn.CONCAT(A230," (",N230,")"),A230)</f>
        <v>Jiāngrèxià Xiāng</v>
      </c>
      <c r="C230" t="str">
        <f>IF(COUNTIF(B:B,B230)&gt;1,_xlfn.CONCAT(A230," (",M230,")"),B230)</f>
        <v>Jiāngrèxià Xiāng</v>
      </c>
      <c r="D230" t="s">
        <v>420</v>
      </c>
      <c r="E230" t="s">
        <v>7</v>
      </c>
      <c r="F230" t="str">
        <f>_xlfn.CONCAT(D230,", ",H230,", ",I230,", ","西藏自治区")</f>
        <v>江热夏乡, 林周县, 拉萨市, 西藏自治区</v>
      </c>
      <c r="G230">
        <v>5255</v>
      </c>
      <c r="H230" t="s">
        <v>1433</v>
      </c>
      <c r="I230" t="s">
        <v>1428</v>
      </c>
      <c r="J230" t="e">
        <f>VLOOKUP(F230,[1]!china_towns_second__2[[Column1]:[Y]],3,FALSE)</f>
        <v>#N/A</v>
      </c>
      <c r="K230" t="e">
        <f>VLOOKUP(F230,[1]!china_towns_second__2[[Column1]:[Y]],2,FALSE)</f>
        <v>#N/A</v>
      </c>
      <c r="L230" t="s">
        <v>1888</v>
      </c>
      <c r="M230" t="str">
        <f>VLOOKUP(H230,CHOOSE({1,2},Table8[Native],Table8[Name]),2,0)</f>
        <v>Línzhōu Xiàn</v>
      </c>
      <c r="N230" s="13" t="str">
        <f>VLOOKUP(I230,CHOOSE({1,2},Table8[Native],Table8[Name]),2,0)</f>
        <v>Lāsà Shì</v>
      </c>
      <c r="O230" s="13" t="str">
        <f t="shared" si="6"/>
        <v>Jiangrexia Xiang (Lāsà Shì)</v>
      </c>
      <c r="P230" s="13" t="str">
        <f t="shared" si="7"/>
        <v>Jiangrexia Xiang (Lāsà Shì)</v>
      </c>
    </row>
    <row r="231" spans="1:16" x14ac:dyDescent="0.25">
      <c r="A231" t="s">
        <v>1290</v>
      </c>
      <c r="B231" t="str">
        <f>IF(COUNTIF(A:A,A231)&gt;1,_xlfn.CONCAT(A231," (",N231,")"),A231)</f>
        <v>Jiāngtáng Zhèn</v>
      </c>
      <c r="C231" t="str">
        <f>IF(COUNTIF(B:B,B231)&gt;1,_xlfn.CONCAT(A231," (",M231,")"),B231)</f>
        <v>Jiāngtáng Zhèn</v>
      </c>
      <c r="D231" t="s">
        <v>1291</v>
      </c>
      <c r="E231" t="s">
        <v>17</v>
      </c>
      <c r="F231" t="str">
        <f>_xlfn.CONCAT(D231,", ",H231,", ",I231,", ","西藏自治区")</f>
        <v>江塘镇, 贡嘎县, 山南市, 西藏自治区</v>
      </c>
      <c r="G231">
        <v>4852</v>
      </c>
      <c r="H231" t="s">
        <v>1480</v>
      </c>
      <c r="I231" t="s">
        <v>1477</v>
      </c>
      <c r="J231">
        <f>VLOOKUP(F231,[1]!china_towns_second__2[[Column1]:[Y]],3,FALSE)</f>
        <v>29.2392538997778</v>
      </c>
      <c r="K231">
        <f>VLOOKUP(F231,[1]!china_towns_second__2[[Column1]:[Y]],2,FALSE)</f>
        <v>90.620015710000004</v>
      </c>
      <c r="L231" t="s">
        <v>1889</v>
      </c>
      <c r="M231" t="str">
        <f>VLOOKUP(H231,CHOOSE({1,2},Table8[Native],Table8[Name]),2,0)</f>
        <v>Gònggā Xiàn</v>
      </c>
      <c r="N231" s="13" t="str">
        <f>VLOOKUP(I231,CHOOSE({1,2},Table8[Native],Table8[Name]),2,0)</f>
        <v>Shānnán Shì</v>
      </c>
      <c r="O231" s="13" t="str">
        <f t="shared" si="6"/>
        <v>Jiangtang Zhen (Shānnán Shì)</v>
      </c>
      <c r="P231" s="13" t="str">
        <f t="shared" si="7"/>
        <v>Jiangtang Zhen (Shānnán Shì)</v>
      </c>
    </row>
    <row r="232" spans="1:16" x14ac:dyDescent="0.25">
      <c r="A232" t="s">
        <v>978</v>
      </c>
      <c r="B232" t="str">
        <f>IF(COUNTIF(A:A,A232)&gt;1,_xlfn.CONCAT(A232," (",N232,")"),A232)</f>
        <v>Jiāngzī Zhèn</v>
      </c>
      <c r="C232" t="str">
        <f>IF(COUNTIF(B:B,B232)&gt;1,_xlfn.CONCAT(A232," (",M232,")"),B232)</f>
        <v>Jiāngzī Zhèn</v>
      </c>
      <c r="D232" t="s">
        <v>979</v>
      </c>
      <c r="E232" t="s">
        <v>17</v>
      </c>
      <c r="F232" t="str">
        <f>_xlfn.CONCAT(D232,", ",H232,", ",I232,", ","西藏自治区")</f>
        <v>江孜镇, 江孜县, 日喀则市, 西藏自治区</v>
      </c>
      <c r="G232">
        <v>11039</v>
      </c>
      <c r="H232" t="s">
        <v>1464</v>
      </c>
      <c r="I232" t="s">
        <v>1458</v>
      </c>
      <c r="J232">
        <f>VLOOKUP(F232,[1]!china_towns_second__2[[Column1]:[Y]],3,FALSE)</f>
        <v>28.9280141732904</v>
      </c>
      <c r="K232">
        <f>VLOOKUP(F232,[1]!china_towns_second__2[[Column1]:[Y]],2,FALSE)</f>
        <v>89.615600169999993</v>
      </c>
      <c r="L232" t="s">
        <v>1890</v>
      </c>
      <c r="M232" t="str">
        <f>VLOOKUP(H232,CHOOSE({1,2},Table8[Native],Table8[Name]),2,0)</f>
        <v>Jiāngzī Xiàn</v>
      </c>
      <c r="N232" s="13" t="str">
        <f>VLOOKUP(I232,CHOOSE({1,2},Table8[Native],Table8[Name]),2,0)</f>
        <v>Rìkāzé Shì</v>
      </c>
      <c r="O232" s="13" t="str">
        <f t="shared" si="6"/>
        <v>Jiangzi Zhen (Rìkāzé Shì)</v>
      </c>
      <c r="P232" s="13" t="str">
        <f t="shared" si="7"/>
        <v>Jiangzi Zhen (Rìkāzé Shì)</v>
      </c>
    </row>
    <row r="233" spans="1:16" hidden="1" x14ac:dyDescent="0.25">
      <c r="A233" t="s">
        <v>699</v>
      </c>
      <c r="B233" t="str">
        <f>IF(COUNTIF(A:A,A233)&gt;1,_xlfn.CONCAT(A233," (",N233,")"),A233)</f>
        <v>Jiāqín Xiāng</v>
      </c>
      <c r="C233" t="str">
        <f>IF(COUNTIF(B:B,B233)&gt;1,_xlfn.CONCAT(A233," (",M233,")"),B233)</f>
        <v>Jiāqín Xiāng</v>
      </c>
      <c r="D233" t="s">
        <v>700</v>
      </c>
      <c r="E233" t="s">
        <v>7</v>
      </c>
      <c r="F233" t="str">
        <f>_xlfn.CONCAT(D233,", ",H233,", ",I233,", ","西藏自治区")</f>
        <v>加勤乡, 索县, 那曲市, 西藏自治区</v>
      </c>
      <c r="G233">
        <v>4983</v>
      </c>
      <c r="H233" t="s">
        <v>1457</v>
      </c>
      <c r="I233" t="s">
        <v>1445</v>
      </c>
      <c r="J233" t="e">
        <f>VLOOKUP(F233,[1]!china_towns_second__2[[Column1]:[Y]],3,FALSE)</f>
        <v>#N/A</v>
      </c>
      <c r="K233" t="e">
        <f>VLOOKUP(F233,[1]!china_towns_second__2[[Column1]:[Y]],2,FALSE)</f>
        <v>#N/A</v>
      </c>
      <c r="L233" t="s">
        <v>1891</v>
      </c>
      <c r="M233" t="str">
        <f>VLOOKUP(H233,CHOOSE({1,2},Table8[Native],Table8[Name]),2,0)</f>
        <v>Suŏ Xiàn</v>
      </c>
      <c r="N233" s="13" t="str">
        <f>VLOOKUP(I233,CHOOSE({1,2},Table8[Native],Table8[Name]),2,0)</f>
        <v>Nàqŭ Shì</v>
      </c>
      <c r="O233" s="13" t="str">
        <f t="shared" si="6"/>
        <v>Jiaqin Xiang (Nàqŭ Shì)</v>
      </c>
      <c r="P233" s="13" t="str">
        <f t="shared" si="7"/>
        <v>Jiaqin Xiang (Nàqŭ Shì)</v>
      </c>
    </row>
    <row r="234" spans="1:16" x14ac:dyDescent="0.25">
      <c r="A234" t="s">
        <v>701</v>
      </c>
      <c r="B234" t="str">
        <f>IF(COUNTIF(A:A,A234)&gt;1,_xlfn.CONCAT(A234," (",N234,")"),A234)</f>
        <v>Jiāqióng Zhèn</v>
      </c>
      <c r="C234" t="str">
        <f>IF(COUNTIF(B:B,B234)&gt;1,_xlfn.CONCAT(A234," (",M234,")"),B234)</f>
        <v>Jiāqióng Zhèn</v>
      </c>
      <c r="D234" t="s">
        <v>702</v>
      </c>
      <c r="E234" t="s">
        <v>17</v>
      </c>
      <c r="F234" t="str">
        <f>_xlfn.CONCAT(D234,", ",H234,", ",I234,", ","西藏自治区")</f>
        <v>佳琼镇, 班戈县, 那曲市, 西藏自治区</v>
      </c>
      <c r="G234">
        <v>2926</v>
      </c>
      <c r="H234" t="s">
        <v>1447</v>
      </c>
      <c r="I234" t="s">
        <v>1445</v>
      </c>
      <c r="J234">
        <f>VLOOKUP(F234,[1]!china_towns_second__2[[Column1]:[Y]],3,FALSE)</f>
        <v>31.875751356184601</v>
      </c>
      <c r="K234">
        <f>VLOOKUP(F234,[1]!china_towns_second__2[[Column1]:[Y]],2,FALSE)</f>
        <v>90.563088710000002</v>
      </c>
      <c r="L234" t="s">
        <v>1892</v>
      </c>
      <c r="M234" t="str">
        <f>VLOOKUP(H234,CHOOSE({1,2},Table8[Native],Table8[Name]),2,0)</f>
        <v>Bāngē Xiàn</v>
      </c>
      <c r="N234" s="13" t="str">
        <f>VLOOKUP(I234,CHOOSE({1,2},Table8[Native],Table8[Name]),2,0)</f>
        <v>Nàqŭ Shì</v>
      </c>
      <c r="O234" s="13" t="str">
        <f t="shared" si="6"/>
        <v>Jiaqiong Zhen (Nàqŭ Shì)</v>
      </c>
      <c r="P234" s="13" t="str">
        <f t="shared" si="7"/>
        <v>Jiaqiong Zhen (Nàqŭ Shì)</v>
      </c>
    </row>
    <row r="235" spans="1:16" hidden="1" x14ac:dyDescent="0.25">
      <c r="A235" t="s">
        <v>553</v>
      </c>
      <c r="B235" t="str">
        <f>IF(COUNTIF(A:A,A235)&gt;1,_xlfn.CONCAT(A235," (",N235,")"),A235)</f>
        <v>Jiārèsà Xiāng</v>
      </c>
      <c r="C235" t="str">
        <f>IF(COUNTIF(B:B,B235)&gt;1,_xlfn.CONCAT(A235," (",M235,")"),B235)</f>
        <v>Jiārèsà Xiāng</v>
      </c>
      <c r="D235" t="s">
        <v>554</v>
      </c>
      <c r="E235" t="s">
        <v>7</v>
      </c>
      <c r="F235" t="str">
        <f>_xlfn.CONCAT(D235,", ",H235,", ",I235,", ","西藏自治区")</f>
        <v>加热萨乡, 墨脱县, 林芝市, 西藏自治区</v>
      </c>
      <c r="G235">
        <v>653</v>
      </c>
      <c r="H235" t="s">
        <v>1444</v>
      </c>
      <c r="I235" t="s">
        <v>1437</v>
      </c>
      <c r="J235" t="e">
        <f>VLOOKUP(F235,[1]!china_towns_second__2[[Column1]:[Y]],3,FALSE)</f>
        <v>#N/A</v>
      </c>
      <c r="K235" t="e">
        <f>VLOOKUP(F235,[1]!china_towns_second__2[[Column1]:[Y]],2,FALSE)</f>
        <v>#N/A</v>
      </c>
      <c r="L235" t="s">
        <v>1893</v>
      </c>
      <c r="M235" t="str">
        <f>VLOOKUP(H235,CHOOSE({1,2},Table8[Native],Table8[Name]),2,0)</f>
        <v>Mòtuō Xiàn</v>
      </c>
      <c r="N235" s="13" t="str">
        <f>VLOOKUP(I235,CHOOSE({1,2},Table8[Native],Table8[Name]),2,0)</f>
        <v>Línzhī Shì</v>
      </c>
      <c r="O235" s="13" t="str">
        <f t="shared" si="6"/>
        <v>Jiaresa Xiang (Línzhī Shì)</v>
      </c>
      <c r="P235" s="13" t="str">
        <f t="shared" si="7"/>
        <v>Jiaresa Xiang (Línzhī Shì)</v>
      </c>
    </row>
    <row r="236" spans="1:16" hidden="1" x14ac:dyDescent="0.25">
      <c r="A236" t="s">
        <v>181</v>
      </c>
      <c r="B236" t="str">
        <f>IF(COUNTIF(A:A,A236)&gt;1,_xlfn.CONCAT(A236," (",N236,")"),A236)</f>
        <v>Jiăsāngkă Xiāng</v>
      </c>
      <c r="C236" t="str">
        <f>IF(COUNTIF(B:B,B236)&gt;1,_xlfn.CONCAT(A236," (",M236,")"),B236)</f>
        <v>Jiăsāngkă Xiāng</v>
      </c>
      <c r="D236" t="s">
        <v>182</v>
      </c>
      <c r="E236" t="s">
        <v>7</v>
      </c>
      <c r="F236" t="str">
        <f>_xlfn.CONCAT(D236,", ",H236,", ",I236,", ","西藏自治区")</f>
        <v>甲桑卡乡, 类乌齐县, 昌都市, 西藏自治区</v>
      </c>
      <c r="G236">
        <v>3662</v>
      </c>
      <c r="H236" t="s">
        <v>1424</v>
      </c>
      <c r="I236" t="s">
        <v>1415</v>
      </c>
      <c r="J236" t="e">
        <f>VLOOKUP(F236,[1]!china_towns_second__2[[Column1]:[Y]],3,FALSE)</f>
        <v>#N/A</v>
      </c>
      <c r="K236" t="e">
        <f>VLOOKUP(F236,[1]!china_towns_second__2[[Column1]:[Y]],2,FALSE)</f>
        <v>#N/A</v>
      </c>
      <c r="L236" t="s">
        <v>1894</v>
      </c>
      <c r="M236" t="str">
        <f>VLOOKUP(H236,CHOOSE({1,2},Table8[Native],Table8[Name]),2,0)</f>
        <v>Lèiwūqí Xiàn</v>
      </c>
      <c r="N236" s="13" t="str">
        <f>VLOOKUP(I236,CHOOSE({1,2},Table8[Native],Table8[Name]),2,0)</f>
        <v>Chāngdū Shì</v>
      </c>
      <c r="O236" s="13" t="str">
        <f t="shared" si="6"/>
        <v>Jiasangka Xiang (Chāngdū Shì)</v>
      </c>
      <c r="P236" s="13" t="str">
        <f t="shared" si="7"/>
        <v>Jiasangka Xiang (Chāngdū Shì)</v>
      </c>
    </row>
    <row r="237" spans="1:16" hidden="1" x14ac:dyDescent="0.25">
      <c r="A237" t="s">
        <v>555</v>
      </c>
      <c r="B237" t="str">
        <f>IF(COUNTIF(A:A,A237)&gt;1,_xlfn.CONCAT(A237," (",N237,")"),A237)</f>
        <v>Jiāxīng Xiāng</v>
      </c>
      <c r="C237" t="str">
        <f>IF(COUNTIF(B:B,B237)&gt;1,_xlfn.CONCAT(A237," (",M237,")"),B237)</f>
        <v>Jiāxīng Xiāng</v>
      </c>
      <c r="D237" t="s">
        <v>556</v>
      </c>
      <c r="E237" t="s">
        <v>7</v>
      </c>
      <c r="F237" t="str">
        <f>_xlfn.CONCAT(D237,", ",H237,", ",I237,", ","西藏自治区")</f>
        <v>加兴乡, 工布江达县, 林芝市, 西藏自治区</v>
      </c>
      <c r="G237">
        <v>4264</v>
      </c>
      <c r="H237" t="s">
        <v>1441</v>
      </c>
      <c r="I237" t="s">
        <v>1437</v>
      </c>
      <c r="J237" t="e">
        <f>VLOOKUP(F237,[1]!china_towns_second__2[[Column1]:[Y]],3,FALSE)</f>
        <v>#N/A</v>
      </c>
      <c r="K237" t="e">
        <f>VLOOKUP(F237,[1]!china_towns_second__2[[Column1]:[Y]],2,FALSE)</f>
        <v>#N/A</v>
      </c>
      <c r="L237" t="s">
        <v>1895</v>
      </c>
      <c r="M237" t="str">
        <f>VLOOKUP(H237,CHOOSE({1,2},Table8[Native],Table8[Name]),2,0)</f>
        <v>Gōngbùjiāngdá Xiàn</v>
      </c>
      <c r="N237" s="13" t="str">
        <f>VLOOKUP(I237,CHOOSE({1,2},Table8[Native],Table8[Name]),2,0)</f>
        <v>Línzhī Shì</v>
      </c>
      <c r="O237" s="13" t="str">
        <f t="shared" si="6"/>
        <v>Jiaxing Xiang (Línzhī Shì)</v>
      </c>
      <c r="P237" s="13" t="str">
        <f t="shared" si="7"/>
        <v>Jiaxing Xiang (Línzhī Shì)</v>
      </c>
    </row>
    <row r="238" spans="1:16" hidden="1" x14ac:dyDescent="0.25">
      <c r="A238" t="s">
        <v>1292</v>
      </c>
      <c r="B238" t="str">
        <f>IF(COUNTIF(A:A,A238)&gt;1,_xlfn.CONCAT(A238," (",N238,")"),A238)</f>
        <v>Jiāyù Xiāng</v>
      </c>
      <c r="C238" t="str">
        <f>IF(COUNTIF(B:B,B238)&gt;1,_xlfn.CONCAT(A238," (",M238,")"),B238)</f>
        <v>Jiāyù Xiāng</v>
      </c>
      <c r="D238" t="s">
        <v>1293</v>
      </c>
      <c r="E238" t="s">
        <v>7</v>
      </c>
      <c r="F238" t="str">
        <f>_xlfn.CONCAT(D238,", ",H238,", ",I238,", ","西藏自治区")</f>
        <v>加玉乡, 隆子县, 山南市, 西藏自治区</v>
      </c>
      <c r="G238">
        <v>3341</v>
      </c>
      <c r="H238" t="s">
        <v>1483</v>
      </c>
      <c r="I238" t="s">
        <v>1477</v>
      </c>
      <c r="J238" t="e">
        <f>VLOOKUP(F238,[1]!china_towns_second__2[[Column1]:[Y]],3,FALSE)</f>
        <v>#N/A</v>
      </c>
      <c r="K238" t="e">
        <f>VLOOKUP(F238,[1]!china_towns_second__2[[Column1]:[Y]],2,FALSE)</f>
        <v>#N/A</v>
      </c>
      <c r="L238" t="s">
        <v>1896</v>
      </c>
      <c r="M238" t="str">
        <f>VLOOKUP(H238,CHOOSE({1,2},Table8[Native],Table8[Name]),2,0)</f>
        <v>Lóngzi Xiàn</v>
      </c>
      <c r="N238" s="13" t="str">
        <f>VLOOKUP(I238,CHOOSE({1,2},Table8[Native],Table8[Name]),2,0)</f>
        <v>Shānnán Shì</v>
      </c>
      <c r="O238" s="13" t="str">
        <f t="shared" si="6"/>
        <v>Jiayu Xiang (Shānnán Shì)</v>
      </c>
      <c r="P238" s="13" t="str">
        <f t="shared" si="7"/>
        <v>Jiayu Xiang (Shānnán Shì)</v>
      </c>
    </row>
    <row r="239" spans="1:16" x14ac:dyDescent="0.25">
      <c r="A239" t="s">
        <v>1294</v>
      </c>
      <c r="B239" t="str">
        <f>IF(COUNTIF(A:A,A239)&gt;1,_xlfn.CONCAT(A239," (",N239,")"),A239)</f>
        <v>Jiăzhúlín Zhèn</v>
      </c>
      <c r="C239" t="str">
        <f>IF(COUNTIF(B:B,B239)&gt;1,_xlfn.CONCAT(A239," (",M239,")"),B239)</f>
        <v>Jiăzhúlín Zhèn</v>
      </c>
      <c r="D239" t="s">
        <v>1295</v>
      </c>
      <c r="E239" t="s">
        <v>17</v>
      </c>
      <c r="F239" t="str">
        <f>_xlfn.CONCAT(D239,", ",H239,", ",I239,", ","西藏自治区")</f>
        <v>甲竹林镇, 贡嘎县, 山南市, 西藏自治区</v>
      </c>
      <c r="G239">
        <v>8459</v>
      </c>
      <c r="H239" t="s">
        <v>1480</v>
      </c>
      <c r="I239" t="s">
        <v>1477</v>
      </c>
      <c r="J239">
        <f>VLOOKUP(F239,[1]!china_towns_second__2[[Column1]:[Y]],3,FALSE)</f>
        <v>29.217957727467901</v>
      </c>
      <c r="K239">
        <f>VLOOKUP(F239,[1]!china_towns_second__2[[Column1]:[Y]],2,FALSE)</f>
        <v>90.920421160000004</v>
      </c>
      <c r="L239" t="s">
        <v>1897</v>
      </c>
      <c r="M239" t="str">
        <f>VLOOKUP(H239,CHOOSE({1,2},Table8[Native],Table8[Name]),2,0)</f>
        <v>Gònggā Xiàn</v>
      </c>
      <c r="N239" s="13" t="str">
        <f>VLOOKUP(I239,CHOOSE({1,2},Table8[Native],Table8[Name]),2,0)</f>
        <v>Shānnán Shì</v>
      </c>
      <c r="O239" s="13" t="str">
        <f t="shared" si="6"/>
        <v>Jiazhulin Zhen (Shānnán Shì)</v>
      </c>
      <c r="P239" s="13" t="str">
        <f t="shared" si="7"/>
        <v>Jiazhulin Zhen (Shānnán Shì)</v>
      </c>
    </row>
    <row r="240" spans="1:16" hidden="1" x14ac:dyDescent="0.25">
      <c r="A240" t="s">
        <v>1296</v>
      </c>
      <c r="B240" t="str">
        <f>IF(COUNTIF(A:A,A240)&gt;1,_xlfn.CONCAT(A240," (",N240,")"),A240)</f>
        <v>Jíbāménbā Mínzú Xiāng</v>
      </c>
      <c r="C240" t="str">
        <f>IF(COUNTIF(B:B,B240)&gt;1,_xlfn.CONCAT(A240," (",M240,")"),B240)</f>
        <v>Jíbāménbā Mínzú Xiāng</v>
      </c>
      <c r="D240" t="s">
        <v>1297</v>
      </c>
      <c r="E240" t="s">
        <v>7</v>
      </c>
      <c r="F240" t="str">
        <f>_xlfn.CONCAT(D240,", ",H240,", ",I240,", ","西藏自治区")</f>
        <v>吉巴门巴民族乡, 错那县, 山南市, 西藏自治区</v>
      </c>
      <c r="G240">
        <v>241</v>
      </c>
      <c r="H240" t="s">
        <v>1479</v>
      </c>
      <c r="I240" t="s">
        <v>1477</v>
      </c>
      <c r="J240" t="e">
        <f>VLOOKUP(F240,[1]!china_towns_second__2[[Column1]:[Y]],3,FALSE)</f>
        <v>#N/A</v>
      </c>
      <c r="K240" t="e">
        <f>VLOOKUP(F240,[1]!china_towns_second__2[[Column1]:[Y]],2,FALSE)</f>
        <v>#N/A</v>
      </c>
      <c r="L240" t="s">
        <v>1898</v>
      </c>
      <c r="M240" t="str">
        <f>VLOOKUP(H240,CHOOSE({1,2},Table8[Native],Table8[Name]),2,0)</f>
        <v>Cuònà Xiàn</v>
      </c>
      <c r="N240" s="13" t="str">
        <f>VLOOKUP(I240,CHOOSE({1,2},Table8[Native],Table8[Name]),2,0)</f>
        <v>Shānnán Shì</v>
      </c>
      <c r="O240" s="13" t="str">
        <f t="shared" si="6"/>
        <v>Jibamenba Minzu Xiang (Shānnán Shì)</v>
      </c>
      <c r="P240" s="13" t="str">
        <f t="shared" si="7"/>
        <v>Jibamenba Minzu Xiang (Shānnán Shì)</v>
      </c>
    </row>
    <row r="241" spans="1:16" hidden="1" x14ac:dyDescent="0.25">
      <c r="A241" t="s">
        <v>421</v>
      </c>
      <c r="B241" t="str">
        <f>IF(COUNTIF(A:A,A241)&gt;1,_xlfn.CONCAT(A241," (",N241,")"),A241)</f>
        <v>Jíbēnggăng Jiēdào</v>
      </c>
      <c r="C241" t="str">
        <f>IF(COUNTIF(B:B,B241)&gt;1,_xlfn.CONCAT(A241," (",M241,")"),B241)</f>
        <v>Jíbēnggăng Jiēdào</v>
      </c>
      <c r="D241" t="s">
        <v>422</v>
      </c>
      <c r="E241" t="s">
        <v>374</v>
      </c>
      <c r="F241" t="str">
        <f>_xlfn.CONCAT(D241,", ",H241,", ",I241,", ","西藏自治区")</f>
        <v>吉崩岗街道, 城关区, 拉萨市, 西藏自治区</v>
      </c>
      <c r="G241">
        <v>29984</v>
      </c>
      <c r="H241" t="s">
        <v>1429</v>
      </c>
      <c r="I241" t="s">
        <v>1428</v>
      </c>
      <c r="J241">
        <f>VLOOKUP(F241,[1]!china_towns_second__2[[Column1]:[Y]],3,FALSE)</f>
        <v>29.655232524207701</v>
      </c>
      <c r="K241">
        <f>VLOOKUP(F241,[1]!china_towns_second__2[[Column1]:[Y]],2,FALSE)</f>
        <v>91.119080139999994</v>
      </c>
      <c r="L241" t="s">
        <v>1899</v>
      </c>
      <c r="M241" t="str">
        <f>VLOOKUP(H241,CHOOSE({1,2},Table8[Native],Table8[Name]),2,0)</f>
        <v>Chéngguān Qū</v>
      </c>
      <c r="N241" s="13" t="str">
        <f>VLOOKUP(I241,CHOOSE({1,2},Table8[Native],Table8[Name]),2,0)</f>
        <v>Lāsà Shì</v>
      </c>
      <c r="O241" s="13" t="str">
        <f t="shared" si="6"/>
        <v>Jibenggang Jiedao (Lāsà Shì)</v>
      </c>
      <c r="P241" s="13" t="str">
        <f t="shared" si="7"/>
        <v>Jibenggang Jiedao (Lāsà Shì)</v>
      </c>
    </row>
    <row r="242" spans="1:16" hidden="1" x14ac:dyDescent="0.25">
      <c r="A242" t="s">
        <v>183</v>
      </c>
      <c r="B242" t="str">
        <f>IF(COUNTIF(A:A,A242)&gt;1,_xlfn.CONCAT(A242," (",N242,")"),A242)</f>
        <v>Jídá Xiāng</v>
      </c>
      <c r="C242" t="str">
        <f>IF(COUNTIF(B:B,B242)&gt;1,_xlfn.CONCAT(A242," (",M242,")"),B242)</f>
        <v>Jídá Xiāng</v>
      </c>
      <c r="D242" t="s">
        <v>184</v>
      </c>
      <c r="E242" t="s">
        <v>7</v>
      </c>
      <c r="F242" t="str">
        <f>_xlfn.CONCAT(D242,", ",H242,", ",I242,", ","西藏自治区")</f>
        <v>吉达乡, 八宿县, 昌都市, 西藏自治区</v>
      </c>
      <c r="G242">
        <v>4370</v>
      </c>
      <c r="H242" t="s">
        <v>1416</v>
      </c>
      <c r="I242" t="s">
        <v>1415</v>
      </c>
      <c r="J242" t="e">
        <f>VLOOKUP(F242,[1]!china_towns_second__2[[Column1]:[Y]],3,FALSE)</f>
        <v>#N/A</v>
      </c>
      <c r="K242" t="e">
        <f>VLOOKUP(F242,[1]!china_towns_second__2[[Column1]:[Y]],2,FALSE)</f>
        <v>#N/A</v>
      </c>
      <c r="L242" t="s">
        <v>1900</v>
      </c>
      <c r="M242" t="str">
        <f>VLOOKUP(H242,CHOOSE({1,2},Table8[Native],Table8[Name]),2,0)</f>
        <v>Bāsù Xiàn</v>
      </c>
      <c r="N242" s="13" t="str">
        <f>VLOOKUP(I242,CHOOSE({1,2},Table8[Native],Table8[Name]),2,0)</f>
        <v>Chāngdū Shì</v>
      </c>
      <c r="O242" s="13" t="str">
        <f t="shared" si="6"/>
        <v>Jida Xiang (Chāngdū Shì)</v>
      </c>
      <c r="P242" s="13" t="str">
        <f t="shared" si="7"/>
        <v>Jida Xiang (Chāngdū Shì)</v>
      </c>
    </row>
    <row r="243" spans="1:16" x14ac:dyDescent="0.25">
      <c r="A243" t="s">
        <v>980</v>
      </c>
      <c r="B243" t="str">
        <f>IF(COUNTIF(A:A,A243)&gt;1,_xlfn.CONCAT(A243," (",N243,")"),A243)</f>
        <v>Jídìng Zhèn</v>
      </c>
      <c r="C243" t="str">
        <f>IF(COUNTIF(B:B,B243)&gt;1,_xlfn.CONCAT(A243," (",M243,")"),B243)</f>
        <v>Jídìng Zhèn</v>
      </c>
      <c r="D243" t="s">
        <v>981</v>
      </c>
      <c r="E243" t="s">
        <v>17</v>
      </c>
      <c r="F243" t="str">
        <f>_xlfn.CONCAT(D243,", ",H243,", ",I243,", ","西藏自治区")</f>
        <v>吉定镇, 萨迦县, 日喀则市, 西藏自治区</v>
      </c>
      <c r="G243">
        <v>6182</v>
      </c>
      <c r="H243" t="s">
        <v>1472</v>
      </c>
      <c r="I243" t="s">
        <v>1458</v>
      </c>
      <c r="J243">
        <f>VLOOKUP(F243,[1]!china_towns_second__2[[Column1]:[Y]],3,FALSE)</f>
        <v>29.218235158436599</v>
      </c>
      <c r="K243">
        <f>VLOOKUP(F243,[1]!china_towns_second__2[[Column1]:[Y]],2,FALSE)</f>
        <v>88.376181310000007</v>
      </c>
      <c r="L243" t="s">
        <v>1901</v>
      </c>
      <c r="M243" t="str">
        <f>VLOOKUP(H243,CHOOSE({1,2},Table8[Native],Table8[Name]),2,0)</f>
        <v>Sàjiā Xiàn</v>
      </c>
      <c r="N243" s="13" t="str">
        <f>VLOOKUP(I243,CHOOSE({1,2},Table8[Native],Table8[Name]),2,0)</f>
        <v>Rìkāzé Shì</v>
      </c>
      <c r="O243" s="13" t="str">
        <f t="shared" si="6"/>
        <v>Jiding Zhen (Rìkāzé Shì)</v>
      </c>
      <c r="P243" s="13" t="str">
        <f t="shared" si="7"/>
        <v>Jiding Zhen (Rìkāzé Shì)</v>
      </c>
    </row>
    <row r="244" spans="1:16" hidden="1" x14ac:dyDescent="0.25">
      <c r="A244" t="s">
        <v>185</v>
      </c>
      <c r="B244" t="str">
        <f>IF(COUNTIF(A:A,A244)&gt;1,_xlfn.CONCAT(A244," (",N244,")"),A244)</f>
        <v>Jíduō Xiāng</v>
      </c>
      <c r="C244" t="str">
        <f>IF(COUNTIF(B:B,B244)&gt;1,_xlfn.CONCAT(A244," (",M244,")"),B244)</f>
        <v>Jíduō Xiāng</v>
      </c>
      <c r="D244" t="s">
        <v>186</v>
      </c>
      <c r="E244" t="s">
        <v>7</v>
      </c>
      <c r="F244" t="str">
        <f>_xlfn.CONCAT(D244,", ",H244,", ",I244,", ","西藏自治区")</f>
        <v>吉多乡, 类乌齐县, 昌都市, 西藏自治区</v>
      </c>
      <c r="G244">
        <v>5251</v>
      </c>
      <c r="H244" t="s">
        <v>1424</v>
      </c>
      <c r="I244" t="s">
        <v>1415</v>
      </c>
      <c r="J244" t="e">
        <f>VLOOKUP(F244,[1]!china_towns_second__2[[Column1]:[Y]],3,FALSE)</f>
        <v>#N/A</v>
      </c>
      <c r="K244" t="e">
        <f>VLOOKUP(F244,[1]!china_towns_second__2[[Column1]:[Y]],2,FALSE)</f>
        <v>#N/A</v>
      </c>
      <c r="L244" t="s">
        <v>1902</v>
      </c>
      <c r="M244" t="str">
        <f>VLOOKUP(H244,CHOOSE({1,2},Table8[Native],Table8[Name]),2,0)</f>
        <v>Lèiwūqí Xiàn</v>
      </c>
      <c r="N244" s="13" t="str">
        <f>VLOOKUP(I244,CHOOSE({1,2},Table8[Native],Table8[Name]),2,0)</f>
        <v>Chāngdū Shì</v>
      </c>
      <c r="O244" s="13" t="str">
        <f t="shared" si="6"/>
        <v>Jiduo Xiang (Chāngdū Shì)</v>
      </c>
      <c r="P244" s="13" t="str">
        <f t="shared" si="7"/>
        <v>Jiduo Xiang (Chāngdū Shì)</v>
      </c>
    </row>
    <row r="245" spans="1:16" hidden="1" x14ac:dyDescent="0.25">
      <c r="A245" t="s">
        <v>1298</v>
      </c>
      <c r="B245" t="str">
        <f>IF(COUNTIF(A:A,A245)&gt;1,_xlfn.CONCAT(A245," (",N245,")"),A245)</f>
        <v>Jiébā Xiāng</v>
      </c>
      <c r="C245" t="str">
        <f>IF(COUNTIF(B:B,B245)&gt;1,_xlfn.CONCAT(A245," (",M245,")"),B245)</f>
        <v>Jiébā Xiāng</v>
      </c>
      <c r="D245" t="s">
        <v>1299</v>
      </c>
      <c r="E245" t="s">
        <v>7</v>
      </c>
      <c r="F245" t="str">
        <f>_xlfn.CONCAT(D245,", ",H245,", ",I245,", ","西藏自治区")</f>
        <v>结巴乡, 乃东区, 山南市, 西藏自治区</v>
      </c>
      <c r="G245">
        <v>4508</v>
      </c>
      <c r="H245" t="s">
        <v>1485</v>
      </c>
      <c r="I245" t="s">
        <v>1477</v>
      </c>
      <c r="J245" t="e">
        <f>VLOOKUP(F245,[1]!china_towns_second__2[[Column1]:[Y]],3,FALSE)</f>
        <v>#N/A</v>
      </c>
      <c r="K245" t="e">
        <f>VLOOKUP(F245,[1]!china_towns_second__2[[Column1]:[Y]],2,FALSE)</f>
        <v>#N/A</v>
      </c>
      <c r="L245" t="s">
        <v>1903</v>
      </c>
      <c r="M245" t="str">
        <f>VLOOKUP(H245,CHOOSE({1,2},Table8[Native],Table8[Name]),2,0)</f>
        <v>Năidōng Qū</v>
      </c>
      <c r="N245" s="13" t="str">
        <f>VLOOKUP(I245,CHOOSE({1,2},Table8[Native],Table8[Name]),2,0)</f>
        <v>Shānnán Shì</v>
      </c>
      <c r="O245" s="13" t="str">
        <f t="shared" si="6"/>
        <v>Jieba Xiang (Shānnán Shì)</v>
      </c>
      <c r="P245" s="13" t="str">
        <f t="shared" si="7"/>
        <v>Jieba Xiang (Shānnán Shì)</v>
      </c>
    </row>
    <row r="246" spans="1:16" x14ac:dyDescent="0.25">
      <c r="A246" t="s">
        <v>1300</v>
      </c>
      <c r="B246" t="str">
        <f>IF(COUNTIF(A:A,A246)&gt;1,_xlfn.CONCAT(A246," (",N246,")"),A246)</f>
        <v>Jiédéxiù Zhèn</v>
      </c>
      <c r="C246" t="str">
        <f>IF(COUNTIF(B:B,B246)&gt;1,_xlfn.CONCAT(A246," (",M246,")"),B246)</f>
        <v>Jiédéxiù Zhèn</v>
      </c>
      <c r="D246" t="s">
        <v>1301</v>
      </c>
      <c r="E246" t="s">
        <v>17</v>
      </c>
      <c r="F246" t="str">
        <f>_xlfn.CONCAT(D246,", ",H246,", ",I246,", ","西藏自治区")</f>
        <v>杰德秀镇, 贡嘎县, 山南市, 西藏自治区</v>
      </c>
      <c r="G246">
        <v>7508</v>
      </c>
      <c r="H246" t="s">
        <v>1480</v>
      </c>
      <c r="I246" t="s">
        <v>1477</v>
      </c>
      <c r="J246">
        <f>VLOOKUP(F246,[1]!china_towns_second__2[[Column1]:[Y]],3,FALSE)</f>
        <v>29.242592464516299</v>
      </c>
      <c r="K246">
        <f>VLOOKUP(F246,[1]!china_towns_second__2[[Column1]:[Y]],2,FALSE)</f>
        <v>91.122432090000004</v>
      </c>
      <c r="L246" t="s">
        <v>1904</v>
      </c>
      <c r="M246" t="str">
        <f>VLOOKUP(H246,CHOOSE({1,2},Table8[Native],Table8[Name]),2,0)</f>
        <v>Gònggā Xiàn</v>
      </c>
      <c r="N246" s="13" t="str">
        <f>VLOOKUP(I246,CHOOSE({1,2},Table8[Native],Table8[Name]),2,0)</f>
        <v>Shānnán Shì</v>
      </c>
      <c r="O246" s="13" t="str">
        <f t="shared" si="6"/>
        <v>Jiedexiu Zhen (Shānnán Shì)</v>
      </c>
      <c r="P246" s="13" t="str">
        <f t="shared" si="7"/>
        <v>Jiedexiu Zhen (Shānnán Shì)</v>
      </c>
    </row>
    <row r="247" spans="1:16" hidden="1" x14ac:dyDescent="0.25">
      <c r="A247" t="s">
        <v>982</v>
      </c>
      <c r="B247" t="str">
        <f>IF(COUNTIF(A:A,A247)&gt;1,_xlfn.CONCAT(A247," (",N247,")"),A247)</f>
        <v>Jílā Xiāng</v>
      </c>
      <c r="C247" t="str">
        <f>IF(COUNTIF(B:B,B247)&gt;1,_xlfn.CONCAT(A247," (",M247,")"),B247)</f>
        <v>Jílā Xiāng</v>
      </c>
      <c r="D247" t="s">
        <v>983</v>
      </c>
      <c r="E247" t="s">
        <v>7</v>
      </c>
      <c r="F247" t="str">
        <f>_xlfn.CONCAT(D247,", ",H247,", ",I247,", ","西藏自治区")</f>
        <v>吉拉乡, 仲巴县, 日喀则市, 西藏自治区</v>
      </c>
      <c r="G247">
        <v>907</v>
      </c>
      <c r="H247" t="s">
        <v>1476</v>
      </c>
      <c r="I247" t="s">
        <v>1458</v>
      </c>
      <c r="J247" t="e">
        <f>VLOOKUP(F247,[1]!china_towns_second__2[[Column1]:[Y]],3,FALSE)</f>
        <v>#N/A</v>
      </c>
      <c r="K247" t="e">
        <f>VLOOKUP(F247,[1]!china_towns_second__2[[Column1]:[Y]],2,FALSE)</f>
        <v>#N/A</v>
      </c>
      <c r="L247" t="s">
        <v>1905</v>
      </c>
      <c r="M247" t="str">
        <f>VLOOKUP(H247,CHOOSE({1,2},Table8[Native],Table8[Name]),2,0)</f>
        <v>Zhòngbā Xiàn</v>
      </c>
      <c r="N247" s="13" t="str">
        <f>VLOOKUP(I247,CHOOSE({1,2},Table8[Native],Table8[Name]),2,0)</f>
        <v>Rìkāzé Shì</v>
      </c>
      <c r="O247" s="13" t="str">
        <f t="shared" si="6"/>
        <v>Jila Xiang (Rìkāzé Shì)</v>
      </c>
      <c r="P247" s="13" t="str">
        <f t="shared" si="7"/>
        <v>Jila Xiang (Rìkāzé Shì)</v>
      </c>
    </row>
    <row r="248" spans="1:16" x14ac:dyDescent="0.25">
      <c r="A248" t="s">
        <v>984</v>
      </c>
      <c r="B248" t="str">
        <f>IF(COUNTIF(A:A,A248)&gt;1,_xlfn.CONCAT(A248," (",N248,")"),A248)</f>
        <v>Jílóng Zhèn</v>
      </c>
      <c r="C248" t="str">
        <f>IF(COUNTIF(B:B,B248)&gt;1,_xlfn.CONCAT(A248," (",M248,")"),B248)</f>
        <v>Jílóng Zhèn</v>
      </c>
      <c r="D248" t="s">
        <v>985</v>
      </c>
      <c r="E248" t="s">
        <v>17</v>
      </c>
      <c r="F248" t="str">
        <f>_xlfn.CONCAT(D248,", ",H248,", ",I248,", ","西藏自治区")</f>
        <v>吉隆镇, 吉隆县, 日喀则市, 西藏自治区</v>
      </c>
      <c r="G248">
        <v>4863</v>
      </c>
      <c r="H248" t="s">
        <v>1465</v>
      </c>
      <c r="I248" t="s">
        <v>1458</v>
      </c>
      <c r="J248">
        <f>VLOOKUP(F248,[1]!china_towns_second__2[[Column1]:[Y]],3,FALSE)</f>
        <v>28.430456561720501</v>
      </c>
      <c r="K248">
        <f>VLOOKUP(F248,[1]!china_towns_second__2[[Column1]:[Y]],2,FALSE)</f>
        <v>85.391155319999996</v>
      </c>
      <c r="L248" t="s">
        <v>1906</v>
      </c>
      <c r="M248" t="str">
        <f>VLOOKUP(H248,CHOOSE({1,2},Table8[Native],Table8[Name]),2,0)</f>
        <v>Jílóng Xiàn</v>
      </c>
      <c r="N248" s="13" t="str">
        <f>VLOOKUP(I248,CHOOSE({1,2},Table8[Native],Table8[Name]),2,0)</f>
        <v>Rìkāzé Shì</v>
      </c>
      <c r="O248" s="13" t="str">
        <f t="shared" si="6"/>
        <v>Jilong Zhen (Rìkāzé Shì)</v>
      </c>
      <c r="P248" s="13" t="str">
        <f t="shared" si="7"/>
        <v>Jilong Zhen (Rìkāzé Shì)</v>
      </c>
    </row>
    <row r="249" spans="1:16" hidden="1" x14ac:dyDescent="0.25">
      <c r="A249" t="s">
        <v>986</v>
      </c>
      <c r="B249" t="str">
        <f>IF(COUNTIF(A:A,A249)&gt;1,_xlfn.CONCAT(A249," (",N249,")"),A249)</f>
        <v>Jímă Xiāng</v>
      </c>
      <c r="C249" t="str">
        <f>IF(COUNTIF(B:B,B249)&gt;1,_xlfn.CONCAT(A249," (",M249,")"),B249)</f>
        <v>Jímă Xiāng</v>
      </c>
      <c r="D249" t="s">
        <v>987</v>
      </c>
      <c r="E249" t="s">
        <v>7</v>
      </c>
      <c r="F249" t="str">
        <f>_xlfn.CONCAT(D249,", ",H249,", ",I249,", ","西藏自治区")</f>
        <v>吉玛乡, 仲巴县, 日喀则市, 西藏自治区</v>
      </c>
      <c r="G249">
        <v>1873</v>
      </c>
      <c r="H249" t="s">
        <v>1476</v>
      </c>
      <c r="I249" t="s">
        <v>1458</v>
      </c>
      <c r="J249" t="e">
        <f>VLOOKUP(F249,[1]!china_towns_second__2[[Column1]:[Y]],3,FALSE)</f>
        <v>#N/A</v>
      </c>
      <c r="K249" t="e">
        <f>VLOOKUP(F249,[1]!china_towns_second__2[[Column1]:[Y]],2,FALSE)</f>
        <v>#N/A</v>
      </c>
      <c r="L249" t="s">
        <v>1907</v>
      </c>
      <c r="M249" t="str">
        <f>VLOOKUP(H249,CHOOSE({1,2},Table8[Native],Table8[Name]),2,0)</f>
        <v>Zhòngbā Xiàn</v>
      </c>
      <c r="N249" s="13" t="str">
        <f>VLOOKUP(I249,CHOOSE({1,2},Table8[Native],Table8[Name]),2,0)</f>
        <v>Rìkāzé Shì</v>
      </c>
      <c r="O249" s="13" t="str">
        <f t="shared" si="6"/>
        <v>Jima Xiang (Rìkāzé Shì)</v>
      </c>
      <c r="P249" s="13" t="str">
        <f t="shared" si="7"/>
        <v>Jima Xiang (Rìkāzé Shì)</v>
      </c>
    </row>
    <row r="250" spans="1:16" x14ac:dyDescent="0.25">
      <c r="A250" t="s">
        <v>557</v>
      </c>
      <c r="B250" t="str">
        <f>IF(COUNTIF(A:A,A250)&gt;1,_xlfn.CONCAT(A250," (",N250,")"),A250)</f>
        <v>Jīndá Zhèn</v>
      </c>
      <c r="C250" t="str">
        <f>IF(COUNTIF(B:B,B250)&gt;1,_xlfn.CONCAT(A250," (",M250,")"),B250)</f>
        <v>Jīndá Zhèn</v>
      </c>
      <c r="D250" t="s">
        <v>558</v>
      </c>
      <c r="E250" t="s">
        <v>17</v>
      </c>
      <c r="F250" t="str">
        <f>_xlfn.CONCAT(D250,", ",H250,", ",I250,", ","西藏自治区")</f>
        <v>金达镇, 工布江达县, 林芝市, 西藏自治区</v>
      </c>
      <c r="G250">
        <v>4564</v>
      </c>
      <c r="H250" t="s">
        <v>1441</v>
      </c>
      <c r="I250" t="s">
        <v>1437</v>
      </c>
      <c r="J250">
        <f>VLOOKUP(F250,[1]!china_towns_second__2[[Column1]:[Y]],3,FALSE)</f>
        <v>30.1103919258993</v>
      </c>
      <c r="K250">
        <f>VLOOKUP(F250,[1]!china_towns_second__2[[Column1]:[Y]],2,FALSE)</f>
        <v>92.856259980000004</v>
      </c>
      <c r="L250" t="s">
        <v>1908</v>
      </c>
      <c r="M250" t="str">
        <f>VLOOKUP(H250,CHOOSE({1,2},Table8[Native],Table8[Name]),2,0)</f>
        <v>Gōngbùjiāngdá Xiàn</v>
      </c>
      <c r="N250" s="13" t="str">
        <f>VLOOKUP(I250,CHOOSE({1,2},Table8[Native],Table8[Name]),2,0)</f>
        <v>Línzhī Shì</v>
      </c>
      <c r="O250" s="13" t="str">
        <f t="shared" si="6"/>
        <v>Jinda Zhen (Línzhī Shì)</v>
      </c>
      <c r="P250" s="13" t="str">
        <f t="shared" si="7"/>
        <v>Jinda Zhen (Línzhī Shì)</v>
      </c>
    </row>
    <row r="251" spans="1:16" hidden="1" x14ac:dyDescent="0.25">
      <c r="A251" t="s">
        <v>559</v>
      </c>
      <c r="B251" t="str">
        <f>IF(COUNTIF(A:A,A251)&gt;1,_xlfn.CONCAT(A251," (",N251,")"),A251)</f>
        <v>Jīndōng Xiāng</v>
      </c>
      <c r="C251" t="str">
        <f>IF(COUNTIF(B:B,B251)&gt;1,_xlfn.CONCAT(A251," (",M251,")"),B251)</f>
        <v>Jīndōng Xiāng</v>
      </c>
      <c r="D251" t="s">
        <v>560</v>
      </c>
      <c r="E251" t="s">
        <v>7</v>
      </c>
      <c r="F251" t="str">
        <f>_xlfn.CONCAT(D251,", ",H251,", ",I251,", ","西藏自治区")</f>
        <v>金东乡, 朗县, 林芝市, 西藏自治区</v>
      </c>
      <c r="G251">
        <v>1743</v>
      </c>
      <c r="H251" t="s">
        <v>1442</v>
      </c>
      <c r="I251" t="s">
        <v>1437</v>
      </c>
      <c r="J251" t="e">
        <f>VLOOKUP(F251,[1]!china_towns_second__2[[Column1]:[Y]],3,FALSE)</f>
        <v>#N/A</v>
      </c>
      <c r="K251" t="e">
        <f>VLOOKUP(F251,[1]!china_towns_second__2[[Column1]:[Y]],2,FALSE)</f>
        <v>#N/A</v>
      </c>
      <c r="L251" t="s">
        <v>1909</v>
      </c>
      <c r="M251" t="str">
        <f>VLOOKUP(H251,CHOOSE({1,2},Table8[Native],Table8[Name]),2,0)</f>
        <v>Lăng Xiàn</v>
      </c>
      <c r="N251" s="13" t="str">
        <f>VLOOKUP(I251,CHOOSE({1,2},Table8[Native],Table8[Name]),2,0)</f>
        <v>Línzhī Shì</v>
      </c>
      <c r="O251" s="13" t="str">
        <f t="shared" si="6"/>
        <v>Jindong Xiang (Línzhī Shì)</v>
      </c>
      <c r="P251" s="13" t="str">
        <f t="shared" si="7"/>
        <v>Jindong Xiang (Línzhī Shì)</v>
      </c>
    </row>
    <row r="252" spans="1:16" hidden="1" x14ac:dyDescent="0.25">
      <c r="A252" t="s">
        <v>988</v>
      </c>
      <c r="B252" t="str">
        <f>IF(COUNTIF(A:A,A252)&gt;1,_xlfn.CONCAT(A252," (",N252,")"),A252)</f>
        <v>Jīngā Xiāng</v>
      </c>
      <c r="C252" t="str">
        <f>IF(COUNTIF(B:B,B252)&gt;1,_xlfn.CONCAT(A252," (",M252,")"),B252)</f>
        <v>Jīngā Xiāng</v>
      </c>
      <c r="D252" t="s">
        <v>989</v>
      </c>
      <c r="E252" t="s">
        <v>7</v>
      </c>
      <c r="F252" t="str">
        <f>_xlfn.CONCAT(D252,", ",H252,", ",I252,", ","西藏自治区")</f>
        <v>金嘎乡, 江孜县, 日喀则市, 西藏自治区</v>
      </c>
      <c r="G252">
        <v>2507</v>
      </c>
      <c r="H252" t="s">
        <v>1464</v>
      </c>
      <c r="I252" t="s">
        <v>1458</v>
      </c>
      <c r="J252" t="e">
        <f>VLOOKUP(F252,[1]!china_towns_second__2[[Column1]:[Y]],3,FALSE)</f>
        <v>#N/A</v>
      </c>
      <c r="K252" t="e">
        <f>VLOOKUP(F252,[1]!china_towns_second__2[[Column1]:[Y]],2,FALSE)</f>
        <v>#N/A</v>
      </c>
      <c r="L252" t="s">
        <v>1910</v>
      </c>
      <c r="M252" t="str">
        <f>VLOOKUP(H252,CHOOSE({1,2},Table8[Native],Table8[Name]),2,0)</f>
        <v>Jiāngzī Xiàn</v>
      </c>
      <c r="N252" s="13" t="str">
        <f>VLOOKUP(I252,CHOOSE({1,2},Table8[Native],Table8[Name]),2,0)</f>
        <v>Rìkāzé Shì</v>
      </c>
      <c r="O252" s="13" t="str">
        <f t="shared" si="6"/>
        <v>Jinga Xiang (Rìkāzé Shì)</v>
      </c>
      <c r="P252" s="13" t="str">
        <f t="shared" si="7"/>
        <v>Jinga Xiang (Rìkāzé Shì)</v>
      </c>
    </row>
    <row r="253" spans="1:16" hidden="1" x14ac:dyDescent="0.25">
      <c r="A253" t="s">
        <v>187</v>
      </c>
      <c r="B253" t="str">
        <f>IF(COUNTIF(A:A,A253)&gt;1,_xlfn.CONCAT(A253," (",N253,")"),A253)</f>
        <v>Jīnlĭng Xiāng</v>
      </c>
      <c r="C253" t="str">
        <f>IF(COUNTIF(B:B,B253)&gt;1,_xlfn.CONCAT(A253," (",M253,")"),B253)</f>
        <v>Jīnlĭng Xiāng</v>
      </c>
      <c r="D253" t="s">
        <v>188</v>
      </c>
      <c r="E253" t="s">
        <v>7</v>
      </c>
      <c r="F253" t="str">
        <f>_xlfn.CONCAT(D253,", ",H253,", ",I253,", ","西藏自治区")</f>
        <v>金岭乡, 边坝县, 昌都市, 西藏自治区</v>
      </c>
      <c r="G253">
        <v>3725</v>
      </c>
      <c r="H253" t="s">
        <v>1417</v>
      </c>
      <c r="I253" t="s">
        <v>1415</v>
      </c>
      <c r="J253" t="e">
        <f>VLOOKUP(F253,[1]!china_towns_second__2[[Column1]:[Y]],3,FALSE)</f>
        <v>#N/A</v>
      </c>
      <c r="K253" t="e">
        <f>VLOOKUP(F253,[1]!china_towns_second__2[[Column1]:[Y]],2,FALSE)</f>
        <v>#N/A</v>
      </c>
      <c r="L253" t="s">
        <v>1911</v>
      </c>
      <c r="M253" t="str">
        <f>VLOOKUP(H253,CHOOSE({1,2},Table8[Native],Table8[Name]),2,0)</f>
        <v>Biānbà Xiàn</v>
      </c>
      <c r="N253" s="13" t="str">
        <f>VLOOKUP(I253,CHOOSE({1,2},Table8[Native],Table8[Name]),2,0)</f>
        <v>Chāngdū Shì</v>
      </c>
      <c r="O253" s="13" t="str">
        <f t="shared" si="6"/>
        <v>Jinling Xiang (Chāngdū Shì)</v>
      </c>
      <c r="P253" s="13" t="str">
        <f t="shared" si="7"/>
        <v>Jinling Xiang (Chāngdū Shì)</v>
      </c>
    </row>
    <row r="254" spans="1:16" hidden="1" x14ac:dyDescent="0.25">
      <c r="A254" t="s">
        <v>423</v>
      </c>
      <c r="B254" t="str">
        <f>IF(COUNTIF(A:A,A254)&gt;1,_xlfn.CONCAT(A254," (",N254,")"),A254)</f>
        <v>Jírì Jiēdào</v>
      </c>
      <c r="C254" t="str">
        <f>IF(COUNTIF(B:B,B254)&gt;1,_xlfn.CONCAT(A254," (",M254,")"),B254)</f>
        <v>Jírì Jiēdào</v>
      </c>
      <c r="D254" t="s">
        <v>424</v>
      </c>
      <c r="E254" t="s">
        <v>374</v>
      </c>
      <c r="F254" t="str">
        <f>_xlfn.CONCAT(D254,", ",H254,", ",I254,", ","西藏自治区")</f>
        <v>吉日街道, 城关区, 拉萨市, 西藏自治区</v>
      </c>
      <c r="G254">
        <v>21022</v>
      </c>
      <c r="H254" t="s">
        <v>1429</v>
      </c>
      <c r="I254" t="s">
        <v>1428</v>
      </c>
      <c r="J254">
        <f>VLOOKUP(F254,[1]!china_towns_second__2[[Column1]:[Y]],3,FALSE)</f>
        <v>29.648997474459001</v>
      </c>
      <c r="K254">
        <f>VLOOKUP(F254,[1]!china_towns_second__2[[Column1]:[Y]],2,FALSE)</f>
        <v>91.140989390000001</v>
      </c>
      <c r="L254" t="s">
        <v>1912</v>
      </c>
      <c r="M254" t="str">
        <f>VLOOKUP(H254,CHOOSE({1,2},Table8[Native],Table8[Name]),2,0)</f>
        <v>Chéngguān Qū</v>
      </c>
      <c r="N254" s="13" t="str">
        <f>VLOOKUP(I254,CHOOSE({1,2},Table8[Native],Table8[Name]),2,0)</f>
        <v>Lāsà Shì</v>
      </c>
      <c r="O254" s="13" t="str">
        <f t="shared" si="6"/>
        <v>Jiri Jiedao (Lāsà Shì)</v>
      </c>
      <c r="P254" s="13" t="str">
        <f t="shared" si="7"/>
        <v>Jiri Jiedao (Lāsà Shì)</v>
      </c>
    </row>
    <row r="255" spans="1:16" hidden="1" x14ac:dyDescent="0.25">
      <c r="A255" t="s">
        <v>990</v>
      </c>
      <c r="B255" t="str">
        <f>IF(COUNTIF(A:A,A255)&gt;1,_xlfn.CONCAT(A255," (",N255,")"),A255)</f>
        <v>Jírŭ Xiāng (Rìkāzé Shì)</v>
      </c>
      <c r="C255" t="str">
        <f>IF(COUNTIF(B:B,B255)&gt;1,_xlfn.CONCAT(A255," (",M255,")"),B255)</f>
        <v>Jírŭ Xiāng (Rìkāzé Shì)</v>
      </c>
      <c r="D255" t="s">
        <v>991</v>
      </c>
      <c r="E255" t="s">
        <v>7</v>
      </c>
      <c r="F255" t="str">
        <f>_xlfn.CONCAT(D255,", ",H255,", ",I255,", ","西藏自治区")</f>
        <v>吉汝乡, 亚东县, 日喀则市, 西藏自治区</v>
      </c>
      <c r="G255">
        <v>828</v>
      </c>
      <c r="H255" t="s">
        <v>1475</v>
      </c>
      <c r="I255" t="s">
        <v>1458</v>
      </c>
      <c r="J255" t="e">
        <f>VLOOKUP(F255,[1]!china_towns_second__2[[Column1]:[Y]],3,FALSE)</f>
        <v>#N/A</v>
      </c>
      <c r="K255" t="e">
        <f>VLOOKUP(F255,[1]!china_towns_second__2[[Column1]:[Y]],2,FALSE)</f>
        <v>#N/A</v>
      </c>
      <c r="L255" t="s">
        <v>1913</v>
      </c>
      <c r="M255" t="str">
        <f>VLOOKUP(H255,CHOOSE({1,2},Table8[Native],Table8[Name]),2,0)</f>
        <v>Yàdōng Xiàn</v>
      </c>
      <c r="N255" s="13" t="str">
        <f>VLOOKUP(I255,CHOOSE({1,2},Table8[Native],Table8[Name]),2,0)</f>
        <v>Rìkāzé Shì</v>
      </c>
      <c r="O255" s="13" t="str">
        <f t="shared" si="6"/>
        <v>Jiru Xiang (Rikaze Shi) (Rìkāzé Shì)</v>
      </c>
      <c r="P255" s="13" t="str">
        <f t="shared" si="7"/>
        <v>Jiru Xiang (Rikaze Shi) (Rìkāzé Shì)</v>
      </c>
    </row>
    <row r="256" spans="1:16" hidden="1" x14ac:dyDescent="0.25">
      <c r="A256" t="s">
        <v>990</v>
      </c>
      <c r="B256" t="str">
        <f>IF(COUNTIF(A:A,A256)&gt;1,_xlfn.CONCAT(A256," (",N256,")"),A256)</f>
        <v>Jírŭ Xiāng (Shānnán Shì)</v>
      </c>
      <c r="C256" t="str">
        <f>IF(COUNTIF(B:B,B256)&gt;1,_xlfn.CONCAT(A256," (",M256,")"),B256)</f>
        <v>Jírŭ Xiāng (Shānnán Shì)</v>
      </c>
      <c r="D256" t="s">
        <v>991</v>
      </c>
      <c r="E256" t="s">
        <v>7</v>
      </c>
      <c r="F256" t="str">
        <f>_xlfn.CONCAT(D256,", ",H256,", ",I256,", ","西藏自治区")</f>
        <v>吉汝乡, 扎囊县, 山南市, 西藏自治区</v>
      </c>
      <c r="G256">
        <v>10083</v>
      </c>
      <c r="H256" t="s">
        <v>1489</v>
      </c>
      <c r="I256" t="s">
        <v>1477</v>
      </c>
      <c r="J256" t="e">
        <f>VLOOKUP(F256,[1]!china_towns_second__2[[Column1]:[Y]],3,FALSE)</f>
        <v>#N/A</v>
      </c>
      <c r="K256" t="e">
        <f>VLOOKUP(F256,[1]!china_towns_second__2[[Column1]:[Y]],2,FALSE)</f>
        <v>#N/A</v>
      </c>
      <c r="L256" t="s">
        <v>1914</v>
      </c>
      <c r="M256" t="str">
        <f>VLOOKUP(H256,CHOOSE({1,2},Table8[Native],Table8[Name]),2,0)</f>
        <v>Zhānáng Xiàn</v>
      </c>
      <c r="N256" s="13" t="str">
        <f>VLOOKUP(I256,CHOOSE({1,2},Table8[Native],Table8[Name]),2,0)</f>
        <v>Shānnán Shì</v>
      </c>
      <c r="O256" s="13" t="str">
        <f t="shared" si="6"/>
        <v>Jiru Xiang (Shannan Shi) (Shānnán Shì)</v>
      </c>
      <c r="P256" s="13" t="str">
        <f t="shared" si="7"/>
        <v>Jiru Xiang (Shannan Shi) (Shānnán Shì)</v>
      </c>
    </row>
    <row r="257" spans="1:16" x14ac:dyDescent="0.25">
      <c r="A257" t="s">
        <v>189</v>
      </c>
      <c r="B257" t="str">
        <f>IF(COUNTIF(A:A,A257)&gt;1,_xlfn.CONCAT(A257," (",N257,")"),A257)</f>
        <v>Jítáng Zhèn</v>
      </c>
      <c r="C257" t="str">
        <f>IF(COUNTIF(B:B,B257)&gt;1,_xlfn.CONCAT(A257," (",M257,")"),B257)</f>
        <v>Jítáng Zhèn</v>
      </c>
      <c r="D257" t="s">
        <v>190</v>
      </c>
      <c r="E257" t="s">
        <v>17</v>
      </c>
      <c r="F257" t="str">
        <f>_xlfn.CONCAT(D257,", ",H257,", ",I257,", ","西藏自治区")</f>
        <v>吉塘镇, 察雅县, 昌都市, 西藏自治区</v>
      </c>
      <c r="G257">
        <v>4345</v>
      </c>
      <c r="H257" t="s">
        <v>1418</v>
      </c>
      <c r="I257" t="s">
        <v>1415</v>
      </c>
      <c r="J257">
        <f>VLOOKUP(F257,[1]!china_towns_second__2[[Column1]:[Y]],3,FALSE)</f>
        <v>30.6552046545272</v>
      </c>
      <c r="K257">
        <f>VLOOKUP(F257,[1]!china_towns_second__2[[Column1]:[Y]],2,FALSE)</f>
        <v>97.326117460000006</v>
      </c>
      <c r="L257" t="s">
        <v>1915</v>
      </c>
      <c r="M257" t="str">
        <f>VLOOKUP(H257,CHOOSE({1,2},Table8[Native],Table8[Name]),2,0)</f>
        <v>Cháyă Xiàn</v>
      </c>
      <c r="N257" s="13" t="str">
        <f>VLOOKUP(I257,CHOOSE({1,2},Table8[Native],Table8[Name]),2,0)</f>
        <v>Chāngdū Shì</v>
      </c>
      <c r="O257" s="13" t="str">
        <f t="shared" si="6"/>
        <v>Jitang Zhen (Chāngdū Shì)</v>
      </c>
      <c r="P257" s="13" t="str">
        <f t="shared" si="7"/>
        <v>Jitang Zhen (Chāngdū Shì)</v>
      </c>
    </row>
    <row r="258" spans="1:16" hidden="1" x14ac:dyDescent="0.25">
      <c r="A258" t="s">
        <v>703</v>
      </c>
      <c r="B258" t="str">
        <f>IF(COUNTIF(A:A,A258)&gt;1,_xlfn.CONCAT(A258," (",N258,")"),A258)</f>
        <v>Jíwă Xiāng</v>
      </c>
      <c r="C258" t="str">
        <f>IF(COUNTIF(B:B,B258)&gt;1,_xlfn.CONCAT(A258," (",M258,")"),B258)</f>
        <v>Jíwă Xiāng</v>
      </c>
      <c r="D258" t="s">
        <v>704</v>
      </c>
      <c r="E258" t="s">
        <v>7</v>
      </c>
      <c r="F258" t="str">
        <f>_xlfn.CONCAT(D258,", ",H258,", ",I258,", ","西藏自治区")</f>
        <v>吉瓦乡, 尼玛县, 那曲市, 西藏自治区</v>
      </c>
      <c r="G258">
        <v>1664</v>
      </c>
      <c r="H258" t="s">
        <v>1452</v>
      </c>
      <c r="I258" t="s">
        <v>1445</v>
      </c>
      <c r="J258" t="e">
        <f>VLOOKUP(F258,[1]!china_towns_second__2[[Column1]:[Y]],3,FALSE)</f>
        <v>#N/A</v>
      </c>
      <c r="K258" t="e">
        <f>VLOOKUP(F258,[1]!china_towns_second__2[[Column1]:[Y]],2,FALSE)</f>
        <v>#N/A</v>
      </c>
      <c r="L258" t="s">
        <v>1916</v>
      </c>
      <c r="M258" t="str">
        <f>VLOOKUP(H258,CHOOSE({1,2},Table8[Native],Table8[Name]),2,0)</f>
        <v>Nímă Xiàn</v>
      </c>
      <c r="N258" s="13" t="str">
        <f>VLOOKUP(I258,CHOOSE({1,2},Table8[Native],Table8[Name]),2,0)</f>
        <v>Nàqŭ Shì</v>
      </c>
      <c r="O258" s="13" t="str">
        <f t="shared" ref="O258:O321" si="8">_xlfn.CONCAT(L258," (",N258,")")</f>
        <v>Jiwa Xiang (Nàqŭ Shì)</v>
      </c>
      <c r="P258" s="13" t="str">
        <f t="shared" ref="P258:P321" si="9">IF(COUNTIF(O:O,O258)&gt;1,_xlfn.CONCAT(L258," (",M258,")"),O258)</f>
        <v>Jiwa Xiang (Nàqŭ Shì)</v>
      </c>
    </row>
    <row r="259" spans="1:16" x14ac:dyDescent="0.25">
      <c r="A259" t="s">
        <v>1302</v>
      </c>
      <c r="B259" t="str">
        <f>IF(COUNTIF(A:A,A259)&gt;1,_xlfn.CONCAT(A259," (",N259,")"),A259)</f>
        <v>Jíxióng Zhèn</v>
      </c>
      <c r="C259" t="str">
        <f>IF(COUNTIF(B:B,B259)&gt;1,_xlfn.CONCAT(A259," (",M259,")"),B259)</f>
        <v>Jíxióng Zhèn</v>
      </c>
      <c r="D259" t="s">
        <v>1303</v>
      </c>
      <c r="E259" t="s">
        <v>17</v>
      </c>
      <c r="F259" t="str">
        <f>_xlfn.CONCAT(D259,", ",H259,", ",I259,", ","西藏自治区")</f>
        <v>吉雄镇, 贡嘎县, 山南市, 西藏自治区</v>
      </c>
      <c r="G259">
        <v>5016</v>
      </c>
      <c r="H259" t="s">
        <v>1480</v>
      </c>
      <c r="I259" t="s">
        <v>1477</v>
      </c>
      <c r="J259">
        <f>VLOOKUP(F259,[1]!china_towns_second__2[[Column1]:[Y]],3,FALSE)</f>
        <v>29.323136366494101</v>
      </c>
      <c r="K259">
        <f>VLOOKUP(F259,[1]!china_towns_second__2[[Column1]:[Y]],2,FALSE)</f>
        <v>91.0222433</v>
      </c>
      <c r="L259" t="s">
        <v>1917</v>
      </c>
      <c r="M259" t="str">
        <f>VLOOKUP(H259,CHOOSE({1,2},Table8[Native],Table8[Name]),2,0)</f>
        <v>Gònggā Xiàn</v>
      </c>
      <c r="N259" s="13" t="str">
        <f>VLOOKUP(I259,CHOOSE({1,2},Table8[Native],Table8[Name]),2,0)</f>
        <v>Shānnán Shì</v>
      </c>
      <c r="O259" s="13" t="str">
        <f t="shared" si="8"/>
        <v>Jixiong Zhen (Shānnán Shì)</v>
      </c>
      <c r="P259" s="13" t="str">
        <f t="shared" si="9"/>
        <v>Jixiong Zhen (Shānnán Shì)</v>
      </c>
    </row>
    <row r="260" spans="1:16" hidden="1" x14ac:dyDescent="0.25">
      <c r="A260" t="s">
        <v>191</v>
      </c>
      <c r="B260" t="str">
        <f>IF(COUNTIF(A:A,A260)&gt;1,_xlfn.CONCAT(A260," (",N260,")"),A260)</f>
        <v>Jízhōng Xiāng</v>
      </c>
      <c r="C260" t="str">
        <f>IF(COUNTIF(B:B,B260)&gt;1,_xlfn.CONCAT(A260," (",M260,")"),B260)</f>
        <v>Jízhōng Xiāng</v>
      </c>
      <c r="D260" t="s">
        <v>192</v>
      </c>
      <c r="E260" t="s">
        <v>7</v>
      </c>
      <c r="F260" t="str">
        <f>_xlfn.CONCAT(D260,", ",H260,", ",I260,", ","西藏自治区")</f>
        <v>吉中乡, 八宿县, 昌都市, 西藏自治区</v>
      </c>
      <c r="G260">
        <v>1465</v>
      </c>
      <c r="H260" t="s">
        <v>1416</v>
      </c>
      <c r="I260" t="s">
        <v>1415</v>
      </c>
      <c r="J260" t="e">
        <f>VLOOKUP(F260,[1]!china_towns_second__2[[Column1]:[Y]],3,FALSE)</f>
        <v>#N/A</v>
      </c>
      <c r="K260" t="e">
        <f>VLOOKUP(F260,[1]!china_towns_second__2[[Column1]:[Y]],2,FALSE)</f>
        <v>#N/A</v>
      </c>
      <c r="L260" t="s">
        <v>1918</v>
      </c>
      <c r="M260" t="str">
        <f>VLOOKUP(H260,CHOOSE({1,2},Table8[Native],Table8[Name]),2,0)</f>
        <v>Bāsù Xiàn</v>
      </c>
      <c r="N260" s="13" t="str">
        <f>VLOOKUP(I260,CHOOSE({1,2},Table8[Native],Table8[Name]),2,0)</f>
        <v>Chāngdū Shì</v>
      </c>
      <c r="O260" s="13" t="str">
        <f t="shared" si="8"/>
        <v>Jizhong Xiang (Chāngdū Shì)</v>
      </c>
      <c r="P260" s="13" t="str">
        <f t="shared" si="9"/>
        <v>Jizhong Xiang (Chāngdū Shì)</v>
      </c>
    </row>
    <row r="261" spans="1:16" hidden="1" x14ac:dyDescent="0.25">
      <c r="A261" t="s">
        <v>193</v>
      </c>
      <c r="B261" t="str">
        <f>IF(COUNTIF(A:A,A261)&gt;1,_xlfn.CONCAT(A261," (",N261,")"),A261)</f>
        <v>Jué'ēn Xiāng</v>
      </c>
      <c r="C261" t="str">
        <f>IF(COUNTIF(B:B,B261)&gt;1,_xlfn.CONCAT(A261," (",M261,")"),B261)</f>
        <v>Jué'ēn Xiāng</v>
      </c>
      <c r="D261" t="s">
        <v>194</v>
      </c>
      <c r="E261" t="s">
        <v>7</v>
      </c>
      <c r="F261" t="str">
        <f>_xlfn.CONCAT(D261,", ",H261,", ",I261,", ","西藏自治区")</f>
        <v>觉恩乡, 丁青县, 昌都市, 西藏自治区</v>
      </c>
      <c r="G261">
        <v>9913</v>
      </c>
      <c r="H261" t="s">
        <v>1419</v>
      </c>
      <c r="I261" t="s">
        <v>1415</v>
      </c>
      <c r="J261" t="e">
        <f>VLOOKUP(F261,[1]!china_towns_second__2[[Column1]:[Y]],3,FALSE)</f>
        <v>#N/A</v>
      </c>
      <c r="K261" t="e">
        <f>VLOOKUP(F261,[1]!china_towns_second__2[[Column1]:[Y]],2,FALSE)</f>
        <v>#N/A</v>
      </c>
      <c r="L261" t="s">
        <v>1919</v>
      </c>
      <c r="M261" t="str">
        <f>VLOOKUP(H261,CHOOSE({1,2},Table8[Native],Table8[Name]),2,0)</f>
        <v>Dīngqīng Xiàn</v>
      </c>
      <c r="N261" s="13" t="str">
        <f>VLOOKUP(I261,CHOOSE({1,2},Table8[Native],Table8[Name]),2,0)</f>
        <v>Chāngdū Shì</v>
      </c>
      <c r="O261" s="13" t="str">
        <f t="shared" si="8"/>
        <v>Jue'en Xiang (Chāngdū Shì)</v>
      </c>
      <c r="P261" s="13" t="str">
        <f t="shared" si="9"/>
        <v>Jue'en Xiang (Chāngdū Shì)</v>
      </c>
    </row>
    <row r="262" spans="1:16" hidden="1" x14ac:dyDescent="0.25">
      <c r="A262" t="s">
        <v>1304</v>
      </c>
      <c r="B262" t="str">
        <f>IF(COUNTIF(A:A,A262)&gt;1,_xlfn.CONCAT(A262," (",N262,")"),A262)</f>
        <v>Juélā Xiāng</v>
      </c>
      <c r="C262" t="str">
        <f>IF(COUNTIF(B:B,B262)&gt;1,_xlfn.CONCAT(A262," (",M262,")"),B262)</f>
        <v>Juélā Xiāng</v>
      </c>
      <c r="D262" t="s">
        <v>1305</v>
      </c>
      <c r="E262" t="s">
        <v>7</v>
      </c>
      <c r="F262" t="str">
        <f>_xlfn.CONCAT(D262,", ",H262,", ",I262,", ","西藏自治区")</f>
        <v>觉拉乡, 错那县, 山南市, 西藏自治区</v>
      </c>
      <c r="G262">
        <v>4481</v>
      </c>
      <c r="H262" t="s">
        <v>1479</v>
      </c>
      <c r="I262" t="s">
        <v>1477</v>
      </c>
      <c r="J262" t="e">
        <f>VLOOKUP(F262,[1]!china_towns_second__2[[Column1]:[Y]],3,FALSE)</f>
        <v>#N/A</v>
      </c>
      <c r="K262" t="e">
        <f>VLOOKUP(F262,[1]!china_towns_second__2[[Column1]:[Y]],2,FALSE)</f>
        <v>#N/A</v>
      </c>
      <c r="L262" t="s">
        <v>1920</v>
      </c>
      <c r="M262" t="str">
        <f>VLOOKUP(H262,CHOOSE({1,2},Table8[Native],Table8[Name]),2,0)</f>
        <v>Cuònà Xiàn</v>
      </c>
      <c r="N262" s="13" t="str">
        <f>VLOOKUP(I262,CHOOSE({1,2},Table8[Native],Table8[Name]),2,0)</f>
        <v>Shānnán Shì</v>
      </c>
      <c r="O262" s="13" t="str">
        <f t="shared" si="8"/>
        <v>Juela Xiang (Shānnán Shì)</v>
      </c>
      <c r="P262" s="13" t="str">
        <f t="shared" si="9"/>
        <v>Juela Xiang (Shānnán Shì)</v>
      </c>
    </row>
    <row r="263" spans="1:16" hidden="1" x14ac:dyDescent="0.25">
      <c r="A263" t="s">
        <v>705</v>
      </c>
      <c r="B263" t="str">
        <f>IF(COUNTIF(A:A,A263)&gt;1,_xlfn.CONCAT(A263," (",N263,")"),A263)</f>
        <v>Jūncāng Xiāng</v>
      </c>
      <c r="C263" t="str">
        <f>IF(COUNTIF(B:B,B263)&gt;1,_xlfn.CONCAT(A263," (",M263,")"),B263)</f>
        <v>Jūncāng Xiāng</v>
      </c>
      <c r="D263" t="s">
        <v>706</v>
      </c>
      <c r="E263" t="s">
        <v>7</v>
      </c>
      <c r="F263" t="str">
        <f>_xlfn.CONCAT(D263,", ",H263,", ",I263,", ","西藏自治区")</f>
        <v>军仓乡, 尼玛县, 那曲市, 西藏自治区</v>
      </c>
      <c r="G263">
        <v>1398</v>
      </c>
      <c r="H263" t="s">
        <v>1452</v>
      </c>
      <c r="I263" t="s">
        <v>1445</v>
      </c>
      <c r="J263" t="e">
        <f>VLOOKUP(F263,[1]!china_towns_second__2[[Column1]:[Y]],3,FALSE)</f>
        <v>#N/A</v>
      </c>
      <c r="K263" t="e">
        <f>VLOOKUP(F263,[1]!china_towns_second__2[[Column1]:[Y]],2,FALSE)</f>
        <v>#N/A</v>
      </c>
      <c r="L263" t="s">
        <v>1921</v>
      </c>
      <c r="M263" t="str">
        <f>VLOOKUP(H263,CHOOSE({1,2},Table8[Native],Table8[Name]),2,0)</f>
        <v>Nímă Xiàn</v>
      </c>
      <c r="N263" s="13" t="str">
        <f>VLOOKUP(I263,CHOOSE({1,2},Table8[Native],Table8[Name]),2,0)</f>
        <v>Nàqŭ Shì</v>
      </c>
      <c r="O263" s="13" t="str">
        <f t="shared" si="8"/>
        <v>Juncang Xiang (Nàqŭ Shì)</v>
      </c>
      <c r="P263" s="13" t="str">
        <f t="shared" si="9"/>
        <v>Juncang Xiang (Nàqŭ Shì)</v>
      </c>
    </row>
    <row r="264" spans="1:16" hidden="1" x14ac:dyDescent="0.25">
      <c r="A264" t="s">
        <v>707</v>
      </c>
      <c r="B264" t="str">
        <f>IF(COUNTIF(A:A,A264)&gt;1,_xlfn.CONCAT(A264," (",N264,")"),A264)</f>
        <v>Kǎ Xiāng [Qià Xiāng]</v>
      </c>
      <c r="C264" t="str">
        <f>IF(COUNTIF(B:B,B264)&gt;1,_xlfn.CONCAT(A264," (",M264,")"),B264)</f>
        <v>Kǎ Xiāng [Qià Xiāng]</v>
      </c>
      <c r="D264" t="s">
        <v>708</v>
      </c>
      <c r="E264" t="s">
        <v>7</v>
      </c>
      <c r="F264" t="str">
        <f>_xlfn.CONCAT(D264,", ",H264,", ",I264,", ","西藏自治区")</f>
        <v>卡乡, 申扎县, 那曲市, 西藏自治区</v>
      </c>
      <c r="G264">
        <v>1565</v>
      </c>
      <c r="H264" t="s">
        <v>1455</v>
      </c>
      <c r="I264" t="s">
        <v>1445</v>
      </c>
      <c r="J264" t="e">
        <f>VLOOKUP(F264,[1]!china_towns_second__2[[Column1]:[Y]],3,FALSE)</f>
        <v>#N/A</v>
      </c>
      <c r="K264" t="e">
        <f>VLOOKUP(F264,[1]!china_towns_second__2[[Column1]:[Y]],2,FALSE)</f>
        <v>#N/A</v>
      </c>
      <c r="L264" t="s">
        <v>1922</v>
      </c>
      <c r="M264" t="str">
        <f>VLOOKUP(H264,CHOOSE({1,2},Table8[Native],Table8[Name]),2,0)</f>
        <v>Shēnzhā Xiàn</v>
      </c>
      <c r="N264" s="13" t="str">
        <f>VLOOKUP(I264,CHOOSE({1,2},Table8[Native],Table8[Name]),2,0)</f>
        <v>Nàqŭ Shì</v>
      </c>
      <c r="O264" s="13" t="str">
        <f t="shared" si="8"/>
        <v>Ka Xiang [Qia Xiang] (Nàqŭ Shì)</v>
      </c>
      <c r="P264" s="13" t="str">
        <f t="shared" si="9"/>
        <v>Ka Xiang [Qia Xiang] (Nàqŭ Shì)</v>
      </c>
    </row>
    <row r="265" spans="1:16" hidden="1" x14ac:dyDescent="0.25">
      <c r="A265" t="s">
        <v>1306</v>
      </c>
      <c r="B265" t="str">
        <f>IF(COUNTIF(A:A,A265)&gt;1,_xlfn.CONCAT(A265," (",N265,")"),A265)</f>
        <v>Kădá Xiāng</v>
      </c>
      <c r="C265" t="str">
        <f>IF(COUNTIF(B:B,B265)&gt;1,_xlfn.CONCAT(A265," (",M265,")"),B265)</f>
        <v>Kădá Xiāng</v>
      </c>
      <c r="D265" t="s">
        <v>1307</v>
      </c>
      <c r="E265" t="s">
        <v>7</v>
      </c>
      <c r="F265" t="str">
        <f>_xlfn.CONCAT(D265,", ",H265,", ",I265,", ","西藏自治区")</f>
        <v>卡达乡, 错那县, 山南市, 西藏自治区</v>
      </c>
      <c r="G265">
        <v>1991</v>
      </c>
      <c r="H265" t="s">
        <v>1479</v>
      </c>
      <c r="I265" t="s">
        <v>1477</v>
      </c>
      <c r="J265" t="e">
        <f>VLOOKUP(F265,[1]!china_towns_second__2[[Column1]:[Y]],3,FALSE)</f>
        <v>#N/A</v>
      </c>
      <c r="K265" t="e">
        <f>VLOOKUP(F265,[1]!china_towns_second__2[[Column1]:[Y]],2,FALSE)</f>
        <v>#N/A</v>
      </c>
      <c r="L265" t="s">
        <v>1923</v>
      </c>
      <c r="M265" t="str">
        <f>VLOOKUP(H265,CHOOSE({1,2},Table8[Native],Table8[Name]),2,0)</f>
        <v>Cuònà Xiàn</v>
      </c>
      <c r="N265" s="13" t="str">
        <f>VLOOKUP(I265,CHOOSE({1,2},Table8[Native],Table8[Name]),2,0)</f>
        <v>Shānnán Shì</v>
      </c>
      <c r="O265" s="13" t="str">
        <f t="shared" si="8"/>
        <v>Kada Xiang (Shānnán Shì)</v>
      </c>
      <c r="P265" s="13" t="str">
        <f t="shared" si="9"/>
        <v>Kada Xiang (Shānnán Shì)</v>
      </c>
    </row>
    <row r="266" spans="1:16" hidden="1" x14ac:dyDescent="0.25">
      <c r="A266" t="s">
        <v>992</v>
      </c>
      <c r="B266" t="str">
        <f>IF(COUNTIF(A:A,A266)&gt;1,_xlfn.CONCAT(A266," (",N266,")"),A266)</f>
        <v>Kăduī Xiāng</v>
      </c>
      <c r="C266" t="str">
        <f>IF(COUNTIF(B:B,B266)&gt;1,_xlfn.CONCAT(A266," (",M266,")"),B266)</f>
        <v>Kăduī Xiāng</v>
      </c>
      <c r="D266" t="s">
        <v>993</v>
      </c>
      <c r="E266" t="s">
        <v>7</v>
      </c>
      <c r="F266" t="str">
        <f>_xlfn.CONCAT(D266,", ",H266,", ",I266,", ","西藏自治区")</f>
        <v>卡堆乡, 江孜县, 日喀则市, 西藏自治区</v>
      </c>
      <c r="G266">
        <v>5042</v>
      </c>
      <c r="H266" t="s">
        <v>1464</v>
      </c>
      <c r="I266" t="s">
        <v>1458</v>
      </c>
      <c r="J266" t="e">
        <f>VLOOKUP(F266,[1]!china_towns_second__2[[Column1]:[Y]],3,FALSE)</f>
        <v>#N/A</v>
      </c>
      <c r="K266" t="e">
        <f>VLOOKUP(F266,[1]!china_towns_second__2[[Column1]:[Y]],2,FALSE)</f>
        <v>#N/A</v>
      </c>
      <c r="L266" t="s">
        <v>1924</v>
      </c>
      <c r="M266" t="str">
        <f>VLOOKUP(H266,CHOOSE({1,2},Table8[Native],Table8[Name]),2,0)</f>
        <v>Jiāngzī Xiàn</v>
      </c>
      <c r="N266" s="13" t="str">
        <f>VLOOKUP(I266,CHOOSE({1,2},Table8[Native],Table8[Name]),2,0)</f>
        <v>Rìkāzé Shì</v>
      </c>
      <c r="O266" s="13" t="str">
        <f t="shared" si="8"/>
        <v>Kadui Xiang (Rìkāzé Shì)</v>
      </c>
      <c r="P266" s="13" t="str">
        <f t="shared" si="9"/>
        <v>Kadui Xiang (Rìkāzé Shì)</v>
      </c>
    </row>
    <row r="267" spans="1:16" x14ac:dyDescent="0.25">
      <c r="A267" t="s">
        <v>994</v>
      </c>
      <c r="B267" t="str">
        <f>IF(COUNTIF(A:A,A267)&gt;1,_xlfn.CONCAT(A267," (",N267,")"),A267)</f>
        <v>Kăgā Zhèn (Rìkāzé Shì)</v>
      </c>
      <c r="C267" t="str">
        <f>IF(COUNTIF(B:B,B267)&gt;1,_xlfn.CONCAT(A267," (",M267,")"),B267)</f>
        <v>Kăgā Zhèn (Ángrén Xiàn)</v>
      </c>
      <c r="D267" t="s">
        <v>995</v>
      </c>
      <c r="E267" t="s">
        <v>17</v>
      </c>
      <c r="F267" t="str">
        <f>_xlfn.CONCAT(D267,", ",H267,", ",I267,", ","西藏自治区")</f>
        <v>卡嘎镇, 昂仁县, 日喀则市, 西藏自治区</v>
      </c>
      <c r="G267">
        <v>8567</v>
      </c>
      <c r="H267" t="s">
        <v>1459</v>
      </c>
      <c r="I267" t="s">
        <v>1458</v>
      </c>
      <c r="J267">
        <f>VLOOKUP(F267,[1]!china_towns_second__2[[Column1]:[Y]],3,FALSE)</f>
        <v>29.301293972045201</v>
      </c>
      <c r="K267">
        <f>VLOOKUP(F267,[1]!china_towns_second__2[[Column1]:[Y]],2,FALSE)</f>
        <v>87.2588401</v>
      </c>
      <c r="L267" t="s">
        <v>1925</v>
      </c>
      <c r="M267" t="str">
        <f>VLOOKUP(H267,CHOOSE({1,2},Table8[Native],Table8[Name]),2,0)</f>
        <v>Ángrén Xiàn</v>
      </c>
      <c r="N267" s="13" t="str">
        <f>VLOOKUP(I267,CHOOSE({1,2},Table8[Native],Table8[Name]),2,0)</f>
        <v>Rìkāzé Shì</v>
      </c>
      <c r="O267" s="13" t="str">
        <f t="shared" si="8"/>
        <v>Kaga Zhen (Angren Xian) (Rìkāzé Shì)</v>
      </c>
      <c r="P267" s="13" t="str">
        <f t="shared" si="9"/>
        <v>Kaga Zhen (Angren Xian) (Rìkāzé Shì)</v>
      </c>
    </row>
    <row r="268" spans="1:16" x14ac:dyDescent="0.25">
      <c r="A268" t="s">
        <v>994</v>
      </c>
      <c r="B268" t="str">
        <f>IF(COUNTIF(A:A,A268)&gt;1,_xlfn.CONCAT(A268," (",N268,")"),A268)</f>
        <v>Kăgā Zhèn (Rìkāzé Shì)</v>
      </c>
      <c r="C268" t="str">
        <f>IF(COUNTIF(B:B,B268)&gt;1,_xlfn.CONCAT(A268," (",M268,")"),B268)</f>
        <v>Kăgā Zhèn (Xiètōngmén Xiàn)</v>
      </c>
      <c r="D268" t="s">
        <v>995</v>
      </c>
      <c r="E268" t="s">
        <v>17</v>
      </c>
      <c r="F268" t="str">
        <f>_xlfn.CONCAT(D268,", ",H268,", ",I268,", ","西藏自治区")</f>
        <v>卡嘎镇, 谢通门县, 日喀则市, 西藏自治区</v>
      </c>
      <c r="G268">
        <v>7023</v>
      </c>
      <c r="H268" t="s">
        <v>1474</v>
      </c>
      <c r="I268" t="s">
        <v>1458</v>
      </c>
      <c r="J268">
        <f>VLOOKUP(F268,[1]!china_towns_second__2[[Column1]:[Y]],3,FALSE)</f>
        <v>29.484011046572501</v>
      </c>
      <c r="K268">
        <f>VLOOKUP(F268,[1]!china_towns_second__2[[Column1]:[Y]],2,FALSE)</f>
        <v>88.270162020000001</v>
      </c>
      <c r="L268" t="s">
        <v>1926</v>
      </c>
      <c r="M268" t="str">
        <f>VLOOKUP(H268,CHOOSE({1,2},Table8[Native],Table8[Name]),2,0)</f>
        <v>Xiètōngmén Xiàn</v>
      </c>
      <c r="N268" s="13" t="str">
        <f>VLOOKUP(I268,CHOOSE({1,2},Table8[Native],Table8[Name]),2,0)</f>
        <v>Rìkāzé Shì</v>
      </c>
      <c r="O268" s="13" t="str">
        <f t="shared" si="8"/>
        <v>Kaga Zhen (Xietongmen Xian) (Rìkāzé Shì)</v>
      </c>
      <c r="P268" s="13" t="str">
        <f t="shared" si="9"/>
        <v>Kaga Zhen (Xietongmen Xian) (Rìkāzé Shì)</v>
      </c>
    </row>
    <row r="269" spans="1:16" hidden="1" x14ac:dyDescent="0.25">
      <c r="A269" t="s">
        <v>195</v>
      </c>
      <c r="B269" t="str">
        <f>IF(COUNTIF(A:A,A269)&gt;1,_xlfn.CONCAT(A269," (",N269,")"),A269)</f>
        <v>Kăgòng Xiāng (Chāngdū Shì)</v>
      </c>
      <c r="C269" t="str">
        <f>IF(COUNTIF(B:B,B269)&gt;1,_xlfn.CONCAT(A269," (",M269,")"),B269)</f>
        <v>Kăgòng Xiāng (Jiāngdá Xiàn)</v>
      </c>
      <c r="D269" t="s">
        <v>196</v>
      </c>
      <c r="E269" t="s">
        <v>7</v>
      </c>
      <c r="F269" t="str">
        <f>_xlfn.CONCAT(D269,", ",H269,", ",I269,", ","西藏自治区")</f>
        <v>卡贡乡, 江达县, 昌都市, 西藏自治区</v>
      </c>
      <c r="G269">
        <v>4175</v>
      </c>
      <c r="H269" t="s">
        <v>1421</v>
      </c>
      <c r="I269" t="s">
        <v>1415</v>
      </c>
      <c r="J269" t="e">
        <f>VLOOKUP(F269,[1]!china_towns_second__2[[Column1]:[Y]],3,FALSE)</f>
        <v>#N/A</v>
      </c>
      <c r="K269" t="e">
        <f>VLOOKUP(F269,[1]!china_towns_second__2[[Column1]:[Y]],2,FALSE)</f>
        <v>#N/A</v>
      </c>
      <c r="L269" t="s">
        <v>1927</v>
      </c>
      <c r="M269" t="str">
        <f>VLOOKUP(H269,CHOOSE({1,2},Table8[Native],Table8[Name]),2,0)</f>
        <v>Jiāngdá Xiàn</v>
      </c>
      <c r="N269" s="13" t="str">
        <f>VLOOKUP(I269,CHOOSE({1,2},Table8[Native],Table8[Name]),2,0)</f>
        <v>Chāngdū Shì</v>
      </c>
      <c r="O269" s="13" t="str">
        <f t="shared" si="8"/>
        <v>Kagong Xiang (Jiangda Xian) (Chāngdū Shì)</v>
      </c>
      <c r="P269" s="13" t="str">
        <f t="shared" si="9"/>
        <v>Kagong Xiang (Jiangda Xian) (Chāngdū Shì)</v>
      </c>
    </row>
    <row r="270" spans="1:16" hidden="1" x14ac:dyDescent="0.25">
      <c r="A270" t="s">
        <v>195</v>
      </c>
      <c r="B270" t="str">
        <f>IF(COUNTIF(A:A,A270)&gt;1,_xlfn.CONCAT(A270," (",N270,")"),A270)</f>
        <v>Kăgòng Xiāng (Chāngdū Shì)</v>
      </c>
      <c r="C270" t="str">
        <f>IF(COUNTIF(B:B,B270)&gt;1,_xlfn.CONCAT(A270," (",M270,")"),B270)</f>
        <v>Kăgòng Xiāng (Cháyă Xiàn)</v>
      </c>
      <c r="D270" t="s">
        <v>196</v>
      </c>
      <c r="E270" t="s">
        <v>7</v>
      </c>
      <c r="F270" t="str">
        <f>_xlfn.CONCAT(D270,", ",H270,", ",I270,", ","西藏自治区")</f>
        <v>卡贡乡, 察雅县, 昌都市, 西藏自治区</v>
      </c>
      <c r="G270">
        <v>3682</v>
      </c>
      <c r="H270" t="s">
        <v>1418</v>
      </c>
      <c r="I270" t="s">
        <v>1415</v>
      </c>
      <c r="J270" t="e">
        <f>VLOOKUP(F270,[1]!china_towns_second__2[[Column1]:[Y]],3,FALSE)</f>
        <v>#N/A</v>
      </c>
      <c r="K270" t="e">
        <f>VLOOKUP(F270,[1]!china_towns_second__2[[Column1]:[Y]],2,FALSE)</f>
        <v>#N/A</v>
      </c>
      <c r="L270" t="s">
        <v>1928</v>
      </c>
      <c r="M270" t="str">
        <f>VLOOKUP(H270,CHOOSE({1,2},Table8[Native],Table8[Name]),2,0)</f>
        <v>Cháyă Xiàn</v>
      </c>
      <c r="N270" s="13" t="str">
        <f>VLOOKUP(I270,CHOOSE({1,2},Table8[Native],Table8[Name]),2,0)</f>
        <v>Chāngdū Shì</v>
      </c>
      <c r="O270" s="13" t="str">
        <f t="shared" si="8"/>
        <v>Kagong Xiang (Chaya Xian) (Chāngdū Shì)</v>
      </c>
      <c r="P270" s="13" t="str">
        <f t="shared" si="9"/>
        <v>Kagong Xiang (Chaya Xian) (Chāngdū Shì)</v>
      </c>
    </row>
    <row r="271" spans="1:16" hidden="1" x14ac:dyDescent="0.25">
      <c r="A271" t="s">
        <v>1308</v>
      </c>
      <c r="B271" t="str">
        <f>IF(COUNTIF(A:A,A271)&gt;1,_xlfn.CONCAT(A271," (",N271,")"),A271)</f>
        <v>Kălóng Xiāng</v>
      </c>
      <c r="C271" t="str">
        <f>IF(COUNTIF(B:B,B271)&gt;1,_xlfn.CONCAT(A271," (",M271,")"),B271)</f>
        <v>Kălóng Xiāng</v>
      </c>
      <c r="D271" t="s">
        <v>1309</v>
      </c>
      <c r="E271" t="s">
        <v>7</v>
      </c>
      <c r="F271" t="str">
        <f>_xlfn.CONCAT(D271,", ",H271,", ",I271,", ","西藏自治区")</f>
        <v>卡龙乡, 浪卡子县, 山南市, 西藏自治区</v>
      </c>
      <c r="G271">
        <v>1950</v>
      </c>
      <c r="H271" t="s">
        <v>1482</v>
      </c>
      <c r="I271" t="s">
        <v>1477</v>
      </c>
      <c r="J271" t="e">
        <f>VLOOKUP(F271,[1]!china_towns_second__2[[Column1]:[Y]],3,FALSE)</f>
        <v>#N/A</v>
      </c>
      <c r="K271" t="e">
        <f>VLOOKUP(F271,[1]!china_towns_second__2[[Column1]:[Y]],2,FALSE)</f>
        <v>#N/A</v>
      </c>
      <c r="L271" t="s">
        <v>1929</v>
      </c>
      <c r="M271" t="str">
        <f>VLOOKUP(H271,CHOOSE({1,2},Table8[Native],Table8[Name]),2,0)</f>
        <v>Làngkăzi Xiàn</v>
      </c>
      <c r="N271" s="13" t="str">
        <f>VLOOKUP(I271,CHOOSE({1,2},Table8[Native],Table8[Name]),2,0)</f>
        <v>Shānnán Shì</v>
      </c>
      <c r="O271" s="13" t="str">
        <f t="shared" si="8"/>
        <v>Kalong Xiang (Shānnán Shì)</v>
      </c>
      <c r="P271" s="13" t="str">
        <f t="shared" si="9"/>
        <v>Kalong Xiang (Shānnán Shì)</v>
      </c>
    </row>
    <row r="272" spans="1:16" hidden="1" x14ac:dyDescent="0.25">
      <c r="A272" t="s">
        <v>197</v>
      </c>
      <c r="B272" t="str">
        <f>IF(COUNTIF(A:A,A272)&gt;1,_xlfn.CONCAT(A272," (",N272,")"),A272)</f>
        <v>Kămăduō Xiāng</v>
      </c>
      <c r="C272" t="str">
        <f>IF(COUNTIF(B:B,B272)&gt;1,_xlfn.CONCAT(A272," (",M272,")"),B272)</f>
        <v>Kămăduō Xiāng</v>
      </c>
      <c r="D272" t="s">
        <v>198</v>
      </c>
      <c r="E272" t="s">
        <v>7</v>
      </c>
      <c r="F272" t="str">
        <f>_xlfn.CONCAT(D272,", ",H272,", ",I272,", ","西藏自治区")</f>
        <v>卡玛多乡, 类乌齐县, 昌都市, 西藏自治区</v>
      </c>
      <c r="G272">
        <v>4713</v>
      </c>
      <c r="H272" t="s">
        <v>1424</v>
      </c>
      <c r="I272" t="s">
        <v>1415</v>
      </c>
      <c r="J272" t="e">
        <f>VLOOKUP(F272,[1]!china_towns_second__2[[Column1]:[Y]],3,FALSE)</f>
        <v>#N/A</v>
      </c>
      <c r="K272" t="e">
        <f>VLOOKUP(F272,[1]!china_towns_second__2[[Column1]:[Y]],2,FALSE)</f>
        <v>#N/A</v>
      </c>
      <c r="L272" t="s">
        <v>1930</v>
      </c>
      <c r="M272" t="str">
        <f>VLOOKUP(H272,CHOOSE({1,2},Table8[Native],Table8[Name]),2,0)</f>
        <v>Lèiwūqí Xiàn</v>
      </c>
      <c r="N272" s="13" t="str">
        <f>VLOOKUP(I272,CHOOSE({1,2},Table8[Native],Table8[Name]),2,0)</f>
        <v>Chāngdū Shì</v>
      </c>
      <c r="O272" s="13" t="str">
        <f t="shared" si="8"/>
        <v>Kamaduo Xiang (Chāngdū Shì)</v>
      </c>
      <c r="P272" s="13" t="str">
        <f t="shared" si="9"/>
        <v>Kamaduo Xiang (Chāngdū Shì)</v>
      </c>
    </row>
    <row r="273" spans="1:16" hidden="1" x14ac:dyDescent="0.25">
      <c r="A273" t="s">
        <v>996</v>
      </c>
      <c r="B273" t="str">
        <f>IF(COUNTIF(A:A,A273)&gt;1,_xlfn.CONCAT(A273," (",N273,")"),A273)</f>
        <v>Kămài Xiāng</v>
      </c>
      <c r="C273" t="str">
        <f>IF(COUNTIF(B:B,B273)&gt;1,_xlfn.CONCAT(A273," (",M273,")"),B273)</f>
        <v>Kămài Xiāng</v>
      </c>
      <c r="D273" t="s">
        <v>997</v>
      </c>
      <c r="E273" t="s">
        <v>7</v>
      </c>
      <c r="F273" t="str">
        <f>_xlfn.CONCAT(D273,", ",H273,", ",I273,", ","西藏自治区")</f>
        <v>卡麦乡, 江孜县, 日喀则市, 西藏自治区</v>
      </c>
      <c r="G273">
        <v>5174</v>
      </c>
      <c r="H273" t="s">
        <v>1464</v>
      </c>
      <c r="I273" t="s">
        <v>1458</v>
      </c>
      <c r="J273" t="e">
        <f>VLOOKUP(F273,[1]!china_towns_second__2[[Column1]:[Y]],3,FALSE)</f>
        <v>#N/A</v>
      </c>
      <c r="K273" t="e">
        <f>VLOOKUP(F273,[1]!china_towns_second__2[[Column1]:[Y]],2,FALSE)</f>
        <v>#N/A</v>
      </c>
      <c r="L273" t="s">
        <v>1931</v>
      </c>
      <c r="M273" t="str">
        <f>VLOOKUP(H273,CHOOSE({1,2},Table8[Native],Table8[Name]),2,0)</f>
        <v>Jiāngzī Xiàn</v>
      </c>
      <c r="N273" s="13" t="str">
        <f>VLOOKUP(I273,CHOOSE({1,2},Table8[Native],Table8[Name]),2,0)</f>
        <v>Rìkāzé Shì</v>
      </c>
      <c r="O273" s="13" t="str">
        <f t="shared" si="8"/>
        <v>Kamai Xiang (Rìkāzé Shì)</v>
      </c>
      <c r="P273" s="13" t="str">
        <f t="shared" si="9"/>
        <v>Kamai Xiang (Rìkāzé Shì)</v>
      </c>
    </row>
    <row r="274" spans="1:16" hidden="1" x14ac:dyDescent="0.25">
      <c r="A274" t="s">
        <v>998</v>
      </c>
      <c r="B274" t="str">
        <f>IF(COUNTIF(A:A,A274)&gt;1,_xlfn.CONCAT(A274," (",N274,")"),A274)</f>
        <v>Kāngbù Xiāng</v>
      </c>
      <c r="C274" t="str">
        <f>IF(COUNTIF(B:B,B274)&gt;1,_xlfn.CONCAT(A274," (",M274,")"),B274)</f>
        <v>Kāngbù Xiāng</v>
      </c>
      <c r="D274" t="s">
        <v>999</v>
      </c>
      <c r="E274" t="s">
        <v>7</v>
      </c>
      <c r="F274" t="str">
        <f>_xlfn.CONCAT(D274,", ",H274,", ",I274,", ","西藏自治区")</f>
        <v>康布乡, 亚东县, 日喀则市, 西藏自治区</v>
      </c>
      <c r="G274">
        <v>1078</v>
      </c>
      <c r="H274" t="s">
        <v>1475</v>
      </c>
      <c r="I274" t="s">
        <v>1458</v>
      </c>
      <c r="J274" t="e">
        <f>VLOOKUP(F274,[1]!china_towns_second__2[[Column1]:[Y]],3,FALSE)</f>
        <v>#N/A</v>
      </c>
      <c r="K274" t="e">
        <f>VLOOKUP(F274,[1]!china_towns_second__2[[Column1]:[Y]],2,FALSE)</f>
        <v>#N/A</v>
      </c>
      <c r="L274" t="s">
        <v>1932</v>
      </c>
      <c r="M274" t="str">
        <f>VLOOKUP(H274,CHOOSE({1,2},Table8[Native],Table8[Name]),2,0)</f>
        <v>Yàdōng Xiàn</v>
      </c>
      <c r="N274" s="13" t="str">
        <f>VLOOKUP(I274,CHOOSE({1,2},Table8[Native],Table8[Name]),2,0)</f>
        <v>Rìkāzé Shì</v>
      </c>
      <c r="O274" s="13" t="str">
        <f t="shared" si="8"/>
        <v>Kangbu Xiang (Rìkāzé Shì)</v>
      </c>
      <c r="P274" s="13" t="str">
        <f t="shared" si="9"/>
        <v>Kangbu Xiang (Rìkāzé Shì)</v>
      </c>
    </row>
    <row r="275" spans="1:16" x14ac:dyDescent="0.25">
      <c r="A275" t="s">
        <v>1000</v>
      </c>
      <c r="B275" t="str">
        <f>IF(COUNTIF(A:A,A275)&gt;1,_xlfn.CONCAT(A275," (",N275,")"),A275)</f>
        <v>Kāngmă Zhèn</v>
      </c>
      <c r="C275" t="str">
        <f>IF(COUNTIF(B:B,B275)&gt;1,_xlfn.CONCAT(A275," (",M275,")"),B275)</f>
        <v>Kāngmă Zhèn</v>
      </c>
      <c r="D275" t="s">
        <v>1001</v>
      </c>
      <c r="E275" t="s">
        <v>17</v>
      </c>
      <c r="F275" t="str">
        <f>_xlfn.CONCAT(D275,", ",H275,", ",I275,", ","西藏自治区")</f>
        <v>康马镇, 康马县, 日喀则市, 西藏自治区</v>
      </c>
      <c r="G275">
        <v>3085</v>
      </c>
      <c r="H275" t="s">
        <v>1466</v>
      </c>
      <c r="I275" t="s">
        <v>1458</v>
      </c>
      <c r="J275">
        <f>VLOOKUP(F275,[1]!china_towns_second__2[[Column1]:[Y]],3,FALSE)</f>
        <v>28.510051816503701</v>
      </c>
      <c r="K275">
        <f>VLOOKUP(F275,[1]!china_towns_second__2[[Column1]:[Y]],2,FALSE)</f>
        <v>89.708356440000003</v>
      </c>
      <c r="L275" t="s">
        <v>1933</v>
      </c>
      <c r="M275" t="str">
        <f>VLOOKUP(H275,CHOOSE({1,2},Table8[Native],Table8[Name]),2,0)</f>
        <v>Kāngmă Xiàn</v>
      </c>
      <c r="N275" s="13" t="str">
        <f>VLOOKUP(I275,CHOOSE({1,2},Table8[Native],Table8[Name]),2,0)</f>
        <v>Rìkāzé Shì</v>
      </c>
      <c r="O275" s="13" t="str">
        <f t="shared" si="8"/>
        <v>Kangma Zhen (Rìkāzé Shì)</v>
      </c>
      <c r="P275" s="13" t="str">
        <f t="shared" si="9"/>
        <v>Kangma Zhen (Rìkāzé Shì)</v>
      </c>
    </row>
    <row r="276" spans="1:16" hidden="1" x14ac:dyDescent="0.25">
      <c r="A276" t="s">
        <v>1002</v>
      </c>
      <c r="B276" t="str">
        <f>IF(COUNTIF(A:A,A276)&gt;1,_xlfn.CONCAT(A276," (",N276,")"),A276)</f>
        <v>Kāngrú Xiāng</v>
      </c>
      <c r="C276" t="str">
        <f>IF(COUNTIF(B:B,B276)&gt;1,_xlfn.CONCAT(A276," (",M276,")"),B276)</f>
        <v>Kāngrú Xiāng</v>
      </c>
      <c r="D276" t="s">
        <v>1003</v>
      </c>
      <c r="E276" t="s">
        <v>7</v>
      </c>
      <c r="F276" t="str">
        <f>_xlfn.CONCAT(D276,", ",H276,", ",I276,", ","西藏自治区")</f>
        <v>康如乡, 康马县, 日喀则市, 西藏自治区</v>
      </c>
      <c r="G276">
        <v>1888</v>
      </c>
      <c r="H276" t="s">
        <v>1466</v>
      </c>
      <c r="I276" t="s">
        <v>1458</v>
      </c>
      <c r="J276" t="e">
        <f>VLOOKUP(F276,[1]!china_towns_second__2[[Column1]:[Y]],3,FALSE)</f>
        <v>#N/A</v>
      </c>
      <c r="K276" t="e">
        <f>VLOOKUP(F276,[1]!china_towns_second__2[[Column1]:[Y]],2,FALSE)</f>
        <v>#N/A</v>
      </c>
      <c r="L276" t="s">
        <v>1934</v>
      </c>
      <c r="M276" t="str">
        <f>VLOOKUP(H276,CHOOSE({1,2},Table8[Native],Table8[Name]),2,0)</f>
        <v>Kāngmă Xiàn</v>
      </c>
      <c r="N276" s="13" t="str">
        <f>VLOOKUP(I276,CHOOSE({1,2},Table8[Native],Table8[Name]),2,0)</f>
        <v>Rìkāzé Shì</v>
      </c>
      <c r="O276" s="13" t="str">
        <f t="shared" si="8"/>
        <v>Kangru Xiang (Rìkāzé Shì)</v>
      </c>
      <c r="P276" s="13" t="str">
        <f t="shared" si="9"/>
        <v>Kangru Xiang (Rìkāzé Shì)</v>
      </c>
    </row>
    <row r="277" spans="1:16" x14ac:dyDescent="0.25">
      <c r="A277" t="s">
        <v>199</v>
      </c>
      <c r="B277" t="str">
        <f>IF(COUNTIF(A:A,A277)&gt;1,_xlfn.CONCAT(A277," (",N277,")"),A277)</f>
        <v>Kāngshā Zhèn</v>
      </c>
      <c r="C277" t="str">
        <f>IF(COUNTIF(B:B,B277)&gt;1,_xlfn.CONCAT(A277," (",M277,")"),B277)</f>
        <v>Kāngshā Zhèn</v>
      </c>
      <c r="D277" t="s">
        <v>200</v>
      </c>
      <c r="E277" t="s">
        <v>17</v>
      </c>
      <c r="F277" t="str">
        <f>_xlfn.CONCAT(D277,", ",H277,", ",I277,", ","西藏自治区")</f>
        <v>康沙镇, 洛隆县, 昌都市, 西藏自治区</v>
      </c>
      <c r="G277">
        <v>5703</v>
      </c>
      <c r="H277" t="s">
        <v>1425</v>
      </c>
      <c r="I277" t="s">
        <v>1415</v>
      </c>
      <c r="J277">
        <f>VLOOKUP(F277,[1]!china_towns_second__2[[Column1]:[Y]],3,FALSE)</f>
        <v>30.756497518937302</v>
      </c>
      <c r="K277">
        <f>VLOOKUP(F277,[1]!china_towns_second__2[[Column1]:[Y]],2,FALSE)</f>
        <v>96.098822909999996</v>
      </c>
      <c r="L277" t="s">
        <v>1935</v>
      </c>
      <c r="M277" t="str">
        <f>VLOOKUP(H277,CHOOSE({1,2},Table8[Native],Table8[Name]),2,0)</f>
        <v>Luòlóng Xiàn</v>
      </c>
      <c r="N277" s="13" t="str">
        <f>VLOOKUP(I277,CHOOSE({1,2},Table8[Native],Table8[Name]),2,0)</f>
        <v>Chāngdū Shì</v>
      </c>
      <c r="O277" s="13" t="str">
        <f t="shared" si="8"/>
        <v>Kangsha Zhen (Chāngdū Shì)</v>
      </c>
      <c r="P277" s="13" t="str">
        <f t="shared" si="9"/>
        <v>Kangsha Zhen (Chāngdū Shì)</v>
      </c>
    </row>
    <row r="278" spans="1:16" hidden="1" x14ac:dyDescent="0.25">
      <c r="A278" t="s">
        <v>1004</v>
      </c>
      <c r="B278" t="str">
        <f>IF(COUNTIF(A:A,A278)&gt;1,_xlfn.CONCAT(A278," (",N278,")"),A278)</f>
        <v>Kāngxióng Xiāng</v>
      </c>
      <c r="C278" t="str">
        <f>IF(COUNTIF(B:B,B278)&gt;1,_xlfn.CONCAT(A278," (",M278,")"),B278)</f>
        <v>Kāngxióng Xiāng</v>
      </c>
      <c r="D278" t="s">
        <v>1005</v>
      </c>
      <c r="E278" t="s">
        <v>7</v>
      </c>
      <c r="F278" t="str">
        <f>_xlfn.CONCAT(D278,", ",H278,", ",I278,", ","西藏自治区")</f>
        <v>康雄乡, 仁布县, 日喀则市, 西藏自治区</v>
      </c>
      <c r="G278">
        <v>3353</v>
      </c>
      <c r="H278" t="s">
        <v>1470</v>
      </c>
      <c r="I278" t="s">
        <v>1458</v>
      </c>
      <c r="J278" t="e">
        <f>VLOOKUP(F278,[1]!china_towns_second__2[[Column1]:[Y]],3,FALSE)</f>
        <v>#N/A</v>
      </c>
      <c r="K278" t="e">
        <f>VLOOKUP(F278,[1]!china_towns_second__2[[Column1]:[Y]],2,FALSE)</f>
        <v>#N/A</v>
      </c>
      <c r="L278" t="s">
        <v>1936</v>
      </c>
      <c r="M278" t="str">
        <f>VLOOKUP(H278,CHOOSE({1,2},Table8[Native],Table8[Name]),2,0)</f>
        <v>Rénbù Xiàn</v>
      </c>
      <c r="N278" s="13" t="str">
        <f>VLOOKUP(I278,CHOOSE({1,2},Table8[Native],Table8[Name]),2,0)</f>
        <v>Rìkāzé Shì</v>
      </c>
      <c r="O278" s="13" t="str">
        <f t="shared" si="8"/>
        <v>Kangxiong Xiang (Rìkāzé Shì)</v>
      </c>
      <c r="P278" s="13" t="str">
        <f t="shared" si="9"/>
        <v>Kangxiong Xiang (Rìkāzé Shì)</v>
      </c>
    </row>
    <row r="279" spans="1:16" hidden="1" x14ac:dyDescent="0.25">
      <c r="A279" t="s">
        <v>561</v>
      </c>
      <c r="B279" t="str">
        <f>IF(COUNTIF(A:A,A279)&gt;1,_xlfn.CONCAT(A279," (",N279,")"),A279)</f>
        <v>Kāngyù Xiāng</v>
      </c>
      <c r="C279" t="str">
        <f>IF(COUNTIF(B:B,B279)&gt;1,_xlfn.CONCAT(A279," (",M279,")"),B279)</f>
        <v>Kāngyù Xiāng</v>
      </c>
      <c r="D279" t="s">
        <v>562</v>
      </c>
      <c r="E279" t="s">
        <v>7</v>
      </c>
      <c r="F279" t="str">
        <f>_xlfn.CONCAT(D279,", ",H279,", ",I279,", ","西藏自治区")</f>
        <v>康玉乡, 波密县, 林芝市, 西藏自治区</v>
      </c>
      <c r="G279">
        <v>1723</v>
      </c>
      <c r="H279" t="s">
        <v>1439</v>
      </c>
      <c r="I279" t="s">
        <v>1437</v>
      </c>
      <c r="J279" t="e">
        <f>VLOOKUP(F279,[1]!china_towns_second__2[[Column1]:[Y]],3,FALSE)</f>
        <v>#N/A</v>
      </c>
      <c r="K279" t="e">
        <f>VLOOKUP(F279,[1]!china_towns_second__2[[Column1]:[Y]],2,FALSE)</f>
        <v>#N/A</v>
      </c>
      <c r="L279" t="s">
        <v>1937</v>
      </c>
      <c r="M279" t="str">
        <f>VLOOKUP(H279,CHOOSE({1,2},Table8[Native],Table8[Name]),2,0)</f>
        <v>Bōmì Xiàn</v>
      </c>
      <c r="N279" s="13" t="str">
        <f>VLOOKUP(I279,CHOOSE({1,2},Table8[Native],Table8[Name]),2,0)</f>
        <v>Línzhī Shì</v>
      </c>
      <c r="O279" s="13" t="str">
        <f t="shared" si="8"/>
        <v>Kangyu Xiang (Línzhī Shì)</v>
      </c>
      <c r="P279" s="13" t="str">
        <f t="shared" si="9"/>
        <v>Kangyu Xiang (Línzhī Shì)</v>
      </c>
    </row>
    <row r="280" spans="1:16" hidden="1" x14ac:dyDescent="0.25">
      <c r="A280" t="s">
        <v>1006</v>
      </c>
      <c r="B280" t="str">
        <f>IF(COUNTIF(A:A,A280)&gt;1,_xlfn.CONCAT(A280," (",N280,")"),A280)</f>
        <v>Kāngzhuó Xiāng</v>
      </c>
      <c r="C280" t="str">
        <f>IF(COUNTIF(B:B,B280)&gt;1,_xlfn.CONCAT(A280," (",M280,")"),B280)</f>
        <v>Kāngzhuó Xiāng</v>
      </c>
      <c r="D280" t="s">
        <v>1007</v>
      </c>
      <c r="E280" t="s">
        <v>7</v>
      </c>
      <c r="F280" t="str">
        <f>_xlfn.CONCAT(D280,", ",H280,", ",I280,", ","西藏自治区")</f>
        <v>康卓乡, 江孜县, 日喀则市, 西藏自治区</v>
      </c>
      <c r="G280">
        <v>2198</v>
      </c>
      <c r="H280" t="s">
        <v>1464</v>
      </c>
      <c r="I280" t="s">
        <v>1458</v>
      </c>
      <c r="J280" t="e">
        <f>VLOOKUP(F280,[1]!china_towns_second__2[[Column1]:[Y]],3,FALSE)</f>
        <v>#N/A</v>
      </c>
      <c r="K280" t="e">
        <f>VLOOKUP(F280,[1]!china_towns_second__2[[Column1]:[Y]],2,FALSE)</f>
        <v>#N/A</v>
      </c>
      <c r="L280" t="s">
        <v>1938</v>
      </c>
      <c r="M280" t="str">
        <f>VLOOKUP(H280,CHOOSE({1,2},Table8[Native],Table8[Name]),2,0)</f>
        <v>Jiāngzī Xiàn</v>
      </c>
      <c r="N280" s="13" t="str">
        <f>VLOOKUP(I280,CHOOSE({1,2},Table8[Native],Table8[Name]),2,0)</f>
        <v>Rìkāzé Shì</v>
      </c>
      <c r="O280" s="13" t="str">
        <f t="shared" si="8"/>
        <v>Kangzhuo Xiang (Rìkāzé Shì)</v>
      </c>
      <c r="P280" s="13" t="str">
        <f t="shared" si="9"/>
        <v>Kangzhuo Xiang (Rìkāzé Shì)</v>
      </c>
    </row>
    <row r="281" spans="1:16" hidden="1" x14ac:dyDescent="0.25">
      <c r="A281" t="s">
        <v>1310</v>
      </c>
      <c r="B281" t="str">
        <f>IF(COUNTIF(A:A,A281)&gt;1,_xlfn.CONCAT(A281," (",N281,")"),A281)</f>
        <v>Kărè Xiāng</v>
      </c>
      <c r="C281" t="str">
        <f>IF(COUNTIF(B:B,B281)&gt;1,_xlfn.CONCAT(A281," (",M281,")"),B281)</f>
        <v>Kărè Xiāng</v>
      </c>
      <c r="D281" t="s">
        <v>1311</v>
      </c>
      <c r="E281" t="s">
        <v>7</v>
      </c>
      <c r="F281" t="str">
        <f>_xlfn.CONCAT(D281,", ",H281,", ",I281,", ","西藏自治区")</f>
        <v>卡热乡, 浪卡子县, 山南市, 西藏自治区</v>
      </c>
      <c r="G281">
        <v>2542</v>
      </c>
      <c r="H281" t="s">
        <v>1482</v>
      </c>
      <c r="I281" t="s">
        <v>1477</v>
      </c>
      <c r="J281" t="e">
        <f>VLOOKUP(F281,[1]!china_towns_second__2[[Column1]:[Y]],3,FALSE)</f>
        <v>#N/A</v>
      </c>
      <c r="K281" t="e">
        <f>VLOOKUP(F281,[1]!china_towns_second__2[[Column1]:[Y]],2,FALSE)</f>
        <v>#N/A</v>
      </c>
      <c r="L281" t="s">
        <v>1939</v>
      </c>
      <c r="M281" t="str">
        <f>VLOOKUP(H281,CHOOSE({1,2},Table8[Native],Table8[Name]),2,0)</f>
        <v>Làngkăzi Xiàn</v>
      </c>
      <c r="N281" s="13" t="str">
        <f>VLOOKUP(I281,CHOOSE({1,2},Table8[Native],Table8[Name]),2,0)</f>
        <v>Shānnán Shì</v>
      </c>
      <c r="O281" s="13" t="str">
        <f t="shared" si="8"/>
        <v>Kare Xiang (Shānnán Shì)</v>
      </c>
      <c r="P281" s="13" t="str">
        <f t="shared" si="9"/>
        <v>Kare Xiang (Shānnán Shì)</v>
      </c>
    </row>
    <row r="282" spans="1:16" hidden="1" x14ac:dyDescent="0.25">
      <c r="A282" t="s">
        <v>425</v>
      </c>
      <c r="B282" t="str">
        <f>IF(COUNTIF(A:A,A282)&gt;1,_xlfn.CONCAT(A282," (",N282,")"),A282)</f>
        <v>Kărú Xiāng</v>
      </c>
      <c r="C282" t="str">
        <f>IF(COUNTIF(B:B,B282)&gt;1,_xlfn.CONCAT(A282," (",M282,")"),B282)</f>
        <v>Kărú Xiāng</v>
      </c>
      <c r="D282" t="s">
        <v>426</v>
      </c>
      <c r="E282" t="s">
        <v>7</v>
      </c>
      <c r="F282" t="str">
        <f>_xlfn.CONCAT(D282,", ",H282,", ",I282,", ","西藏自治区")</f>
        <v>卡如乡, 尼木县, 拉萨市, 西藏自治区</v>
      </c>
      <c r="G282">
        <v>1101</v>
      </c>
      <c r="H282" t="s">
        <v>1435</v>
      </c>
      <c r="I282" t="s">
        <v>1428</v>
      </c>
      <c r="J282" t="e">
        <f>VLOOKUP(F282,[1]!china_towns_second__2[[Column1]:[Y]],3,FALSE)</f>
        <v>#N/A</v>
      </c>
      <c r="K282" t="e">
        <f>VLOOKUP(F282,[1]!china_towns_second__2[[Column1]:[Y]],2,FALSE)</f>
        <v>#N/A</v>
      </c>
      <c r="L282" t="s">
        <v>1940</v>
      </c>
      <c r="M282" t="str">
        <f>VLOOKUP(H282,CHOOSE({1,2},Table8[Native],Table8[Name]),2,0)</f>
        <v>Nímù Xiàn</v>
      </c>
      <c r="N282" s="13" t="str">
        <f>VLOOKUP(I282,CHOOSE({1,2},Table8[Native],Table8[Name]),2,0)</f>
        <v>Lāsà Shì</v>
      </c>
      <c r="O282" s="13" t="str">
        <f t="shared" si="8"/>
        <v>Karu Xiang (Lāsà Shì)</v>
      </c>
      <c r="P282" s="13" t="str">
        <f t="shared" si="9"/>
        <v>Karu Xiang (Lāsà Shì)</v>
      </c>
    </row>
    <row r="283" spans="1:16" x14ac:dyDescent="0.25">
      <c r="A283" t="s">
        <v>201</v>
      </c>
      <c r="B283" t="str">
        <f>IF(COUNTIF(A:A,A283)&gt;1,_xlfn.CONCAT(A283," (",N283,")"),A283)</f>
        <v>Kăruò Zhèn</v>
      </c>
      <c r="C283" t="str">
        <f>IF(COUNTIF(B:B,B283)&gt;1,_xlfn.CONCAT(A283," (",M283,")"),B283)</f>
        <v>Kăruò Zhèn</v>
      </c>
      <c r="D283" t="s">
        <v>202</v>
      </c>
      <c r="E283" t="s">
        <v>17</v>
      </c>
      <c r="F283" t="str">
        <f>_xlfn.CONCAT(D283,", ",H283,", ",I283,", ","西藏自治区")</f>
        <v>卡若镇, 卡若区, 昌都市, 西藏自治区</v>
      </c>
      <c r="G283">
        <v>3955</v>
      </c>
      <c r="H283" t="s">
        <v>1423</v>
      </c>
      <c r="I283" t="s">
        <v>1415</v>
      </c>
      <c r="J283">
        <f>VLOOKUP(F283,[1]!china_towns_second__2[[Column1]:[Y]],3,FALSE)</f>
        <v>30.946219623801099</v>
      </c>
      <c r="K283">
        <f>VLOOKUP(F283,[1]!china_towns_second__2[[Column1]:[Y]],2,FALSE)</f>
        <v>97.250791739999997</v>
      </c>
      <c r="L283" t="s">
        <v>1941</v>
      </c>
      <c r="M283" t="str">
        <f>VLOOKUP(H283,CHOOSE({1,2},Table8[Native],Table8[Name]),2,0)</f>
        <v>Kǎruò Qū</v>
      </c>
      <c r="N283" s="13" t="str">
        <f>VLOOKUP(I283,CHOOSE({1,2},Table8[Native],Table8[Name]),2,0)</f>
        <v>Chāngdū Shì</v>
      </c>
      <c r="O283" s="13" t="str">
        <f t="shared" si="8"/>
        <v>Karuo Zhen (Chāngdū Shì)</v>
      </c>
      <c r="P283" s="13" t="str">
        <f t="shared" si="9"/>
        <v>Karuo Zhen (Chāngdū Shì)</v>
      </c>
    </row>
    <row r="284" spans="1:16" hidden="1" x14ac:dyDescent="0.25">
      <c r="A284" t="s">
        <v>203</v>
      </c>
      <c r="B284" t="str">
        <f>IF(COUNTIF(A:A,A284)&gt;1,_xlfn.CONCAT(A284," (",N284,")"),A284)</f>
        <v>Kăwăbáiqìng Xiāng</v>
      </c>
      <c r="C284" t="str">
        <f>IF(COUNTIF(B:B,B284)&gt;1,_xlfn.CONCAT(A284," (",M284,")"),B284)</f>
        <v>Kăwăbáiqìng Xiāng</v>
      </c>
      <c r="D284" t="s">
        <v>204</v>
      </c>
      <c r="E284" t="s">
        <v>7</v>
      </c>
      <c r="F284" t="str">
        <f>_xlfn.CONCAT(D284,", ",H284,", ",I284,", ","西藏自治区")</f>
        <v>卡瓦白庆乡, 八宿县, 昌都市, 西藏自治区</v>
      </c>
      <c r="G284">
        <v>249</v>
      </c>
      <c r="H284" t="s">
        <v>1416</v>
      </c>
      <c r="I284" t="s">
        <v>1415</v>
      </c>
      <c r="J284" t="e">
        <f>VLOOKUP(F284,[1]!china_towns_second__2[[Column1]:[Y]],3,FALSE)</f>
        <v>#N/A</v>
      </c>
      <c r="K284" t="e">
        <f>VLOOKUP(F284,[1]!china_towns_second__2[[Column1]:[Y]],2,FALSE)</f>
        <v>#N/A</v>
      </c>
      <c r="L284" t="s">
        <v>1942</v>
      </c>
      <c r="M284" t="str">
        <f>VLOOKUP(H284,CHOOSE({1,2},Table8[Native],Table8[Name]),2,0)</f>
        <v>Bāsù Xiàn</v>
      </c>
      <c r="N284" s="13" t="str">
        <f>VLOOKUP(I284,CHOOSE({1,2},Table8[Native],Table8[Name]),2,0)</f>
        <v>Chāngdū Shì</v>
      </c>
      <c r="O284" s="13" t="str">
        <f t="shared" si="8"/>
        <v>Kawabaiqing Xiang (Chāngdū Shì)</v>
      </c>
      <c r="P284" s="13" t="str">
        <f t="shared" si="9"/>
        <v>Kawabaiqing Xiang (Chāngdū Shì)</v>
      </c>
    </row>
    <row r="285" spans="1:16" hidden="1" x14ac:dyDescent="0.25">
      <c r="A285" t="s">
        <v>428</v>
      </c>
      <c r="B285" t="str">
        <f>IF(COUNTIF(A:A,A285)&gt;1,_xlfn.CONCAT(A285," (",N285,")"),A285)</f>
        <v>Kăzī Xiāng (Lāsà Shì)</v>
      </c>
      <c r="C285" t="str">
        <f>IF(COUNTIF(B:B,B285)&gt;1,_xlfn.CONCAT(A285," (",M285,")"),B285)</f>
        <v>Kăzī Xiāng (Lāsà Shì)</v>
      </c>
      <c r="D285" t="s">
        <v>429</v>
      </c>
      <c r="E285" t="s">
        <v>7</v>
      </c>
      <c r="F285" t="str">
        <f>_xlfn.CONCAT(D285,", ",H285,", ",I285,", ","西藏自治区")</f>
        <v>卡孜乡, 林周县, 拉萨市, 西藏自治区</v>
      </c>
      <c r="G285">
        <v>4995</v>
      </c>
      <c r="H285" t="s">
        <v>1433</v>
      </c>
      <c r="I285" t="s">
        <v>1428</v>
      </c>
      <c r="J285" t="e">
        <f>VLOOKUP(F285,[1]!china_towns_second__2[[Column1]:[Y]],3,FALSE)</f>
        <v>#N/A</v>
      </c>
      <c r="K285" t="e">
        <f>VLOOKUP(F285,[1]!china_towns_second__2[[Column1]:[Y]],2,FALSE)</f>
        <v>#N/A</v>
      </c>
      <c r="L285" t="s">
        <v>1943</v>
      </c>
      <c r="M285" t="str">
        <f>VLOOKUP(H285,CHOOSE({1,2},Table8[Native],Table8[Name]),2,0)</f>
        <v>Línzhōu Xiàn</v>
      </c>
      <c r="N285" s="13" t="str">
        <f>VLOOKUP(I285,CHOOSE({1,2},Table8[Native],Table8[Name]),2,0)</f>
        <v>Lāsà Shì</v>
      </c>
      <c r="O285" s="13" t="str">
        <f t="shared" si="8"/>
        <v>Kazi Xiang (Lasa Shi) (Lāsà Shì)</v>
      </c>
      <c r="P285" s="13" t="str">
        <f t="shared" si="9"/>
        <v>Kazi Xiang (Lasa Shi) (Lāsà Shì)</v>
      </c>
    </row>
    <row r="286" spans="1:16" hidden="1" x14ac:dyDescent="0.25">
      <c r="A286" t="s">
        <v>428</v>
      </c>
      <c r="B286" t="str">
        <f>IF(COUNTIF(A:A,A286)&gt;1,_xlfn.CONCAT(A286," (",N286,")"),A286)</f>
        <v>Kăzī Xiāng (Rìkāzé Shì)</v>
      </c>
      <c r="C286" t="str">
        <f>IF(COUNTIF(B:B,B286)&gt;1,_xlfn.CONCAT(A286," (",M286,")"),B286)</f>
        <v>Kăzī Xiāng (Rìkāzé Shì)</v>
      </c>
      <c r="D286" t="s">
        <v>429</v>
      </c>
      <c r="E286" t="s">
        <v>7</v>
      </c>
      <c r="F286" t="str">
        <f>_xlfn.CONCAT(D286,", ",H286,", ",I286,", ","西藏自治区")</f>
        <v>卡孜乡, 南木林县, 日喀则市, 西藏自治区</v>
      </c>
      <c r="G286">
        <v>5473</v>
      </c>
      <c r="H286" t="s">
        <v>1468</v>
      </c>
      <c r="I286" t="s">
        <v>1458</v>
      </c>
      <c r="J286" t="e">
        <f>VLOOKUP(F286,[1]!china_towns_second__2[[Column1]:[Y]],3,FALSE)</f>
        <v>#N/A</v>
      </c>
      <c r="K286" t="e">
        <f>VLOOKUP(F286,[1]!china_towns_second__2[[Column1]:[Y]],2,FALSE)</f>
        <v>#N/A</v>
      </c>
      <c r="L286" t="s">
        <v>1944</v>
      </c>
      <c r="M286" t="str">
        <f>VLOOKUP(H286,CHOOSE({1,2},Table8[Native],Table8[Name]),2,0)</f>
        <v>Nánmùlín Xiàn</v>
      </c>
      <c r="N286" s="13" t="str">
        <f>VLOOKUP(I286,CHOOSE({1,2},Table8[Native],Table8[Name]),2,0)</f>
        <v>Rìkāzé Shì</v>
      </c>
      <c r="O286" s="13" t="str">
        <f t="shared" si="8"/>
        <v>Kazi Xiang (Rikaze Shi) (Rìkāzé Shì)</v>
      </c>
      <c r="P286" s="13" t="str">
        <f t="shared" si="9"/>
        <v>Kazi Xiang (Rikaze Shi) (Rìkāzé Shì)</v>
      </c>
    </row>
    <row r="287" spans="1:16" hidden="1" x14ac:dyDescent="0.25">
      <c r="A287" t="s">
        <v>1008</v>
      </c>
      <c r="B287" t="str">
        <f>IF(COUNTIF(A:A,A287)&gt;1,_xlfn.CONCAT(A287," (",N287,")"),A287)</f>
        <v>Kèmă Xiāng</v>
      </c>
      <c r="C287" t="str">
        <f>IF(COUNTIF(B:B,B287)&gt;1,_xlfn.CONCAT(A287," (",M287,")"),B287)</f>
        <v>Kèmă Xiāng</v>
      </c>
      <c r="D287" t="s">
        <v>1009</v>
      </c>
      <c r="E287" t="s">
        <v>7</v>
      </c>
      <c r="F287" t="str">
        <f>_xlfn.CONCAT(D287,", ",H287,", ",I287,", ","西藏自治区")</f>
        <v>克玛乡, 定日县, 日喀则市, 西藏自治区</v>
      </c>
      <c r="G287">
        <v>3958</v>
      </c>
      <c r="H287" t="s">
        <v>1462</v>
      </c>
      <c r="I287" t="s">
        <v>1458</v>
      </c>
      <c r="J287" t="e">
        <f>VLOOKUP(F287,[1]!china_towns_second__2[[Column1]:[Y]],3,FALSE)</f>
        <v>#N/A</v>
      </c>
      <c r="K287" t="e">
        <f>VLOOKUP(F287,[1]!china_towns_second__2[[Column1]:[Y]],2,FALSE)</f>
        <v>#N/A</v>
      </c>
      <c r="L287" t="s">
        <v>1945</v>
      </c>
      <c r="M287" t="str">
        <f>VLOOKUP(H287,CHOOSE({1,2},Table8[Native],Table8[Name]),2,0)</f>
        <v>Dìngrì Xiàn</v>
      </c>
      <c r="N287" s="13" t="str">
        <f>VLOOKUP(I287,CHOOSE({1,2},Table8[Native],Table8[Name]),2,0)</f>
        <v>Rìkāzé Shì</v>
      </c>
      <c r="O287" s="13" t="str">
        <f t="shared" si="8"/>
        <v>Kema Xiang (Rìkāzé Shì)</v>
      </c>
      <c r="P287" s="13" t="str">
        <f t="shared" si="9"/>
        <v>Kema Xiang (Rìkāzé Shì)</v>
      </c>
    </row>
    <row r="288" spans="1:16" hidden="1" x14ac:dyDescent="0.25">
      <c r="A288" t="s">
        <v>205</v>
      </c>
      <c r="B288" t="str">
        <f>IF(COUNTIF(A:A,A288)&gt;1,_xlfn.CONCAT(A288," (",N288,")"),A288)</f>
        <v>Kĕntōng Xiāng</v>
      </c>
      <c r="C288" t="str">
        <f>IF(COUNTIF(B:B,B288)&gt;1,_xlfn.CONCAT(A288," (",M288,")"),B288)</f>
        <v>Kĕntōng Xiāng</v>
      </c>
      <c r="D288" t="s">
        <v>206</v>
      </c>
      <c r="E288" t="s">
        <v>7</v>
      </c>
      <c r="F288" t="str">
        <f>_xlfn.CONCAT(D288,", ",H288,", ",I288,", ","西藏自治区")</f>
        <v>肯通乡, 察雅县, 昌都市, 西藏自治区</v>
      </c>
      <c r="G288">
        <v>2189</v>
      </c>
      <c r="H288" t="s">
        <v>1418</v>
      </c>
      <c r="I288" t="s">
        <v>1415</v>
      </c>
      <c r="J288" t="e">
        <f>VLOOKUP(F288,[1]!china_towns_second__2[[Column1]:[Y]],3,FALSE)</f>
        <v>#N/A</v>
      </c>
      <c r="K288" t="e">
        <f>VLOOKUP(F288,[1]!china_towns_second__2[[Column1]:[Y]],2,FALSE)</f>
        <v>#N/A</v>
      </c>
      <c r="L288" t="s">
        <v>1946</v>
      </c>
      <c r="M288" t="str">
        <f>VLOOKUP(H288,CHOOSE({1,2},Table8[Native],Table8[Name]),2,0)</f>
        <v>Cháyă Xiàn</v>
      </c>
      <c r="N288" s="13" t="str">
        <f>VLOOKUP(I288,CHOOSE({1,2},Table8[Native],Table8[Name]),2,0)</f>
        <v>Chāngdū Shì</v>
      </c>
      <c r="O288" s="13" t="str">
        <f t="shared" si="8"/>
        <v>Kentong Xiang (Chāngdū Shì)</v>
      </c>
      <c r="P288" s="13" t="str">
        <f t="shared" si="9"/>
        <v>Kentong Xiang (Chāngdū Shì)</v>
      </c>
    </row>
    <row r="289" spans="1:16" hidden="1" x14ac:dyDescent="0.25">
      <c r="A289" t="s">
        <v>207</v>
      </c>
      <c r="B289" t="str">
        <f>IF(COUNTIF(A:A,A289)&gt;1,_xlfn.CONCAT(A289," (",N289,")"),A289)</f>
        <v>Kèrì Xiāng</v>
      </c>
      <c r="C289" t="str">
        <f>IF(COUNTIF(B:B,B289)&gt;1,_xlfn.CONCAT(A289," (",M289,")"),B289)</f>
        <v>Kèrì Xiāng</v>
      </c>
      <c r="D289" t="s">
        <v>208</v>
      </c>
      <c r="E289" t="s">
        <v>7</v>
      </c>
      <c r="F289" t="str">
        <f>_xlfn.CONCAT(D289,", ",H289,", ",I289,", ","西藏自治区")</f>
        <v>克日乡, 贡觉县, 昌都市, 西藏自治区</v>
      </c>
      <c r="G289">
        <v>901</v>
      </c>
      <c r="H289" t="s">
        <v>1420</v>
      </c>
      <c r="I289" t="s">
        <v>1415</v>
      </c>
      <c r="J289" t="e">
        <f>VLOOKUP(F289,[1]!china_towns_second__2[[Column1]:[Y]],3,FALSE)</f>
        <v>#N/A</v>
      </c>
      <c r="K289" t="e">
        <f>VLOOKUP(F289,[1]!china_towns_second__2[[Column1]:[Y]],2,FALSE)</f>
        <v>#N/A</v>
      </c>
      <c r="L289" t="s">
        <v>1947</v>
      </c>
      <c r="M289" t="str">
        <f>VLOOKUP(H289,CHOOSE({1,2},Table8[Native],Table8[Name]),2,0)</f>
        <v>Gòngjué Xiàn</v>
      </c>
      <c r="N289" s="13" t="str">
        <f>VLOOKUP(I289,CHOOSE({1,2},Table8[Native],Table8[Name]),2,0)</f>
        <v>Chāngdū Shì</v>
      </c>
      <c r="O289" s="13" t="str">
        <f t="shared" si="8"/>
        <v>Keri Xiang (Chāngdū Shì)</v>
      </c>
      <c r="P289" s="13" t="str">
        <f t="shared" si="9"/>
        <v>Keri Xiang (Chāngdū Shì)</v>
      </c>
    </row>
    <row r="290" spans="1:16" hidden="1" x14ac:dyDescent="0.25">
      <c r="A290" t="s">
        <v>1010</v>
      </c>
      <c r="B290" t="str">
        <f>IF(COUNTIF(A:A,A290)&gt;1,_xlfn.CONCAT(A290," (",N290,")"),A290)</f>
        <v>Kŏnglóng Xiāng</v>
      </c>
      <c r="C290" t="str">
        <f>IF(COUNTIF(B:B,B290)&gt;1,_xlfn.CONCAT(A290," (",M290,")"),B290)</f>
        <v>Kŏnglóng Xiāng</v>
      </c>
      <c r="D290" t="s">
        <v>1011</v>
      </c>
      <c r="E290" t="s">
        <v>7</v>
      </c>
      <c r="F290" t="str">
        <f>_xlfn.CONCAT(D290,", ",H290,", ",I290,", ","西藏自治区")</f>
        <v>孔隆乡, 昂仁县, 日喀则市, 西藏自治区</v>
      </c>
      <c r="G290">
        <v>728</v>
      </c>
      <c r="H290" t="s">
        <v>1459</v>
      </c>
      <c r="I290" t="s">
        <v>1458</v>
      </c>
      <c r="J290" t="e">
        <f>VLOOKUP(F290,[1]!china_towns_second__2[[Column1]:[Y]],3,FALSE)</f>
        <v>#N/A</v>
      </c>
      <c r="K290" t="e">
        <f>VLOOKUP(F290,[1]!china_towns_second__2[[Column1]:[Y]],2,FALSE)</f>
        <v>#N/A</v>
      </c>
      <c r="L290" t="s">
        <v>1948</v>
      </c>
      <c r="M290" t="str">
        <f>VLOOKUP(H290,CHOOSE({1,2},Table8[Native],Table8[Name]),2,0)</f>
        <v>Ángrén Xiàn</v>
      </c>
      <c r="N290" s="13" t="str">
        <f>VLOOKUP(I290,CHOOSE({1,2},Table8[Native],Table8[Name]),2,0)</f>
        <v>Rìkāzé Shì</v>
      </c>
      <c r="O290" s="13" t="str">
        <f t="shared" si="8"/>
        <v>Konglong Xiang (Rìkāzé Shì)</v>
      </c>
      <c r="P290" s="13" t="str">
        <f t="shared" si="9"/>
        <v>Konglong Xiang (Rìkāzé Shì)</v>
      </c>
    </row>
    <row r="291" spans="1:16" hidden="1" x14ac:dyDescent="0.25">
      <c r="A291" t="s">
        <v>709</v>
      </c>
      <c r="B291" t="str">
        <f>IF(COUNTIF(A:A,A291)&gt;1,_xlfn.CONCAT(A291," (",N291,")"),A291)</f>
        <v>Kŏngmă Xiāng (Nàqŭ Shì)</v>
      </c>
      <c r="C291" t="str">
        <f>IF(COUNTIF(B:B,B291)&gt;1,_xlfn.CONCAT(A291," (",M291,")"),B291)</f>
        <v>Kŏngmă Xiāng (Nàqŭ Shì)</v>
      </c>
      <c r="D291" t="s">
        <v>710</v>
      </c>
      <c r="E291" t="s">
        <v>7</v>
      </c>
      <c r="F291" t="str">
        <f>_xlfn.CONCAT(D291,", ",H291,", ",I291,", ","西藏自治区")</f>
        <v>孔玛乡, 色尼区, 那曲市, 西藏自治区</v>
      </c>
      <c r="G291">
        <v>4690</v>
      </c>
      <c r="H291" t="s">
        <v>1454</v>
      </c>
      <c r="I291" t="s">
        <v>1445</v>
      </c>
      <c r="J291" t="e">
        <f>VLOOKUP(F291,[1]!china_towns_second__2[[Column1]:[Y]],3,FALSE)</f>
        <v>#N/A</v>
      </c>
      <c r="K291" t="e">
        <f>VLOOKUP(F291,[1]!china_towns_second__2[[Column1]:[Y]],2,FALSE)</f>
        <v>#N/A</v>
      </c>
      <c r="L291" t="s">
        <v>1949</v>
      </c>
      <c r="M291" t="str">
        <f>VLOOKUP(H291,CHOOSE({1,2},Table8[Native],Table8[Name]),2,0)</f>
        <v>Sèní Qū</v>
      </c>
      <c r="N291" s="13" t="str">
        <f>VLOOKUP(I291,CHOOSE({1,2},Table8[Native],Table8[Name]),2,0)</f>
        <v>Nàqŭ Shì</v>
      </c>
      <c r="O291" s="13" t="str">
        <f t="shared" si="8"/>
        <v>Kongma Xiang (Naqu Shi) (Nàqŭ Shì)</v>
      </c>
      <c r="P291" s="13" t="str">
        <f t="shared" si="9"/>
        <v>Kongma Xiang (Naqu Shi) (Nàqŭ Shì)</v>
      </c>
    </row>
    <row r="292" spans="1:16" hidden="1" x14ac:dyDescent="0.25">
      <c r="A292" t="s">
        <v>709</v>
      </c>
      <c r="B292" t="str">
        <f>IF(COUNTIF(A:A,A292)&gt;1,_xlfn.CONCAT(A292," (",N292,")"),A292)</f>
        <v>Kŏngmă Xiāng (Rìkāzé Shì)</v>
      </c>
      <c r="C292" t="str">
        <f>IF(COUNTIF(B:B,B292)&gt;1,_xlfn.CONCAT(A292," (",M292,")"),B292)</f>
        <v>Kŏngmă Xiāng (Rìkāzé Shì)</v>
      </c>
      <c r="D292" t="s">
        <v>710</v>
      </c>
      <c r="E292" t="s">
        <v>7</v>
      </c>
      <c r="F292" t="str">
        <f>_xlfn.CONCAT(D292,", ",H292,", ",I292,", ","西藏自治区")</f>
        <v>孔玛乡, 岗巴县, 日喀则市, 西藏自治区</v>
      </c>
      <c r="G292">
        <v>1364</v>
      </c>
      <c r="H292" t="s">
        <v>1463</v>
      </c>
      <c r="I292" t="s">
        <v>1458</v>
      </c>
      <c r="J292" t="e">
        <f>VLOOKUP(F292,[1]!china_towns_second__2[[Column1]:[Y]],3,FALSE)</f>
        <v>#N/A</v>
      </c>
      <c r="K292" t="e">
        <f>VLOOKUP(F292,[1]!china_towns_second__2[[Column1]:[Y]],2,FALSE)</f>
        <v>#N/A</v>
      </c>
      <c r="L292" t="s">
        <v>1950</v>
      </c>
      <c r="M292" t="str">
        <f>VLOOKUP(H292,CHOOSE({1,2},Table8[Native],Table8[Name]),2,0)</f>
        <v>Găngbā Xiàn</v>
      </c>
      <c r="N292" s="13" t="str">
        <f>VLOOKUP(I292,CHOOSE({1,2},Table8[Native],Table8[Name]),2,0)</f>
        <v>Rìkāzé Shì</v>
      </c>
      <c r="O292" s="13" t="str">
        <f t="shared" si="8"/>
        <v>Kongma Xiang (Rikaze Shi) (Rìkāzé Shì)</v>
      </c>
      <c r="P292" s="13" t="str">
        <f t="shared" si="9"/>
        <v>Kongma Xiang (Rikaze Shi) (Rìkāzé Shì)</v>
      </c>
    </row>
    <row r="293" spans="1:16" hidden="1" x14ac:dyDescent="0.25">
      <c r="A293" t="s">
        <v>1312</v>
      </c>
      <c r="B293" t="str">
        <f>IF(COUNTIF(A:A,A293)&gt;1,_xlfn.CONCAT(A293," (",N293,")"),A293)</f>
        <v>Kùjú Xiāng</v>
      </c>
      <c r="C293" t="str">
        <f>IF(COUNTIF(B:B,B293)&gt;1,_xlfn.CONCAT(A293," (",M293,")"),B293)</f>
        <v>Kùjú Xiāng</v>
      </c>
      <c r="D293" t="s">
        <v>1313</v>
      </c>
      <c r="E293" t="s">
        <v>7</v>
      </c>
      <c r="F293" t="str">
        <f>_xlfn.CONCAT(D293,", ",H293,", ",I293,", ","西藏自治区")</f>
        <v>库局乡, 错那县, 山南市, 西藏自治区</v>
      </c>
      <c r="G293">
        <v>412</v>
      </c>
      <c r="H293" t="s">
        <v>1479</v>
      </c>
      <c r="I293" t="s">
        <v>1477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1951</v>
      </c>
      <c r="M293" t="str">
        <f>VLOOKUP(H293,CHOOSE({1,2},Table8[Native],Table8[Name]),2,0)</f>
        <v>Cuònà Xiàn</v>
      </c>
      <c r="N293" s="13" t="str">
        <f>VLOOKUP(I293,CHOOSE({1,2},Table8[Native],Table8[Name]),2,0)</f>
        <v>Shānnán Shì</v>
      </c>
      <c r="O293" s="13" t="str">
        <f t="shared" si="8"/>
        <v>Kuju Xiang (Shānnán Shì)</v>
      </c>
      <c r="P293" s="13" t="str">
        <f t="shared" si="9"/>
        <v>Kuju Xiang (Shānnán Shì)</v>
      </c>
    </row>
    <row r="294" spans="1:16" hidden="1" x14ac:dyDescent="0.25">
      <c r="A294" t="s">
        <v>43</v>
      </c>
      <c r="B294" t="str">
        <f>IF(COUNTIF(A:A,A294)&gt;1,_xlfn.CONCAT(A294," (",N294,")"),A294)</f>
        <v>Kūnshā Xiāng</v>
      </c>
      <c r="C294" t="str">
        <f>IF(COUNTIF(B:B,B294)&gt;1,_xlfn.CONCAT(A294," (",M294,")"),B294)</f>
        <v>Kūnshā Xiāng</v>
      </c>
      <c r="D294" t="s">
        <v>44</v>
      </c>
      <c r="E294" t="s">
        <v>7</v>
      </c>
      <c r="F294" t="str">
        <f>_xlfn.CONCAT(D294,", ",H294,", ",I294,", ","西藏自治区")</f>
        <v>昆沙乡, 噶尔县, 阿里地区, 西藏自治区</v>
      </c>
      <c r="G294">
        <v>1997</v>
      </c>
      <c r="H294" t="s">
        <v>1408</v>
      </c>
      <c r="I294" t="s">
        <v>1405</v>
      </c>
      <c r="J294" t="e">
        <f>VLOOKUP(F294,[1]!china_towns_second__2[[Column1]:[Y]],3,FALSE)</f>
        <v>#N/A</v>
      </c>
      <c r="K294" t="e">
        <f>VLOOKUP(F294,[1]!china_towns_second__2[[Column1]:[Y]],2,FALSE)</f>
        <v>#N/A</v>
      </c>
      <c r="L294" t="s">
        <v>1952</v>
      </c>
      <c r="M294" t="str">
        <f>VLOOKUP(H294,CHOOSE({1,2},Table8[Native],Table8[Name]),2,0)</f>
        <v>Gá'ĕr Xiàn</v>
      </c>
      <c r="N294" s="13" t="str">
        <f>VLOOKUP(I294,CHOOSE({1,2},Table8[Native],Table8[Name]),2,0)</f>
        <v>Ālĭ Dìqū</v>
      </c>
      <c r="O294" s="13" t="str">
        <f t="shared" si="8"/>
        <v>Kunsha Xiang (Ālĭ Dìqū)</v>
      </c>
      <c r="P294" s="13" t="str">
        <f t="shared" si="9"/>
        <v>Kunsha Xiang (Ālĭ Dìqū)</v>
      </c>
    </row>
    <row r="295" spans="1:16" hidden="1" x14ac:dyDescent="0.25">
      <c r="A295" t="s">
        <v>209</v>
      </c>
      <c r="B295" t="str">
        <f>IF(COUNTIF(A:A,A295)&gt;1,_xlfn.CONCAT(A295," (",N295,")"),A295)</f>
        <v>Kuòdá Xiāng</v>
      </c>
      <c r="C295" t="str">
        <f>IF(COUNTIF(B:B,B295)&gt;1,_xlfn.CONCAT(A295," (",M295,")"),B295)</f>
        <v>Kuòdá Xiāng</v>
      </c>
      <c r="D295" t="s">
        <v>210</v>
      </c>
      <c r="E295" t="s">
        <v>7</v>
      </c>
      <c r="F295" t="str">
        <f>_xlfn.CONCAT(D295,", ",H295,", ",I295,", ","西藏自治区")</f>
        <v>扩达乡, 察雅县, 昌都市, 西藏自治区</v>
      </c>
      <c r="G295">
        <v>6151</v>
      </c>
      <c r="H295" t="s">
        <v>1418</v>
      </c>
      <c r="I295" t="s">
        <v>1415</v>
      </c>
      <c r="J295" t="e">
        <f>VLOOKUP(F295,[1]!china_towns_second__2[[Column1]:[Y]],3,FALSE)</f>
        <v>#N/A</v>
      </c>
      <c r="K295" t="e">
        <f>VLOOKUP(F295,[1]!china_towns_second__2[[Column1]:[Y]],2,FALSE)</f>
        <v>#N/A</v>
      </c>
      <c r="L295" t="s">
        <v>1953</v>
      </c>
      <c r="M295" t="str">
        <f>VLOOKUP(H295,CHOOSE({1,2},Table8[Native],Table8[Name]),2,0)</f>
        <v>Cháyă Xiàn</v>
      </c>
      <c r="N295" s="13" t="str">
        <f>VLOOKUP(I295,CHOOSE({1,2},Table8[Native],Table8[Name]),2,0)</f>
        <v>Chāngdū Shì</v>
      </c>
      <c r="O295" s="13" t="str">
        <f t="shared" si="8"/>
        <v>Kuoda Xiang (Chāngdū Shì)</v>
      </c>
      <c r="P295" s="13" t="str">
        <f t="shared" si="9"/>
        <v>Kuoda Xiang (Chāngdū Shì)</v>
      </c>
    </row>
    <row r="296" spans="1:16" hidden="1" x14ac:dyDescent="0.25">
      <c r="A296" t="s">
        <v>1012</v>
      </c>
      <c r="B296" t="str">
        <f>IF(COUNTIF(A:A,A296)&gt;1,_xlfn.CONCAT(A296," (",N296,")"),A296)</f>
        <v>Lābùpŭ Xiāng</v>
      </c>
      <c r="C296" t="str">
        <f>IF(COUNTIF(B:B,B296)&gt;1,_xlfn.CONCAT(A296," (",M296,")"),B296)</f>
        <v>Lābùpŭ Xiāng</v>
      </c>
      <c r="D296" t="s">
        <v>1013</v>
      </c>
      <c r="E296" t="s">
        <v>7</v>
      </c>
      <c r="F296" t="str">
        <f>_xlfn.CONCAT(D296,", ",H296,", ",I296,", ","西藏自治区")</f>
        <v>拉布普乡, 南木林县, 日喀则市, 西藏自治区</v>
      </c>
      <c r="G296">
        <v>2061</v>
      </c>
      <c r="H296" t="s">
        <v>1468</v>
      </c>
      <c r="I296" t="s">
        <v>1458</v>
      </c>
      <c r="J296" t="e">
        <f>VLOOKUP(F296,[1]!china_towns_second__2[[Column1]:[Y]],3,FALSE)</f>
        <v>#N/A</v>
      </c>
      <c r="K296" t="e">
        <f>VLOOKUP(F296,[1]!china_towns_second__2[[Column1]:[Y]],2,FALSE)</f>
        <v>#N/A</v>
      </c>
      <c r="L296" t="s">
        <v>1954</v>
      </c>
      <c r="M296" t="str">
        <f>VLOOKUP(H296,CHOOSE({1,2},Table8[Native],Table8[Name]),2,0)</f>
        <v>Nánmùlín Xiàn</v>
      </c>
      <c r="N296" s="13" t="str">
        <f>VLOOKUP(I296,CHOOSE({1,2},Table8[Native],Table8[Name]),2,0)</f>
        <v>Rìkāzé Shì</v>
      </c>
      <c r="O296" s="13" t="str">
        <f t="shared" si="8"/>
        <v>Labupu Xiang (Rìkāzé Shì)</v>
      </c>
      <c r="P296" s="13" t="str">
        <f t="shared" si="9"/>
        <v>Labupu Xiang (Rìkāzé Shì)</v>
      </c>
    </row>
    <row r="297" spans="1:16" hidden="1" x14ac:dyDescent="0.25">
      <c r="A297" t="s">
        <v>211</v>
      </c>
      <c r="B297" t="str">
        <f>IF(COUNTIF(A:A,A297)&gt;1,_xlfn.CONCAT(A297," (",N297,")"),A297)</f>
        <v>Lāduō Xiāng (Chāngdū Shì)</v>
      </c>
      <c r="C297" t="str">
        <f>IF(COUNTIF(B:B,B297)&gt;1,_xlfn.CONCAT(A297," (",M297,")"),B297)</f>
        <v>Lāduō Xiāng (Chāngdū Shì)</v>
      </c>
      <c r="D297" t="s">
        <v>212</v>
      </c>
      <c r="E297" t="s">
        <v>7</v>
      </c>
      <c r="F297" t="str">
        <f>_xlfn.CONCAT(D297,", ",H297,", ",I297,", ","西藏自治区")</f>
        <v>拉多乡, 卡若区, 昌都市, 西藏自治区</v>
      </c>
      <c r="G297">
        <v>7175</v>
      </c>
      <c r="H297" t="s">
        <v>1423</v>
      </c>
      <c r="I297" t="s">
        <v>1415</v>
      </c>
      <c r="J297" t="e">
        <f>VLOOKUP(F297,[1]!china_towns_second__2[[Column1]:[Y]],3,FALSE)</f>
        <v>#N/A</v>
      </c>
      <c r="K297" t="e">
        <f>VLOOKUP(F297,[1]!china_towns_second__2[[Column1]:[Y]],2,FALSE)</f>
        <v>#N/A</v>
      </c>
      <c r="L297" t="s">
        <v>1955</v>
      </c>
      <c r="M297" t="str">
        <f>VLOOKUP(H297,CHOOSE({1,2},Table8[Native],Table8[Name]),2,0)</f>
        <v>Kǎruò Qū</v>
      </c>
      <c r="N297" s="13" t="str">
        <f>VLOOKUP(I297,CHOOSE({1,2},Table8[Native],Table8[Name]),2,0)</f>
        <v>Chāngdū Shì</v>
      </c>
      <c r="O297" s="13" t="str">
        <f t="shared" si="8"/>
        <v>Laduo Xiang (Changdu Shi) (Chāngdū Shì)</v>
      </c>
      <c r="P297" s="13" t="str">
        <f t="shared" si="9"/>
        <v>Laduo Xiang (Changdu Shi) (Chāngdū Shì)</v>
      </c>
    </row>
    <row r="298" spans="1:16" hidden="1" x14ac:dyDescent="0.25">
      <c r="A298" t="s">
        <v>211</v>
      </c>
      <c r="B298" t="str">
        <f>IF(COUNTIF(A:A,A298)&gt;1,_xlfn.CONCAT(A298," (",N298,")"),A298)</f>
        <v>Lāduō Xiāng (Línzhī Shì)</v>
      </c>
      <c r="C298" t="str">
        <f>IF(COUNTIF(B:B,B298)&gt;1,_xlfn.CONCAT(A298," (",M298,")"),B298)</f>
        <v>Lāduō Xiāng (Línzhī Shì)</v>
      </c>
      <c r="D298" t="s">
        <v>212</v>
      </c>
      <c r="E298" t="s">
        <v>7</v>
      </c>
      <c r="F298" t="str">
        <f>_xlfn.CONCAT(D298,", ",H298,", ",I298,", ","西藏自治区")</f>
        <v>拉多乡, 朗县, 林芝市, 西藏自治区</v>
      </c>
      <c r="G298">
        <v>2143</v>
      </c>
      <c r="H298" t="s">
        <v>1442</v>
      </c>
      <c r="I298" t="s">
        <v>1437</v>
      </c>
      <c r="J298" t="e">
        <f>VLOOKUP(F298,[1]!china_towns_second__2[[Column1]:[Y]],3,FALSE)</f>
        <v>#N/A</v>
      </c>
      <c r="K298" t="e">
        <f>VLOOKUP(F298,[1]!china_towns_second__2[[Column1]:[Y]],2,FALSE)</f>
        <v>#N/A</v>
      </c>
      <c r="L298" t="s">
        <v>1956</v>
      </c>
      <c r="M298" t="str">
        <f>VLOOKUP(H298,CHOOSE({1,2},Table8[Native],Table8[Name]),2,0)</f>
        <v>Lăng Xiàn</v>
      </c>
      <c r="N298" s="13" t="str">
        <f>VLOOKUP(I298,CHOOSE({1,2},Table8[Native],Table8[Name]),2,0)</f>
        <v>Línzhī Shì</v>
      </c>
      <c r="O298" s="13" t="str">
        <f t="shared" si="8"/>
        <v>Laduo Xiang (Linzhi Shi) (Línzhī Shì)</v>
      </c>
      <c r="P298" s="13" t="str">
        <f t="shared" si="9"/>
        <v>Laduo Xiang (Linzhi Shi) (Línzhī Shì)</v>
      </c>
    </row>
    <row r="299" spans="1:16" hidden="1" x14ac:dyDescent="0.25">
      <c r="A299" t="s">
        <v>213</v>
      </c>
      <c r="B299" t="str">
        <f>IF(COUNTIF(A:A,A299)&gt;1,_xlfn.CONCAT(A299," (",N299,")"),A299)</f>
        <v>Lāgēn Xiāng</v>
      </c>
      <c r="C299" t="str">
        <f>IF(COUNTIF(B:B,B299)&gt;1,_xlfn.CONCAT(A299," (",M299,")"),B299)</f>
        <v>Lāgēn Xiāng</v>
      </c>
      <c r="D299" t="s">
        <v>214</v>
      </c>
      <c r="E299" t="s">
        <v>7</v>
      </c>
      <c r="F299" t="str">
        <f>_xlfn.CONCAT(D299,", ",H299,", ",I299,", ","西藏自治区")</f>
        <v>拉根乡, 八宿县, 昌都市, 西藏自治区</v>
      </c>
      <c r="G299">
        <v>2010</v>
      </c>
      <c r="H299" t="s">
        <v>1416</v>
      </c>
      <c r="I299" t="s">
        <v>1415</v>
      </c>
      <c r="J299" t="e">
        <f>VLOOKUP(F299,[1]!china_towns_second__2[[Column1]:[Y]],3,FALSE)</f>
        <v>#N/A</v>
      </c>
      <c r="K299" t="e">
        <f>VLOOKUP(F299,[1]!china_towns_second__2[[Column1]:[Y]],2,FALSE)</f>
        <v>#N/A</v>
      </c>
      <c r="L299" t="s">
        <v>1957</v>
      </c>
      <c r="M299" t="str">
        <f>VLOOKUP(H299,CHOOSE({1,2},Table8[Native],Table8[Name]),2,0)</f>
        <v>Bāsù Xiàn</v>
      </c>
      <c r="N299" s="13" t="str">
        <f>VLOOKUP(I299,CHOOSE({1,2},Table8[Native],Table8[Name]),2,0)</f>
        <v>Chāngdū Shì</v>
      </c>
      <c r="O299" s="13" t="str">
        <f t="shared" si="8"/>
        <v>Lagen Xiang (Chāngdū Shì)</v>
      </c>
      <c r="P299" s="13" t="str">
        <f t="shared" si="9"/>
        <v>Lagen Xiang (Chāngdū Shì)</v>
      </c>
    </row>
    <row r="300" spans="1:16" hidden="1" x14ac:dyDescent="0.25">
      <c r="A300" t="s">
        <v>711</v>
      </c>
      <c r="B300" t="str">
        <f>IF(COUNTIF(A:A,A300)&gt;1,_xlfn.CONCAT(A300," (",N300,")"),A300)</f>
        <v>Láiduō Xiāng</v>
      </c>
      <c r="C300" t="str">
        <f>IF(COUNTIF(B:B,B300)&gt;1,_xlfn.CONCAT(A300," (",M300,")"),B300)</f>
        <v>Láiduō Xiāng</v>
      </c>
      <c r="D300" t="s">
        <v>712</v>
      </c>
      <c r="E300" t="s">
        <v>7</v>
      </c>
      <c r="F300" t="str">
        <f>_xlfn.CONCAT(D300,", ",H300,", ",I300,", ","西藏自治区")</f>
        <v>来多乡, 尼玛县, 那曲市, 西藏自治区</v>
      </c>
      <c r="G300">
        <v>1902</v>
      </c>
      <c r="H300" t="s">
        <v>1452</v>
      </c>
      <c r="I300" t="s">
        <v>1445</v>
      </c>
      <c r="J300" t="e">
        <f>VLOOKUP(F300,[1]!china_towns_second__2[[Column1]:[Y]],3,FALSE)</f>
        <v>#N/A</v>
      </c>
      <c r="K300" t="e">
        <f>VLOOKUP(F300,[1]!china_towns_second__2[[Column1]:[Y]],2,FALSE)</f>
        <v>#N/A</v>
      </c>
      <c r="L300" t="s">
        <v>1958</v>
      </c>
      <c r="M300" t="str">
        <f>VLOOKUP(H300,CHOOSE({1,2},Table8[Native],Table8[Name]),2,0)</f>
        <v>Nímă Xiàn</v>
      </c>
      <c r="N300" s="13" t="str">
        <f>VLOOKUP(I300,CHOOSE({1,2},Table8[Native],Table8[Name]),2,0)</f>
        <v>Nàqŭ Shì</v>
      </c>
      <c r="O300" s="13" t="str">
        <f t="shared" si="8"/>
        <v>Laiduo Xiang (Nàqŭ Shì)</v>
      </c>
      <c r="P300" s="13" t="str">
        <f t="shared" si="9"/>
        <v>Laiduo Xiang (Nàqŭ Shì)</v>
      </c>
    </row>
    <row r="301" spans="1:16" hidden="1" x14ac:dyDescent="0.25">
      <c r="A301" t="s">
        <v>1314</v>
      </c>
      <c r="B301" t="str">
        <f>IF(COUNTIF(A:A,A301)&gt;1,_xlfn.CONCAT(A301," (",N301,")"),A301)</f>
        <v>Lājiāo Xiāng</v>
      </c>
      <c r="C301" t="str">
        <f>IF(COUNTIF(B:B,B301)&gt;1,_xlfn.CONCAT(A301," (",M301,")"),B301)</f>
        <v>Lājiāo Xiāng</v>
      </c>
      <c r="D301" t="s">
        <v>1315</v>
      </c>
      <c r="E301" t="s">
        <v>7</v>
      </c>
      <c r="F301" t="str">
        <f>_xlfn.CONCAT(D301,", ",H301,", ",I301,", ","西藏自治区")</f>
        <v>拉郊乡, 洛扎县, 山南市, 西藏自治区</v>
      </c>
      <c r="G301">
        <v>198</v>
      </c>
      <c r="H301" t="s">
        <v>1484</v>
      </c>
      <c r="I301" t="s">
        <v>1477</v>
      </c>
      <c r="J301" t="e">
        <f>VLOOKUP(F301,[1]!china_towns_second__2[[Column1]:[Y]],3,FALSE)</f>
        <v>#N/A</v>
      </c>
      <c r="K301" t="e">
        <f>VLOOKUP(F301,[1]!china_towns_second__2[[Column1]:[Y]],2,FALSE)</f>
        <v>#N/A</v>
      </c>
      <c r="L301" t="s">
        <v>1959</v>
      </c>
      <c r="M301" t="str">
        <f>VLOOKUP(H301,CHOOSE({1,2},Table8[Native],Table8[Name]),2,0)</f>
        <v>Luòzhā Xiàn</v>
      </c>
      <c r="N301" s="13" t="str">
        <f>VLOOKUP(I301,CHOOSE({1,2},Table8[Native],Table8[Name]),2,0)</f>
        <v>Shānnán Shì</v>
      </c>
      <c r="O301" s="13" t="str">
        <f t="shared" si="8"/>
        <v>Lajiao Xiang (Shānnán Shì)</v>
      </c>
      <c r="P301" s="13" t="str">
        <f t="shared" si="9"/>
        <v>Lajiao Xiang (Shānnán Shì)</v>
      </c>
    </row>
    <row r="302" spans="1:16" hidden="1" x14ac:dyDescent="0.25">
      <c r="A302" t="s">
        <v>215</v>
      </c>
      <c r="B302" t="str">
        <f>IF(COUNTIF(A:A,A302)&gt;1,_xlfn.CONCAT(A302," (",N302,")"),A302)</f>
        <v>Làjiŭ Xiāng</v>
      </c>
      <c r="C302" t="str">
        <f>IF(COUNTIF(B:B,B302)&gt;1,_xlfn.CONCAT(A302," (",M302,")"),B302)</f>
        <v>Làjiŭ Xiāng</v>
      </c>
      <c r="D302" t="s">
        <v>216</v>
      </c>
      <c r="E302" t="s">
        <v>7</v>
      </c>
      <c r="F302" t="str">
        <f>_xlfn.CONCAT(D302,", ",H302,", ",I302,", ","西藏自治区")</f>
        <v>腊久乡, 洛隆县, 昌都市, 西藏自治区</v>
      </c>
      <c r="G302">
        <v>5354</v>
      </c>
      <c r="H302" t="s">
        <v>1425</v>
      </c>
      <c r="I302" t="s">
        <v>1415</v>
      </c>
      <c r="J302" t="e">
        <f>VLOOKUP(F302,[1]!china_towns_second__2[[Column1]:[Y]],3,FALSE)</f>
        <v>#N/A</v>
      </c>
      <c r="K302" t="e">
        <f>VLOOKUP(F302,[1]!china_towns_second__2[[Column1]:[Y]],2,FALSE)</f>
        <v>#N/A</v>
      </c>
      <c r="L302" t="s">
        <v>1960</v>
      </c>
      <c r="M302" t="str">
        <f>VLOOKUP(H302,CHOOSE({1,2},Table8[Native],Table8[Name]),2,0)</f>
        <v>Luòlóng Xiàn</v>
      </c>
      <c r="N302" s="13" t="str">
        <f>VLOOKUP(I302,CHOOSE({1,2},Table8[Native],Table8[Name]),2,0)</f>
        <v>Chāngdū Shì</v>
      </c>
      <c r="O302" s="13" t="str">
        <f t="shared" si="8"/>
        <v>Lajiu Xiang (Chāngdū Shì)</v>
      </c>
      <c r="P302" s="13" t="str">
        <f t="shared" si="9"/>
        <v>Lajiu Xiang (Chāngdū Shì)</v>
      </c>
    </row>
    <row r="303" spans="1:16" x14ac:dyDescent="0.25">
      <c r="A303" t="s">
        <v>1316</v>
      </c>
      <c r="B303" t="str">
        <f>IF(COUNTIF(A:A,A303)&gt;1,_xlfn.CONCAT(A303," (",N303,")"),A303)</f>
        <v>Lākāng Zhèn</v>
      </c>
      <c r="C303" t="str">
        <f>IF(COUNTIF(B:B,B303)&gt;1,_xlfn.CONCAT(A303," (",M303,")"),B303)</f>
        <v>Lākāng Zhèn</v>
      </c>
      <c r="D303" t="s">
        <v>1317</v>
      </c>
      <c r="E303" t="s">
        <v>17</v>
      </c>
      <c r="F303" t="str">
        <f>_xlfn.CONCAT(D303,", ",H303,", ",I303,", ","西藏自治区")</f>
        <v>拉康镇, 洛扎县, 山南市, 西藏自治区</v>
      </c>
      <c r="G303">
        <v>1799</v>
      </c>
      <c r="H303" t="s">
        <v>1484</v>
      </c>
      <c r="I303" t="s">
        <v>1477</v>
      </c>
      <c r="J303">
        <f>VLOOKUP(F303,[1]!china_towns_second__2[[Column1]:[Y]],3,FALSE)</f>
        <v>28.091995094165799</v>
      </c>
      <c r="K303">
        <f>VLOOKUP(F303,[1]!china_towns_second__2[[Column1]:[Y]],2,FALSE)</f>
        <v>91.167747390000002</v>
      </c>
      <c r="L303" t="s">
        <v>1961</v>
      </c>
      <c r="M303" t="str">
        <f>VLOOKUP(H303,CHOOSE({1,2},Table8[Native],Table8[Name]),2,0)</f>
        <v>Luòzhā Xiàn</v>
      </c>
      <c r="N303" s="13" t="str">
        <f>VLOOKUP(I303,CHOOSE({1,2},Table8[Native],Table8[Name]),2,0)</f>
        <v>Shānnán Shì</v>
      </c>
      <c r="O303" s="13" t="str">
        <f t="shared" si="8"/>
        <v>Lakang Zhen (Shānnán Shì)</v>
      </c>
      <c r="P303" s="13" t="str">
        <f t="shared" si="9"/>
        <v>Lakang Zhen (Shānnán Shì)</v>
      </c>
    </row>
    <row r="304" spans="1:16" hidden="1" x14ac:dyDescent="0.25">
      <c r="A304" t="s">
        <v>1014</v>
      </c>
      <c r="B304" t="str">
        <f>IF(COUNTIF(A:A,A304)&gt;1,_xlfn.CONCAT(A304," (",N304,")"),A304)</f>
        <v>Lāluò Xiāng</v>
      </c>
      <c r="C304" t="str">
        <f>IF(COUNTIF(B:B,B304)&gt;1,_xlfn.CONCAT(A304," (",M304,")"),B304)</f>
        <v>Lāluò Xiāng</v>
      </c>
      <c r="D304" t="s">
        <v>1015</v>
      </c>
      <c r="E304" t="s">
        <v>7</v>
      </c>
      <c r="F304" t="str">
        <f>_xlfn.CONCAT(D304,", ",H304,", ",I304,", ","西藏自治区")</f>
        <v>拉洛乡, 萨迦县, 日喀则市, 西藏自治区</v>
      </c>
      <c r="G304">
        <v>3627</v>
      </c>
      <c r="H304" t="s">
        <v>1472</v>
      </c>
      <c r="I304" t="s">
        <v>1458</v>
      </c>
      <c r="J304" t="e">
        <f>VLOOKUP(F304,[1]!china_towns_second__2[[Column1]:[Y]],3,FALSE)</f>
        <v>#N/A</v>
      </c>
      <c r="K304" t="e">
        <f>VLOOKUP(F304,[1]!china_towns_second__2[[Column1]:[Y]],2,FALSE)</f>
        <v>#N/A</v>
      </c>
      <c r="L304" t="s">
        <v>1962</v>
      </c>
      <c r="M304" t="str">
        <f>VLOOKUP(H304,CHOOSE({1,2},Table8[Native],Table8[Name]),2,0)</f>
        <v>Sàjiā Xiàn</v>
      </c>
      <c r="N304" s="13" t="str">
        <f>VLOOKUP(I304,CHOOSE({1,2},Table8[Native],Table8[Name]),2,0)</f>
        <v>Rìkāzé Shì</v>
      </c>
      <c r="O304" s="13" t="str">
        <f t="shared" si="8"/>
        <v>Laluo Xiang (Rìkāzé Shì)</v>
      </c>
      <c r="P304" s="13" t="str">
        <f t="shared" si="9"/>
        <v>Laluo Xiang (Rìkāzé Shì)</v>
      </c>
    </row>
    <row r="305" spans="1:16" x14ac:dyDescent="0.25">
      <c r="A305" t="s">
        <v>563</v>
      </c>
      <c r="B305" t="str">
        <f>IF(COUNTIF(A:A,A305)&gt;1,_xlfn.CONCAT(A305," (",N305,")"),A305)</f>
        <v>Lăng Zhèn</v>
      </c>
      <c r="C305" t="str">
        <f>IF(COUNTIF(B:B,B305)&gt;1,_xlfn.CONCAT(A305," (",M305,")"),B305)</f>
        <v>Lăng Zhèn</v>
      </c>
      <c r="D305" t="s">
        <v>564</v>
      </c>
      <c r="E305" t="s">
        <v>17</v>
      </c>
      <c r="F305" t="str">
        <f>_xlfn.CONCAT(D305,", ",H305,", ",I305,", ","西藏自治区")</f>
        <v>朗镇, 朗县, 林芝市, 西藏自治区</v>
      </c>
      <c r="G305">
        <v>4391</v>
      </c>
      <c r="H305" t="s">
        <v>1442</v>
      </c>
      <c r="I305" t="s">
        <v>1437</v>
      </c>
      <c r="J305">
        <f>VLOOKUP(F305,[1]!china_towns_second__2[[Column1]:[Y]],3,FALSE)</f>
        <v>29.070604825668202</v>
      </c>
      <c r="K305">
        <f>VLOOKUP(F305,[1]!china_towns_second__2[[Column1]:[Y]],2,FALSE)</f>
        <v>92.984422289999998</v>
      </c>
      <c r="L305" t="s">
        <v>1963</v>
      </c>
      <c r="M305" t="str">
        <f>VLOOKUP(H305,CHOOSE({1,2},Table8[Native],Table8[Name]),2,0)</f>
        <v>Lăng Xiàn</v>
      </c>
      <c r="N305" s="13" t="str">
        <f>VLOOKUP(I305,CHOOSE({1,2},Table8[Native],Table8[Name]),2,0)</f>
        <v>Línzhī Shì</v>
      </c>
      <c r="O305" s="13" t="str">
        <f t="shared" si="8"/>
        <v>Lang Zhen (Línzhī Shì)</v>
      </c>
      <c r="P305" s="13" t="str">
        <f t="shared" si="9"/>
        <v>Lang Zhen (Línzhī Shì)</v>
      </c>
    </row>
    <row r="306" spans="1:16" hidden="1" x14ac:dyDescent="0.25">
      <c r="A306" t="s">
        <v>1318</v>
      </c>
      <c r="B306" t="str">
        <f>IF(COUNTIF(A:A,A306)&gt;1,_xlfn.CONCAT(A306," (",N306,")"),A306)</f>
        <v>Lăngjiéxué Xiāng</v>
      </c>
      <c r="C306" t="str">
        <f>IF(COUNTIF(B:B,B306)&gt;1,_xlfn.CONCAT(A306," (",M306,")"),B306)</f>
        <v>Lăngjiéxué Xiāng</v>
      </c>
      <c r="D306" t="s">
        <v>1319</v>
      </c>
      <c r="E306" t="s">
        <v>7</v>
      </c>
      <c r="F306" t="str">
        <f>_xlfn.CONCAT(D306,", ",H306,", ",I306,", ","西藏自治区")</f>
        <v>朗杰学乡, 贡嘎县, 山南市, 西藏自治区</v>
      </c>
      <c r="G306">
        <v>6382</v>
      </c>
      <c r="H306" t="s">
        <v>1480</v>
      </c>
      <c r="I306" t="s">
        <v>1477</v>
      </c>
      <c r="J306" t="e">
        <f>VLOOKUP(F306,[1]!china_towns_second__2[[Column1]:[Y]],3,FALSE)</f>
        <v>#N/A</v>
      </c>
      <c r="K306" t="e">
        <f>VLOOKUP(F306,[1]!china_towns_second__2[[Column1]:[Y]],2,FALSE)</f>
        <v>#N/A</v>
      </c>
      <c r="L306" t="s">
        <v>1964</v>
      </c>
      <c r="M306" t="str">
        <f>VLOOKUP(H306,CHOOSE({1,2},Table8[Native],Table8[Name]),2,0)</f>
        <v>Gònggā Xiàn</v>
      </c>
      <c r="N306" s="13" t="str">
        <f>VLOOKUP(I306,CHOOSE({1,2},Table8[Native],Table8[Name]),2,0)</f>
        <v>Shānnán Shì</v>
      </c>
      <c r="O306" s="13" t="str">
        <f t="shared" si="8"/>
        <v>Langjiexue Xiang (Shānnán Shì)</v>
      </c>
      <c r="P306" s="13" t="str">
        <f t="shared" si="9"/>
        <v>Langjiexue Xiang (Shānnán Shì)</v>
      </c>
    </row>
    <row r="307" spans="1:16" x14ac:dyDescent="0.25">
      <c r="A307" t="s">
        <v>1320</v>
      </c>
      <c r="B307" t="str">
        <f>IF(COUNTIF(A:A,A307)&gt;1,_xlfn.CONCAT(A307," (",N307,")"),A307)</f>
        <v>Làngkăzi Zhèn</v>
      </c>
      <c r="C307" t="str">
        <f>IF(COUNTIF(B:B,B307)&gt;1,_xlfn.CONCAT(A307," (",M307,")"),B307)</f>
        <v>Làngkăzi Zhèn</v>
      </c>
      <c r="D307" t="s">
        <v>1321</v>
      </c>
      <c r="E307" t="s">
        <v>17</v>
      </c>
      <c r="F307" t="str">
        <f>_xlfn.CONCAT(D307,", ",H307,", ",I307,", ","西藏自治区")</f>
        <v>浪卡子镇, 浪卡子县, 山南市, 西藏自治区</v>
      </c>
      <c r="G307">
        <v>4560</v>
      </c>
      <c r="H307" t="s">
        <v>1482</v>
      </c>
      <c r="I307" t="s">
        <v>1477</v>
      </c>
      <c r="J307">
        <f>VLOOKUP(F307,[1]!china_towns_second__2[[Column1]:[Y]],3,FALSE)</f>
        <v>28.9419056747962</v>
      </c>
      <c r="K307">
        <f>VLOOKUP(F307,[1]!china_towns_second__2[[Column1]:[Y]],2,FALSE)</f>
        <v>90.336302279999998</v>
      </c>
      <c r="L307" t="s">
        <v>1965</v>
      </c>
      <c r="M307" t="str">
        <f>VLOOKUP(H307,CHOOSE({1,2},Table8[Native],Table8[Name]),2,0)</f>
        <v>Làngkăzi Xiàn</v>
      </c>
      <c r="N307" s="13" t="str">
        <f>VLOOKUP(I307,CHOOSE({1,2},Table8[Native],Table8[Name]),2,0)</f>
        <v>Shānnán Shì</v>
      </c>
      <c r="O307" s="13" t="str">
        <f t="shared" si="8"/>
        <v>Langkazi Zhen (Shānnán Shì)</v>
      </c>
      <c r="P307" s="13" t="str">
        <f t="shared" si="9"/>
        <v>Langkazi Zhen (Shānnán Shì)</v>
      </c>
    </row>
    <row r="308" spans="1:16" hidden="1" x14ac:dyDescent="0.25">
      <c r="A308" t="s">
        <v>1322</v>
      </c>
      <c r="B308" t="str">
        <f>IF(COUNTIF(A:A,A308)&gt;1,_xlfn.CONCAT(A308," (",N308,")"),A308)</f>
        <v>Làngpō Xiāng</v>
      </c>
      <c r="C308" t="str">
        <f>IF(COUNTIF(B:B,B308)&gt;1,_xlfn.CONCAT(A308," (",M308,")"),B308)</f>
        <v>Làngpō Xiāng</v>
      </c>
      <c r="D308" t="s">
        <v>1323</v>
      </c>
      <c r="E308" t="s">
        <v>7</v>
      </c>
      <c r="F308" t="str">
        <f>_xlfn.CONCAT(D308,", ",H308,", ",I308,", ","西藏自治区")</f>
        <v>浪坡乡, 错那县, 山南市, 西藏自治区</v>
      </c>
      <c r="G308">
        <v>327</v>
      </c>
      <c r="H308" t="s">
        <v>1479</v>
      </c>
      <c r="I308" t="s">
        <v>1477</v>
      </c>
      <c r="J308" t="e">
        <f>VLOOKUP(F308,[1]!china_towns_second__2[[Column1]:[Y]],3,FALSE)</f>
        <v>#N/A</v>
      </c>
      <c r="K308" t="e">
        <f>VLOOKUP(F308,[1]!china_towns_second__2[[Column1]:[Y]],2,FALSE)</f>
        <v>#N/A</v>
      </c>
      <c r="L308" t="s">
        <v>1966</v>
      </c>
      <c r="M308" t="str">
        <f>VLOOKUP(H308,CHOOSE({1,2},Table8[Native],Table8[Name]),2,0)</f>
        <v>Cuònà Xiàn</v>
      </c>
      <c r="N308" s="13" t="str">
        <f>VLOOKUP(I308,CHOOSE({1,2},Table8[Native],Table8[Name]),2,0)</f>
        <v>Shānnán Shì</v>
      </c>
      <c r="O308" s="13" t="str">
        <f t="shared" si="8"/>
        <v>Langpo Xiang (Shānnán Shì)</v>
      </c>
      <c r="P308" s="13" t="str">
        <f t="shared" si="9"/>
        <v>Langpo Xiang (Shānnán Shì)</v>
      </c>
    </row>
    <row r="309" spans="1:16" hidden="1" x14ac:dyDescent="0.25">
      <c r="A309" t="s">
        <v>713</v>
      </c>
      <c r="B309" t="str">
        <f>IF(COUNTIF(A:A,A309)&gt;1,_xlfn.CONCAT(A309," (",N309,")"),A309)</f>
        <v>Láomài Xiāng</v>
      </c>
      <c r="C309" t="str">
        <f>IF(COUNTIF(B:B,B309)&gt;1,_xlfn.CONCAT(A309," (",M309,")"),B309)</f>
        <v>Láomài Xiāng</v>
      </c>
      <c r="D309" t="s">
        <v>714</v>
      </c>
      <c r="E309" t="s">
        <v>7</v>
      </c>
      <c r="F309" t="str">
        <f>_xlfn.CONCAT(D309,", ",H309,", ",I309,", ","西藏自治区")</f>
        <v>劳麦乡, 色尼区, 那曲市, 西藏自治区</v>
      </c>
      <c r="G309">
        <v>3127</v>
      </c>
      <c r="H309" t="s">
        <v>1454</v>
      </c>
      <c r="I309" t="s">
        <v>1445</v>
      </c>
      <c r="J309" t="e">
        <f>VLOOKUP(F309,[1]!china_towns_second__2[[Column1]:[Y]],3,FALSE)</f>
        <v>#N/A</v>
      </c>
      <c r="K309" t="e">
        <f>VLOOKUP(F309,[1]!china_towns_second__2[[Column1]:[Y]],2,FALSE)</f>
        <v>#N/A</v>
      </c>
      <c r="L309" t="s">
        <v>1967</v>
      </c>
      <c r="M309" t="str">
        <f>VLOOKUP(H309,CHOOSE({1,2},Table8[Native],Table8[Name]),2,0)</f>
        <v>Sèní Qū</v>
      </c>
      <c r="N309" s="13" t="str">
        <f>VLOOKUP(I309,CHOOSE({1,2},Table8[Native],Table8[Name]),2,0)</f>
        <v>Nàqŭ Shì</v>
      </c>
      <c r="O309" s="13" t="str">
        <f t="shared" si="8"/>
        <v>Laomai Xiang (Nàqŭ Shì)</v>
      </c>
      <c r="P309" s="13" t="str">
        <f t="shared" si="9"/>
        <v>Laomai Xiang (Nàqŭ Shì)</v>
      </c>
    </row>
    <row r="310" spans="1:16" hidden="1" x14ac:dyDescent="0.25">
      <c r="A310" t="s">
        <v>1016</v>
      </c>
      <c r="B310" t="str">
        <f>IF(COUNTIF(A:A,A310)&gt;1,_xlfn.CONCAT(A310," (",N310,")"),A310)</f>
        <v>Lāràng Xiāng</v>
      </c>
      <c r="C310" t="str">
        <f>IF(COUNTIF(B:B,B310)&gt;1,_xlfn.CONCAT(A310," (",M310,")"),B310)</f>
        <v>Lāràng Xiāng</v>
      </c>
      <c r="D310" t="s">
        <v>1017</v>
      </c>
      <c r="E310" t="s">
        <v>7</v>
      </c>
      <c r="F310" t="str">
        <f>_xlfn.CONCAT(D310,", ",H310,", ",I310,", ","西藏自治区")</f>
        <v>拉让乡, 仲巴县, 日喀则市, 西藏自治区</v>
      </c>
      <c r="G310">
        <v>1966</v>
      </c>
      <c r="H310" t="s">
        <v>1476</v>
      </c>
      <c r="I310" t="s">
        <v>1458</v>
      </c>
      <c r="J310" t="e">
        <f>VLOOKUP(F310,[1]!china_towns_second__2[[Column1]:[Y]],3,FALSE)</f>
        <v>#N/A</v>
      </c>
      <c r="K310" t="e">
        <f>VLOOKUP(F310,[1]!china_towns_second__2[[Column1]:[Y]],2,FALSE)</f>
        <v>#N/A</v>
      </c>
      <c r="L310" t="s">
        <v>1968</v>
      </c>
      <c r="M310" t="str">
        <f>VLOOKUP(H310,CHOOSE({1,2},Table8[Native],Table8[Name]),2,0)</f>
        <v>Zhòngbā Xiàn</v>
      </c>
      <c r="N310" s="13" t="str">
        <f>VLOOKUP(I310,CHOOSE({1,2},Table8[Native],Table8[Name]),2,0)</f>
        <v>Rìkāzé Shì</v>
      </c>
      <c r="O310" s="13" t="str">
        <f t="shared" si="8"/>
        <v>Larang Xiang (Rìkāzé Shì)</v>
      </c>
      <c r="P310" s="13" t="str">
        <f t="shared" si="9"/>
        <v>Larang Xiang (Rìkāzé Shì)</v>
      </c>
    </row>
    <row r="311" spans="1:16" hidden="1" x14ac:dyDescent="0.25">
      <c r="A311" t="s">
        <v>1324</v>
      </c>
      <c r="B311" t="str">
        <f>IF(COUNTIF(A:A,A311)&gt;1,_xlfn.CONCAT(A311," (",N311,")"),A311)</f>
        <v>Lāsuí Xiāng</v>
      </c>
      <c r="C311" t="str">
        <f>IF(COUNTIF(B:B,B311)&gt;1,_xlfn.CONCAT(A311," (",M311,")"),B311)</f>
        <v>Lāsuí Xiāng</v>
      </c>
      <c r="D311" t="s">
        <v>1325</v>
      </c>
      <c r="E311" t="s">
        <v>7</v>
      </c>
      <c r="F311" t="str">
        <f>_xlfn.CONCAT(D311,", ",H311,", ",I311,", ","西藏自治区")</f>
        <v>拉绥乡, 加查县, 山南市, 西藏自治区</v>
      </c>
      <c r="G311">
        <v>3704</v>
      </c>
      <c r="H311" t="s">
        <v>1481</v>
      </c>
      <c r="I311" t="s">
        <v>1477</v>
      </c>
      <c r="J311" t="e">
        <f>VLOOKUP(F311,[1]!china_towns_second__2[[Column1]:[Y]],3,FALSE)</f>
        <v>#N/A</v>
      </c>
      <c r="K311" t="e">
        <f>VLOOKUP(F311,[1]!china_towns_second__2[[Column1]:[Y]],2,FALSE)</f>
        <v>#N/A</v>
      </c>
      <c r="L311" t="s">
        <v>1969</v>
      </c>
      <c r="M311" t="str">
        <f>VLOOKUP(H311,CHOOSE({1,2},Table8[Native],Table8[Name]),2,0)</f>
        <v>Jiāchá Xiàn</v>
      </c>
      <c r="N311" s="13" t="str">
        <f>VLOOKUP(I311,CHOOSE({1,2},Table8[Native],Table8[Name]),2,0)</f>
        <v>Shānnán Shì</v>
      </c>
      <c r="O311" s="13" t="str">
        <f t="shared" si="8"/>
        <v>Lasui Xiang (Shānnán Shì)</v>
      </c>
      <c r="P311" s="13" t="str">
        <f t="shared" si="9"/>
        <v>Lasui Xiang (Shānnán Shì)</v>
      </c>
    </row>
    <row r="312" spans="1:16" hidden="1" x14ac:dyDescent="0.25">
      <c r="A312" t="s">
        <v>217</v>
      </c>
      <c r="B312" t="str">
        <f>IF(COUNTIF(A:A,A312)&gt;1,_xlfn.CONCAT(A312," (",N312,")"),A312)</f>
        <v>Lātuŏ Xiāng</v>
      </c>
      <c r="C312" t="str">
        <f>IF(COUNTIF(B:B,B312)&gt;1,_xlfn.CONCAT(A312," (",M312,")"),B312)</f>
        <v>Lātuŏ Xiāng</v>
      </c>
      <c r="D312" t="s">
        <v>218</v>
      </c>
      <c r="E312" t="s">
        <v>7</v>
      </c>
      <c r="F312" t="str">
        <f>_xlfn.CONCAT(D312,", ",H312,", ",I312,", ","西藏自治区")</f>
        <v>拉妥乡, 贡觉县, 昌都市, 西藏自治区</v>
      </c>
      <c r="G312">
        <v>1934</v>
      </c>
      <c r="H312" t="s">
        <v>1420</v>
      </c>
      <c r="I312" t="s">
        <v>1415</v>
      </c>
      <c r="J312" t="e">
        <f>VLOOKUP(F312,[1]!china_towns_second__2[[Column1]:[Y]],3,FALSE)</f>
        <v>#N/A</v>
      </c>
      <c r="K312" t="e">
        <f>VLOOKUP(F312,[1]!china_towns_second__2[[Column1]:[Y]],2,FALSE)</f>
        <v>#N/A</v>
      </c>
      <c r="L312" t="s">
        <v>1970</v>
      </c>
      <c r="M312" t="str">
        <f>VLOOKUP(H312,CHOOSE({1,2},Table8[Native],Table8[Name]),2,0)</f>
        <v>Gòngjué Xiàn</v>
      </c>
      <c r="N312" s="13" t="str">
        <f>VLOOKUP(I312,CHOOSE({1,2},Table8[Native],Table8[Name]),2,0)</f>
        <v>Chāngdū Shì</v>
      </c>
      <c r="O312" s="13" t="str">
        <f t="shared" si="8"/>
        <v>Latuo Xiang (Chāngdū Shì)</v>
      </c>
      <c r="P312" s="13" t="str">
        <f t="shared" si="9"/>
        <v>Latuo Xiang (Chāngdū Shì)</v>
      </c>
    </row>
    <row r="313" spans="1:16" x14ac:dyDescent="0.25">
      <c r="A313" t="s">
        <v>715</v>
      </c>
      <c r="B313" t="str">
        <f>IF(COUNTIF(A:A,A313)&gt;1,_xlfn.CONCAT(A313," (",N313,")"),A313)</f>
        <v>Lāxī Zhèn</v>
      </c>
      <c r="C313" t="str">
        <f>IF(COUNTIF(B:B,B313)&gt;1,_xlfn.CONCAT(A313," (",M313,")"),B313)</f>
        <v>Lāxī Zhèn</v>
      </c>
      <c r="D313" t="s">
        <v>716</v>
      </c>
      <c r="E313" t="s">
        <v>17</v>
      </c>
      <c r="F313" t="str">
        <f>_xlfn.CONCAT(D313,", ",H313,", ",I313,", ","西藏自治区")</f>
        <v>拉西镇, 巴青县, 那曲市, 西藏自治区</v>
      </c>
      <c r="G313">
        <v>8032</v>
      </c>
      <c r="H313" t="s">
        <v>1448</v>
      </c>
      <c r="I313" t="s">
        <v>1445</v>
      </c>
      <c r="J313">
        <f>VLOOKUP(F313,[1]!china_towns_second__2[[Column1]:[Y]],3,FALSE)</f>
        <v>31.970662826047999</v>
      </c>
      <c r="K313">
        <f>VLOOKUP(F313,[1]!china_towns_second__2[[Column1]:[Y]],2,FALSE)</f>
        <v>94.12309209</v>
      </c>
      <c r="L313" t="s">
        <v>1971</v>
      </c>
      <c r="M313" t="str">
        <f>VLOOKUP(H313,CHOOSE({1,2},Table8[Native],Table8[Name]),2,0)</f>
        <v>Bāqīng Xiàn</v>
      </c>
      <c r="N313" s="13" t="str">
        <f>VLOOKUP(I313,CHOOSE({1,2},Table8[Native],Table8[Name]),2,0)</f>
        <v>Nàqŭ Shì</v>
      </c>
      <c r="O313" s="13" t="str">
        <f t="shared" si="8"/>
        <v>Laxi Zhen (Nàqŭ Shì)</v>
      </c>
      <c r="P313" s="13" t="str">
        <f t="shared" si="9"/>
        <v>Laxi Zhen (Nàqŭ Shì)</v>
      </c>
    </row>
    <row r="314" spans="1:16" hidden="1" x14ac:dyDescent="0.25">
      <c r="A314" t="s">
        <v>1326</v>
      </c>
      <c r="B314" t="str">
        <f>IF(COUNTIF(A:A,A314)&gt;1,_xlfn.CONCAT(A314," (",N314,")"),A314)</f>
        <v>Lāyù Xiāng</v>
      </c>
      <c r="C314" t="str">
        <f>IF(COUNTIF(B:B,B314)&gt;1,_xlfn.CONCAT(A314," (",M314,")"),B314)</f>
        <v>Lāyù Xiāng</v>
      </c>
      <c r="D314" t="s">
        <v>1327</v>
      </c>
      <c r="E314" t="s">
        <v>7</v>
      </c>
      <c r="F314" t="str">
        <f>_xlfn.CONCAT(D314,", ",H314,", ",I314,", ","西藏自治区")</f>
        <v>拉玉乡, 琼结县, 山南市, 西藏自治区</v>
      </c>
      <c r="G314">
        <v>4450</v>
      </c>
      <c r="H314" t="s">
        <v>1486</v>
      </c>
      <c r="I314" t="s">
        <v>1477</v>
      </c>
      <c r="J314" t="e">
        <f>VLOOKUP(F314,[1]!china_towns_second__2[[Column1]:[Y]],3,FALSE)</f>
        <v>#N/A</v>
      </c>
      <c r="K314" t="e">
        <f>VLOOKUP(F314,[1]!china_towns_second__2[[Column1]:[Y]],2,FALSE)</f>
        <v>#N/A</v>
      </c>
      <c r="L314" t="s">
        <v>1972</v>
      </c>
      <c r="M314" t="str">
        <f>VLOOKUP(H314,CHOOSE({1,2},Table8[Native],Table8[Name]),2,0)</f>
        <v>Qióngjié Xiàn</v>
      </c>
      <c r="N314" s="13" t="str">
        <f>VLOOKUP(I314,CHOOSE({1,2},Table8[Native],Table8[Name]),2,0)</f>
        <v>Shānnán Shì</v>
      </c>
      <c r="O314" s="13" t="str">
        <f t="shared" si="8"/>
        <v>Layu Xiang (Shānnán Shì)</v>
      </c>
      <c r="P314" s="13" t="str">
        <f t="shared" si="9"/>
        <v>Layu Xiang (Shānnán Shì)</v>
      </c>
    </row>
    <row r="315" spans="1:16" hidden="1" x14ac:dyDescent="0.25">
      <c r="A315" t="s">
        <v>1018</v>
      </c>
      <c r="B315" t="str">
        <f>IF(COUNTIF(A:A,A315)&gt;1,_xlfn.CONCAT(A315," (",N315,")"),A315)</f>
        <v>Lāzàng Xiāng</v>
      </c>
      <c r="C315" t="str">
        <f>IF(COUNTIF(B:B,B315)&gt;1,_xlfn.CONCAT(A315," (",M315,")"),B315)</f>
        <v>Lāzàng Xiāng</v>
      </c>
      <c r="D315" t="s">
        <v>1019</v>
      </c>
      <c r="E315" t="s">
        <v>7</v>
      </c>
      <c r="F315" t="str">
        <f>_xlfn.CONCAT(D315,", ",H315,", ",I315,", ","西藏自治区")</f>
        <v>拉藏乡, 萨嘎县, 日喀则市, 西藏自治区</v>
      </c>
      <c r="G315">
        <v>1495</v>
      </c>
      <c r="H315" t="s">
        <v>1471</v>
      </c>
      <c r="I315" t="s">
        <v>1458</v>
      </c>
      <c r="J315" t="e">
        <f>VLOOKUP(F315,[1]!china_towns_second__2[[Column1]:[Y]],3,FALSE)</f>
        <v>#N/A</v>
      </c>
      <c r="K315" t="e">
        <f>VLOOKUP(F315,[1]!china_towns_second__2[[Column1]:[Y]],2,FALSE)</f>
        <v>#N/A</v>
      </c>
      <c r="L315" t="s">
        <v>1973</v>
      </c>
      <c r="M315" t="str">
        <f>VLOOKUP(H315,CHOOSE({1,2},Table8[Native],Table8[Name]),2,0)</f>
        <v>Sàgā Xiàn</v>
      </c>
      <c r="N315" s="13" t="str">
        <f>VLOOKUP(I315,CHOOSE({1,2},Table8[Native],Table8[Name]),2,0)</f>
        <v>Rìkāzé Shì</v>
      </c>
      <c r="O315" s="13" t="str">
        <f t="shared" si="8"/>
        <v>Lazang Xiang (Rìkāzé Shì)</v>
      </c>
      <c r="P315" s="13" t="str">
        <f t="shared" si="9"/>
        <v>Lazang Xiang (Rìkāzé Shì)</v>
      </c>
    </row>
    <row r="316" spans="1:16" hidden="1" x14ac:dyDescent="0.25">
      <c r="A316" t="s">
        <v>219</v>
      </c>
      <c r="B316" t="str">
        <f>IF(COUNTIF(A:A,A316)&gt;1,_xlfn.CONCAT(A316," (",N316,")"),A316)</f>
        <v>Lāzī Xiāng</v>
      </c>
      <c r="C316" t="str">
        <f>IF(COUNTIF(B:B,B316)&gt;1,_xlfn.CONCAT(A316," (",M316,")"),B316)</f>
        <v>Lāzī Xiāng</v>
      </c>
      <c r="D316" t="s">
        <v>220</v>
      </c>
      <c r="E316" t="s">
        <v>7</v>
      </c>
      <c r="F316" t="str">
        <f>_xlfn.CONCAT(D316,", ",H316,", ",I316,", ","西藏自治区")</f>
        <v>拉孜乡, 边坝县, 昌都市, 西藏自治区</v>
      </c>
      <c r="G316">
        <v>3600</v>
      </c>
      <c r="H316" t="s">
        <v>1417</v>
      </c>
      <c r="I316" t="s">
        <v>1415</v>
      </c>
      <c r="J316" t="e">
        <f>VLOOKUP(F316,[1]!china_towns_second__2[[Column1]:[Y]],3,FALSE)</f>
        <v>#N/A</v>
      </c>
      <c r="K316" t="e">
        <f>VLOOKUP(F316,[1]!china_towns_second__2[[Column1]:[Y]],2,FALSE)</f>
        <v>#N/A</v>
      </c>
      <c r="L316" t="s">
        <v>1974</v>
      </c>
      <c r="M316" t="str">
        <f>VLOOKUP(H316,CHOOSE({1,2},Table8[Native],Table8[Name]),2,0)</f>
        <v>Biānbà Xiàn</v>
      </c>
      <c r="N316" s="13" t="str">
        <f>VLOOKUP(I316,CHOOSE({1,2},Table8[Native],Table8[Name]),2,0)</f>
        <v>Chāngdū Shì</v>
      </c>
      <c r="O316" s="13" t="str">
        <f t="shared" si="8"/>
        <v>Lazi Xiang (Chāngdū Shì)</v>
      </c>
      <c r="P316" s="13" t="str">
        <f t="shared" si="9"/>
        <v>Lazi Xiang (Chāngdū Shì)</v>
      </c>
    </row>
    <row r="317" spans="1:16" x14ac:dyDescent="0.25">
      <c r="A317" t="s">
        <v>1020</v>
      </c>
      <c r="B317" t="str">
        <f>IF(COUNTIF(A:A,A317)&gt;1,_xlfn.CONCAT(A317," (",N317,")"),A317)</f>
        <v>Lāzī Zhèn</v>
      </c>
      <c r="C317" t="str">
        <f>IF(COUNTIF(B:B,B317)&gt;1,_xlfn.CONCAT(A317," (",M317,")"),B317)</f>
        <v>Lāzī Zhèn</v>
      </c>
      <c r="D317" t="s">
        <v>1021</v>
      </c>
      <c r="E317" t="s">
        <v>17</v>
      </c>
      <c r="F317" t="str">
        <f>_xlfn.CONCAT(D317,", ",H317,", ",I317,", ","西藏自治区")</f>
        <v>拉孜镇, 拉孜县, 日喀则市, 西藏自治区</v>
      </c>
      <c r="G317">
        <v>5870</v>
      </c>
      <c r="H317" t="s">
        <v>1467</v>
      </c>
      <c r="I317" t="s">
        <v>1458</v>
      </c>
      <c r="J317">
        <f>VLOOKUP(F317,[1]!china_towns_second__2[[Column1]:[Y]],3,FALSE)</f>
        <v>29.186057275444099</v>
      </c>
      <c r="K317">
        <f>VLOOKUP(F317,[1]!china_towns_second__2[[Column1]:[Y]],2,FALSE)</f>
        <v>87.798946389999998</v>
      </c>
      <c r="L317" t="s">
        <v>1975</v>
      </c>
      <c r="M317" t="str">
        <f>VLOOKUP(H317,CHOOSE({1,2},Table8[Native],Table8[Name]),2,0)</f>
        <v>Lāzī Xiàn</v>
      </c>
      <c r="N317" s="13" t="str">
        <f>VLOOKUP(I317,CHOOSE({1,2},Table8[Native],Table8[Name]),2,0)</f>
        <v>Rìkāzé Shì</v>
      </c>
      <c r="O317" s="13" t="str">
        <f t="shared" si="8"/>
        <v>Lazi Zhen (Rìkāzé Shì)</v>
      </c>
      <c r="P317" s="13" t="str">
        <f t="shared" si="9"/>
        <v>Lazi Zhen (Rìkāzé Shì)</v>
      </c>
    </row>
    <row r="318" spans="1:16" x14ac:dyDescent="0.25">
      <c r="A318" t="s">
        <v>221</v>
      </c>
      <c r="B318" t="str">
        <f>IF(COUNTIF(A:A,A318)&gt;1,_xlfn.CONCAT(A318," (",N318,")"),A318)</f>
        <v>Lèiwūqí Zhèn</v>
      </c>
      <c r="C318" t="str">
        <f>IF(COUNTIF(B:B,B318)&gt;1,_xlfn.CONCAT(A318," (",M318,")"),B318)</f>
        <v>Lèiwūqí Zhèn</v>
      </c>
      <c r="D318" t="s">
        <v>222</v>
      </c>
      <c r="E318" t="s">
        <v>17</v>
      </c>
      <c r="F318" t="str">
        <f>_xlfn.CONCAT(D318,", ",H318,", ",I318,", ","西藏自治区")</f>
        <v>类乌齐镇, 类乌齐县, 昌都市, 西藏自治区</v>
      </c>
      <c r="G318">
        <v>6900</v>
      </c>
      <c r="H318" t="s">
        <v>1424</v>
      </c>
      <c r="I318" t="s">
        <v>1415</v>
      </c>
      <c r="J318">
        <f>VLOOKUP(F318,[1]!china_towns_second__2[[Column1]:[Y]],3,FALSE)</f>
        <v>31.460707713633401</v>
      </c>
      <c r="K318">
        <f>VLOOKUP(F318,[1]!china_towns_second__2[[Column1]:[Y]],2,FALSE)</f>
        <v>96.449813039999995</v>
      </c>
      <c r="L318" t="s">
        <v>1976</v>
      </c>
      <c r="M318" t="str">
        <f>VLOOKUP(H318,CHOOSE({1,2},Table8[Native],Table8[Name]),2,0)</f>
        <v>Lèiwūqí Xiàn</v>
      </c>
      <c r="N318" s="13" t="str">
        <f>VLOOKUP(I318,CHOOSE({1,2},Table8[Native],Table8[Name]),2,0)</f>
        <v>Chāngdū Shì</v>
      </c>
      <c r="O318" s="13" t="str">
        <f t="shared" si="8"/>
        <v>Leiwuqi Zhen (Chāngdū Shì)</v>
      </c>
      <c r="P318" s="13" t="str">
        <f t="shared" si="9"/>
        <v>Leiwuqi Zhen (Chāngdū Shì)</v>
      </c>
    </row>
    <row r="319" spans="1:16" hidden="1" x14ac:dyDescent="0.25">
      <c r="A319" t="s">
        <v>1328</v>
      </c>
      <c r="B319" t="str">
        <f>IF(COUNTIF(A:A,A319)&gt;1,_xlfn.CONCAT(A319," (",N319,")"),A319)</f>
        <v>Lèménbā Mínzú Xiāng</v>
      </c>
      <c r="C319" t="str">
        <f>IF(COUNTIF(B:B,B319)&gt;1,_xlfn.CONCAT(A319," (",M319,")"),B319)</f>
        <v>Lèménbā Mínzú Xiāng</v>
      </c>
      <c r="D319" t="s">
        <v>1329</v>
      </c>
      <c r="E319" t="s">
        <v>7</v>
      </c>
      <c r="F319" t="str">
        <f>_xlfn.CONCAT(D319,", ",H319,", ",I319,", ","西藏自治区")</f>
        <v>勒门巴民族乡, 错那县, 山南市, 西藏自治区</v>
      </c>
      <c r="G319">
        <v>171</v>
      </c>
      <c r="H319" t="s">
        <v>1479</v>
      </c>
      <c r="I319" t="s">
        <v>1477</v>
      </c>
      <c r="J319" t="e">
        <f>VLOOKUP(F319,[1]!china_towns_second__2[[Column1]:[Y]],3,FALSE)</f>
        <v>#N/A</v>
      </c>
      <c r="K319" t="e">
        <f>VLOOKUP(F319,[1]!china_towns_second__2[[Column1]:[Y]],2,FALSE)</f>
        <v>#N/A</v>
      </c>
      <c r="L319" t="s">
        <v>1977</v>
      </c>
      <c r="M319" t="str">
        <f>VLOOKUP(H319,CHOOSE({1,2},Table8[Native],Table8[Name]),2,0)</f>
        <v>Cuònà Xiàn</v>
      </c>
      <c r="N319" s="13" t="str">
        <f>VLOOKUP(I319,CHOOSE({1,2},Table8[Native],Table8[Name]),2,0)</f>
        <v>Shānnán Shì</v>
      </c>
      <c r="O319" s="13" t="str">
        <f t="shared" si="8"/>
        <v>Lemenba Minzu Xiang (Shānnán Shì)</v>
      </c>
      <c r="P319" s="13" t="str">
        <f t="shared" si="9"/>
        <v>Lemenba Minzu Xiang (Shānnán Shì)</v>
      </c>
    </row>
    <row r="320" spans="1:16" hidden="1" x14ac:dyDescent="0.25">
      <c r="A320" t="s">
        <v>1330</v>
      </c>
      <c r="B320" t="str">
        <f>IF(COUNTIF(A:A,A320)&gt;1,_xlfn.CONCAT(A320," (",N320,")"),A320)</f>
        <v>Lĕngdá Xiāng</v>
      </c>
      <c r="C320" t="str">
        <f>IF(COUNTIF(B:B,B320)&gt;1,_xlfn.CONCAT(A320," (",M320,")"),B320)</f>
        <v>Lĕngdá Xiāng</v>
      </c>
      <c r="D320" t="s">
        <v>1331</v>
      </c>
      <c r="E320" t="s">
        <v>7</v>
      </c>
      <c r="F320" t="str">
        <f>_xlfn.CONCAT(D320,", ",H320,", ",I320,", ","西藏自治区")</f>
        <v>冷达乡, 加查县, 山南市, 西藏自治区</v>
      </c>
      <c r="G320">
        <v>2245</v>
      </c>
      <c r="H320" t="s">
        <v>1481</v>
      </c>
      <c r="I320" t="s">
        <v>1477</v>
      </c>
      <c r="J320" t="e">
        <f>VLOOKUP(F320,[1]!china_towns_second__2[[Column1]:[Y]],3,FALSE)</f>
        <v>#N/A</v>
      </c>
      <c r="K320" t="e">
        <f>VLOOKUP(F320,[1]!china_towns_second__2[[Column1]:[Y]],2,FALSE)</f>
        <v>#N/A</v>
      </c>
      <c r="L320" t="s">
        <v>1978</v>
      </c>
      <c r="M320" t="str">
        <f>VLOOKUP(H320,CHOOSE({1,2},Table8[Native],Table8[Name]),2,0)</f>
        <v>Jiāchá Xiàn</v>
      </c>
      <c r="N320" s="13" t="str">
        <f>VLOOKUP(I320,CHOOSE({1,2},Table8[Native],Table8[Name]),2,0)</f>
        <v>Shānnán Shì</v>
      </c>
      <c r="O320" s="13" t="str">
        <f t="shared" si="8"/>
        <v>Lengda Xiang (Shānnán Shì)</v>
      </c>
      <c r="P320" s="13" t="str">
        <f t="shared" si="9"/>
        <v>Lengda Xiang (Shānnán Shì)</v>
      </c>
    </row>
    <row r="321" spans="1:16" hidden="1" x14ac:dyDescent="0.25">
      <c r="A321" t="s">
        <v>1022</v>
      </c>
      <c r="B321" t="str">
        <f>IF(COUNTIF(A:A,A321)&gt;1,_xlfn.CONCAT(A321," (",N321,")"),A321)</f>
        <v>Lián Xiāng</v>
      </c>
      <c r="C321" t="str">
        <f>IF(COUNTIF(B:B,B321)&gt;1,_xlfn.CONCAT(A321," (",M321,")"),B321)</f>
        <v>Lián Xiāng</v>
      </c>
      <c r="D321" t="s">
        <v>1023</v>
      </c>
      <c r="E321" t="s">
        <v>7</v>
      </c>
      <c r="F321" t="str">
        <f>_xlfn.CONCAT(D321,", ",H321,", ",I321,", ","西藏自治区")</f>
        <v>联乡, 桑珠孜区, 日喀则市, 西藏自治区</v>
      </c>
      <c r="G321">
        <v>4823</v>
      </c>
      <c r="H321" t="s">
        <v>1473</v>
      </c>
      <c r="I321" t="s">
        <v>1458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1979</v>
      </c>
      <c r="M321" t="str">
        <f>VLOOKUP(H321,CHOOSE({1,2},Table8[Native],Table8[Name]),2,0)</f>
        <v>Sāngzhūzī Qū</v>
      </c>
      <c r="N321" s="13" t="str">
        <f>VLOOKUP(I321,CHOOSE({1,2},Table8[Native],Table8[Name]),2,0)</f>
        <v>Rìkāzé Shì</v>
      </c>
      <c r="O321" s="13" t="str">
        <f t="shared" si="8"/>
        <v>Lian Xiang (Rìkāzé Shì)</v>
      </c>
      <c r="P321" s="13" t="str">
        <f t="shared" si="9"/>
        <v>Lian Xiang (Rìkāzé Shì)</v>
      </c>
    </row>
    <row r="322" spans="1:16" hidden="1" x14ac:dyDescent="0.25">
      <c r="A322" t="s">
        <v>430</v>
      </c>
      <c r="B322" t="str">
        <f>IF(COUNTIF(A:A,A322)&gt;1,_xlfn.CONCAT(A322," (",N322,")"),A322)</f>
        <v>Liăngdăo Jiēdào</v>
      </c>
      <c r="C322" t="str">
        <f>IF(COUNTIF(B:B,B322)&gt;1,_xlfn.CONCAT(A322," (",M322,")"),B322)</f>
        <v>Liăngdăo Jiēdào</v>
      </c>
      <c r="D322" t="s">
        <v>431</v>
      </c>
      <c r="E322" t="s">
        <v>374</v>
      </c>
      <c r="F322" t="str">
        <f>_xlfn.CONCAT(D322,", ",H322,", ",I322,", ","西藏自治区")</f>
        <v>两岛街道, 城关区, 拉萨市, 西藏自治区</v>
      </c>
      <c r="G322">
        <v>5754</v>
      </c>
      <c r="H322" t="s">
        <v>1429</v>
      </c>
      <c r="I322" t="s">
        <v>1428</v>
      </c>
      <c r="J322">
        <f>VLOOKUP(F322,[1]!china_towns_second__2[[Column1]:[Y]],3,FALSE)</f>
        <v>29.642248232423</v>
      </c>
      <c r="K322">
        <f>VLOOKUP(F322,[1]!china_towns_second__2[[Column1]:[Y]],2,FALSE)</f>
        <v>91.12476633</v>
      </c>
      <c r="L322" t="s">
        <v>1980</v>
      </c>
      <c r="M322" t="str">
        <f>VLOOKUP(H322,CHOOSE({1,2},Table8[Native],Table8[Name]),2,0)</f>
        <v>Chéngguān Qū</v>
      </c>
      <c r="N322" s="13" t="str">
        <f>VLOOKUP(I322,CHOOSE({1,2},Table8[Native],Table8[Name]),2,0)</f>
        <v>Lāsà Shì</v>
      </c>
      <c r="O322" s="13" t="str">
        <f t="shared" ref="O322:O385" si="10">_xlfn.CONCAT(L322," (",N322,")")</f>
        <v>Liangdao Jiedao (Lāsà Shì)</v>
      </c>
      <c r="P322" s="13" t="str">
        <f t="shared" ref="P322:P385" si="11">IF(COUNTIF(O:O,O322)&gt;1,_xlfn.CONCAT(L322," (",M322,")"),O322)</f>
        <v>Liangdao Jiedao (Lāsà Shì)</v>
      </c>
    </row>
    <row r="323" spans="1:16" hidden="1" x14ac:dyDescent="0.25">
      <c r="A323" t="s">
        <v>717</v>
      </c>
      <c r="B323" t="str">
        <f>IF(COUNTIF(A:A,A323)&gt;1,_xlfn.CONCAT(A323," (",N323,")"),A323)</f>
        <v>Liángqŭ Xiāng</v>
      </c>
      <c r="C323" t="str">
        <f>IF(COUNTIF(B:B,B323)&gt;1,_xlfn.CONCAT(A323," (",M323,")"),B323)</f>
        <v>Liángqŭ Xiāng</v>
      </c>
      <c r="D323" t="s">
        <v>718</v>
      </c>
      <c r="E323" t="s">
        <v>7</v>
      </c>
      <c r="F323" t="str">
        <f>_xlfn.CONCAT(D323,", ",H323,", ",I323,", ","西藏自治区")</f>
        <v>良曲乡, 比如县, 那曲市, 西藏自治区</v>
      </c>
      <c r="G323">
        <v>3387</v>
      </c>
      <c r="H323" t="s">
        <v>1449</v>
      </c>
      <c r="I323" t="s">
        <v>1445</v>
      </c>
      <c r="J323" t="e">
        <f>VLOOKUP(F323,[1]!china_towns_second__2[[Column1]:[Y]],3,FALSE)</f>
        <v>#N/A</v>
      </c>
      <c r="K323" t="e">
        <f>VLOOKUP(F323,[1]!china_towns_second__2[[Column1]:[Y]],2,FALSE)</f>
        <v>#N/A</v>
      </c>
      <c r="L323" t="s">
        <v>1981</v>
      </c>
      <c r="M323" t="str">
        <f>VLOOKUP(H323,CHOOSE({1,2},Table8[Native],Table8[Name]),2,0)</f>
        <v>Bĭrú Xiàn</v>
      </c>
      <c r="N323" s="13" t="str">
        <f>VLOOKUP(I323,CHOOSE({1,2},Table8[Native],Table8[Name]),2,0)</f>
        <v>Nàqŭ Shì</v>
      </c>
      <c r="O323" s="13" t="str">
        <f t="shared" si="10"/>
        <v>Liangqu Xiang (Nàqŭ Shì)</v>
      </c>
      <c r="P323" s="13" t="str">
        <f t="shared" si="11"/>
        <v>Liangqu Xiang (Nàqŭ Shì)</v>
      </c>
    </row>
    <row r="324" spans="1:16" hidden="1" x14ac:dyDescent="0.25">
      <c r="A324" t="s">
        <v>1024</v>
      </c>
      <c r="B324" t="str">
        <f>IF(COUNTIF(A:A,A324)&gt;1,_xlfn.CONCAT(A324," (",N324,")"),A324)</f>
        <v>Lièbā Xiāng</v>
      </c>
      <c r="C324" t="str">
        <f>IF(COUNTIF(B:B,B324)&gt;1,_xlfn.CONCAT(A324," (",M324,")"),B324)</f>
        <v>Lièbā Xiāng</v>
      </c>
      <c r="D324" t="s">
        <v>1025</v>
      </c>
      <c r="E324" t="s">
        <v>7</v>
      </c>
      <c r="F324" t="str">
        <f>_xlfn.CONCAT(D324,", ",H324,", ",I324,", ","西藏自治区")</f>
        <v>列巴乡, 谢通门县, 日喀则市, 西藏自治区</v>
      </c>
      <c r="G324">
        <v>1509</v>
      </c>
      <c r="H324" t="s">
        <v>1474</v>
      </c>
      <c r="I324" t="s">
        <v>1458</v>
      </c>
      <c r="J324" t="e">
        <f>VLOOKUP(F324,[1]!china_towns_second__2[[Column1]:[Y]],3,FALSE)</f>
        <v>#N/A</v>
      </c>
      <c r="K324" t="e">
        <f>VLOOKUP(F324,[1]!china_towns_second__2[[Column1]:[Y]],2,FALSE)</f>
        <v>#N/A</v>
      </c>
      <c r="L324" t="s">
        <v>1982</v>
      </c>
      <c r="M324" t="str">
        <f>VLOOKUP(H324,CHOOSE({1,2},Table8[Native],Table8[Name]),2,0)</f>
        <v>Xiètōngmén Xiàn</v>
      </c>
      <c r="N324" s="13" t="str">
        <f>VLOOKUP(I324,CHOOSE({1,2},Table8[Native],Table8[Name]),2,0)</f>
        <v>Rìkāzé Shì</v>
      </c>
      <c r="O324" s="13" t="str">
        <f t="shared" si="10"/>
        <v>Lieba Xiang (Rìkāzé Shì)</v>
      </c>
      <c r="P324" s="13" t="str">
        <f t="shared" si="11"/>
        <v>Lieba Xiang (Rìkāzé Shì)</v>
      </c>
    </row>
    <row r="325" spans="1:16" hidden="1" x14ac:dyDescent="0.25">
      <c r="A325" t="s">
        <v>1332</v>
      </c>
      <c r="B325" t="str">
        <f>IF(COUNTIF(A:A,A325)&gt;1,_xlfn.CONCAT(A325," (",N325,")"),A325)</f>
        <v>Lièmài Xiāng</v>
      </c>
      <c r="C325" t="str">
        <f>IF(COUNTIF(B:B,B325)&gt;1,_xlfn.CONCAT(A325," (",M325,")"),B325)</f>
        <v>Lièmài Xiāng</v>
      </c>
      <c r="D325" t="s">
        <v>1333</v>
      </c>
      <c r="E325" t="s">
        <v>7</v>
      </c>
      <c r="F325" t="str">
        <f>_xlfn.CONCAT(D325,", ",H325,", ",I325,", ","西藏自治区")</f>
        <v>列麦乡, 隆子县, 山南市, 西藏自治区</v>
      </c>
      <c r="G325">
        <v>2192</v>
      </c>
      <c r="H325" t="s">
        <v>1483</v>
      </c>
      <c r="I325" t="s">
        <v>1477</v>
      </c>
      <c r="J325" t="e">
        <f>VLOOKUP(F325,[1]!china_towns_second__2[[Column1]:[Y]],3,FALSE)</f>
        <v>#N/A</v>
      </c>
      <c r="K325" t="e">
        <f>VLOOKUP(F325,[1]!china_towns_second__2[[Column1]:[Y]],2,FALSE)</f>
        <v>#N/A</v>
      </c>
      <c r="L325" t="s">
        <v>1983</v>
      </c>
      <c r="M325" t="str">
        <f>VLOOKUP(H325,CHOOSE({1,2},Table8[Native],Table8[Name]),2,0)</f>
        <v>Lóngzi Xiàn</v>
      </c>
      <c r="N325" s="13" t="str">
        <f>VLOOKUP(I325,CHOOSE({1,2},Table8[Native],Table8[Name]),2,0)</f>
        <v>Shānnán Shì</v>
      </c>
      <c r="O325" s="13" t="str">
        <f t="shared" si="10"/>
        <v>Liemai Xiang (Shānnán Shì)</v>
      </c>
      <c r="P325" s="13" t="str">
        <f t="shared" si="11"/>
        <v>Liemai Xiang (Shānnán Shì)</v>
      </c>
    </row>
    <row r="326" spans="1:16" hidden="1" x14ac:dyDescent="0.25">
      <c r="A326" t="s">
        <v>565</v>
      </c>
      <c r="B326" t="str">
        <f>IF(COUNTIF(A:A,A326)&gt;1,_xlfn.CONCAT(A326," (",N326,")"),A326)</f>
        <v>Lĭlóng Xiāng</v>
      </c>
      <c r="C326" t="str">
        <f>IF(COUNTIF(B:B,B326)&gt;1,_xlfn.CONCAT(A326," (",M326,")"),B326)</f>
        <v>Lĭlóng Xiāng</v>
      </c>
      <c r="D326" t="s">
        <v>566</v>
      </c>
      <c r="E326" t="s">
        <v>7</v>
      </c>
      <c r="F326" t="str">
        <f>_xlfn.CONCAT(D326,", ",H326,", ",I326,", ","西藏自治区")</f>
        <v>里龙乡, 米林县, 林芝市, 西藏自治区</v>
      </c>
      <c r="G326">
        <v>2038</v>
      </c>
      <c r="H326" t="s">
        <v>1443</v>
      </c>
      <c r="I326" t="s">
        <v>1437</v>
      </c>
      <c r="J326" t="e">
        <f>VLOOKUP(F326,[1]!china_towns_second__2[[Column1]:[Y]],3,FALSE)</f>
        <v>#N/A</v>
      </c>
      <c r="K326" t="e">
        <f>VLOOKUP(F326,[1]!china_towns_second__2[[Column1]:[Y]],2,FALSE)</f>
        <v>#N/A</v>
      </c>
      <c r="L326" t="s">
        <v>1984</v>
      </c>
      <c r="M326" t="str">
        <f>VLOOKUP(H326,CHOOSE({1,2},Table8[Native],Table8[Name]),2,0)</f>
        <v>Mĭlín Xiàn</v>
      </c>
      <c r="N326" s="13" t="str">
        <f>VLOOKUP(I326,CHOOSE({1,2},Table8[Native],Table8[Name]),2,0)</f>
        <v>Línzhī Shì</v>
      </c>
      <c r="O326" s="13" t="str">
        <f t="shared" si="10"/>
        <v>Lilong Xiang (Línzhī Shì)</v>
      </c>
      <c r="P326" s="13" t="str">
        <f t="shared" si="11"/>
        <v>Lilong Xiang (Línzhī Shì)</v>
      </c>
    </row>
    <row r="327" spans="1:16" hidden="1" x14ac:dyDescent="0.25">
      <c r="A327" t="s">
        <v>719</v>
      </c>
      <c r="B327" t="str">
        <f>IF(COUNTIF(A:A,A327)&gt;1,_xlfn.CONCAT(A327," (",N327,")"),A327)</f>
        <v>Líndī Xiāng</v>
      </c>
      <c r="C327" t="str">
        <f>IF(COUNTIF(B:B,B327)&gt;1,_xlfn.CONCAT(A327," (",M327,")"),B327)</f>
        <v>Líndī Xiāng</v>
      </c>
      <c r="D327" t="s">
        <v>720</v>
      </c>
      <c r="E327" t="s">
        <v>7</v>
      </c>
      <c r="F327" t="str">
        <f>_xlfn.CONCAT(D327,", ",H327,", ",I327,", ","西藏自治区")</f>
        <v>林堤乡, 嘉黎县, 那曲市, 西藏自治区</v>
      </c>
      <c r="G327">
        <v>1666</v>
      </c>
      <c r="H327" t="s">
        <v>1450</v>
      </c>
      <c r="I327" t="s">
        <v>1445</v>
      </c>
      <c r="J327" t="e">
        <f>VLOOKUP(F327,[1]!china_towns_second__2[[Column1]:[Y]],3,FALSE)</f>
        <v>#N/A</v>
      </c>
      <c r="K327" t="e">
        <f>VLOOKUP(F327,[1]!china_towns_second__2[[Column1]:[Y]],2,FALSE)</f>
        <v>#N/A</v>
      </c>
      <c r="L327" t="s">
        <v>1985</v>
      </c>
      <c r="M327" t="str">
        <f>VLOOKUP(H327,CHOOSE({1,2},Table8[Native],Table8[Name]),2,0)</f>
        <v>Jiālí Xiàn</v>
      </c>
      <c r="N327" s="13" t="str">
        <f>VLOOKUP(I327,CHOOSE({1,2},Table8[Native],Table8[Name]),2,0)</f>
        <v>Nàqŭ Shì</v>
      </c>
      <c r="O327" s="13" t="str">
        <f t="shared" si="10"/>
        <v>Lindi Xiang (Nàqŭ Shì)</v>
      </c>
      <c r="P327" s="13" t="str">
        <f t="shared" si="11"/>
        <v>Lindi Xiang (Nàqŭ Shì)</v>
      </c>
    </row>
    <row r="328" spans="1:16" hidden="1" x14ac:dyDescent="0.25">
      <c r="A328" t="s">
        <v>223</v>
      </c>
      <c r="B328" t="str">
        <f>IF(COUNTIF(A:A,A328)&gt;1,_xlfn.CONCAT(A328," (",N328,")"),A328)</f>
        <v>Línkă Xiāng</v>
      </c>
      <c r="C328" t="str">
        <f>IF(COUNTIF(B:B,B328)&gt;1,_xlfn.CONCAT(A328," (",M328,")"),B328)</f>
        <v>Línkă Xiāng</v>
      </c>
      <c r="D328" t="s">
        <v>224</v>
      </c>
      <c r="E328" t="s">
        <v>7</v>
      </c>
      <c r="F328" t="str">
        <f>_xlfn.CONCAT(D328,", ",H328,", ",I328,", ","西藏自治区")</f>
        <v>林卡乡, 八宿县, 昌都市, 西藏自治区</v>
      </c>
      <c r="G328">
        <v>3212</v>
      </c>
      <c r="H328" t="s">
        <v>1416</v>
      </c>
      <c r="I328" t="s">
        <v>1415</v>
      </c>
      <c r="J328" t="e">
        <f>VLOOKUP(F328,[1]!china_towns_second__2[[Column1]:[Y]],3,FALSE)</f>
        <v>#N/A</v>
      </c>
      <c r="K328" t="e">
        <f>VLOOKUP(F328,[1]!china_towns_second__2[[Column1]:[Y]],2,FALSE)</f>
        <v>#N/A</v>
      </c>
      <c r="L328" t="s">
        <v>1986</v>
      </c>
      <c r="M328" t="str">
        <f>VLOOKUP(H328,CHOOSE({1,2},Table8[Native],Table8[Name]),2,0)</f>
        <v>Bāsù Xiàn</v>
      </c>
      <c r="N328" s="13" t="str">
        <f>VLOOKUP(I328,CHOOSE({1,2},Table8[Native],Table8[Name]),2,0)</f>
        <v>Chāngdū Shì</v>
      </c>
      <c r="O328" s="13" t="str">
        <f t="shared" si="10"/>
        <v>Linka Xiang (Chāngdū Shì)</v>
      </c>
      <c r="P328" s="13" t="str">
        <f t="shared" si="11"/>
        <v>Linka Xiang (Chāngdū Shì)</v>
      </c>
    </row>
    <row r="329" spans="1:16" x14ac:dyDescent="0.25">
      <c r="A329" t="s">
        <v>567</v>
      </c>
      <c r="B329" t="str">
        <f>IF(COUNTIF(A:A,A329)&gt;1,_xlfn.CONCAT(A329," (",N329,")"),A329)</f>
        <v>Línzhī Zhèn</v>
      </c>
      <c r="C329" t="str">
        <f>IF(COUNTIF(B:B,B329)&gt;1,_xlfn.CONCAT(A329," (",M329,")"),B329)</f>
        <v>Línzhī Zhèn</v>
      </c>
      <c r="D329" t="s">
        <v>568</v>
      </c>
      <c r="E329" t="s">
        <v>17</v>
      </c>
      <c r="F329" t="str">
        <f>_xlfn.CONCAT(D329,", ",H329,", ",I329,", ","西藏自治区")</f>
        <v>林芝镇, 巴宜区, 林芝市, 西藏自治区</v>
      </c>
      <c r="G329">
        <v>3267</v>
      </c>
      <c r="H329" t="s">
        <v>1438</v>
      </c>
      <c r="I329" t="s">
        <v>1437</v>
      </c>
      <c r="J329">
        <f>VLOOKUP(F329,[1]!china_towns_second__2[[Column1]:[Y]],3,FALSE)</f>
        <v>29.6136694600468</v>
      </c>
      <c r="K329">
        <f>VLOOKUP(F329,[1]!china_towns_second__2[[Column1]:[Y]],2,FALSE)</f>
        <v>94.5268552</v>
      </c>
      <c r="L329" t="s">
        <v>1987</v>
      </c>
      <c r="M329" t="str">
        <f>VLOOKUP(H329,CHOOSE({1,2},Table8[Native],Table8[Name]),2,0)</f>
        <v>Bāyí Qū</v>
      </c>
      <c r="N329" s="13" t="str">
        <f>VLOOKUP(I329,CHOOSE({1,2},Table8[Native],Table8[Name]),2,0)</f>
        <v>Línzhī Shì</v>
      </c>
      <c r="O329" s="13" t="str">
        <f t="shared" si="10"/>
        <v>Linzhi Zhen (Línzhī Shì)</v>
      </c>
      <c r="P329" s="13" t="str">
        <f t="shared" si="11"/>
        <v>Linzhi Zhen (Línzhī Shì)</v>
      </c>
    </row>
    <row r="330" spans="1:16" hidden="1" x14ac:dyDescent="0.25">
      <c r="A330" t="s">
        <v>1026</v>
      </c>
      <c r="B330" t="str">
        <f>IF(COUNTIF(A:A,A330)&gt;1,_xlfn.CONCAT(A330," (",N330,")"),A330)</f>
        <v>Liŭ Xiāng</v>
      </c>
      <c r="C330" t="str">
        <f>IF(COUNTIF(B:B,B330)&gt;1,_xlfn.CONCAT(A330," (",M330,")"),B330)</f>
        <v>Liŭ Xiāng</v>
      </c>
      <c r="D330" t="s">
        <v>1027</v>
      </c>
      <c r="E330" t="s">
        <v>7</v>
      </c>
      <c r="F330" t="str">
        <f>_xlfn.CONCAT(D330,", ",H330,", ",I330,", ","西藏自治区")</f>
        <v>柳乡, 拉孜县, 日喀则市, 西藏自治区</v>
      </c>
      <c r="G330">
        <v>3543</v>
      </c>
      <c r="H330" t="s">
        <v>1467</v>
      </c>
      <c r="I330" t="s">
        <v>1458</v>
      </c>
      <c r="J330" t="e">
        <f>VLOOKUP(F330,[1]!china_towns_second__2[[Column1]:[Y]],3,FALSE)</f>
        <v>#N/A</v>
      </c>
      <c r="K330" t="e">
        <f>VLOOKUP(F330,[1]!china_towns_second__2[[Column1]:[Y]],2,FALSE)</f>
        <v>#N/A</v>
      </c>
      <c r="L330" t="s">
        <v>1988</v>
      </c>
      <c r="M330" t="str">
        <f>VLOOKUP(H330,CHOOSE({1,2},Table8[Native],Table8[Name]),2,0)</f>
        <v>Lāzī Xiàn</v>
      </c>
      <c r="N330" s="13" t="str">
        <f>VLOOKUP(I330,CHOOSE({1,2},Table8[Native],Table8[Name]),2,0)</f>
        <v>Rìkāzé Shì</v>
      </c>
      <c r="O330" s="13" t="str">
        <f t="shared" si="10"/>
        <v>Liu Xiang (Rìkāzé Shì)</v>
      </c>
      <c r="P330" s="13" t="str">
        <f t="shared" si="11"/>
        <v>Liu Xiang (Rìkāzé Shì)</v>
      </c>
    </row>
    <row r="331" spans="1:16" hidden="1" x14ac:dyDescent="0.25">
      <c r="A331" t="s">
        <v>432</v>
      </c>
      <c r="B331" t="str">
        <f>IF(COUNTIF(A:A,A331)&gt;1,_xlfn.CONCAT(A331," (",N331,")"),A331)</f>
        <v>Liŭwú Jiēdào</v>
      </c>
      <c r="C331" t="str">
        <f>IF(COUNTIF(B:B,B331)&gt;1,_xlfn.CONCAT(A331," (",M331,")"),B331)</f>
        <v>Liŭwú Jiēdào</v>
      </c>
      <c r="D331" t="s">
        <v>433</v>
      </c>
      <c r="E331" t="s">
        <v>7</v>
      </c>
      <c r="F331" t="str">
        <f>_xlfn.CONCAT(D331,", ",H331,", ",I331,", ","西藏自治区")</f>
        <v>柳梧乡, 堆龙德庆区, 拉萨市, 西藏自治区</v>
      </c>
      <c r="G331">
        <v>6027</v>
      </c>
      <c r="H331" t="s">
        <v>1432</v>
      </c>
      <c r="I331" t="s">
        <v>1428</v>
      </c>
      <c r="J331" t="e">
        <f>VLOOKUP(F331,[1]!china_towns_second__2[[Column1]:[Y]],3,FALSE)</f>
        <v>#N/A</v>
      </c>
      <c r="K331" t="e">
        <f>VLOOKUP(F331,[1]!china_towns_second__2[[Column1]:[Y]],2,FALSE)</f>
        <v>#N/A</v>
      </c>
      <c r="L331" t="s">
        <v>1989</v>
      </c>
      <c r="M331" t="str">
        <f>VLOOKUP(H331,CHOOSE({1,2},Table8[Native],Table8[Name]),2,0)</f>
        <v>Duīlóngdéqìng Qū</v>
      </c>
      <c r="N331" s="13" t="str">
        <f>VLOOKUP(I331,CHOOSE({1,2},Table8[Native],Table8[Name]),2,0)</f>
        <v>Lāsà Shì</v>
      </c>
      <c r="O331" s="13" t="str">
        <f t="shared" si="10"/>
        <v>Liuwu Jiedao (Lāsà Shì)</v>
      </c>
      <c r="P331" s="13" t="str">
        <f t="shared" si="11"/>
        <v>Liuwu Jiedao (Lāsà Shì)</v>
      </c>
    </row>
    <row r="332" spans="1:16" hidden="1" x14ac:dyDescent="0.25">
      <c r="A332" t="s">
        <v>1028</v>
      </c>
      <c r="B332" t="str">
        <f>IF(COUNTIF(A:A,A332)&gt;1,_xlfn.CONCAT(A332," (",N332,")"),A332)</f>
        <v>Lónggāěr Xiāng</v>
      </c>
      <c r="C332" t="str">
        <f>IF(COUNTIF(B:B,B332)&gt;1,_xlfn.CONCAT(A332," (",M332,")"),B332)</f>
        <v>Lónggāěr Xiāng</v>
      </c>
      <c r="D332" t="s">
        <v>1029</v>
      </c>
      <c r="E332" t="s">
        <v>7</v>
      </c>
      <c r="F332" t="str">
        <f>_xlfn.CONCAT(D332,", ",H332,", ",I332,", ","西藏自治区")</f>
        <v>隆格尔乡, 仲巴县, 日喀则市, 西藏自治区</v>
      </c>
      <c r="G332">
        <v>3275</v>
      </c>
      <c r="H332" t="s">
        <v>1476</v>
      </c>
      <c r="I332" t="s">
        <v>1458</v>
      </c>
      <c r="J332" t="e">
        <f>VLOOKUP(F332,[1]!china_towns_second__2[[Column1]:[Y]],3,FALSE)</f>
        <v>#N/A</v>
      </c>
      <c r="K332" t="e">
        <f>VLOOKUP(F332,[1]!china_towns_second__2[[Column1]:[Y]],2,FALSE)</f>
        <v>#N/A</v>
      </c>
      <c r="L332" t="s">
        <v>1990</v>
      </c>
      <c r="M332" t="str">
        <f>VLOOKUP(H332,CHOOSE({1,2},Table8[Native],Table8[Name]),2,0)</f>
        <v>Zhòngbā Xiàn</v>
      </c>
      <c r="N332" s="13" t="str">
        <f>VLOOKUP(I332,CHOOSE({1,2},Table8[Native],Table8[Name]),2,0)</f>
        <v>Rìkāzé Shì</v>
      </c>
      <c r="O332" s="13" t="str">
        <f t="shared" si="10"/>
        <v>Longgaer Xiang (Rìkāzé Shì)</v>
      </c>
      <c r="P332" s="13" t="str">
        <f t="shared" si="11"/>
        <v>Longgaer Xiang (Rìkāzé Shì)</v>
      </c>
    </row>
    <row r="333" spans="1:16" hidden="1" x14ac:dyDescent="0.25">
      <c r="A333" t="s">
        <v>1030</v>
      </c>
      <c r="B333" t="str">
        <f>IF(COUNTIF(A:A,A333)&gt;1,_xlfn.CONCAT(A333," (",N333,")"),A333)</f>
        <v>Lóngmă Xiāng</v>
      </c>
      <c r="C333" t="str">
        <f>IF(COUNTIF(B:B,B333)&gt;1,_xlfn.CONCAT(A333," (",M333,")"),B333)</f>
        <v>Lóngmă Xiāng</v>
      </c>
      <c r="D333" t="s">
        <v>1031</v>
      </c>
      <c r="E333" t="s">
        <v>7</v>
      </c>
      <c r="F333" t="str">
        <f>_xlfn.CONCAT(D333,", ",H333,", ",I333,", ","西藏自治区")</f>
        <v>龙马乡, 江孜县, 日喀则市, 西藏自治区</v>
      </c>
      <c r="G333">
        <v>1732</v>
      </c>
      <c r="H333" t="s">
        <v>1464</v>
      </c>
      <c r="I333" t="s">
        <v>1458</v>
      </c>
      <c r="J333" t="e">
        <f>VLOOKUP(F333,[1]!china_towns_second__2[[Column1]:[Y]],3,FALSE)</f>
        <v>#N/A</v>
      </c>
      <c r="K333" t="e">
        <f>VLOOKUP(F333,[1]!china_towns_second__2[[Column1]:[Y]],2,FALSE)</f>
        <v>#N/A</v>
      </c>
      <c r="L333" t="s">
        <v>1991</v>
      </c>
      <c r="M333" t="str">
        <f>VLOOKUP(H333,CHOOSE({1,2},Table8[Native],Table8[Name]),2,0)</f>
        <v>Jiāngzī Xiàn</v>
      </c>
      <c r="N333" s="13" t="str">
        <f>VLOOKUP(I333,CHOOSE({1,2},Table8[Native],Table8[Name]),2,0)</f>
        <v>Rìkāzé Shì</v>
      </c>
      <c r="O333" s="13" t="str">
        <f t="shared" si="10"/>
        <v>Longma Xiang (Rìkāzé Shì)</v>
      </c>
      <c r="P333" s="13" t="str">
        <f t="shared" si="11"/>
        <v>Longma Xiang (Rìkāzé Shì)</v>
      </c>
    </row>
    <row r="334" spans="1:16" hidden="1" x14ac:dyDescent="0.25">
      <c r="A334" t="s">
        <v>434</v>
      </c>
      <c r="B334" t="str">
        <f>IF(COUNTIF(A:A,A334)&gt;1,_xlfn.CONCAT(A334," (",N334,")"),A334)</f>
        <v>Lóngrén Xiāng</v>
      </c>
      <c r="C334" t="str">
        <f>IF(COUNTIF(B:B,B334)&gt;1,_xlfn.CONCAT(A334," (",M334,")"),B334)</f>
        <v>Lóngrén Xiāng</v>
      </c>
      <c r="D334" t="s">
        <v>435</v>
      </c>
      <c r="E334" t="s">
        <v>7</v>
      </c>
      <c r="F334" t="str">
        <f>_xlfn.CONCAT(D334,", ",H334,", ",I334,", ","西藏自治区")</f>
        <v>龙仁乡, 当雄县, 拉萨市, 西藏自治区</v>
      </c>
      <c r="G334">
        <v>4686</v>
      </c>
      <c r="H334" t="s">
        <v>1430</v>
      </c>
      <c r="I334" t="s">
        <v>1428</v>
      </c>
      <c r="J334" t="e">
        <f>VLOOKUP(F334,[1]!china_towns_second__2[[Column1]:[Y]],3,FALSE)</f>
        <v>#N/A</v>
      </c>
      <c r="K334" t="e">
        <f>VLOOKUP(F334,[1]!china_towns_second__2[[Column1]:[Y]],2,FALSE)</f>
        <v>#N/A</v>
      </c>
      <c r="L334" t="s">
        <v>1992</v>
      </c>
      <c r="M334" t="str">
        <f>VLOOKUP(H334,CHOOSE({1,2},Table8[Native],Table8[Name]),2,0)</f>
        <v>Dāngxióng Xiàn</v>
      </c>
      <c r="N334" s="13" t="str">
        <f>VLOOKUP(I334,CHOOSE({1,2},Table8[Native],Table8[Name]),2,0)</f>
        <v>Lāsà Shì</v>
      </c>
      <c r="O334" s="13" t="str">
        <f t="shared" si="10"/>
        <v>Longren Xiang (Lāsà Shì)</v>
      </c>
      <c r="P334" s="13" t="str">
        <f t="shared" si="11"/>
        <v>Longren Xiang (Lāsà Shì)</v>
      </c>
    </row>
    <row r="335" spans="1:16" hidden="1" x14ac:dyDescent="0.25">
      <c r="A335" t="s">
        <v>1032</v>
      </c>
      <c r="B335" t="str">
        <f>IF(COUNTIF(A:A,A335)&gt;1,_xlfn.CONCAT(A335," (",N335,")"),A335)</f>
        <v>Lóngzhōng Xiāng</v>
      </c>
      <c r="C335" t="str">
        <f>IF(COUNTIF(B:B,B335)&gt;1,_xlfn.CONCAT(A335," (",M335,")"),B335)</f>
        <v>Lóngzhōng Xiāng</v>
      </c>
      <c r="D335" t="s">
        <v>1033</v>
      </c>
      <c r="E335" t="s">
        <v>7</v>
      </c>
      <c r="F335" t="str">
        <f>_xlfn.CONCAT(D335,", ",H335,", ",I335,", ","西藏自治区")</f>
        <v>龙中乡, 岗巴县, 日喀则市, 西藏自治区</v>
      </c>
      <c r="G335">
        <v>2344</v>
      </c>
      <c r="H335" t="s">
        <v>1463</v>
      </c>
      <c r="I335" t="s">
        <v>1458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1993</v>
      </c>
      <c r="M335" t="str">
        <f>VLOOKUP(H335,CHOOSE({1,2},Table8[Native],Table8[Name]),2,0)</f>
        <v>Găngbā Xiàn</v>
      </c>
      <c r="N335" s="13" t="str">
        <f>VLOOKUP(I335,CHOOSE({1,2},Table8[Native],Table8[Name]),2,0)</f>
        <v>Rìkāzé Shì</v>
      </c>
      <c r="O335" s="13" t="str">
        <f t="shared" si="10"/>
        <v>Longzhong Xiang (Rìkāzé Shì)</v>
      </c>
      <c r="P335" s="13" t="str">
        <f t="shared" si="11"/>
        <v>Longzhong Xiang (Rìkāzé Shì)</v>
      </c>
    </row>
    <row r="336" spans="1:16" x14ac:dyDescent="0.25">
      <c r="A336" t="s">
        <v>1334</v>
      </c>
      <c r="B336" t="str">
        <f>IF(COUNTIF(A:A,A336)&gt;1,_xlfn.CONCAT(A336," (",N336,")"),A336)</f>
        <v>Lóngzi Zhèn</v>
      </c>
      <c r="C336" t="str">
        <f>IF(COUNTIF(B:B,B336)&gt;1,_xlfn.CONCAT(A336," (",M336,")"),B336)</f>
        <v>Lóngzi Zhèn</v>
      </c>
      <c r="D336" t="s">
        <v>1335</v>
      </c>
      <c r="E336" t="s">
        <v>17</v>
      </c>
      <c r="F336" t="str">
        <f>_xlfn.CONCAT(D336,", ",H336,", ",I336,", ","西藏自治区")</f>
        <v>隆子镇, 隆子县, 山南市, 西藏自治区</v>
      </c>
      <c r="G336">
        <v>7778</v>
      </c>
      <c r="H336" t="s">
        <v>1483</v>
      </c>
      <c r="I336" t="s">
        <v>1477</v>
      </c>
      <c r="J336">
        <f>VLOOKUP(F336,[1]!china_towns_second__2[[Column1]:[Y]],3,FALSE)</f>
        <v>28.417483553535799</v>
      </c>
      <c r="K336">
        <f>VLOOKUP(F336,[1]!china_towns_second__2[[Column1]:[Y]],2,FALSE)</f>
        <v>92.432844650000007</v>
      </c>
      <c r="L336" t="s">
        <v>1994</v>
      </c>
      <c r="M336" t="str">
        <f>VLOOKUP(H336,CHOOSE({1,2},Table8[Native],Table8[Name]),2,0)</f>
        <v>Lóngzi Xiàn</v>
      </c>
      <c r="N336" s="13" t="str">
        <f>VLOOKUP(I336,CHOOSE({1,2},Table8[Native],Table8[Name]),2,0)</f>
        <v>Shānnán Shì</v>
      </c>
      <c r="O336" s="13" t="str">
        <f t="shared" si="10"/>
        <v>Longzi Zhen (Shānnán Shì)</v>
      </c>
      <c r="P336" s="13" t="str">
        <f t="shared" si="11"/>
        <v>Longzi Zhen (Shānnán Shì)</v>
      </c>
    </row>
    <row r="337" spans="1:16" x14ac:dyDescent="0.25">
      <c r="A337" t="s">
        <v>569</v>
      </c>
      <c r="B337" t="str">
        <f>IF(COUNTIF(A:A,A337)&gt;1,_xlfn.CONCAT(A337," (",N337,")"),A337)</f>
        <v>Lŭlăng Zhèn</v>
      </c>
      <c r="C337" t="str">
        <f>IF(COUNTIF(B:B,B337)&gt;1,_xlfn.CONCAT(A337," (",M337,")"),B337)</f>
        <v>Lŭlăng Zhèn</v>
      </c>
      <c r="D337" t="s">
        <v>570</v>
      </c>
      <c r="E337" t="s">
        <v>17</v>
      </c>
      <c r="F337" t="str">
        <f>_xlfn.CONCAT(D337,", ",H337,", ",I337,", ","西藏自治区")</f>
        <v>鲁朗镇, 巴宜区, 林芝市, 西藏自治区</v>
      </c>
      <c r="G337">
        <v>1588</v>
      </c>
      <c r="H337" t="s">
        <v>1438</v>
      </c>
      <c r="I337" t="s">
        <v>1437</v>
      </c>
      <c r="J337">
        <f>VLOOKUP(F337,[1]!china_towns_second__2[[Column1]:[Y]],3,FALSE)</f>
        <v>29.941749651086202</v>
      </c>
      <c r="K337">
        <f>VLOOKUP(F337,[1]!china_towns_second__2[[Column1]:[Y]],2,FALSE)</f>
        <v>94.747515840000005</v>
      </c>
      <c r="L337" t="s">
        <v>1995</v>
      </c>
      <c r="M337" t="str">
        <f>VLOOKUP(H337,CHOOSE({1,2},Table8[Native],Table8[Name]),2,0)</f>
        <v>Bāyí Qū</v>
      </c>
      <c r="N337" s="13" t="str">
        <f>VLOOKUP(I337,CHOOSE({1,2},Table8[Native],Table8[Name]),2,0)</f>
        <v>Línzhī Shì</v>
      </c>
      <c r="O337" s="13" t="str">
        <f t="shared" si="10"/>
        <v>Lulang Zhen (Línzhī Shì)</v>
      </c>
      <c r="P337" s="13" t="str">
        <f t="shared" si="11"/>
        <v>Lulang Zhen (Línzhī Shì)</v>
      </c>
    </row>
    <row r="338" spans="1:16" hidden="1" x14ac:dyDescent="0.25">
      <c r="A338" t="s">
        <v>1336</v>
      </c>
      <c r="B338" t="str">
        <f>IF(COUNTIF(A:A,A338)&gt;1,_xlfn.CONCAT(A338," (",N338,")"),A338)</f>
        <v>Lúnbùxuě Xiāng [Gōngbùxué Xiāng]</v>
      </c>
      <c r="C338" t="str">
        <f>IF(COUNTIF(B:B,B338)&gt;1,_xlfn.CONCAT(A338," (",M338,")"),B338)</f>
        <v>Lúnbùxuě Xiāng [Gōngbùxué Xiāng]</v>
      </c>
      <c r="D338" t="s">
        <v>1337</v>
      </c>
      <c r="E338" t="s">
        <v>7</v>
      </c>
      <c r="F338" t="str">
        <f>_xlfn.CONCAT(D338,", ",H338,", ",I338,", ","西藏自治区")</f>
        <v>伦布雪乡, 浪卡子县, 山南市, 西藏自治区</v>
      </c>
      <c r="G338">
        <v>6505</v>
      </c>
      <c r="H338" t="s">
        <v>1482</v>
      </c>
      <c r="I338" t="s">
        <v>1477</v>
      </c>
      <c r="J338" t="e">
        <f>VLOOKUP(F338,[1]!china_towns_second__2[[Column1]:[Y]],3,FALSE)</f>
        <v>#N/A</v>
      </c>
      <c r="K338" t="e">
        <f>VLOOKUP(F338,[1]!china_towns_second__2[[Column1]:[Y]],2,FALSE)</f>
        <v>#N/A</v>
      </c>
      <c r="L338" t="s">
        <v>1996</v>
      </c>
      <c r="M338" t="str">
        <f>VLOOKUP(H338,CHOOSE({1,2},Table8[Native],Table8[Name]),2,0)</f>
        <v>Làngkăzi Xiàn</v>
      </c>
      <c r="N338" s="13" t="str">
        <f>VLOOKUP(I338,CHOOSE({1,2},Table8[Native],Table8[Name]),2,0)</f>
        <v>Shānnán Shì</v>
      </c>
      <c r="O338" s="13" t="str">
        <f t="shared" si="10"/>
        <v>Lunbuxue Xiang [Gongbuxue Xiang] (Shānnán Shì)</v>
      </c>
      <c r="P338" s="13" t="str">
        <f t="shared" si="11"/>
        <v>Lunbuxue Xiang [Gongbuxue Xiang] (Shānnán Shì)</v>
      </c>
    </row>
    <row r="339" spans="1:16" x14ac:dyDescent="0.25">
      <c r="A339" t="s">
        <v>1338</v>
      </c>
      <c r="B339" t="str">
        <f>IF(COUNTIF(A:A,A339)&gt;1,_xlfn.CONCAT(A339," (",N339,")"),A339)</f>
        <v>Luóbùshā Zhèn</v>
      </c>
      <c r="C339" t="str">
        <f>IF(COUNTIF(B:B,B339)&gt;1,_xlfn.CONCAT(A339," (",M339,")"),B339)</f>
        <v>Luóbùshā Zhèn</v>
      </c>
      <c r="D339" t="s">
        <v>1339</v>
      </c>
      <c r="E339" t="s">
        <v>17</v>
      </c>
      <c r="F339" t="str">
        <f>_xlfn.CONCAT(D339,", ",H339,", ",I339,", ","西藏自治区")</f>
        <v>罗布沙镇, 曲松县, 山南市, 西藏自治区</v>
      </c>
      <c r="G339">
        <v>1183</v>
      </c>
      <c r="H339" t="s">
        <v>1487</v>
      </c>
      <c r="I339" t="s">
        <v>1477</v>
      </c>
      <c r="J339">
        <f>VLOOKUP(F339,[1]!china_towns_second__2[[Column1]:[Y]],3,FALSE)</f>
        <v>29.2173371354619</v>
      </c>
      <c r="K339">
        <f>VLOOKUP(F339,[1]!china_towns_second__2[[Column1]:[Y]],2,FALSE)</f>
        <v>92.189860730000007</v>
      </c>
      <c r="L339" t="s">
        <v>1997</v>
      </c>
      <c r="M339" t="str">
        <f>VLOOKUP(H339,CHOOSE({1,2},Table8[Native],Table8[Name]),2,0)</f>
        <v>Qŭsōng Xiàn</v>
      </c>
      <c r="N339" s="13" t="str">
        <f>VLOOKUP(I339,CHOOSE({1,2},Table8[Native],Table8[Name]),2,0)</f>
        <v>Shānnán Shì</v>
      </c>
      <c r="O339" s="13" t="str">
        <f t="shared" si="10"/>
        <v>Luobusha Zhen (Shānnán Shì)</v>
      </c>
      <c r="P339" s="13" t="str">
        <f t="shared" si="11"/>
        <v>Luobusha Zhen (Shānnán Shì)</v>
      </c>
    </row>
    <row r="340" spans="1:16" x14ac:dyDescent="0.25">
      <c r="A340" t="s">
        <v>1034</v>
      </c>
      <c r="B340" t="str">
        <f>IF(COUNTIF(A:A,A340)&gt;1,_xlfn.CONCAT(A340," (",N340,")"),A340)</f>
        <v>Luòjiāng Zhèn</v>
      </c>
      <c r="C340" t="str">
        <f>IF(COUNTIF(B:B,B340)&gt;1,_xlfn.CONCAT(A340," (",M340,")"),B340)</f>
        <v>Luòjiāng Zhèn</v>
      </c>
      <c r="D340" t="s">
        <v>1035</v>
      </c>
      <c r="E340" t="s">
        <v>17</v>
      </c>
      <c r="F340" t="str">
        <f>_xlfn.CONCAT(D340,", ",H340,", ",I340,", ","西藏自治区")</f>
        <v>洛江镇, 白朗县, 日喀则市, 西藏自治区</v>
      </c>
      <c r="G340">
        <v>7243</v>
      </c>
      <c r="H340" t="s">
        <v>1460</v>
      </c>
      <c r="I340" t="s">
        <v>1458</v>
      </c>
      <c r="J340">
        <f>VLOOKUP(F340,[1]!china_towns_second__2[[Column1]:[Y]],3,FALSE)</f>
        <v>29.1120804318364</v>
      </c>
      <c r="K340">
        <f>VLOOKUP(F340,[1]!china_towns_second__2[[Column1]:[Y]],2,FALSE)</f>
        <v>89.287773639999997</v>
      </c>
      <c r="L340" t="s">
        <v>1998</v>
      </c>
      <c r="M340" t="str">
        <f>VLOOKUP(H340,CHOOSE({1,2},Table8[Native],Table8[Name]),2,0)</f>
        <v>Báilăng Xiàn</v>
      </c>
      <c r="N340" s="13" t="str">
        <f>VLOOKUP(I340,CHOOSE({1,2},Table8[Native],Table8[Name]),2,0)</f>
        <v>Rìkāzé Shì</v>
      </c>
      <c r="O340" s="13" t="str">
        <f t="shared" si="10"/>
        <v>Luojiang Zhen (Rìkāzé Shì)</v>
      </c>
      <c r="P340" s="13" t="str">
        <f t="shared" si="11"/>
        <v>Luojiang Zhen (Rìkāzé Shì)</v>
      </c>
    </row>
    <row r="341" spans="1:16" hidden="1" x14ac:dyDescent="0.25">
      <c r="A341" t="s">
        <v>1340</v>
      </c>
      <c r="B341" t="str">
        <f>IF(COUNTIF(A:A,A341)&gt;1,_xlfn.CONCAT(A341," (",N341,")"),A341)</f>
        <v>Luòlín Xiāng</v>
      </c>
      <c r="C341" t="str">
        <f>IF(COUNTIF(B:B,B341)&gt;1,_xlfn.CONCAT(A341," (",M341,")"),B341)</f>
        <v>Luòlín Xiāng</v>
      </c>
      <c r="D341" t="s">
        <v>1341</v>
      </c>
      <c r="E341" t="s">
        <v>7</v>
      </c>
      <c r="F341" t="str">
        <f>_xlfn.CONCAT(D341,", ",H341,", ",I341,", ","西藏自治区")</f>
        <v>洛林乡, 加查县, 山南市, 西藏自治区</v>
      </c>
      <c r="G341">
        <v>4324</v>
      </c>
      <c r="H341" t="s">
        <v>1481</v>
      </c>
      <c r="I341" t="s">
        <v>1477</v>
      </c>
      <c r="J341" t="e">
        <f>VLOOKUP(F341,[1]!china_towns_second__2[[Column1]:[Y]],3,FALSE)</f>
        <v>#N/A</v>
      </c>
      <c r="K341" t="e">
        <f>VLOOKUP(F341,[1]!china_towns_second__2[[Column1]:[Y]],2,FALSE)</f>
        <v>#N/A</v>
      </c>
      <c r="L341" t="s">
        <v>1999</v>
      </c>
      <c r="M341" t="str">
        <f>VLOOKUP(H341,CHOOSE({1,2},Table8[Native],Table8[Name]),2,0)</f>
        <v>Jiāchá Xiàn</v>
      </c>
      <c r="N341" s="13" t="str">
        <f>VLOOKUP(I341,CHOOSE({1,2},Table8[Native],Table8[Name]),2,0)</f>
        <v>Shānnán Shì</v>
      </c>
      <c r="O341" s="13" t="str">
        <f t="shared" si="10"/>
        <v>Luolin Xiang (Shānnán Shì)</v>
      </c>
      <c r="P341" s="13" t="str">
        <f t="shared" si="11"/>
        <v>Luolin Xiang (Shānnán Shì)</v>
      </c>
    </row>
    <row r="342" spans="1:16" x14ac:dyDescent="0.25">
      <c r="A342" t="s">
        <v>721</v>
      </c>
      <c r="B342" t="str">
        <f>IF(COUNTIF(A:A,A342)&gt;1,_xlfn.CONCAT(A342," (",N342,")"),A342)</f>
        <v>Luómă Zhèn</v>
      </c>
      <c r="C342" t="str">
        <f>IF(COUNTIF(B:B,B342)&gt;1,_xlfn.CONCAT(A342," (",M342,")"),B342)</f>
        <v>Luómă Zhèn</v>
      </c>
      <c r="D342" t="s">
        <v>722</v>
      </c>
      <c r="E342" t="s">
        <v>17</v>
      </c>
      <c r="F342" t="str">
        <f>_xlfn.CONCAT(D342,", ",H342,", ",I342,", ","西藏自治区")</f>
        <v>罗玛镇, 色尼区, 那曲市, 西藏自治区</v>
      </c>
      <c r="G342">
        <v>6572</v>
      </c>
      <c r="H342" t="s">
        <v>1454</v>
      </c>
      <c r="I342" t="s">
        <v>1445</v>
      </c>
      <c r="J342">
        <f>VLOOKUP(F342,[1]!china_towns_second__2[[Column1]:[Y]],3,FALSE)</f>
        <v>31.188410338224799</v>
      </c>
      <c r="K342">
        <f>VLOOKUP(F342,[1]!china_towns_second__2[[Column1]:[Y]],2,FALSE)</f>
        <v>91.949181999999993</v>
      </c>
      <c r="L342" t="s">
        <v>2000</v>
      </c>
      <c r="M342" t="str">
        <f>VLOOKUP(H342,CHOOSE({1,2},Table8[Native],Table8[Name]),2,0)</f>
        <v>Sèní Qū</v>
      </c>
      <c r="N342" s="13" t="str">
        <f>VLOOKUP(I342,CHOOSE({1,2},Table8[Native],Table8[Name]),2,0)</f>
        <v>Nàqŭ Shì</v>
      </c>
      <c r="O342" s="13" t="str">
        <f t="shared" si="10"/>
        <v>Luoma Zhen (Nàqŭ Shì)</v>
      </c>
      <c r="P342" s="13" t="str">
        <f t="shared" si="11"/>
        <v>Luoma Zhen (Nàqŭ Shì)</v>
      </c>
    </row>
    <row r="343" spans="1:16" hidden="1" x14ac:dyDescent="0.25">
      <c r="A343" t="s">
        <v>225</v>
      </c>
      <c r="B343" t="str">
        <f>IF(COUNTIF(A:A,A343)&gt;1,_xlfn.CONCAT(A343," (",N343,")"),A343)</f>
        <v>Luómài Xiāng</v>
      </c>
      <c r="C343" t="str">
        <f>IF(COUNTIF(B:B,B343)&gt;1,_xlfn.CONCAT(A343," (",M343,")"),B343)</f>
        <v>Luómài Xiāng</v>
      </c>
      <c r="D343" t="s">
        <v>226</v>
      </c>
      <c r="E343" t="s">
        <v>7</v>
      </c>
      <c r="F343" t="str">
        <f>_xlfn.CONCAT(D343,", ",H343,", ",I343,", ","西藏自治区")</f>
        <v>罗麦乡, 贡觉县, 昌都市, 西藏自治区</v>
      </c>
      <c r="G343">
        <v>1671</v>
      </c>
      <c r="H343" t="s">
        <v>1420</v>
      </c>
      <c r="I343" t="s">
        <v>1415</v>
      </c>
      <c r="J343" t="e">
        <f>VLOOKUP(F343,[1]!china_towns_second__2[[Column1]:[Y]],3,FALSE)</f>
        <v>#N/A</v>
      </c>
      <c r="K343" t="e">
        <f>VLOOKUP(F343,[1]!china_towns_second__2[[Column1]:[Y]],2,FALSE)</f>
        <v>#N/A</v>
      </c>
      <c r="L343" t="s">
        <v>2001</v>
      </c>
      <c r="M343" t="str">
        <f>VLOOKUP(H343,CHOOSE({1,2},Table8[Native],Table8[Name]),2,0)</f>
        <v>Gòngjué Xiàn</v>
      </c>
      <c r="N343" s="13" t="str">
        <f>VLOOKUP(I343,CHOOSE({1,2},Table8[Native],Table8[Name]),2,0)</f>
        <v>Chāngdū Shì</v>
      </c>
      <c r="O343" s="13" t="str">
        <f t="shared" si="10"/>
        <v>Luomai Xiang (Chāngdū Shì)</v>
      </c>
      <c r="P343" s="13" t="str">
        <f t="shared" si="11"/>
        <v>Luomai Xiang (Chāngdū Shì)</v>
      </c>
    </row>
    <row r="344" spans="1:16" hidden="1" x14ac:dyDescent="0.25">
      <c r="A344" t="s">
        <v>227</v>
      </c>
      <c r="B344" t="str">
        <f>IF(COUNTIF(A:A,A344)&gt;1,_xlfn.CONCAT(A344," (",N344,")"),A344)</f>
        <v>Luòní Xiāng</v>
      </c>
      <c r="C344" t="str">
        <f>IF(COUNTIF(B:B,B344)&gt;1,_xlfn.CONCAT(A344," (",M344,")"),B344)</f>
        <v>Luòní Xiāng</v>
      </c>
      <c r="D344" t="s">
        <v>228</v>
      </c>
      <c r="E344" t="s">
        <v>7</v>
      </c>
      <c r="F344" t="str">
        <f>_xlfn.CONCAT(D344,", ",H344,", ",I344,", ","西藏自治区")</f>
        <v>洛尼乡, 芒康县, 昌都市, 西藏自治区</v>
      </c>
      <c r="G344">
        <v>3674</v>
      </c>
      <c r="H344" t="s">
        <v>1426</v>
      </c>
      <c r="I344" t="s">
        <v>1415</v>
      </c>
      <c r="J344" t="e">
        <f>VLOOKUP(F344,[1]!china_towns_second__2[[Column1]:[Y]],3,FALSE)</f>
        <v>#N/A</v>
      </c>
      <c r="K344" t="e">
        <f>VLOOKUP(F344,[1]!china_towns_second__2[[Column1]:[Y]],2,FALSE)</f>
        <v>#N/A</v>
      </c>
      <c r="L344" t="s">
        <v>2002</v>
      </c>
      <c r="M344" t="str">
        <f>VLOOKUP(H344,CHOOSE({1,2},Table8[Native],Table8[Name]),2,0)</f>
        <v>Mángkāng Xiàn</v>
      </c>
      <c r="N344" s="13" t="str">
        <f>VLOOKUP(I344,CHOOSE({1,2},Table8[Native],Table8[Name]),2,0)</f>
        <v>Chāngdū Shì</v>
      </c>
      <c r="O344" s="13" t="str">
        <f t="shared" si="10"/>
        <v>Luoni Xiang (Chāngdū Shì)</v>
      </c>
      <c r="P344" s="13" t="str">
        <f t="shared" si="11"/>
        <v>Luoni Xiang (Chāngdū Shì)</v>
      </c>
    </row>
    <row r="345" spans="1:16" x14ac:dyDescent="0.25">
      <c r="A345" t="s">
        <v>1342</v>
      </c>
      <c r="B345" t="str">
        <f>IF(COUNTIF(A:A,A345)&gt;1,_xlfn.CONCAT(A345," (",N345,")"),A345)</f>
        <v>Luòzhā Zhèn</v>
      </c>
      <c r="C345" t="str">
        <f>IF(COUNTIF(B:B,B345)&gt;1,_xlfn.CONCAT(A345," (",M345,")"),B345)</f>
        <v>Luòzhā Zhèn</v>
      </c>
      <c r="D345" t="s">
        <v>1343</v>
      </c>
      <c r="E345" t="s">
        <v>17</v>
      </c>
      <c r="F345" t="str">
        <f>_xlfn.CONCAT(D345,", ",H345,", ",I345,", ","西藏自治区")</f>
        <v>洛扎镇, 洛扎县, 山南市, 西藏自治区</v>
      </c>
      <c r="G345">
        <v>5696</v>
      </c>
      <c r="H345" t="s">
        <v>1484</v>
      </c>
      <c r="I345" t="s">
        <v>1477</v>
      </c>
      <c r="J345">
        <f>VLOOKUP(F345,[1]!china_towns_second__2[[Column1]:[Y]],3,FALSE)</f>
        <v>28.417575527279901</v>
      </c>
      <c r="K345">
        <f>VLOOKUP(F345,[1]!china_towns_second__2[[Column1]:[Y]],2,FALSE)</f>
        <v>90.913782889999993</v>
      </c>
      <c r="L345" t="s">
        <v>2003</v>
      </c>
      <c r="M345" t="str">
        <f>VLOOKUP(H345,CHOOSE({1,2},Table8[Native],Table8[Name]),2,0)</f>
        <v>Luòzhā Xiàn</v>
      </c>
      <c r="N345" s="13" t="str">
        <f>VLOOKUP(I345,CHOOSE({1,2},Table8[Native],Table8[Name]),2,0)</f>
        <v>Shānnán Shì</v>
      </c>
      <c r="O345" s="13" t="str">
        <f t="shared" si="10"/>
        <v>Luozha Zhen (Shānnán Shì)</v>
      </c>
      <c r="P345" s="13" t="str">
        <f t="shared" si="11"/>
        <v>Luozha Zhen (Shānnán Shì)</v>
      </c>
    </row>
    <row r="346" spans="1:16" hidden="1" x14ac:dyDescent="0.25">
      <c r="A346" t="s">
        <v>1042</v>
      </c>
      <c r="B346" t="str">
        <f>IF(COUNTIF(A:A,A346)&gt;1,_xlfn.CONCAT(A346," (",N346,")"),A346)</f>
        <v>Mă Xiāng</v>
      </c>
      <c r="C346" t="str">
        <f>IF(COUNTIF(B:B,B346)&gt;1,_xlfn.CONCAT(A346," (",M346,")"),B346)</f>
        <v>Mă Xiāng</v>
      </c>
      <c r="D346" t="s">
        <v>1043</v>
      </c>
      <c r="E346" t="s">
        <v>7</v>
      </c>
      <c r="F346" t="str">
        <f>_xlfn.CONCAT(D346,", ",H346,", ",I346,", ","西藏自治区")</f>
        <v>玛乡, 白朗县, 日喀则市, 西藏自治区</v>
      </c>
      <c r="G346">
        <v>4632</v>
      </c>
      <c r="H346" t="s">
        <v>1460</v>
      </c>
      <c r="I346" t="s">
        <v>1458</v>
      </c>
      <c r="J346" t="e">
        <f>VLOOKUP(F346,[1]!china_towns_second__2[[Column1]:[Y]],3,FALSE)</f>
        <v>#N/A</v>
      </c>
      <c r="K346" t="e">
        <f>VLOOKUP(F346,[1]!china_towns_second__2[[Column1]:[Y]],2,FALSE)</f>
        <v>#N/A</v>
      </c>
      <c r="L346" t="s">
        <v>2004</v>
      </c>
      <c r="M346" t="str">
        <f>VLOOKUP(H346,CHOOSE({1,2},Table8[Native],Table8[Name]),2,0)</f>
        <v>Báilăng Xiàn</v>
      </c>
      <c r="N346" s="13" t="str">
        <f>VLOOKUP(I346,CHOOSE({1,2},Table8[Native],Table8[Name]),2,0)</f>
        <v>Rìkāzé Shì</v>
      </c>
      <c r="O346" s="13" t="str">
        <f t="shared" si="10"/>
        <v>Ma Xiang (Rìkāzé Shì)</v>
      </c>
      <c r="P346" s="13" t="str">
        <f t="shared" si="11"/>
        <v>Ma Xiang (Rìkāzé Shì)</v>
      </c>
    </row>
    <row r="347" spans="1:16" x14ac:dyDescent="0.25">
      <c r="A347" t="s">
        <v>438</v>
      </c>
      <c r="B347" t="str">
        <f>IF(COUNTIF(A:A,A347)&gt;1,_xlfn.CONCAT(A347," (",N347,")"),A347)</f>
        <v>Mă Zhèn</v>
      </c>
      <c r="C347" t="str">
        <f>IF(COUNTIF(B:B,B347)&gt;1,_xlfn.CONCAT(A347," (",M347,")"),B347)</f>
        <v>Mă Zhèn</v>
      </c>
      <c r="D347" t="s">
        <v>439</v>
      </c>
      <c r="E347" t="s">
        <v>17</v>
      </c>
      <c r="F347" t="str">
        <f>_xlfn.CONCAT(D347,", ",H347,", ",I347,", ","西藏自治区")</f>
        <v>马镇, 堆龙德庆区, 拉萨市, 西藏自治区</v>
      </c>
      <c r="G347">
        <v>4500</v>
      </c>
      <c r="H347" t="s">
        <v>1432</v>
      </c>
      <c r="I347" t="s">
        <v>1428</v>
      </c>
      <c r="J347">
        <f>VLOOKUP(F347,[1]!china_towns_second__2[[Column1]:[Y]],3,FALSE)</f>
        <v>29.8636686608349</v>
      </c>
      <c r="K347">
        <f>VLOOKUP(F347,[1]!china_towns_second__2[[Column1]:[Y]],2,FALSE)</f>
        <v>90.69784181</v>
      </c>
      <c r="L347" t="s">
        <v>2005</v>
      </c>
      <c r="M347" t="str">
        <f>VLOOKUP(H347,CHOOSE({1,2},Table8[Native],Table8[Name]),2,0)</f>
        <v>Duīlóngdéqìng Qū</v>
      </c>
      <c r="N347" s="13" t="str">
        <f>VLOOKUP(I347,CHOOSE({1,2},Table8[Native],Table8[Name]),2,0)</f>
        <v>Lāsà Shì</v>
      </c>
      <c r="O347" s="13" t="str">
        <f t="shared" si="10"/>
        <v>Ma Zhen (Lāsà Shì)</v>
      </c>
      <c r="P347" s="13" t="str">
        <f t="shared" si="11"/>
        <v>Ma Zhen (Lāsà Shì)</v>
      </c>
    </row>
    <row r="348" spans="1:16" hidden="1" x14ac:dyDescent="0.25">
      <c r="A348" t="s">
        <v>1036</v>
      </c>
      <c r="B348" t="str">
        <f>IF(COUNTIF(A:A,A348)&gt;1,_xlfn.CONCAT(A348," (",N348,")"),A348)</f>
        <v>Mábùjiā Xiāng</v>
      </c>
      <c r="C348" t="str">
        <f>IF(COUNTIF(B:B,B348)&gt;1,_xlfn.CONCAT(A348," (",M348,")"),B348)</f>
        <v>Mábùjiā Xiāng</v>
      </c>
      <c r="D348" t="s">
        <v>1037</v>
      </c>
      <c r="E348" t="s">
        <v>7</v>
      </c>
      <c r="F348" t="str">
        <f>_xlfn.CONCAT(D348,", ",H348,", ",I348,", ","西藏自治区")</f>
        <v>麻布加乡, 萨迦县, 日喀则市, 西藏自治区</v>
      </c>
      <c r="G348">
        <v>4296</v>
      </c>
      <c r="H348" t="s">
        <v>1472</v>
      </c>
      <c r="I348" t="s">
        <v>1458</v>
      </c>
      <c r="J348" t="e">
        <f>VLOOKUP(F348,[1]!china_towns_second__2[[Column1]:[Y]],3,FALSE)</f>
        <v>#N/A</v>
      </c>
      <c r="K348" t="e">
        <f>VLOOKUP(F348,[1]!china_towns_second__2[[Column1]:[Y]],2,FALSE)</f>
        <v>#N/A</v>
      </c>
      <c r="L348" t="s">
        <v>2006</v>
      </c>
      <c r="M348" t="str">
        <f>VLOOKUP(H348,CHOOSE({1,2},Table8[Native],Table8[Name]),2,0)</f>
        <v>Sàjiā Xiàn</v>
      </c>
      <c r="N348" s="13" t="str">
        <f>VLOOKUP(I348,CHOOSE({1,2},Table8[Native],Table8[Name]),2,0)</f>
        <v>Rìkāzé Shì</v>
      </c>
      <c r="O348" s="13" t="str">
        <f t="shared" si="10"/>
        <v>Mabujia Xiang (Rìkāzé Shì)</v>
      </c>
      <c r="P348" s="13" t="str">
        <f t="shared" si="11"/>
        <v>Mabujia Xiang (Rìkāzé Shì)</v>
      </c>
    </row>
    <row r="349" spans="1:16" hidden="1" x14ac:dyDescent="0.25">
      <c r="A349" t="s">
        <v>723</v>
      </c>
      <c r="B349" t="str">
        <f>IF(COUNTIF(A:A,A349)&gt;1,_xlfn.CONCAT(A349," (",N349,")"),A349)</f>
        <v>Măibā Xiāng</v>
      </c>
      <c r="C349" t="str">
        <f>IF(COUNTIF(B:B,B349)&gt;1,_xlfn.CONCAT(A349," (",M349,")"),B349)</f>
        <v>Măibā Xiāng</v>
      </c>
      <c r="D349" t="s">
        <v>724</v>
      </c>
      <c r="E349" t="s">
        <v>7</v>
      </c>
      <c r="F349" t="str">
        <f>_xlfn.CONCAT(D349,", ",H349,", ",I349,", ","西藏自治区")</f>
        <v>买巴乡, 申扎县, 那曲市, 西藏自治区</v>
      </c>
      <c r="G349">
        <v>1383</v>
      </c>
      <c r="H349" t="s">
        <v>1455</v>
      </c>
      <c r="I349" t="s">
        <v>1445</v>
      </c>
      <c r="J349" t="e">
        <f>VLOOKUP(F349,[1]!china_towns_second__2[[Column1]:[Y]],3,FALSE)</f>
        <v>#N/A</v>
      </c>
      <c r="K349" t="e">
        <f>VLOOKUP(F349,[1]!china_towns_second__2[[Column1]:[Y]],2,FALSE)</f>
        <v>#N/A</v>
      </c>
      <c r="L349" t="s">
        <v>2007</v>
      </c>
      <c r="M349" t="str">
        <f>VLOOKUP(H349,CHOOSE({1,2},Table8[Native],Table8[Name]),2,0)</f>
        <v>Shēnzhā Xiàn</v>
      </c>
      <c r="N349" s="13" t="str">
        <f>VLOOKUP(I349,CHOOSE({1,2},Table8[Native],Table8[Name]),2,0)</f>
        <v>Nàqŭ Shì</v>
      </c>
      <c r="O349" s="13" t="str">
        <f t="shared" si="10"/>
        <v>Maiba Xiang (Nàqŭ Shì)</v>
      </c>
      <c r="P349" s="13" t="str">
        <f t="shared" si="11"/>
        <v>Maiba Xiang (Nàqŭ Shì)</v>
      </c>
    </row>
    <row r="350" spans="1:16" hidden="1" x14ac:dyDescent="0.25">
      <c r="A350" t="s">
        <v>725</v>
      </c>
      <c r="B350" t="str">
        <f>IF(COUNTIF(A:A,A350)&gt;1,_xlfn.CONCAT(A350," (",N350,")"),A350)</f>
        <v>Màidìkǎ Xiāng [Cuòlā Xiāng]</v>
      </c>
      <c r="C350" t="str">
        <f>IF(COUNTIF(B:B,B350)&gt;1,_xlfn.CONCAT(A350," (",M350,")"),B350)</f>
        <v>Màidìkǎ Xiāng [Cuòlā Xiāng]</v>
      </c>
      <c r="D350" t="s">
        <v>726</v>
      </c>
      <c r="E350" t="s">
        <v>7</v>
      </c>
      <c r="F350" t="str">
        <f>_xlfn.CONCAT(D350,", ",H350,", ",I350,", ","西藏自治区")</f>
        <v>麦地卡乡, 嘉黎县, 那曲市, 西藏自治区</v>
      </c>
      <c r="G350">
        <v>4266</v>
      </c>
      <c r="H350" t="s">
        <v>1450</v>
      </c>
      <c r="I350" t="s">
        <v>1445</v>
      </c>
      <c r="J350" t="e">
        <f>VLOOKUP(F350,[1]!china_towns_second__2[[Column1]:[Y]],3,FALSE)</f>
        <v>#N/A</v>
      </c>
      <c r="K350" t="e">
        <f>VLOOKUP(F350,[1]!china_towns_second__2[[Column1]:[Y]],2,FALSE)</f>
        <v>#N/A</v>
      </c>
      <c r="L350" t="s">
        <v>2008</v>
      </c>
      <c r="M350" t="str">
        <f>VLOOKUP(H350,CHOOSE({1,2},Table8[Native],Table8[Name]),2,0)</f>
        <v>Jiālí Xiàn</v>
      </c>
      <c r="N350" s="13" t="str">
        <f>VLOOKUP(I350,CHOOSE({1,2},Table8[Native],Table8[Name]),2,0)</f>
        <v>Nàqŭ Shì</v>
      </c>
      <c r="O350" s="13" t="str">
        <f t="shared" si="10"/>
        <v>Maidika Xiang [Cuola Xiang] (Nàqŭ Shì)</v>
      </c>
      <c r="P350" s="13" t="str">
        <f t="shared" si="11"/>
        <v>Maidika Xiang [Cuola Xiang] (Nàqŭ Shì)</v>
      </c>
    </row>
    <row r="351" spans="1:16" hidden="1" x14ac:dyDescent="0.25">
      <c r="A351" t="s">
        <v>436</v>
      </c>
      <c r="B351" t="str">
        <f>IF(COUNTIF(A:A,A351)&gt;1,_xlfn.CONCAT(A351," (",N351,")"),A351)</f>
        <v>Májiāng Xiāng</v>
      </c>
      <c r="C351" t="str">
        <f>IF(COUNTIF(B:B,B351)&gt;1,_xlfn.CONCAT(A351," (",M351,")"),B351)</f>
        <v>Májiāng Xiāng</v>
      </c>
      <c r="D351" t="s">
        <v>437</v>
      </c>
      <c r="E351" t="s">
        <v>7</v>
      </c>
      <c r="F351" t="str">
        <f>_xlfn.CONCAT(D351,", ",H351,", ",I351,", ","西藏自治区")</f>
        <v>麻江乡, 尼木县, 拉萨市, 西藏自治区</v>
      </c>
      <c r="G351">
        <v>2755</v>
      </c>
      <c r="H351" t="s">
        <v>1435</v>
      </c>
      <c r="I351" t="s">
        <v>1428</v>
      </c>
      <c r="J351" t="e">
        <f>VLOOKUP(F351,[1]!china_towns_second__2[[Column1]:[Y]],3,FALSE)</f>
        <v>#N/A</v>
      </c>
      <c r="K351" t="e">
        <f>VLOOKUP(F351,[1]!china_towns_second__2[[Column1]:[Y]],2,FALSE)</f>
        <v>#N/A</v>
      </c>
      <c r="L351" t="s">
        <v>2009</v>
      </c>
      <c r="M351" t="str">
        <f>VLOOKUP(H351,CHOOSE({1,2},Table8[Native],Table8[Name]),2,0)</f>
        <v>Nímù Xiàn</v>
      </c>
      <c r="N351" s="13" t="str">
        <f>VLOOKUP(I351,CHOOSE({1,2},Table8[Native],Table8[Name]),2,0)</f>
        <v>Lāsà Shì</v>
      </c>
      <c r="O351" s="13" t="str">
        <f t="shared" si="10"/>
        <v>Majiang Xiang (Lāsà Shì)</v>
      </c>
      <c r="P351" s="13" t="str">
        <f t="shared" si="11"/>
        <v>Majiang Xiang (Lāsà Shì)</v>
      </c>
    </row>
    <row r="352" spans="1:16" x14ac:dyDescent="0.25">
      <c r="A352" t="s">
        <v>229</v>
      </c>
      <c r="B352" t="str">
        <f>IF(COUNTIF(A:A,A352)&gt;1,_xlfn.CONCAT(A352," (",N352,")"),A352)</f>
        <v>Mălì Zhèn</v>
      </c>
      <c r="C352" t="str">
        <f>IF(COUNTIF(B:B,B352)&gt;1,_xlfn.CONCAT(A352," (",M352,")"),B352)</f>
        <v>Mălì Zhèn</v>
      </c>
      <c r="D352" t="s">
        <v>230</v>
      </c>
      <c r="E352" t="s">
        <v>17</v>
      </c>
      <c r="F352" t="str">
        <f>_xlfn.CONCAT(D352,", ",H352,", ",I352,", ","西藏自治区")</f>
        <v>马利镇, 洛隆县, 昌都市, 西藏自治区</v>
      </c>
      <c r="G352">
        <v>4501</v>
      </c>
      <c r="H352" t="s">
        <v>1425</v>
      </c>
      <c r="I352" t="s">
        <v>1415</v>
      </c>
      <c r="J352">
        <f>VLOOKUP(F352,[1]!china_towns_second__2[[Column1]:[Y]],3,FALSE)</f>
        <v>30.931202966585399</v>
      </c>
      <c r="K352">
        <f>VLOOKUP(F352,[1]!china_towns_second__2[[Column1]:[Y]],2,FALSE)</f>
        <v>96.32312177</v>
      </c>
      <c r="L352" t="s">
        <v>2010</v>
      </c>
      <c r="M352" t="str">
        <f>VLOOKUP(H352,CHOOSE({1,2},Table8[Native],Table8[Name]),2,0)</f>
        <v>Luòlóng Xiàn</v>
      </c>
      <c r="N352" s="13" t="str">
        <f>VLOOKUP(I352,CHOOSE({1,2},Table8[Native],Table8[Name]),2,0)</f>
        <v>Chāngdū Shì</v>
      </c>
      <c r="O352" s="13" t="str">
        <f t="shared" si="10"/>
        <v>Mali Zhen (Chāngdū Shì)</v>
      </c>
      <c r="P352" s="13" t="str">
        <f t="shared" si="11"/>
        <v>Mali Zhen (Chāngdū Shì)</v>
      </c>
    </row>
    <row r="353" spans="1:16" hidden="1" x14ac:dyDescent="0.25">
      <c r="A353" t="s">
        <v>1344</v>
      </c>
      <c r="B353" t="str">
        <f>IF(COUNTIF(A:A,A353)&gt;1,_xlfn.CONCAT(A353," (",N353,")"),A353)</f>
        <v>Mámáménbā Mínzú Xiāng</v>
      </c>
      <c r="C353" t="str">
        <f>IF(COUNTIF(B:B,B353)&gt;1,_xlfn.CONCAT(A353," (",M353,")"),B353)</f>
        <v>Mámáménbā Mínzú Xiāng</v>
      </c>
      <c r="D353" t="s">
        <v>1345</v>
      </c>
      <c r="E353" t="s">
        <v>7</v>
      </c>
      <c r="F353" t="str">
        <f>_xlfn.CONCAT(D353,", ",H353,", ",I353,", ","西藏自治区")</f>
        <v>麻麻门巴民族乡, 错那县, 山南市, 西藏自治区</v>
      </c>
      <c r="G353">
        <v>227</v>
      </c>
      <c r="H353" t="s">
        <v>1479</v>
      </c>
      <c r="I353" t="s">
        <v>1477</v>
      </c>
      <c r="J353" t="e">
        <f>VLOOKUP(F353,[1]!china_towns_second__2[[Column1]:[Y]],3,FALSE)</f>
        <v>#N/A</v>
      </c>
      <c r="K353" t="e">
        <f>VLOOKUP(F353,[1]!china_towns_second__2[[Column1]:[Y]],2,FALSE)</f>
        <v>#N/A</v>
      </c>
      <c r="L353" t="s">
        <v>2011</v>
      </c>
      <c r="M353" t="str">
        <f>VLOOKUP(H353,CHOOSE({1,2},Table8[Native],Table8[Name]),2,0)</f>
        <v>Cuònà Xiàn</v>
      </c>
      <c r="N353" s="13" t="str">
        <f>VLOOKUP(I353,CHOOSE({1,2},Table8[Native],Table8[Name]),2,0)</f>
        <v>Shānnán Shì</v>
      </c>
      <c r="O353" s="13" t="str">
        <f t="shared" si="10"/>
        <v>Mamamenba Minzu Xiang (Shānnán Shì)</v>
      </c>
      <c r="P353" s="13" t="str">
        <f t="shared" si="11"/>
        <v>Mamamenba Minzu Xiang (Shānnán Shì)</v>
      </c>
    </row>
    <row r="354" spans="1:16" hidden="1" x14ac:dyDescent="0.25">
      <c r="A354" t="s">
        <v>46</v>
      </c>
      <c r="B354" t="str">
        <f>IF(COUNTIF(A:A,A354)&gt;1,_xlfn.CONCAT(A354," (",N354,")"),A354)</f>
        <v>Mámĭ Xiāng</v>
      </c>
      <c r="C354" t="str">
        <f>IF(COUNTIF(B:B,B354)&gt;1,_xlfn.CONCAT(A354," (",M354,")"),B354)</f>
        <v>Mámĭ Xiāng</v>
      </c>
      <c r="D354" t="s">
        <v>47</v>
      </c>
      <c r="E354" t="s">
        <v>7</v>
      </c>
      <c r="F354" t="str">
        <f>_xlfn.CONCAT(D354,", ",H354,", ",I354,", ","西藏自治区")</f>
        <v>麻米乡, 改则县, 阿里地区, 西藏自治区</v>
      </c>
      <c r="G354">
        <v>4363</v>
      </c>
      <c r="H354" t="s">
        <v>1409</v>
      </c>
      <c r="I354" t="s">
        <v>1405</v>
      </c>
      <c r="J354" t="e">
        <f>VLOOKUP(F354,[1]!china_towns_second__2[[Column1]:[Y]],3,FALSE)</f>
        <v>#N/A</v>
      </c>
      <c r="K354" t="e">
        <f>VLOOKUP(F354,[1]!china_towns_second__2[[Column1]:[Y]],2,FALSE)</f>
        <v>#N/A</v>
      </c>
      <c r="L354" t="s">
        <v>2012</v>
      </c>
      <c r="M354" t="str">
        <f>VLOOKUP(H354,CHOOSE({1,2},Table8[Native],Table8[Name]),2,0)</f>
        <v>Găizé Xiàn</v>
      </c>
      <c r="N354" s="13" t="str">
        <f>VLOOKUP(I354,CHOOSE({1,2},Table8[Native],Table8[Name]),2,0)</f>
        <v>Ālĭ Dìqū</v>
      </c>
      <c r="O354" s="13" t="str">
        <f t="shared" si="10"/>
        <v>Mami Xiang (Ālĭ Dìqū)</v>
      </c>
      <c r="P354" s="13" t="str">
        <f t="shared" si="11"/>
        <v>Mami Xiang (Ālĭ Dìqū)</v>
      </c>
    </row>
    <row r="355" spans="1:16" hidden="1" x14ac:dyDescent="0.25">
      <c r="A355" t="s">
        <v>231</v>
      </c>
      <c r="B355" t="str">
        <f>IF(COUNTIF(A:A,A355)&gt;1,_xlfn.CONCAT(A355," (",N355,")"),A355)</f>
        <v>Mángdá Xiāng</v>
      </c>
      <c r="C355" t="str">
        <f>IF(COUNTIF(B:B,B355)&gt;1,_xlfn.CONCAT(A355," (",M355,")"),B355)</f>
        <v>Mángdá Xiāng</v>
      </c>
      <c r="D355" t="s">
        <v>232</v>
      </c>
      <c r="E355" t="s">
        <v>7</v>
      </c>
      <c r="F355" t="str">
        <f>_xlfn.CONCAT(D355,", ",H355,", ",I355,", ","西藏自治区")</f>
        <v>芒达乡, 卡若区, 昌都市, 西藏自治区</v>
      </c>
      <c r="G355">
        <v>3595</v>
      </c>
      <c r="H355" t="s">
        <v>1423</v>
      </c>
      <c r="I355" t="s">
        <v>1415</v>
      </c>
      <c r="J355" t="e">
        <f>VLOOKUP(F355,[1]!china_towns_second__2[[Column1]:[Y]],3,FALSE)</f>
        <v>#N/A</v>
      </c>
      <c r="K355" t="e">
        <f>VLOOKUP(F355,[1]!china_towns_second__2[[Column1]:[Y]],2,FALSE)</f>
        <v>#N/A</v>
      </c>
      <c r="L355" t="s">
        <v>2013</v>
      </c>
      <c r="M355" t="str">
        <f>VLOOKUP(H355,CHOOSE({1,2},Table8[Native],Table8[Name]),2,0)</f>
        <v>Kǎruò Qū</v>
      </c>
      <c r="N355" s="13" t="str">
        <f>VLOOKUP(I355,CHOOSE({1,2},Table8[Native],Table8[Name]),2,0)</f>
        <v>Chāngdū Shì</v>
      </c>
      <c r="O355" s="13" t="str">
        <f t="shared" si="10"/>
        <v>Mangda Xiang (Chāngdū Shì)</v>
      </c>
      <c r="P355" s="13" t="str">
        <f t="shared" si="11"/>
        <v>Mangda Xiang (Chāngdū Shì)</v>
      </c>
    </row>
    <row r="356" spans="1:16" hidden="1" x14ac:dyDescent="0.25">
      <c r="A356" t="s">
        <v>233</v>
      </c>
      <c r="B356" t="str">
        <f>IF(COUNTIF(A:A,A356)&gt;1,_xlfn.CONCAT(A356," (",N356,")"),A356)</f>
        <v>Mănglĭng Xiāng</v>
      </c>
      <c r="C356" t="str">
        <f>IF(COUNTIF(B:B,B356)&gt;1,_xlfn.CONCAT(A356," (",M356,")"),B356)</f>
        <v>Mănglĭng Xiāng</v>
      </c>
      <c r="D356" t="s">
        <v>234</v>
      </c>
      <c r="E356" t="s">
        <v>7</v>
      </c>
      <c r="F356" t="str">
        <f>_xlfn.CONCAT(D356,", ",H356,", ",I356,", ","西藏自治区")</f>
        <v>莽岭乡, 芒康县, 昌都市, 西藏自治区</v>
      </c>
      <c r="G356">
        <v>3085</v>
      </c>
      <c r="H356" t="s">
        <v>1426</v>
      </c>
      <c r="I356" t="s">
        <v>1415</v>
      </c>
      <c r="J356" t="e">
        <f>VLOOKUP(F356,[1]!china_towns_second__2[[Column1]:[Y]],3,FALSE)</f>
        <v>#N/A</v>
      </c>
      <c r="K356" t="e">
        <f>VLOOKUP(F356,[1]!china_towns_second__2[[Column1]:[Y]],2,FALSE)</f>
        <v>#N/A</v>
      </c>
      <c r="L356" t="s">
        <v>2014</v>
      </c>
      <c r="M356" t="str">
        <f>VLOOKUP(H356,CHOOSE({1,2},Table8[Native],Table8[Name]),2,0)</f>
        <v>Mángkāng Xiàn</v>
      </c>
      <c r="N356" s="13" t="str">
        <f>VLOOKUP(I356,CHOOSE({1,2},Table8[Native],Table8[Name]),2,0)</f>
        <v>Chāngdū Shì</v>
      </c>
      <c r="O356" s="13" t="str">
        <f t="shared" si="10"/>
        <v>Mangling Xiang (Chāngdū Shì)</v>
      </c>
      <c r="P356" s="13" t="str">
        <f t="shared" si="11"/>
        <v>Mangling Xiang (Chāngdū Shì)</v>
      </c>
    </row>
    <row r="357" spans="1:16" hidden="1" x14ac:dyDescent="0.25">
      <c r="A357" t="s">
        <v>1038</v>
      </c>
      <c r="B357" t="str">
        <f>IF(COUNTIF(A:A,A357)&gt;1,_xlfn.CONCAT(A357," (",N357,")"),A357)</f>
        <v>Mángpŭ Xiāng</v>
      </c>
      <c r="C357" t="str">
        <f>IF(COUNTIF(B:B,B357)&gt;1,_xlfn.CONCAT(A357," (",M357,")"),B357)</f>
        <v>Mángpŭ Xiāng</v>
      </c>
      <c r="D357" t="s">
        <v>1039</v>
      </c>
      <c r="E357" t="s">
        <v>7</v>
      </c>
      <c r="F357" t="str">
        <f>_xlfn.CONCAT(D357,", ",H357,", ",I357,", ","西藏自治区")</f>
        <v>芒普乡, 拉孜县, 日喀则市, 西藏自治区</v>
      </c>
      <c r="G357">
        <v>3393</v>
      </c>
      <c r="H357" t="s">
        <v>1467</v>
      </c>
      <c r="I357" t="s">
        <v>1458</v>
      </c>
      <c r="J357" t="e">
        <f>VLOOKUP(F357,[1]!china_towns_second__2[[Column1]:[Y]],3,FALSE)</f>
        <v>#N/A</v>
      </c>
      <c r="K357" t="e">
        <f>VLOOKUP(F357,[1]!china_towns_second__2[[Column1]:[Y]],2,FALSE)</f>
        <v>#N/A</v>
      </c>
      <c r="L357" t="s">
        <v>2015</v>
      </c>
      <c r="M357" t="str">
        <f>VLOOKUP(H357,CHOOSE({1,2},Table8[Native],Table8[Name]),2,0)</f>
        <v>Lāzī Xiàn</v>
      </c>
      <c r="N357" s="13" t="str">
        <f>VLOOKUP(I357,CHOOSE({1,2},Table8[Native],Table8[Name]),2,0)</f>
        <v>Rìkāzé Shì</v>
      </c>
      <c r="O357" s="13" t="str">
        <f t="shared" si="10"/>
        <v>Mangpu Xiang (Rìkāzé Shì)</v>
      </c>
      <c r="P357" s="13" t="str">
        <f t="shared" si="11"/>
        <v>Mangpu Xiang (Rìkāzé Shì)</v>
      </c>
    </row>
    <row r="358" spans="1:16" hidden="1" x14ac:dyDescent="0.25">
      <c r="A358" t="s">
        <v>1040</v>
      </c>
      <c r="B358" t="str">
        <f>IF(COUNTIF(A:A,A358)&gt;1,_xlfn.CONCAT(A358," (",N358,")"),A358)</f>
        <v>Mángrè Xiāng</v>
      </c>
      <c r="C358" t="str">
        <f>IF(COUNTIF(B:B,B358)&gt;1,_xlfn.CONCAT(A358," (",M358,")"),B358)</f>
        <v>Mángrè Xiāng</v>
      </c>
      <c r="D358" t="s">
        <v>1041</v>
      </c>
      <c r="E358" t="s">
        <v>7</v>
      </c>
      <c r="F358" t="str">
        <f>_xlfn.CONCAT(D358,", ",H358,", ",I358,", ","西藏自治区")</f>
        <v>芒热乡, 南木林县, 日喀则市, 西藏自治区</v>
      </c>
      <c r="G358">
        <v>2956</v>
      </c>
      <c r="H358" t="s">
        <v>1468</v>
      </c>
      <c r="I358" t="s">
        <v>1458</v>
      </c>
      <c r="J358" t="e">
        <f>VLOOKUP(F358,[1]!china_towns_second__2[[Column1]:[Y]],3,FALSE)</f>
        <v>#N/A</v>
      </c>
      <c r="K358" t="e">
        <f>VLOOKUP(F358,[1]!china_towns_second__2[[Column1]:[Y]],2,FALSE)</f>
        <v>#N/A</v>
      </c>
      <c r="L358" t="s">
        <v>2016</v>
      </c>
      <c r="M358" t="str">
        <f>VLOOKUP(H358,CHOOSE({1,2},Table8[Native],Table8[Name]),2,0)</f>
        <v>Nánmùlín Xiàn</v>
      </c>
      <c r="N358" s="13" t="str">
        <f>VLOOKUP(I358,CHOOSE({1,2},Table8[Native],Table8[Name]),2,0)</f>
        <v>Rìkāzé Shì</v>
      </c>
      <c r="O358" s="13" t="str">
        <f t="shared" si="10"/>
        <v>Mangre Xiang (Rìkāzé Shì)</v>
      </c>
      <c r="P358" s="13" t="str">
        <f t="shared" si="11"/>
        <v>Mangre Xiang (Rìkāzé Shì)</v>
      </c>
    </row>
    <row r="359" spans="1:16" hidden="1" x14ac:dyDescent="0.25">
      <c r="A359" t="s">
        <v>727</v>
      </c>
      <c r="B359" t="str">
        <f>IF(COUNTIF(A:A,A359)&gt;1,_xlfn.CONCAT(A359," (",N359,")"),A359)</f>
        <v>Măqián Xiāng</v>
      </c>
      <c r="C359" t="str">
        <f>IF(COUNTIF(B:B,B359)&gt;1,_xlfn.CONCAT(A359," (",M359,")"),B359)</f>
        <v>Măqián Xiāng</v>
      </c>
      <c r="D359" t="s">
        <v>728</v>
      </c>
      <c r="E359" t="s">
        <v>7</v>
      </c>
      <c r="F359" t="str">
        <f>_xlfn.CONCAT(D359,", ",H359,", ",I359,", ","西藏自治区")</f>
        <v>马前乡, 班戈县, 那曲市, 西藏自治区</v>
      </c>
      <c r="G359">
        <v>2187</v>
      </c>
      <c r="H359" t="s">
        <v>1447</v>
      </c>
      <c r="I359" t="s">
        <v>1445</v>
      </c>
      <c r="J359" t="e">
        <f>VLOOKUP(F359,[1]!china_towns_second__2[[Column1]:[Y]],3,FALSE)</f>
        <v>#N/A</v>
      </c>
      <c r="K359" t="e">
        <f>VLOOKUP(F359,[1]!china_towns_second__2[[Column1]:[Y]],2,FALSE)</f>
        <v>#N/A</v>
      </c>
      <c r="L359" t="s">
        <v>2017</v>
      </c>
      <c r="M359" t="str">
        <f>VLOOKUP(H359,CHOOSE({1,2},Table8[Native],Table8[Name]),2,0)</f>
        <v>Bāngē Xiàn</v>
      </c>
      <c r="N359" s="13" t="str">
        <f>VLOOKUP(I359,CHOOSE({1,2},Table8[Native],Table8[Name]),2,0)</f>
        <v>Nàqŭ Shì</v>
      </c>
      <c r="O359" s="13" t="str">
        <f t="shared" si="10"/>
        <v>Maqian Xiang (Nàqŭ Shì)</v>
      </c>
      <c r="P359" s="13" t="str">
        <f t="shared" si="11"/>
        <v>Maqian Xiang (Nàqŭ Shì)</v>
      </c>
    </row>
    <row r="360" spans="1:16" hidden="1" x14ac:dyDescent="0.25">
      <c r="A360" t="s">
        <v>729</v>
      </c>
      <c r="B360" t="str">
        <f>IF(COUNTIF(A:A,A360)&gt;1,_xlfn.CONCAT(A360," (",N360,")"),A360)</f>
        <v>Măqŭ Xiāng [in: Qīnghăi]</v>
      </c>
      <c r="C360" t="str">
        <f>IF(COUNTIF(B:B,B360)&gt;1,_xlfn.CONCAT(A360," (",M360,")"),B360)</f>
        <v>Măqŭ Xiāng [in: Qīnghăi]</v>
      </c>
      <c r="D360" t="s">
        <v>730</v>
      </c>
      <c r="E360" t="s">
        <v>7</v>
      </c>
      <c r="F360" t="str">
        <f>_xlfn.CONCAT(D360,", ",H360,", ",I360,", ","西藏自治区")</f>
        <v>玛曲乡, 安多县, 那曲市, 西藏自治区</v>
      </c>
      <c r="G360">
        <v>2486</v>
      </c>
      <c r="H360" t="s">
        <v>1446</v>
      </c>
      <c r="I360" t="s">
        <v>1445</v>
      </c>
      <c r="J360" t="e">
        <f>VLOOKUP(F360,[1]!china_towns_second__2[[Column1]:[Y]],3,FALSE)</f>
        <v>#N/A</v>
      </c>
      <c r="K360" t="e">
        <f>VLOOKUP(F360,[1]!china_towns_second__2[[Column1]:[Y]],2,FALSE)</f>
        <v>#N/A</v>
      </c>
      <c r="L360" t="s">
        <v>2018</v>
      </c>
      <c r="M360" t="str">
        <f>VLOOKUP(H360,CHOOSE({1,2},Table8[Native],Table8[Name]),2,0)</f>
        <v>Ānduō Xiàn</v>
      </c>
      <c r="N360" s="13" t="str">
        <f>VLOOKUP(I360,CHOOSE({1,2},Table8[Native],Table8[Name]),2,0)</f>
        <v>Nàqŭ Shì</v>
      </c>
      <c r="O360" s="13" t="str">
        <f t="shared" si="10"/>
        <v>Maqu Xiang [in: Qinghai] (Nàqŭ Shì)</v>
      </c>
      <c r="P360" s="13" t="str">
        <f t="shared" si="11"/>
        <v>Maqu Xiang [in: Qinghai] (Nàqŭ Shì)</v>
      </c>
    </row>
    <row r="361" spans="1:16" hidden="1" x14ac:dyDescent="0.25">
      <c r="A361" t="s">
        <v>731</v>
      </c>
      <c r="B361" t="str">
        <f>IF(COUNTIF(A:A,A361)&gt;1,_xlfn.CONCAT(A361," (",N361,")"),A361)</f>
        <v>Măróng Xiāng [in: Qīnghăi]</v>
      </c>
      <c r="C361" t="str">
        <f>IF(COUNTIF(B:B,B361)&gt;1,_xlfn.CONCAT(A361," (",M361,")"),B361)</f>
        <v>Măróng Xiāng [in: Qīnghăi]</v>
      </c>
      <c r="D361" t="s">
        <v>732</v>
      </c>
      <c r="E361" t="s">
        <v>7</v>
      </c>
      <c r="F361" t="str">
        <f>_xlfn.CONCAT(D361,", ",H361,", ",I361,", ","西藏自治区")</f>
        <v>玛荣乡, 安多县, 那曲市, 西藏自治区</v>
      </c>
      <c r="G361">
        <v>1003</v>
      </c>
      <c r="H361" t="s">
        <v>1446</v>
      </c>
      <c r="I361" t="s">
        <v>1445</v>
      </c>
      <c r="J361" t="e">
        <f>VLOOKUP(F361,[1]!china_towns_second__2[[Column1]:[Y]],3,FALSE)</f>
        <v>#N/A</v>
      </c>
      <c r="K361" t="e">
        <f>VLOOKUP(F361,[1]!china_towns_second__2[[Column1]:[Y]],2,FALSE)</f>
        <v>#N/A</v>
      </c>
      <c r="L361" t="s">
        <v>2019</v>
      </c>
      <c r="M361" t="str">
        <f>VLOOKUP(H361,CHOOSE({1,2},Table8[Native],Table8[Name]),2,0)</f>
        <v>Ānduō Xiàn</v>
      </c>
      <c r="N361" s="13" t="str">
        <f>VLOOKUP(I361,CHOOSE({1,2},Table8[Native],Table8[Name]),2,0)</f>
        <v>Nàqŭ Shì</v>
      </c>
      <c r="O361" s="13" t="str">
        <f t="shared" si="10"/>
        <v>Marong Xiang [in: Qinghai] (Nàqŭ Shì)</v>
      </c>
      <c r="P361" s="13" t="str">
        <f t="shared" si="11"/>
        <v>Marong Xiang [in: Qinghai] (Nàqŭ Shì)</v>
      </c>
    </row>
    <row r="362" spans="1:16" hidden="1" x14ac:dyDescent="0.25">
      <c r="A362" t="s">
        <v>733</v>
      </c>
      <c r="B362" t="str">
        <f>IF(COUNTIF(A:A,A362)&gt;1,_xlfn.CONCAT(A362," (",N362,")"),A362)</f>
        <v>Mărú Xiāng</v>
      </c>
      <c r="C362" t="str">
        <f>IF(COUNTIF(B:B,B362)&gt;1,_xlfn.CONCAT(A362," (",M362,")"),B362)</f>
        <v>Mărú Xiāng</v>
      </c>
      <c r="D362" t="s">
        <v>734</v>
      </c>
      <c r="E362" t="s">
        <v>7</v>
      </c>
      <c r="F362" t="str">
        <f>_xlfn.CONCAT(D362,", ",H362,", ",I362,", ","西藏自治区")</f>
        <v>玛如乡, 巴青县, 那曲市, 西藏自治区</v>
      </c>
      <c r="G362">
        <v>5915</v>
      </c>
      <c r="H362" t="s">
        <v>1448</v>
      </c>
      <c r="I362" t="s">
        <v>1445</v>
      </c>
      <c r="J362" t="e">
        <f>VLOOKUP(F362,[1]!china_towns_second__2[[Column1]:[Y]],3,FALSE)</f>
        <v>#N/A</v>
      </c>
      <c r="K362" t="e">
        <f>VLOOKUP(F362,[1]!china_towns_second__2[[Column1]:[Y]],2,FALSE)</f>
        <v>#N/A</v>
      </c>
      <c r="L362" t="s">
        <v>2020</v>
      </c>
      <c r="M362" t="str">
        <f>VLOOKUP(H362,CHOOSE({1,2},Table8[Native],Table8[Name]),2,0)</f>
        <v>Bāqīng Xiàn</v>
      </c>
      <c r="N362" s="13" t="str">
        <f>VLOOKUP(I362,CHOOSE({1,2},Table8[Native],Table8[Name]),2,0)</f>
        <v>Nàqŭ Shì</v>
      </c>
      <c r="O362" s="13" t="str">
        <f t="shared" si="10"/>
        <v>Maru Xiang (Nàqŭ Shì)</v>
      </c>
      <c r="P362" s="13" t="str">
        <f t="shared" si="11"/>
        <v>Maru Xiang (Nàqŭ Shì)</v>
      </c>
    </row>
    <row r="363" spans="1:16" hidden="1" x14ac:dyDescent="0.25">
      <c r="A363" t="s">
        <v>235</v>
      </c>
      <c r="B363" t="str">
        <f>IF(COUNTIF(A:A,A363)&gt;1,_xlfn.CONCAT(A363," (",N363,")"),A363)</f>
        <v>Măwŭ Xiāng</v>
      </c>
      <c r="C363" t="str">
        <f>IF(COUNTIF(B:B,B363)&gt;1,_xlfn.CONCAT(A363," (",M363,")"),B363)</f>
        <v>Măwŭ Xiāng</v>
      </c>
      <c r="D363" t="s">
        <v>236</v>
      </c>
      <c r="E363" t="s">
        <v>7</v>
      </c>
      <c r="F363" t="str">
        <f>_xlfn.CONCAT(D363,", ",H363,", ",I363,", ","西藏自治区")</f>
        <v>马武乡, 边坝县, 昌都市, 西藏自治区</v>
      </c>
      <c r="G363">
        <v>2372</v>
      </c>
      <c r="H363" t="s">
        <v>1417</v>
      </c>
      <c r="I363" t="s">
        <v>1415</v>
      </c>
      <c r="J363" t="e">
        <f>VLOOKUP(F363,[1]!china_towns_second__2[[Column1]:[Y]],3,FALSE)</f>
        <v>#N/A</v>
      </c>
      <c r="K363" t="e">
        <f>VLOOKUP(F363,[1]!china_towns_second__2[[Column1]:[Y]],2,FALSE)</f>
        <v>#N/A</v>
      </c>
      <c r="L363" t="s">
        <v>2021</v>
      </c>
      <c r="M363" t="str">
        <f>VLOOKUP(H363,CHOOSE({1,2},Table8[Native],Table8[Name]),2,0)</f>
        <v>Biānbà Xiàn</v>
      </c>
      <c r="N363" s="13" t="str">
        <f>VLOOKUP(I363,CHOOSE({1,2},Table8[Native],Table8[Name]),2,0)</f>
        <v>Chāngdū Shì</v>
      </c>
      <c r="O363" s="13" t="str">
        <f t="shared" si="10"/>
        <v>Mawu Xiang (Chāngdū Shì)</v>
      </c>
      <c r="P363" s="13" t="str">
        <f t="shared" si="11"/>
        <v>Mawu Xiang (Chāngdū Shì)</v>
      </c>
    </row>
    <row r="364" spans="1:16" hidden="1" x14ac:dyDescent="0.25">
      <c r="A364" t="s">
        <v>237</v>
      </c>
      <c r="B364" t="str">
        <f>IF(COUNTIF(A:A,A364)&gt;1,_xlfn.CONCAT(A364," (",N364,")"),A364)</f>
        <v>Măxiù Xiāng</v>
      </c>
      <c r="C364" t="str">
        <f>IF(COUNTIF(B:B,B364)&gt;1,_xlfn.CONCAT(A364," (",M364,")"),B364)</f>
        <v>Măxiù Xiāng</v>
      </c>
      <c r="D364" t="s">
        <v>238</v>
      </c>
      <c r="E364" t="s">
        <v>7</v>
      </c>
      <c r="F364" t="str">
        <f>_xlfn.CONCAT(D364,", ",H364,", ",I364,", ","西藏自治区")</f>
        <v>马秀乡, 边坝县, 昌都市, 西藏自治区</v>
      </c>
      <c r="G364">
        <v>2333</v>
      </c>
      <c r="H364" t="s">
        <v>1417</v>
      </c>
      <c r="I364" t="s">
        <v>1415</v>
      </c>
      <c r="J364" t="e">
        <f>VLOOKUP(F364,[1]!china_towns_second__2[[Column1]:[Y]],3,FALSE)</f>
        <v>#N/A</v>
      </c>
      <c r="K364" t="e">
        <f>VLOOKUP(F364,[1]!china_towns_second__2[[Column1]:[Y]],2,FALSE)</f>
        <v>#N/A</v>
      </c>
      <c r="L364" t="s">
        <v>2022</v>
      </c>
      <c r="M364" t="str">
        <f>VLOOKUP(H364,CHOOSE({1,2},Table8[Native],Table8[Name]),2,0)</f>
        <v>Biānbà Xiàn</v>
      </c>
      <c r="N364" s="13" t="str">
        <f>VLOOKUP(I364,CHOOSE({1,2},Table8[Native],Table8[Name]),2,0)</f>
        <v>Chāngdū Shì</v>
      </c>
      <c r="O364" s="13" t="str">
        <f t="shared" si="10"/>
        <v>Maxiu Xiang (Chāngdū Shì)</v>
      </c>
      <c r="P364" s="13" t="str">
        <f t="shared" si="11"/>
        <v>Maxiu Xiang (Chāngdū Shì)</v>
      </c>
    </row>
    <row r="365" spans="1:16" hidden="1" x14ac:dyDescent="0.25">
      <c r="A365" t="s">
        <v>735</v>
      </c>
      <c r="B365" t="str">
        <f>IF(COUNTIF(A:A,A365)&gt;1,_xlfn.CONCAT(A365," (",N365,")"),A365)</f>
        <v>Măyuè Xiāng</v>
      </c>
      <c r="C365" t="str">
        <f>IF(COUNTIF(B:B,B365)&gt;1,_xlfn.CONCAT(A365," (",M365,")"),B365)</f>
        <v>Măyuè Xiāng</v>
      </c>
      <c r="D365" t="s">
        <v>736</v>
      </c>
      <c r="E365" t="s">
        <v>7</v>
      </c>
      <c r="F365" t="str">
        <f>_xlfn.CONCAT(D365,", ",H365,", ",I365,", ","西藏自治区")</f>
        <v>马跃乡, 申扎县, 那曲市, 西藏自治区</v>
      </c>
      <c r="G365">
        <v>1829</v>
      </c>
      <c r="H365" t="s">
        <v>1455</v>
      </c>
      <c r="I365" t="s">
        <v>1445</v>
      </c>
      <c r="J365" t="e">
        <f>VLOOKUP(F365,[1]!china_towns_second__2[[Column1]:[Y]],3,FALSE)</f>
        <v>#N/A</v>
      </c>
      <c r="K365" t="e">
        <f>VLOOKUP(F365,[1]!china_towns_second__2[[Column1]:[Y]],2,FALSE)</f>
        <v>#N/A</v>
      </c>
      <c r="L365" t="s">
        <v>2023</v>
      </c>
      <c r="M365" t="str">
        <f>VLOOKUP(H365,CHOOSE({1,2},Table8[Native],Table8[Name]),2,0)</f>
        <v>Shēnzhā Xiàn</v>
      </c>
      <c r="N365" s="13" t="str">
        <f>VLOOKUP(I365,CHOOSE({1,2},Table8[Native],Table8[Name]),2,0)</f>
        <v>Nàqŭ Shì</v>
      </c>
      <c r="O365" s="13" t="str">
        <f t="shared" si="10"/>
        <v>Mayue Xiang (Nàqŭ Shì)</v>
      </c>
      <c r="P365" s="13" t="str">
        <f t="shared" si="11"/>
        <v>Mayue Xiang (Nàqŭ Shì)</v>
      </c>
    </row>
    <row r="366" spans="1:16" hidden="1" x14ac:dyDescent="0.25">
      <c r="A366" t="s">
        <v>1044</v>
      </c>
      <c r="B366" t="str">
        <f>IF(COUNTIF(A:A,A366)&gt;1,_xlfn.CONCAT(A366," (",N366,")"),A366)</f>
        <v>Mĕibāqièqín Xiāng</v>
      </c>
      <c r="C366" t="str">
        <f>IF(COUNTIF(B:B,B366)&gt;1,_xlfn.CONCAT(A366," (",M366,")"),B366)</f>
        <v>Mĕibāqièqín Xiāng</v>
      </c>
      <c r="D366" t="s">
        <v>1045</v>
      </c>
      <c r="E366" t="s">
        <v>7</v>
      </c>
      <c r="F366" t="str">
        <f>_xlfn.CONCAT(D366,", ",H366,", ",I366,", ","西藏自治区")</f>
        <v>美巴切勤乡, 谢通门县, 日喀则市, 西藏自治区</v>
      </c>
      <c r="G366">
        <v>1135</v>
      </c>
      <c r="H366" t="s">
        <v>1474</v>
      </c>
      <c r="I366" t="s">
        <v>1458</v>
      </c>
      <c r="J366" t="e">
        <f>VLOOKUP(F366,[1]!china_towns_second__2[[Column1]:[Y]],3,FALSE)</f>
        <v>#N/A</v>
      </c>
      <c r="K366" t="e">
        <f>VLOOKUP(F366,[1]!china_towns_second__2[[Column1]:[Y]],2,FALSE)</f>
        <v>#N/A</v>
      </c>
      <c r="L366" t="s">
        <v>2024</v>
      </c>
      <c r="M366" t="str">
        <f>VLOOKUP(H366,CHOOSE({1,2},Table8[Native],Table8[Name]),2,0)</f>
        <v>Xiètōngmén Xiàn</v>
      </c>
      <c r="N366" s="13" t="str">
        <f>VLOOKUP(I366,CHOOSE({1,2},Table8[Native],Table8[Name]),2,0)</f>
        <v>Rìkāzé Shì</v>
      </c>
      <c r="O366" s="13" t="str">
        <f t="shared" si="10"/>
        <v>Meibaqieqin Xiang (Rìkāzé Shì)</v>
      </c>
      <c r="P366" s="13" t="str">
        <f t="shared" si="11"/>
        <v>Meibaqieqin Xiang (Rìkāzé Shì)</v>
      </c>
    </row>
    <row r="367" spans="1:16" hidden="1" x14ac:dyDescent="0.25">
      <c r="A367" t="s">
        <v>239</v>
      </c>
      <c r="B367" t="str">
        <f>IF(COUNTIF(A:A,A367)&gt;1,_xlfn.CONCAT(A367," (",N367,")"),A367)</f>
        <v>Mĕiyù Xiāng</v>
      </c>
      <c r="C367" t="str">
        <f>IF(COUNTIF(B:B,B367)&gt;1,_xlfn.CONCAT(A367," (",M367,")"),B367)</f>
        <v>Mĕiyù Xiāng</v>
      </c>
      <c r="D367" t="s">
        <v>240</v>
      </c>
      <c r="E367" t="s">
        <v>7</v>
      </c>
      <c r="F367" t="str">
        <f>_xlfn.CONCAT(D367,", ",H367,", ",I367,", ","西藏自治区")</f>
        <v>美玉乡, 左贡县, 昌都市, 西藏自治区</v>
      </c>
      <c r="G367">
        <v>3915</v>
      </c>
      <c r="H367" t="s">
        <v>1427</v>
      </c>
      <c r="I367" t="s">
        <v>1415</v>
      </c>
      <c r="J367" t="e">
        <f>VLOOKUP(F367,[1]!china_towns_second__2[[Column1]:[Y]],3,FALSE)</f>
        <v>#N/A</v>
      </c>
      <c r="K367" t="e">
        <f>VLOOKUP(F367,[1]!china_towns_second__2[[Column1]:[Y]],2,FALSE)</f>
        <v>#N/A</v>
      </c>
      <c r="L367" t="s">
        <v>2025</v>
      </c>
      <c r="M367" t="str">
        <f>VLOOKUP(H367,CHOOSE({1,2},Table8[Native],Table8[Name]),2,0)</f>
        <v>Zuŏgòng Xiàn</v>
      </c>
      <c r="N367" s="13" t="str">
        <f>VLOOKUP(I367,CHOOSE({1,2},Table8[Native],Table8[Name]),2,0)</f>
        <v>Chāngdū Shì</v>
      </c>
      <c r="O367" s="13" t="str">
        <f t="shared" si="10"/>
        <v>Meiyu Xiang (Chāngdū Shì)</v>
      </c>
      <c r="P367" s="13" t="str">
        <f t="shared" si="11"/>
        <v>Meiyu Xiang (Chāngdū Shì)</v>
      </c>
    </row>
    <row r="368" spans="1:16" hidden="1" x14ac:dyDescent="0.25">
      <c r="A368" t="s">
        <v>440</v>
      </c>
      <c r="B368" t="str">
        <f>IF(COUNTIF(A:A,A368)&gt;1,_xlfn.CONCAT(A368," (",N368,")"),A368)</f>
        <v>Ménbā Xiāng</v>
      </c>
      <c r="C368" t="str">
        <f>IF(COUNTIF(B:B,B368)&gt;1,_xlfn.CONCAT(A368," (",M368,")"),B368)</f>
        <v>Ménbā Xiāng</v>
      </c>
      <c r="D368" t="s">
        <v>441</v>
      </c>
      <c r="E368" t="s">
        <v>7</v>
      </c>
      <c r="F368" t="str">
        <f>_xlfn.CONCAT(D368,", ",H368,", ",I368,", ","西藏自治区")</f>
        <v>门巴乡, 墨竹工卡县, 拉萨市, 西藏自治区</v>
      </c>
      <c r="G368">
        <v>3675</v>
      </c>
      <c r="H368" t="s">
        <v>1434</v>
      </c>
      <c r="I368" t="s">
        <v>1428</v>
      </c>
      <c r="J368" t="e">
        <f>VLOOKUP(F368,[1]!china_towns_second__2[[Column1]:[Y]],3,FALSE)</f>
        <v>#N/A</v>
      </c>
      <c r="K368" t="e">
        <f>VLOOKUP(F368,[1]!china_towns_second__2[[Column1]:[Y]],2,FALSE)</f>
        <v>#N/A</v>
      </c>
      <c r="L368" t="s">
        <v>2026</v>
      </c>
      <c r="M368" t="str">
        <f>VLOOKUP(H368,CHOOSE({1,2},Table8[Native],Table8[Name]),2,0)</f>
        <v>Mòzhúgōngkă Xiàn</v>
      </c>
      <c r="N368" s="13" t="str">
        <f>VLOOKUP(I368,CHOOSE({1,2},Table8[Native],Table8[Name]),2,0)</f>
        <v>Lāsà Shì</v>
      </c>
      <c r="O368" s="13" t="str">
        <f t="shared" si="10"/>
        <v>Menba Xiang (Lāsà Shì)</v>
      </c>
      <c r="P368" s="13" t="str">
        <f t="shared" si="11"/>
        <v>Menba Xiang (Lāsà Shì)</v>
      </c>
    </row>
    <row r="369" spans="1:16" hidden="1" x14ac:dyDescent="0.25">
      <c r="A369" t="s">
        <v>1046</v>
      </c>
      <c r="B369" t="str">
        <f>IF(COUNTIF(A:A,A369)&gt;1,_xlfn.CONCAT(A369," (",N369,")"),A369)</f>
        <v>Ménbù Xiāng</v>
      </c>
      <c r="C369" t="str">
        <f>IF(COUNTIF(B:B,B369)&gt;1,_xlfn.CONCAT(A369," (",M369,")"),B369)</f>
        <v>Ménbù Xiāng</v>
      </c>
      <c r="D369" t="s">
        <v>1047</v>
      </c>
      <c r="E369" t="s">
        <v>7</v>
      </c>
      <c r="F369" t="str">
        <f>_xlfn.CONCAT(D369,", ",H369,", ",I369,", ","西藏自治区")</f>
        <v>门布乡, 聂拉木县, 日喀则市, 西藏自治区</v>
      </c>
      <c r="G369">
        <v>2678</v>
      </c>
      <c r="H369" t="s">
        <v>1469</v>
      </c>
      <c r="I369" t="s">
        <v>1458</v>
      </c>
      <c r="J369" t="e">
        <f>VLOOKUP(F369,[1]!china_towns_second__2[[Column1]:[Y]],3,FALSE)</f>
        <v>#N/A</v>
      </c>
      <c r="K369" t="e">
        <f>VLOOKUP(F369,[1]!china_towns_second__2[[Column1]:[Y]],2,FALSE)</f>
        <v>#N/A</v>
      </c>
      <c r="L369" t="s">
        <v>2027</v>
      </c>
      <c r="M369" t="str">
        <f>VLOOKUP(H369,CHOOSE({1,2},Table8[Native],Table8[Name]),2,0)</f>
        <v>Nièlāmù Xiàn</v>
      </c>
      <c r="N369" s="13" t="str">
        <f>VLOOKUP(I369,CHOOSE({1,2},Table8[Native],Table8[Name]),2,0)</f>
        <v>Rìkāzé Shì</v>
      </c>
      <c r="O369" s="13" t="str">
        <f t="shared" si="10"/>
        <v>Menbu Xiang (Rìkāzé Shì)</v>
      </c>
      <c r="P369" s="13" t="str">
        <f t="shared" si="11"/>
        <v>Menbu Xiang (Rìkāzé Shì)</v>
      </c>
    </row>
    <row r="370" spans="1:16" hidden="1" x14ac:dyDescent="0.25">
      <c r="A370" t="s">
        <v>737</v>
      </c>
      <c r="B370" t="str">
        <f>IF(COUNTIF(A:A,A370)&gt;1,_xlfn.CONCAT(A370," (",N370,")"),A370)</f>
        <v>Méndāng Xiāng</v>
      </c>
      <c r="C370" t="str">
        <f>IF(COUNTIF(B:B,B370)&gt;1,_xlfn.CONCAT(A370," (",M370,")"),B370)</f>
        <v>Méndāng Xiāng</v>
      </c>
      <c r="D370" t="s">
        <v>738</v>
      </c>
      <c r="E370" t="s">
        <v>7</v>
      </c>
      <c r="F370" t="str">
        <f>_xlfn.CONCAT(D370,", ",H370,", ",I370,", ","西藏自治区")</f>
        <v>门当乡, 班戈县, 那曲市, 西藏自治区</v>
      </c>
      <c r="G370">
        <v>4737</v>
      </c>
      <c r="H370" t="s">
        <v>1447</v>
      </c>
      <c r="I370" t="s">
        <v>1445</v>
      </c>
      <c r="J370" t="e">
        <f>VLOOKUP(F370,[1]!china_towns_second__2[[Column1]:[Y]],3,FALSE)</f>
        <v>#N/A</v>
      </c>
      <c r="K370" t="e">
        <f>VLOOKUP(F370,[1]!china_towns_second__2[[Column1]:[Y]],2,FALSE)</f>
        <v>#N/A</v>
      </c>
      <c r="L370" t="s">
        <v>2028</v>
      </c>
      <c r="M370" t="str">
        <f>VLOOKUP(H370,CHOOSE({1,2},Table8[Native],Table8[Name]),2,0)</f>
        <v>Bāngē Xiàn</v>
      </c>
      <c r="N370" s="13" t="str">
        <f>VLOOKUP(I370,CHOOSE({1,2},Table8[Native],Table8[Name]),2,0)</f>
        <v>Nàqŭ Shì</v>
      </c>
      <c r="O370" s="13" t="str">
        <f t="shared" si="10"/>
        <v>Mendang Xiang (Nàqŭ Shì)</v>
      </c>
      <c r="P370" s="13" t="str">
        <f t="shared" si="11"/>
        <v>Mendang Xiang (Nàqŭ Shì)</v>
      </c>
    </row>
    <row r="371" spans="1:16" hidden="1" x14ac:dyDescent="0.25">
      <c r="A371" t="s">
        <v>48</v>
      </c>
      <c r="B371" t="str">
        <f>IF(COUNTIF(A:A,A371)&gt;1,_xlfn.CONCAT(A371," (",N371,")"),A371)</f>
        <v>Ménshì Xiāng</v>
      </c>
      <c r="C371" t="str">
        <f>IF(COUNTIF(B:B,B371)&gt;1,_xlfn.CONCAT(A371," (",M371,")"),B371)</f>
        <v>Ménshì Xiāng</v>
      </c>
      <c r="D371" t="s">
        <v>49</v>
      </c>
      <c r="E371" t="s">
        <v>7</v>
      </c>
      <c r="F371" t="str">
        <f>_xlfn.CONCAT(D371,", ",H371,", ",I371,", ","西藏自治区")</f>
        <v>门士乡, 噶尔县, 阿里地区, 西藏自治区</v>
      </c>
      <c r="G371">
        <v>2193</v>
      </c>
      <c r="H371" t="s">
        <v>1408</v>
      </c>
      <c r="I371" t="s">
        <v>1405</v>
      </c>
      <c r="J371" t="e">
        <f>VLOOKUP(F371,[1]!china_towns_second__2[[Column1]:[Y]],3,FALSE)</f>
        <v>#N/A</v>
      </c>
      <c r="K371" t="e">
        <f>VLOOKUP(F371,[1]!china_towns_second__2[[Column1]:[Y]],2,FALSE)</f>
        <v>#N/A</v>
      </c>
      <c r="L371" t="s">
        <v>2029</v>
      </c>
      <c r="M371" t="str">
        <f>VLOOKUP(H371,CHOOSE({1,2},Table8[Native],Table8[Name]),2,0)</f>
        <v>Gá'ĕr Xiàn</v>
      </c>
      <c r="N371" s="13" t="str">
        <f>VLOOKUP(I371,CHOOSE({1,2},Table8[Native],Table8[Name]),2,0)</f>
        <v>Ālĭ Dìqū</v>
      </c>
      <c r="O371" s="13" t="str">
        <f t="shared" si="10"/>
        <v>Menshi Xiang (Ālĭ Dìqū)</v>
      </c>
      <c r="P371" s="13" t="str">
        <f t="shared" si="11"/>
        <v>Menshi Xiang (Ālĭ Dìqū)</v>
      </c>
    </row>
    <row r="372" spans="1:16" hidden="1" x14ac:dyDescent="0.25">
      <c r="A372" t="s">
        <v>241</v>
      </c>
      <c r="B372" t="str">
        <f>IF(COUNTIF(A:A,A372)&gt;1,_xlfn.CONCAT(A372," (",N372,")"),A372)</f>
        <v>Miàndá Xiāng</v>
      </c>
      <c r="C372" t="str">
        <f>IF(COUNTIF(B:B,B372)&gt;1,_xlfn.CONCAT(A372," (",M372,")"),B372)</f>
        <v>Miàndá Xiāng</v>
      </c>
      <c r="D372" t="s">
        <v>242</v>
      </c>
      <c r="E372" t="s">
        <v>7</v>
      </c>
      <c r="F372" t="str">
        <f>_xlfn.CONCAT(D372,", ",H372,", ",I372,", ","西藏自治区")</f>
        <v>面达乡, 卡若区, 昌都市, 西藏自治区</v>
      </c>
      <c r="G372">
        <v>5995</v>
      </c>
      <c r="H372" t="s">
        <v>1423</v>
      </c>
      <c r="I372" t="s">
        <v>1415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2030</v>
      </c>
      <c r="M372" t="str">
        <f>VLOOKUP(H372,CHOOSE({1,2},Table8[Native],Table8[Name]),2,0)</f>
        <v>Kǎruò Qū</v>
      </c>
      <c r="N372" s="13" t="str">
        <f>VLOOKUP(I372,CHOOSE({1,2},Table8[Native],Table8[Name]),2,0)</f>
        <v>Chāngdū Shì</v>
      </c>
      <c r="O372" s="13" t="str">
        <f t="shared" si="10"/>
        <v>Mianda Xiang (Chāngdū Shì)</v>
      </c>
      <c r="P372" s="13" t="str">
        <f t="shared" si="11"/>
        <v>Mianda Xiang (Chāngdū Shì)</v>
      </c>
    </row>
    <row r="373" spans="1:16" x14ac:dyDescent="0.25">
      <c r="A373" t="s">
        <v>571</v>
      </c>
      <c r="B373" t="str">
        <f>IF(COUNTIF(A:A,A373)&gt;1,_xlfn.CONCAT(A373," (",N373,")"),A373)</f>
        <v>Mĭlín Zhèn</v>
      </c>
      <c r="C373" t="str">
        <f>IF(COUNTIF(B:B,B373)&gt;1,_xlfn.CONCAT(A373," (",M373,")"),B373)</f>
        <v>Mĭlín Zhèn</v>
      </c>
      <c r="D373" t="s">
        <v>572</v>
      </c>
      <c r="E373" t="s">
        <v>17</v>
      </c>
      <c r="F373" t="str">
        <f>_xlfn.CONCAT(D373,", ",H373,", ",I373,", ","西藏自治区")</f>
        <v>米林镇, 米林县, 林芝市, 西藏自治区</v>
      </c>
      <c r="G373">
        <v>5617</v>
      </c>
      <c r="H373" t="s">
        <v>1443</v>
      </c>
      <c r="I373" t="s">
        <v>1437</v>
      </c>
      <c r="J373">
        <f>VLOOKUP(F373,[1]!china_towns_second__2[[Column1]:[Y]],3,FALSE)</f>
        <v>29.205837585917902</v>
      </c>
      <c r="K373">
        <f>VLOOKUP(F373,[1]!china_towns_second__2[[Column1]:[Y]],2,FALSE)</f>
        <v>94.287323310000005</v>
      </c>
      <c r="L373" t="s">
        <v>2031</v>
      </c>
      <c r="M373" t="str">
        <f>VLOOKUP(H373,CHOOSE({1,2},Table8[Native],Table8[Name]),2,0)</f>
        <v>Mĭlín Xiàn</v>
      </c>
      <c r="N373" s="13" t="str">
        <f>VLOOKUP(I373,CHOOSE({1,2},Table8[Native],Table8[Name]),2,0)</f>
        <v>Línzhī Shì</v>
      </c>
      <c r="O373" s="13" t="str">
        <f t="shared" si="10"/>
        <v>Milin Zhen (Línzhī Shì)</v>
      </c>
      <c r="P373" s="13" t="str">
        <f t="shared" si="11"/>
        <v>Milin Zhen (Línzhī Shì)</v>
      </c>
    </row>
    <row r="374" spans="1:16" hidden="1" x14ac:dyDescent="0.25">
      <c r="A374" t="s">
        <v>243</v>
      </c>
      <c r="B374" t="str">
        <f>IF(COUNTIF(A:A,A374)&gt;1,_xlfn.CONCAT(A374," (",N374,")"),A374)</f>
        <v>Mĭndū Xiāng</v>
      </c>
      <c r="C374" t="str">
        <f>IF(COUNTIF(B:B,B374)&gt;1,_xlfn.CONCAT(A374," (",M374,")"),B374)</f>
        <v>Mĭndū Xiāng</v>
      </c>
      <c r="D374" t="s">
        <v>244</v>
      </c>
      <c r="E374" t="s">
        <v>7</v>
      </c>
      <c r="F374" t="str">
        <f>_xlfn.CONCAT(D374,", ",H374,", ",I374,", ","西藏自治区")</f>
        <v>敏都乡, 贡觉县, 昌都市, 西藏自治区</v>
      </c>
      <c r="G374">
        <v>1574</v>
      </c>
      <c r="H374" t="s">
        <v>1420</v>
      </c>
      <c r="I374" t="s">
        <v>1415</v>
      </c>
      <c r="J374" t="e">
        <f>VLOOKUP(F374,[1]!china_towns_second__2[[Column1]:[Y]],3,FALSE)</f>
        <v>#N/A</v>
      </c>
      <c r="K374" t="e">
        <f>VLOOKUP(F374,[1]!china_towns_second__2[[Column1]:[Y]],2,FALSE)</f>
        <v>#N/A</v>
      </c>
      <c r="L374" t="s">
        <v>2032</v>
      </c>
      <c r="M374" t="str">
        <f>VLOOKUP(H374,CHOOSE({1,2},Table8[Native],Table8[Name]),2,0)</f>
        <v>Gòngjué Xiàn</v>
      </c>
      <c r="N374" s="13" t="str">
        <f>VLOOKUP(I374,CHOOSE({1,2},Table8[Native],Table8[Name]),2,0)</f>
        <v>Chāngdū Shì</v>
      </c>
      <c r="O374" s="13" t="str">
        <f t="shared" si="10"/>
        <v>Mindu Xiang (Chāngdū Shì)</v>
      </c>
      <c r="P374" s="13" t="str">
        <f t="shared" si="11"/>
        <v>Mindu Xiang (Chāngdū Shì)</v>
      </c>
    </row>
    <row r="375" spans="1:16" hidden="1" x14ac:dyDescent="0.25">
      <c r="A375" t="s">
        <v>573</v>
      </c>
      <c r="B375" t="str">
        <f>IF(COUNTIF(A:A,A375)&gt;1,_xlfn.CONCAT(A375," (",N375,")"),A375)</f>
        <v>Mĭruì Xiāng</v>
      </c>
      <c r="C375" t="str">
        <f>IF(COUNTIF(B:B,B375)&gt;1,_xlfn.CONCAT(A375," (",M375,")"),B375)</f>
        <v>Mĭruì Xiāng</v>
      </c>
      <c r="D375" t="s">
        <v>574</v>
      </c>
      <c r="E375" t="s">
        <v>7</v>
      </c>
      <c r="F375" t="str">
        <f>_xlfn.CONCAT(D375,", ",H375,", ",I375,", ","西藏自治区")</f>
        <v>米瑞乡, 巴宜区, 林芝市, 西藏自治区</v>
      </c>
      <c r="G375">
        <v>2247</v>
      </c>
      <c r="H375" t="s">
        <v>1438</v>
      </c>
      <c r="I375" t="s">
        <v>1437</v>
      </c>
      <c r="J375" t="e">
        <f>VLOOKUP(F375,[1]!china_towns_second__2[[Column1]:[Y]],3,FALSE)</f>
        <v>#N/A</v>
      </c>
      <c r="K375" t="e">
        <f>VLOOKUP(F375,[1]!china_towns_second__2[[Column1]:[Y]],2,FALSE)</f>
        <v>#N/A</v>
      </c>
      <c r="L375" t="s">
        <v>2033</v>
      </c>
      <c r="M375" t="str">
        <f>VLOOKUP(H375,CHOOSE({1,2},Table8[Native],Table8[Name]),2,0)</f>
        <v>Bāyí Qū</v>
      </c>
      <c r="N375" s="13" t="str">
        <f>VLOOKUP(I375,CHOOSE({1,2},Table8[Native],Table8[Name]),2,0)</f>
        <v>Línzhī Shì</v>
      </c>
      <c r="O375" s="13" t="str">
        <f t="shared" si="10"/>
        <v>Mirui Xiang (Línzhī Shì)</v>
      </c>
      <c r="P375" s="13" t="str">
        <f t="shared" si="11"/>
        <v>Mirui Xiang (Línzhī Shì)</v>
      </c>
    </row>
    <row r="376" spans="1:16" x14ac:dyDescent="0.25">
      <c r="A376" t="s">
        <v>245</v>
      </c>
      <c r="B376" t="str">
        <f>IF(COUNTIF(A:A,A376)&gt;1,_xlfn.CONCAT(A376," (",N376,")"),A376)</f>
        <v>Mòluò Zhèn</v>
      </c>
      <c r="C376" t="str">
        <f>IF(COUNTIF(B:B,B376)&gt;1,_xlfn.CONCAT(A376," (",M376,")"),B376)</f>
        <v>Mòluò Zhèn</v>
      </c>
      <c r="D376" t="s">
        <v>246</v>
      </c>
      <c r="E376" t="s">
        <v>17</v>
      </c>
      <c r="F376" t="str">
        <f>_xlfn.CONCAT(D376,", ",H376,", ",I376,", ","西藏自治区")</f>
        <v>莫洛镇, 贡觉县, 昌都市, 西藏自治区</v>
      </c>
      <c r="G376">
        <v>11026</v>
      </c>
      <c r="H376" t="s">
        <v>1420</v>
      </c>
      <c r="I376" t="s">
        <v>1415</v>
      </c>
      <c r="J376">
        <f>VLOOKUP(F376,[1]!china_towns_second__2[[Column1]:[Y]],3,FALSE)</f>
        <v>30.846553007358999</v>
      </c>
      <c r="K376">
        <f>VLOOKUP(F376,[1]!china_towns_second__2[[Column1]:[Y]],2,FALSE)</f>
        <v>98.217079440000006</v>
      </c>
      <c r="L376" t="s">
        <v>2034</v>
      </c>
      <c r="M376" t="str">
        <f>VLOOKUP(H376,CHOOSE({1,2},Table8[Native],Table8[Name]),2,0)</f>
        <v>Gòngjué Xiàn</v>
      </c>
      <c r="N376" s="13" t="str">
        <f>VLOOKUP(I376,CHOOSE({1,2},Table8[Native],Table8[Name]),2,0)</f>
        <v>Chāngdū Shì</v>
      </c>
      <c r="O376" s="13" t="str">
        <f t="shared" si="10"/>
        <v>Moluo Zhen (Chāngdū Shì)</v>
      </c>
      <c r="P376" s="13" t="str">
        <f t="shared" si="11"/>
        <v>Moluo Zhen (Chāngdū Shì)</v>
      </c>
    </row>
    <row r="377" spans="1:16" x14ac:dyDescent="0.25">
      <c r="A377" t="s">
        <v>575</v>
      </c>
      <c r="B377" t="str">
        <f>IF(COUNTIF(A:A,A377)&gt;1,_xlfn.CONCAT(A377," (",N377,")"),A377)</f>
        <v>Mòtuō Zhèn</v>
      </c>
      <c r="C377" t="str">
        <f>IF(COUNTIF(B:B,B377)&gt;1,_xlfn.CONCAT(A377," (",M377,")"),B377)</f>
        <v>Mòtuō Zhèn</v>
      </c>
      <c r="D377" t="s">
        <v>576</v>
      </c>
      <c r="E377" t="s">
        <v>17</v>
      </c>
      <c r="F377" t="str">
        <f>_xlfn.CONCAT(D377,", ",H377,", ",I377,", ","西藏自治区")</f>
        <v>墨脱镇, 墨脱县, 林芝市, 西藏自治区</v>
      </c>
      <c r="G377">
        <v>3157</v>
      </c>
      <c r="H377" t="s">
        <v>1444</v>
      </c>
      <c r="I377" t="s">
        <v>1437</v>
      </c>
      <c r="J377">
        <f>VLOOKUP(F377,[1]!china_towns_second__2[[Column1]:[Y]],3,FALSE)</f>
        <v>28.546680232291902</v>
      </c>
      <c r="K377">
        <f>VLOOKUP(F377,[1]!china_towns_second__2[[Column1]:[Y]],2,FALSE)</f>
        <v>94.899302419999998</v>
      </c>
      <c r="L377" t="s">
        <v>2035</v>
      </c>
      <c r="M377" t="str">
        <f>VLOOKUP(H377,CHOOSE({1,2},Table8[Native],Table8[Name]),2,0)</f>
        <v>Mòtuō Xiàn</v>
      </c>
      <c r="N377" s="13" t="str">
        <f>VLOOKUP(I377,CHOOSE({1,2},Table8[Native],Table8[Name]),2,0)</f>
        <v>Línzhī Shì</v>
      </c>
      <c r="O377" s="13" t="str">
        <f t="shared" si="10"/>
        <v>Motuo Zhen (Línzhī Shì)</v>
      </c>
      <c r="P377" s="13" t="str">
        <f t="shared" si="11"/>
        <v>Motuo Zhen (Línzhī Shì)</v>
      </c>
    </row>
    <row r="378" spans="1:16" hidden="1" x14ac:dyDescent="0.25">
      <c r="A378" t="s">
        <v>1050</v>
      </c>
      <c r="B378" t="str">
        <f>IF(COUNTIF(A:A,A378)&gt;1,_xlfn.CONCAT(A378," (",N378,")"),A378)</f>
        <v>Mŭ Xiāng</v>
      </c>
      <c r="C378" t="str">
        <f>IF(COUNTIF(B:B,B378)&gt;1,_xlfn.CONCAT(A378," (",M378,")"),B378)</f>
        <v>Mŭ Xiāng</v>
      </c>
      <c r="D378" t="s">
        <v>1051</v>
      </c>
      <c r="E378" t="s">
        <v>7</v>
      </c>
      <c r="F378" t="str">
        <f>_xlfn.CONCAT(D378,", ",H378,", ",I378,", ","西藏自治区")</f>
        <v>姆乡, 仁布县, 日喀则市, 西藏自治区</v>
      </c>
      <c r="G378">
        <v>3067</v>
      </c>
      <c r="H378" t="s">
        <v>1470</v>
      </c>
      <c r="I378" t="s">
        <v>1458</v>
      </c>
      <c r="J378" t="e">
        <f>VLOOKUP(F378,[1]!china_towns_second__2[[Column1]:[Y]],3,FALSE)</f>
        <v>#N/A</v>
      </c>
      <c r="K378" t="e">
        <f>VLOOKUP(F378,[1]!china_towns_second__2[[Column1]:[Y]],2,FALSE)</f>
        <v>#N/A</v>
      </c>
      <c r="L378" t="s">
        <v>2036</v>
      </c>
      <c r="M378" t="str">
        <f>VLOOKUP(H378,CHOOSE({1,2},Table8[Native],Table8[Name]),2,0)</f>
        <v>Rénbù Xiàn</v>
      </c>
      <c r="N378" s="13" t="str">
        <f>VLOOKUP(I378,CHOOSE({1,2},Table8[Native],Table8[Name]),2,0)</f>
        <v>Rìkāzé Shì</v>
      </c>
      <c r="O378" s="13" t="str">
        <f t="shared" si="10"/>
        <v>Mu Xiang (Rìkāzé Shì)</v>
      </c>
      <c r="P378" s="13" t="str">
        <f t="shared" si="11"/>
        <v>Mu Xiang (Rìkāzé Shì)</v>
      </c>
    </row>
    <row r="379" spans="1:16" hidden="1" x14ac:dyDescent="0.25">
      <c r="A379" t="s">
        <v>1048</v>
      </c>
      <c r="B379" t="str">
        <f>IF(COUNTIF(A:A,A379)&gt;1,_xlfn.CONCAT(A379," (",N379,")"),A379)</f>
        <v>Mùlā Xiāng</v>
      </c>
      <c r="C379" t="str">
        <f>IF(COUNTIF(B:B,B379)&gt;1,_xlfn.CONCAT(A379," (",M379,")"),B379)</f>
        <v>Mùlā Xiāng</v>
      </c>
      <c r="D379" t="s">
        <v>1049</v>
      </c>
      <c r="E379" t="s">
        <v>7</v>
      </c>
      <c r="F379" t="str">
        <f>_xlfn.CONCAT(D379,", ",H379,", ",I379,", ","西藏自治区")</f>
        <v>木拉乡, 萨迦县, 日喀则市, 西藏自治区</v>
      </c>
      <c r="G379">
        <v>3184</v>
      </c>
      <c r="H379" t="s">
        <v>1472</v>
      </c>
      <c r="I379" t="s">
        <v>1458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2037</v>
      </c>
      <c r="M379" t="str">
        <f>VLOOKUP(H379,CHOOSE({1,2},Table8[Native],Table8[Name]),2,0)</f>
        <v>Sàjiā Xiàn</v>
      </c>
      <c r="N379" s="13" t="str">
        <f>VLOOKUP(I379,CHOOSE({1,2},Table8[Native],Table8[Name]),2,0)</f>
        <v>Rìkāzé Shì</v>
      </c>
      <c r="O379" s="13" t="str">
        <f t="shared" si="10"/>
        <v>Mula Xiang (Rìkāzé Shì)</v>
      </c>
      <c r="P379" s="13" t="str">
        <f t="shared" si="11"/>
        <v>Mula Xiang (Rìkāzé Shì)</v>
      </c>
    </row>
    <row r="380" spans="1:16" hidden="1" x14ac:dyDescent="0.25">
      <c r="A380" t="s">
        <v>247</v>
      </c>
      <c r="B380" t="str">
        <f>IF(COUNTIF(A:A,A380)&gt;1,_xlfn.CONCAT(A380," (",N380,")"),A380)</f>
        <v>Mùtă Xiāng</v>
      </c>
      <c r="C380" t="str">
        <f>IF(COUNTIF(B:B,B380)&gt;1,_xlfn.CONCAT(A380," (",M380,")"),B380)</f>
        <v>Mùtă Xiāng</v>
      </c>
      <c r="D380" t="s">
        <v>248</v>
      </c>
      <c r="E380" t="s">
        <v>7</v>
      </c>
      <c r="F380" t="str">
        <f>_xlfn.CONCAT(D380,", ",H380,", ",I380,", ","西藏自治区")</f>
        <v>木塔乡, 丁青县, 昌都市, 西藏自治区</v>
      </c>
      <c r="G380">
        <v>1362</v>
      </c>
      <c r="H380" t="s">
        <v>1419</v>
      </c>
      <c r="I380" t="s">
        <v>1415</v>
      </c>
      <c r="J380" t="e">
        <f>VLOOKUP(F380,[1]!china_towns_second__2[[Column1]:[Y]],3,FALSE)</f>
        <v>#N/A</v>
      </c>
      <c r="K380" t="e">
        <f>VLOOKUP(F380,[1]!china_towns_second__2[[Column1]:[Y]],2,FALSE)</f>
        <v>#N/A</v>
      </c>
      <c r="L380" t="s">
        <v>2038</v>
      </c>
      <c r="M380" t="str">
        <f>VLOOKUP(H380,CHOOSE({1,2},Table8[Native],Table8[Name]),2,0)</f>
        <v>Dīngqīng Xiàn</v>
      </c>
      <c r="N380" s="13" t="str">
        <f>VLOOKUP(I380,CHOOSE({1,2},Table8[Native],Table8[Name]),2,0)</f>
        <v>Chāngdū Shì</v>
      </c>
      <c r="O380" s="13" t="str">
        <f t="shared" si="10"/>
        <v>Muta Xiang (Chāngdū Shì)</v>
      </c>
      <c r="P380" s="13" t="str">
        <f t="shared" si="11"/>
        <v>Muta Xiang (Chāngdū Shì)</v>
      </c>
    </row>
    <row r="381" spans="1:16" hidden="1" x14ac:dyDescent="0.25">
      <c r="A381" t="s">
        <v>249</v>
      </c>
      <c r="B381" t="str">
        <f>IF(COUNTIF(A:A,A381)&gt;1,_xlfn.CONCAT(A381," (",N381,")"),A381)</f>
        <v>Mùxié Xiāng</v>
      </c>
      <c r="C381" t="str">
        <f>IF(COUNTIF(B:B,B381)&gt;1,_xlfn.CONCAT(A381," (",M381,")"),B381)</f>
        <v>Mùxié Xiāng</v>
      </c>
      <c r="D381" t="s">
        <v>250</v>
      </c>
      <c r="E381" t="s">
        <v>7</v>
      </c>
      <c r="F381" t="str">
        <f>_xlfn.CONCAT(D381,", ",H381,", ",I381,", ","西藏自治区")</f>
        <v>木协乡, 贡觉县, 昌都市, 西藏自治区</v>
      </c>
      <c r="G381">
        <v>1682</v>
      </c>
      <c r="H381" t="s">
        <v>1420</v>
      </c>
      <c r="I381" t="s">
        <v>1415</v>
      </c>
      <c r="J381" t="e">
        <f>VLOOKUP(F381,[1]!china_towns_second__2[[Column1]:[Y]],3,FALSE)</f>
        <v>#N/A</v>
      </c>
      <c r="K381" t="e">
        <f>VLOOKUP(F381,[1]!china_towns_second__2[[Column1]:[Y]],2,FALSE)</f>
        <v>#N/A</v>
      </c>
      <c r="L381" t="s">
        <v>2039</v>
      </c>
      <c r="M381" t="str">
        <f>VLOOKUP(H381,CHOOSE({1,2},Table8[Native],Table8[Name]),2,0)</f>
        <v>Gòngjué Xiàn</v>
      </c>
      <c r="N381" s="13" t="str">
        <f>VLOOKUP(I381,CHOOSE({1,2},Table8[Native],Table8[Name]),2,0)</f>
        <v>Chāngdū Shì</v>
      </c>
      <c r="O381" s="13" t="str">
        <f t="shared" si="10"/>
        <v>Muxie Xiang (Chāngdū Shì)</v>
      </c>
      <c r="P381" s="13" t="str">
        <f t="shared" si="11"/>
        <v>Muxie Xiang (Chāngdū Shì)</v>
      </c>
    </row>
    <row r="382" spans="1:16" hidden="1" x14ac:dyDescent="0.25">
      <c r="A382" t="s">
        <v>251</v>
      </c>
      <c r="B382" t="str">
        <f>IF(COUNTIF(A:A,A382)&gt;1,_xlfn.CONCAT(A382," (",N382,")"),A382)</f>
        <v>Mùxŭ Xiāng</v>
      </c>
      <c r="C382" t="str">
        <f>IF(COUNTIF(B:B,B382)&gt;1,_xlfn.CONCAT(A382," (",M382,")"),B382)</f>
        <v>Mùxŭ Xiāng</v>
      </c>
      <c r="D382" t="s">
        <v>252</v>
      </c>
      <c r="E382" t="s">
        <v>7</v>
      </c>
      <c r="F382" t="str">
        <f>_xlfn.CONCAT(D382,", ",H382,", ",I382,", ","西藏自治区")</f>
        <v>木许乡, 芒康县, 昌都市, 西藏自治区</v>
      </c>
      <c r="G382">
        <v>2504</v>
      </c>
      <c r="H382" t="s">
        <v>1426</v>
      </c>
      <c r="I382" t="s">
        <v>1415</v>
      </c>
      <c r="J382" t="e">
        <f>VLOOKUP(F382,[1]!china_towns_second__2[[Column1]:[Y]],3,FALSE)</f>
        <v>#N/A</v>
      </c>
      <c r="K382" t="e">
        <f>VLOOKUP(F382,[1]!china_towns_second__2[[Column1]:[Y]],2,FALSE)</f>
        <v>#N/A</v>
      </c>
      <c r="L382" t="s">
        <v>2040</v>
      </c>
      <c r="M382" t="str">
        <f>VLOOKUP(H382,CHOOSE({1,2},Table8[Native],Table8[Name]),2,0)</f>
        <v>Mángkāng Xiàn</v>
      </c>
      <c r="N382" s="13" t="str">
        <f>VLOOKUP(I382,CHOOSE({1,2},Table8[Native],Table8[Name]),2,0)</f>
        <v>Chāngdū Shì</v>
      </c>
      <c r="O382" s="13" t="str">
        <f t="shared" si="10"/>
        <v>Muxu Xiang (Chāngdū Shì)</v>
      </c>
      <c r="P382" s="13" t="str">
        <f t="shared" si="11"/>
        <v>Muxu Xiang (Chāngdū Shì)</v>
      </c>
    </row>
    <row r="383" spans="1:16" hidden="1" x14ac:dyDescent="0.25">
      <c r="A383" t="s">
        <v>1052</v>
      </c>
      <c r="B383" t="str">
        <f>IF(COUNTIF(A:A,A383)&gt;1,_xlfn.CONCAT(A383," (",N383,")"),A383)</f>
        <v>Nàdāng Xiāng</v>
      </c>
      <c r="C383" t="str">
        <f>IF(COUNTIF(B:B,B383)&gt;1,_xlfn.CONCAT(A383," (",M383,")"),B383)</f>
        <v>Nàdāng Xiāng</v>
      </c>
      <c r="D383" t="s">
        <v>1053</v>
      </c>
      <c r="E383" t="s">
        <v>7</v>
      </c>
      <c r="F383" t="str">
        <f>_xlfn.CONCAT(D383,", ",H383,", ",I383,", ","西藏自治区")</f>
        <v>纳当乡, 谢通门县, 日喀则市, 西藏自治区</v>
      </c>
      <c r="G383">
        <v>1410</v>
      </c>
      <c r="H383" t="s">
        <v>1474</v>
      </c>
      <c r="I383" t="s">
        <v>1458</v>
      </c>
      <c r="J383" t="e">
        <f>VLOOKUP(F383,[1]!china_towns_second__2[[Column1]:[Y]],3,FALSE)</f>
        <v>#N/A</v>
      </c>
      <c r="K383" t="e">
        <f>VLOOKUP(F383,[1]!china_towns_second__2[[Column1]:[Y]],2,FALSE)</f>
        <v>#N/A</v>
      </c>
      <c r="L383" t="s">
        <v>2041</v>
      </c>
      <c r="M383" t="str">
        <f>VLOOKUP(H383,CHOOSE({1,2},Table8[Native],Table8[Name]),2,0)</f>
        <v>Xiètōngmén Xiàn</v>
      </c>
      <c r="N383" s="13" t="str">
        <f>VLOOKUP(I383,CHOOSE({1,2},Table8[Native],Table8[Name]),2,0)</f>
        <v>Rìkāzé Shì</v>
      </c>
      <c r="O383" s="13" t="str">
        <f t="shared" si="10"/>
        <v>Nadang Xiang (Rìkāzé Shì)</v>
      </c>
      <c r="P383" s="13" t="str">
        <f t="shared" si="11"/>
        <v>Nadang Xiang (Rìkāzé Shì)</v>
      </c>
    </row>
    <row r="384" spans="1:16" hidden="1" x14ac:dyDescent="0.25">
      <c r="A384" t="s">
        <v>1054</v>
      </c>
      <c r="B384" t="str">
        <f>IF(COUNTIF(A:A,A384)&gt;1,_xlfn.CONCAT(A384," (",N384,")"),A384)</f>
        <v>Nà'ĕr Xiāng</v>
      </c>
      <c r="C384" t="str">
        <f>IF(COUNTIF(B:B,B384)&gt;1,_xlfn.CONCAT(A384," (",M384,")"),B384)</f>
        <v>Nà'ĕr Xiāng</v>
      </c>
      <c r="D384" t="s">
        <v>1055</v>
      </c>
      <c r="E384" t="s">
        <v>7</v>
      </c>
      <c r="F384" t="str">
        <f>_xlfn.CONCAT(D384,", ",H384,", ",I384,", ","西藏自治区")</f>
        <v>纳尔乡, 桑珠孜区, 日喀则市, 西藏自治区</v>
      </c>
      <c r="G384">
        <v>2064</v>
      </c>
      <c r="H384" t="s">
        <v>1473</v>
      </c>
      <c r="I384" t="s">
        <v>1458</v>
      </c>
      <c r="J384" t="e">
        <f>VLOOKUP(F384,[1]!china_towns_second__2[[Column1]:[Y]],3,FALSE)</f>
        <v>#N/A</v>
      </c>
      <c r="K384" t="e">
        <f>VLOOKUP(F384,[1]!china_towns_second__2[[Column1]:[Y]],2,FALSE)</f>
        <v>#N/A</v>
      </c>
      <c r="L384" t="s">
        <v>2042</v>
      </c>
      <c r="M384" t="str">
        <f>VLOOKUP(H384,CHOOSE({1,2},Table8[Native],Table8[Name]),2,0)</f>
        <v>Sāngzhūzī Qū</v>
      </c>
      <c r="N384" s="13" t="str">
        <f>VLOOKUP(I384,CHOOSE({1,2},Table8[Native],Table8[Name]),2,0)</f>
        <v>Rìkāzé Shì</v>
      </c>
      <c r="O384" s="13" t="str">
        <f t="shared" si="10"/>
        <v>Na'er Xiang (Rìkāzé Shì)</v>
      </c>
      <c r="P384" s="13" t="str">
        <f t="shared" si="11"/>
        <v>Na'er Xiang (Rìkāzé Shì)</v>
      </c>
    </row>
    <row r="385" spans="1:16" hidden="1" x14ac:dyDescent="0.25">
      <c r="A385" t="s">
        <v>1056</v>
      </c>
      <c r="B385" t="str">
        <f>IF(COUNTIF(A:A,A385)&gt;1,_xlfn.CONCAT(A385," (",N385,")"),A385)</f>
        <v>Năilóng Xiāng</v>
      </c>
      <c r="C385" t="str">
        <f>IF(COUNTIF(B:B,B385)&gt;1,_xlfn.CONCAT(A385," (",M385,")"),B385)</f>
        <v>Năilóng Xiāng</v>
      </c>
      <c r="D385" t="s">
        <v>1057</v>
      </c>
      <c r="E385" t="s">
        <v>7</v>
      </c>
      <c r="F385" t="str">
        <f>_xlfn.CONCAT(D385,", ",H385,", ",I385,", ","西藏自治区")</f>
        <v>乃龙乡, 聂拉木县, 日喀则市, 西藏自治区</v>
      </c>
      <c r="G385">
        <v>1344</v>
      </c>
      <c r="H385" t="s">
        <v>1469</v>
      </c>
      <c r="I385" t="s">
        <v>1458</v>
      </c>
      <c r="J385" t="e">
        <f>VLOOKUP(F385,[1]!china_towns_second__2[[Column1]:[Y]],3,FALSE)</f>
        <v>#N/A</v>
      </c>
      <c r="K385" t="e">
        <f>VLOOKUP(F385,[1]!china_towns_second__2[[Column1]:[Y]],2,FALSE)</f>
        <v>#N/A</v>
      </c>
      <c r="L385" t="s">
        <v>2043</v>
      </c>
      <c r="M385" t="str">
        <f>VLOOKUP(H385,CHOOSE({1,2},Table8[Native],Table8[Name]),2,0)</f>
        <v>Nièlāmù Xiàn</v>
      </c>
      <c r="N385" s="13" t="str">
        <f>VLOOKUP(I385,CHOOSE({1,2},Table8[Native],Table8[Name]),2,0)</f>
        <v>Rìkāzé Shì</v>
      </c>
      <c r="O385" s="13" t="str">
        <f t="shared" si="10"/>
        <v>Nailong Xiang (Rìkāzé Shì)</v>
      </c>
      <c r="P385" s="13" t="str">
        <f t="shared" si="11"/>
        <v>Nailong Xiang (Rìkāzé Shì)</v>
      </c>
    </row>
    <row r="386" spans="1:16" hidden="1" x14ac:dyDescent="0.25">
      <c r="A386" t="s">
        <v>442</v>
      </c>
      <c r="B386" t="str">
        <f>IF(COUNTIF(A:A,A386)&gt;1,_xlfn.CONCAT(A386," (",N386,")"),A386)</f>
        <v>Năiqióng Jiēdào</v>
      </c>
      <c r="C386" t="str">
        <f>IF(COUNTIF(B:B,B386)&gt;1,_xlfn.CONCAT(A386," (",M386,")"),B386)</f>
        <v>Năiqióng Jiēdào</v>
      </c>
      <c r="D386" t="s">
        <v>443</v>
      </c>
      <c r="E386" t="s">
        <v>374</v>
      </c>
      <c r="F386" t="str">
        <f>_xlfn.CONCAT(D386,", ",H386,", ",I386,", ","西藏自治区")</f>
        <v>乃琼街道, 堆龙德庆区, 拉萨市, 西藏自治区</v>
      </c>
      <c r="G386">
        <v>11485</v>
      </c>
      <c r="H386" t="s">
        <v>1432</v>
      </c>
      <c r="I386" t="s">
        <v>1428</v>
      </c>
      <c r="J386" t="e">
        <f>VLOOKUP(F386,[1]!china_towns_second__2[[Column1]:[Y]],3,FALSE)</f>
        <v>#N/A</v>
      </c>
      <c r="K386" t="e">
        <f>VLOOKUP(F386,[1]!china_towns_second__2[[Column1]:[Y]],2,FALSE)</f>
        <v>#N/A</v>
      </c>
      <c r="L386" t="s">
        <v>2044</v>
      </c>
      <c r="M386" t="str">
        <f>VLOOKUP(H386,CHOOSE({1,2},Table8[Native],Table8[Name]),2,0)</f>
        <v>Duīlóngdéqìng Qū</v>
      </c>
      <c r="N386" s="13" t="str">
        <f>VLOOKUP(I386,CHOOSE({1,2},Table8[Native],Table8[Name]),2,0)</f>
        <v>Lāsà Shì</v>
      </c>
      <c r="O386" s="13" t="str">
        <f t="shared" ref="O386:O449" si="12">_xlfn.CONCAT(L386," (",N386,")")</f>
        <v>Naiqiong Jiedao (Lāsà Shì)</v>
      </c>
      <c r="P386" s="13" t="str">
        <f t="shared" ref="P386:P449" si="13">IF(COUNTIF(O:O,O386)&gt;1,_xlfn.CONCAT(L386," (",M386,")"),O386)</f>
        <v>Naiqiong Jiedao (Lāsà Shì)</v>
      </c>
    </row>
    <row r="387" spans="1:16" hidden="1" x14ac:dyDescent="0.25">
      <c r="A387" t="s">
        <v>1346</v>
      </c>
      <c r="B387" t="str">
        <f>IF(COUNTIF(A:A,A387)&gt;1,_xlfn.CONCAT(A387," (",N387,")"),A387)</f>
        <v>Năixī Xiāng</v>
      </c>
      <c r="C387" t="str">
        <f>IF(COUNTIF(B:B,B387)&gt;1,_xlfn.CONCAT(A387," (",M387,")"),B387)</f>
        <v>Năixī Xiāng</v>
      </c>
      <c r="D387" t="s">
        <v>1347</v>
      </c>
      <c r="E387" t="s">
        <v>7</v>
      </c>
      <c r="F387" t="str">
        <f>_xlfn.CONCAT(D387,", ",H387,", ",I387,", ","西藏自治区")</f>
        <v>乃西乡, 措美县, 山南市, 西藏自治区</v>
      </c>
      <c r="G387">
        <v>2254</v>
      </c>
      <c r="H387" t="s">
        <v>1478</v>
      </c>
      <c r="I387" t="s">
        <v>1477</v>
      </c>
      <c r="J387" t="e">
        <f>VLOOKUP(F387,[1]!china_towns_second__2[[Column1]:[Y]],3,FALSE)</f>
        <v>#N/A</v>
      </c>
      <c r="K387" t="e">
        <f>VLOOKUP(F387,[1]!china_towns_second__2[[Column1]:[Y]],2,FALSE)</f>
        <v>#N/A</v>
      </c>
      <c r="L387" t="s">
        <v>2045</v>
      </c>
      <c r="M387" t="str">
        <f>VLOOKUP(H387,CHOOSE({1,2},Table8[Native],Table8[Name]),2,0)</f>
        <v>Cuòmĕi Xiàn</v>
      </c>
      <c r="N387" s="13" t="str">
        <f>VLOOKUP(I387,CHOOSE({1,2},Table8[Native],Table8[Name]),2,0)</f>
        <v>Shānnán Shì</v>
      </c>
      <c r="O387" s="13" t="str">
        <f t="shared" si="12"/>
        <v>Naixi Xiang (Shānnán Shì)</v>
      </c>
      <c r="P387" s="13" t="str">
        <f t="shared" si="13"/>
        <v>Naixi Xiang (Shānnán Shì)</v>
      </c>
    </row>
    <row r="388" spans="1:16" hidden="1" x14ac:dyDescent="0.25">
      <c r="A388" t="s">
        <v>444</v>
      </c>
      <c r="B388" t="str">
        <f>IF(COUNTIF(A:A,A388)&gt;1,_xlfn.CONCAT(A388," (",N388,")"),A388)</f>
        <v>Nàjīn Xiāng</v>
      </c>
      <c r="C388" t="str">
        <f>IF(COUNTIF(B:B,B388)&gt;1,_xlfn.CONCAT(A388," (",M388,")"),B388)</f>
        <v>Nàjīn Xiāng</v>
      </c>
      <c r="D388" t="s">
        <v>445</v>
      </c>
      <c r="E388" t="s">
        <v>7</v>
      </c>
      <c r="F388" t="str">
        <f>_xlfn.CONCAT(D388,", ",H388,", ",I388,", ","西藏自治区")</f>
        <v>纳金街道, 城关区, 拉萨市, 西藏自治区</v>
      </c>
      <c r="G388">
        <v>29575</v>
      </c>
      <c r="H388" t="s">
        <v>1429</v>
      </c>
      <c r="I388" t="s">
        <v>1428</v>
      </c>
      <c r="J388" t="e">
        <f>VLOOKUP(F388,[1]!china_towns_second__2[[Column1]:[Y]],3,FALSE)</f>
        <v>#N/A</v>
      </c>
      <c r="K388" t="e">
        <f>VLOOKUP(F388,[1]!china_towns_second__2[[Column1]:[Y]],2,FALSE)</f>
        <v>#N/A</v>
      </c>
      <c r="L388" t="s">
        <v>2046</v>
      </c>
      <c r="M388" t="str">
        <f>VLOOKUP(H388,CHOOSE({1,2},Table8[Native],Table8[Name]),2,0)</f>
        <v>Chéngguān Qū</v>
      </c>
      <c r="N388" s="13" t="str">
        <f>VLOOKUP(I388,CHOOSE({1,2},Table8[Native],Table8[Name]),2,0)</f>
        <v>Lāsà Shì</v>
      </c>
      <c r="O388" s="13" t="str">
        <f t="shared" si="12"/>
        <v>Najin Xiang (Lāsà Shì)</v>
      </c>
      <c r="P388" s="13" t="str">
        <f t="shared" si="13"/>
        <v>Najin Xiang (Lāsà Shì)</v>
      </c>
    </row>
    <row r="389" spans="1:16" hidden="1" x14ac:dyDescent="0.25">
      <c r="A389" t="s">
        <v>1058</v>
      </c>
      <c r="B389" t="str">
        <f>IF(COUNTIF(A:A,A389)&gt;1,_xlfn.CONCAT(A389," (",N389,")"),A389)</f>
        <v>Nàjiŭ Xiāng</v>
      </c>
      <c r="C389" t="str">
        <f>IF(COUNTIF(B:B,B389)&gt;1,_xlfn.CONCAT(A389," (",M389,")"),B389)</f>
        <v>Nàjiŭ Xiāng</v>
      </c>
      <c r="D389" t="s">
        <v>1059</v>
      </c>
      <c r="E389" t="s">
        <v>7</v>
      </c>
      <c r="F389" t="str">
        <f>_xlfn.CONCAT(D389,", ",H389,", ",I389,", ","西藏自治区")</f>
        <v>纳久乡, 仲巴县, 日喀则市, 西藏自治区</v>
      </c>
      <c r="G389">
        <v>1202</v>
      </c>
      <c r="H389" t="s">
        <v>1476</v>
      </c>
      <c r="I389" t="s">
        <v>1458</v>
      </c>
      <c r="J389" t="e">
        <f>VLOOKUP(F389,[1]!china_towns_second__2[[Column1]:[Y]],3,FALSE)</f>
        <v>#N/A</v>
      </c>
      <c r="K389" t="e">
        <f>VLOOKUP(F389,[1]!china_towns_second__2[[Column1]:[Y]],2,FALSE)</f>
        <v>#N/A</v>
      </c>
      <c r="L389" t="s">
        <v>2047</v>
      </c>
      <c r="M389" t="str">
        <f>VLOOKUP(H389,CHOOSE({1,2},Table8[Native],Table8[Name]),2,0)</f>
        <v>Zhòngbā Xiàn</v>
      </c>
      <c r="N389" s="13" t="str">
        <f>VLOOKUP(I389,CHOOSE({1,2},Table8[Native],Table8[Name]),2,0)</f>
        <v>Rìkāzé Shì</v>
      </c>
      <c r="O389" s="13" t="str">
        <f t="shared" si="12"/>
        <v>Najiu Xiang (Rìkāzé Shì)</v>
      </c>
      <c r="P389" s="13" t="str">
        <f t="shared" si="13"/>
        <v>Najiu Xiang (Rìkāzé Shì)</v>
      </c>
    </row>
    <row r="390" spans="1:16" hidden="1" x14ac:dyDescent="0.25">
      <c r="A390" t="s">
        <v>739</v>
      </c>
      <c r="B390" t="str">
        <f>IF(COUNTIF(A:A,A390)&gt;1,_xlfn.CONCAT(A390," (",N390,")"),A390)</f>
        <v>Nàmeqiè Xiāng</v>
      </c>
      <c r="C390" t="str">
        <f>IF(COUNTIF(B:B,B390)&gt;1,_xlfn.CONCAT(A390," (",M390,")"),B390)</f>
        <v>Nàmeqiè Xiāng</v>
      </c>
      <c r="D390" t="s">
        <v>740</v>
      </c>
      <c r="E390" t="s">
        <v>7</v>
      </c>
      <c r="F390" t="str">
        <f>_xlfn.CONCAT(D390,", ",H390,", ",I390,", ","西藏自治区")</f>
        <v>那么切乡, 色尼区, 那曲市, 西藏自治区</v>
      </c>
      <c r="G390">
        <v>7898</v>
      </c>
      <c r="H390" t="s">
        <v>1454</v>
      </c>
      <c r="I390" t="s">
        <v>1445</v>
      </c>
      <c r="J390" t="e">
        <f>VLOOKUP(F390,[1]!china_towns_second__2[[Column1]:[Y]],3,FALSE)</f>
        <v>#N/A</v>
      </c>
      <c r="K390" t="e">
        <f>VLOOKUP(F390,[1]!china_towns_second__2[[Column1]:[Y]],2,FALSE)</f>
        <v>#N/A</v>
      </c>
      <c r="L390" t="s">
        <v>2048</v>
      </c>
      <c r="M390" t="str">
        <f>VLOOKUP(H390,CHOOSE({1,2},Table8[Native],Table8[Name]),2,0)</f>
        <v>Sèní Qū</v>
      </c>
      <c r="N390" s="13" t="str">
        <f>VLOOKUP(I390,CHOOSE({1,2},Table8[Native],Table8[Name]),2,0)</f>
        <v>Nàqŭ Shì</v>
      </c>
      <c r="O390" s="13" t="str">
        <f t="shared" si="12"/>
        <v>Nameqie Xiang (Nàqŭ Shì)</v>
      </c>
      <c r="P390" s="13" t="str">
        <f t="shared" si="13"/>
        <v>Nameqie Xiang (Nàqŭ Shì)</v>
      </c>
    </row>
    <row r="391" spans="1:16" hidden="1" x14ac:dyDescent="0.25">
      <c r="A391" t="s">
        <v>446</v>
      </c>
      <c r="B391" t="str">
        <f>IF(COUNTIF(A:A,A391)&gt;1,_xlfn.CONCAT(A391," (",N391,")"),A391)</f>
        <v>Nàmùhú Xiāng</v>
      </c>
      <c r="C391" t="str">
        <f>IF(COUNTIF(B:B,B391)&gt;1,_xlfn.CONCAT(A391," (",M391,")"),B391)</f>
        <v>Nàmùhú Xiāng</v>
      </c>
      <c r="D391" t="s">
        <v>447</v>
      </c>
      <c r="E391" t="s">
        <v>7</v>
      </c>
      <c r="F391" t="str">
        <f>_xlfn.CONCAT(D391,", ",H391,", ",I391,", ","西藏自治区")</f>
        <v>纳木湖乡, 当雄县, 拉萨市, 西藏自治区</v>
      </c>
      <c r="G391">
        <v>4857</v>
      </c>
      <c r="H391" t="s">
        <v>1430</v>
      </c>
      <c r="I391" t="s">
        <v>1428</v>
      </c>
      <c r="J391" t="e">
        <f>VLOOKUP(F391,[1]!china_towns_second__2[[Column1]:[Y]],3,FALSE)</f>
        <v>#N/A</v>
      </c>
      <c r="K391" t="e">
        <f>VLOOKUP(F391,[1]!china_towns_second__2[[Column1]:[Y]],2,FALSE)</f>
        <v>#N/A</v>
      </c>
      <c r="L391" t="s">
        <v>2049</v>
      </c>
      <c r="M391" t="str">
        <f>VLOOKUP(H391,CHOOSE({1,2},Table8[Native],Table8[Name]),2,0)</f>
        <v>Dāngxióng Xiàn</v>
      </c>
      <c r="N391" s="13" t="str">
        <f>VLOOKUP(I391,CHOOSE({1,2},Table8[Native],Table8[Name]),2,0)</f>
        <v>Lāsà Shì</v>
      </c>
      <c r="O391" s="13" t="str">
        <f t="shared" si="12"/>
        <v>Namuhu Xiang (Lāsà Shì)</v>
      </c>
      <c r="P391" s="13" t="str">
        <f t="shared" si="13"/>
        <v>Namuhu Xiang (Lāsà Shì)</v>
      </c>
    </row>
    <row r="392" spans="1:16" hidden="1" x14ac:dyDescent="0.25">
      <c r="A392" t="s">
        <v>448</v>
      </c>
      <c r="B392" t="str">
        <f>IF(COUNTIF(A:A,A392)&gt;1,_xlfn.CONCAT(A392," (",N392,")"),A392)</f>
        <v>Nánmù Xiāng</v>
      </c>
      <c r="C392" t="str">
        <f>IF(COUNTIF(B:B,B392)&gt;1,_xlfn.CONCAT(A392," (",M392,")"),B392)</f>
        <v>Nánmù Xiāng</v>
      </c>
      <c r="D392" t="s">
        <v>449</v>
      </c>
      <c r="E392" t="s">
        <v>7</v>
      </c>
      <c r="F392" t="str">
        <f>_xlfn.CONCAT(D392,", ",H392,", ",I392,", ","西藏自治区")</f>
        <v>南木乡, 曲水县, 拉萨市, 西藏自治区</v>
      </c>
      <c r="G392">
        <v>3156</v>
      </c>
      <c r="H392" t="s">
        <v>1436</v>
      </c>
      <c r="I392" t="s">
        <v>1428</v>
      </c>
      <c r="J392" t="e">
        <f>VLOOKUP(F392,[1]!china_towns_second__2[[Column1]:[Y]],3,FALSE)</f>
        <v>#N/A</v>
      </c>
      <c r="K392" t="e">
        <f>VLOOKUP(F392,[1]!china_towns_second__2[[Column1]:[Y]],2,FALSE)</f>
        <v>#N/A</v>
      </c>
      <c r="L392" t="s">
        <v>2050</v>
      </c>
      <c r="M392" t="str">
        <f>VLOOKUP(H392,CHOOSE({1,2},Table8[Native],Table8[Name]),2,0)</f>
        <v>Qŭshuĭ Xiàn</v>
      </c>
      <c r="N392" s="13" t="str">
        <f>VLOOKUP(I392,CHOOSE({1,2},Table8[Native],Table8[Name]),2,0)</f>
        <v>Lāsà Shì</v>
      </c>
      <c r="O392" s="13" t="str">
        <f t="shared" si="12"/>
        <v>Nanmu Xiang (Lāsà Shì)</v>
      </c>
      <c r="P392" s="13" t="str">
        <f t="shared" si="13"/>
        <v>Nanmu Xiang (Lāsà Shì)</v>
      </c>
    </row>
    <row r="393" spans="1:16" x14ac:dyDescent="0.25">
      <c r="A393" t="s">
        <v>1060</v>
      </c>
      <c r="B393" t="str">
        <f>IF(COUNTIF(A:A,A393)&gt;1,_xlfn.CONCAT(A393," (",N393,")"),A393)</f>
        <v>Nánmùlín Zhèn</v>
      </c>
      <c r="C393" t="str">
        <f>IF(COUNTIF(B:B,B393)&gt;1,_xlfn.CONCAT(A393," (",M393,")"),B393)</f>
        <v>Nánmùlín Zhèn</v>
      </c>
      <c r="D393" t="s">
        <v>1061</v>
      </c>
      <c r="E393" t="s">
        <v>17</v>
      </c>
      <c r="F393" t="str">
        <f>_xlfn.CONCAT(D393,", ",H393,", ",I393,", ","西藏自治区")</f>
        <v>南木林镇, 南木林县, 日喀则市, 西藏自治区</v>
      </c>
      <c r="G393">
        <v>10028</v>
      </c>
      <c r="H393" t="s">
        <v>1468</v>
      </c>
      <c r="I393" t="s">
        <v>1458</v>
      </c>
      <c r="J393">
        <f>VLOOKUP(F393,[1]!china_towns_second__2[[Column1]:[Y]],3,FALSE)</f>
        <v>29.722700363283298</v>
      </c>
      <c r="K393">
        <f>VLOOKUP(F393,[1]!china_towns_second__2[[Column1]:[Y]],2,FALSE)</f>
        <v>89.078388829999994</v>
      </c>
      <c r="L393" t="s">
        <v>2051</v>
      </c>
      <c r="M393" t="str">
        <f>VLOOKUP(H393,CHOOSE({1,2},Table8[Native],Table8[Name]),2,0)</f>
        <v>Nánmùlín Xiàn</v>
      </c>
      <c r="N393" s="13" t="str">
        <f>VLOOKUP(I393,CHOOSE({1,2},Table8[Native],Table8[Name]),2,0)</f>
        <v>Rìkāzé Shì</v>
      </c>
      <c r="O393" s="13" t="str">
        <f t="shared" si="12"/>
        <v>Nanmulin Zhen (Rìkāzé Shì)</v>
      </c>
      <c r="P393" s="13" t="str">
        <f t="shared" si="13"/>
        <v>Nanmulin Zhen (Rìkāzé Shì)</v>
      </c>
    </row>
    <row r="394" spans="1:16" hidden="1" x14ac:dyDescent="0.25">
      <c r="A394" t="s">
        <v>1062</v>
      </c>
      <c r="B394" t="str">
        <f>IF(COUNTIF(A:A,A394)&gt;1,_xlfn.CONCAT(A394," (",N394,")"),A394)</f>
        <v>Nánmùqiè Xiāng</v>
      </c>
      <c r="C394" t="str">
        <f>IF(COUNTIF(B:B,B394)&gt;1,_xlfn.CONCAT(A394," (",M394,")"),B394)</f>
        <v>Nánmùqiè Xiāng</v>
      </c>
      <c r="D394" t="s">
        <v>1063</v>
      </c>
      <c r="E394" t="s">
        <v>7</v>
      </c>
      <c r="F394" t="str">
        <f>_xlfn.CONCAT(D394,", ",H394,", ",I394,", ","西藏自治区")</f>
        <v>南木切乡, 谢通门县, 日喀则市, 西藏自治区</v>
      </c>
      <c r="G394">
        <v>1114</v>
      </c>
      <c r="H394" t="s">
        <v>1474</v>
      </c>
      <c r="I394" t="s">
        <v>1458</v>
      </c>
      <c r="J394" t="e">
        <f>VLOOKUP(F394,[1]!china_towns_second__2[[Column1]:[Y]],3,FALSE)</f>
        <v>#N/A</v>
      </c>
      <c r="K394" t="e">
        <f>VLOOKUP(F394,[1]!china_towns_second__2[[Column1]:[Y]],2,FALSE)</f>
        <v>#N/A</v>
      </c>
      <c r="L394" t="s">
        <v>2052</v>
      </c>
      <c r="M394" t="str">
        <f>VLOOKUP(H394,CHOOSE({1,2},Table8[Native],Table8[Name]),2,0)</f>
        <v>Xiètōngmén Xiàn</v>
      </c>
      <c r="N394" s="13" t="str">
        <f>VLOOKUP(I394,CHOOSE({1,2},Table8[Native],Table8[Name]),2,0)</f>
        <v>Rìkāzé Shì</v>
      </c>
      <c r="O394" s="13" t="str">
        <f t="shared" si="12"/>
        <v>Nanmuqie Xiang (Rìkāzé Shì)</v>
      </c>
      <c r="P394" s="13" t="str">
        <f t="shared" si="13"/>
        <v>Nanmuqie Xiang (Rìkāzé Shì)</v>
      </c>
    </row>
    <row r="395" spans="1:16" hidden="1" x14ac:dyDescent="0.25">
      <c r="A395" t="s">
        <v>1064</v>
      </c>
      <c r="B395" t="str">
        <f>IF(COUNTIF(A:A,A395)&gt;1,_xlfn.CONCAT(A395," (",N395,")"),A395)</f>
        <v>Nánní Xiāng</v>
      </c>
      <c r="C395" t="str">
        <f>IF(COUNTIF(B:B,B395)&gt;1,_xlfn.CONCAT(A395," (",M395,")"),B395)</f>
        <v>Nánní Xiāng</v>
      </c>
      <c r="D395" t="s">
        <v>1065</v>
      </c>
      <c r="E395" t="s">
        <v>7</v>
      </c>
      <c r="F395" t="str">
        <f>_xlfn.CONCAT(D395,", ",H395,", ",I395,", ","西藏自治区")</f>
        <v>南尼乡, 康马县, 日喀则市, 西藏自治区</v>
      </c>
      <c r="G395">
        <v>2232</v>
      </c>
      <c r="H395" t="s">
        <v>1466</v>
      </c>
      <c r="I395" t="s">
        <v>1458</v>
      </c>
      <c r="J395" t="e">
        <f>VLOOKUP(F395,[1]!china_towns_second__2[[Column1]:[Y]],3,FALSE)</f>
        <v>#N/A</v>
      </c>
      <c r="K395" t="e">
        <f>VLOOKUP(F395,[1]!china_towns_second__2[[Column1]:[Y]],2,FALSE)</f>
        <v>#N/A</v>
      </c>
      <c r="L395" t="s">
        <v>2053</v>
      </c>
      <c r="M395" t="str">
        <f>VLOOKUP(H395,CHOOSE({1,2},Table8[Native],Table8[Name]),2,0)</f>
        <v>Kāngmă Xiàn</v>
      </c>
      <c r="N395" s="13" t="str">
        <f>VLOOKUP(I395,CHOOSE({1,2},Table8[Native],Table8[Name]),2,0)</f>
        <v>Rìkāzé Shì</v>
      </c>
      <c r="O395" s="13" t="str">
        <f t="shared" si="12"/>
        <v>Nanni Xiang (Rìkāzé Shì)</v>
      </c>
      <c r="P395" s="13" t="str">
        <f t="shared" si="13"/>
        <v>Nanni Xiang (Rìkāzé Shì)</v>
      </c>
    </row>
    <row r="396" spans="1:16" hidden="1" x14ac:dyDescent="0.25">
      <c r="A396" t="s">
        <v>577</v>
      </c>
      <c r="B396" t="str">
        <f>IF(COUNTIF(A:A,A396)&gt;1,_xlfn.CONCAT(A396," (",N396,")"),A396)</f>
        <v>Nányīluòbā Mínzú Xiāng</v>
      </c>
      <c r="C396" t="str">
        <f>IF(COUNTIF(B:B,B396)&gt;1,_xlfn.CONCAT(A396," (",M396,")"),B396)</f>
        <v>Nányīluòbā Mínzú Xiāng</v>
      </c>
      <c r="D396" t="s">
        <v>578</v>
      </c>
      <c r="E396" t="s">
        <v>7</v>
      </c>
      <c r="F396" t="str">
        <f>_xlfn.CONCAT(D396,", ",H396,", ",I396,", ","西藏自治区")</f>
        <v>南伊珞巴民族乡, 米林县, 林芝市, 西藏自治区</v>
      </c>
      <c r="G396">
        <v>644</v>
      </c>
      <c r="H396" t="s">
        <v>1443</v>
      </c>
      <c r="I396" t="s">
        <v>1437</v>
      </c>
      <c r="J396" t="e">
        <f>VLOOKUP(F396,[1]!china_towns_second__2[[Column1]:[Y]],3,FALSE)</f>
        <v>#N/A</v>
      </c>
      <c r="K396" t="e">
        <f>VLOOKUP(F396,[1]!china_towns_second__2[[Column1]:[Y]],2,FALSE)</f>
        <v>#N/A</v>
      </c>
      <c r="L396" t="s">
        <v>2054</v>
      </c>
      <c r="M396" t="str">
        <f>VLOOKUP(H396,CHOOSE({1,2},Table8[Native],Table8[Name]),2,0)</f>
        <v>Mĭlín Xiàn</v>
      </c>
      <c r="N396" s="13" t="str">
        <f>VLOOKUP(I396,CHOOSE({1,2},Table8[Native],Table8[Name]),2,0)</f>
        <v>Línzhī Shì</v>
      </c>
      <c r="O396" s="13" t="str">
        <f t="shared" si="12"/>
        <v>Nanyiluoba Minzu Xiang (Línzhī Shì)</v>
      </c>
      <c r="P396" s="13" t="str">
        <f t="shared" si="13"/>
        <v>Nanyiluoba Minzu Xiang (Línzhī Shì)</v>
      </c>
    </row>
    <row r="397" spans="1:16" x14ac:dyDescent="0.25">
      <c r="A397" t="s">
        <v>741</v>
      </c>
      <c r="B397" t="str">
        <f>IF(COUNTIF(A:A,A397)&gt;1,_xlfn.CONCAT(A397," (",N397,")"),A397)</f>
        <v>Nàqŭ Zhèn</v>
      </c>
      <c r="C397" t="str">
        <f>IF(COUNTIF(B:B,B397)&gt;1,_xlfn.CONCAT(A397," (",M397,")"),B397)</f>
        <v>Nàqŭ Zhèn</v>
      </c>
      <c r="D397" t="s">
        <v>742</v>
      </c>
      <c r="E397" t="s">
        <v>17</v>
      </c>
      <c r="F397" t="str">
        <f>_xlfn.CONCAT(D397,", ",H397,", ",I397,", ","西藏自治区")</f>
        <v>那曲镇, 色尼区, 那曲市, 西藏自治区</v>
      </c>
      <c r="G397">
        <v>50530</v>
      </c>
      <c r="H397" t="s">
        <v>1454</v>
      </c>
      <c r="I397" t="s">
        <v>1445</v>
      </c>
      <c r="J397">
        <f>VLOOKUP(F397,[1]!china_towns_second__2[[Column1]:[Y]],3,FALSE)</f>
        <v>31.5070594803734</v>
      </c>
      <c r="K397">
        <f>VLOOKUP(F397,[1]!china_towns_second__2[[Column1]:[Y]],2,FALSE)</f>
        <v>92.075344720000004</v>
      </c>
      <c r="L397" t="s">
        <v>2055</v>
      </c>
      <c r="M397" t="str">
        <f>VLOOKUP(H397,CHOOSE({1,2},Table8[Native],Table8[Name]),2,0)</f>
        <v>Sèní Qū</v>
      </c>
      <c r="N397" s="13" t="str">
        <f>VLOOKUP(I397,CHOOSE({1,2},Table8[Native],Table8[Name]),2,0)</f>
        <v>Nàqŭ Shì</v>
      </c>
      <c r="O397" s="13" t="str">
        <f t="shared" si="12"/>
        <v>Naqu Zhen (Nàqŭ Shì)</v>
      </c>
      <c r="P397" s="13" t="str">
        <f t="shared" si="13"/>
        <v>Naqu Zhen (Nàqŭ Shì)</v>
      </c>
    </row>
    <row r="398" spans="1:16" hidden="1" x14ac:dyDescent="0.25">
      <c r="A398" t="s">
        <v>1066</v>
      </c>
      <c r="B398" t="str">
        <f>IF(COUNTIF(A:A,A398)&gt;1,_xlfn.CONCAT(A398," (",N398,")"),A398)</f>
        <v>Nàrú Xiāng</v>
      </c>
      <c r="C398" t="str">
        <f>IF(COUNTIF(B:B,B398)&gt;1,_xlfn.CONCAT(A398," (",M398,")"),B398)</f>
        <v>Nàrú Xiāng</v>
      </c>
      <c r="D398" t="s">
        <v>1067</v>
      </c>
      <c r="E398" t="s">
        <v>7</v>
      </c>
      <c r="F398" t="str">
        <f>_xlfn.CONCAT(D398,", ",H398,", ",I398,", ","西藏自治区")</f>
        <v>纳如乡, 江孜县, 日喀则市, 西藏自治区</v>
      </c>
      <c r="G398">
        <v>3998</v>
      </c>
      <c r="H398" t="s">
        <v>1464</v>
      </c>
      <c r="I398" t="s">
        <v>1458</v>
      </c>
      <c r="J398" t="e">
        <f>VLOOKUP(F398,[1]!china_towns_second__2[[Column1]:[Y]],3,FALSE)</f>
        <v>#N/A</v>
      </c>
      <c r="K398" t="e">
        <f>VLOOKUP(F398,[1]!china_towns_second__2[[Column1]:[Y]],2,FALSE)</f>
        <v>#N/A</v>
      </c>
      <c r="L398" t="s">
        <v>2056</v>
      </c>
      <c r="M398" t="str">
        <f>VLOOKUP(H398,CHOOSE({1,2},Table8[Native],Table8[Name]),2,0)</f>
        <v>Jiāngzī Xiàn</v>
      </c>
      <c r="N398" s="13" t="str">
        <f>VLOOKUP(I398,CHOOSE({1,2},Table8[Native],Table8[Name]),2,0)</f>
        <v>Rìkāzé Shì</v>
      </c>
      <c r="O398" s="13" t="str">
        <f t="shared" si="12"/>
        <v>Naru Xiang (Rìkāzé Shì)</v>
      </c>
      <c r="P398" s="13" t="str">
        <f t="shared" si="13"/>
        <v>Naru Xiang (Rìkāzé Shì)</v>
      </c>
    </row>
    <row r="399" spans="1:16" hidden="1" x14ac:dyDescent="0.25">
      <c r="A399" t="s">
        <v>253</v>
      </c>
      <c r="B399" t="str">
        <f>IF(COUNTIF(A:A,A399)&gt;1,_xlfn.CONCAT(A399," (",N399,")"),A399)</f>
        <v>Nàxī Mínzú Xiāng</v>
      </c>
      <c r="C399" t="str">
        <f>IF(COUNTIF(B:B,B399)&gt;1,_xlfn.CONCAT(A399," (",M399,")"),B399)</f>
        <v>Nàxī Mínzú Xiāng</v>
      </c>
      <c r="D399" t="s">
        <v>254</v>
      </c>
      <c r="E399" t="s">
        <v>7</v>
      </c>
      <c r="F399" t="str">
        <f>_xlfn.CONCAT(D399,", ",H399,", ",I399,", ","西藏自治区")</f>
        <v>纳西民族乡, 芒康县, 昌都市, 西藏自治区</v>
      </c>
      <c r="G399">
        <v>4940</v>
      </c>
      <c r="H399" t="s">
        <v>1426</v>
      </c>
      <c r="I399" t="s">
        <v>1415</v>
      </c>
      <c r="J399" t="e">
        <f>VLOOKUP(F399,[1]!china_towns_second__2[[Column1]:[Y]],3,FALSE)</f>
        <v>#N/A</v>
      </c>
      <c r="K399" t="e">
        <f>VLOOKUP(F399,[1]!china_towns_second__2[[Column1]:[Y]],2,FALSE)</f>
        <v>#N/A</v>
      </c>
      <c r="L399" t="s">
        <v>2057</v>
      </c>
      <c r="M399" t="str">
        <f>VLOOKUP(H399,CHOOSE({1,2},Table8[Native],Table8[Name]),2,0)</f>
        <v>Mángkāng Xiàn</v>
      </c>
      <c r="N399" s="13" t="str">
        <f>VLOOKUP(I399,CHOOSE({1,2},Table8[Native],Table8[Name]),2,0)</f>
        <v>Chāngdū Shì</v>
      </c>
      <c r="O399" s="13" t="str">
        <f t="shared" si="12"/>
        <v>Naxi Minzu Xiang (Chāngdū Shì)</v>
      </c>
      <c r="P399" s="13" t="str">
        <f t="shared" si="13"/>
        <v>Naxi Minzu Xiang (Chāngdū Shì)</v>
      </c>
    </row>
    <row r="400" spans="1:16" hidden="1" x14ac:dyDescent="0.25">
      <c r="A400" t="s">
        <v>579</v>
      </c>
      <c r="B400" t="str">
        <f>IF(COUNTIF(A:A,A400)&gt;1,_xlfn.CONCAT(A400," (",N400,")"),A400)</f>
        <v>Niángpú Xiāng</v>
      </c>
      <c r="C400" t="str">
        <f>IF(COUNTIF(B:B,B400)&gt;1,_xlfn.CONCAT(A400," (",M400,")"),B400)</f>
        <v>Niángpú Xiāng</v>
      </c>
      <c r="D400" t="s">
        <v>580</v>
      </c>
      <c r="E400" t="s">
        <v>7</v>
      </c>
      <c r="F400" t="str">
        <f>_xlfn.CONCAT(D400,", ",H400,", ",I400,", ","西藏自治区")</f>
        <v>娘蒲乡, 工布江达县, 林芝市, 西藏自治区</v>
      </c>
      <c r="G400">
        <v>2728</v>
      </c>
      <c r="H400" t="s">
        <v>1441</v>
      </c>
      <c r="I400" t="s">
        <v>1437</v>
      </c>
      <c r="J400" t="e">
        <f>VLOOKUP(F400,[1]!china_towns_second__2[[Column1]:[Y]],3,FALSE)</f>
        <v>#N/A</v>
      </c>
      <c r="K400" t="e">
        <f>VLOOKUP(F400,[1]!china_towns_second__2[[Column1]:[Y]],2,FALSE)</f>
        <v>#N/A</v>
      </c>
      <c r="L400" t="s">
        <v>2058</v>
      </c>
      <c r="M400" t="str">
        <f>VLOOKUP(H400,CHOOSE({1,2},Table8[Native],Table8[Name]),2,0)</f>
        <v>Gōngbùjiāngdá Xiàn</v>
      </c>
      <c r="N400" s="13" t="str">
        <f>VLOOKUP(I400,CHOOSE({1,2},Table8[Native],Table8[Name]),2,0)</f>
        <v>Línzhī Shì</v>
      </c>
      <c r="O400" s="13" t="str">
        <f t="shared" si="12"/>
        <v>Niangpu Xiang (Línzhī Shì)</v>
      </c>
      <c r="P400" s="13" t="str">
        <f t="shared" si="13"/>
        <v>Niangpu Xiang (Línzhī Shì)</v>
      </c>
    </row>
    <row r="401" spans="1:16" hidden="1" x14ac:dyDescent="0.25">
      <c r="A401" t="s">
        <v>450</v>
      </c>
      <c r="B401" t="str">
        <f>IF(COUNTIF(A:A,A401)&gt;1,_xlfn.CONCAT(A401," (",N401,")"),A401)</f>
        <v>Niángrè Jiēdào</v>
      </c>
      <c r="C401" t="str">
        <f>IF(COUNTIF(B:B,B401)&gt;1,_xlfn.CONCAT(A401," (",M401,")"),B401)</f>
        <v>Niángrè Jiēdào</v>
      </c>
      <c r="D401" t="s">
        <v>451</v>
      </c>
      <c r="E401" t="s">
        <v>374</v>
      </c>
      <c r="F401" t="str">
        <f>_xlfn.CONCAT(D401,", ",H401,", ",I401,", ","西藏自治区")</f>
        <v>娘热街道, 城关区, 拉萨市, 西藏自治区</v>
      </c>
      <c r="G401">
        <v>26354</v>
      </c>
      <c r="H401" t="s">
        <v>1429</v>
      </c>
      <c r="I401" t="s">
        <v>1428</v>
      </c>
      <c r="J401" t="e">
        <f>VLOOKUP(F401,[1]!china_towns_second__2[[Column1]:[Y]],3,FALSE)</f>
        <v>#N/A</v>
      </c>
      <c r="K401" t="e">
        <f>VLOOKUP(F401,[1]!china_towns_second__2[[Column1]:[Y]],2,FALSE)</f>
        <v>#N/A</v>
      </c>
      <c r="L401" t="s">
        <v>2059</v>
      </c>
      <c r="M401" t="str">
        <f>VLOOKUP(H401,CHOOSE({1,2},Table8[Native],Table8[Name]),2,0)</f>
        <v>Chéngguān Qū</v>
      </c>
      <c r="N401" s="13" t="str">
        <f>VLOOKUP(I401,CHOOSE({1,2},Table8[Native],Table8[Name]),2,0)</f>
        <v>Lāsà Shì</v>
      </c>
      <c r="O401" s="13" t="str">
        <f t="shared" si="12"/>
        <v>Niangre Jiedao (Lāsà Shì)</v>
      </c>
      <c r="P401" s="13" t="str">
        <f t="shared" si="13"/>
        <v>Niangre Jiedao (Lāsà Shì)</v>
      </c>
    </row>
    <row r="402" spans="1:16" hidden="1" x14ac:dyDescent="0.25">
      <c r="A402" t="s">
        <v>1068</v>
      </c>
      <c r="B402" t="str">
        <f>IF(COUNTIF(A:A,A402)&gt;1,_xlfn.CONCAT(A402," (",N402,")"),A402)</f>
        <v>Niángrè Xiāng</v>
      </c>
      <c r="C402" t="str">
        <f>IF(COUNTIF(B:B,B402)&gt;1,_xlfn.CONCAT(A402," (",M402,")"),B402)</f>
        <v>Niángrè Xiāng</v>
      </c>
      <c r="D402" t="s">
        <v>1069</v>
      </c>
      <c r="E402" t="s">
        <v>7</v>
      </c>
      <c r="F402" t="str">
        <f>_xlfn.CONCAT(D402,", ",H402,", ",I402,", ","西藏自治区")</f>
        <v>娘热乡, 谢通门县, 日喀则市, 西藏自治区</v>
      </c>
      <c r="G402">
        <v>1308</v>
      </c>
      <c r="H402" t="s">
        <v>1474</v>
      </c>
      <c r="I402" t="s">
        <v>1458</v>
      </c>
      <c r="J402" t="e">
        <f>VLOOKUP(F402,[1]!china_towns_second__2[[Column1]:[Y]],3,FALSE)</f>
        <v>#N/A</v>
      </c>
      <c r="K402" t="e">
        <f>VLOOKUP(F402,[1]!china_towns_second__2[[Column1]:[Y]],2,FALSE)</f>
        <v>#N/A</v>
      </c>
      <c r="L402" t="s">
        <v>2060</v>
      </c>
      <c r="M402" t="str">
        <f>VLOOKUP(H402,CHOOSE({1,2},Table8[Native],Table8[Name]),2,0)</f>
        <v>Xiètōngmén Xiàn</v>
      </c>
      <c r="N402" s="13" t="str">
        <f>VLOOKUP(I402,CHOOSE({1,2},Table8[Native],Table8[Name]),2,0)</f>
        <v>Rìkāzé Shì</v>
      </c>
      <c r="O402" s="13" t="str">
        <f t="shared" si="12"/>
        <v>Niangre Xiang (Rìkāzé Shì)</v>
      </c>
      <c r="P402" s="13" t="str">
        <f t="shared" si="13"/>
        <v>Niangre Xiang (Rìkāzé Shì)</v>
      </c>
    </row>
    <row r="403" spans="1:16" hidden="1" x14ac:dyDescent="0.25">
      <c r="A403" t="s">
        <v>255</v>
      </c>
      <c r="B403" t="str">
        <f>IF(COUNTIF(A:A,A403)&gt;1,_xlfn.CONCAT(A403," (",N403,")"),A403)</f>
        <v>Niángxī Xiāng</v>
      </c>
      <c r="C403" t="str">
        <f>IF(COUNTIF(B:B,B403)&gt;1,_xlfn.CONCAT(A403," (",M403,")"),B403)</f>
        <v>Niángxī Xiāng</v>
      </c>
      <c r="D403" t="s">
        <v>256</v>
      </c>
      <c r="E403" t="s">
        <v>7</v>
      </c>
      <c r="F403" t="str">
        <f>_xlfn.CONCAT(D403,", ",H403,", ",I403,", ","西藏自治区")</f>
        <v>娘西乡, 江达县, 昌都市, 西藏自治区</v>
      </c>
      <c r="G403">
        <v>2200</v>
      </c>
      <c r="H403" t="s">
        <v>1421</v>
      </c>
      <c r="I403" t="s">
        <v>1415</v>
      </c>
      <c r="J403" t="e">
        <f>VLOOKUP(F403,[1]!china_towns_second__2[[Column1]:[Y]],3,FALSE)</f>
        <v>#N/A</v>
      </c>
      <c r="K403" t="e">
        <f>VLOOKUP(F403,[1]!china_towns_second__2[[Column1]:[Y]],2,FALSE)</f>
        <v>#N/A</v>
      </c>
      <c r="L403" t="s">
        <v>2061</v>
      </c>
      <c r="M403" t="str">
        <f>VLOOKUP(H403,CHOOSE({1,2},Table8[Native],Table8[Name]),2,0)</f>
        <v>Jiāngdá Xiàn</v>
      </c>
      <c r="N403" s="13" t="str">
        <f>VLOOKUP(I403,CHOOSE({1,2},Table8[Native],Table8[Name]),2,0)</f>
        <v>Chāngdū Shì</v>
      </c>
      <c r="O403" s="13" t="str">
        <f t="shared" si="12"/>
        <v>Niangxi Xiang (Chāngdū Shì)</v>
      </c>
      <c r="P403" s="13" t="str">
        <f t="shared" si="13"/>
        <v>Niangxi Xiang (Chāngdū Shì)</v>
      </c>
    </row>
    <row r="404" spans="1:16" hidden="1" x14ac:dyDescent="0.25">
      <c r="A404" t="s">
        <v>1070</v>
      </c>
      <c r="B404" t="str">
        <f>IF(COUNTIF(A:A,A404)&gt;1,_xlfn.CONCAT(A404," (",N404,")"),A404)</f>
        <v>Niánmù Xiāng</v>
      </c>
      <c r="C404" t="str">
        <f>IF(COUNTIF(B:B,B404)&gt;1,_xlfn.CONCAT(A404," (",M404,")"),B404)</f>
        <v>Niánmù Xiāng</v>
      </c>
      <c r="D404" t="s">
        <v>1071</v>
      </c>
      <c r="E404" t="s">
        <v>7</v>
      </c>
      <c r="F404" t="str">
        <f>_xlfn.CONCAT(D404,", ",H404,", ",I404,", ","西藏自治区")</f>
        <v>年木乡, 桑珠孜区, 日喀则市, 西藏自治区</v>
      </c>
      <c r="G404">
        <v>3347</v>
      </c>
      <c r="H404" t="s">
        <v>1473</v>
      </c>
      <c r="I404" t="s">
        <v>1458</v>
      </c>
      <c r="J404" t="e">
        <f>VLOOKUP(F404,[1]!china_towns_second__2[[Column1]:[Y]],3,FALSE)</f>
        <v>#N/A</v>
      </c>
      <c r="K404" t="e">
        <f>VLOOKUP(F404,[1]!china_towns_second__2[[Column1]:[Y]],2,FALSE)</f>
        <v>#N/A</v>
      </c>
      <c r="L404" t="s">
        <v>2062</v>
      </c>
      <c r="M404" t="str">
        <f>VLOOKUP(H404,CHOOSE({1,2},Table8[Native],Table8[Name]),2,0)</f>
        <v>Sāngzhūzī Qū</v>
      </c>
      <c r="N404" s="13" t="str">
        <f>VLOOKUP(I404,CHOOSE({1,2},Table8[Native],Table8[Name]),2,0)</f>
        <v>Rìkāzé Shì</v>
      </c>
      <c r="O404" s="13" t="str">
        <f t="shared" si="12"/>
        <v>Nianmu Xiang (Rìkāzé Shì)</v>
      </c>
      <c r="P404" s="13" t="str">
        <f t="shared" si="13"/>
        <v>Nianmu Xiang (Rìkāzé Shì)</v>
      </c>
    </row>
    <row r="405" spans="1:16" hidden="1" x14ac:dyDescent="0.25">
      <c r="A405" t="s">
        <v>1072</v>
      </c>
      <c r="B405" t="str">
        <f>IF(COUNTIF(A:A,A405)&gt;1,_xlfn.CONCAT(A405," (",N405,")"),A405)</f>
        <v>Niánxióng Xiāng</v>
      </c>
      <c r="C405" t="str">
        <f>IF(COUNTIF(B:B,B405)&gt;1,_xlfn.CONCAT(A405," (",M405,")"),B405)</f>
        <v>Niánxióng Xiāng</v>
      </c>
      <c r="D405" t="s">
        <v>1073</v>
      </c>
      <c r="E405" t="s">
        <v>7</v>
      </c>
      <c r="F405" t="str">
        <f>_xlfn.CONCAT(D405,", ",H405,", ",I405,", ","西藏自治区")</f>
        <v>年堆乡, 江孜县, 日喀则市, 西藏自治区</v>
      </c>
      <c r="G405">
        <v>3314</v>
      </c>
      <c r="H405" t="s">
        <v>1464</v>
      </c>
      <c r="I405" t="s">
        <v>1458</v>
      </c>
      <c r="J405" t="e">
        <f>VLOOKUP(F405,[1]!china_towns_second__2[[Column1]:[Y]],3,FALSE)</f>
        <v>#N/A</v>
      </c>
      <c r="K405" t="e">
        <f>VLOOKUP(F405,[1]!china_towns_second__2[[Column1]:[Y]],2,FALSE)</f>
        <v>#N/A</v>
      </c>
      <c r="L405" t="s">
        <v>2063</v>
      </c>
      <c r="M405" t="str">
        <f>VLOOKUP(H405,CHOOSE({1,2},Table8[Native],Table8[Name]),2,0)</f>
        <v>Jiāngzī Xiàn</v>
      </c>
      <c r="N405" s="13" t="str">
        <f>VLOOKUP(I405,CHOOSE({1,2},Table8[Native],Table8[Name]),2,0)</f>
        <v>Rìkāzé Shì</v>
      </c>
      <c r="O405" s="13" t="str">
        <f t="shared" si="12"/>
        <v>Nianxiong Xiang (Rìkāzé Shì)</v>
      </c>
      <c r="P405" s="13" t="str">
        <f t="shared" si="13"/>
        <v>Nianxiong Xiang (Rìkāzé Shì)</v>
      </c>
    </row>
    <row r="406" spans="1:16" hidden="1" x14ac:dyDescent="0.25">
      <c r="A406" t="s">
        <v>452</v>
      </c>
      <c r="B406" t="str">
        <f>IF(COUNTIF(A:A,A406)&gt;1,_xlfn.CONCAT(A406," (",N406,")"),A406)</f>
        <v>Nièdāng Xiāng</v>
      </c>
      <c r="C406" t="str">
        <f>IF(COUNTIF(B:B,B406)&gt;1,_xlfn.CONCAT(A406," (",M406,")"),B406)</f>
        <v>Nièdāng Xiāng</v>
      </c>
      <c r="D406" t="s">
        <v>453</v>
      </c>
      <c r="E406" t="s">
        <v>7</v>
      </c>
      <c r="F406" t="str">
        <f>_xlfn.CONCAT(D406,", ",H406,", ",I406,", ","西藏自治区")</f>
        <v>聂当乡, 曲水县, 拉萨市, 西藏自治区</v>
      </c>
      <c r="G406">
        <v>4902</v>
      </c>
      <c r="H406" t="s">
        <v>1436</v>
      </c>
      <c r="I406" t="s">
        <v>1428</v>
      </c>
      <c r="J406" t="e">
        <f>VLOOKUP(F406,[1]!china_towns_second__2[[Column1]:[Y]],3,FALSE)</f>
        <v>#N/A</v>
      </c>
      <c r="K406" t="e">
        <f>VLOOKUP(F406,[1]!china_towns_second__2[[Column1]:[Y]],2,FALSE)</f>
        <v>#N/A</v>
      </c>
      <c r="L406" t="s">
        <v>2064</v>
      </c>
      <c r="M406" t="str">
        <f>VLOOKUP(H406,CHOOSE({1,2},Table8[Native],Table8[Name]),2,0)</f>
        <v>Qŭshuĭ Xiàn</v>
      </c>
      <c r="N406" s="13" t="str">
        <f>VLOOKUP(I406,CHOOSE({1,2},Table8[Native],Table8[Name]),2,0)</f>
        <v>Lāsà Shì</v>
      </c>
      <c r="O406" s="13" t="str">
        <f t="shared" si="12"/>
        <v>Niedang Xiang (Lāsà Shì)</v>
      </c>
      <c r="P406" s="13" t="str">
        <f t="shared" si="13"/>
        <v>Niedang Xiang (Lāsà Shì)</v>
      </c>
    </row>
    <row r="407" spans="1:16" x14ac:dyDescent="0.25">
      <c r="A407" t="s">
        <v>1074</v>
      </c>
      <c r="B407" t="str">
        <f>IF(COUNTIF(A:A,A407)&gt;1,_xlfn.CONCAT(A407," (",N407,")"),A407)</f>
        <v>Nièlāmù Zhèn</v>
      </c>
      <c r="C407" t="str">
        <f>IF(COUNTIF(B:B,B407)&gt;1,_xlfn.CONCAT(A407," (",M407,")"),B407)</f>
        <v>Nièlāmù Zhèn</v>
      </c>
      <c r="D407" t="s">
        <v>1075</v>
      </c>
      <c r="E407" t="s">
        <v>17</v>
      </c>
      <c r="F407" t="str">
        <f>_xlfn.CONCAT(D407,", ",H407,", ",I407,", ","西藏自治区")</f>
        <v>聂拉木镇, 聂拉木县, 日喀则市, 西藏自治区</v>
      </c>
      <c r="G407">
        <v>2986</v>
      </c>
      <c r="H407" t="s">
        <v>1469</v>
      </c>
      <c r="I407" t="s">
        <v>1458</v>
      </c>
      <c r="J407">
        <f>VLOOKUP(F407,[1]!china_towns_second__2[[Column1]:[Y]],3,FALSE)</f>
        <v>28.226814687271101</v>
      </c>
      <c r="K407">
        <f>VLOOKUP(F407,[1]!china_towns_second__2[[Column1]:[Y]],2,FALSE)</f>
        <v>86.043093310000003</v>
      </c>
      <c r="L407" t="s">
        <v>2065</v>
      </c>
      <c r="M407" t="str">
        <f>VLOOKUP(H407,CHOOSE({1,2},Table8[Native],Table8[Name]),2,0)</f>
        <v>Nièlāmù Xiàn</v>
      </c>
      <c r="N407" s="13" t="str">
        <f>VLOOKUP(I407,CHOOSE({1,2},Table8[Native],Table8[Name]),2,0)</f>
        <v>Rìkāzé Shì</v>
      </c>
      <c r="O407" s="13" t="str">
        <f t="shared" si="12"/>
        <v>Nielamu Zhen (Rìkāzé Shì)</v>
      </c>
      <c r="P407" s="13" t="str">
        <f t="shared" si="13"/>
        <v>Nielamu Zhen (Rìkāzé Shì)</v>
      </c>
    </row>
    <row r="408" spans="1:16" hidden="1" x14ac:dyDescent="0.25">
      <c r="A408" t="s">
        <v>1076</v>
      </c>
      <c r="B408" t="str">
        <f>IF(COUNTIF(A:A,A408)&gt;1,_xlfn.CONCAT(A408," (",N408,")"),A408)</f>
        <v>Nièrìxióng Xiāng</v>
      </c>
      <c r="C408" t="str">
        <f>IF(COUNTIF(B:B,B408)&gt;1,_xlfn.CONCAT(A408," (",M408,")"),B408)</f>
        <v>Nièrìxióng Xiāng</v>
      </c>
      <c r="D408" t="s">
        <v>1077</v>
      </c>
      <c r="E408" t="s">
        <v>7</v>
      </c>
      <c r="F408" t="str">
        <f>_xlfn.CONCAT(D408,", ",H408,", ",I408,", ","西藏自治区")</f>
        <v>聂日雄乡, 桑珠孜区, 日喀则市, 西藏自治区</v>
      </c>
      <c r="G408">
        <v>5119</v>
      </c>
      <c r="H408" t="s">
        <v>1473</v>
      </c>
      <c r="I408" t="s">
        <v>1458</v>
      </c>
      <c r="J408" t="e">
        <f>VLOOKUP(F408,[1]!china_towns_second__2[[Column1]:[Y]],3,FALSE)</f>
        <v>#N/A</v>
      </c>
      <c r="K408" t="e">
        <f>VLOOKUP(F408,[1]!china_towns_second__2[[Column1]:[Y]],2,FALSE)</f>
        <v>#N/A</v>
      </c>
      <c r="L408" t="s">
        <v>2066</v>
      </c>
      <c r="M408" t="str">
        <f>VLOOKUP(H408,CHOOSE({1,2},Table8[Native],Table8[Name]),2,0)</f>
        <v>Sāngzhūzī Qū</v>
      </c>
      <c r="N408" s="13" t="str">
        <f>VLOOKUP(I408,CHOOSE({1,2},Table8[Native],Table8[Name]),2,0)</f>
        <v>Rìkāzé Shì</v>
      </c>
      <c r="O408" s="13" t="str">
        <f t="shared" si="12"/>
        <v>Nierixiong Xiang (Rìkāzé Shì)</v>
      </c>
      <c r="P408" s="13" t="str">
        <f t="shared" si="13"/>
        <v>Nierixiong Xiang (Rìkāzé Shì)</v>
      </c>
    </row>
    <row r="409" spans="1:16" x14ac:dyDescent="0.25">
      <c r="A409" t="s">
        <v>743</v>
      </c>
      <c r="B409" t="str">
        <f>IF(COUNTIF(A:A,A409)&gt;1,_xlfn.CONCAT(A409," (",N409,")"),A409)</f>
        <v>Nièróng Zhèn</v>
      </c>
      <c r="C409" t="str">
        <f>IF(COUNTIF(B:B,B409)&gt;1,_xlfn.CONCAT(A409," (",M409,")"),B409)</f>
        <v>Nièróng Zhèn</v>
      </c>
      <c r="D409" t="s">
        <v>744</v>
      </c>
      <c r="E409" t="s">
        <v>17</v>
      </c>
      <c r="F409" t="str">
        <f>_xlfn.CONCAT(D409,", ",H409,", ",I409,", ","西藏自治区")</f>
        <v>聂荣镇, 聂荣县, 那曲市, 西藏自治区</v>
      </c>
      <c r="G409">
        <v>4285</v>
      </c>
      <c r="H409" t="s">
        <v>1451</v>
      </c>
      <c r="I409" t="s">
        <v>1445</v>
      </c>
      <c r="J409">
        <f>VLOOKUP(F409,[1]!china_towns_second__2[[Column1]:[Y]],3,FALSE)</f>
        <v>32.056648296523797</v>
      </c>
      <c r="K409">
        <f>VLOOKUP(F409,[1]!china_towns_second__2[[Column1]:[Y]],2,FALSE)</f>
        <v>92.302994119999994</v>
      </c>
      <c r="L409" t="s">
        <v>2067</v>
      </c>
      <c r="M409" t="str">
        <f>VLOOKUP(H409,CHOOSE({1,2},Table8[Native],Table8[Name]),2,0)</f>
        <v>Nièróng Xiàn</v>
      </c>
      <c r="N409" s="13" t="str">
        <f>VLOOKUP(I409,CHOOSE({1,2},Table8[Native],Table8[Name]),2,0)</f>
        <v>Nàqŭ Shì</v>
      </c>
      <c r="O409" s="13" t="str">
        <f t="shared" si="12"/>
        <v>Nierong Zhen (Nàqŭ Shì)</v>
      </c>
      <c r="P409" s="13" t="str">
        <f t="shared" si="13"/>
        <v>Nierong Zhen (Nàqŭ Shì)</v>
      </c>
    </row>
    <row r="410" spans="1:16" hidden="1" x14ac:dyDescent="0.25">
      <c r="A410" t="s">
        <v>1078</v>
      </c>
      <c r="B410" t="str">
        <f>IF(COUNTIF(A:A,A410)&gt;1,_xlfn.CONCAT(A410," (",N410,")"),A410)</f>
        <v>Nièrúduī Xiāng</v>
      </c>
      <c r="C410" t="str">
        <f>IF(COUNTIF(B:B,B410)&gt;1,_xlfn.CONCAT(A410," (",M410,")"),B410)</f>
        <v>Nièrúduī Xiāng</v>
      </c>
      <c r="D410" t="s">
        <v>1079</v>
      </c>
      <c r="E410" t="s">
        <v>7</v>
      </c>
      <c r="F410" t="str">
        <f>_xlfn.CONCAT(D410,", ",H410,", ",I410,", ","西藏自治区")</f>
        <v>涅如堆乡, 康马县, 日喀则市, 西藏自治区</v>
      </c>
      <c r="G410">
        <v>2075</v>
      </c>
      <c r="H410" t="s">
        <v>1466</v>
      </c>
      <c r="I410" t="s">
        <v>1458</v>
      </c>
      <c r="J410" t="e">
        <f>VLOOKUP(F410,[1]!china_towns_second__2[[Column1]:[Y]],3,FALSE)</f>
        <v>#N/A</v>
      </c>
      <c r="K410" t="e">
        <f>VLOOKUP(F410,[1]!china_towns_second__2[[Column1]:[Y]],2,FALSE)</f>
        <v>#N/A</v>
      </c>
      <c r="L410" t="s">
        <v>2068</v>
      </c>
      <c r="M410" t="str">
        <f>VLOOKUP(H410,CHOOSE({1,2},Table8[Native],Table8[Name]),2,0)</f>
        <v>Kāngmă Xiàn</v>
      </c>
      <c r="N410" s="13" t="str">
        <f>VLOOKUP(I410,CHOOSE({1,2},Table8[Native],Table8[Name]),2,0)</f>
        <v>Rìkāzé Shì</v>
      </c>
      <c r="O410" s="13" t="str">
        <f t="shared" si="12"/>
        <v>Nierudui Xiang (Rìkāzé Shì)</v>
      </c>
      <c r="P410" s="13" t="str">
        <f t="shared" si="13"/>
        <v>Nierudui Xiang (Rìkāzé Shì)</v>
      </c>
    </row>
    <row r="411" spans="1:16" hidden="1" x14ac:dyDescent="0.25">
      <c r="A411" t="s">
        <v>1080</v>
      </c>
      <c r="B411" t="str">
        <f>IF(COUNTIF(A:A,A411)&gt;1,_xlfn.CONCAT(A411," (",N411,")"),A411)</f>
        <v>Nièrúmài Xiāng</v>
      </c>
      <c r="C411" t="str">
        <f>IF(COUNTIF(B:B,B411)&gt;1,_xlfn.CONCAT(A411," (",M411,")"),B411)</f>
        <v>Nièrúmài Xiāng</v>
      </c>
      <c r="D411" t="s">
        <v>1081</v>
      </c>
      <c r="E411" t="s">
        <v>7</v>
      </c>
      <c r="F411" t="str">
        <f>_xlfn.CONCAT(D411,", ",H411,", ",I411,", ","西藏自治区")</f>
        <v>涅如麦乡, 康马县, 日喀则市, 西藏自治区</v>
      </c>
      <c r="G411">
        <v>1658</v>
      </c>
      <c r="H411" t="s">
        <v>1466</v>
      </c>
      <c r="I411" t="s">
        <v>1458</v>
      </c>
      <c r="J411" t="e">
        <f>VLOOKUP(F411,[1]!china_towns_second__2[[Column1]:[Y]],3,FALSE)</f>
        <v>#N/A</v>
      </c>
      <c r="K411" t="e">
        <f>VLOOKUP(F411,[1]!china_towns_second__2[[Column1]:[Y]],2,FALSE)</f>
        <v>#N/A</v>
      </c>
      <c r="L411" t="s">
        <v>2069</v>
      </c>
      <c r="M411" t="str">
        <f>VLOOKUP(H411,CHOOSE({1,2},Table8[Native],Table8[Name]),2,0)</f>
        <v>Kāngmă Xiàn</v>
      </c>
      <c r="N411" s="13" t="str">
        <f>VLOOKUP(I411,CHOOSE({1,2},Table8[Native],Table8[Name]),2,0)</f>
        <v>Rìkāzé Shì</v>
      </c>
      <c r="O411" s="13" t="str">
        <f t="shared" si="12"/>
        <v>Nierumai Xiang (Rìkāzé Shì)</v>
      </c>
      <c r="P411" s="13" t="str">
        <f t="shared" si="13"/>
        <v>Nierumai Xiang (Rìkāzé Shì)</v>
      </c>
    </row>
    <row r="412" spans="1:16" hidden="1" x14ac:dyDescent="0.25">
      <c r="A412" t="s">
        <v>1082</v>
      </c>
      <c r="B412" t="str">
        <f>IF(COUNTIF(A:A,A412)&gt;1,_xlfn.CONCAT(A412," (",N412,")"),A412)</f>
        <v>Níguŏ Xiāng</v>
      </c>
      <c r="C412" t="str">
        <f>IF(COUNTIF(B:B,B412)&gt;1,_xlfn.CONCAT(A412," (",M412,")"),B412)</f>
        <v>Níguŏ Xiāng</v>
      </c>
      <c r="D412" t="s">
        <v>1083</v>
      </c>
      <c r="E412" t="s">
        <v>7</v>
      </c>
      <c r="F412" t="str">
        <f>_xlfn.CONCAT(D412,", ",H412,", ",I412,", ","西藏自治区")</f>
        <v>尼果乡, 昂仁县, 日喀则市, 西藏自治区</v>
      </c>
      <c r="G412">
        <v>1437</v>
      </c>
      <c r="H412" t="s">
        <v>1459</v>
      </c>
      <c r="I412" t="s">
        <v>1458</v>
      </c>
      <c r="J412" t="e">
        <f>VLOOKUP(F412,[1]!china_towns_second__2[[Column1]:[Y]],3,FALSE)</f>
        <v>#N/A</v>
      </c>
      <c r="K412" t="e">
        <f>VLOOKUP(F412,[1]!china_towns_second__2[[Column1]:[Y]],2,FALSE)</f>
        <v>#N/A</v>
      </c>
      <c r="L412" t="s">
        <v>2070</v>
      </c>
      <c r="M412" t="str">
        <f>VLOOKUP(H412,CHOOSE({1,2},Table8[Native],Table8[Name]),2,0)</f>
        <v>Ángrén Xiàn</v>
      </c>
      <c r="N412" s="13" t="str">
        <f>VLOOKUP(I412,CHOOSE({1,2},Table8[Native],Table8[Name]),2,0)</f>
        <v>Rìkāzé Shì</v>
      </c>
      <c r="O412" s="13" t="str">
        <f t="shared" si="12"/>
        <v>Niguo Xiang (Rìkāzé Shì)</v>
      </c>
      <c r="P412" s="13" t="str">
        <f t="shared" si="13"/>
        <v>Niguo Xiang (Rìkāzé Shì)</v>
      </c>
    </row>
    <row r="413" spans="1:16" hidden="1" x14ac:dyDescent="0.25">
      <c r="A413" t="s">
        <v>745</v>
      </c>
      <c r="B413" t="str">
        <f>IF(COUNTIF(A:A,A413)&gt;1,_xlfn.CONCAT(A413," (",N413,")"),A413)</f>
        <v>Nímă Xiāng (Nàqŭ Shì)</v>
      </c>
      <c r="C413" t="str">
        <f>IF(COUNTIF(B:B,B413)&gt;1,_xlfn.CONCAT(A413," (",M413,")"),B413)</f>
        <v>Nímă Xiāng (Sèní Qū)</v>
      </c>
      <c r="D413" t="s">
        <v>746</v>
      </c>
      <c r="E413" t="s">
        <v>7</v>
      </c>
      <c r="F413" t="str">
        <f>_xlfn.CONCAT(D413,", ",H413,", ",I413,", ","西藏自治区")</f>
        <v>尼玛乡, 色尼区, 那曲市, 西藏自治区</v>
      </c>
      <c r="G413">
        <v>4175</v>
      </c>
      <c r="H413" t="s">
        <v>1454</v>
      </c>
      <c r="I413" t="s">
        <v>1445</v>
      </c>
      <c r="J413" t="e">
        <f>VLOOKUP(F413,[1]!china_towns_second__2[[Column1]:[Y]],3,FALSE)</f>
        <v>#N/A</v>
      </c>
      <c r="K413" t="e">
        <f>VLOOKUP(F413,[1]!china_towns_second__2[[Column1]:[Y]],2,FALSE)</f>
        <v>#N/A</v>
      </c>
      <c r="L413" t="s">
        <v>2071</v>
      </c>
      <c r="M413" t="str">
        <f>VLOOKUP(H413,CHOOSE({1,2},Table8[Native],Table8[Name]),2,0)</f>
        <v>Sèní Qū</v>
      </c>
      <c r="N413" s="13" t="str">
        <f>VLOOKUP(I413,CHOOSE({1,2},Table8[Native],Table8[Name]),2,0)</f>
        <v>Nàqŭ Shì</v>
      </c>
      <c r="O413" s="13" t="str">
        <f t="shared" si="12"/>
        <v>Nima Xiang (Seni Qu) (Nàqŭ Shì)</v>
      </c>
      <c r="P413" s="13" t="str">
        <f t="shared" si="13"/>
        <v>Nima Xiang (Seni Qu) (Nàqŭ Shì)</v>
      </c>
    </row>
    <row r="414" spans="1:16" hidden="1" x14ac:dyDescent="0.25">
      <c r="A414" t="s">
        <v>745</v>
      </c>
      <c r="B414" t="str">
        <f>IF(COUNTIF(A:A,A414)&gt;1,_xlfn.CONCAT(A414," (",N414,")"),A414)</f>
        <v>Nímă Xiāng (Nàqŭ Shì)</v>
      </c>
      <c r="C414" t="str">
        <f>IF(COUNTIF(B:B,B414)&gt;1,_xlfn.CONCAT(A414," (",M414,")"),B414)</f>
        <v>Nímă Xiāng (Nièróng Xiàn)</v>
      </c>
      <c r="D414" t="s">
        <v>746</v>
      </c>
      <c r="E414" t="s">
        <v>7</v>
      </c>
      <c r="F414" t="str">
        <f>_xlfn.CONCAT(D414,", ",H414,", ",I414,", ","西藏自治区")</f>
        <v>尼玛乡, 聂荣县, 那曲市, 西藏自治区</v>
      </c>
      <c r="G414">
        <v>4480</v>
      </c>
      <c r="H414" t="s">
        <v>1451</v>
      </c>
      <c r="I414" t="s">
        <v>1445</v>
      </c>
      <c r="J414" t="e">
        <f>VLOOKUP(F414,[1]!china_towns_second__2[[Column1]:[Y]],3,FALSE)</f>
        <v>#N/A</v>
      </c>
      <c r="K414" t="e">
        <f>VLOOKUP(F414,[1]!china_towns_second__2[[Column1]:[Y]],2,FALSE)</f>
        <v>#N/A</v>
      </c>
      <c r="L414" t="s">
        <v>2072</v>
      </c>
      <c r="M414" t="str">
        <f>VLOOKUP(H414,CHOOSE({1,2},Table8[Native],Table8[Name]),2,0)</f>
        <v>Nièróng Xiàn</v>
      </c>
      <c r="N414" s="13" t="str">
        <f>VLOOKUP(I414,CHOOSE({1,2},Table8[Native],Table8[Name]),2,0)</f>
        <v>Nàqŭ Shì</v>
      </c>
      <c r="O414" s="13" t="str">
        <f t="shared" si="12"/>
        <v>Nima Xiang (Nierong Xian) (Nàqŭ Shì)</v>
      </c>
      <c r="P414" s="13" t="str">
        <f t="shared" si="13"/>
        <v>Nima Xiang (Nierong Xian) (Nàqŭ Shì)</v>
      </c>
    </row>
    <row r="415" spans="1:16" hidden="1" x14ac:dyDescent="0.25">
      <c r="A415" t="s">
        <v>745</v>
      </c>
      <c r="B415" t="str">
        <f>IF(COUNTIF(A:A,A415)&gt;1,_xlfn.CONCAT(A415," (",N415,")"),A415)</f>
        <v>Nímă Xiāng (Nàqŭ Shì)</v>
      </c>
      <c r="C415" t="str">
        <f>IF(COUNTIF(B:B,B415)&gt;1,_xlfn.CONCAT(A415," (",M415,")"),B415)</f>
        <v>Nímă Xiāng (Bāngē Xiàn)</v>
      </c>
      <c r="D415" t="s">
        <v>746</v>
      </c>
      <c r="E415" t="s">
        <v>7</v>
      </c>
      <c r="F415" t="str">
        <f>_xlfn.CONCAT(D415,", ",H415,", ",I415,", ","西藏自治区")</f>
        <v>尼玛乡, 班戈县, 那曲市, 西藏自治区</v>
      </c>
      <c r="G415">
        <v>2342</v>
      </c>
      <c r="H415" t="s">
        <v>1447</v>
      </c>
      <c r="I415" t="s">
        <v>1445</v>
      </c>
      <c r="J415" t="e">
        <f>VLOOKUP(F415,[1]!china_towns_second__2[[Column1]:[Y]],3,FALSE)</f>
        <v>#N/A</v>
      </c>
      <c r="K415" t="e">
        <f>VLOOKUP(F415,[1]!china_towns_second__2[[Column1]:[Y]],2,FALSE)</f>
        <v>#N/A</v>
      </c>
      <c r="L415" t="s">
        <v>2073</v>
      </c>
      <c r="M415" t="str">
        <f>VLOOKUP(H415,CHOOSE({1,2},Table8[Native],Table8[Name]),2,0)</f>
        <v>Bāngē Xiàn</v>
      </c>
      <c r="N415" s="13" t="str">
        <f>VLOOKUP(I415,CHOOSE({1,2},Table8[Native],Table8[Name]),2,0)</f>
        <v>Nàqŭ Shì</v>
      </c>
      <c r="O415" s="13" t="str">
        <f t="shared" si="12"/>
        <v>Nima Xiang (Bange Xian) (Nàqŭ Shì)</v>
      </c>
      <c r="P415" s="13" t="str">
        <f t="shared" si="13"/>
        <v>Nima Xiang (Bange Xian) (Nàqŭ Shì)</v>
      </c>
    </row>
    <row r="416" spans="1:16" x14ac:dyDescent="0.25">
      <c r="A416" t="s">
        <v>747</v>
      </c>
      <c r="B416" t="str">
        <f>IF(COUNTIF(A:A,A416)&gt;1,_xlfn.CONCAT(A416," (",N416,")"),A416)</f>
        <v>Nímă Zhèn</v>
      </c>
      <c r="C416" t="str">
        <f>IF(COUNTIF(B:B,B416)&gt;1,_xlfn.CONCAT(A416," (",M416,")"),B416)</f>
        <v>Nímă Zhèn</v>
      </c>
      <c r="D416" t="s">
        <v>748</v>
      </c>
      <c r="E416" t="s">
        <v>17</v>
      </c>
      <c r="F416" t="str">
        <f>_xlfn.CONCAT(D416,", ",H416,", ",I416,", ","西藏自治区")</f>
        <v>尼玛镇, 尼玛县, 那曲市, 西藏自治区</v>
      </c>
      <c r="G416">
        <v>6943</v>
      </c>
      <c r="H416" t="s">
        <v>1452</v>
      </c>
      <c r="I416" t="s">
        <v>1445</v>
      </c>
      <c r="J416">
        <f>VLOOKUP(F416,[1]!china_towns_second__2[[Column1]:[Y]],3,FALSE)</f>
        <v>31.8445523802271</v>
      </c>
      <c r="K416">
        <f>VLOOKUP(F416,[1]!china_towns_second__2[[Column1]:[Y]],2,FALSE)</f>
        <v>87.252828829999999</v>
      </c>
      <c r="L416" t="s">
        <v>2074</v>
      </c>
      <c r="M416" t="str">
        <f>VLOOKUP(H416,CHOOSE({1,2},Table8[Native],Table8[Name]),2,0)</f>
        <v>Nímă Xiàn</v>
      </c>
      <c r="N416" s="13" t="str">
        <f>VLOOKUP(I416,CHOOSE({1,2},Table8[Native],Table8[Name]),2,0)</f>
        <v>Nàqŭ Shì</v>
      </c>
      <c r="O416" s="13" t="str">
        <f t="shared" si="12"/>
        <v>Nima Zhen (Nàqŭ Shì)</v>
      </c>
      <c r="P416" s="13" t="str">
        <f t="shared" si="13"/>
        <v>Nima Zhen (Nàqŭ Shì)</v>
      </c>
    </row>
    <row r="417" spans="1:16" hidden="1" x14ac:dyDescent="0.25">
      <c r="A417" t="s">
        <v>454</v>
      </c>
      <c r="B417" t="str">
        <f>IF(COUNTIF(A:A,A417)&gt;1,_xlfn.CONCAT(A417," (",N417,")"),A417)</f>
        <v>Nímăjiāngrè Xiāng</v>
      </c>
      <c r="C417" t="str">
        <f>IF(COUNTIF(B:B,B417)&gt;1,_xlfn.CONCAT(A417," (",M417,")"),B417)</f>
        <v>Nímăjiāngrè Xiāng</v>
      </c>
      <c r="D417" t="s">
        <v>455</v>
      </c>
      <c r="E417" t="s">
        <v>7</v>
      </c>
      <c r="F417" t="str">
        <f>_xlfn.CONCAT(D417,", ",H417,", ",I417,", ","西藏自治区")</f>
        <v>尼玛江热乡, 墨竹工卡县, 拉萨市, 西藏自治区</v>
      </c>
      <c r="G417">
        <v>8086</v>
      </c>
      <c r="H417" t="s">
        <v>1434</v>
      </c>
      <c r="I417" t="s">
        <v>1428</v>
      </c>
      <c r="J417" t="e">
        <f>VLOOKUP(F417,[1]!china_towns_second__2[[Column1]:[Y]],3,FALSE)</f>
        <v>#N/A</v>
      </c>
      <c r="K417" t="e">
        <f>VLOOKUP(F417,[1]!china_towns_second__2[[Column1]:[Y]],2,FALSE)</f>
        <v>#N/A</v>
      </c>
      <c r="L417" t="s">
        <v>2075</v>
      </c>
      <c r="M417" t="str">
        <f>VLOOKUP(H417,CHOOSE({1,2},Table8[Native],Table8[Name]),2,0)</f>
        <v>Mòzhúgōngkă Xiàn</v>
      </c>
      <c r="N417" s="13" t="str">
        <f>VLOOKUP(I417,CHOOSE({1,2},Table8[Native],Table8[Name]),2,0)</f>
        <v>Lāsà Shì</v>
      </c>
      <c r="O417" s="13" t="str">
        <f t="shared" si="12"/>
        <v>Nimajiangre Xiang (Lāsà Shì)</v>
      </c>
      <c r="P417" s="13" t="str">
        <f t="shared" si="13"/>
        <v>Nimajiangre Xiang (Lāsà Shì)</v>
      </c>
    </row>
    <row r="418" spans="1:16" hidden="1" x14ac:dyDescent="0.25">
      <c r="A418" t="s">
        <v>257</v>
      </c>
      <c r="B418" t="str">
        <f>IF(COUNTIF(A:A,A418)&gt;1,_xlfn.CONCAT(A418," (",N418,")"),A418)</f>
        <v>Nímù Xiāng (Chāngdū Shì)</v>
      </c>
      <c r="C418" t="str">
        <f>IF(COUNTIF(B:B,B418)&gt;1,_xlfn.CONCAT(A418," (",M418,")"),B418)</f>
        <v>Nímù Xiāng (Chāngdū Shì)</v>
      </c>
      <c r="D418" t="s">
        <v>258</v>
      </c>
      <c r="E418" t="s">
        <v>7</v>
      </c>
      <c r="F418" t="str">
        <f>_xlfn.CONCAT(D418,", ",H418,", ",I418,", ","西藏自治区")</f>
        <v>尼木乡, 边坝县, 昌都市, 西藏自治区</v>
      </c>
      <c r="G418">
        <v>2535</v>
      </c>
      <c r="H418" t="s">
        <v>1417</v>
      </c>
      <c r="I418" t="s">
        <v>1415</v>
      </c>
      <c r="J418" t="e">
        <f>VLOOKUP(F418,[1]!china_towns_second__2[[Column1]:[Y]],3,FALSE)</f>
        <v>#N/A</v>
      </c>
      <c r="K418" t="e">
        <f>VLOOKUP(F418,[1]!china_towns_second__2[[Column1]:[Y]],2,FALSE)</f>
        <v>#N/A</v>
      </c>
      <c r="L418" t="s">
        <v>2076</v>
      </c>
      <c r="M418" t="str">
        <f>VLOOKUP(H418,CHOOSE({1,2},Table8[Native],Table8[Name]),2,0)</f>
        <v>Biānbà Xiàn</v>
      </c>
      <c r="N418" s="13" t="str">
        <f>VLOOKUP(I418,CHOOSE({1,2},Table8[Native],Table8[Name]),2,0)</f>
        <v>Chāngdū Shì</v>
      </c>
      <c r="O418" s="13" t="str">
        <f t="shared" si="12"/>
        <v>Nimu Xiang (Changdu Shi) (Chāngdū Shì)</v>
      </c>
      <c r="P418" s="13" t="str">
        <f t="shared" si="13"/>
        <v>Nimu Xiang (Changdu Shi) (Chāngdū Shì)</v>
      </c>
    </row>
    <row r="419" spans="1:16" hidden="1" x14ac:dyDescent="0.25">
      <c r="A419" t="s">
        <v>257</v>
      </c>
      <c r="B419" t="str">
        <f>IF(COUNTIF(A:A,A419)&gt;1,_xlfn.CONCAT(A419," (",N419,")"),A419)</f>
        <v>Nímù Xiāng (Lāsà Shì)</v>
      </c>
      <c r="C419" t="str">
        <f>IF(COUNTIF(B:B,B419)&gt;1,_xlfn.CONCAT(A419," (",M419,")"),B419)</f>
        <v>Nímù Xiāng (Lāsà Shì)</v>
      </c>
      <c r="D419" t="s">
        <v>258</v>
      </c>
      <c r="E419" t="s">
        <v>7</v>
      </c>
      <c r="F419" t="str">
        <f>_xlfn.CONCAT(D419,", ",H419,", ",I419,", ","西藏自治区")</f>
        <v>尼木乡, 尼木县, 拉萨市, 西藏自治区</v>
      </c>
      <c r="G419">
        <v>6008</v>
      </c>
      <c r="H419" t="s">
        <v>1435</v>
      </c>
      <c r="I419" t="s">
        <v>1428</v>
      </c>
      <c r="J419" t="e">
        <f>VLOOKUP(F419,[1]!china_towns_second__2[[Column1]:[Y]],3,FALSE)</f>
        <v>#N/A</v>
      </c>
      <c r="K419" t="e">
        <f>VLOOKUP(F419,[1]!china_towns_second__2[[Column1]:[Y]],2,FALSE)</f>
        <v>#N/A</v>
      </c>
      <c r="L419" t="s">
        <v>2077</v>
      </c>
      <c r="M419" t="str">
        <f>VLOOKUP(H419,CHOOSE({1,2},Table8[Native],Table8[Name]),2,0)</f>
        <v>Nímù Xiàn</v>
      </c>
      <c r="N419" s="13" t="str">
        <f>VLOOKUP(I419,CHOOSE({1,2},Table8[Native],Table8[Name]),2,0)</f>
        <v>Lāsà Shì</v>
      </c>
      <c r="O419" s="13" t="str">
        <f t="shared" si="12"/>
        <v>Nimu Xiang (Lasa Shi) (Lāsà Shì)</v>
      </c>
      <c r="P419" s="13" t="str">
        <f t="shared" si="13"/>
        <v>Nimu Xiang (Lasa Shi) (Lāsà Shì)</v>
      </c>
    </row>
    <row r="420" spans="1:16" hidden="1" x14ac:dyDescent="0.25">
      <c r="A420" t="s">
        <v>456</v>
      </c>
      <c r="B420" t="str">
        <f>IF(COUNTIF(A:A,A420)&gt;1,_xlfn.CONCAT(A420," (",N420,")"),A420)</f>
        <v>Níngzhōng Xiāng</v>
      </c>
      <c r="C420" t="str">
        <f>IF(COUNTIF(B:B,B420)&gt;1,_xlfn.CONCAT(A420," (",M420,")"),B420)</f>
        <v>Níngzhōng Xiāng</v>
      </c>
      <c r="D420" t="s">
        <v>457</v>
      </c>
      <c r="E420" t="s">
        <v>7</v>
      </c>
      <c r="F420" t="str">
        <f>_xlfn.CONCAT(D420,", ",H420,", ",I420,", ","西藏自治区")</f>
        <v>宁中乡, 当雄县, 拉萨市, 西藏自治区</v>
      </c>
      <c r="G420">
        <v>9099</v>
      </c>
      <c r="H420" t="s">
        <v>1430</v>
      </c>
      <c r="I420" t="s">
        <v>1428</v>
      </c>
      <c r="J420" t="e">
        <f>VLOOKUP(F420,[1]!china_towns_second__2[[Column1]:[Y]],3,FALSE)</f>
        <v>#N/A</v>
      </c>
      <c r="K420" t="e">
        <f>VLOOKUP(F420,[1]!china_towns_second__2[[Column1]:[Y]],2,FALSE)</f>
        <v>#N/A</v>
      </c>
      <c r="L420" t="s">
        <v>2078</v>
      </c>
      <c r="M420" t="str">
        <f>VLOOKUP(H420,CHOOSE({1,2},Table8[Native],Table8[Name]),2,0)</f>
        <v>Dāngxióng Xiàn</v>
      </c>
      <c r="N420" s="13" t="str">
        <f>VLOOKUP(I420,CHOOSE({1,2},Table8[Native],Table8[Name]),2,0)</f>
        <v>Lāsà Shì</v>
      </c>
      <c r="O420" s="13" t="str">
        <f t="shared" si="12"/>
        <v>Ningzhong Xiang (Lāsà Shì)</v>
      </c>
      <c r="P420" s="13" t="str">
        <f t="shared" si="13"/>
        <v>Ningzhong Xiang (Lāsà Shì)</v>
      </c>
    </row>
    <row r="421" spans="1:16" hidden="1" x14ac:dyDescent="0.25">
      <c r="A421" t="s">
        <v>749</v>
      </c>
      <c r="B421" t="str">
        <f>IF(COUNTIF(A:A,A421)&gt;1,_xlfn.CONCAT(A421," (",N421,")"),A421)</f>
        <v>Níwū Xiāng [Zhōngyù Xiāng]</v>
      </c>
      <c r="C421" t="str">
        <f>IF(COUNTIF(B:B,B421)&gt;1,_xlfn.CONCAT(A421," (",M421,")"),B421)</f>
        <v>Níwū Xiāng [Zhōngyù Xiāng]</v>
      </c>
      <c r="D421" t="s">
        <v>750</v>
      </c>
      <c r="E421" t="s">
        <v>7</v>
      </c>
      <c r="F421" t="str">
        <f>_xlfn.CONCAT(D421,", ",H421,", ",I421,", ","西藏自治区")</f>
        <v>尼屋乡, 嘉黎县, 那曲市, 西藏自治区</v>
      </c>
      <c r="G421">
        <v>1897</v>
      </c>
      <c r="H421" t="s">
        <v>1450</v>
      </c>
      <c r="I421" t="s">
        <v>1445</v>
      </c>
      <c r="J421" t="e">
        <f>VLOOKUP(F421,[1]!china_towns_second__2[[Column1]:[Y]],3,FALSE)</f>
        <v>#N/A</v>
      </c>
      <c r="K421" t="e">
        <f>VLOOKUP(F421,[1]!china_towns_second__2[[Column1]:[Y]],2,FALSE)</f>
        <v>#N/A</v>
      </c>
      <c r="L421" t="s">
        <v>2079</v>
      </c>
      <c r="M421" t="str">
        <f>VLOOKUP(H421,CHOOSE({1,2},Table8[Native],Table8[Name]),2,0)</f>
        <v>Jiālí Xiàn</v>
      </c>
      <c r="N421" s="13" t="str">
        <f>VLOOKUP(I421,CHOOSE({1,2},Table8[Native],Table8[Name]),2,0)</f>
        <v>Nàqŭ Shì</v>
      </c>
      <c r="O421" s="13" t="str">
        <f t="shared" si="12"/>
        <v>Niwu Xiang [Zhongyu Xiang] (Nàqŭ Shì)</v>
      </c>
      <c r="P421" s="13" t="str">
        <f t="shared" si="13"/>
        <v>Niwu Xiang [Zhongyu Xiang] (Nàqŭ Shì)</v>
      </c>
    </row>
    <row r="422" spans="1:16" hidden="1" x14ac:dyDescent="0.25">
      <c r="A422" t="s">
        <v>1084</v>
      </c>
      <c r="B422" t="str">
        <f>IF(COUNTIF(A:A,A422)&gt;1,_xlfn.CONCAT(A422," (",N422,")"),A422)</f>
        <v>Níxiá Xiāng</v>
      </c>
      <c r="C422" t="str">
        <f>IF(COUNTIF(B:B,B422)&gt;1,_xlfn.CONCAT(A422," (",M422,")"),B422)</f>
        <v>Níxiá Xiāng</v>
      </c>
      <c r="D422" t="s">
        <v>1085</v>
      </c>
      <c r="E422" t="s">
        <v>7</v>
      </c>
      <c r="F422" t="str">
        <f>_xlfn.CONCAT(D422,", ",H422,", ",I422,", ","西藏自治区")</f>
        <v>尼辖乡, 定日县, 日喀则市, 西藏自治区</v>
      </c>
      <c r="G422">
        <v>1827</v>
      </c>
      <c r="H422" t="s">
        <v>1462</v>
      </c>
      <c r="I422" t="s">
        <v>1458</v>
      </c>
      <c r="J422" t="e">
        <f>VLOOKUP(F422,[1]!china_towns_second__2[[Column1]:[Y]],3,FALSE)</f>
        <v>#N/A</v>
      </c>
      <c r="K422" t="e">
        <f>VLOOKUP(F422,[1]!china_towns_second__2[[Column1]:[Y]],2,FALSE)</f>
        <v>#N/A</v>
      </c>
      <c r="L422" t="s">
        <v>2080</v>
      </c>
      <c r="M422" t="str">
        <f>VLOOKUP(H422,CHOOSE({1,2},Table8[Native],Table8[Name]),2,0)</f>
        <v>Dìngrì Xiàn</v>
      </c>
      <c r="N422" s="13" t="str">
        <f>VLOOKUP(I422,CHOOSE({1,2},Table8[Native],Table8[Name]),2,0)</f>
        <v>Rìkāzé Shì</v>
      </c>
      <c r="O422" s="13" t="str">
        <f t="shared" si="12"/>
        <v>Nixia Xiang (Rìkāzé Shì)</v>
      </c>
      <c r="P422" s="13" t="str">
        <f t="shared" si="13"/>
        <v>Nixia Xiang (Rìkāzé Shì)</v>
      </c>
    </row>
    <row r="423" spans="1:16" hidden="1" x14ac:dyDescent="0.25">
      <c r="A423" t="s">
        <v>1086</v>
      </c>
      <c r="B423" t="str">
        <f>IF(COUNTIF(A:A,A423)&gt;1,_xlfn.CONCAT(A423," (",N423,")"),A423)</f>
        <v>Númă Xiāng</v>
      </c>
      <c r="C423" t="str">
        <f>IF(COUNTIF(B:B,B423)&gt;1,_xlfn.CONCAT(A423," (",M423,")"),B423)</f>
        <v>Númă Xiāng</v>
      </c>
      <c r="D423" t="s">
        <v>1087</v>
      </c>
      <c r="E423" t="s">
        <v>7</v>
      </c>
      <c r="F423" t="str">
        <f>_xlfn.CONCAT(D423,", ",H423,", ",I423,", ","西藏自治区")</f>
        <v>奴玛乡, 南木林县, 日喀则市, 西藏自治区</v>
      </c>
      <c r="G423">
        <v>2967</v>
      </c>
      <c r="H423" t="s">
        <v>1468</v>
      </c>
      <c r="I423" t="s">
        <v>1458</v>
      </c>
      <c r="J423" t="e">
        <f>VLOOKUP(F423,[1]!china_towns_second__2[[Column1]:[Y]],3,FALSE)</f>
        <v>#N/A</v>
      </c>
      <c r="K423" t="e">
        <f>VLOOKUP(F423,[1]!china_towns_second__2[[Column1]:[Y]],2,FALSE)</f>
        <v>#N/A</v>
      </c>
      <c r="L423" t="s">
        <v>2081</v>
      </c>
      <c r="M423" t="str">
        <f>VLOOKUP(H423,CHOOSE({1,2},Table8[Native],Table8[Name]),2,0)</f>
        <v>Nánmùlín Xiàn</v>
      </c>
      <c r="N423" s="13" t="str">
        <f>VLOOKUP(I423,CHOOSE({1,2},Table8[Native],Table8[Name]),2,0)</f>
        <v>Rìkāzé Shì</v>
      </c>
      <c r="O423" s="13" t="str">
        <f t="shared" si="12"/>
        <v>Numa Xiang (Rìkāzé Shì)</v>
      </c>
      <c r="P423" s="13" t="str">
        <f t="shared" si="13"/>
        <v>Numa Xiang (Rìkāzé Shì)</v>
      </c>
    </row>
    <row r="424" spans="1:16" hidden="1" x14ac:dyDescent="0.25">
      <c r="A424" t="s">
        <v>1088</v>
      </c>
      <c r="B424" t="str">
        <f>IF(COUNTIF(A:A,A424)&gt;1,_xlfn.CONCAT(A424," (",N424,")"),A424)</f>
        <v>Pàdāng Xiāng</v>
      </c>
      <c r="C424" t="str">
        <f>IF(COUNTIF(B:B,B424)&gt;1,_xlfn.CONCAT(A424," (",M424,")"),B424)</f>
        <v>Pàdāng Xiāng</v>
      </c>
      <c r="D424" t="s">
        <v>1089</v>
      </c>
      <c r="E424" t="s">
        <v>7</v>
      </c>
      <c r="F424" t="str">
        <f>_xlfn.CONCAT(D424,", ",H424,", ",I424,", ","西藏自治区")</f>
        <v>帕当乡, 仁布县, 日喀则市, 西藏自治区</v>
      </c>
      <c r="G424">
        <v>2947</v>
      </c>
      <c r="H424" t="s">
        <v>1470</v>
      </c>
      <c r="I424" t="s">
        <v>1458</v>
      </c>
      <c r="J424" t="e">
        <f>VLOOKUP(F424,[1]!china_towns_second__2[[Column1]:[Y]],3,FALSE)</f>
        <v>#N/A</v>
      </c>
      <c r="K424" t="e">
        <f>VLOOKUP(F424,[1]!china_towns_second__2[[Column1]:[Y]],2,FALSE)</f>
        <v>#N/A</v>
      </c>
      <c r="L424" t="s">
        <v>2082</v>
      </c>
      <c r="M424" t="str">
        <f>VLOOKUP(H424,CHOOSE({1,2},Table8[Native],Table8[Name]),2,0)</f>
        <v>Rénbù Xiàn</v>
      </c>
      <c r="N424" s="13" t="str">
        <f>VLOOKUP(I424,CHOOSE({1,2},Table8[Native],Table8[Name]),2,0)</f>
        <v>Rìkāzé Shì</v>
      </c>
      <c r="O424" s="13" t="str">
        <f t="shared" si="12"/>
        <v>Padang Xiang (Rìkāzé Shì)</v>
      </c>
      <c r="P424" s="13" t="str">
        <f t="shared" si="13"/>
        <v>Padang Xiang (Rìkāzé Shì)</v>
      </c>
    </row>
    <row r="425" spans="1:16" hidden="1" x14ac:dyDescent="0.25">
      <c r="A425" t="s">
        <v>458</v>
      </c>
      <c r="B425" t="str">
        <f>IF(COUNTIF(A:A,A425)&gt;1,_xlfn.CONCAT(A425," (",N425,")"),A425)</f>
        <v>Pàgŭ Xiāng</v>
      </c>
      <c r="C425" t="str">
        <f>IF(COUNTIF(B:B,B425)&gt;1,_xlfn.CONCAT(A425," (",M425,")"),B425)</f>
        <v>Pàgŭ Xiāng</v>
      </c>
      <c r="D425" t="s">
        <v>459</v>
      </c>
      <c r="E425" t="s">
        <v>7</v>
      </c>
      <c r="F425" t="str">
        <f>_xlfn.CONCAT(D425,", ",H425,", ",I425,", ","西藏自治区")</f>
        <v>帕古乡, 尼木县, 拉萨市, 西藏自治区</v>
      </c>
      <c r="G425">
        <v>3159</v>
      </c>
      <c r="H425" t="s">
        <v>1435</v>
      </c>
      <c r="I425" t="s">
        <v>1428</v>
      </c>
      <c r="J425" t="e">
        <f>VLOOKUP(F425,[1]!china_towns_second__2[[Column1]:[Y]],3,FALSE)</f>
        <v>#N/A</v>
      </c>
      <c r="K425" t="e">
        <f>VLOOKUP(F425,[1]!china_towns_second__2[[Column1]:[Y]],2,FALSE)</f>
        <v>#N/A</v>
      </c>
      <c r="L425" t="s">
        <v>2083</v>
      </c>
      <c r="M425" t="str">
        <f>VLOOKUP(H425,CHOOSE({1,2},Table8[Native],Table8[Name]),2,0)</f>
        <v>Nímù Xiàn</v>
      </c>
      <c r="N425" s="13" t="str">
        <f>VLOOKUP(I425,CHOOSE({1,2},Table8[Native],Table8[Name]),2,0)</f>
        <v>Lāsà Shì</v>
      </c>
      <c r="O425" s="13" t="str">
        <f t="shared" si="12"/>
        <v>Pagu Xiang (Lāsà Shì)</v>
      </c>
      <c r="P425" s="13" t="str">
        <f t="shared" si="13"/>
        <v>Pagu Xiang (Lāsà Shì)</v>
      </c>
    </row>
    <row r="426" spans="1:16" x14ac:dyDescent="0.25">
      <c r="A426" t="s">
        <v>581</v>
      </c>
      <c r="B426" t="str">
        <f>IF(COUNTIF(A:A,A426)&gt;1,_xlfn.CONCAT(A426," (",N426,")"),A426)</f>
        <v>Pài Zhèn</v>
      </c>
      <c r="C426" t="str">
        <f>IF(COUNTIF(B:B,B426)&gt;1,_xlfn.CONCAT(A426," (",M426,")"),B426)</f>
        <v>Pài Zhèn</v>
      </c>
      <c r="D426" t="s">
        <v>582</v>
      </c>
      <c r="E426" t="s">
        <v>17</v>
      </c>
      <c r="F426" t="str">
        <f>_xlfn.CONCAT(D426,", ",H426,", ",I426,", ","西藏自治区")</f>
        <v>派镇, 米林县, 林芝市, 西藏自治区</v>
      </c>
      <c r="G426">
        <v>2334</v>
      </c>
      <c r="H426" t="s">
        <v>1443</v>
      </c>
      <c r="I426" t="s">
        <v>1437</v>
      </c>
      <c r="J426">
        <f>VLOOKUP(F426,[1]!china_towns_second__2[[Column1]:[Y]],3,FALSE)</f>
        <v>29.653583006072399</v>
      </c>
      <c r="K426">
        <f>VLOOKUP(F426,[1]!china_towns_second__2[[Column1]:[Y]],2,FALSE)</f>
        <v>94.949113929999996</v>
      </c>
      <c r="L426" t="s">
        <v>2084</v>
      </c>
      <c r="M426" t="str">
        <f>VLOOKUP(H426,CHOOSE({1,2},Table8[Native],Table8[Name]),2,0)</f>
        <v>Mĭlín Xiàn</v>
      </c>
      <c r="N426" s="13" t="str">
        <f>VLOOKUP(I426,CHOOSE({1,2},Table8[Native],Table8[Name]),2,0)</f>
        <v>Línzhī Shì</v>
      </c>
      <c r="O426" s="13" t="str">
        <f t="shared" si="12"/>
        <v>Pai Zhen (Línzhī Shì)</v>
      </c>
      <c r="P426" s="13" t="str">
        <f t="shared" si="13"/>
        <v>Pai Zhen (Línzhī Shì)</v>
      </c>
    </row>
    <row r="427" spans="1:16" hidden="1" x14ac:dyDescent="0.25">
      <c r="A427" t="s">
        <v>1090</v>
      </c>
      <c r="B427" t="str">
        <f>IF(COUNTIF(A:A,A427)&gt;1,_xlfn.CONCAT(A427," (",N427,")"),A427)</f>
        <v>Pàjiāng Xiāng</v>
      </c>
      <c r="C427" t="str">
        <f>IF(COUNTIF(B:B,B427)&gt;1,_xlfn.CONCAT(A427," (",M427,")"),B427)</f>
        <v>Pàjiāng Xiāng</v>
      </c>
      <c r="D427" t="s">
        <v>1091</v>
      </c>
      <c r="E427" t="s">
        <v>7</v>
      </c>
      <c r="F427" t="str">
        <f>_xlfn.CONCAT(D427,", ",H427,", ",I427,", ","西藏自治区")</f>
        <v>帕江乡, 仲巴县, 日喀则市, 西藏自治区</v>
      </c>
      <c r="G427">
        <v>2485</v>
      </c>
      <c r="H427" t="s">
        <v>1476</v>
      </c>
      <c r="I427" t="s">
        <v>1458</v>
      </c>
      <c r="J427" t="e">
        <f>VLOOKUP(F427,[1]!china_towns_second__2[[Column1]:[Y]],3,FALSE)</f>
        <v>#N/A</v>
      </c>
      <c r="K427" t="e">
        <f>VLOOKUP(F427,[1]!china_towns_second__2[[Column1]:[Y]],2,FALSE)</f>
        <v>#N/A</v>
      </c>
      <c r="L427" t="s">
        <v>2085</v>
      </c>
      <c r="M427" t="str">
        <f>VLOOKUP(H427,CHOOSE({1,2},Table8[Native],Table8[Name]),2,0)</f>
        <v>Zhòngbā Xiàn</v>
      </c>
      <c r="N427" s="13" t="str">
        <f>VLOOKUP(I427,CHOOSE({1,2},Table8[Native],Table8[Name]),2,0)</f>
        <v>Rìkāzé Shì</v>
      </c>
      <c r="O427" s="13" t="str">
        <f t="shared" si="12"/>
        <v>Pajiang Xiang (Rìkāzé Shì)</v>
      </c>
      <c r="P427" s="13" t="str">
        <f t="shared" si="13"/>
        <v>Pajiang Xiang (Rìkāzé Shì)</v>
      </c>
    </row>
    <row r="428" spans="1:16" x14ac:dyDescent="0.25">
      <c r="A428" t="s">
        <v>1092</v>
      </c>
      <c r="B428" t="str">
        <f>IF(COUNTIF(A:A,A428)&gt;1,_xlfn.CONCAT(A428," (",N428,")"),A428)</f>
        <v>Pàlĭ Zhèn</v>
      </c>
      <c r="C428" t="str">
        <f>IF(COUNTIF(B:B,B428)&gt;1,_xlfn.CONCAT(A428," (",M428,")"),B428)</f>
        <v>Pàlĭ Zhèn</v>
      </c>
      <c r="D428" t="s">
        <v>1093</v>
      </c>
      <c r="E428" t="s">
        <v>17</v>
      </c>
      <c r="F428" t="str">
        <f>_xlfn.CONCAT(D428,", ",H428,", ",I428,", ","西藏自治区")</f>
        <v>帕里镇, 亚东县, 日喀则市, 西藏自治区</v>
      </c>
      <c r="G428">
        <v>2554</v>
      </c>
      <c r="H428" t="s">
        <v>1475</v>
      </c>
      <c r="I428" t="s">
        <v>1458</v>
      </c>
      <c r="J428">
        <f>VLOOKUP(F428,[1]!china_towns_second__2[[Column1]:[Y]],3,FALSE)</f>
        <v>27.722057486341502</v>
      </c>
      <c r="K428">
        <f>VLOOKUP(F428,[1]!china_towns_second__2[[Column1]:[Y]],2,FALSE)</f>
        <v>89.1220778</v>
      </c>
      <c r="L428" t="s">
        <v>2086</v>
      </c>
      <c r="M428" t="str">
        <f>VLOOKUP(H428,CHOOSE({1,2},Table8[Native],Table8[Name]),2,0)</f>
        <v>Yàdōng Xiàn</v>
      </c>
      <c r="N428" s="13" t="str">
        <f>VLOOKUP(I428,CHOOSE({1,2},Table8[Native],Table8[Name]),2,0)</f>
        <v>Rìkāzé Shì</v>
      </c>
      <c r="O428" s="13" t="str">
        <f t="shared" si="12"/>
        <v>Pali Zhen (Rìkāzé Shì)</v>
      </c>
      <c r="P428" s="13" t="str">
        <f t="shared" si="13"/>
        <v>Pali Zhen (Rìkāzé Shì)</v>
      </c>
    </row>
    <row r="429" spans="1:16" x14ac:dyDescent="0.25">
      <c r="A429" t="s">
        <v>751</v>
      </c>
      <c r="B429" t="str">
        <f>IF(COUNTIF(A:A,A429)&gt;1,_xlfn.CONCAT(A429," (",N429,")"),A429)</f>
        <v>Pànèi Zhèn</v>
      </c>
      <c r="C429" t="str">
        <f>IF(COUNTIF(B:B,B429)&gt;1,_xlfn.CONCAT(A429," (",M429,")"),B429)</f>
        <v>Pànèi Zhèn</v>
      </c>
      <c r="D429" t="s">
        <v>752</v>
      </c>
      <c r="E429" t="s">
        <v>17</v>
      </c>
      <c r="F429" t="str">
        <f>_xlfn.CONCAT(D429,", ",H429,", ",I429,", ","西藏自治区")</f>
        <v>帕那镇, 安多县, 那曲市, 西藏自治区</v>
      </c>
      <c r="G429">
        <v>5963</v>
      </c>
      <c r="H429" t="s">
        <v>1446</v>
      </c>
      <c r="I429" t="s">
        <v>1445</v>
      </c>
      <c r="J429">
        <f>VLOOKUP(F429,[1]!china_towns_second__2[[Column1]:[Y]],3,FALSE)</f>
        <v>32.397769176065403</v>
      </c>
      <c r="K429">
        <f>VLOOKUP(F429,[1]!china_towns_second__2[[Column1]:[Y]],2,FALSE)</f>
        <v>91.730250350000006</v>
      </c>
      <c r="L429" t="s">
        <v>2087</v>
      </c>
      <c r="M429" t="str">
        <f>VLOOKUP(H429,CHOOSE({1,2},Table8[Native],Table8[Name]),2,0)</f>
        <v>Ānduō Xiàn</v>
      </c>
      <c r="N429" s="13" t="str">
        <f>VLOOKUP(I429,CHOOSE({1,2},Table8[Native],Table8[Name]),2,0)</f>
        <v>Nàqŭ Shì</v>
      </c>
      <c r="O429" s="13" t="str">
        <f t="shared" si="12"/>
        <v>Panei Zhen (Nàqŭ Shì)</v>
      </c>
      <c r="P429" s="13" t="str">
        <f t="shared" si="13"/>
        <v>Panei Zhen (Nàqŭ Shì)</v>
      </c>
    </row>
    <row r="430" spans="1:16" hidden="1" x14ac:dyDescent="0.25">
      <c r="A430" t="s">
        <v>460</v>
      </c>
      <c r="B430" t="str">
        <f>IF(COUNTIF(A:A,A430)&gt;1,_xlfn.CONCAT(A430," (",N430,")"),A430)</f>
        <v>Pángduō Xiāng</v>
      </c>
      <c r="C430" t="str">
        <f>IF(COUNTIF(B:B,B430)&gt;1,_xlfn.CONCAT(A430," (",M430,")"),B430)</f>
        <v>Pángduō Xiāng</v>
      </c>
      <c r="D430" t="s">
        <v>461</v>
      </c>
      <c r="E430" t="s">
        <v>7</v>
      </c>
      <c r="F430" t="str">
        <f>_xlfn.CONCAT(D430,", ",H430,", ",I430,", ","西藏自治区")</f>
        <v>旁多乡, 林周县, 拉萨市, 西藏自治区</v>
      </c>
      <c r="G430">
        <v>5123</v>
      </c>
      <c r="H430" t="s">
        <v>1433</v>
      </c>
      <c r="I430" t="s">
        <v>1428</v>
      </c>
      <c r="J430" t="e">
        <f>VLOOKUP(F430,[1]!china_towns_second__2[[Column1]:[Y]],3,FALSE)</f>
        <v>#N/A</v>
      </c>
      <c r="K430" t="e">
        <f>VLOOKUP(F430,[1]!china_towns_second__2[[Column1]:[Y]],2,FALSE)</f>
        <v>#N/A</v>
      </c>
      <c r="L430" t="s">
        <v>2088</v>
      </c>
      <c r="M430" t="str">
        <f>VLOOKUP(H430,CHOOSE({1,2},Table8[Native],Table8[Name]),2,0)</f>
        <v>Línzhōu Xiàn</v>
      </c>
      <c r="N430" s="13" t="str">
        <f>VLOOKUP(I430,CHOOSE({1,2},Table8[Native],Table8[Name]),2,0)</f>
        <v>Lāsà Shì</v>
      </c>
      <c r="O430" s="13" t="str">
        <f t="shared" si="12"/>
        <v>Pangduo Xiang (Lāsà Shì)</v>
      </c>
      <c r="P430" s="13" t="str">
        <f t="shared" si="13"/>
        <v>Pangduo Xiang (Lāsà Shì)</v>
      </c>
    </row>
    <row r="431" spans="1:16" x14ac:dyDescent="0.25">
      <c r="A431" t="s">
        <v>1094</v>
      </c>
      <c r="B431" t="str">
        <f>IF(COUNTIF(A:A,A431)&gt;1,_xlfn.CONCAT(A431," (",N431,")"),A431)</f>
        <v>Pàyáng Zhèn</v>
      </c>
      <c r="C431" t="str">
        <f>IF(COUNTIF(B:B,B431)&gt;1,_xlfn.CONCAT(A431," (",M431,")"),B431)</f>
        <v>Pàyáng Zhèn</v>
      </c>
      <c r="D431" t="s">
        <v>1095</v>
      </c>
      <c r="E431" t="s">
        <v>17</v>
      </c>
      <c r="F431" t="str">
        <f>_xlfn.CONCAT(D431,", ",H431,", ",I431,", ","西藏自治区")</f>
        <v>帕羊镇, 仲巴县, 日喀则市, 西藏自治区</v>
      </c>
      <c r="G431">
        <v>2118</v>
      </c>
      <c r="H431" t="s">
        <v>1476</v>
      </c>
      <c r="I431" t="s">
        <v>1458</v>
      </c>
      <c r="J431">
        <f>VLOOKUP(F431,[1]!china_towns_second__2[[Column1]:[Y]],3,FALSE)</f>
        <v>30.002715631305701</v>
      </c>
      <c r="K431">
        <f>VLOOKUP(F431,[1]!china_towns_second__2[[Column1]:[Y]],2,FALSE)</f>
        <v>83.166071439999996</v>
      </c>
      <c r="L431" t="s">
        <v>2089</v>
      </c>
      <c r="M431" t="str">
        <f>VLOOKUP(H431,CHOOSE({1,2},Table8[Native],Table8[Name]),2,0)</f>
        <v>Zhòngbā Xiàn</v>
      </c>
      <c r="N431" s="13" t="str">
        <f>VLOOKUP(I431,CHOOSE({1,2},Table8[Native],Table8[Name]),2,0)</f>
        <v>Rìkāzé Shì</v>
      </c>
      <c r="O431" s="13" t="str">
        <f t="shared" si="12"/>
        <v>Payang Zhen (Rìkāzé Shì)</v>
      </c>
      <c r="P431" s="13" t="str">
        <f t="shared" si="13"/>
        <v>Payang Zhen (Rìkāzé Shì)</v>
      </c>
    </row>
    <row r="432" spans="1:16" hidden="1" x14ac:dyDescent="0.25">
      <c r="A432" t="s">
        <v>1096</v>
      </c>
      <c r="B432" t="str">
        <f>IF(COUNTIF(A:A,A432)&gt;1,_xlfn.CONCAT(A432," (",N432,")"),A432)</f>
        <v>Péngcuòlín Xiāng</v>
      </c>
      <c r="C432" t="str">
        <f>IF(COUNTIF(B:B,B432)&gt;1,_xlfn.CONCAT(A432," (",M432,")"),B432)</f>
        <v>Péngcuòlín Xiāng</v>
      </c>
      <c r="D432" t="s">
        <v>1097</v>
      </c>
      <c r="E432" t="s">
        <v>7</v>
      </c>
      <c r="F432" t="str">
        <f>_xlfn.CONCAT(D432,", ",H432,", ",I432,", ","西藏自治区")</f>
        <v>彭措林乡, 拉孜县, 日喀则市, 西藏自治区</v>
      </c>
      <c r="G432">
        <v>3714</v>
      </c>
      <c r="H432" t="s">
        <v>1467</v>
      </c>
      <c r="I432" t="s">
        <v>1458</v>
      </c>
      <c r="J432" t="e">
        <f>VLOOKUP(F432,[1]!china_towns_second__2[[Column1]:[Y]],3,FALSE)</f>
        <v>#N/A</v>
      </c>
      <c r="K432" t="e">
        <f>VLOOKUP(F432,[1]!china_towns_second__2[[Column1]:[Y]],2,FALSE)</f>
        <v>#N/A</v>
      </c>
      <c r="L432" t="s">
        <v>2090</v>
      </c>
      <c r="M432" t="str">
        <f>VLOOKUP(H432,CHOOSE({1,2},Table8[Native],Table8[Name]),2,0)</f>
        <v>Lāzī Xiàn</v>
      </c>
      <c r="N432" s="13" t="str">
        <f>VLOOKUP(I432,CHOOSE({1,2},Table8[Native],Table8[Name]),2,0)</f>
        <v>Rìkāzé Shì</v>
      </c>
      <c r="O432" s="13" t="str">
        <f t="shared" si="12"/>
        <v>Pengcuolin Xiang (Rìkāzé Shì)</v>
      </c>
      <c r="P432" s="13" t="str">
        <f t="shared" si="13"/>
        <v>Pengcuolin Xiang (Rìkāzé Shì)</v>
      </c>
    </row>
    <row r="433" spans="1:16" hidden="1" x14ac:dyDescent="0.25">
      <c r="A433" t="s">
        <v>1098</v>
      </c>
      <c r="B433" t="str">
        <f>IF(COUNTIF(A:A,A433)&gt;1,_xlfn.CONCAT(A433," (",N433,")"),A433)</f>
        <v>Pénjí Xiāng</v>
      </c>
      <c r="C433" t="str">
        <f>IF(COUNTIF(B:B,B433)&gt;1,_xlfn.CONCAT(A433," (",M433,")"),B433)</f>
        <v>Pénjí Xiāng</v>
      </c>
      <c r="D433" t="s">
        <v>1099</v>
      </c>
      <c r="E433" t="s">
        <v>7</v>
      </c>
      <c r="F433" t="str">
        <f>_xlfn.CONCAT(D433,", ",H433,", ",I433,", ","西藏自治区")</f>
        <v>盆吉乡, 定日县, 日喀则市, 西藏自治区</v>
      </c>
      <c r="G433">
        <v>1453</v>
      </c>
      <c r="H433" t="s">
        <v>1462</v>
      </c>
      <c r="I433" t="s">
        <v>1458</v>
      </c>
      <c r="J433" t="e">
        <f>VLOOKUP(F433,[1]!china_towns_second__2[[Column1]:[Y]],3,FALSE)</f>
        <v>#N/A</v>
      </c>
      <c r="K433" t="e">
        <f>VLOOKUP(F433,[1]!china_towns_second__2[[Column1]:[Y]],2,FALSE)</f>
        <v>#N/A</v>
      </c>
      <c r="L433" t="s">
        <v>2091</v>
      </c>
      <c r="M433" t="str">
        <f>VLOOKUP(H433,CHOOSE({1,2},Table8[Native],Table8[Name]),2,0)</f>
        <v>Dìngrì Xiàn</v>
      </c>
      <c r="N433" s="13" t="str">
        <f>VLOOKUP(I433,CHOOSE({1,2},Table8[Native],Table8[Name]),2,0)</f>
        <v>Rìkāzé Shì</v>
      </c>
      <c r="O433" s="13" t="str">
        <f t="shared" si="12"/>
        <v>Penji Xiang (Rìkāzé Shì)</v>
      </c>
      <c r="P433" s="13" t="str">
        <f t="shared" si="13"/>
        <v>Penji Xiang (Rìkāzé Shì)</v>
      </c>
    </row>
    <row r="434" spans="1:16" hidden="1" x14ac:dyDescent="0.25">
      <c r="A434" t="s">
        <v>1100</v>
      </c>
      <c r="B434" t="str">
        <f>IF(COUNTIF(A:A,A434)&gt;1,_xlfn.CONCAT(A434," (",N434,")"),A434)</f>
        <v>Piānjí Xiāng</v>
      </c>
      <c r="C434" t="str">
        <f>IF(COUNTIF(B:B,B434)&gt;1,_xlfn.CONCAT(A434," (",M434,")"),B434)</f>
        <v>Piānjí Xiāng</v>
      </c>
      <c r="D434" t="s">
        <v>1101</v>
      </c>
      <c r="E434" t="s">
        <v>7</v>
      </c>
      <c r="F434" t="str">
        <f>_xlfn.CONCAT(D434,", ",H434,", ",I434,", ","西藏自治区")</f>
        <v>偏吉乡, 仲巴县, 日喀则市, 西藏自治区</v>
      </c>
      <c r="G434">
        <v>1706</v>
      </c>
      <c r="H434" t="s">
        <v>1476</v>
      </c>
      <c r="I434" t="s">
        <v>1458</v>
      </c>
      <c r="J434" t="e">
        <f>VLOOKUP(F434,[1]!china_towns_second__2[[Column1]:[Y]],3,FALSE)</f>
        <v>#N/A</v>
      </c>
      <c r="K434" t="e">
        <f>VLOOKUP(F434,[1]!china_towns_second__2[[Column1]:[Y]],2,FALSE)</f>
        <v>#N/A</v>
      </c>
      <c r="L434" t="s">
        <v>2092</v>
      </c>
      <c r="M434" t="str">
        <f>VLOOKUP(H434,CHOOSE({1,2},Table8[Native],Table8[Name]),2,0)</f>
        <v>Zhòngbā Xiàn</v>
      </c>
      <c r="N434" s="13" t="str">
        <f>VLOOKUP(I434,CHOOSE({1,2},Table8[Native],Table8[Name]),2,0)</f>
        <v>Rìkāzé Shì</v>
      </c>
      <c r="O434" s="13" t="str">
        <f t="shared" si="12"/>
        <v>Pianji Xiang (Rìkāzé Shì)</v>
      </c>
      <c r="P434" s="13" t="str">
        <f t="shared" si="13"/>
        <v>Pianji Xiang (Rìkāzé Shì)</v>
      </c>
    </row>
    <row r="435" spans="1:16" hidden="1" x14ac:dyDescent="0.25">
      <c r="A435" t="s">
        <v>1348</v>
      </c>
      <c r="B435" t="str">
        <f>IF(COUNTIF(A:A,A435)&gt;1,_xlfn.CONCAT(A435," (",N435,")"),A435)</f>
        <v>Pōzhāng Xiāng</v>
      </c>
      <c r="C435" t="str">
        <f>IF(COUNTIF(B:B,B435)&gt;1,_xlfn.CONCAT(A435," (",M435,")"),B435)</f>
        <v>Pōzhāng Xiāng</v>
      </c>
      <c r="D435" t="s">
        <v>1349</v>
      </c>
      <c r="E435" t="s">
        <v>7</v>
      </c>
      <c r="F435" t="str">
        <f>_xlfn.CONCAT(D435,", ",H435,", ",I435,", ","西藏自治区")</f>
        <v>颇章乡, 乃东区, 山南市, 西藏自治区</v>
      </c>
      <c r="G435">
        <v>7174</v>
      </c>
      <c r="H435" t="s">
        <v>1485</v>
      </c>
      <c r="I435" t="s">
        <v>1477</v>
      </c>
      <c r="J435" t="e">
        <f>VLOOKUP(F435,[1]!china_towns_second__2[[Column1]:[Y]],3,FALSE)</f>
        <v>#N/A</v>
      </c>
      <c r="K435" t="e">
        <f>VLOOKUP(F435,[1]!china_towns_second__2[[Column1]:[Y]],2,FALSE)</f>
        <v>#N/A</v>
      </c>
      <c r="L435" t="s">
        <v>2093</v>
      </c>
      <c r="M435" t="str">
        <f>VLOOKUP(H435,CHOOSE({1,2},Table8[Native],Table8[Name]),2,0)</f>
        <v>Năidōng Qū</v>
      </c>
      <c r="N435" s="13" t="str">
        <f>VLOOKUP(I435,CHOOSE({1,2},Table8[Native],Table8[Name]),2,0)</f>
        <v>Shānnán Shì</v>
      </c>
      <c r="O435" s="13" t="str">
        <f t="shared" si="12"/>
        <v>Pozhang Xiang (Shānnán Shì)</v>
      </c>
      <c r="P435" s="13" t="str">
        <f t="shared" si="13"/>
        <v>Pozhang Xiang (Shānnán Shì)</v>
      </c>
    </row>
    <row r="436" spans="1:16" x14ac:dyDescent="0.25">
      <c r="A436" t="s">
        <v>753</v>
      </c>
      <c r="B436" t="str">
        <f>IF(COUNTIF(A:A,A436)&gt;1,_xlfn.CONCAT(A436," (",N436,")"),A436)</f>
        <v>Pŭbăo Zhèn</v>
      </c>
      <c r="C436" t="str">
        <f>IF(COUNTIF(B:B,B436)&gt;1,_xlfn.CONCAT(A436," (",M436,")"),B436)</f>
        <v>Pŭbăo Zhèn</v>
      </c>
      <c r="D436" t="s">
        <v>754</v>
      </c>
      <c r="E436" t="s">
        <v>17</v>
      </c>
      <c r="F436" t="str">
        <f>_xlfn.CONCAT(D436,", ",H436,", ",I436,", ","西藏自治区")</f>
        <v>普保镇, 班戈县, 那曲市, 西藏自治区</v>
      </c>
      <c r="G436">
        <v>6753</v>
      </c>
      <c r="H436" t="s">
        <v>1447</v>
      </c>
      <c r="I436" t="s">
        <v>1445</v>
      </c>
      <c r="J436">
        <f>VLOOKUP(F436,[1]!china_towns_second__2[[Column1]:[Y]],3,FALSE)</f>
        <v>31.328274696003302</v>
      </c>
      <c r="K436">
        <f>VLOOKUP(F436,[1]!china_towns_second__2[[Column1]:[Y]],2,FALSE)</f>
        <v>90.15043507</v>
      </c>
      <c r="L436" t="s">
        <v>2094</v>
      </c>
      <c r="M436" t="str">
        <f>VLOOKUP(H436,CHOOSE({1,2},Table8[Native],Table8[Name]),2,0)</f>
        <v>Bāngē Xiàn</v>
      </c>
      <c r="N436" s="13" t="str">
        <f>VLOOKUP(I436,CHOOSE({1,2},Table8[Native],Table8[Name]),2,0)</f>
        <v>Nàqŭ Shì</v>
      </c>
      <c r="O436" s="13" t="str">
        <f t="shared" si="12"/>
        <v>Pubao Zhen (Nàqŭ Shì)</v>
      </c>
      <c r="P436" s="13" t="str">
        <f t="shared" si="13"/>
        <v>Pubao Zhen (Nàqŭ Shì)</v>
      </c>
    </row>
    <row r="437" spans="1:16" hidden="1" x14ac:dyDescent="0.25">
      <c r="A437" t="s">
        <v>1102</v>
      </c>
      <c r="B437" t="str">
        <f>IF(COUNTIF(A:A,A437)&gt;1,_xlfn.CONCAT(A437," (",N437,")"),A437)</f>
        <v>Pŭdāng Xiāng</v>
      </c>
      <c r="C437" t="str">
        <f>IF(COUNTIF(B:B,B437)&gt;1,_xlfn.CONCAT(A437," (",M437,")"),B437)</f>
        <v>Pŭdāng Xiāng</v>
      </c>
      <c r="D437" t="s">
        <v>1103</v>
      </c>
      <c r="E437" t="s">
        <v>7</v>
      </c>
      <c r="F437" t="str">
        <f>_xlfn.CONCAT(D437,", ",H437,", ",I437,", ","西藏自治区")</f>
        <v>普当乡, 南木林县, 日喀则市, 西藏自治区</v>
      </c>
      <c r="G437">
        <v>3227</v>
      </c>
      <c r="H437" t="s">
        <v>1468</v>
      </c>
      <c r="I437" t="s">
        <v>1458</v>
      </c>
      <c r="J437" t="e">
        <f>VLOOKUP(F437,[1]!china_towns_second__2[[Column1]:[Y]],3,FALSE)</f>
        <v>#N/A</v>
      </c>
      <c r="K437" t="e">
        <f>VLOOKUP(F437,[1]!china_towns_second__2[[Column1]:[Y]],2,FALSE)</f>
        <v>#N/A</v>
      </c>
      <c r="L437" t="s">
        <v>2095</v>
      </c>
      <c r="M437" t="str">
        <f>VLOOKUP(H437,CHOOSE({1,2},Table8[Native],Table8[Name]),2,0)</f>
        <v>Nánmùlín Xiàn</v>
      </c>
      <c r="N437" s="13" t="str">
        <f>VLOOKUP(I437,CHOOSE({1,2},Table8[Native],Table8[Name]),2,0)</f>
        <v>Rìkāzé Shì</v>
      </c>
      <c r="O437" s="13" t="str">
        <f t="shared" si="12"/>
        <v>Pudang Xiang (Rìkāzé Shì)</v>
      </c>
      <c r="P437" s="13" t="str">
        <f t="shared" si="13"/>
        <v>Pudang Xiang (Rìkāzé Shì)</v>
      </c>
    </row>
    <row r="438" spans="1:16" x14ac:dyDescent="0.25">
      <c r="A438" t="s">
        <v>50</v>
      </c>
      <c r="B438" t="str">
        <f>IF(COUNTIF(A:A,A438)&gt;1,_xlfn.CONCAT(A438," (",N438,")"),A438)</f>
        <v>Pŭlán Zhèn</v>
      </c>
      <c r="C438" t="str">
        <f>IF(COUNTIF(B:B,B438)&gt;1,_xlfn.CONCAT(A438," (",M438,")"),B438)</f>
        <v>Pŭlán Zhèn</v>
      </c>
      <c r="D438" t="s">
        <v>51</v>
      </c>
      <c r="E438" t="s">
        <v>17</v>
      </c>
      <c r="F438" t="str">
        <f>_xlfn.CONCAT(D438,", ",H438,", ",I438,", ","西藏自治区")</f>
        <v>普兰镇, 普兰县, 阿里地区, 西藏自治区</v>
      </c>
      <c r="G438">
        <v>6047</v>
      </c>
      <c r="H438" t="s">
        <v>1411</v>
      </c>
      <c r="I438" t="s">
        <v>1405</v>
      </c>
      <c r="J438">
        <f>VLOOKUP(F438,[1]!china_towns_second__2[[Column1]:[Y]],3,FALSE)</f>
        <v>30.391158479958399</v>
      </c>
      <c r="K438">
        <f>VLOOKUP(F438,[1]!china_towns_second__2[[Column1]:[Y]],2,FALSE)</f>
        <v>81.130247240000003</v>
      </c>
      <c r="L438" t="s">
        <v>2096</v>
      </c>
      <c r="M438" t="str">
        <f>VLOOKUP(H438,CHOOSE({1,2},Table8[Native],Table8[Name]),2,0)</f>
        <v>Pŭlán Xiàn</v>
      </c>
      <c r="N438" s="13" t="str">
        <f>VLOOKUP(I438,CHOOSE({1,2},Table8[Native],Table8[Name]),2,0)</f>
        <v>Ālĭ Dìqū</v>
      </c>
      <c r="O438" s="13" t="str">
        <f t="shared" si="12"/>
        <v>Pulan Zhen (Ālĭ Dìqū)</v>
      </c>
      <c r="P438" s="13" t="str">
        <f t="shared" si="13"/>
        <v>Pulan Zhen (Ālĭ Dìqū)</v>
      </c>
    </row>
    <row r="439" spans="1:16" hidden="1" x14ac:dyDescent="0.25">
      <c r="A439" t="s">
        <v>1350</v>
      </c>
      <c r="B439" t="str">
        <f>IF(COUNTIF(A:A,A439)&gt;1,_xlfn.CONCAT(A439," (",N439,")"),A439)</f>
        <v>Pŭmăjiāngtáng Xiāng</v>
      </c>
      <c r="C439" t="str">
        <f>IF(COUNTIF(B:B,B439)&gt;1,_xlfn.CONCAT(A439," (",M439,")"),B439)</f>
        <v>Pŭmăjiāngtáng Xiāng</v>
      </c>
      <c r="D439" t="s">
        <v>1351</v>
      </c>
      <c r="E439" t="s">
        <v>7</v>
      </c>
      <c r="F439" t="str">
        <f>_xlfn.CONCAT(D439,", ",H439,", ",I439,", ","西藏自治区")</f>
        <v>普玛江塘乡, 浪卡子县, 山南市, 西藏自治区</v>
      </c>
      <c r="G439">
        <v>979</v>
      </c>
      <c r="H439" t="s">
        <v>1482</v>
      </c>
      <c r="I439" t="s">
        <v>1477</v>
      </c>
      <c r="J439" t="e">
        <f>VLOOKUP(F439,[1]!china_towns_second__2[[Column1]:[Y]],3,FALSE)</f>
        <v>#N/A</v>
      </c>
      <c r="K439" t="e">
        <f>VLOOKUP(F439,[1]!china_towns_second__2[[Column1]:[Y]],2,FALSE)</f>
        <v>#N/A</v>
      </c>
      <c r="L439" t="s">
        <v>2097</v>
      </c>
      <c r="M439" t="str">
        <f>VLOOKUP(H439,CHOOSE({1,2},Table8[Native],Table8[Name]),2,0)</f>
        <v>Làngkăzi Xiàn</v>
      </c>
      <c r="N439" s="13" t="str">
        <f>VLOOKUP(I439,CHOOSE({1,2},Table8[Native],Table8[Name]),2,0)</f>
        <v>Shānnán Shì</v>
      </c>
      <c r="O439" s="13" t="str">
        <f t="shared" si="12"/>
        <v>Pumajiangtang Xiang (Shānnán Shì)</v>
      </c>
      <c r="P439" s="13" t="str">
        <f t="shared" si="13"/>
        <v>Pumajiangtang Xiang (Shānnán Shì)</v>
      </c>
    </row>
    <row r="440" spans="1:16" hidden="1" x14ac:dyDescent="0.25">
      <c r="A440" t="s">
        <v>462</v>
      </c>
      <c r="B440" t="str">
        <f>IF(COUNTIF(A:A,A440)&gt;1,_xlfn.CONCAT(A440," (",N440,")"),A440)</f>
        <v>Pŭsōng Xiāng (Lāsà Shì)</v>
      </c>
      <c r="C440" t="str">
        <f>IF(COUNTIF(B:B,B440)&gt;1,_xlfn.CONCAT(A440," (",M440,")"),B440)</f>
        <v>Pŭsōng Xiāng (Lāsà Shì)</v>
      </c>
      <c r="D440" t="s">
        <v>463</v>
      </c>
      <c r="E440" t="s">
        <v>7</v>
      </c>
      <c r="F440" t="str">
        <f>_xlfn.CONCAT(D440,", ",H440,", ",I440,", ","西藏自治区")</f>
        <v>普松乡, 尼木县, 拉萨市, 西藏自治区</v>
      </c>
      <c r="G440">
        <v>2108</v>
      </c>
      <c r="H440" t="s">
        <v>1435</v>
      </c>
      <c r="I440" t="s">
        <v>1428</v>
      </c>
      <c r="J440" t="e">
        <f>VLOOKUP(F440,[1]!china_towns_second__2[[Column1]:[Y]],3,FALSE)</f>
        <v>#N/A</v>
      </c>
      <c r="K440" t="e">
        <f>VLOOKUP(F440,[1]!china_towns_second__2[[Column1]:[Y]],2,FALSE)</f>
        <v>#N/A</v>
      </c>
      <c r="L440" t="s">
        <v>2098</v>
      </c>
      <c r="M440" t="str">
        <f>VLOOKUP(H440,CHOOSE({1,2},Table8[Native],Table8[Name]),2,0)</f>
        <v>Nímù Xiàn</v>
      </c>
      <c r="N440" s="13" t="str">
        <f>VLOOKUP(I440,CHOOSE({1,2},Table8[Native],Table8[Name]),2,0)</f>
        <v>Lāsà Shì</v>
      </c>
      <c r="O440" s="13" t="str">
        <f t="shared" si="12"/>
        <v>Pusong Xiang (Lasa Shi) (Lāsà Shì)</v>
      </c>
      <c r="P440" s="13" t="str">
        <f t="shared" si="13"/>
        <v>Pusong Xiang (Lasa Shi) (Lāsà Shì)</v>
      </c>
    </row>
    <row r="441" spans="1:16" hidden="1" x14ac:dyDescent="0.25">
      <c r="A441" t="s">
        <v>462</v>
      </c>
      <c r="B441" t="str">
        <f>IF(COUNTIF(A:A,A441)&gt;1,_xlfn.CONCAT(A441," (",N441,")"),A441)</f>
        <v>Pŭsōng Xiāng (Rìkāzé Shì)</v>
      </c>
      <c r="C441" t="str">
        <f>IF(COUNTIF(B:B,B441)&gt;1,_xlfn.CONCAT(A441," (",M441,")"),B441)</f>
        <v>Pŭsōng Xiāng (Rìkāzé Shì)</v>
      </c>
      <c r="D441" t="s">
        <v>463</v>
      </c>
      <c r="E441" t="s">
        <v>7</v>
      </c>
      <c r="F441" t="str">
        <f>_xlfn.CONCAT(D441,", ",H441,", ",I441,", ","西藏自治区")</f>
        <v>普松乡, 仁布县, 日喀则市, 西藏自治区</v>
      </c>
      <c r="G441">
        <v>1763</v>
      </c>
      <c r="H441" t="s">
        <v>1470</v>
      </c>
      <c r="I441" t="s">
        <v>1458</v>
      </c>
      <c r="J441" t="e">
        <f>VLOOKUP(F441,[1]!china_towns_second__2[[Column1]:[Y]],3,FALSE)</f>
        <v>#N/A</v>
      </c>
      <c r="K441" t="e">
        <f>VLOOKUP(F441,[1]!china_towns_second__2[[Column1]:[Y]],2,FALSE)</f>
        <v>#N/A</v>
      </c>
      <c r="L441" t="s">
        <v>2099</v>
      </c>
      <c r="M441" t="str">
        <f>VLOOKUP(H441,CHOOSE({1,2},Table8[Native],Table8[Name]),2,0)</f>
        <v>Rénbù Xiàn</v>
      </c>
      <c r="N441" s="13" t="str">
        <f>VLOOKUP(I441,CHOOSE({1,2},Table8[Native],Table8[Name]),2,0)</f>
        <v>Rìkāzé Shì</v>
      </c>
      <c r="O441" s="13" t="str">
        <f t="shared" si="12"/>
        <v>Pusong Xiang (Rikaze Shi) (Rìkāzé Shì)</v>
      </c>
      <c r="P441" s="13" t="str">
        <f t="shared" si="13"/>
        <v>Pusong Xiang (Rikaze Shi) (Rìkāzé Shì)</v>
      </c>
    </row>
    <row r="442" spans="1:16" hidden="1" x14ac:dyDescent="0.25">
      <c r="A442" t="s">
        <v>1104</v>
      </c>
      <c r="B442" t="str">
        <f>IF(COUNTIF(A:A,A442)&gt;1,_xlfn.CONCAT(A442," (",N442,")"),A442)</f>
        <v>Qiángduī Xiāng</v>
      </c>
      <c r="C442" t="str">
        <f>IF(COUNTIF(B:B,B442)&gt;1,_xlfn.CONCAT(A442," (",M442,")"),B442)</f>
        <v>Qiángduī Xiāng</v>
      </c>
      <c r="D442" t="s">
        <v>1105</v>
      </c>
      <c r="E442" t="s">
        <v>7</v>
      </c>
      <c r="F442" t="str">
        <f>_xlfn.CONCAT(D442,", ",H442,", ",I442,", ","西藏自治区")</f>
        <v>强堆乡, 白朗县, 日喀则市, 西藏自治区</v>
      </c>
      <c r="G442">
        <v>2369</v>
      </c>
      <c r="H442" t="s">
        <v>1460</v>
      </c>
      <c r="I442" t="s">
        <v>1458</v>
      </c>
      <c r="J442" t="e">
        <f>VLOOKUP(F442,[1]!china_towns_second__2[[Column1]:[Y]],3,FALSE)</f>
        <v>#N/A</v>
      </c>
      <c r="K442" t="e">
        <f>VLOOKUP(F442,[1]!china_towns_second__2[[Column1]:[Y]],2,FALSE)</f>
        <v>#N/A</v>
      </c>
      <c r="L442" t="s">
        <v>2100</v>
      </c>
      <c r="M442" t="str">
        <f>VLOOKUP(H442,CHOOSE({1,2},Table8[Native],Table8[Name]),2,0)</f>
        <v>Báilăng Xiàn</v>
      </c>
      <c r="N442" s="13" t="str">
        <f>VLOOKUP(I442,CHOOSE({1,2},Table8[Native],Table8[Name]),2,0)</f>
        <v>Rìkāzé Shì</v>
      </c>
      <c r="O442" s="13" t="str">
        <f t="shared" si="12"/>
        <v>Qiangdui Xiang (Rìkāzé Shì)</v>
      </c>
      <c r="P442" s="13" t="str">
        <f t="shared" si="13"/>
        <v>Qiangdui Xiang (Rìkāzé Shì)</v>
      </c>
    </row>
    <row r="443" spans="1:16" hidden="1" x14ac:dyDescent="0.25">
      <c r="A443" t="s">
        <v>464</v>
      </c>
      <c r="B443" t="str">
        <f>IF(COUNTIF(A:A,A443)&gt;1,_xlfn.CONCAT(A443," (",N443,")"),A443)</f>
        <v>Qiánggā Xiāng</v>
      </c>
      <c r="C443" t="str">
        <f>IF(COUNTIF(B:B,B443)&gt;1,_xlfn.CONCAT(A443," (",M443,")"),B443)</f>
        <v>Qiánggā Xiāng</v>
      </c>
      <c r="D443" t="s">
        <v>465</v>
      </c>
      <c r="E443" t="s">
        <v>7</v>
      </c>
      <c r="F443" t="str">
        <f>_xlfn.CONCAT(D443,", ",H443,", ",I443,", ","西藏自治区")</f>
        <v>强嘎乡, 林周县, 拉萨市, 西藏自治区</v>
      </c>
      <c r="G443">
        <v>5318</v>
      </c>
      <c r="H443" t="s">
        <v>1433</v>
      </c>
      <c r="I443" t="s">
        <v>1428</v>
      </c>
      <c r="J443" t="e">
        <f>VLOOKUP(F443,[1]!china_towns_second__2[[Column1]:[Y]],3,FALSE)</f>
        <v>#N/A</v>
      </c>
      <c r="K443" t="e">
        <f>VLOOKUP(F443,[1]!china_towns_second__2[[Column1]:[Y]],2,FALSE)</f>
        <v>#N/A</v>
      </c>
      <c r="L443" t="s">
        <v>2101</v>
      </c>
      <c r="M443" t="str">
        <f>VLOOKUP(H443,CHOOSE({1,2},Table8[Native],Table8[Name]),2,0)</f>
        <v>Línzhōu Xiàn</v>
      </c>
      <c r="N443" s="13" t="str">
        <f>VLOOKUP(I443,CHOOSE({1,2},Table8[Native],Table8[Name]),2,0)</f>
        <v>Lāsà Shì</v>
      </c>
      <c r="O443" s="13" t="str">
        <f t="shared" si="12"/>
        <v>Qiangga Xiang (Lāsà Shì)</v>
      </c>
      <c r="P443" s="13" t="str">
        <f t="shared" si="13"/>
        <v>Qiangga Xiang (Lāsà Shì)</v>
      </c>
    </row>
    <row r="444" spans="1:16" x14ac:dyDescent="0.25">
      <c r="A444" t="s">
        <v>755</v>
      </c>
      <c r="B444" t="str">
        <f>IF(COUNTIF(A:A,A444)&gt;1,_xlfn.CONCAT(A444," (",N444,")"),A444)</f>
        <v>Qiángmă Zhèn</v>
      </c>
      <c r="C444" t="str">
        <f>IF(COUNTIF(B:B,B444)&gt;1,_xlfn.CONCAT(A444," (",M444,")"),B444)</f>
        <v>Qiángmă Zhèn</v>
      </c>
      <c r="D444" t="s">
        <v>756</v>
      </c>
      <c r="E444" t="s">
        <v>17</v>
      </c>
      <c r="F444" t="str">
        <f>_xlfn.CONCAT(D444,", ",H444,", ",I444,", ","西藏自治区")</f>
        <v>强玛镇, 安多县, 那曲市, 西藏自治区</v>
      </c>
      <c r="G444">
        <v>4461</v>
      </c>
      <c r="H444" t="s">
        <v>1446</v>
      </c>
      <c r="I444" t="s">
        <v>1445</v>
      </c>
      <c r="J444">
        <f>VLOOKUP(F444,[1]!china_towns_second__2[[Column1]:[Y]],3,FALSE)</f>
        <v>31.946885516733701</v>
      </c>
      <c r="K444">
        <f>VLOOKUP(F444,[1]!china_towns_second__2[[Column1]:[Y]],2,FALSE)</f>
        <v>90.983746409999995</v>
      </c>
      <c r="L444" t="s">
        <v>2102</v>
      </c>
      <c r="M444" t="str">
        <f>VLOOKUP(H444,CHOOSE({1,2},Table8[Native],Table8[Name]),2,0)</f>
        <v>Ānduō Xiàn</v>
      </c>
      <c r="N444" s="13" t="str">
        <f>VLOOKUP(I444,CHOOSE({1,2},Table8[Native],Table8[Name]),2,0)</f>
        <v>Nàqŭ Shì</v>
      </c>
      <c r="O444" s="13" t="str">
        <f t="shared" si="12"/>
        <v>Qiangma Zhen (Nàqŭ Shì)</v>
      </c>
      <c r="P444" s="13" t="str">
        <f t="shared" si="13"/>
        <v>Qiangma Zhen (Nàqŭ Shì)</v>
      </c>
    </row>
    <row r="445" spans="1:16" hidden="1" x14ac:dyDescent="0.25">
      <c r="A445" t="s">
        <v>583</v>
      </c>
      <c r="B445" t="str">
        <f>IF(COUNTIF(A:A,A445)&gt;1,_xlfn.CONCAT(A445," (",N445,")"),A445)</f>
        <v>Qiāngnà Xiāng</v>
      </c>
      <c r="C445" t="str">
        <f>IF(COUNTIF(B:B,B445)&gt;1,_xlfn.CONCAT(A445," (",M445,")"),B445)</f>
        <v>Qiāngnà Xiāng</v>
      </c>
      <c r="D445" t="s">
        <v>584</v>
      </c>
      <c r="E445" t="s">
        <v>7</v>
      </c>
      <c r="F445" t="str">
        <f>_xlfn.CONCAT(D445,", ",H445,", ",I445,", ","西藏自治区")</f>
        <v>羌纳乡, 米林县, 林芝市, 西藏自治区</v>
      </c>
      <c r="G445">
        <v>2717</v>
      </c>
      <c r="H445" t="s">
        <v>1443</v>
      </c>
      <c r="I445" t="s">
        <v>1437</v>
      </c>
      <c r="J445" t="e">
        <f>VLOOKUP(F445,[1]!china_towns_second__2[[Column1]:[Y]],3,FALSE)</f>
        <v>#N/A</v>
      </c>
      <c r="K445" t="e">
        <f>VLOOKUP(F445,[1]!china_towns_second__2[[Column1]:[Y]],2,FALSE)</f>
        <v>#N/A</v>
      </c>
      <c r="L445" t="s">
        <v>2103</v>
      </c>
      <c r="M445" t="str">
        <f>VLOOKUP(H445,CHOOSE({1,2},Table8[Native],Table8[Name]),2,0)</f>
        <v>Mĭlín Xiàn</v>
      </c>
      <c r="N445" s="13" t="str">
        <f>VLOOKUP(I445,CHOOSE({1,2},Table8[Native],Table8[Name]),2,0)</f>
        <v>Línzhī Shì</v>
      </c>
      <c r="O445" s="13" t="str">
        <f t="shared" si="12"/>
        <v>Qiangna Xiang (Línzhī Shì)</v>
      </c>
      <c r="P445" s="13" t="str">
        <f t="shared" si="13"/>
        <v>Qiangna Xiang (Línzhī Shì)</v>
      </c>
    </row>
    <row r="446" spans="1:16" hidden="1" x14ac:dyDescent="0.25">
      <c r="A446" t="s">
        <v>757</v>
      </c>
      <c r="B446" t="str">
        <f>IF(COUNTIF(A:A,A446)&gt;1,_xlfn.CONCAT(A446," (",N446,")"),A446)</f>
        <v>Qiàzé Xiāng</v>
      </c>
      <c r="C446" t="str">
        <f>IF(COUNTIF(B:B,B446)&gt;1,_xlfn.CONCAT(A446," (",M446,")"),B446)</f>
        <v>Qiàzé Xiāng</v>
      </c>
      <c r="D446" t="s">
        <v>758</v>
      </c>
      <c r="E446" t="s">
        <v>7</v>
      </c>
      <c r="F446" t="str">
        <f>_xlfn.CONCAT(D446,", ",H446,", ",I446,", ","西藏自治区")</f>
        <v>恰则乡, 比如县, 那曲市, 西藏自治区</v>
      </c>
      <c r="G446">
        <v>1467</v>
      </c>
      <c r="H446" t="s">
        <v>1449</v>
      </c>
      <c r="I446" t="s">
        <v>1445</v>
      </c>
      <c r="J446" t="e">
        <f>VLOOKUP(F446,[1]!china_towns_second__2[[Column1]:[Y]],3,FALSE)</f>
        <v>#N/A</v>
      </c>
      <c r="K446" t="e">
        <f>VLOOKUP(F446,[1]!china_towns_second__2[[Column1]:[Y]],2,FALSE)</f>
        <v>#N/A</v>
      </c>
      <c r="L446" t="s">
        <v>2104</v>
      </c>
      <c r="M446" t="str">
        <f>VLOOKUP(H446,CHOOSE({1,2},Table8[Native],Table8[Name]),2,0)</f>
        <v>Bĭrú Xiàn</v>
      </c>
      <c r="N446" s="13" t="str">
        <f>VLOOKUP(I446,CHOOSE({1,2},Table8[Native],Table8[Name]),2,0)</f>
        <v>Nàqŭ Shì</v>
      </c>
      <c r="O446" s="13" t="str">
        <f t="shared" si="12"/>
        <v>Qiaze Xiang (Nàqŭ Shì)</v>
      </c>
      <c r="P446" s="13" t="str">
        <f t="shared" si="13"/>
        <v>Qiaze Xiang (Nàqŭ Shì)</v>
      </c>
    </row>
    <row r="447" spans="1:16" hidden="1" x14ac:dyDescent="0.25">
      <c r="A447" t="s">
        <v>1106</v>
      </c>
      <c r="B447" t="str">
        <f>IF(COUNTIF(A:A,A447)&gt;1,_xlfn.CONCAT(A447," (",N447,")"),A447)</f>
        <v>Qièqióng Xiāng</v>
      </c>
      <c r="C447" t="str">
        <f>IF(COUNTIF(B:B,B447)&gt;1,_xlfn.CONCAT(A447," (",M447,")"),B447)</f>
        <v>Qièqióng Xiāng</v>
      </c>
      <c r="D447" t="s">
        <v>1107</v>
      </c>
      <c r="E447" t="s">
        <v>7</v>
      </c>
      <c r="F447" t="str">
        <f>_xlfn.CONCAT(D447,", ",H447,", ",I447,", ","西藏自治区")</f>
        <v>切琼乡, 谢通门县, 日喀则市, 西藏自治区</v>
      </c>
      <c r="G447">
        <v>620</v>
      </c>
      <c r="H447" t="s">
        <v>1474</v>
      </c>
      <c r="I447" t="s">
        <v>1458</v>
      </c>
      <c r="J447" t="e">
        <f>VLOOKUP(F447,[1]!china_towns_second__2[[Column1]:[Y]],3,FALSE)</f>
        <v>#N/A</v>
      </c>
      <c r="K447" t="e">
        <f>VLOOKUP(F447,[1]!china_towns_second__2[[Column1]:[Y]],2,FALSE)</f>
        <v>#N/A</v>
      </c>
      <c r="L447" t="s">
        <v>2105</v>
      </c>
      <c r="M447" t="str">
        <f>VLOOKUP(H447,CHOOSE({1,2},Table8[Native],Table8[Name]),2,0)</f>
        <v>Xiètōngmén Xiàn</v>
      </c>
      <c r="N447" s="13" t="str">
        <f>VLOOKUP(I447,CHOOSE({1,2},Table8[Native],Table8[Name]),2,0)</f>
        <v>Rìkāzé Shì</v>
      </c>
      <c r="O447" s="13" t="str">
        <f t="shared" si="12"/>
        <v>Qieqiong Xiang (Rìkāzé Shì)</v>
      </c>
      <c r="P447" s="13" t="str">
        <f t="shared" si="13"/>
        <v>Qieqiong Xiang (Rìkāzé Shì)</v>
      </c>
    </row>
    <row r="448" spans="1:16" hidden="1" x14ac:dyDescent="0.25">
      <c r="A448" t="s">
        <v>1108</v>
      </c>
      <c r="B448" t="str">
        <f>IF(COUNTIF(A:A,A448)&gt;1,_xlfn.CONCAT(A448," (",N448,")"),A448)</f>
        <v>Qièrè Xiāng</v>
      </c>
      <c r="C448" t="str">
        <f>IF(COUNTIF(B:B,B448)&gt;1,_xlfn.CONCAT(A448," (",M448,")"),B448)</f>
        <v>Qièrè Xiāng</v>
      </c>
      <c r="D448" t="s">
        <v>1109</v>
      </c>
      <c r="E448" t="s">
        <v>7</v>
      </c>
      <c r="F448" t="str">
        <f>_xlfn.CONCAT(D448,", ",H448,", ",I448,", ","西藏自治区")</f>
        <v>切热乡, 昂仁县, 日喀则市, 西藏自治区</v>
      </c>
      <c r="G448">
        <v>1316</v>
      </c>
      <c r="H448" t="s">
        <v>1459</v>
      </c>
      <c r="I448" t="s">
        <v>1458</v>
      </c>
      <c r="J448" t="e">
        <f>VLOOKUP(F448,[1]!china_towns_second__2[[Column1]:[Y]],3,FALSE)</f>
        <v>#N/A</v>
      </c>
      <c r="K448" t="e">
        <f>VLOOKUP(F448,[1]!china_towns_second__2[[Column1]:[Y]],2,FALSE)</f>
        <v>#N/A</v>
      </c>
      <c r="L448" t="s">
        <v>2106</v>
      </c>
      <c r="M448" t="str">
        <f>VLOOKUP(H448,CHOOSE({1,2},Table8[Native],Table8[Name]),2,0)</f>
        <v>Ángrén Xiàn</v>
      </c>
      <c r="N448" s="13" t="str">
        <f>VLOOKUP(I448,CHOOSE({1,2},Table8[Native],Table8[Name]),2,0)</f>
        <v>Rìkāzé Shì</v>
      </c>
      <c r="O448" s="13" t="str">
        <f t="shared" si="12"/>
        <v>Qiere Xiang (Rìkāzé Shì)</v>
      </c>
      <c r="P448" s="13" t="str">
        <f t="shared" si="13"/>
        <v>Qiere Xiang (Rìkāzé Shì)</v>
      </c>
    </row>
    <row r="449" spans="1:16" hidden="1" x14ac:dyDescent="0.25">
      <c r="A449" t="s">
        <v>1110</v>
      </c>
      <c r="B449" t="str">
        <f>IF(COUNTIF(A:A,A449)&gt;1,_xlfn.CONCAT(A449," (",N449,")"),A449)</f>
        <v>Qièwá Xiāng</v>
      </c>
      <c r="C449" t="str">
        <f>IF(COUNTIF(B:B,B449)&gt;1,_xlfn.CONCAT(A449," (",M449,")"),B449)</f>
        <v>Qièwá Xiāng</v>
      </c>
      <c r="D449" t="s">
        <v>1111</v>
      </c>
      <c r="E449" t="s">
        <v>7</v>
      </c>
      <c r="F449" t="str">
        <f>_xlfn.CONCAT(D449,", ",H449,", ",I449,", ","西藏自治区")</f>
        <v>切娃乡, 仁布县, 日喀则市, 西藏自治区</v>
      </c>
      <c r="G449">
        <v>3605</v>
      </c>
      <c r="H449" t="s">
        <v>1470</v>
      </c>
      <c r="I449" t="s">
        <v>1458</v>
      </c>
      <c r="J449" t="e">
        <f>VLOOKUP(F449,[1]!china_towns_second__2[[Column1]:[Y]],3,FALSE)</f>
        <v>#N/A</v>
      </c>
      <c r="K449" t="e">
        <f>VLOOKUP(F449,[1]!china_towns_second__2[[Column1]:[Y]],2,FALSE)</f>
        <v>#N/A</v>
      </c>
      <c r="L449" t="s">
        <v>2107</v>
      </c>
      <c r="M449" t="str">
        <f>VLOOKUP(H449,CHOOSE({1,2},Table8[Native],Table8[Name]),2,0)</f>
        <v>Rénbù Xiàn</v>
      </c>
      <c r="N449" s="13" t="str">
        <f>VLOOKUP(I449,CHOOSE({1,2},Table8[Native],Table8[Name]),2,0)</f>
        <v>Rìkāzé Shì</v>
      </c>
      <c r="O449" s="13" t="str">
        <f t="shared" si="12"/>
        <v>Qiewa Xiang (Rìkāzé Shì)</v>
      </c>
      <c r="P449" s="13" t="str">
        <f t="shared" si="13"/>
        <v>Qiewa Xiang (Rìkāzé Shì)</v>
      </c>
    </row>
    <row r="450" spans="1:16" hidden="1" x14ac:dyDescent="0.25">
      <c r="A450" t="s">
        <v>1112</v>
      </c>
      <c r="B450" t="str">
        <f>IF(COUNTIF(A:A,A450)&gt;1,_xlfn.CONCAT(A450," (",N450,")"),A450)</f>
        <v>Qīngdū Xiāng</v>
      </c>
      <c r="C450" t="str">
        <f>IF(COUNTIF(B:B,B450)&gt;1,_xlfn.CONCAT(A450," (",M450,")"),B450)</f>
        <v>Qīngdū Xiāng</v>
      </c>
      <c r="D450" t="s">
        <v>1113</v>
      </c>
      <c r="E450" t="s">
        <v>7</v>
      </c>
      <c r="F450" t="str">
        <f>_xlfn.CONCAT(D450,", ",H450,", ",I450,", ","西藏自治区")</f>
        <v>青都乡, 谢通门县, 日喀则市, 西藏自治区</v>
      </c>
      <c r="G450">
        <v>656</v>
      </c>
      <c r="H450" t="s">
        <v>1474</v>
      </c>
      <c r="I450" t="s">
        <v>1458</v>
      </c>
      <c r="J450" t="e">
        <f>VLOOKUP(F450,[1]!china_towns_second__2[[Column1]:[Y]],3,FALSE)</f>
        <v>#N/A</v>
      </c>
      <c r="K450" t="e">
        <f>VLOOKUP(F450,[1]!china_towns_second__2[[Column1]:[Y]],2,FALSE)</f>
        <v>#N/A</v>
      </c>
      <c r="L450" t="s">
        <v>2108</v>
      </c>
      <c r="M450" t="str">
        <f>VLOOKUP(H450,CHOOSE({1,2},Table8[Native],Table8[Name]),2,0)</f>
        <v>Xiètōngmén Xiàn</v>
      </c>
      <c r="N450" s="13" t="str">
        <f>VLOOKUP(I450,CHOOSE({1,2},Table8[Native],Table8[Name]),2,0)</f>
        <v>Rìkāzé Shì</v>
      </c>
      <c r="O450" s="13" t="str">
        <f t="shared" ref="O450:O513" si="14">_xlfn.CONCAT(L450," (",N450,")")</f>
        <v>Qingdu Xiang (Rìkāzé Shì)</v>
      </c>
      <c r="P450" s="13" t="str">
        <f t="shared" ref="P450:P513" si="15">IF(COUNTIF(O:O,O450)&gt;1,_xlfn.CONCAT(L450," (",M450,")"),O450)</f>
        <v>Qingdu Xiang (Rìkāzé Shì)</v>
      </c>
    </row>
    <row r="451" spans="1:16" x14ac:dyDescent="0.25">
      <c r="A451" t="s">
        <v>585</v>
      </c>
      <c r="B451" t="str">
        <f>IF(COUNTIF(A:A,A451)&gt;1,_xlfn.CONCAT(A451," (",N451,")"),A451)</f>
        <v>Qīngduō Zhèn</v>
      </c>
      <c r="C451" t="str">
        <f>IF(COUNTIF(B:B,B451)&gt;1,_xlfn.CONCAT(A451," (",M451,")"),B451)</f>
        <v>Qīngduō Zhèn</v>
      </c>
      <c r="D451" t="s">
        <v>586</v>
      </c>
      <c r="E451" t="s">
        <v>17</v>
      </c>
      <c r="F451" t="str">
        <f>_xlfn.CONCAT(D451,", ",H451,", ",I451,", ","西藏自治区")</f>
        <v>倾多镇, 波密县, 林芝市, 西藏自治区</v>
      </c>
      <c r="G451">
        <v>5402</v>
      </c>
      <c r="H451" t="s">
        <v>1439</v>
      </c>
      <c r="I451" t="s">
        <v>1437</v>
      </c>
      <c r="J451">
        <f>VLOOKUP(F451,[1]!china_towns_second__2[[Column1]:[Y]],3,FALSE)</f>
        <v>30.187433609344801</v>
      </c>
      <c r="K451">
        <f>VLOOKUP(F451,[1]!china_towns_second__2[[Column1]:[Y]],2,FALSE)</f>
        <v>95.728973089999997</v>
      </c>
      <c r="L451" t="s">
        <v>2109</v>
      </c>
      <c r="M451" t="str">
        <f>VLOOKUP(H451,CHOOSE({1,2},Table8[Native],Table8[Name]),2,0)</f>
        <v>Bōmì Xiàn</v>
      </c>
      <c r="N451" s="13" t="str">
        <f>VLOOKUP(I451,CHOOSE({1,2},Table8[Native],Table8[Name]),2,0)</f>
        <v>Línzhī Shì</v>
      </c>
      <c r="O451" s="13" t="str">
        <f t="shared" si="14"/>
        <v>Qingduo Zhen (Línzhī Shì)</v>
      </c>
      <c r="P451" s="13" t="str">
        <f t="shared" si="15"/>
        <v>Qingduo Zhen (Línzhī Shì)</v>
      </c>
    </row>
    <row r="452" spans="1:16" hidden="1" x14ac:dyDescent="0.25">
      <c r="A452" t="s">
        <v>759</v>
      </c>
      <c r="B452" t="str">
        <f>IF(COUNTIF(A:A,A452)&gt;1,_xlfn.CONCAT(A452," (",N452,")"),A452)</f>
        <v>Qīnglóng Xiāng</v>
      </c>
      <c r="C452" t="str">
        <f>IF(COUNTIF(B:B,B452)&gt;1,_xlfn.CONCAT(A452," (",M452,")"),B452)</f>
        <v>Qīnglóng Xiāng</v>
      </c>
      <c r="D452" t="s">
        <v>760</v>
      </c>
      <c r="E452" t="s">
        <v>7</v>
      </c>
      <c r="F452" t="str">
        <f>_xlfn.CONCAT(D452,", ",H452,", ",I452,", ","西藏自治区")</f>
        <v>青龙乡, 班戈县, 那曲市, 西藏自治区</v>
      </c>
      <c r="G452">
        <v>3792</v>
      </c>
      <c r="H452" t="s">
        <v>1447</v>
      </c>
      <c r="I452" t="s">
        <v>1445</v>
      </c>
      <c r="J452" t="e">
        <f>VLOOKUP(F452,[1]!china_towns_second__2[[Column1]:[Y]],3,FALSE)</f>
        <v>#N/A</v>
      </c>
      <c r="K452" t="e">
        <f>VLOOKUP(F452,[1]!china_towns_second__2[[Column1]:[Y]],2,FALSE)</f>
        <v>#N/A</v>
      </c>
      <c r="L452" t="s">
        <v>2110</v>
      </c>
      <c r="M452" t="str">
        <f>VLOOKUP(H452,CHOOSE({1,2},Table8[Native],Table8[Name]),2,0)</f>
        <v>Bāngē Xiàn</v>
      </c>
      <c r="N452" s="13" t="str">
        <f>VLOOKUP(I452,CHOOSE({1,2},Table8[Native],Table8[Name]),2,0)</f>
        <v>Nàqŭ Shì</v>
      </c>
      <c r="O452" s="13" t="str">
        <f t="shared" si="14"/>
        <v>Qinglong Xiang (Nàqŭ Shì)</v>
      </c>
      <c r="P452" s="13" t="str">
        <f t="shared" si="15"/>
        <v>Qinglong Xiang (Nàqŭ Shì)</v>
      </c>
    </row>
    <row r="453" spans="1:16" hidden="1" x14ac:dyDescent="0.25">
      <c r="A453" t="s">
        <v>259</v>
      </c>
      <c r="B453" t="str">
        <f>IF(COUNTIF(A:A,A453)&gt;1,_xlfn.CONCAT(A453," (",N453,")"),A453)</f>
        <v>Qīngnídòng Xiāng</v>
      </c>
      <c r="C453" t="str">
        <f>IF(COUNTIF(B:B,B453)&gt;1,_xlfn.CONCAT(A453," (",M453,")"),B453)</f>
        <v>Qīngnídòng Xiāng</v>
      </c>
      <c r="D453" t="s">
        <v>260</v>
      </c>
      <c r="E453" t="s">
        <v>7</v>
      </c>
      <c r="F453" t="str">
        <f>_xlfn.CONCAT(D453,", ",H453,", ",I453,", ","西藏自治区")</f>
        <v>青泥洞乡, 江达县, 昌都市, 西藏自治区</v>
      </c>
      <c r="G453">
        <v>3998</v>
      </c>
      <c r="H453" t="s">
        <v>1421</v>
      </c>
      <c r="I453" t="s">
        <v>1415</v>
      </c>
      <c r="J453" t="e">
        <f>VLOOKUP(F453,[1]!china_towns_second__2[[Column1]:[Y]],3,FALSE)</f>
        <v>#N/A</v>
      </c>
      <c r="K453" t="e">
        <f>VLOOKUP(F453,[1]!china_towns_second__2[[Column1]:[Y]],2,FALSE)</f>
        <v>#N/A</v>
      </c>
      <c r="L453" t="s">
        <v>2111</v>
      </c>
      <c r="M453" t="str">
        <f>VLOOKUP(H453,CHOOSE({1,2},Table8[Native],Table8[Name]),2,0)</f>
        <v>Jiāngdá Xiàn</v>
      </c>
      <c r="N453" s="13" t="str">
        <f>VLOOKUP(I453,CHOOSE({1,2},Table8[Native],Table8[Name]),2,0)</f>
        <v>Chāngdū Shì</v>
      </c>
      <c r="O453" s="13" t="str">
        <f t="shared" si="14"/>
        <v>Qingnidong Xiang (Chāngdū Shì)</v>
      </c>
      <c r="P453" s="13" t="str">
        <f t="shared" si="15"/>
        <v>Qingnidong Xiang (Chāngdū Shì)</v>
      </c>
    </row>
    <row r="454" spans="1:16" hidden="1" x14ac:dyDescent="0.25">
      <c r="A454" t="s">
        <v>1114</v>
      </c>
      <c r="B454" t="str">
        <f>IF(COUNTIF(A:A,A454)&gt;1,_xlfn.CONCAT(A454," (",N454,")"),A454)</f>
        <v>Qióngguŏ Xiāng</v>
      </c>
      <c r="C454" t="str">
        <f>IF(COUNTIF(B:B,B454)&gt;1,_xlfn.CONCAT(A454," (",M454,")"),B454)</f>
        <v>Qióngguŏ Xiāng</v>
      </c>
      <c r="D454" t="s">
        <v>1115</v>
      </c>
      <c r="E454" t="s">
        <v>7</v>
      </c>
      <c r="F454" t="str">
        <f>_xlfn.CONCAT(D454,", ",H454,", ",I454,", ","西藏自治区")</f>
        <v>琼果乡, 仲巴县, 日喀则市, 西藏自治区</v>
      </c>
      <c r="G454">
        <v>1315</v>
      </c>
      <c r="H454" t="s">
        <v>1476</v>
      </c>
      <c r="I454" t="s">
        <v>1458</v>
      </c>
      <c r="J454" t="e">
        <f>VLOOKUP(F454,[1]!china_towns_second__2[[Column1]:[Y]],3,FALSE)</f>
        <v>#N/A</v>
      </c>
      <c r="K454" t="e">
        <f>VLOOKUP(F454,[1]!china_towns_second__2[[Column1]:[Y]],2,FALSE)</f>
        <v>#N/A</v>
      </c>
      <c r="L454" t="s">
        <v>2112</v>
      </c>
      <c r="M454" t="str">
        <f>VLOOKUP(H454,CHOOSE({1,2},Table8[Native],Table8[Name]),2,0)</f>
        <v>Zhòngbā Xiàn</v>
      </c>
      <c r="N454" s="13" t="str">
        <f>VLOOKUP(I454,CHOOSE({1,2},Table8[Native],Table8[Name]),2,0)</f>
        <v>Rìkāzé Shì</v>
      </c>
      <c r="O454" s="13" t="str">
        <f t="shared" si="14"/>
        <v>Qiongguo Xiang (Rìkāzé Shì)</v>
      </c>
      <c r="P454" s="13" t="str">
        <f t="shared" si="15"/>
        <v>Qiongguo Xiang (Rìkāzé Shì)</v>
      </c>
    </row>
    <row r="455" spans="1:16" x14ac:dyDescent="0.25">
      <c r="A455" t="s">
        <v>1352</v>
      </c>
      <c r="B455" t="str">
        <f>IF(COUNTIF(A:A,A455)&gt;1,_xlfn.CONCAT(A455," (",N455,")"),A455)</f>
        <v>Qióngjié Zhèn</v>
      </c>
      <c r="C455" t="str">
        <f>IF(COUNTIF(B:B,B455)&gt;1,_xlfn.CONCAT(A455," (",M455,")"),B455)</f>
        <v>Qióngjié Zhèn</v>
      </c>
      <c r="D455" t="s">
        <v>1353</v>
      </c>
      <c r="E455" t="s">
        <v>17</v>
      </c>
      <c r="F455" t="str">
        <f>_xlfn.CONCAT(D455,", ",H455,", ",I455,", ","西藏自治区")</f>
        <v>琼结镇, 琼结县, 山南市, 西藏自治区</v>
      </c>
      <c r="G455">
        <v>5155</v>
      </c>
      <c r="H455" t="s">
        <v>1486</v>
      </c>
      <c r="I455" t="s">
        <v>1477</v>
      </c>
      <c r="J455">
        <f>VLOOKUP(F455,[1]!china_towns_second__2[[Column1]:[Y]],3,FALSE)</f>
        <v>28.927864563861899</v>
      </c>
      <c r="K455">
        <f>VLOOKUP(F455,[1]!china_towns_second__2[[Column1]:[Y]],2,FALSE)</f>
        <v>91.662909150000004</v>
      </c>
      <c r="L455" t="s">
        <v>2113</v>
      </c>
      <c r="M455" t="str">
        <f>VLOOKUP(H455,CHOOSE({1,2},Table8[Native],Table8[Name]),2,0)</f>
        <v>Qióngjié Xiàn</v>
      </c>
      <c r="N455" s="13" t="str">
        <f>VLOOKUP(I455,CHOOSE({1,2},Table8[Native],Table8[Name]),2,0)</f>
        <v>Shānnán Shì</v>
      </c>
      <c r="O455" s="13" t="str">
        <f t="shared" si="14"/>
        <v>Qiongjie Zhen (Shānnán Shì)</v>
      </c>
      <c r="P455" s="13" t="str">
        <f t="shared" si="15"/>
        <v>Qiongjie Zhen (Shānnán Shì)</v>
      </c>
    </row>
    <row r="456" spans="1:16" hidden="1" x14ac:dyDescent="0.25">
      <c r="A456" t="s">
        <v>1116</v>
      </c>
      <c r="B456" t="str">
        <f>IF(COUNTIF(A:A,A456)&gt;1,_xlfn.CONCAT(A456," (",N456,")"),A456)</f>
        <v>Qióngzī Xiāng</v>
      </c>
      <c r="C456" t="str">
        <f>IF(COUNTIF(B:B,B456)&gt;1,_xlfn.CONCAT(A456," (",M456,")"),B456)</f>
        <v>Qióngzī Xiāng</v>
      </c>
      <c r="D456" t="s">
        <v>1117</v>
      </c>
      <c r="E456" t="s">
        <v>7</v>
      </c>
      <c r="F456" t="str">
        <f>_xlfn.CONCAT(D456,", ",H456,", ",I456,", ","西藏自治区")</f>
        <v>琼孜乡, 定结县, 日喀则市, 西藏自治区</v>
      </c>
      <c r="G456">
        <v>2704</v>
      </c>
      <c r="H456" t="s">
        <v>1461</v>
      </c>
      <c r="I456" t="s">
        <v>1458</v>
      </c>
      <c r="J456" t="e">
        <f>VLOOKUP(F456,[1]!china_towns_second__2[[Column1]:[Y]],3,FALSE)</f>
        <v>#N/A</v>
      </c>
      <c r="K456" t="e">
        <f>VLOOKUP(F456,[1]!china_towns_second__2[[Column1]:[Y]],2,FALSE)</f>
        <v>#N/A</v>
      </c>
      <c r="L456" t="s">
        <v>2114</v>
      </c>
      <c r="M456" t="str">
        <f>VLOOKUP(H456,CHOOSE({1,2},Table8[Native],Table8[Name]),2,0)</f>
        <v>Dìngjié Xiàn</v>
      </c>
      <c r="N456" s="13" t="str">
        <f>VLOOKUP(I456,CHOOSE({1,2},Table8[Native],Table8[Name]),2,0)</f>
        <v>Rìkāzé Shì</v>
      </c>
      <c r="O456" s="13" t="str">
        <f t="shared" si="14"/>
        <v>Qiongzi Xiang (Rìkāzé Shì)</v>
      </c>
      <c r="P456" s="13" t="str">
        <f t="shared" si="15"/>
        <v>Qiongzi Xiang (Rìkāzé Shì)</v>
      </c>
    </row>
    <row r="457" spans="1:16" hidden="1" x14ac:dyDescent="0.25">
      <c r="A457" t="s">
        <v>1354</v>
      </c>
      <c r="B457" t="str">
        <f>IF(COUNTIF(A:A,A457)&gt;1,_xlfn.CONCAT(A457," (",N457,")"),A457)</f>
        <v>Qiūduōjiāng Xiāng</v>
      </c>
      <c r="C457" t="str">
        <f>IF(COUNTIF(B:B,B457)&gt;1,_xlfn.CONCAT(A457," (",M457,")"),B457)</f>
        <v>Qiūduōjiāng Xiāng</v>
      </c>
      <c r="D457" t="s">
        <v>1355</v>
      </c>
      <c r="E457" t="s">
        <v>7</v>
      </c>
      <c r="F457" t="str">
        <f>_xlfn.CONCAT(D457,", ",H457,", ",I457,", ","西藏自治区")</f>
        <v>邱多江乡, 曲松县, 山南市, 西藏自治区</v>
      </c>
      <c r="G457">
        <v>2427</v>
      </c>
      <c r="H457" t="s">
        <v>1487</v>
      </c>
      <c r="I457" t="s">
        <v>1477</v>
      </c>
      <c r="J457" t="e">
        <f>VLOOKUP(F457,[1]!china_towns_second__2[[Column1]:[Y]],3,FALSE)</f>
        <v>#N/A</v>
      </c>
      <c r="K457" t="e">
        <f>VLOOKUP(F457,[1]!china_towns_second__2[[Column1]:[Y]],2,FALSE)</f>
        <v>#N/A</v>
      </c>
      <c r="L457" t="s">
        <v>2115</v>
      </c>
      <c r="M457" t="str">
        <f>VLOOKUP(H457,CHOOSE({1,2},Table8[Native],Table8[Name]),2,0)</f>
        <v>Qŭsōng Xiàn</v>
      </c>
      <c r="N457" s="13" t="str">
        <f>VLOOKUP(I457,CHOOSE({1,2},Table8[Native],Table8[Name]),2,0)</f>
        <v>Shānnán Shì</v>
      </c>
      <c r="O457" s="13" t="str">
        <f t="shared" si="14"/>
        <v>Qiuduojiang Xiang (Shānnán Shì)</v>
      </c>
      <c r="P457" s="13" t="str">
        <f t="shared" si="15"/>
        <v>Qiuduojiang Xiang (Shānnán Shì)</v>
      </c>
    </row>
    <row r="458" spans="1:16" hidden="1" x14ac:dyDescent="0.25">
      <c r="A458" t="s">
        <v>1118</v>
      </c>
      <c r="B458" t="str">
        <f>IF(COUNTIF(A:A,A458)&gt;1,_xlfn.CONCAT(A458," (",N458,")"),A458)</f>
        <v>Qiūmù Xiāng</v>
      </c>
      <c r="C458" t="str">
        <f>IF(COUNTIF(B:B,B458)&gt;1,_xlfn.CONCAT(A458," (",M458,")"),B458)</f>
        <v>Qiūmù Xiāng</v>
      </c>
      <c r="D458" t="s">
        <v>1119</v>
      </c>
      <c r="E458" t="s">
        <v>7</v>
      </c>
      <c r="F458" t="str">
        <f>_xlfn.CONCAT(D458,", ",H458,", ",I458,", ","西藏自治区")</f>
        <v>秋木乡, 南木林县, 日喀则市, 西藏自治区</v>
      </c>
      <c r="G458">
        <v>2302</v>
      </c>
      <c r="H458" t="s">
        <v>1468</v>
      </c>
      <c r="I458" t="s">
        <v>1458</v>
      </c>
      <c r="J458" t="e">
        <f>VLOOKUP(F458,[1]!china_towns_second__2[[Column1]:[Y]],3,FALSE)</f>
        <v>#N/A</v>
      </c>
      <c r="K458" t="e">
        <f>VLOOKUP(F458,[1]!china_towns_second__2[[Column1]:[Y]],2,FALSE)</f>
        <v>#N/A</v>
      </c>
      <c r="L458" t="s">
        <v>2116</v>
      </c>
      <c r="M458" t="str">
        <f>VLOOKUP(H458,CHOOSE({1,2},Table8[Native],Table8[Name]),2,0)</f>
        <v>Nánmùlín Xiàn</v>
      </c>
      <c r="N458" s="13" t="str">
        <f>VLOOKUP(I458,CHOOSE({1,2},Table8[Native],Table8[Name]),2,0)</f>
        <v>Rìkāzé Shì</v>
      </c>
      <c r="O458" s="13" t="str">
        <f t="shared" si="14"/>
        <v>Qiumu Xiang (Rìkāzé Shì)</v>
      </c>
      <c r="P458" s="13" t="str">
        <f t="shared" si="15"/>
        <v>Qiumu Xiang (Rìkāzé Shì)</v>
      </c>
    </row>
    <row r="459" spans="1:16" hidden="1" x14ac:dyDescent="0.25">
      <c r="A459" t="s">
        <v>1120</v>
      </c>
      <c r="B459" t="str">
        <f>IF(COUNTIF(A:A,A459)&gt;1,_xlfn.CONCAT(A459," (",N459,")"),A459)</f>
        <v>Qiūwō Xiāng</v>
      </c>
      <c r="C459" t="str">
        <f>IF(COUNTIF(B:B,B459)&gt;1,_xlfn.CONCAT(A459," (",M459,")"),B459)</f>
        <v>Qiūwō Xiāng</v>
      </c>
      <c r="D459" t="s">
        <v>1121</v>
      </c>
      <c r="E459" t="s">
        <v>7</v>
      </c>
      <c r="F459" t="str">
        <f>_xlfn.CONCAT(D459,", ",H459,", ",I459,", ","西藏自治区")</f>
        <v>秋窝乡, 昂仁县, 日喀则市, 西藏自治区</v>
      </c>
      <c r="G459">
        <v>6707</v>
      </c>
      <c r="H459" t="s">
        <v>1459</v>
      </c>
      <c r="I459" t="s">
        <v>1458</v>
      </c>
      <c r="J459" t="e">
        <f>VLOOKUP(F459,[1]!china_towns_second__2[[Column1]:[Y]],3,FALSE)</f>
        <v>#N/A</v>
      </c>
      <c r="K459" t="e">
        <f>VLOOKUP(F459,[1]!china_towns_second__2[[Column1]:[Y]],2,FALSE)</f>
        <v>#N/A</v>
      </c>
      <c r="L459" t="s">
        <v>2117</v>
      </c>
      <c r="M459" t="str">
        <f>VLOOKUP(H459,CHOOSE({1,2},Table8[Native],Table8[Name]),2,0)</f>
        <v>Ángrén Xiàn</v>
      </c>
      <c r="N459" s="13" t="str">
        <f>VLOOKUP(I459,CHOOSE({1,2},Table8[Native],Table8[Name]),2,0)</f>
        <v>Rìkāzé Shì</v>
      </c>
      <c r="O459" s="13" t="str">
        <f t="shared" si="14"/>
        <v>Qiuwo Xiang (Rìkāzé Shì)</v>
      </c>
      <c r="P459" s="13" t="str">
        <f t="shared" si="15"/>
        <v>Qiuwo Xiang (Rìkāzé Shì)</v>
      </c>
    </row>
    <row r="460" spans="1:16" hidden="1" x14ac:dyDescent="0.25">
      <c r="A460" t="s">
        <v>1122</v>
      </c>
      <c r="B460" t="str">
        <f>IF(COUNTIF(A:A,A460)&gt;1,_xlfn.CONCAT(A460," (",N460,")"),A460)</f>
        <v>Qŭbùxióng Xiāng</v>
      </c>
      <c r="C460" t="str">
        <f>IF(COUNTIF(B:B,B460)&gt;1,_xlfn.CONCAT(A460," (",M460,")"),B460)</f>
        <v>Qŭbùxióng Xiāng</v>
      </c>
      <c r="D460" t="s">
        <v>1123</v>
      </c>
      <c r="E460" t="s">
        <v>7</v>
      </c>
      <c r="F460" t="str">
        <f>_xlfn.CONCAT(D460,", ",H460,", ",I460,", ","西藏自治区")</f>
        <v>曲布雄乡, 桑珠孜区, 日喀则市, 西藏自治区</v>
      </c>
      <c r="G460">
        <v>5428</v>
      </c>
      <c r="H460" t="s">
        <v>1473</v>
      </c>
      <c r="I460" t="s">
        <v>1458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2118</v>
      </c>
      <c r="M460" t="str">
        <f>VLOOKUP(H460,CHOOSE({1,2},Table8[Native],Table8[Name]),2,0)</f>
        <v>Sāngzhūzī Qū</v>
      </c>
      <c r="N460" s="13" t="str">
        <f>VLOOKUP(I460,CHOOSE({1,2},Table8[Native],Table8[Name]),2,0)</f>
        <v>Rìkāzé Shì</v>
      </c>
      <c r="O460" s="13" t="str">
        <f t="shared" si="14"/>
        <v>Qubuxiong Xiang (Rìkāzé Shì)</v>
      </c>
      <c r="P460" s="13" t="str">
        <f t="shared" si="15"/>
        <v>Qubuxiong Xiang (Rìkāzé Shì)</v>
      </c>
    </row>
    <row r="461" spans="1:16" hidden="1" x14ac:dyDescent="0.25">
      <c r="A461" t="s">
        <v>1124</v>
      </c>
      <c r="B461" t="str">
        <f>IF(COUNTIF(A:A,A461)&gt;1,_xlfn.CONCAT(A461," (",N461,")"),A461)</f>
        <v>Qŭdāng Xiāng</v>
      </c>
      <c r="C461" t="str">
        <f>IF(COUNTIF(B:B,B461)&gt;1,_xlfn.CONCAT(A461," (",M461,")"),B461)</f>
        <v>Qŭdāng Xiāng</v>
      </c>
      <c r="D461" t="s">
        <v>1125</v>
      </c>
      <c r="E461" t="s">
        <v>7</v>
      </c>
      <c r="F461" t="str">
        <f>_xlfn.CONCAT(D461,", ",H461,", ",I461,", ","西藏自治区")</f>
        <v>曲当乡, 定日县, 日喀则市, 西藏自治区</v>
      </c>
      <c r="G461">
        <v>5903</v>
      </c>
      <c r="H461" t="s">
        <v>1462</v>
      </c>
      <c r="I461" t="s">
        <v>1458</v>
      </c>
      <c r="J461" t="e">
        <f>VLOOKUP(F461,[1]!china_towns_second__2[[Column1]:[Y]],3,FALSE)</f>
        <v>#N/A</v>
      </c>
      <c r="K461" t="e">
        <f>VLOOKUP(F461,[1]!china_towns_second__2[[Column1]:[Y]],2,FALSE)</f>
        <v>#N/A</v>
      </c>
      <c r="L461" t="s">
        <v>2119</v>
      </c>
      <c r="M461" t="str">
        <f>VLOOKUP(H461,CHOOSE({1,2},Table8[Native],Table8[Name]),2,0)</f>
        <v>Dìngrì Xiàn</v>
      </c>
      <c r="N461" s="13" t="str">
        <f>VLOOKUP(I461,CHOOSE({1,2},Table8[Native],Table8[Name]),2,0)</f>
        <v>Rìkāzé Shì</v>
      </c>
      <c r="O461" s="13" t="str">
        <f t="shared" si="14"/>
        <v>Qudang Xiang (Rìkāzé Shì)</v>
      </c>
      <c r="P461" s="13" t="str">
        <f t="shared" si="15"/>
        <v>Qudang Xiang (Rìkāzé Shì)</v>
      </c>
    </row>
    <row r="462" spans="1:16" hidden="1" x14ac:dyDescent="0.25">
      <c r="A462" t="s">
        <v>261</v>
      </c>
      <c r="B462" t="str">
        <f>IF(COUNTIF(A:A,A462)&gt;1,_xlfn.CONCAT(A462," (",N462,")"),A462)</f>
        <v>Qŭdēng Xiāng</v>
      </c>
      <c r="C462" t="str">
        <f>IF(COUNTIF(B:B,B462)&gt;1,_xlfn.CONCAT(A462," (",M462,")"),B462)</f>
        <v>Qŭdēng Xiāng</v>
      </c>
      <c r="D462" t="s">
        <v>262</v>
      </c>
      <c r="E462" t="s">
        <v>7</v>
      </c>
      <c r="F462" t="str">
        <f>_xlfn.CONCAT(D462,", ",H462,", ",I462,", ","西藏自治区")</f>
        <v>曲登乡, 芒康县, 昌都市, 西藏自治区</v>
      </c>
      <c r="G462">
        <v>3664</v>
      </c>
      <c r="H462" t="s">
        <v>1426</v>
      </c>
      <c r="I462" t="s">
        <v>1415</v>
      </c>
      <c r="J462" t="e">
        <f>VLOOKUP(F462,[1]!china_towns_second__2[[Column1]:[Y]],3,FALSE)</f>
        <v>#N/A</v>
      </c>
      <c r="K462" t="e">
        <f>VLOOKUP(F462,[1]!china_towns_second__2[[Column1]:[Y]],2,FALSE)</f>
        <v>#N/A</v>
      </c>
      <c r="L462" t="s">
        <v>2120</v>
      </c>
      <c r="M462" t="str">
        <f>VLOOKUP(H462,CHOOSE({1,2},Table8[Native],Table8[Name]),2,0)</f>
        <v>Mángkāng Xiàn</v>
      </c>
      <c r="N462" s="13" t="str">
        <f>VLOOKUP(I462,CHOOSE({1,2},Table8[Native],Table8[Name]),2,0)</f>
        <v>Chāngdū Shì</v>
      </c>
      <c r="O462" s="13" t="str">
        <f t="shared" si="14"/>
        <v>Qudeng Xiang (Chāngdū Shì)</v>
      </c>
      <c r="P462" s="13" t="str">
        <f t="shared" si="15"/>
        <v>Qudeng Xiang (Chāngdū Shì)</v>
      </c>
    </row>
    <row r="463" spans="1:16" hidden="1" x14ac:dyDescent="0.25">
      <c r="A463" t="s">
        <v>1126</v>
      </c>
      <c r="B463" t="str">
        <f>IF(COUNTIF(A:A,A463)&gt;1,_xlfn.CONCAT(A463," (",N463,")"),A463)</f>
        <v>Quèbù Xiāng</v>
      </c>
      <c r="C463" t="str">
        <f>IF(COUNTIF(B:B,B463)&gt;1,_xlfn.CONCAT(A463," (",M463,")"),B463)</f>
        <v>Quèbù Xiāng</v>
      </c>
      <c r="D463" t="s">
        <v>1127</v>
      </c>
      <c r="E463" t="s">
        <v>7</v>
      </c>
      <c r="F463" t="str">
        <f>_xlfn.CONCAT(D463,", ",H463,", ",I463,", ","西藏自治区")</f>
        <v>确布乡, 定结县, 日喀则市, 西藏自治区</v>
      </c>
      <c r="G463">
        <v>1609</v>
      </c>
      <c r="H463" t="s">
        <v>1461</v>
      </c>
      <c r="I463" t="s">
        <v>1458</v>
      </c>
      <c r="J463" t="e">
        <f>VLOOKUP(F463,[1]!china_towns_second__2[[Column1]:[Y]],3,FALSE)</f>
        <v>#N/A</v>
      </c>
      <c r="K463" t="e">
        <f>VLOOKUP(F463,[1]!china_towns_second__2[[Column1]:[Y]],2,FALSE)</f>
        <v>#N/A</v>
      </c>
      <c r="L463" t="s">
        <v>2121</v>
      </c>
      <c r="M463" t="str">
        <f>VLOOKUP(H463,CHOOSE({1,2},Table8[Native],Table8[Name]),2,0)</f>
        <v>Dìngjié Xiàn</v>
      </c>
      <c r="N463" s="13" t="str">
        <f>VLOOKUP(I463,CHOOSE({1,2},Table8[Native],Table8[Name]),2,0)</f>
        <v>Rìkāzé Shì</v>
      </c>
      <c r="O463" s="13" t="str">
        <f t="shared" si="14"/>
        <v>Quebu Xiang (Rìkāzé Shì)</v>
      </c>
      <c r="P463" s="13" t="str">
        <f t="shared" si="15"/>
        <v>Quebu Xiang (Rìkāzé Shì)</v>
      </c>
    </row>
    <row r="464" spans="1:16" hidden="1" x14ac:dyDescent="0.25">
      <c r="A464" t="s">
        <v>52</v>
      </c>
      <c r="B464" t="str">
        <f>IF(COUNTIF(A:A,A464)&gt;1,_xlfn.CONCAT(A464," (",N464,")"),A464)</f>
        <v>Qŭluò Xiāng (Ālĭ Dìqū)</v>
      </c>
      <c r="C464" t="str">
        <f>IF(COUNTIF(B:B,B464)&gt;1,_xlfn.CONCAT(A464," (",M464,")"),B464)</f>
        <v>Qŭluò Xiāng (Ālĭ Dìqū)</v>
      </c>
      <c r="D464" t="s">
        <v>53</v>
      </c>
      <c r="E464" t="s">
        <v>7</v>
      </c>
      <c r="F464" t="str">
        <f>_xlfn.CONCAT(D464,", ",H464,", ",I464,", ","西藏自治区")</f>
        <v>曲洛乡, 措勤县, 阿里地区, 西藏自治区</v>
      </c>
      <c r="G464">
        <v>2398</v>
      </c>
      <c r="H464" t="s">
        <v>1407</v>
      </c>
      <c r="I464" t="s">
        <v>1405</v>
      </c>
      <c r="J464" t="e">
        <f>VLOOKUP(F464,[1]!china_towns_second__2[[Column1]:[Y]],3,FALSE)</f>
        <v>#N/A</v>
      </c>
      <c r="K464" t="e">
        <f>VLOOKUP(F464,[1]!china_towns_second__2[[Column1]:[Y]],2,FALSE)</f>
        <v>#N/A</v>
      </c>
      <c r="L464" t="s">
        <v>2122</v>
      </c>
      <c r="M464" t="str">
        <f>VLOOKUP(H464,CHOOSE({1,2},Table8[Native],Table8[Name]),2,0)</f>
        <v>Cuòqín Xiàn</v>
      </c>
      <c r="N464" s="13" t="str">
        <f>VLOOKUP(I464,CHOOSE({1,2},Table8[Native],Table8[Name]),2,0)</f>
        <v>Ālĭ Dìqū</v>
      </c>
      <c r="O464" s="13" t="str">
        <f t="shared" si="14"/>
        <v>Quluo Xiang (Ali Diqu) (Ālĭ Dìqū)</v>
      </c>
      <c r="P464" s="13" t="str">
        <f t="shared" si="15"/>
        <v>Quluo Xiang (Ali Diqu) (Ālĭ Dìqū)</v>
      </c>
    </row>
    <row r="465" spans="1:16" hidden="1" x14ac:dyDescent="0.25">
      <c r="A465" t="s">
        <v>52</v>
      </c>
      <c r="B465" t="str">
        <f>IF(COUNTIF(A:A,A465)&gt;1,_xlfn.CONCAT(A465," (",N465,")"),A465)</f>
        <v>Qŭluò Xiāng (Rìkāzé Shì)</v>
      </c>
      <c r="C465" t="str">
        <f>IF(COUNTIF(B:B,B465)&gt;1,_xlfn.CONCAT(A465," (",M465,")"),B465)</f>
        <v>Qŭluò Xiāng (Rìkāzé Shì)</v>
      </c>
      <c r="D465" t="s">
        <v>53</v>
      </c>
      <c r="E465" t="s">
        <v>7</v>
      </c>
      <c r="F465" t="str">
        <f>_xlfn.CONCAT(D465,", ",H465,", ",I465,", ","西藏自治区")</f>
        <v>曲洛乡, 定日县, 日喀则市, 西藏自治区</v>
      </c>
      <c r="G465">
        <v>3033</v>
      </c>
      <c r="H465" t="s">
        <v>1462</v>
      </c>
      <c r="I465" t="s">
        <v>1458</v>
      </c>
      <c r="J465" t="e">
        <f>VLOOKUP(F465,[1]!china_towns_second__2[[Column1]:[Y]],3,FALSE)</f>
        <v>#N/A</v>
      </c>
      <c r="K465" t="e">
        <f>VLOOKUP(F465,[1]!china_towns_second__2[[Column1]:[Y]],2,FALSE)</f>
        <v>#N/A</v>
      </c>
      <c r="L465" t="s">
        <v>2123</v>
      </c>
      <c r="M465" t="str">
        <f>VLOOKUP(H465,CHOOSE({1,2},Table8[Native],Table8[Name]),2,0)</f>
        <v>Dìngrì Xiàn</v>
      </c>
      <c r="N465" s="13" t="str">
        <f>VLOOKUP(I465,CHOOSE({1,2},Table8[Native],Table8[Name]),2,0)</f>
        <v>Rìkāzé Shì</v>
      </c>
      <c r="O465" s="13" t="str">
        <f t="shared" si="14"/>
        <v>Quluo Xiang (Rikaze Shi) (Rìkāzé Shì)</v>
      </c>
      <c r="P465" s="13" t="str">
        <f t="shared" si="15"/>
        <v>Quluo Xiang (Rikaze Shi) (Rìkāzé Shì)</v>
      </c>
    </row>
    <row r="466" spans="1:16" hidden="1" x14ac:dyDescent="0.25">
      <c r="A466" t="s">
        <v>1128</v>
      </c>
      <c r="B466" t="str">
        <f>IF(COUNTIF(A:A,A466)&gt;1,_xlfn.CONCAT(A466," (",N466,")"),A466)</f>
        <v>Qŭmă Xiāng</v>
      </c>
      <c r="C466" t="str">
        <f>IF(COUNTIF(B:B,B466)&gt;1,_xlfn.CONCAT(A466," (",M466,")"),B466)</f>
        <v>Qŭmă Xiāng</v>
      </c>
      <c r="D466" t="s">
        <v>1129</v>
      </c>
      <c r="E466" t="s">
        <v>7</v>
      </c>
      <c r="F466" t="str">
        <f>_xlfn.CONCAT(D466,", ",H466,", ",I466,", ","西藏自治区")</f>
        <v>曲玛乡, 拉孜县, 日喀则市, 西藏自治区</v>
      </c>
      <c r="G466">
        <v>4541</v>
      </c>
      <c r="H466" t="s">
        <v>1467</v>
      </c>
      <c r="I466" t="s">
        <v>1458</v>
      </c>
      <c r="J466" t="e">
        <f>VLOOKUP(F466,[1]!china_towns_second__2[[Column1]:[Y]],3,FALSE)</f>
        <v>#N/A</v>
      </c>
      <c r="K466" t="e">
        <f>VLOOKUP(F466,[1]!china_towns_second__2[[Column1]:[Y]],2,FALSE)</f>
        <v>#N/A</v>
      </c>
      <c r="L466" t="s">
        <v>2124</v>
      </c>
      <c r="M466" t="str">
        <f>VLOOKUP(H466,CHOOSE({1,2},Table8[Native],Table8[Name]),2,0)</f>
        <v>Lāzī Xiàn</v>
      </c>
      <c r="N466" s="13" t="str">
        <f>VLOOKUP(I466,CHOOSE({1,2},Table8[Native],Table8[Name]),2,0)</f>
        <v>Rìkāzé Shì</v>
      </c>
      <c r="O466" s="13" t="str">
        <f t="shared" si="14"/>
        <v>Quma Xiang (Rìkāzé Shì)</v>
      </c>
      <c r="P466" s="13" t="str">
        <f t="shared" si="15"/>
        <v>Quma Xiang (Rìkāzé Shì)</v>
      </c>
    </row>
    <row r="467" spans="1:16" hidden="1" x14ac:dyDescent="0.25">
      <c r="A467" t="s">
        <v>1130</v>
      </c>
      <c r="B467" t="str">
        <f>IF(COUNTIF(A:A,A467)&gt;1,_xlfn.CONCAT(A467," (",N467,")"),A467)</f>
        <v>Qŭmĕi Xiāng</v>
      </c>
      <c r="C467" t="str">
        <f>IF(COUNTIF(B:B,B467)&gt;1,_xlfn.CONCAT(A467," (",M467,")"),B467)</f>
        <v>Qŭmĕi Xiāng</v>
      </c>
      <c r="D467" t="s">
        <v>1131</v>
      </c>
      <c r="E467" t="s">
        <v>7</v>
      </c>
      <c r="F467" t="str">
        <f>_xlfn.CONCAT(D467,", ",H467,", ",I467,", ","西藏自治区")</f>
        <v>曲美乡, 桑珠孜区, 日喀则市, 西藏自治区</v>
      </c>
      <c r="G467">
        <v>5998</v>
      </c>
      <c r="H467" t="s">
        <v>1473</v>
      </c>
      <c r="I467" t="s">
        <v>1458</v>
      </c>
      <c r="J467" t="e">
        <f>VLOOKUP(F467,[1]!china_towns_second__2[[Column1]:[Y]],3,FALSE)</f>
        <v>#N/A</v>
      </c>
      <c r="K467" t="e">
        <f>VLOOKUP(F467,[1]!china_towns_second__2[[Column1]:[Y]],2,FALSE)</f>
        <v>#N/A</v>
      </c>
      <c r="L467" t="s">
        <v>2125</v>
      </c>
      <c r="M467" t="str">
        <f>VLOOKUP(H467,CHOOSE({1,2},Table8[Native],Table8[Name]),2,0)</f>
        <v>Sāngzhūzī Qū</v>
      </c>
      <c r="N467" s="13" t="str">
        <f>VLOOKUP(I467,CHOOSE({1,2},Table8[Native],Table8[Name]),2,0)</f>
        <v>Rìkāzé Shì</v>
      </c>
      <c r="O467" s="13" t="str">
        <f t="shared" si="14"/>
        <v>Qumei Xiang (Rìkāzé Shì)</v>
      </c>
      <c r="P467" s="13" t="str">
        <f t="shared" si="15"/>
        <v>Qumei Xiang (Rìkāzé Shì)</v>
      </c>
    </row>
    <row r="468" spans="1:16" hidden="1" x14ac:dyDescent="0.25">
      <c r="A468" t="s">
        <v>1132</v>
      </c>
      <c r="B468" t="str">
        <f>IF(COUNTIF(A:A,A468)&gt;1,_xlfn.CONCAT(A468," (",N468,")"),A468)</f>
        <v>Qŭnú Xiāng</v>
      </c>
      <c r="C468" t="str">
        <f>IF(COUNTIF(B:B,B468)&gt;1,_xlfn.CONCAT(A468," (",M468,")"),B468)</f>
        <v>Qŭnú Xiāng</v>
      </c>
      <c r="D468" t="s">
        <v>1133</v>
      </c>
      <c r="E468" t="s">
        <v>7</v>
      </c>
      <c r="F468" t="str">
        <f>_xlfn.CONCAT(D468,", ",H468,", ",I468,", ","西藏自治区")</f>
        <v>曲奴乡, 白朗县, 日喀则市, 西藏自治区</v>
      </c>
      <c r="G468">
        <v>3305</v>
      </c>
      <c r="H468" t="s">
        <v>1460</v>
      </c>
      <c r="I468" t="s">
        <v>1458</v>
      </c>
      <c r="J468" t="e">
        <f>VLOOKUP(F468,[1]!china_towns_second__2[[Column1]:[Y]],3,FALSE)</f>
        <v>#N/A</v>
      </c>
      <c r="K468" t="e">
        <f>VLOOKUP(F468,[1]!china_towns_second__2[[Column1]:[Y]],2,FALSE)</f>
        <v>#N/A</v>
      </c>
      <c r="L468" t="s">
        <v>2126</v>
      </c>
      <c r="M468" t="str">
        <f>VLOOKUP(H468,CHOOSE({1,2},Table8[Native],Table8[Name]),2,0)</f>
        <v>Báilăng Xiàn</v>
      </c>
      <c r="N468" s="13" t="str">
        <f>VLOOKUP(I468,CHOOSE({1,2},Table8[Native],Table8[Name]),2,0)</f>
        <v>Rìkāzé Shì</v>
      </c>
      <c r="O468" s="13" t="str">
        <f t="shared" si="14"/>
        <v>Qunu Xiang (Rìkāzé Shì)</v>
      </c>
      <c r="P468" s="13" t="str">
        <f t="shared" si="15"/>
        <v>Qunu Xiang (Rìkāzé Shì)</v>
      </c>
    </row>
    <row r="469" spans="1:16" x14ac:dyDescent="0.25">
      <c r="A469" t="s">
        <v>466</v>
      </c>
      <c r="B469" t="str">
        <f>IF(COUNTIF(A:A,A469)&gt;1,_xlfn.CONCAT(A469," (",N469,")"),A469)</f>
        <v>Qŭshuĭ Zhèn</v>
      </c>
      <c r="C469" t="str">
        <f>IF(COUNTIF(B:B,B469)&gt;1,_xlfn.CONCAT(A469," (",M469,")"),B469)</f>
        <v>Qŭshuĭ Zhèn</v>
      </c>
      <c r="D469" t="s">
        <v>467</v>
      </c>
      <c r="E469" t="s">
        <v>17</v>
      </c>
      <c r="F469" t="str">
        <f>_xlfn.CONCAT(D469,", ",H469,", ",I469,", ","西藏自治区")</f>
        <v>曲水镇, 曲水县, 拉萨市, 西藏自治区</v>
      </c>
      <c r="G469">
        <v>8695</v>
      </c>
      <c r="H469" t="s">
        <v>1436</v>
      </c>
      <c r="I469" t="s">
        <v>1428</v>
      </c>
      <c r="J469">
        <f>VLOOKUP(F469,[1]!china_towns_second__2[[Column1]:[Y]],3,FALSE)</f>
        <v>29.461745437493601</v>
      </c>
      <c r="K469">
        <f>VLOOKUP(F469,[1]!china_towns_second__2[[Column1]:[Y]],2,FALSE)</f>
        <v>90.729668590000003</v>
      </c>
      <c r="L469" t="s">
        <v>2127</v>
      </c>
      <c r="M469" t="str">
        <f>VLOOKUP(H469,CHOOSE({1,2},Table8[Native],Table8[Name]),2,0)</f>
        <v>Qŭshuĭ Xiàn</v>
      </c>
      <c r="N469" s="13" t="str">
        <f>VLOOKUP(I469,CHOOSE({1,2},Table8[Native],Table8[Name]),2,0)</f>
        <v>Lāsà Shì</v>
      </c>
      <c r="O469" s="13" t="str">
        <f t="shared" si="14"/>
        <v>Qushui Zhen (Lāsà Shì)</v>
      </c>
      <c r="P469" s="13" t="str">
        <f t="shared" si="15"/>
        <v>Qushui Zhen (Lāsà Shì)</v>
      </c>
    </row>
    <row r="470" spans="1:16" hidden="1" x14ac:dyDescent="0.25">
      <c r="A470" t="s">
        <v>54</v>
      </c>
      <c r="B470" t="str">
        <f>IF(COUNTIF(A:A,A470)&gt;1,_xlfn.CONCAT(A470," (",N470,")"),A470)</f>
        <v>Qŭsōng Xiāng [incl. Chǔ lǔ Sōngjié Xiāng]</v>
      </c>
      <c r="C470" t="str">
        <f>IF(COUNTIF(B:B,B470)&gt;1,_xlfn.CONCAT(A470," (",M470,")"),B470)</f>
        <v>Qŭsōng Xiāng [incl. Chǔ lǔ Sōngjié Xiāng]</v>
      </c>
      <c r="D470" t="s">
        <v>55</v>
      </c>
      <c r="E470" t="s">
        <v>7</v>
      </c>
      <c r="F470" t="str">
        <f>_xlfn.CONCAT(D470,", ",H470,", ",I470,", ","西藏自治区")</f>
        <v>曲松乡, 札达县, 阿里地区, 西藏自治区</v>
      </c>
      <c r="G470">
        <v>928</v>
      </c>
      <c r="H470" t="s">
        <v>1413</v>
      </c>
      <c r="I470" t="s">
        <v>1405</v>
      </c>
      <c r="J470" t="e">
        <f>VLOOKUP(F470,[1]!china_towns_second__2[[Column1]:[Y]],3,FALSE)</f>
        <v>#N/A</v>
      </c>
      <c r="K470" t="e">
        <f>VLOOKUP(F470,[1]!china_towns_second__2[[Column1]:[Y]],2,FALSE)</f>
        <v>#N/A</v>
      </c>
      <c r="L470" t="s">
        <v>2128</v>
      </c>
      <c r="M470" t="str">
        <f>VLOOKUP(H470,CHOOSE({1,2},Table8[Native],Table8[Name]),2,0)</f>
        <v>Zhádá Xiàn</v>
      </c>
      <c r="N470" s="13" t="str">
        <f>VLOOKUP(I470,CHOOSE({1,2},Table8[Native],Table8[Name]),2,0)</f>
        <v>Ālĭ Dìqū</v>
      </c>
      <c r="O470" s="13" t="str">
        <f t="shared" si="14"/>
        <v>Qusong Xiang [incl. Chu lu Songjie Xiang] (Ālĭ Dìqū)</v>
      </c>
      <c r="P470" s="13" t="str">
        <f t="shared" si="15"/>
        <v>Qusong Xiang [incl. Chu lu Songjie Xiang] (Ālĭ Dìqū)</v>
      </c>
    </row>
    <row r="471" spans="1:16" x14ac:dyDescent="0.25">
      <c r="A471" t="s">
        <v>1356</v>
      </c>
      <c r="B471" t="str">
        <f>IF(COUNTIF(A:A,A471)&gt;1,_xlfn.CONCAT(A471," (",N471,")"),A471)</f>
        <v>Qŭsōng Zhèn</v>
      </c>
      <c r="C471" t="str">
        <f>IF(COUNTIF(B:B,B471)&gt;1,_xlfn.CONCAT(A471," (",M471,")"),B471)</f>
        <v>Qŭsōng Zhèn</v>
      </c>
      <c r="D471" t="s">
        <v>1357</v>
      </c>
      <c r="E471" t="s">
        <v>17</v>
      </c>
      <c r="F471" t="str">
        <f>_xlfn.CONCAT(D471,", ",H471,", ",I471,", ","西藏自治区")</f>
        <v>曲松镇, 曲松县, 山南市, 西藏自治区</v>
      </c>
      <c r="G471">
        <v>6159</v>
      </c>
      <c r="H471" t="s">
        <v>1487</v>
      </c>
      <c r="I471" t="s">
        <v>1477</v>
      </c>
      <c r="J471">
        <f>VLOOKUP(F471,[1]!china_towns_second__2[[Column1]:[Y]],3,FALSE)</f>
        <v>29.141347768860701</v>
      </c>
      <c r="K471">
        <f>VLOOKUP(F471,[1]!china_towns_second__2[[Column1]:[Y]],2,FALSE)</f>
        <v>92.213122490000003</v>
      </c>
      <c r="L471" t="s">
        <v>2129</v>
      </c>
      <c r="M471" t="str">
        <f>VLOOKUP(H471,CHOOSE({1,2},Table8[Native],Table8[Name]),2,0)</f>
        <v>Qŭsōng Xiàn</v>
      </c>
      <c r="N471" s="13" t="str">
        <f>VLOOKUP(I471,CHOOSE({1,2},Table8[Native],Table8[Name]),2,0)</f>
        <v>Shānnán Shì</v>
      </c>
      <c r="O471" s="13" t="str">
        <f t="shared" si="14"/>
        <v>Qusong Zhen (Shānnán Shì)</v>
      </c>
      <c r="P471" s="13" t="str">
        <f t="shared" si="15"/>
        <v>Qusong Zhen (Shānnán Shì)</v>
      </c>
    </row>
    <row r="472" spans="1:16" x14ac:dyDescent="0.25">
      <c r="A472" t="s">
        <v>1134</v>
      </c>
      <c r="B472" t="str">
        <f>IF(COUNTIF(A:A,A472)&gt;1,_xlfn.CONCAT(A472," (",N472,")"),A472)</f>
        <v>Qŭxià Zhèn</v>
      </c>
      <c r="C472" t="str">
        <f>IF(COUNTIF(B:B,B472)&gt;1,_xlfn.CONCAT(A472," (",M472,")"),B472)</f>
        <v>Qŭxià Zhèn</v>
      </c>
      <c r="D472" t="s">
        <v>1135</v>
      </c>
      <c r="E472" t="s">
        <v>17</v>
      </c>
      <c r="F472" t="str">
        <f>_xlfn.CONCAT(D472,", ",H472,", ",I472,", ","西藏自治区")</f>
        <v>曲下镇, 拉孜县, 日喀则市, 西藏自治区</v>
      </c>
      <c r="G472">
        <v>6263</v>
      </c>
      <c r="H472" t="s">
        <v>1467</v>
      </c>
      <c r="I472" t="s">
        <v>1458</v>
      </c>
      <c r="J472">
        <f>VLOOKUP(F472,[1]!china_towns_second__2[[Column1]:[Y]],3,FALSE)</f>
        <v>29.048503263714998</v>
      </c>
      <c r="K472">
        <f>VLOOKUP(F472,[1]!china_towns_second__2[[Column1]:[Y]],2,FALSE)</f>
        <v>87.647295249999999</v>
      </c>
      <c r="L472" t="s">
        <v>2130</v>
      </c>
      <c r="M472" t="str">
        <f>VLOOKUP(H472,CHOOSE({1,2},Table8[Native],Table8[Name]),2,0)</f>
        <v>Lāzī Xiàn</v>
      </c>
      <c r="N472" s="13" t="str">
        <f>VLOOKUP(I472,CHOOSE({1,2},Table8[Native],Table8[Name]),2,0)</f>
        <v>Rìkāzé Shì</v>
      </c>
      <c r="O472" s="13" t="str">
        <f t="shared" si="14"/>
        <v>Quxia Zhen (Rìkāzé Shì)</v>
      </c>
      <c r="P472" s="13" t="str">
        <f t="shared" si="15"/>
        <v>Quxia Zhen (Rìkāzé Shì)</v>
      </c>
    </row>
    <row r="473" spans="1:16" hidden="1" x14ac:dyDescent="0.25">
      <c r="A473" t="s">
        <v>1358</v>
      </c>
      <c r="B473" t="str">
        <f>IF(COUNTIF(A:A,A473)&gt;1,_xlfn.CONCAT(A473," (",N473,")"),A473)</f>
        <v>Qŭzhuómù Xiāng</v>
      </c>
      <c r="C473" t="str">
        <f>IF(COUNTIF(B:B,B473)&gt;1,_xlfn.CONCAT(A473," (",M473,")"),B473)</f>
        <v>Qŭzhuómù Xiāng</v>
      </c>
      <c r="D473" t="s">
        <v>1359</v>
      </c>
      <c r="E473" t="s">
        <v>7</v>
      </c>
      <c r="F473" t="str">
        <f>_xlfn.CONCAT(D473,", ",H473,", ",I473,", ","西藏自治区")</f>
        <v>曲卓木乡, 错那县, 山南市, 西藏自治区</v>
      </c>
      <c r="G473">
        <v>3852</v>
      </c>
      <c r="H473" t="s">
        <v>1479</v>
      </c>
      <c r="I473" t="s">
        <v>1477</v>
      </c>
      <c r="J473" t="e">
        <f>VLOOKUP(F473,[1]!china_towns_second__2[[Column1]:[Y]],3,FALSE)</f>
        <v>#N/A</v>
      </c>
      <c r="K473" t="e">
        <f>VLOOKUP(F473,[1]!china_towns_second__2[[Column1]:[Y]],2,FALSE)</f>
        <v>#N/A</v>
      </c>
      <c r="L473" t="s">
        <v>2131</v>
      </c>
      <c r="M473" t="str">
        <f>VLOOKUP(H473,CHOOSE({1,2},Table8[Native],Table8[Name]),2,0)</f>
        <v>Cuònà Xiàn</v>
      </c>
      <c r="N473" s="13" t="str">
        <f>VLOOKUP(I473,CHOOSE({1,2},Table8[Native],Table8[Name]),2,0)</f>
        <v>Shānnán Shì</v>
      </c>
      <c r="O473" s="13" t="str">
        <f t="shared" si="14"/>
        <v>Quzhuomu Xiang (Shānnán Shì)</v>
      </c>
      <c r="P473" s="13" t="str">
        <f t="shared" si="15"/>
        <v>Quzhuomu Xiang (Shānnán Shì)</v>
      </c>
    </row>
    <row r="474" spans="1:16" hidden="1" x14ac:dyDescent="0.25">
      <c r="A474" t="s">
        <v>263</v>
      </c>
      <c r="B474" t="str">
        <f>IF(COUNTIF(A:A,A474)&gt;1,_xlfn.CONCAT(A474," (",N474,")"),A474)</f>
        <v>Qŭzīkă Xiāng</v>
      </c>
      <c r="C474" t="str">
        <f>IF(COUNTIF(B:B,B474)&gt;1,_xlfn.CONCAT(A474," (",M474,")"),B474)</f>
        <v>Qŭzīkă Xiāng</v>
      </c>
      <c r="D474" t="s">
        <v>264</v>
      </c>
      <c r="E474" t="s">
        <v>7</v>
      </c>
      <c r="F474" t="str">
        <f>_xlfn.CONCAT(D474,", ",H474,", ",I474,", ","西藏自治区")</f>
        <v>曲孜卡乡, 芒康县, 昌都市, 西藏自治区</v>
      </c>
      <c r="G474">
        <v>3707</v>
      </c>
      <c r="H474" t="s">
        <v>1426</v>
      </c>
      <c r="I474" t="s">
        <v>1415</v>
      </c>
      <c r="J474" t="e">
        <f>VLOOKUP(F474,[1]!china_towns_second__2[[Column1]:[Y]],3,FALSE)</f>
        <v>#N/A</v>
      </c>
      <c r="K474" t="e">
        <f>VLOOKUP(F474,[1]!china_towns_second__2[[Column1]:[Y]],2,FALSE)</f>
        <v>#N/A</v>
      </c>
      <c r="L474" t="s">
        <v>2132</v>
      </c>
      <c r="M474" t="str">
        <f>VLOOKUP(H474,CHOOSE({1,2},Table8[Native],Table8[Name]),2,0)</f>
        <v>Mángkāng Xiàn</v>
      </c>
      <c r="N474" s="13" t="str">
        <f>VLOOKUP(I474,CHOOSE({1,2},Table8[Native],Table8[Name]),2,0)</f>
        <v>Chāngdū Shì</v>
      </c>
      <c r="O474" s="13" t="str">
        <f t="shared" si="14"/>
        <v>Quzika Xiang (Chāngdū Shì)</v>
      </c>
      <c r="P474" s="13" t="str">
        <f t="shared" si="15"/>
        <v>Quzika Xiang (Chāngdū Shì)</v>
      </c>
    </row>
    <row r="475" spans="1:16" hidden="1" x14ac:dyDescent="0.25">
      <c r="A475" t="s">
        <v>1136</v>
      </c>
      <c r="B475" t="str">
        <f>IF(COUNTIF(A:A,A475)&gt;1,_xlfn.CONCAT(A475," (",N475,")"),A475)</f>
        <v>Ránbā Xiāng</v>
      </c>
      <c r="C475" t="str">
        <f>IF(COUNTIF(B:B,B475)&gt;1,_xlfn.CONCAT(A475," (",M475,")"),B475)</f>
        <v>Ránbā Xiāng</v>
      </c>
      <c r="D475" t="s">
        <v>1137</v>
      </c>
      <c r="E475" t="s">
        <v>7</v>
      </c>
      <c r="F475" t="str">
        <f>_xlfn.CONCAT(D475,", ",H475,", ",I475,", ","西藏自治区")</f>
        <v>然巴乡, 仁布县, 日喀则市, 西藏自治区</v>
      </c>
      <c r="G475">
        <v>2009</v>
      </c>
      <c r="H475" t="s">
        <v>1470</v>
      </c>
      <c r="I475" t="s">
        <v>1458</v>
      </c>
      <c r="J475" t="e">
        <f>VLOOKUP(F475,[1]!china_towns_second__2[[Column1]:[Y]],3,FALSE)</f>
        <v>#N/A</v>
      </c>
      <c r="K475" t="e">
        <f>VLOOKUP(F475,[1]!china_towns_second__2[[Column1]:[Y]],2,FALSE)</f>
        <v>#N/A</v>
      </c>
      <c r="L475" t="s">
        <v>2133</v>
      </c>
      <c r="M475" t="str">
        <f>VLOOKUP(H475,CHOOSE({1,2},Table8[Native],Table8[Name]),2,0)</f>
        <v>Rénbù Xiàn</v>
      </c>
      <c r="N475" s="13" t="str">
        <f>VLOOKUP(I475,CHOOSE({1,2},Table8[Native],Table8[Name]),2,0)</f>
        <v>Rìkāzé Shì</v>
      </c>
      <c r="O475" s="13" t="str">
        <f t="shared" si="14"/>
        <v>Ranba Xiang (Rìkāzé Shì)</v>
      </c>
      <c r="P475" s="13" t="str">
        <f t="shared" si="15"/>
        <v>Ranba Xiang (Rìkāzé Shì)</v>
      </c>
    </row>
    <row r="476" spans="1:16" x14ac:dyDescent="0.25">
      <c r="A476" t="s">
        <v>265</v>
      </c>
      <c r="B476" t="str">
        <f>IF(COUNTIF(A:A,A476)&gt;1,_xlfn.CONCAT(A476," (",N476,")"),A476)</f>
        <v>Ránwū Zhèn</v>
      </c>
      <c r="C476" t="str">
        <f>IF(COUNTIF(B:B,B476)&gt;1,_xlfn.CONCAT(A476," (",M476,")"),B476)</f>
        <v>Ránwū Zhèn</v>
      </c>
      <c r="D476" t="s">
        <v>266</v>
      </c>
      <c r="E476" t="s">
        <v>17</v>
      </c>
      <c r="F476" t="str">
        <f>_xlfn.CONCAT(D476,", ",H476,", ",I476,", ","西藏自治区")</f>
        <v>然乌镇, 八宿县, 昌都市, 西藏自治区</v>
      </c>
      <c r="G476">
        <v>4335</v>
      </c>
      <c r="H476" t="s">
        <v>1416</v>
      </c>
      <c r="I476" t="s">
        <v>1415</v>
      </c>
      <c r="J476">
        <f>VLOOKUP(F476,[1]!china_towns_second__2[[Column1]:[Y]],3,FALSE)</f>
        <v>29.427281352816699</v>
      </c>
      <c r="K476">
        <f>VLOOKUP(F476,[1]!china_towns_second__2[[Column1]:[Y]],2,FALSE)</f>
        <v>96.839926939999998</v>
      </c>
      <c r="L476" t="s">
        <v>2134</v>
      </c>
      <c r="M476" t="str">
        <f>VLOOKUP(H476,CHOOSE({1,2},Table8[Native],Table8[Name]),2,0)</f>
        <v>Bāsù Xiàn</v>
      </c>
      <c r="N476" s="13" t="str">
        <f>VLOOKUP(I476,CHOOSE({1,2},Table8[Native],Table8[Name]),2,0)</f>
        <v>Chāngdū Shì</v>
      </c>
      <c r="O476" s="13" t="str">
        <f t="shared" si="14"/>
        <v>Ranwu Zhen (Chāngdū Shì)</v>
      </c>
      <c r="P476" s="13" t="str">
        <f t="shared" si="15"/>
        <v>Ranwu Zhen (Chāngdū Shì)</v>
      </c>
    </row>
    <row r="477" spans="1:16" hidden="1" x14ac:dyDescent="0.25">
      <c r="A477" t="s">
        <v>267</v>
      </c>
      <c r="B477" t="str">
        <f>IF(COUNTIF(A:A,A477)&gt;1,_xlfn.CONCAT(A477," (",N477,")"),A477)</f>
        <v>Răojīn Xiāng</v>
      </c>
      <c r="C477" t="str">
        <f>IF(COUNTIF(B:B,B477)&gt;1,_xlfn.CONCAT(A477," (",M477,")"),B477)</f>
        <v>Răojīn Xiāng</v>
      </c>
      <c r="D477" t="s">
        <v>268</v>
      </c>
      <c r="E477" t="s">
        <v>7</v>
      </c>
      <c r="F477" t="str">
        <f>_xlfn.CONCAT(D477,", ",H477,", ",I477,", ","西藏自治区")</f>
        <v>绕金乡, 左贡县, 昌都市, 西藏自治区</v>
      </c>
      <c r="G477">
        <v>1995</v>
      </c>
      <c r="H477" t="s">
        <v>1427</v>
      </c>
      <c r="I477" t="s">
        <v>1415</v>
      </c>
      <c r="J477" t="e">
        <f>VLOOKUP(F477,[1]!china_towns_second__2[[Column1]:[Y]],3,FALSE)</f>
        <v>#N/A</v>
      </c>
      <c r="K477" t="e">
        <f>VLOOKUP(F477,[1]!china_towns_second__2[[Column1]:[Y]],2,FALSE)</f>
        <v>#N/A</v>
      </c>
      <c r="L477" t="s">
        <v>2135</v>
      </c>
      <c r="M477" t="str">
        <f>VLOOKUP(H477,CHOOSE({1,2},Table8[Native],Table8[Name]),2,0)</f>
        <v>Zuŏgòng Xiàn</v>
      </c>
      <c r="N477" s="13" t="str">
        <f>VLOOKUP(I477,CHOOSE({1,2},Table8[Native],Table8[Name]),2,0)</f>
        <v>Chāngdū Shì</v>
      </c>
      <c r="O477" s="13" t="str">
        <f t="shared" si="14"/>
        <v>Raojin Xiang (Chāngdū Shì)</v>
      </c>
      <c r="P477" s="13" t="str">
        <f t="shared" si="15"/>
        <v>Raojin Xiang (Chāngdū Shì)</v>
      </c>
    </row>
    <row r="478" spans="1:16" hidden="1" x14ac:dyDescent="0.25">
      <c r="A478" t="s">
        <v>56</v>
      </c>
      <c r="B478" t="str">
        <f>IF(COUNTIF(A:A,A478)&gt;1,_xlfn.CONCAT(A478," (",N478,")"),A478)</f>
        <v>Rèbāng Xiāng</v>
      </c>
      <c r="C478" t="str">
        <f>IF(COUNTIF(B:B,B478)&gt;1,_xlfn.CONCAT(A478," (",M478,")"),B478)</f>
        <v>Rèbāng Xiāng</v>
      </c>
      <c r="D478" t="s">
        <v>57</v>
      </c>
      <c r="E478" t="s">
        <v>7</v>
      </c>
      <c r="F478" t="str">
        <f>_xlfn.CONCAT(D478,", ",H478,", ",I478,", ","西藏自治区")</f>
        <v>热帮乡, 日土县, 阿里地区, 西藏自治区</v>
      </c>
      <c r="G478">
        <v>2242</v>
      </c>
      <c r="H478" t="s">
        <v>1412</v>
      </c>
      <c r="I478" t="s">
        <v>1405</v>
      </c>
      <c r="J478" t="e">
        <f>VLOOKUP(F478,[1]!china_towns_second__2[[Column1]:[Y]],3,FALSE)</f>
        <v>#N/A</v>
      </c>
      <c r="K478" t="e">
        <f>VLOOKUP(F478,[1]!china_towns_second__2[[Column1]:[Y]],2,FALSE)</f>
        <v>#N/A</v>
      </c>
      <c r="L478" t="s">
        <v>2136</v>
      </c>
      <c r="M478" t="str">
        <f>VLOOKUP(H478,CHOOSE({1,2},Table8[Native],Table8[Name]),2,0)</f>
        <v>Rìtŭ Xiàn</v>
      </c>
      <c r="N478" s="13" t="str">
        <f>VLOOKUP(I478,CHOOSE({1,2},Table8[Native],Table8[Name]),2,0)</f>
        <v>Ālĭ Dìqū</v>
      </c>
      <c r="O478" s="13" t="str">
        <f t="shared" si="14"/>
        <v>Rebang Xiang (Ālĭ Dìqū)</v>
      </c>
      <c r="P478" s="13" t="str">
        <f t="shared" si="15"/>
        <v>Rebang Xiang (Ālĭ Dìqū)</v>
      </c>
    </row>
    <row r="479" spans="1:16" hidden="1" x14ac:dyDescent="0.25">
      <c r="A479" t="s">
        <v>1138</v>
      </c>
      <c r="B479" t="str">
        <f>IF(COUNTIF(A:A,A479)&gt;1,_xlfn.CONCAT(A479," (",N479,")"),A479)</f>
        <v>Rèdāng Xiāng</v>
      </c>
      <c r="C479" t="str">
        <f>IF(COUNTIF(B:B,B479)&gt;1,_xlfn.CONCAT(A479," (",M479,")"),B479)</f>
        <v>Rèdāng Xiāng</v>
      </c>
      <c r="D479" t="s">
        <v>1139</v>
      </c>
      <c r="E479" t="s">
        <v>7</v>
      </c>
      <c r="F479" t="str">
        <f>_xlfn.CONCAT(D479,", ",H479,", ",I479,", ","西藏自治区")</f>
        <v>热当乡, 南木林县, 日喀则市, 西藏自治区</v>
      </c>
      <c r="G479">
        <v>7310</v>
      </c>
      <c r="H479" t="s">
        <v>1468</v>
      </c>
      <c r="I479" t="s">
        <v>1458</v>
      </c>
      <c r="J479" t="e">
        <f>VLOOKUP(F479,[1]!china_towns_second__2[[Column1]:[Y]],3,FALSE)</f>
        <v>#N/A</v>
      </c>
      <c r="K479" t="e">
        <f>VLOOKUP(F479,[1]!china_towns_second__2[[Column1]:[Y]],2,FALSE)</f>
        <v>#N/A</v>
      </c>
      <c r="L479" t="s">
        <v>2137</v>
      </c>
      <c r="M479" t="str">
        <f>VLOOKUP(H479,CHOOSE({1,2},Table8[Native],Table8[Name]),2,0)</f>
        <v>Nánmùlín Xiàn</v>
      </c>
      <c r="N479" s="13" t="str">
        <f>VLOOKUP(I479,CHOOSE({1,2},Table8[Native],Table8[Name]),2,0)</f>
        <v>Rìkāzé Shì</v>
      </c>
      <c r="O479" s="13" t="str">
        <f t="shared" si="14"/>
        <v>Redang Xiang (Rìkāzé Shì)</v>
      </c>
      <c r="P479" s="13" t="str">
        <f t="shared" si="15"/>
        <v>Redang Xiang (Rìkāzé Shì)</v>
      </c>
    </row>
    <row r="480" spans="1:16" hidden="1" x14ac:dyDescent="0.25">
      <c r="A480" t="s">
        <v>1140</v>
      </c>
      <c r="B480" t="str">
        <f>IF(COUNTIF(A:A,A480)&gt;1,_xlfn.CONCAT(A480," (",N480,")"),A480)</f>
        <v>Rèlóng Xiāng</v>
      </c>
      <c r="C480" t="str">
        <f>IF(COUNTIF(B:B,B480)&gt;1,_xlfn.CONCAT(A480," (",M480,")"),B480)</f>
        <v>Rèlóng Xiāng</v>
      </c>
      <c r="D480" t="s">
        <v>1141</v>
      </c>
      <c r="E480" t="s">
        <v>7</v>
      </c>
      <c r="F480" t="str">
        <f>_xlfn.CONCAT(D480,", ",H480,", ",I480,", ","西藏自治区")</f>
        <v>热龙乡, 江孜县, 日喀则市, 西藏自治区</v>
      </c>
      <c r="G480">
        <v>2043</v>
      </c>
      <c r="H480" t="s">
        <v>1464</v>
      </c>
      <c r="I480" t="s">
        <v>1458</v>
      </c>
      <c r="J480" t="e">
        <f>VLOOKUP(F480,[1]!china_towns_second__2[[Column1]:[Y]],3,FALSE)</f>
        <v>#N/A</v>
      </c>
      <c r="K480" t="e">
        <f>VLOOKUP(F480,[1]!china_towns_second__2[[Column1]:[Y]],2,FALSE)</f>
        <v>#N/A</v>
      </c>
      <c r="L480" t="s">
        <v>2138</v>
      </c>
      <c r="M480" t="str">
        <f>VLOOKUP(H480,CHOOSE({1,2},Table8[Native],Table8[Name]),2,0)</f>
        <v>Jiāngzī Xiàn</v>
      </c>
      <c r="N480" s="13" t="str">
        <f>VLOOKUP(I480,CHOOSE({1,2},Table8[Native],Table8[Name]),2,0)</f>
        <v>Rìkāzé Shì</v>
      </c>
      <c r="O480" s="13" t="str">
        <f t="shared" si="14"/>
        <v>Relong Xiang (Rìkāzé Shì)</v>
      </c>
      <c r="P480" s="13" t="str">
        <f t="shared" si="15"/>
        <v>Relong Xiang (Rìkāzé Shì)</v>
      </c>
    </row>
    <row r="481" spans="1:16" hidden="1" x14ac:dyDescent="0.25">
      <c r="A481" t="s">
        <v>1142</v>
      </c>
      <c r="B481" t="str">
        <f>IF(COUNTIF(A:A,A481)&gt;1,_xlfn.CONCAT(A481," (",N481,")"),A481)</f>
        <v>Rénbù Xiāng</v>
      </c>
      <c r="C481" t="str">
        <f>IF(COUNTIF(B:B,B481)&gt;1,_xlfn.CONCAT(A481," (",M481,")"),B481)</f>
        <v>Rénbù Xiāng</v>
      </c>
      <c r="D481" t="s">
        <v>1143</v>
      </c>
      <c r="E481" t="s">
        <v>7</v>
      </c>
      <c r="F481" t="str">
        <f>_xlfn.CONCAT(D481,", ",H481,", ",I481,", ","西藏自治区")</f>
        <v>仁布乡, 仁布县, 日喀则市, 西藏自治区</v>
      </c>
      <c r="G481">
        <v>2484</v>
      </c>
      <c r="H481" t="s">
        <v>1470</v>
      </c>
      <c r="I481" t="s">
        <v>1458</v>
      </c>
      <c r="J481" t="e">
        <f>VLOOKUP(F481,[1]!china_towns_second__2[[Column1]:[Y]],3,FALSE)</f>
        <v>#N/A</v>
      </c>
      <c r="K481" t="e">
        <f>VLOOKUP(F481,[1]!china_towns_second__2[[Column1]:[Y]],2,FALSE)</f>
        <v>#N/A</v>
      </c>
      <c r="L481" t="s">
        <v>2139</v>
      </c>
      <c r="M481" t="str">
        <f>VLOOKUP(H481,CHOOSE({1,2},Table8[Native],Table8[Name]),2,0)</f>
        <v>Rénbù Xiàn</v>
      </c>
      <c r="N481" s="13" t="str">
        <f>VLOOKUP(I481,CHOOSE({1,2},Table8[Native],Table8[Name]),2,0)</f>
        <v>Rìkāzé Shì</v>
      </c>
      <c r="O481" s="13" t="str">
        <f t="shared" si="14"/>
        <v>Renbu Xiang (Rìkāzé Shì)</v>
      </c>
      <c r="P481" s="13" t="str">
        <f t="shared" si="15"/>
        <v>Renbu Xiang (Rìkāzé Shì)</v>
      </c>
    </row>
    <row r="482" spans="1:16" hidden="1" x14ac:dyDescent="0.25">
      <c r="A482" t="s">
        <v>1144</v>
      </c>
      <c r="B482" t="str">
        <f>IF(COUNTIF(A:A,A482)&gt;1,_xlfn.CONCAT(A482," (",N482,")"),A482)</f>
        <v>Rénduī Xiāng</v>
      </c>
      <c r="C482" t="str">
        <f>IF(COUNTIF(B:B,B482)&gt;1,_xlfn.CONCAT(A482," (",M482,")"),B482)</f>
        <v>Rénduī Xiāng</v>
      </c>
      <c r="D482" t="s">
        <v>1145</v>
      </c>
      <c r="E482" t="s">
        <v>7</v>
      </c>
      <c r="F482" t="str">
        <f>_xlfn.CONCAT(D482,", ",H482,", ",I482,", ","西藏自治区")</f>
        <v>仁堆乡, 南木林县, 日喀则市, 西藏自治区</v>
      </c>
      <c r="G482">
        <v>1356</v>
      </c>
      <c r="H482" t="s">
        <v>1468</v>
      </c>
      <c r="I482" t="s">
        <v>1458</v>
      </c>
      <c r="J482" t="e">
        <f>VLOOKUP(F482,[1]!china_towns_second__2[[Column1]:[Y]],3,FALSE)</f>
        <v>#N/A</v>
      </c>
      <c r="K482" t="e">
        <f>VLOOKUP(F482,[1]!china_towns_second__2[[Column1]:[Y]],2,FALSE)</f>
        <v>#N/A</v>
      </c>
      <c r="L482" t="s">
        <v>2140</v>
      </c>
      <c r="M482" t="str">
        <f>VLOOKUP(H482,CHOOSE({1,2},Table8[Native],Table8[Name]),2,0)</f>
        <v>Nánmùlín Xiàn</v>
      </c>
      <c r="N482" s="13" t="str">
        <f>VLOOKUP(I482,CHOOSE({1,2},Table8[Native],Table8[Name]),2,0)</f>
        <v>Rìkāzé Shì</v>
      </c>
      <c r="O482" s="13" t="str">
        <f t="shared" si="14"/>
        <v>Rendui Xiang (Rìkāzé Shì)</v>
      </c>
      <c r="P482" s="13" t="str">
        <f t="shared" si="15"/>
        <v>Rendui Xiang (Rìkāzé Shì)</v>
      </c>
    </row>
    <row r="483" spans="1:16" hidden="1" x14ac:dyDescent="0.25">
      <c r="A483" t="s">
        <v>1146</v>
      </c>
      <c r="B483" t="str">
        <f>IF(COUNTIF(A:A,A483)&gt;1,_xlfn.CONCAT(A483," (",N483,")"),A483)</f>
        <v>Rénduō Xiāng</v>
      </c>
      <c r="C483" t="str">
        <f>IF(COUNTIF(B:B,B483)&gt;1,_xlfn.CONCAT(A483," (",M483,")"),B483)</f>
        <v>Rénduō Xiāng</v>
      </c>
      <c r="D483" t="s">
        <v>1147</v>
      </c>
      <c r="E483" t="s">
        <v>7</v>
      </c>
      <c r="F483" t="str">
        <f>_xlfn.CONCAT(D483,", ",H483,", ",I483,", ","西藏自治区")</f>
        <v>仁多乡, 仲巴县, 日喀则市, 西藏自治区</v>
      </c>
      <c r="G483">
        <v>1987</v>
      </c>
      <c r="H483" t="s">
        <v>1476</v>
      </c>
      <c r="I483" t="s">
        <v>1458</v>
      </c>
      <c r="J483" t="e">
        <f>VLOOKUP(F483,[1]!china_towns_second__2[[Column1]:[Y]],3,FALSE)</f>
        <v>#N/A</v>
      </c>
      <c r="K483" t="e">
        <f>VLOOKUP(F483,[1]!china_towns_second__2[[Column1]:[Y]],2,FALSE)</f>
        <v>#N/A</v>
      </c>
      <c r="L483" t="s">
        <v>2141</v>
      </c>
      <c r="M483" t="str">
        <f>VLOOKUP(H483,CHOOSE({1,2},Table8[Native],Table8[Name]),2,0)</f>
        <v>Zhòngbā Xiàn</v>
      </c>
      <c r="N483" s="13" t="str">
        <f>VLOOKUP(I483,CHOOSE({1,2},Table8[Native],Table8[Name]),2,0)</f>
        <v>Rìkāzé Shì</v>
      </c>
      <c r="O483" s="13" t="str">
        <f t="shared" si="14"/>
        <v>Renduo Xiang (Rìkāzé Shì)</v>
      </c>
      <c r="P483" s="13" t="str">
        <f t="shared" si="15"/>
        <v>Renduo Xiang (Rìkāzé Shì)</v>
      </c>
    </row>
    <row r="484" spans="1:16" hidden="1" x14ac:dyDescent="0.25">
      <c r="A484" t="s">
        <v>269</v>
      </c>
      <c r="B484" t="str">
        <f>IF(COUNTIF(A:A,A484)&gt;1,_xlfn.CONCAT(A484," (",N484,")"),A484)</f>
        <v>Rénguŏ Xiāng</v>
      </c>
      <c r="C484" t="str">
        <f>IF(COUNTIF(B:B,B484)&gt;1,_xlfn.CONCAT(A484," (",M484,")"),B484)</f>
        <v>Rénguŏ Xiāng</v>
      </c>
      <c r="D484" t="s">
        <v>270</v>
      </c>
      <c r="E484" t="s">
        <v>7</v>
      </c>
      <c r="F484" t="str">
        <f>_xlfn.CONCAT(D484,", ",H484,", ",I484,", ","西藏自治区")</f>
        <v>仁果乡, 左贡县, 昌都市, 西藏自治区</v>
      </c>
      <c r="G484">
        <v>2907</v>
      </c>
      <c r="H484" t="s">
        <v>1427</v>
      </c>
      <c r="I484" t="s">
        <v>1415</v>
      </c>
      <c r="J484" t="e">
        <f>VLOOKUP(F484,[1]!china_towns_second__2[[Column1]:[Y]],3,FALSE)</f>
        <v>#N/A</v>
      </c>
      <c r="K484" t="e">
        <f>VLOOKUP(F484,[1]!china_towns_second__2[[Column1]:[Y]],2,FALSE)</f>
        <v>#N/A</v>
      </c>
      <c r="L484" t="s">
        <v>2142</v>
      </c>
      <c r="M484" t="str">
        <f>VLOOKUP(H484,CHOOSE({1,2},Table8[Native],Table8[Name]),2,0)</f>
        <v>Zuŏgòng Xiàn</v>
      </c>
      <c r="N484" s="13" t="str">
        <f>VLOOKUP(I484,CHOOSE({1,2},Table8[Native],Table8[Name]),2,0)</f>
        <v>Chāngdū Shì</v>
      </c>
      <c r="O484" s="13" t="str">
        <f t="shared" si="14"/>
        <v>Renguo Xiang (Chāngdū Shì)</v>
      </c>
      <c r="P484" s="13" t="str">
        <f t="shared" si="15"/>
        <v>Renguo Xiang (Chāngdū Shì)</v>
      </c>
    </row>
    <row r="485" spans="1:16" hidden="1" x14ac:dyDescent="0.25">
      <c r="A485" t="s">
        <v>1148</v>
      </c>
      <c r="B485" t="str">
        <f>IF(COUNTIF(A:A,A485)&gt;1,_xlfn.CONCAT(A485," (",N485,")"),A485)</f>
        <v>Rénqīnzé Xiāng</v>
      </c>
      <c r="C485" t="str">
        <f>IF(COUNTIF(B:B,B485)&gt;1,_xlfn.CONCAT(A485," (",M485,")"),B485)</f>
        <v>Rénqīnzé Xiāng</v>
      </c>
      <c r="D485" t="s">
        <v>1149</v>
      </c>
      <c r="E485" t="s">
        <v>7</v>
      </c>
      <c r="F485" t="str">
        <f>_xlfn.CONCAT(D485,", ",H485,", ",I485,", ","西藏自治区")</f>
        <v>仁钦则乡, 谢通门县, 日喀则市, 西藏自治区</v>
      </c>
      <c r="G485">
        <v>5213</v>
      </c>
      <c r="H485" t="s">
        <v>1474</v>
      </c>
      <c r="I485" t="s">
        <v>1458</v>
      </c>
      <c r="J485" t="e">
        <f>VLOOKUP(F485,[1]!china_towns_second__2[[Column1]:[Y]],3,FALSE)</f>
        <v>#N/A</v>
      </c>
      <c r="K485" t="e">
        <f>VLOOKUP(F485,[1]!china_towns_second__2[[Column1]:[Y]],2,FALSE)</f>
        <v>#N/A</v>
      </c>
      <c r="L485" t="s">
        <v>2143</v>
      </c>
      <c r="M485" t="str">
        <f>VLOOKUP(H485,CHOOSE({1,2},Table8[Native],Table8[Name]),2,0)</f>
        <v>Xiètōngmén Xiàn</v>
      </c>
      <c r="N485" s="13" t="str">
        <f>VLOOKUP(I485,CHOOSE({1,2},Table8[Native],Table8[Name]),2,0)</f>
        <v>Rìkāzé Shì</v>
      </c>
      <c r="O485" s="13" t="str">
        <f t="shared" si="14"/>
        <v>Renqinze Xiang (Rìkāzé Shì)</v>
      </c>
      <c r="P485" s="13" t="str">
        <f t="shared" si="15"/>
        <v>Renqinze Xiang (Rìkāzé Shì)</v>
      </c>
    </row>
    <row r="486" spans="1:16" hidden="1" x14ac:dyDescent="0.25">
      <c r="A486" t="s">
        <v>1360</v>
      </c>
      <c r="B486" t="str">
        <f>IF(COUNTIF(A:A,A486)&gt;1,_xlfn.CONCAT(A486," (",N486,")"),A486)</f>
        <v>Rèróng Xiāng</v>
      </c>
      <c r="C486" t="str">
        <f>IF(COUNTIF(B:B,B486)&gt;1,_xlfn.CONCAT(A486," (",M486,")"),B486)</f>
        <v>Rèróng Xiāng</v>
      </c>
      <c r="D486" t="s">
        <v>1361</v>
      </c>
      <c r="E486" t="s">
        <v>7</v>
      </c>
      <c r="F486" t="str">
        <f>_xlfn.CONCAT(D486,", ",H486,", ",I486,", ","西藏自治区")</f>
        <v>热荣乡, 隆子县, 山南市, 西藏自治区</v>
      </c>
      <c r="G486">
        <v>3896</v>
      </c>
      <c r="H486" t="s">
        <v>1483</v>
      </c>
      <c r="I486" t="s">
        <v>1477</v>
      </c>
      <c r="J486" t="e">
        <f>VLOOKUP(F486,[1]!china_towns_second__2[[Column1]:[Y]],3,FALSE)</f>
        <v>#N/A</v>
      </c>
      <c r="K486" t="e">
        <f>VLOOKUP(F486,[1]!china_towns_second__2[[Column1]:[Y]],2,FALSE)</f>
        <v>#N/A</v>
      </c>
      <c r="L486" t="s">
        <v>2144</v>
      </c>
      <c r="M486" t="str">
        <f>VLOOKUP(H486,CHOOSE({1,2},Table8[Native],Table8[Name]),2,0)</f>
        <v>Lóngzi Xiàn</v>
      </c>
      <c r="N486" s="13" t="str">
        <f>VLOOKUP(I486,CHOOSE({1,2},Table8[Native],Table8[Name]),2,0)</f>
        <v>Shānnán Shì</v>
      </c>
      <c r="O486" s="13" t="str">
        <f t="shared" si="14"/>
        <v>Rerong Xiang (Shānnán Shì)</v>
      </c>
      <c r="P486" s="13" t="str">
        <f t="shared" si="15"/>
        <v>Rerong Xiang (Shānnán Shì)</v>
      </c>
    </row>
    <row r="487" spans="1:16" hidden="1" x14ac:dyDescent="0.25">
      <c r="A487" t="s">
        <v>1150</v>
      </c>
      <c r="B487" t="str">
        <f>IF(COUNTIF(A:A,A487)&gt;1,_xlfn.CONCAT(A487," (",N487,")"),A487)</f>
        <v>Rèsà Xiāng</v>
      </c>
      <c r="C487" t="str">
        <f>IF(COUNTIF(B:B,B487)&gt;1,_xlfn.CONCAT(A487," (",M487,")"),B487)</f>
        <v>Rèsà Xiāng</v>
      </c>
      <c r="D487" t="s">
        <v>1151</v>
      </c>
      <c r="E487" t="s">
        <v>7</v>
      </c>
      <c r="F487" t="str">
        <f>_xlfn.CONCAT(D487,", ",H487,", ",I487,", ","西藏自治区")</f>
        <v>热萨乡, 拉孜县, 日喀则市, 西藏自治区</v>
      </c>
      <c r="G487">
        <v>3445</v>
      </c>
      <c r="H487" t="s">
        <v>1467</v>
      </c>
      <c r="I487" t="s">
        <v>1458</v>
      </c>
      <c r="J487" t="e">
        <f>VLOOKUP(F487,[1]!china_towns_second__2[[Column1]:[Y]],3,FALSE)</f>
        <v>#N/A</v>
      </c>
      <c r="K487" t="e">
        <f>VLOOKUP(F487,[1]!china_towns_second__2[[Column1]:[Y]],2,FALSE)</f>
        <v>#N/A</v>
      </c>
      <c r="L487" t="s">
        <v>2145</v>
      </c>
      <c r="M487" t="str">
        <f>VLOOKUP(H487,CHOOSE({1,2},Table8[Native],Table8[Name]),2,0)</f>
        <v>Lāzī Xiàn</v>
      </c>
      <c r="N487" s="13" t="str">
        <f>VLOOKUP(I487,CHOOSE({1,2},Table8[Native],Table8[Name]),2,0)</f>
        <v>Rìkāzé Shì</v>
      </c>
      <c r="O487" s="13" t="str">
        <f t="shared" si="14"/>
        <v>Resa Xiang (Rìkāzé Shì)</v>
      </c>
      <c r="P487" s="13" t="str">
        <f t="shared" si="15"/>
        <v>Resa Xiang (Rìkāzé Shì)</v>
      </c>
    </row>
    <row r="488" spans="1:16" hidden="1" x14ac:dyDescent="0.25">
      <c r="A488" t="s">
        <v>1152</v>
      </c>
      <c r="B488" t="str">
        <f>IF(COUNTIF(A:A,A488)&gt;1,_xlfn.CONCAT(A488," (",N488,")"),A488)</f>
        <v>Rèsuŏ Xiāng</v>
      </c>
      <c r="C488" t="str">
        <f>IF(COUNTIF(B:B,B488)&gt;1,_xlfn.CONCAT(A488," (",M488,")"),B488)</f>
        <v>Rèsuŏ Xiāng</v>
      </c>
      <c r="D488" t="s">
        <v>1153</v>
      </c>
      <c r="E488" t="s">
        <v>7</v>
      </c>
      <c r="F488" t="str">
        <f>_xlfn.CONCAT(D488,", ",H488,", ",I488,", ","西藏自治区")</f>
        <v>热索乡, 江孜县, 日喀则市, 西藏自治区</v>
      </c>
      <c r="G488">
        <v>3244</v>
      </c>
      <c r="H488" t="s">
        <v>1464</v>
      </c>
      <c r="I488" t="s">
        <v>1458</v>
      </c>
      <c r="J488" t="e">
        <f>VLOOKUP(F488,[1]!china_towns_second__2[[Column1]:[Y]],3,FALSE)</f>
        <v>#N/A</v>
      </c>
      <c r="K488" t="e">
        <f>VLOOKUP(F488,[1]!china_towns_second__2[[Column1]:[Y]],2,FALSE)</f>
        <v>#N/A</v>
      </c>
      <c r="L488" t="s">
        <v>2146</v>
      </c>
      <c r="M488" t="str">
        <f>VLOOKUP(H488,CHOOSE({1,2},Table8[Native],Table8[Name]),2,0)</f>
        <v>Jiāngzī Xiàn</v>
      </c>
      <c r="N488" s="13" t="str">
        <f>VLOOKUP(I488,CHOOSE({1,2},Table8[Native],Table8[Name]),2,0)</f>
        <v>Rìkāzé Shì</v>
      </c>
      <c r="O488" s="13" t="str">
        <f t="shared" si="14"/>
        <v>Resuo Xiang (Rìkāzé Shì)</v>
      </c>
      <c r="P488" s="13" t="str">
        <f t="shared" si="15"/>
        <v>Resuo Xiang (Rìkāzé Shì)</v>
      </c>
    </row>
    <row r="489" spans="1:16" hidden="1" x14ac:dyDescent="0.25">
      <c r="A489" t="s">
        <v>761</v>
      </c>
      <c r="B489" t="str">
        <f>IF(COUNTIF(A:A,A489)&gt;1,_xlfn.CONCAT(A489," (",N489,")"),A489)</f>
        <v>Rèwă Xiāng</v>
      </c>
      <c r="C489" t="str">
        <f>IF(COUNTIF(B:B,B489)&gt;1,_xlfn.CONCAT(A489," (",M489,")"),B489)</f>
        <v>Rèwă Xiāng</v>
      </c>
      <c r="D489" t="s">
        <v>762</v>
      </c>
      <c r="E489" t="s">
        <v>7</v>
      </c>
      <c r="F489" t="str">
        <f>_xlfn.CONCAT(D489,", ",H489,", ",I489,", ","西藏自治区")</f>
        <v>热瓦乡, 索县, 那曲市, 西藏自治区</v>
      </c>
      <c r="G489">
        <v>2566</v>
      </c>
      <c r="H489" t="s">
        <v>1457</v>
      </c>
      <c r="I489" t="s">
        <v>1445</v>
      </c>
      <c r="J489" t="e">
        <f>VLOOKUP(F489,[1]!china_towns_second__2[[Column1]:[Y]],3,FALSE)</f>
        <v>#N/A</v>
      </c>
      <c r="K489" t="e">
        <f>VLOOKUP(F489,[1]!china_towns_second__2[[Column1]:[Y]],2,FALSE)</f>
        <v>#N/A</v>
      </c>
      <c r="L489" t="s">
        <v>2147</v>
      </c>
      <c r="M489" t="str">
        <f>VLOOKUP(H489,CHOOSE({1,2},Table8[Native],Table8[Name]),2,0)</f>
        <v>Suŏ Xiàn</v>
      </c>
      <c r="N489" s="13" t="str">
        <f>VLOOKUP(I489,CHOOSE({1,2},Table8[Native],Table8[Name]),2,0)</f>
        <v>Nàqŭ Shì</v>
      </c>
      <c r="O489" s="13" t="str">
        <f t="shared" si="14"/>
        <v>Rewa Xiang (Nàqŭ Shì)</v>
      </c>
      <c r="P489" s="13" t="str">
        <f t="shared" si="15"/>
        <v>Rewa Xiang (Nàqŭ Shì)</v>
      </c>
    </row>
    <row r="490" spans="1:16" hidden="1" x14ac:dyDescent="0.25">
      <c r="A490" t="s">
        <v>271</v>
      </c>
      <c r="B490" t="str">
        <f>IF(COUNTIF(A:A,A490)&gt;1,_xlfn.CONCAT(A490," (",N490,")"),A490)</f>
        <v>Rèyù Xiāng</v>
      </c>
      <c r="C490" t="str">
        <f>IF(COUNTIF(B:B,B490)&gt;1,_xlfn.CONCAT(A490," (",M490,")"),B490)</f>
        <v>Rèyù Xiāng</v>
      </c>
      <c r="D490" t="s">
        <v>272</v>
      </c>
      <c r="E490" t="s">
        <v>7</v>
      </c>
      <c r="F490" t="str">
        <f>_xlfn.CONCAT(D490,", ",H490,", ",I490,", ","西藏自治区")</f>
        <v>热玉乡, 边坝县, 昌都市, 西藏自治区</v>
      </c>
      <c r="G490">
        <v>1798</v>
      </c>
      <c r="H490" t="s">
        <v>1417</v>
      </c>
      <c r="I490" t="s">
        <v>1415</v>
      </c>
      <c r="J490" t="e">
        <f>VLOOKUP(F490,[1]!china_towns_second__2[[Column1]:[Y]],3,FALSE)</f>
        <v>#N/A</v>
      </c>
      <c r="K490" t="e">
        <f>VLOOKUP(F490,[1]!china_towns_second__2[[Column1]:[Y]],2,FALSE)</f>
        <v>#N/A</v>
      </c>
      <c r="L490" t="s">
        <v>2148</v>
      </c>
      <c r="M490" t="str">
        <f>VLOOKUP(H490,CHOOSE({1,2},Table8[Native],Table8[Name]),2,0)</f>
        <v>Biānbà Xiàn</v>
      </c>
      <c r="N490" s="13" t="str">
        <f>VLOOKUP(I490,CHOOSE({1,2},Table8[Native],Table8[Name]),2,0)</f>
        <v>Chāngdū Shì</v>
      </c>
      <c r="O490" s="13" t="str">
        <f t="shared" si="14"/>
        <v>Reyu Xiang (Chāngdū Shì)</v>
      </c>
      <c r="P490" s="13" t="str">
        <f t="shared" si="15"/>
        <v>Reyu Xiang (Chāngdū Shì)</v>
      </c>
    </row>
    <row r="491" spans="1:16" x14ac:dyDescent="0.25">
      <c r="A491" t="s">
        <v>1362</v>
      </c>
      <c r="B491" t="str">
        <f>IF(COUNTIF(A:A,A491)&gt;1,_xlfn.CONCAT(A491," (",N491,")"),A491)</f>
        <v>Rìdāng Zhèn</v>
      </c>
      <c r="C491" t="str">
        <f>IF(COUNTIF(B:B,B491)&gt;1,_xlfn.CONCAT(A491," (",M491,")"),B491)</f>
        <v>Rìdāng Zhèn</v>
      </c>
      <c r="D491" t="s">
        <v>1363</v>
      </c>
      <c r="E491" t="s">
        <v>17</v>
      </c>
      <c r="F491" t="str">
        <f>_xlfn.CONCAT(D491,", ",H491,", ",I491,", ","西藏自治区")</f>
        <v>日当镇, 隆子县, 山南市, 西藏自治区</v>
      </c>
      <c r="G491">
        <v>8340</v>
      </c>
      <c r="H491" t="s">
        <v>1483</v>
      </c>
      <c r="I491" t="s">
        <v>1477</v>
      </c>
      <c r="J491">
        <f>VLOOKUP(F491,[1]!china_towns_second__2[[Column1]:[Y]],3,FALSE)</f>
        <v>28.4719750174587</v>
      </c>
      <c r="K491">
        <f>VLOOKUP(F491,[1]!china_towns_second__2[[Column1]:[Y]],2,FALSE)</f>
        <v>92.211077509999996</v>
      </c>
      <c r="L491" t="s">
        <v>2149</v>
      </c>
      <c r="M491" t="str">
        <f>VLOOKUP(H491,CHOOSE({1,2},Table8[Native],Table8[Name]),2,0)</f>
        <v>Lóngzi Xiàn</v>
      </c>
      <c r="N491" s="13" t="str">
        <f>VLOOKUP(I491,CHOOSE({1,2},Table8[Native],Table8[Name]),2,0)</f>
        <v>Shānnán Shì</v>
      </c>
      <c r="O491" s="13" t="str">
        <f t="shared" si="14"/>
        <v>Ridang Zhen (Shānnán Shì)</v>
      </c>
      <c r="P491" s="13" t="str">
        <f t="shared" si="15"/>
        <v>Ridang Zhen (Shānnán Shì)</v>
      </c>
    </row>
    <row r="492" spans="1:16" hidden="1" x14ac:dyDescent="0.25">
      <c r="A492" t="s">
        <v>468</v>
      </c>
      <c r="B492" t="str">
        <f>IF(COUNTIF(A:A,A492)&gt;1,_xlfn.CONCAT(A492," (",N492,")"),A492)</f>
        <v>Rìduō Xiāng</v>
      </c>
      <c r="C492" t="str">
        <f>IF(COUNTIF(B:B,B492)&gt;1,_xlfn.CONCAT(A492," (",M492,")"),B492)</f>
        <v>Rìduō Xiāng</v>
      </c>
      <c r="D492" t="s">
        <v>469</v>
      </c>
      <c r="E492" t="s">
        <v>7</v>
      </c>
      <c r="F492" t="str">
        <f>_xlfn.CONCAT(D492,", ",H492,", ",I492,", ","西藏自治区")</f>
        <v>日多乡, 墨竹工卡县, 拉萨市, 西藏自治区</v>
      </c>
      <c r="G492">
        <v>2370</v>
      </c>
      <c r="H492" t="s">
        <v>1434</v>
      </c>
      <c r="I492" t="s">
        <v>1428</v>
      </c>
      <c r="J492" t="e">
        <f>VLOOKUP(F492,[1]!china_towns_second__2[[Column1]:[Y]],3,FALSE)</f>
        <v>#N/A</v>
      </c>
      <c r="K492" t="e">
        <f>VLOOKUP(F492,[1]!china_towns_second__2[[Column1]:[Y]],2,FALSE)</f>
        <v>#N/A</v>
      </c>
      <c r="L492" t="s">
        <v>2150</v>
      </c>
      <c r="M492" t="str">
        <f>VLOOKUP(H492,CHOOSE({1,2},Table8[Native],Table8[Name]),2,0)</f>
        <v>Mòzhúgōngkă Xiàn</v>
      </c>
      <c r="N492" s="13" t="str">
        <f>VLOOKUP(I492,CHOOSE({1,2},Table8[Native],Table8[Name]),2,0)</f>
        <v>Lāsà Shì</v>
      </c>
      <c r="O492" s="13" t="str">
        <f t="shared" si="14"/>
        <v>Riduo Xiang (Lāsà Shì)</v>
      </c>
      <c r="P492" s="13" t="str">
        <f t="shared" si="15"/>
        <v>Riduo Xiang (Lāsà Shì)</v>
      </c>
    </row>
    <row r="493" spans="1:16" hidden="1" x14ac:dyDescent="0.25">
      <c r="A493" t="s">
        <v>1154</v>
      </c>
      <c r="B493" t="str">
        <f>IF(COUNTIF(A:A,A493)&gt;1,_xlfn.CONCAT(A493," (",N493,")"),A493)</f>
        <v>Rìlăng Xiāng</v>
      </c>
      <c r="C493" t="str">
        <f>IF(COUNTIF(B:B,B493)&gt;1,_xlfn.CONCAT(A493," (",M493,")"),B493)</f>
        <v>Rìlăng Xiāng</v>
      </c>
      <c r="D493" t="s">
        <v>1155</v>
      </c>
      <c r="E493" t="s">
        <v>7</v>
      </c>
      <c r="F493" t="str">
        <f>_xlfn.CONCAT(D493,", ",H493,", ",I493,", ","西藏自治区")</f>
        <v>日朗乡, 江孜县, 日喀则市, 西藏自治区</v>
      </c>
      <c r="G493">
        <v>1069</v>
      </c>
      <c r="H493" t="s">
        <v>1464</v>
      </c>
      <c r="I493" t="s">
        <v>1458</v>
      </c>
      <c r="J493" t="e">
        <f>VLOOKUP(F493,[1]!china_towns_second__2[[Column1]:[Y]],3,FALSE)</f>
        <v>#N/A</v>
      </c>
      <c r="K493" t="e">
        <f>VLOOKUP(F493,[1]!china_towns_second__2[[Column1]:[Y]],2,FALSE)</f>
        <v>#N/A</v>
      </c>
      <c r="L493" t="s">
        <v>2151</v>
      </c>
      <c r="M493" t="str">
        <f>VLOOKUP(H493,CHOOSE({1,2},Table8[Native],Table8[Name]),2,0)</f>
        <v>Jiāngzī Xiàn</v>
      </c>
      <c r="N493" s="13" t="str">
        <f>VLOOKUP(I493,CHOOSE({1,2},Table8[Native],Table8[Name]),2,0)</f>
        <v>Rìkāzé Shì</v>
      </c>
      <c r="O493" s="13" t="str">
        <f t="shared" si="14"/>
        <v>Rilang Xiang (Rìkāzé Shì)</v>
      </c>
      <c r="P493" s="13" t="str">
        <f t="shared" si="15"/>
        <v>Rilang Xiang (Rìkāzé Shì)</v>
      </c>
    </row>
    <row r="494" spans="1:16" hidden="1" x14ac:dyDescent="0.25">
      <c r="A494" t="s">
        <v>58</v>
      </c>
      <c r="B494" t="str">
        <f>IF(COUNTIF(A:A,A494)&gt;1,_xlfn.CONCAT(A494," (",N494,")"),A494)</f>
        <v>Rìsōng Xiāng</v>
      </c>
      <c r="C494" t="str">
        <f>IF(COUNTIF(B:B,B494)&gt;1,_xlfn.CONCAT(A494," (",M494,")"),B494)</f>
        <v>Rìsōng Xiāng</v>
      </c>
      <c r="D494" t="s">
        <v>59</v>
      </c>
      <c r="E494" t="s">
        <v>7</v>
      </c>
      <c r="F494" t="str">
        <f>_xlfn.CONCAT(D494,", ",H494,", ",I494,", ","西藏自治区")</f>
        <v>日松乡, 日土县, 阿里地区, 西藏自治区</v>
      </c>
      <c r="G494">
        <v>1921</v>
      </c>
      <c r="H494" t="s">
        <v>1412</v>
      </c>
      <c r="I494" t="s">
        <v>1405</v>
      </c>
      <c r="J494" t="e">
        <f>VLOOKUP(F494,[1]!china_towns_second__2[[Column1]:[Y]],3,FALSE)</f>
        <v>#N/A</v>
      </c>
      <c r="K494" t="e">
        <f>VLOOKUP(F494,[1]!china_towns_second__2[[Column1]:[Y]],2,FALSE)</f>
        <v>#N/A</v>
      </c>
      <c r="L494" t="s">
        <v>2152</v>
      </c>
      <c r="M494" t="str">
        <f>VLOOKUP(H494,CHOOSE({1,2},Table8[Native],Table8[Name]),2,0)</f>
        <v>Rìtŭ Xiàn</v>
      </c>
      <c r="N494" s="13" t="str">
        <f>VLOOKUP(I494,CHOOSE({1,2},Table8[Native],Table8[Name]),2,0)</f>
        <v>Ālĭ Dìqū</v>
      </c>
      <c r="O494" s="13" t="str">
        <f t="shared" si="14"/>
        <v>Risong Xiang (Ālĭ Dìqū)</v>
      </c>
      <c r="P494" s="13" t="str">
        <f t="shared" si="15"/>
        <v>Risong Xiang (Ālĭ Dìqū)</v>
      </c>
    </row>
    <row r="495" spans="1:16" hidden="1" x14ac:dyDescent="0.25">
      <c r="A495" t="s">
        <v>273</v>
      </c>
      <c r="B495" t="str">
        <f>IF(COUNTIF(A:A,A495)&gt;1,_xlfn.CONCAT(A495," (",N495,")"),A495)</f>
        <v>Rìtōng Xiāng</v>
      </c>
      <c r="C495" t="str">
        <f>IF(COUNTIF(B:B,B495)&gt;1,_xlfn.CONCAT(A495," (",M495,")"),B495)</f>
        <v>Rìtōng Xiāng</v>
      </c>
      <c r="D495" t="s">
        <v>274</v>
      </c>
      <c r="E495" t="s">
        <v>7</v>
      </c>
      <c r="F495" t="str">
        <f>_xlfn.CONCAT(D495,", ",H495,", ",I495,", ","西藏自治区")</f>
        <v>日通乡, 卡若区, 昌都市, 西藏自治区</v>
      </c>
      <c r="G495">
        <v>4925</v>
      </c>
      <c r="H495" t="s">
        <v>1423</v>
      </c>
      <c r="I495" t="s">
        <v>1415</v>
      </c>
      <c r="J495" t="e">
        <f>VLOOKUP(F495,[1]!china_towns_second__2[[Column1]:[Y]],3,FALSE)</f>
        <v>#N/A</v>
      </c>
      <c r="K495" t="e">
        <f>VLOOKUP(F495,[1]!china_towns_second__2[[Column1]:[Y]],2,FALSE)</f>
        <v>#N/A</v>
      </c>
      <c r="L495" t="s">
        <v>2153</v>
      </c>
      <c r="M495" t="str">
        <f>VLOOKUP(H495,CHOOSE({1,2},Table8[Native],Table8[Name]),2,0)</f>
        <v>Kǎruò Qū</v>
      </c>
      <c r="N495" s="13" t="str">
        <f>VLOOKUP(I495,CHOOSE({1,2},Table8[Native],Table8[Name]),2,0)</f>
        <v>Chāngdū Shì</v>
      </c>
      <c r="O495" s="13" t="str">
        <f t="shared" si="14"/>
        <v>Ritong Xiang (Chāngdū Shì)</v>
      </c>
      <c r="P495" s="13" t="str">
        <f t="shared" si="15"/>
        <v>Ritong Xiang (Chāngdū Shì)</v>
      </c>
    </row>
    <row r="496" spans="1:16" x14ac:dyDescent="0.25">
      <c r="A496" t="s">
        <v>60</v>
      </c>
      <c r="B496" t="str">
        <f>IF(COUNTIF(A:A,A496)&gt;1,_xlfn.CONCAT(A496," (",N496,")"),A496)</f>
        <v>Rìtŭ Zhèn</v>
      </c>
      <c r="C496" t="str">
        <f>IF(COUNTIF(B:B,B496)&gt;1,_xlfn.CONCAT(A496," (",M496,")"),B496)</f>
        <v>Rìtŭ Zhèn</v>
      </c>
      <c r="D496" t="s">
        <v>61</v>
      </c>
      <c r="E496" t="s">
        <v>17</v>
      </c>
      <c r="F496" t="str">
        <f>_xlfn.CONCAT(D496,", ",H496,", ",I496,", ","西藏自治区")</f>
        <v>日土镇, 日土县, 阿里地区, 西藏自治区</v>
      </c>
      <c r="G496">
        <v>3057</v>
      </c>
      <c r="H496" t="s">
        <v>1412</v>
      </c>
      <c r="I496" t="s">
        <v>1405</v>
      </c>
      <c r="J496">
        <f>VLOOKUP(F496,[1]!china_towns_second__2[[Column1]:[Y]],3,FALSE)</f>
        <v>33.461056969983403</v>
      </c>
      <c r="K496">
        <f>VLOOKUP(F496,[1]!china_towns_second__2[[Column1]:[Y]],2,FALSE)</f>
        <v>79.301614850000007</v>
      </c>
      <c r="L496" t="s">
        <v>2154</v>
      </c>
      <c r="M496" t="str">
        <f>VLOOKUP(H496,CHOOSE({1,2},Table8[Native],Table8[Name]),2,0)</f>
        <v>Rìtŭ Xiàn</v>
      </c>
      <c r="N496" s="13" t="str">
        <f>VLOOKUP(I496,CHOOSE({1,2},Table8[Native],Table8[Name]),2,0)</f>
        <v>Ālĭ Dìqū</v>
      </c>
      <c r="O496" s="13" t="str">
        <f t="shared" si="14"/>
        <v>Ritu Zhen (Ālĭ Dìqū)</v>
      </c>
      <c r="P496" s="13" t="str">
        <f t="shared" si="15"/>
        <v>Ritu Zhen (Ālĭ Dìqū)</v>
      </c>
    </row>
    <row r="497" spans="1:16" x14ac:dyDescent="0.25">
      <c r="A497" t="s">
        <v>1158</v>
      </c>
      <c r="B497" t="str">
        <f>IF(COUNTIF(A:A,A497)&gt;1,_xlfn.CONCAT(A497," (",N497,")"),A497)</f>
        <v>Rìwū Zhèn</v>
      </c>
      <c r="C497" t="str">
        <f>IF(COUNTIF(B:B,B497)&gt;1,_xlfn.CONCAT(A497," (",M497,")"),B497)</f>
        <v>Rìwū Zhèn</v>
      </c>
      <c r="D497" t="s">
        <v>1159</v>
      </c>
      <c r="E497" t="s">
        <v>17</v>
      </c>
      <c r="F497" t="str">
        <f>_xlfn.CONCAT(D497,", ",H497,", ",I497,", ","西藏自治区")</f>
        <v>日屋镇, 定结县, 日喀则市, 西藏自治区</v>
      </c>
      <c r="G497">
        <v>1135</v>
      </c>
      <c r="H497" t="s">
        <v>1461</v>
      </c>
      <c r="I497" t="s">
        <v>1458</v>
      </c>
      <c r="J497">
        <f>VLOOKUP(F497,[1]!china_towns_second__2[[Column1]:[Y]],3,FALSE)</f>
        <v>27.975561651204401</v>
      </c>
      <c r="K497">
        <f>VLOOKUP(F497,[1]!china_towns_second__2[[Column1]:[Y]],2,FALSE)</f>
        <v>87.700914109999999</v>
      </c>
      <c r="L497" t="s">
        <v>2155</v>
      </c>
      <c r="M497" t="str">
        <f>VLOOKUP(H497,CHOOSE({1,2},Table8[Native],Table8[Name]),2,0)</f>
        <v>Dìngjié Xiàn</v>
      </c>
      <c r="N497" s="13" t="str">
        <f>VLOOKUP(I497,CHOOSE({1,2},Table8[Native],Table8[Name]),2,0)</f>
        <v>Rìkāzé Shì</v>
      </c>
      <c r="O497" s="13" t="str">
        <f t="shared" si="14"/>
        <v>Riwu Zhen (Rìkāzé Shì)</v>
      </c>
      <c r="P497" s="13" t="str">
        <f t="shared" si="15"/>
        <v>Riwu Zhen (Rìkāzé Shì)</v>
      </c>
    </row>
    <row r="498" spans="1:16" hidden="1" x14ac:dyDescent="0.25">
      <c r="A498" t="s">
        <v>1156</v>
      </c>
      <c r="B498" t="str">
        <f>IF(COUNTIF(A:A,A498)&gt;1,_xlfn.CONCAT(A498," (",N498,")"),A498)</f>
        <v>Rìwúqí Xiāng</v>
      </c>
      <c r="C498" t="str">
        <f>IF(COUNTIF(B:B,B498)&gt;1,_xlfn.CONCAT(A498," (",M498,")"),B498)</f>
        <v>Rìwúqí Xiāng</v>
      </c>
      <c r="D498" t="s">
        <v>1157</v>
      </c>
      <c r="E498" t="s">
        <v>7</v>
      </c>
      <c r="F498" t="str">
        <f>_xlfn.CONCAT(D498,", ",H498,", ",I498,", ","西藏自治区")</f>
        <v>日吾其乡, 昂仁县, 日喀则市, 西藏自治区</v>
      </c>
      <c r="G498">
        <v>4970</v>
      </c>
      <c r="H498" t="s">
        <v>1459</v>
      </c>
      <c r="I498" t="s">
        <v>1458</v>
      </c>
      <c r="J498" t="e">
        <f>VLOOKUP(F498,[1]!china_towns_second__2[[Column1]:[Y]],3,FALSE)</f>
        <v>#N/A</v>
      </c>
      <c r="K498" t="e">
        <f>VLOOKUP(F498,[1]!china_towns_second__2[[Column1]:[Y]],2,FALSE)</f>
        <v>#N/A</v>
      </c>
      <c r="L498" t="s">
        <v>2156</v>
      </c>
      <c r="M498" t="str">
        <f>VLOOKUP(H498,CHOOSE({1,2},Table8[Native],Table8[Name]),2,0)</f>
        <v>Ángrén Xiàn</v>
      </c>
      <c r="N498" s="13" t="str">
        <f>VLOOKUP(I498,CHOOSE({1,2},Table8[Native],Table8[Name]),2,0)</f>
        <v>Rìkāzé Shì</v>
      </c>
      <c r="O498" s="13" t="str">
        <f t="shared" si="14"/>
        <v>Riwuqi Xiang (Rìkāzé Shì)</v>
      </c>
      <c r="P498" s="13" t="str">
        <f t="shared" si="15"/>
        <v>Riwuqi Xiang (Rìkāzé Shì)</v>
      </c>
    </row>
    <row r="499" spans="1:16" hidden="1" x14ac:dyDescent="0.25">
      <c r="A499" t="s">
        <v>1160</v>
      </c>
      <c r="B499" t="str">
        <f>IF(COUNTIF(A:A,A499)&gt;1,_xlfn.CONCAT(A499," (",N499,")"),A499)</f>
        <v>Rìxīng Xiāng</v>
      </c>
      <c r="C499" t="str">
        <f>IF(COUNTIF(B:B,B499)&gt;1,_xlfn.CONCAT(A499," (",M499,")"),B499)</f>
        <v>Rìxīng Xiāng</v>
      </c>
      <c r="D499" t="s">
        <v>1161</v>
      </c>
      <c r="E499" t="s">
        <v>7</v>
      </c>
      <c r="F499" t="str">
        <f>_xlfn.CONCAT(D499,", ",H499,", ",I499,", ","西藏自治区")</f>
        <v>日星乡, 江孜县, 日喀则市, 西藏自治区</v>
      </c>
      <c r="G499">
        <v>2226</v>
      </c>
      <c r="H499" t="s">
        <v>1464</v>
      </c>
      <c r="I499" t="s">
        <v>1458</v>
      </c>
      <c r="J499" t="e">
        <f>VLOOKUP(F499,[1]!china_towns_second__2[[Column1]:[Y]],3,FALSE)</f>
        <v>#N/A</v>
      </c>
      <c r="K499" t="e">
        <f>VLOOKUP(F499,[1]!china_towns_second__2[[Column1]:[Y]],2,FALSE)</f>
        <v>#N/A</v>
      </c>
      <c r="L499" t="s">
        <v>2157</v>
      </c>
      <c r="M499" t="str">
        <f>VLOOKUP(H499,CHOOSE({1,2},Table8[Native],Table8[Name]),2,0)</f>
        <v>Jiāngzī Xiàn</v>
      </c>
      <c r="N499" s="13" t="str">
        <f>VLOOKUP(I499,CHOOSE({1,2},Table8[Native],Table8[Name]),2,0)</f>
        <v>Rìkāzé Shì</v>
      </c>
      <c r="O499" s="13" t="str">
        <f t="shared" si="14"/>
        <v>Rixing Xiang (Rìkāzé Shì)</v>
      </c>
      <c r="P499" s="13" t="str">
        <f t="shared" si="15"/>
        <v>Rixing Xiang (Rìkāzé Shì)</v>
      </c>
    </row>
    <row r="500" spans="1:16" hidden="1" x14ac:dyDescent="0.25">
      <c r="A500" t="s">
        <v>1364</v>
      </c>
      <c r="B500" t="str">
        <f>IF(COUNTIF(A:A,A500)&gt;1,_xlfn.CONCAT(A500," (",N500,")"),A500)</f>
        <v>Róng Xiāng</v>
      </c>
      <c r="C500" t="str">
        <f>IF(COUNTIF(B:B,B500)&gt;1,_xlfn.CONCAT(A500," (",M500,")"),B500)</f>
        <v>Róng Xiāng</v>
      </c>
      <c r="D500" t="s">
        <v>1365</v>
      </c>
      <c r="E500" t="s">
        <v>7</v>
      </c>
      <c r="F500" t="str">
        <f>_xlfn.CONCAT(D500,", ",H500,", ",I500,", ","西藏自治区")</f>
        <v>绒乡, 桑日县, 山南市, 西藏自治区</v>
      </c>
      <c r="G500">
        <v>6356</v>
      </c>
      <c r="H500" t="s">
        <v>1488</v>
      </c>
      <c r="I500" t="s">
        <v>1477</v>
      </c>
      <c r="J500" t="e">
        <f>VLOOKUP(F500,[1]!china_towns_second__2[[Column1]:[Y]],3,FALSE)</f>
        <v>#N/A</v>
      </c>
      <c r="K500" t="e">
        <f>VLOOKUP(F500,[1]!china_towns_second__2[[Column1]:[Y]],2,FALSE)</f>
        <v>#N/A</v>
      </c>
      <c r="L500" t="s">
        <v>2158</v>
      </c>
      <c r="M500" t="str">
        <f>VLOOKUP(H500,CHOOSE({1,2},Table8[Native],Table8[Name]),2,0)</f>
        <v>Sāngrì Xiàn</v>
      </c>
      <c r="N500" s="13" t="str">
        <f>VLOOKUP(I500,CHOOSE({1,2},Table8[Native],Table8[Name]),2,0)</f>
        <v>Shānnán Shì</v>
      </c>
      <c r="O500" s="13" t="str">
        <f t="shared" si="14"/>
        <v>Rong Xiang (Shānnán Shì)</v>
      </c>
      <c r="P500" s="13" t="str">
        <f t="shared" si="15"/>
        <v>Rong Xiang (Shānnán Shì)</v>
      </c>
    </row>
    <row r="501" spans="1:16" x14ac:dyDescent="0.25">
      <c r="A501" t="s">
        <v>763</v>
      </c>
      <c r="B501" t="str">
        <f>IF(COUNTIF(A:A,A501)&gt;1,_xlfn.CONCAT(A501," (",N501,")"),A501)</f>
        <v>Róngbù Zhèn</v>
      </c>
      <c r="C501" t="str">
        <f>IF(COUNTIF(B:B,B501)&gt;1,_xlfn.CONCAT(A501," (",M501,")"),B501)</f>
        <v>Róngbù Zhèn</v>
      </c>
      <c r="D501" t="s">
        <v>764</v>
      </c>
      <c r="E501" t="s">
        <v>17</v>
      </c>
      <c r="F501" t="str">
        <f>_xlfn.CONCAT(D501,", ",H501,", ",I501,", ","西藏自治区")</f>
        <v>荣布镇, 索县, 那曲市, 西藏自治区</v>
      </c>
      <c r="G501">
        <v>7214</v>
      </c>
      <c r="H501" t="s">
        <v>1457</v>
      </c>
      <c r="I501" t="s">
        <v>1445</v>
      </c>
      <c r="J501">
        <f>VLOOKUP(F501,[1]!china_towns_second__2[[Column1]:[Y]],3,FALSE)</f>
        <v>31.631324084309401</v>
      </c>
      <c r="K501">
        <f>VLOOKUP(F501,[1]!china_towns_second__2[[Column1]:[Y]],2,FALSE)</f>
        <v>94.603157699999997</v>
      </c>
      <c r="L501" t="s">
        <v>2159</v>
      </c>
      <c r="M501" t="str">
        <f>VLOOKUP(H501,CHOOSE({1,2},Table8[Native],Table8[Name]),2,0)</f>
        <v>Suŏ Xiàn</v>
      </c>
      <c r="N501" s="13" t="str">
        <f>VLOOKUP(I501,CHOOSE({1,2},Table8[Native],Table8[Name]),2,0)</f>
        <v>Nàqŭ Shì</v>
      </c>
      <c r="O501" s="13" t="str">
        <f t="shared" si="14"/>
        <v>Rongbu Zhen (Nàqŭ Shì)</v>
      </c>
      <c r="P501" s="13" t="str">
        <f t="shared" si="15"/>
        <v>Rongbu Zhen (Nàqŭ Shì)</v>
      </c>
    </row>
    <row r="502" spans="1:16" hidden="1" x14ac:dyDescent="0.25">
      <c r="A502" t="s">
        <v>765</v>
      </c>
      <c r="B502" t="str">
        <f>IF(COUNTIF(A:A,A502)&gt;1,_xlfn.CONCAT(A502," (",N502,")"),A502)</f>
        <v>Róngduō Xiāng</v>
      </c>
      <c r="C502" t="str">
        <f>IF(COUNTIF(B:B,B502)&gt;1,_xlfn.CONCAT(A502," (",M502,")"),B502)</f>
        <v>Róngduō Xiāng</v>
      </c>
      <c r="D502" t="s">
        <v>766</v>
      </c>
      <c r="E502" t="s">
        <v>7</v>
      </c>
      <c r="F502" t="str">
        <f>_xlfn.CONCAT(D502,", ",H502,", ",I502,", ","西藏自治区")</f>
        <v>绒多乡, 嘉黎县, 那曲市, 西藏自治区</v>
      </c>
      <c r="G502">
        <v>3161</v>
      </c>
      <c r="H502" t="s">
        <v>1450</v>
      </c>
      <c r="I502" t="s">
        <v>1445</v>
      </c>
      <c r="J502" t="e">
        <f>VLOOKUP(F502,[1]!china_towns_second__2[[Column1]:[Y]],3,FALSE)</f>
        <v>#N/A</v>
      </c>
      <c r="K502" t="e">
        <f>VLOOKUP(F502,[1]!china_towns_second__2[[Column1]:[Y]],2,FALSE)</f>
        <v>#N/A</v>
      </c>
      <c r="L502" t="s">
        <v>2160</v>
      </c>
      <c r="M502" t="str">
        <f>VLOOKUP(H502,CHOOSE({1,2},Table8[Native],Table8[Name]),2,0)</f>
        <v>Jiālí Xiàn</v>
      </c>
      <c r="N502" s="13" t="str">
        <f>VLOOKUP(I502,CHOOSE({1,2},Table8[Native],Table8[Name]),2,0)</f>
        <v>Nàqŭ Shì</v>
      </c>
      <c r="O502" s="13" t="str">
        <f t="shared" si="14"/>
        <v>Rongduo Xiang (Nàqŭ Shì)</v>
      </c>
      <c r="P502" s="13" t="str">
        <f t="shared" si="15"/>
        <v>Rongduo Xiang (Nàqŭ Shì)</v>
      </c>
    </row>
    <row r="503" spans="1:16" hidden="1" x14ac:dyDescent="0.25">
      <c r="A503" t="s">
        <v>767</v>
      </c>
      <c r="B503" t="str">
        <f>IF(COUNTIF(A:A,A503)&gt;1,_xlfn.CONCAT(A503," (",N503,")"),A503)</f>
        <v>Róngmă Xiāng (Nàqŭ Shì)</v>
      </c>
      <c r="C503" t="str">
        <f>IF(COUNTIF(B:B,B503)&gt;1,_xlfn.CONCAT(A503," (",M503,")"),B503)</f>
        <v>Róngmă Xiāng (Nàqŭ Shì)</v>
      </c>
      <c r="D503" t="s">
        <v>768</v>
      </c>
      <c r="E503" t="s">
        <v>7</v>
      </c>
      <c r="F503" t="str">
        <f>_xlfn.CONCAT(D503,", ",H503,", ",I503,", ","西藏自治区")</f>
        <v>荣玛乡, 尼玛县, 那曲市, 西藏自治区</v>
      </c>
      <c r="G503">
        <v>944</v>
      </c>
      <c r="H503" t="s">
        <v>1452</v>
      </c>
      <c r="I503" t="s">
        <v>1445</v>
      </c>
      <c r="J503" t="e">
        <f>VLOOKUP(F503,[1]!china_towns_second__2[[Column1]:[Y]],3,FALSE)</f>
        <v>#N/A</v>
      </c>
      <c r="K503" t="e">
        <f>VLOOKUP(F503,[1]!china_towns_second__2[[Column1]:[Y]],2,FALSE)</f>
        <v>#N/A</v>
      </c>
      <c r="L503" t="s">
        <v>2161</v>
      </c>
      <c r="M503" t="str">
        <f>VLOOKUP(H503,CHOOSE({1,2},Table8[Native],Table8[Name]),2,0)</f>
        <v>Nímă Xiàn</v>
      </c>
      <c r="N503" s="13" t="str">
        <f>VLOOKUP(I503,CHOOSE({1,2},Table8[Native],Table8[Name]),2,0)</f>
        <v>Nàqŭ Shì</v>
      </c>
      <c r="O503" s="13" t="str">
        <f t="shared" si="14"/>
        <v>Rongma Xiang (Naqu Shi) (Nàqŭ Shì)</v>
      </c>
      <c r="P503" s="13" t="str">
        <f t="shared" si="15"/>
        <v>Rongma Xiang (Naqu Shi) (Nàqŭ Shì)</v>
      </c>
    </row>
    <row r="504" spans="1:16" hidden="1" x14ac:dyDescent="0.25">
      <c r="A504" t="s">
        <v>767</v>
      </c>
      <c r="B504" t="str">
        <f>IF(COUNTIF(A:A,A504)&gt;1,_xlfn.CONCAT(A504," (",N504,")"),A504)</f>
        <v>Róngmă Xiāng (Rìkāzé Shì)</v>
      </c>
      <c r="C504" t="str">
        <f>IF(COUNTIF(B:B,B504)&gt;1,_xlfn.CONCAT(A504," (",M504,")"),B504)</f>
        <v>Róngmă Xiāng (Rìkāzé Shì)</v>
      </c>
      <c r="D504" t="s">
        <v>768</v>
      </c>
      <c r="E504" t="s">
        <v>7</v>
      </c>
      <c r="F504" t="str">
        <f>_xlfn.CONCAT(D504,", ",H504,", ",I504,", ","西藏自治区")</f>
        <v>荣玛乡, 谢通门县, 日喀则市, 西藏自治区</v>
      </c>
      <c r="G504">
        <v>2306</v>
      </c>
      <c r="H504" t="s">
        <v>1474</v>
      </c>
      <c r="I504" t="s">
        <v>1458</v>
      </c>
      <c r="J504" t="e">
        <f>VLOOKUP(F504,[1]!china_towns_second__2[[Column1]:[Y]],3,FALSE)</f>
        <v>#N/A</v>
      </c>
      <c r="K504" t="e">
        <f>VLOOKUP(F504,[1]!china_towns_second__2[[Column1]:[Y]],2,FALSE)</f>
        <v>#N/A</v>
      </c>
      <c r="L504" t="s">
        <v>2162</v>
      </c>
      <c r="M504" t="str">
        <f>VLOOKUP(H504,CHOOSE({1,2},Table8[Native],Table8[Name]),2,0)</f>
        <v>Xiètōngmén Xiàn</v>
      </c>
      <c r="N504" s="13" t="str">
        <f>VLOOKUP(I504,CHOOSE({1,2},Table8[Native],Table8[Name]),2,0)</f>
        <v>Rìkāzé Shì</v>
      </c>
      <c r="O504" s="13" t="str">
        <f t="shared" si="14"/>
        <v>Rongma Xiang (Rikaze Shi) (Rìkāzé Shì)</v>
      </c>
      <c r="P504" s="13" t="str">
        <f t="shared" si="15"/>
        <v>Rongma Xiang (Rikaze Shi) (Rìkāzé Shì)</v>
      </c>
    </row>
    <row r="505" spans="1:16" hidden="1" x14ac:dyDescent="0.25">
      <c r="A505" t="s">
        <v>1162</v>
      </c>
      <c r="B505" t="str">
        <f>IF(COUNTIF(A:A,A505)&gt;1,_xlfn.CONCAT(A505," (",N505,")"),A505)</f>
        <v>Róngxiá Xiāng</v>
      </c>
      <c r="C505" t="str">
        <f>IF(COUNTIF(B:B,B505)&gt;1,_xlfn.CONCAT(A505," (",M505,")"),B505)</f>
        <v>Róngxiá Xiāng</v>
      </c>
      <c r="D505" t="s">
        <v>1163</v>
      </c>
      <c r="E505" t="s">
        <v>7</v>
      </c>
      <c r="F505" t="str">
        <f>_xlfn.CONCAT(D505,", ",H505,", ",I505,", ","西藏自治区")</f>
        <v>绒辖乡, 定日县, 日喀则市, 西藏自治区</v>
      </c>
      <c r="G505">
        <v>783</v>
      </c>
      <c r="H505" t="s">
        <v>1462</v>
      </c>
      <c r="I505" t="s">
        <v>1458</v>
      </c>
      <c r="J505" t="e">
        <f>VLOOKUP(F505,[1]!china_towns_second__2[[Column1]:[Y]],3,FALSE)</f>
        <v>#N/A</v>
      </c>
      <c r="K505" t="e">
        <f>VLOOKUP(F505,[1]!china_towns_second__2[[Column1]:[Y]],2,FALSE)</f>
        <v>#N/A</v>
      </c>
      <c r="L505" t="s">
        <v>2163</v>
      </c>
      <c r="M505" t="str">
        <f>VLOOKUP(H505,CHOOSE({1,2},Table8[Native],Table8[Name]),2,0)</f>
        <v>Dìngrì Xiàn</v>
      </c>
      <c r="N505" s="13" t="str">
        <f>VLOOKUP(I505,CHOOSE({1,2},Table8[Native],Table8[Name]),2,0)</f>
        <v>Rìkāzé Shì</v>
      </c>
      <c r="O505" s="13" t="str">
        <f t="shared" si="14"/>
        <v>Rongxia Xiang (Rìkāzé Shì)</v>
      </c>
      <c r="P505" s="13" t="str">
        <f t="shared" si="15"/>
        <v>Rongxia Xiang (Rìkāzé Shì)</v>
      </c>
    </row>
    <row r="506" spans="1:16" hidden="1" x14ac:dyDescent="0.25">
      <c r="A506" t="s">
        <v>275</v>
      </c>
      <c r="B506" t="str">
        <f>IF(COUNTIF(A:A,A506)&gt;1,_xlfn.CONCAT(A506," (",N506,")"),A506)</f>
        <v>Róngzhōu Xiāng</v>
      </c>
      <c r="C506" t="str">
        <f>IF(COUNTIF(B:B,B506)&gt;1,_xlfn.CONCAT(A506," (",M506,")"),B506)</f>
        <v>Róngzhōu Xiāng</v>
      </c>
      <c r="D506" t="s">
        <v>276</v>
      </c>
      <c r="E506" t="s">
        <v>7</v>
      </c>
      <c r="F506" t="str">
        <f>_xlfn.CONCAT(D506,", ",H506,", ",I506,", ","西藏自治区")</f>
        <v>荣周乡, 察雅县, 昌都市, 西藏自治区</v>
      </c>
      <c r="G506">
        <v>5878</v>
      </c>
      <c r="H506" t="s">
        <v>1418</v>
      </c>
      <c r="I506" t="s">
        <v>1415</v>
      </c>
      <c r="J506" t="e">
        <f>VLOOKUP(F506,[1]!china_towns_second__2[[Column1]:[Y]],3,FALSE)</f>
        <v>#N/A</v>
      </c>
      <c r="K506" t="e">
        <f>VLOOKUP(F506,[1]!china_towns_second__2[[Column1]:[Y]],2,FALSE)</f>
        <v>#N/A</v>
      </c>
      <c r="L506" t="s">
        <v>2164</v>
      </c>
      <c r="M506" t="str">
        <f>VLOOKUP(H506,CHOOSE({1,2},Table8[Native],Table8[Name]),2,0)</f>
        <v>Cháyă Xiàn</v>
      </c>
      <c r="N506" s="13" t="str">
        <f>VLOOKUP(I506,CHOOSE({1,2},Table8[Native],Table8[Name]),2,0)</f>
        <v>Chāngdū Shì</v>
      </c>
      <c r="O506" s="13" t="str">
        <f t="shared" si="14"/>
        <v>Rongzhou Xiang (Chāngdū Shì)</v>
      </c>
      <c r="P506" s="13" t="str">
        <f t="shared" si="15"/>
        <v>Rongzhou Xiang (Chāngdū Shì)</v>
      </c>
    </row>
    <row r="507" spans="1:16" hidden="1" x14ac:dyDescent="0.25">
      <c r="A507" t="s">
        <v>1164</v>
      </c>
      <c r="B507" t="str">
        <f>IF(COUNTIF(A:A,A507)&gt;1,_xlfn.CONCAT(A507," (",N507,")"),A507)</f>
        <v>Rújiăo Xiāng</v>
      </c>
      <c r="C507" t="str">
        <f>IF(COUNTIF(B:B,B507)&gt;1,_xlfn.CONCAT(A507," (",M507,")"),B507)</f>
        <v>Rújiăo Xiāng</v>
      </c>
      <c r="D507" t="s">
        <v>1165</v>
      </c>
      <c r="E507" t="s">
        <v>7</v>
      </c>
      <c r="F507" t="str">
        <f>_xlfn.CONCAT(D507,", ",H507,", ",I507,", ","西藏自治区")</f>
        <v>如角乡, 萨嘎县, 日喀则市, 西藏自治区</v>
      </c>
      <c r="G507">
        <v>851</v>
      </c>
      <c r="H507" t="s">
        <v>1471</v>
      </c>
      <c r="I507" t="s">
        <v>1458</v>
      </c>
      <c r="J507" t="e">
        <f>VLOOKUP(F507,[1]!china_towns_second__2[[Column1]:[Y]],3,FALSE)</f>
        <v>#N/A</v>
      </c>
      <c r="K507" t="e">
        <f>VLOOKUP(F507,[1]!china_towns_second__2[[Column1]:[Y]],2,FALSE)</f>
        <v>#N/A</v>
      </c>
      <c r="L507" t="s">
        <v>2165</v>
      </c>
      <c r="M507" t="str">
        <f>VLOOKUP(H507,CHOOSE({1,2},Table8[Native],Table8[Name]),2,0)</f>
        <v>Sàgā Xiàn</v>
      </c>
      <c r="N507" s="13" t="str">
        <f>VLOOKUP(I507,CHOOSE({1,2},Table8[Native],Table8[Name]),2,0)</f>
        <v>Rìkāzé Shì</v>
      </c>
      <c r="O507" s="13" t="str">
        <f t="shared" si="14"/>
        <v>Rujiao Xiang (Rìkāzé Shì)</v>
      </c>
      <c r="P507" s="13" t="str">
        <f t="shared" si="15"/>
        <v>Rujiao Xiang (Rìkāzé Shì)</v>
      </c>
    </row>
    <row r="508" spans="1:16" x14ac:dyDescent="0.25">
      <c r="A508" t="s">
        <v>277</v>
      </c>
      <c r="B508" t="str">
        <f>IF(COUNTIF(A:A,A508)&gt;1,_xlfn.CONCAT(A508," (",N508,")"),A508)</f>
        <v>Rúmĕi Zhèn</v>
      </c>
      <c r="C508" t="str">
        <f>IF(COUNTIF(B:B,B508)&gt;1,_xlfn.CONCAT(A508," (",M508,")"),B508)</f>
        <v>Rúmĕi Zhèn</v>
      </c>
      <c r="D508" t="s">
        <v>278</v>
      </c>
      <c r="E508" t="s">
        <v>17</v>
      </c>
      <c r="F508" t="str">
        <f>_xlfn.CONCAT(D508,", ",H508,", ",I508,", ","西藏自治区")</f>
        <v>如美镇, 芒康县, 昌都市, 西藏自治区</v>
      </c>
      <c r="G508">
        <v>5055</v>
      </c>
      <c r="H508" t="s">
        <v>1426</v>
      </c>
      <c r="I508" t="s">
        <v>1415</v>
      </c>
      <c r="J508">
        <f>VLOOKUP(F508,[1]!china_towns_second__2[[Column1]:[Y]],3,FALSE)</f>
        <v>29.709325233473798</v>
      </c>
      <c r="K508">
        <f>VLOOKUP(F508,[1]!china_towns_second__2[[Column1]:[Y]],2,FALSE)</f>
        <v>98.370968660000003</v>
      </c>
      <c r="L508" t="s">
        <v>2166</v>
      </c>
      <c r="M508" t="str">
        <f>VLOOKUP(H508,CHOOSE({1,2},Table8[Native],Table8[Name]),2,0)</f>
        <v>Mángkāng Xiàn</v>
      </c>
      <c r="N508" s="13" t="str">
        <f>VLOOKUP(I508,CHOOSE({1,2},Table8[Native],Table8[Name]),2,0)</f>
        <v>Chāngdū Shì</v>
      </c>
      <c r="O508" s="13" t="str">
        <f t="shared" si="14"/>
        <v>Rumei Zhen (Chāngdū Shì)</v>
      </c>
      <c r="P508" s="13" t="str">
        <f t="shared" si="15"/>
        <v>Rumei Zhen (Chāngdū Shì)</v>
      </c>
    </row>
    <row r="509" spans="1:16" hidden="1" x14ac:dyDescent="0.25">
      <c r="A509" t="s">
        <v>279</v>
      </c>
      <c r="B509" t="str">
        <f>IF(COUNTIF(A:A,A509)&gt;1,_xlfn.CONCAT(A509," (",N509,")"),A509)</f>
        <v>Ruòbā Xiāng</v>
      </c>
      <c r="C509" t="str">
        <f>IF(COUNTIF(B:B,B509)&gt;1,_xlfn.CONCAT(A509," (",M509,")"),B509)</f>
        <v>Ruòbā Xiāng</v>
      </c>
      <c r="D509" t="s">
        <v>280</v>
      </c>
      <c r="E509" t="s">
        <v>7</v>
      </c>
      <c r="F509" t="str">
        <f>_xlfn.CONCAT(D509,", ",H509,", ",I509,", ","西藏自治区")</f>
        <v>若巴乡, 卡若区, 昌都市, 西藏自治区</v>
      </c>
      <c r="G509">
        <v>3400</v>
      </c>
      <c r="H509" t="s">
        <v>1423</v>
      </c>
      <c r="I509" t="s">
        <v>1415</v>
      </c>
      <c r="J509" t="e">
        <f>VLOOKUP(F509,[1]!china_towns_second__2[[Column1]:[Y]],3,FALSE)</f>
        <v>#N/A</v>
      </c>
      <c r="K509" t="e">
        <f>VLOOKUP(F509,[1]!china_towns_second__2[[Column1]:[Y]],2,FALSE)</f>
        <v>#N/A</v>
      </c>
      <c r="L509" t="s">
        <v>2167</v>
      </c>
      <c r="M509" t="str">
        <f>VLOOKUP(H509,CHOOSE({1,2},Table8[Native],Table8[Name]),2,0)</f>
        <v>Kǎruò Qū</v>
      </c>
      <c r="N509" s="13" t="str">
        <f>VLOOKUP(I509,CHOOSE({1,2},Table8[Native],Table8[Name]),2,0)</f>
        <v>Chāngdū Shì</v>
      </c>
      <c r="O509" s="13" t="str">
        <f t="shared" si="14"/>
        <v>Ruoba Xiang (Chāngdū Shì)</v>
      </c>
      <c r="P509" s="13" t="str">
        <f t="shared" si="15"/>
        <v>Ruoba Xiang (Chāngdū Shì)</v>
      </c>
    </row>
    <row r="510" spans="1:16" hidden="1" x14ac:dyDescent="0.25">
      <c r="A510" t="s">
        <v>769</v>
      </c>
      <c r="B510" t="str">
        <f>IF(COUNTIF(A:A,A510)&gt;1,_xlfn.CONCAT(A510," (",N510,")"),A510)</f>
        <v>Ruòdá Xiāng</v>
      </c>
      <c r="C510" t="str">
        <f>IF(COUNTIF(B:B,B510)&gt;1,_xlfn.CONCAT(A510," (",M510,")"),B510)</f>
        <v>Ruòdá Xiāng</v>
      </c>
      <c r="D510" t="s">
        <v>770</v>
      </c>
      <c r="E510" t="s">
        <v>7</v>
      </c>
      <c r="F510" t="str">
        <f>_xlfn.CONCAT(D510,", ",H510,", ",I510,", ","西藏自治区")</f>
        <v>若达乡, 索县, 那曲市, 西藏自治区</v>
      </c>
      <c r="G510">
        <v>2695</v>
      </c>
      <c r="H510" t="s">
        <v>1457</v>
      </c>
      <c r="I510" t="s">
        <v>1445</v>
      </c>
      <c r="J510" t="e">
        <f>VLOOKUP(F510,[1]!china_towns_second__2[[Column1]:[Y]],3,FALSE)</f>
        <v>#N/A</v>
      </c>
      <c r="K510" t="e">
        <f>VLOOKUP(F510,[1]!china_towns_second__2[[Column1]:[Y]],2,FALSE)</f>
        <v>#N/A</v>
      </c>
      <c r="L510" t="s">
        <v>2168</v>
      </c>
      <c r="M510" t="str">
        <f>VLOOKUP(H510,CHOOSE({1,2},Table8[Native],Table8[Name]),2,0)</f>
        <v>Suŏ Xiàn</v>
      </c>
      <c r="N510" s="13" t="str">
        <f>VLOOKUP(I510,CHOOSE({1,2},Table8[Native],Table8[Name]),2,0)</f>
        <v>Nàqŭ Shì</v>
      </c>
      <c r="O510" s="13" t="str">
        <f t="shared" si="14"/>
        <v>Ruoda Xiang (Nàqŭ Shì)</v>
      </c>
      <c r="P510" s="13" t="str">
        <f t="shared" si="15"/>
        <v>Ruoda Xiang (Nàqŭ Shì)</v>
      </c>
    </row>
    <row r="511" spans="1:16" hidden="1" x14ac:dyDescent="0.25">
      <c r="A511" t="s">
        <v>1166</v>
      </c>
      <c r="B511" t="str">
        <f>IF(COUNTIF(A:A,A511)&gt;1,_xlfn.CONCAT(A511," (",N511,")"),A511)</f>
        <v>Rúsà Xiāng</v>
      </c>
      <c r="C511" t="str">
        <f>IF(COUNTIF(B:B,B511)&gt;1,_xlfn.CONCAT(A511," (",M511,")"),B511)</f>
        <v>Rúsà Xiāng</v>
      </c>
      <c r="D511" t="s">
        <v>1167</v>
      </c>
      <c r="E511" t="s">
        <v>7</v>
      </c>
      <c r="F511" t="str">
        <f>_xlfn.CONCAT(D511,", ",H511,", ",I511,", ","西藏自治区")</f>
        <v>如萨乡, 昂仁县, 日喀则市, 西藏自治区</v>
      </c>
      <c r="G511">
        <v>721</v>
      </c>
      <c r="H511" t="s">
        <v>1459</v>
      </c>
      <c r="I511" t="s">
        <v>1458</v>
      </c>
      <c r="J511" t="e">
        <f>VLOOKUP(F511,[1]!china_towns_second__2[[Column1]:[Y]],3,FALSE)</f>
        <v>#N/A</v>
      </c>
      <c r="K511" t="e">
        <f>VLOOKUP(F511,[1]!china_towns_second__2[[Column1]:[Y]],2,FALSE)</f>
        <v>#N/A</v>
      </c>
      <c r="L511" t="s">
        <v>2169</v>
      </c>
      <c r="M511" t="str">
        <f>VLOOKUP(H511,CHOOSE({1,2},Table8[Native],Table8[Name]),2,0)</f>
        <v>Ángrén Xiàn</v>
      </c>
      <c r="N511" s="13" t="str">
        <f>VLOOKUP(I511,CHOOSE({1,2},Table8[Native],Table8[Name]),2,0)</f>
        <v>Rìkāzé Shì</v>
      </c>
      <c r="O511" s="13" t="str">
        <f t="shared" si="14"/>
        <v>Rusa Xiang (Rìkāzé Shì)</v>
      </c>
      <c r="P511" s="13" t="str">
        <f t="shared" si="15"/>
        <v>Rusa Xiang (Rìkāzé Shì)</v>
      </c>
    </row>
    <row r="512" spans="1:16" hidden="1" x14ac:dyDescent="0.25">
      <c r="A512" t="s">
        <v>281</v>
      </c>
      <c r="B512" t="str">
        <f>IF(COUNTIF(A:A,A512)&gt;1,_xlfn.CONCAT(A512," (",N512,")"),A512)</f>
        <v>Rúyì Xiāng</v>
      </c>
      <c r="C512" t="str">
        <f>IF(COUNTIF(B:B,B512)&gt;1,_xlfn.CONCAT(A512," (",M512,")"),B512)</f>
        <v>Rúyì Xiāng</v>
      </c>
      <c r="D512" t="s">
        <v>282</v>
      </c>
      <c r="E512" t="s">
        <v>7</v>
      </c>
      <c r="F512" t="str">
        <f>_xlfn.CONCAT(D512,", ",H512,", ",I512,", ","西藏自治区")</f>
        <v>如意乡, 卡若区, 昌都市, 西藏自治区</v>
      </c>
      <c r="G512">
        <v>3403</v>
      </c>
      <c r="H512" t="s">
        <v>1423</v>
      </c>
      <c r="I512" t="s">
        <v>1415</v>
      </c>
      <c r="J512" t="e">
        <f>VLOOKUP(F512,[1]!china_towns_second__2[[Column1]:[Y]],3,FALSE)</f>
        <v>#N/A</v>
      </c>
      <c r="K512" t="e">
        <f>VLOOKUP(F512,[1]!china_towns_second__2[[Column1]:[Y]],2,FALSE)</f>
        <v>#N/A</v>
      </c>
      <c r="L512" t="s">
        <v>2170</v>
      </c>
      <c r="M512" t="str">
        <f>VLOOKUP(H512,CHOOSE({1,2},Table8[Native],Table8[Name]),2,0)</f>
        <v>Kǎruò Qū</v>
      </c>
      <c r="N512" s="13" t="str">
        <f>VLOOKUP(I512,CHOOSE({1,2},Table8[Native],Table8[Name]),2,0)</f>
        <v>Chāngdū Shì</v>
      </c>
      <c r="O512" s="13" t="str">
        <f t="shared" si="14"/>
        <v>Ruyi Xiang (Chāngdū Shì)</v>
      </c>
      <c r="P512" s="13" t="str">
        <f t="shared" si="15"/>
        <v>Ruyi Xiang (Chāngdū Shì)</v>
      </c>
    </row>
    <row r="513" spans="1:16" hidden="1" x14ac:dyDescent="0.25">
      <c r="A513" t="s">
        <v>1168</v>
      </c>
      <c r="B513" t="str">
        <f>IF(COUNTIF(A:A,A513)&gt;1,_xlfn.CONCAT(A513," (",N513,")"),A513)</f>
        <v>Sà'ĕr Xiāng</v>
      </c>
      <c r="C513" t="str">
        <f>IF(COUNTIF(B:B,B513)&gt;1,_xlfn.CONCAT(A513," (",M513,")"),B513)</f>
        <v>Sà'ĕr Xiāng</v>
      </c>
      <c r="D513" t="s">
        <v>1169</v>
      </c>
      <c r="E513" t="s">
        <v>7</v>
      </c>
      <c r="F513" t="str">
        <f>_xlfn.CONCAT(D513,", ",H513,", ",I513,", ","西藏自治区")</f>
        <v>萨尔乡, 定结县, 日喀则市, 西藏自治区</v>
      </c>
      <c r="G513">
        <v>2360</v>
      </c>
      <c r="H513" t="s">
        <v>1461</v>
      </c>
      <c r="I513" t="s">
        <v>1458</v>
      </c>
      <c r="J513" t="e">
        <f>VLOOKUP(F513,[1]!china_towns_second__2[[Column1]:[Y]],3,FALSE)</f>
        <v>#N/A</v>
      </c>
      <c r="K513" t="e">
        <f>VLOOKUP(F513,[1]!china_towns_second__2[[Column1]:[Y]],2,FALSE)</f>
        <v>#N/A</v>
      </c>
      <c r="L513" t="s">
        <v>2171</v>
      </c>
      <c r="M513" t="str">
        <f>VLOOKUP(H513,CHOOSE({1,2},Table8[Native],Table8[Name]),2,0)</f>
        <v>Dìngjié Xiàn</v>
      </c>
      <c r="N513" s="13" t="str">
        <f>VLOOKUP(I513,CHOOSE({1,2},Table8[Native],Table8[Name]),2,0)</f>
        <v>Rìkāzé Shì</v>
      </c>
      <c r="O513" s="13" t="str">
        <f t="shared" si="14"/>
        <v>Sa'er Xiang (Rìkāzé Shì)</v>
      </c>
      <c r="P513" s="13" t="str">
        <f t="shared" si="15"/>
        <v>Sa'er Xiang (Rìkāzé Shì)</v>
      </c>
    </row>
    <row r="514" spans="1:16" hidden="1" x14ac:dyDescent="0.25">
      <c r="A514" t="s">
        <v>1170</v>
      </c>
      <c r="B514" t="str">
        <f>IF(COUNTIF(A:A,A514)&gt;1,_xlfn.CONCAT(A514," (",N514,")"),A514)</f>
        <v>Sài Xiāng</v>
      </c>
      <c r="C514" t="str">
        <f>IF(COUNTIF(B:B,B514)&gt;1,_xlfn.CONCAT(A514," (",M514,")"),B514)</f>
        <v>Sài Xiāng</v>
      </c>
      <c r="D514" t="s">
        <v>1171</v>
      </c>
      <c r="E514" t="s">
        <v>7</v>
      </c>
      <c r="F514" t="str">
        <f>_xlfn.CONCAT(D514,", ",H514,", ",I514,", ","西藏自治区")</f>
        <v>赛乡, 萨迦县, 日喀则市, 西藏自治区</v>
      </c>
      <c r="G514">
        <v>3457</v>
      </c>
      <c r="H514" t="s">
        <v>1472</v>
      </c>
      <c r="I514" t="s">
        <v>1458</v>
      </c>
      <c r="J514" t="e">
        <f>VLOOKUP(F514,[1]!china_towns_second__2[[Column1]:[Y]],3,FALSE)</f>
        <v>#N/A</v>
      </c>
      <c r="K514" t="e">
        <f>VLOOKUP(F514,[1]!china_towns_second__2[[Column1]:[Y]],2,FALSE)</f>
        <v>#N/A</v>
      </c>
      <c r="L514" t="s">
        <v>2172</v>
      </c>
      <c r="M514" t="str">
        <f>VLOOKUP(H514,CHOOSE({1,2},Table8[Native],Table8[Name]),2,0)</f>
        <v>Sàjiā Xiàn</v>
      </c>
      <c r="N514" s="13" t="str">
        <f>VLOOKUP(I514,CHOOSE({1,2},Table8[Native],Table8[Name]),2,0)</f>
        <v>Rìkāzé Shì</v>
      </c>
      <c r="O514" s="13" t="str">
        <f t="shared" ref="O514:O577" si="16">_xlfn.CONCAT(L514," (",N514,")")</f>
        <v>Sai Xiang (Rìkāzé Shì)</v>
      </c>
      <c r="P514" s="13" t="str">
        <f t="shared" ref="P514:P577" si="17">IF(COUNTIF(O:O,O514)&gt;1,_xlfn.CONCAT(L514," (",M514,")"),O514)</f>
        <v>Sai Xiang (Rìkāzé Shì)</v>
      </c>
    </row>
    <row r="515" spans="1:16" x14ac:dyDescent="0.25">
      <c r="A515" t="s">
        <v>1172</v>
      </c>
      <c r="B515" t="str">
        <f>IF(COUNTIF(A:A,A515)&gt;1,_xlfn.CONCAT(A515," (",N515,")"),A515)</f>
        <v>Sàjiā Zhèn</v>
      </c>
      <c r="C515" t="str">
        <f>IF(COUNTIF(B:B,B515)&gt;1,_xlfn.CONCAT(A515," (",M515,")"),B515)</f>
        <v>Sàjiā Zhèn</v>
      </c>
      <c r="D515" t="s">
        <v>1173</v>
      </c>
      <c r="E515" t="s">
        <v>17</v>
      </c>
      <c r="F515" t="str">
        <f>_xlfn.CONCAT(D515,", ",H515,", ",I515,", ","西藏自治区")</f>
        <v>萨迦镇, 萨迦县, 日喀则市, 西藏自治区</v>
      </c>
      <c r="G515">
        <v>4758</v>
      </c>
      <c r="H515" t="s">
        <v>1472</v>
      </c>
      <c r="I515" t="s">
        <v>1458</v>
      </c>
      <c r="J515">
        <f>VLOOKUP(F515,[1]!china_towns_second__2[[Column1]:[Y]],3,FALSE)</f>
        <v>28.850851160298301</v>
      </c>
      <c r="K515">
        <f>VLOOKUP(F515,[1]!china_towns_second__2[[Column1]:[Y]],2,FALSE)</f>
        <v>88.151019969999993</v>
      </c>
      <c r="L515" t="s">
        <v>2173</v>
      </c>
      <c r="M515" t="str">
        <f>VLOOKUP(H515,CHOOSE({1,2},Table8[Native],Table8[Name]),2,0)</f>
        <v>Sàjiā Xiàn</v>
      </c>
      <c r="N515" s="13" t="str">
        <f>VLOOKUP(I515,CHOOSE({1,2},Table8[Native],Table8[Name]),2,0)</f>
        <v>Rìkāzé Shì</v>
      </c>
      <c r="O515" s="13" t="str">
        <f t="shared" si="16"/>
        <v>Sajia Zhen (Rìkāzé Shì)</v>
      </c>
      <c r="P515" s="13" t="str">
        <f t="shared" si="17"/>
        <v>Sajia Zhen (Rìkāzé Shì)</v>
      </c>
    </row>
    <row r="516" spans="1:16" hidden="1" x14ac:dyDescent="0.25">
      <c r="A516" t="s">
        <v>1174</v>
      </c>
      <c r="B516" t="str">
        <f>IF(COUNTIF(A:A,A516)&gt;1,_xlfn.CONCAT(A516," (",N516,")"),A516)</f>
        <v>Sàmădá Xiāng</v>
      </c>
      <c r="C516" t="str">
        <f>IF(COUNTIF(B:B,B516)&gt;1,_xlfn.CONCAT(A516," (",M516,")"),B516)</f>
        <v>Sàmădá Xiāng</v>
      </c>
      <c r="D516" t="s">
        <v>1175</v>
      </c>
      <c r="E516" t="s">
        <v>7</v>
      </c>
      <c r="F516" t="str">
        <f>_xlfn.CONCAT(D516,", ",H516,", ",I516,", ","西藏自治区")</f>
        <v>萨玛达乡, 康马县, 日喀则市, 西藏自治区</v>
      </c>
      <c r="G516">
        <v>1944</v>
      </c>
      <c r="H516" t="s">
        <v>1466</v>
      </c>
      <c r="I516" t="s">
        <v>1458</v>
      </c>
      <c r="J516" t="e">
        <f>VLOOKUP(F516,[1]!china_towns_second__2[[Column1]:[Y]],3,FALSE)</f>
        <v>#N/A</v>
      </c>
      <c r="K516" t="e">
        <f>VLOOKUP(F516,[1]!china_towns_second__2[[Column1]:[Y]],2,FALSE)</f>
        <v>#N/A</v>
      </c>
      <c r="L516" t="s">
        <v>2174</v>
      </c>
      <c r="M516" t="str">
        <f>VLOOKUP(H516,CHOOSE({1,2},Table8[Native],Table8[Name]),2,0)</f>
        <v>Kāngmă Xiàn</v>
      </c>
      <c r="N516" s="13" t="str">
        <f>VLOOKUP(I516,CHOOSE({1,2},Table8[Native],Table8[Name]),2,0)</f>
        <v>Rìkāzé Shì</v>
      </c>
      <c r="O516" s="13" t="str">
        <f t="shared" si="16"/>
        <v>Samada Xiang (Rìkāzé Shì)</v>
      </c>
      <c r="P516" s="13" t="str">
        <f t="shared" si="17"/>
        <v>Samada Xiang (Rìkāzé Shì)</v>
      </c>
    </row>
    <row r="517" spans="1:16" hidden="1" x14ac:dyDescent="0.25">
      <c r="A517" t="s">
        <v>1366</v>
      </c>
      <c r="B517" t="str">
        <f>IF(COUNTIF(A:A,A517)&gt;1,_xlfn.CONCAT(A517," (",N517,")"),A517)</f>
        <v>Sān'ānqŭlín Xiāng</v>
      </c>
      <c r="C517" t="str">
        <f>IF(COUNTIF(B:B,B517)&gt;1,_xlfn.CONCAT(A517," (",M517,")"),B517)</f>
        <v>Sān'ānqŭlín Xiāng</v>
      </c>
      <c r="D517" t="s">
        <v>1367</v>
      </c>
      <c r="E517" t="s">
        <v>7</v>
      </c>
      <c r="F517" t="str">
        <f>_xlfn.CONCAT(D517,", ",H517,", ",I517,", ","西藏自治区")</f>
        <v>三安曲林乡, 隆子县, 山南市, 西藏自治区</v>
      </c>
      <c r="G517">
        <v>2840</v>
      </c>
      <c r="H517" t="s">
        <v>1483</v>
      </c>
      <c r="I517" t="s">
        <v>1477</v>
      </c>
      <c r="J517" t="e">
        <f>VLOOKUP(F517,[1]!china_towns_second__2[[Column1]:[Y]],3,FALSE)</f>
        <v>#N/A</v>
      </c>
      <c r="K517" t="e">
        <f>VLOOKUP(F517,[1]!china_towns_second__2[[Column1]:[Y]],2,FALSE)</f>
        <v>#N/A</v>
      </c>
      <c r="L517" t="s">
        <v>2175</v>
      </c>
      <c r="M517" t="str">
        <f>VLOOKUP(H517,CHOOSE({1,2},Table8[Native],Table8[Name]),2,0)</f>
        <v>Lóngzi Xiàn</v>
      </c>
      <c r="N517" s="13" t="str">
        <f>VLOOKUP(I517,CHOOSE({1,2},Table8[Native],Table8[Name]),2,0)</f>
        <v>Shānnán Shì</v>
      </c>
      <c r="O517" s="13" t="str">
        <f t="shared" si="16"/>
        <v>San'anqulin Xiang (Shānnán Shì)</v>
      </c>
      <c r="P517" s="13" t="str">
        <f t="shared" si="17"/>
        <v>San'anqulin Xiang (Shānnán Shì)</v>
      </c>
    </row>
    <row r="518" spans="1:16" hidden="1" x14ac:dyDescent="0.25">
      <c r="A518" t="s">
        <v>283</v>
      </c>
      <c r="B518" t="str">
        <f>IF(COUNTIF(A:A,A518)&gt;1,_xlfn.CONCAT(A518," (",N518,")"),A518)</f>
        <v>Sāngduō Xiāng</v>
      </c>
      <c r="C518" t="str">
        <f>IF(COUNTIF(B:B,B518)&gt;1,_xlfn.CONCAT(A518," (",M518,")"),B518)</f>
        <v>Sāngduō Xiāng</v>
      </c>
      <c r="D518" t="s">
        <v>284</v>
      </c>
      <c r="E518" t="s">
        <v>7</v>
      </c>
      <c r="F518" t="str">
        <f>_xlfn.CONCAT(D518,", ",H518,", ",I518,", ","西藏自治区")</f>
        <v>桑多乡, 丁青县, 昌都市, 西藏自治区</v>
      </c>
      <c r="G518">
        <v>3797</v>
      </c>
      <c r="H518" t="s">
        <v>1419</v>
      </c>
      <c r="I518" t="s">
        <v>1415</v>
      </c>
      <c r="J518" t="e">
        <f>VLOOKUP(F518,[1]!china_towns_second__2[[Column1]:[Y]],3,FALSE)</f>
        <v>#N/A</v>
      </c>
      <c r="K518" t="e">
        <f>VLOOKUP(F518,[1]!china_towns_second__2[[Column1]:[Y]],2,FALSE)</f>
        <v>#N/A</v>
      </c>
      <c r="L518" t="s">
        <v>2176</v>
      </c>
      <c r="M518" t="str">
        <f>VLOOKUP(H518,CHOOSE({1,2},Table8[Native],Table8[Name]),2,0)</f>
        <v>Dīngqīng Xiàn</v>
      </c>
      <c r="N518" s="13" t="str">
        <f>VLOOKUP(I518,CHOOSE({1,2},Table8[Native],Table8[Name]),2,0)</f>
        <v>Chāngdū Shì</v>
      </c>
      <c r="O518" s="13" t="str">
        <f t="shared" si="16"/>
        <v>Sangduo Xiang (Chāngdū Shì)</v>
      </c>
      <c r="P518" s="13" t="str">
        <f t="shared" si="17"/>
        <v>Sangduo Xiang (Chāngdū Shì)</v>
      </c>
    </row>
    <row r="519" spans="1:16" x14ac:dyDescent="0.25">
      <c r="A519" t="s">
        <v>285</v>
      </c>
      <c r="B519" t="str">
        <f>IF(COUNTIF(A:A,A519)&gt;1,_xlfn.CONCAT(A519," (",N519,")"),A519)</f>
        <v>Sāngduō Zhèn</v>
      </c>
      <c r="C519" t="str">
        <f>IF(COUNTIF(B:B,B519)&gt;1,_xlfn.CONCAT(A519," (",M519,")"),B519)</f>
        <v>Sāngduō Zhèn</v>
      </c>
      <c r="D519" t="s">
        <v>286</v>
      </c>
      <c r="E519" t="s">
        <v>17</v>
      </c>
      <c r="F519" t="str">
        <f>_xlfn.CONCAT(D519,", ",H519,", ",I519,", ","西藏自治区")</f>
        <v>桑多镇, 类乌齐县, 昌都市, 西藏自治区</v>
      </c>
      <c r="G519">
        <v>11747</v>
      </c>
      <c r="H519" t="s">
        <v>1424</v>
      </c>
      <c r="I519" t="s">
        <v>1415</v>
      </c>
      <c r="J519">
        <f>VLOOKUP(F519,[1]!china_towns_second__2[[Column1]:[Y]],3,FALSE)</f>
        <v>31.207616489568998</v>
      </c>
      <c r="K519">
        <f>VLOOKUP(F519,[1]!china_towns_second__2[[Column1]:[Y]],2,FALSE)</f>
        <v>96.661940810000004</v>
      </c>
      <c r="L519" t="s">
        <v>2177</v>
      </c>
      <c r="M519" t="str">
        <f>VLOOKUP(H519,CHOOSE({1,2},Table8[Native],Table8[Name]),2,0)</f>
        <v>Lèiwūqí Xiàn</v>
      </c>
      <c r="N519" s="13" t="str">
        <f>VLOOKUP(I519,CHOOSE({1,2},Table8[Native],Table8[Name]),2,0)</f>
        <v>Chāngdū Shì</v>
      </c>
      <c r="O519" s="13" t="str">
        <f t="shared" si="16"/>
        <v>Sangduo Zhen (Chāngdū Shì)</v>
      </c>
      <c r="P519" s="13" t="str">
        <f t="shared" si="17"/>
        <v>Sangduo Zhen (Chāngdū Shì)</v>
      </c>
    </row>
    <row r="520" spans="1:16" x14ac:dyDescent="0.25">
      <c r="A520" t="s">
        <v>1368</v>
      </c>
      <c r="B520" t="str">
        <f>IF(COUNTIF(A:A,A520)&gt;1,_xlfn.CONCAT(A520," (",N520,")"),A520)</f>
        <v>Sāngrì Zhèn</v>
      </c>
      <c r="C520" t="str">
        <f>IF(COUNTIF(B:B,B520)&gt;1,_xlfn.CONCAT(A520," (",M520,")"),B520)</f>
        <v>Sāngrì Zhèn</v>
      </c>
      <c r="D520" t="s">
        <v>1369</v>
      </c>
      <c r="E520" t="s">
        <v>17</v>
      </c>
      <c r="F520" t="str">
        <f>_xlfn.CONCAT(D520,", ",H520,", ",I520,", ","西藏自治区")</f>
        <v>桑日镇, 桑日县, 山南市, 西藏自治区</v>
      </c>
      <c r="G520">
        <v>4720</v>
      </c>
      <c r="H520" t="s">
        <v>1488</v>
      </c>
      <c r="I520" t="s">
        <v>1477</v>
      </c>
      <c r="J520">
        <f>VLOOKUP(F520,[1]!china_towns_second__2[[Column1]:[Y]],3,FALSE)</f>
        <v>29.366875369628499</v>
      </c>
      <c r="K520">
        <f>VLOOKUP(F520,[1]!china_towns_second__2[[Column1]:[Y]],2,FALSE)</f>
        <v>92.020734050000002</v>
      </c>
      <c r="L520" t="s">
        <v>2178</v>
      </c>
      <c r="M520" t="str">
        <f>VLOOKUP(H520,CHOOSE({1,2},Table8[Native],Table8[Name]),2,0)</f>
        <v>Sāngrì Xiàn</v>
      </c>
      <c r="N520" s="13" t="str">
        <f>VLOOKUP(I520,CHOOSE({1,2},Table8[Native],Table8[Name]),2,0)</f>
        <v>Shānnán Shì</v>
      </c>
      <c r="O520" s="13" t="str">
        <f t="shared" si="16"/>
        <v>Sangri Zhen (Shānnán Shì)</v>
      </c>
      <c r="P520" s="13" t="str">
        <f t="shared" si="17"/>
        <v>Sangri Zhen (Shānnán Shì)</v>
      </c>
    </row>
    <row r="521" spans="1:16" hidden="1" x14ac:dyDescent="0.25">
      <c r="A521" t="s">
        <v>771</v>
      </c>
      <c r="B521" t="str">
        <f>IF(COUNTIF(A:A,A521)&gt;1,_xlfn.CONCAT(A521," (",N521,")"),A521)</f>
        <v>Sāngróng Xiāng</v>
      </c>
      <c r="C521" t="str">
        <f>IF(COUNTIF(B:B,B521)&gt;1,_xlfn.CONCAT(A521," (",M521,")"),B521)</f>
        <v>Sāngróng Xiāng</v>
      </c>
      <c r="D521" t="s">
        <v>772</v>
      </c>
      <c r="E521" t="s">
        <v>7</v>
      </c>
      <c r="F521" t="str">
        <f>_xlfn.CONCAT(D521,", ",H521,", ",I521,", ","西藏自治区")</f>
        <v>桑荣乡, 聂荣县, 那曲市, 西藏自治区</v>
      </c>
      <c r="G521">
        <v>1835</v>
      </c>
      <c r="H521" t="s">
        <v>1451</v>
      </c>
      <c r="I521" t="s">
        <v>1445</v>
      </c>
      <c r="J521" t="e">
        <f>VLOOKUP(F521,[1]!china_towns_second__2[[Column1]:[Y]],3,FALSE)</f>
        <v>#N/A</v>
      </c>
      <c r="K521" t="e">
        <f>VLOOKUP(F521,[1]!china_towns_second__2[[Column1]:[Y]],2,FALSE)</f>
        <v>#N/A</v>
      </c>
      <c r="L521" t="s">
        <v>2179</v>
      </c>
      <c r="M521" t="str">
        <f>VLOOKUP(H521,CHOOSE({1,2},Table8[Native],Table8[Name]),2,0)</f>
        <v>Nièróng Xiàn</v>
      </c>
      <c r="N521" s="13" t="str">
        <f>VLOOKUP(I521,CHOOSE({1,2},Table8[Native],Table8[Name]),2,0)</f>
        <v>Nàqŭ Shì</v>
      </c>
      <c r="O521" s="13" t="str">
        <f t="shared" si="16"/>
        <v>Sangrong Xiang (Nàqŭ Shì)</v>
      </c>
      <c r="P521" s="13" t="str">
        <f t="shared" si="17"/>
        <v>Sangrong Xiang (Nàqŭ Shì)</v>
      </c>
    </row>
    <row r="522" spans="1:16" x14ac:dyDescent="0.25">
      <c r="A522" t="s">
        <v>1176</v>
      </c>
      <c r="B522" t="str">
        <f>IF(COUNTIF(A:A,A522)&gt;1,_xlfn.CONCAT(A522," (",N522,")"),A522)</f>
        <v>Sāngsāng Zhèn</v>
      </c>
      <c r="C522" t="str">
        <f>IF(COUNTIF(B:B,B522)&gt;1,_xlfn.CONCAT(A522," (",M522,")"),B522)</f>
        <v>Sāngsāng Zhèn</v>
      </c>
      <c r="D522" t="s">
        <v>1177</v>
      </c>
      <c r="E522" t="s">
        <v>17</v>
      </c>
      <c r="F522" t="str">
        <f>_xlfn.CONCAT(D522,", ",H522,", ",I522,", ","西藏自治区")</f>
        <v>桑桑镇, 昂仁县, 日喀则市, 西藏自治区</v>
      </c>
      <c r="G522">
        <v>4379</v>
      </c>
      <c r="H522" t="s">
        <v>1459</v>
      </c>
      <c r="I522" t="s">
        <v>1458</v>
      </c>
      <c r="J522">
        <f>VLOOKUP(F522,[1]!china_towns_second__2[[Column1]:[Y]],3,FALSE)</f>
        <v>29.485141248582</v>
      </c>
      <c r="K522">
        <f>VLOOKUP(F522,[1]!china_towns_second__2[[Column1]:[Y]],2,FALSE)</f>
        <v>86.645982500000002</v>
      </c>
      <c r="L522" t="s">
        <v>2180</v>
      </c>
      <c r="M522" t="str">
        <f>VLOOKUP(H522,CHOOSE({1,2},Table8[Native],Table8[Name]),2,0)</f>
        <v>Ángrén Xiàn</v>
      </c>
      <c r="N522" s="13" t="str">
        <f>VLOOKUP(I522,CHOOSE({1,2},Table8[Native],Table8[Name]),2,0)</f>
        <v>Rìkāzé Shì</v>
      </c>
      <c r="O522" s="13" t="str">
        <f t="shared" si="16"/>
        <v>Sangsang Zhen (Rìkāzé Shì)</v>
      </c>
      <c r="P522" s="13" t="str">
        <f t="shared" si="17"/>
        <v>Sangsang Zhen (Rìkāzé Shì)</v>
      </c>
    </row>
    <row r="523" spans="1:16" x14ac:dyDescent="0.25">
      <c r="A523" t="s">
        <v>1370</v>
      </c>
      <c r="B523" t="str">
        <f>IF(COUNTIF(A:A,A523)&gt;1,_xlfn.CONCAT(A523," (",N523,")"),A523)</f>
        <v>Sāngyē Zhèn</v>
      </c>
      <c r="C523" t="str">
        <f>IF(COUNTIF(B:B,B523)&gt;1,_xlfn.CONCAT(A523," (",M523,")"),B523)</f>
        <v>Sāngyē Zhèn</v>
      </c>
      <c r="D523" t="s">
        <v>1371</v>
      </c>
      <c r="E523" t="s">
        <v>17</v>
      </c>
      <c r="F523" t="str">
        <f>_xlfn.CONCAT(D523,", ",H523,", ",I523,", ","西藏自治区")</f>
        <v>桑耶镇, 扎囊县, 山南市, 西藏自治区</v>
      </c>
      <c r="G523">
        <v>4625</v>
      </c>
      <c r="H523" t="s">
        <v>1489</v>
      </c>
      <c r="I523" t="s">
        <v>1477</v>
      </c>
      <c r="J523">
        <f>VLOOKUP(F523,[1]!china_towns_second__2[[Column1]:[Y]],3,FALSE)</f>
        <v>29.405990506824001</v>
      </c>
      <c r="K523">
        <f>VLOOKUP(F523,[1]!china_towns_second__2[[Column1]:[Y]],2,FALSE)</f>
        <v>91.48833363</v>
      </c>
      <c r="L523" t="s">
        <v>2181</v>
      </c>
      <c r="M523" t="str">
        <f>VLOOKUP(H523,CHOOSE({1,2},Table8[Native],Table8[Name]),2,0)</f>
        <v>Zhānáng Xiàn</v>
      </c>
      <c r="N523" s="13" t="str">
        <f>VLOOKUP(I523,CHOOSE({1,2},Table8[Native],Table8[Name]),2,0)</f>
        <v>Shānnán Shì</v>
      </c>
      <c r="O523" s="13" t="str">
        <f t="shared" si="16"/>
        <v>Sangye Zhen (Shānnán Shì)</v>
      </c>
      <c r="P523" s="13" t="str">
        <f t="shared" si="17"/>
        <v>Sangye Zhen (Shānnán Shì)</v>
      </c>
    </row>
    <row r="524" spans="1:16" hidden="1" x14ac:dyDescent="0.25">
      <c r="A524" t="s">
        <v>62</v>
      </c>
      <c r="B524" t="str">
        <f>IF(COUNTIF(A:A,A524)&gt;1,_xlfn.CONCAT(A524," (",N524,")"),A524)</f>
        <v>Sàràng Xiāng</v>
      </c>
      <c r="C524" t="str">
        <f>IF(COUNTIF(B:B,B524)&gt;1,_xlfn.CONCAT(A524," (",M524,")"),B524)</f>
        <v>Sàràng Xiāng</v>
      </c>
      <c r="D524" t="s">
        <v>63</v>
      </c>
      <c r="E524" t="s">
        <v>7</v>
      </c>
      <c r="F524" t="str">
        <f>_xlfn.CONCAT(D524,", ",H524,", ",I524,", ","西藏自治区")</f>
        <v>萨让乡, 札达县, 阿里地区, 西藏自治区</v>
      </c>
      <c r="G524">
        <v>663</v>
      </c>
      <c r="H524" t="s">
        <v>1413</v>
      </c>
      <c r="I524" t="s">
        <v>1405</v>
      </c>
      <c r="J524" t="e">
        <f>VLOOKUP(F524,[1]!china_towns_second__2[[Column1]:[Y]],3,FALSE)</f>
        <v>#N/A</v>
      </c>
      <c r="K524" t="e">
        <f>VLOOKUP(F524,[1]!china_towns_second__2[[Column1]:[Y]],2,FALSE)</f>
        <v>#N/A</v>
      </c>
      <c r="L524" t="s">
        <v>2182</v>
      </c>
      <c r="M524" t="str">
        <f>VLOOKUP(H524,CHOOSE({1,2},Table8[Native],Table8[Name]),2,0)</f>
        <v>Zhádá Xiàn</v>
      </c>
      <c r="N524" s="13" t="str">
        <f>VLOOKUP(I524,CHOOSE({1,2},Table8[Native],Table8[Name]),2,0)</f>
        <v>Ālĭ Dìqū</v>
      </c>
      <c r="O524" s="13" t="str">
        <f t="shared" si="16"/>
        <v>Sarang Xiang (Ālĭ Dìqū)</v>
      </c>
      <c r="P524" s="13" t="str">
        <f t="shared" si="17"/>
        <v>Sarang Xiang (Ālĭ Dìqū)</v>
      </c>
    </row>
    <row r="525" spans="1:16" hidden="1" x14ac:dyDescent="0.25">
      <c r="A525" t="s">
        <v>1372</v>
      </c>
      <c r="B525" t="str">
        <f>IF(COUNTIF(A:A,A525)&gt;1,_xlfn.CONCAT(A525," (",N525,")"),A525)</f>
        <v>Sè Xiāng</v>
      </c>
      <c r="C525" t="str">
        <f>IF(COUNTIF(B:B,B525)&gt;1,_xlfn.CONCAT(A525," (",M525,")"),B525)</f>
        <v>Sè Xiāng</v>
      </c>
      <c r="D525" t="s">
        <v>1373</v>
      </c>
      <c r="E525" t="s">
        <v>7</v>
      </c>
      <c r="F525" t="str">
        <f>_xlfn.CONCAT(D525,", ",H525,", ",I525,", ","西藏自治区")</f>
        <v>色乡, 洛扎县, 山南市, 西藏自治区</v>
      </c>
      <c r="G525">
        <v>2029</v>
      </c>
      <c r="H525" t="s">
        <v>1484</v>
      </c>
      <c r="I525" t="s">
        <v>1477</v>
      </c>
      <c r="J525" t="e">
        <f>VLOOKUP(F525,[1]!china_towns_second__2[[Column1]:[Y]],3,FALSE)</f>
        <v>#N/A</v>
      </c>
      <c r="K525" t="e">
        <f>VLOOKUP(F525,[1]!china_towns_second__2[[Column1]:[Y]],2,FALSE)</f>
        <v>#N/A</v>
      </c>
      <c r="L525" t="s">
        <v>2183</v>
      </c>
      <c r="M525" t="str">
        <f>VLOOKUP(H525,CHOOSE({1,2},Table8[Native],Table8[Name]),2,0)</f>
        <v>Luòzhā Xiàn</v>
      </c>
      <c r="N525" s="13" t="str">
        <f>VLOOKUP(I525,CHOOSE({1,2},Table8[Native],Table8[Name]),2,0)</f>
        <v>Shānnán Shì</v>
      </c>
      <c r="O525" s="13" t="str">
        <f t="shared" si="16"/>
        <v>Se Xiang (Shānnán Shì)</v>
      </c>
      <c r="P525" s="13" t="str">
        <f t="shared" si="17"/>
        <v>Se Xiang (Shānnán Shì)</v>
      </c>
    </row>
    <row r="526" spans="1:16" hidden="1" x14ac:dyDescent="0.25">
      <c r="A526" t="s">
        <v>773</v>
      </c>
      <c r="B526" t="str">
        <f>IF(COUNTIF(A:A,A526)&gt;1,_xlfn.CONCAT(A526," (",N526,")"),A526)</f>
        <v>Sèqìng Xiāng</v>
      </c>
      <c r="C526" t="str">
        <f>IF(COUNTIF(B:B,B526)&gt;1,_xlfn.CONCAT(A526," (",M526,")"),B526)</f>
        <v>Sèqìng Xiāng</v>
      </c>
      <c r="D526" t="s">
        <v>774</v>
      </c>
      <c r="E526" t="s">
        <v>7</v>
      </c>
      <c r="F526" t="str">
        <f>_xlfn.CONCAT(D526,", ",H526,", ",I526,", ","西藏自治区")</f>
        <v>色庆乡, 聂荣县, 那曲市, 西藏自治区</v>
      </c>
      <c r="G526">
        <v>5142</v>
      </c>
      <c r="H526" t="s">
        <v>1451</v>
      </c>
      <c r="I526" t="s">
        <v>1445</v>
      </c>
      <c r="J526" t="e">
        <f>VLOOKUP(F526,[1]!china_towns_second__2[[Column1]:[Y]],3,FALSE)</f>
        <v>#N/A</v>
      </c>
      <c r="K526" t="e">
        <f>VLOOKUP(F526,[1]!china_towns_second__2[[Column1]:[Y]],2,FALSE)</f>
        <v>#N/A</v>
      </c>
      <c r="L526" t="s">
        <v>2184</v>
      </c>
      <c r="M526" t="str">
        <f>VLOOKUP(H526,CHOOSE({1,2},Table8[Native],Table8[Name]),2,0)</f>
        <v>Nièróng Xiàn</v>
      </c>
      <c r="N526" s="13" t="str">
        <f>VLOOKUP(I526,CHOOSE({1,2},Table8[Native],Table8[Name]),2,0)</f>
        <v>Nàqŭ Shì</v>
      </c>
      <c r="O526" s="13" t="str">
        <f t="shared" si="16"/>
        <v>Seqing Xiang (Nàqŭ Shì)</v>
      </c>
      <c r="P526" s="13" t="str">
        <f t="shared" si="17"/>
        <v>Seqing Xiang (Nàqŭ Shì)</v>
      </c>
    </row>
    <row r="527" spans="1:16" hidden="1" x14ac:dyDescent="0.25">
      <c r="A527" t="s">
        <v>775</v>
      </c>
      <c r="B527" t="str">
        <f>IF(COUNTIF(A:A,A527)&gt;1,_xlfn.CONCAT(A527," (",N527,")"),A527)</f>
        <v>Sèwù Xiāng [in: Qīnghăi (partly)]</v>
      </c>
      <c r="C527" t="str">
        <f>IF(COUNTIF(B:B,B527)&gt;1,_xlfn.CONCAT(A527," (",M527,")"),B527)</f>
        <v>Sèwù Xiāng [in: Qīnghăi (partly)]</v>
      </c>
      <c r="D527" t="s">
        <v>776</v>
      </c>
      <c r="E527" t="s">
        <v>7</v>
      </c>
      <c r="F527" t="str">
        <f>_xlfn.CONCAT(D527,", ",H527,", ",I527,", ","西藏自治区")</f>
        <v>色务乡, 安多县, 那曲市, 西藏自治区</v>
      </c>
      <c r="G527">
        <v>943</v>
      </c>
      <c r="H527" t="s">
        <v>1446</v>
      </c>
      <c r="I527" t="s">
        <v>1445</v>
      </c>
      <c r="J527" t="e">
        <f>VLOOKUP(F527,[1]!china_towns_second__2[[Column1]:[Y]],3,FALSE)</f>
        <v>#N/A</v>
      </c>
      <c r="K527" t="e">
        <f>VLOOKUP(F527,[1]!china_towns_second__2[[Column1]:[Y]],2,FALSE)</f>
        <v>#N/A</v>
      </c>
      <c r="L527" t="s">
        <v>2185</v>
      </c>
      <c r="M527" t="str">
        <f>VLOOKUP(H527,CHOOSE({1,2},Table8[Native],Table8[Name]),2,0)</f>
        <v>Ānduō Xiàn</v>
      </c>
      <c r="N527" s="13" t="str">
        <f>VLOOKUP(I527,CHOOSE({1,2},Table8[Native],Table8[Name]),2,0)</f>
        <v>Nàqŭ Shì</v>
      </c>
      <c r="O527" s="13" t="str">
        <f t="shared" si="16"/>
        <v>Sewu Xiang [in: Qinghai (partly)] (Nàqŭ Shì)</v>
      </c>
      <c r="P527" s="13" t="str">
        <f t="shared" si="17"/>
        <v>Sewu Xiang [in: Qinghai (partly)] (Nàqŭ Shì)</v>
      </c>
    </row>
    <row r="528" spans="1:16" hidden="1" x14ac:dyDescent="0.25">
      <c r="A528" t="s">
        <v>777</v>
      </c>
      <c r="B528" t="str">
        <f>IF(COUNTIF(A:A,A528)&gt;1,_xlfn.CONCAT(A528," (",N528,")"),A528)</f>
        <v>Sèxióng Xiāng</v>
      </c>
      <c r="C528" t="str">
        <f>IF(COUNTIF(B:B,B528)&gt;1,_xlfn.CONCAT(A528," (",M528,")"),B528)</f>
        <v>Sèxióng Xiāng</v>
      </c>
      <c r="D528" t="s">
        <v>778</v>
      </c>
      <c r="E528" t="s">
        <v>7</v>
      </c>
      <c r="F528" t="str">
        <f>_xlfn.CONCAT(D528,", ",H528,", ",I528,", ","西藏自治区")</f>
        <v>色雄乡, 色尼区, 那曲市, 西藏自治区</v>
      </c>
      <c r="G528">
        <v>4047</v>
      </c>
      <c r="H528" t="s">
        <v>1454</v>
      </c>
      <c r="I528" t="s">
        <v>1445</v>
      </c>
      <c r="J528" t="e">
        <f>VLOOKUP(F528,[1]!china_towns_second__2[[Column1]:[Y]],3,FALSE)</f>
        <v>#N/A</v>
      </c>
      <c r="K528" t="e">
        <f>VLOOKUP(F528,[1]!china_towns_second__2[[Column1]:[Y]],2,FALSE)</f>
        <v>#N/A</v>
      </c>
      <c r="L528" t="s">
        <v>2186</v>
      </c>
      <c r="M528" t="str">
        <f>VLOOKUP(H528,CHOOSE({1,2},Table8[Native],Table8[Name]),2,0)</f>
        <v>Sèní Qū</v>
      </c>
      <c r="N528" s="13" t="str">
        <f>VLOOKUP(I528,CHOOSE({1,2},Table8[Native],Table8[Name]),2,0)</f>
        <v>Nàqŭ Shì</v>
      </c>
      <c r="O528" s="13" t="str">
        <f t="shared" si="16"/>
        <v>Sexiong Xiang (Nàqŭ Shì)</v>
      </c>
      <c r="P528" s="13" t="str">
        <f t="shared" si="17"/>
        <v>Sexiong Xiang (Nàqŭ Shì)</v>
      </c>
    </row>
    <row r="529" spans="1:16" hidden="1" x14ac:dyDescent="0.25">
      <c r="A529" t="s">
        <v>287</v>
      </c>
      <c r="B529" t="str">
        <f>IF(COUNTIF(A:A,A529)&gt;1,_xlfn.CONCAT(A529," (",N529,")"),A529)</f>
        <v>Sèzhā Xiāng</v>
      </c>
      <c r="C529" t="str">
        <f>IF(COUNTIF(B:B,B529)&gt;1,_xlfn.CONCAT(A529," (",M529,")"),B529)</f>
        <v>Sèzhā Xiāng</v>
      </c>
      <c r="D529" t="s">
        <v>288</v>
      </c>
      <c r="E529" t="s">
        <v>7</v>
      </c>
      <c r="F529" t="str">
        <f>_xlfn.CONCAT(D529,", ",H529,", ",I529,", ","西藏自治区")</f>
        <v>色扎乡, 丁青县, 昌都市, 西藏自治区</v>
      </c>
      <c r="G529">
        <v>8524</v>
      </c>
      <c r="H529" t="s">
        <v>1419</v>
      </c>
      <c r="I529" t="s">
        <v>1415</v>
      </c>
      <c r="J529" t="e">
        <f>VLOOKUP(F529,[1]!china_towns_second__2[[Column1]:[Y]],3,FALSE)</f>
        <v>#N/A</v>
      </c>
      <c r="K529" t="e">
        <f>VLOOKUP(F529,[1]!china_towns_second__2[[Column1]:[Y]],2,FALSE)</f>
        <v>#N/A</v>
      </c>
      <c r="L529" t="s">
        <v>2187</v>
      </c>
      <c r="M529" t="str">
        <f>VLOOKUP(H529,CHOOSE({1,2},Table8[Native],Table8[Name]),2,0)</f>
        <v>Dīngqīng Xiàn</v>
      </c>
      <c r="N529" s="13" t="str">
        <f>VLOOKUP(I529,CHOOSE({1,2},Table8[Native],Table8[Name]),2,0)</f>
        <v>Chāngdū Shì</v>
      </c>
      <c r="O529" s="13" t="str">
        <f t="shared" si="16"/>
        <v>Sezha Xiang (Chāngdū Shì)</v>
      </c>
      <c r="P529" s="13" t="str">
        <f t="shared" si="17"/>
        <v>Sezha Xiang (Chāngdū Shì)</v>
      </c>
    </row>
    <row r="530" spans="1:16" hidden="1" x14ac:dyDescent="0.25">
      <c r="A530" t="s">
        <v>289</v>
      </c>
      <c r="B530" t="str">
        <f>IF(COUNTIF(A:A,A530)&gt;1,_xlfn.CONCAT(A530," (",N530,")"),A530)</f>
        <v>Shādīng Xiāng</v>
      </c>
      <c r="C530" t="str">
        <f>IF(COUNTIF(B:B,B530)&gt;1,_xlfn.CONCAT(A530," (",M530,")"),B530)</f>
        <v>Shādīng Xiāng</v>
      </c>
      <c r="D530" t="s">
        <v>290</v>
      </c>
      <c r="E530" t="s">
        <v>7</v>
      </c>
      <c r="F530" t="str">
        <f>_xlfn.CONCAT(D530,", ",H530,", ",I530,", ","西藏自治区")</f>
        <v>沙丁乡, 边坝县, 昌都市, 西藏自治区</v>
      </c>
      <c r="G530">
        <v>3333</v>
      </c>
      <c r="H530" t="s">
        <v>1417</v>
      </c>
      <c r="I530" t="s">
        <v>1415</v>
      </c>
      <c r="J530" t="e">
        <f>VLOOKUP(F530,[1]!china_towns_second__2[[Column1]:[Y]],3,FALSE)</f>
        <v>#N/A</v>
      </c>
      <c r="K530" t="e">
        <f>VLOOKUP(F530,[1]!china_towns_second__2[[Column1]:[Y]],2,FALSE)</f>
        <v>#N/A</v>
      </c>
      <c r="L530" t="s">
        <v>2188</v>
      </c>
      <c r="M530" t="str">
        <f>VLOOKUP(H530,CHOOSE({1,2},Table8[Native],Table8[Name]),2,0)</f>
        <v>Biānbà Xiàn</v>
      </c>
      <c r="N530" s="13" t="str">
        <f>VLOOKUP(I530,CHOOSE({1,2},Table8[Native],Table8[Name]),2,0)</f>
        <v>Chāngdū Shì</v>
      </c>
      <c r="O530" s="13" t="str">
        <f t="shared" si="16"/>
        <v>Shading Xiang (Chāngdū Shì)</v>
      </c>
      <c r="P530" s="13" t="str">
        <f t="shared" si="17"/>
        <v>Shading Xiang (Chāngdū Shì)</v>
      </c>
    </row>
    <row r="531" spans="1:16" hidden="1" x14ac:dyDescent="0.25">
      <c r="A531" t="s">
        <v>291</v>
      </c>
      <c r="B531" t="str">
        <f>IF(COUNTIF(A:A,A531)&gt;1,_xlfn.CONCAT(A531," (",N531,")"),A531)</f>
        <v>Shādōng Xiāng</v>
      </c>
      <c r="C531" t="str">
        <f>IF(COUNTIF(B:B,B531)&gt;1,_xlfn.CONCAT(A531," (",M531,")"),B531)</f>
        <v>Shādōng Xiāng</v>
      </c>
      <c r="D531" t="s">
        <v>292</v>
      </c>
      <c r="E531" t="s">
        <v>7</v>
      </c>
      <c r="F531" t="str">
        <f>_xlfn.CONCAT(D531,", ",H531,", ",I531,", ","西藏自治区")</f>
        <v>沙东乡, 贡觉县, 昌都市, 西藏自治区</v>
      </c>
      <c r="G531">
        <v>2011</v>
      </c>
      <c r="H531" t="s">
        <v>1420</v>
      </c>
      <c r="I531" t="s">
        <v>1415</v>
      </c>
      <c r="J531" t="e">
        <f>VLOOKUP(F531,[1]!china_towns_second__2[[Column1]:[Y]],3,FALSE)</f>
        <v>#N/A</v>
      </c>
      <c r="K531" t="e">
        <f>VLOOKUP(F531,[1]!china_towns_second__2[[Column1]:[Y]],2,FALSE)</f>
        <v>#N/A</v>
      </c>
      <c r="L531" t="s">
        <v>2189</v>
      </c>
      <c r="M531" t="str">
        <f>VLOOKUP(H531,CHOOSE({1,2},Table8[Native],Table8[Name]),2,0)</f>
        <v>Gòngjué Xiàn</v>
      </c>
      <c r="N531" s="13" t="str">
        <f>VLOOKUP(I531,CHOOSE({1,2},Table8[Native],Table8[Name]),2,0)</f>
        <v>Chāngdū Shì</v>
      </c>
      <c r="O531" s="13" t="str">
        <f t="shared" si="16"/>
        <v>Shadong Xiang (Chāngdū Shì)</v>
      </c>
      <c r="P531" s="13" t="str">
        <f t="shared" si="17"/>
        <v>Shadong Xiang (Chāngdū Shì)</v>
      </c>
    </row>
    <row r="532" spans="1:16" hidden="1" x14ac:dyDescent="0.25">
      <c r="A532" t="s">
        <v>293</v>
      </c>
      <c r="B532" t="str">
        <f>IF(COUNTIF(A:A,A532)&gt;1,_xlfn.CONCAT(A532," (",N532,")"),A532)</f>
        <v>Shāgòng Xiāng (Chāngdū Shì)</v>
      </c>
      <c r="C532" t="str">
        <f>IF(COUNTIF(B:B,B532)&gt;1,_xlfn.CONCAT(A532," (",M532,")"),B532)</f>
        <v>Shāgòng Xiāng (Kǎruò Qū)</v>
      </c>
      <c r="D532" t="s">
        <v>294</v>
      </c>
      <c r="E532" t="s">
        <v>7</v>
      </c>
      <c r="F532" t="str">
        <f>_xlfn.CONCAT(D532,", ",H532,", ",I532,", ","西藏自治区")</f>
        <v>沙贡乡, 卡若区, 昌都市, 西藏自治区</v>
      </c>
      <c r="G532">
        <v>5079</v>
      </c>
      <c r="H532" t="s">
        <v>1423</v>
      </c>
      <c r="I532" t="s">
        <v>1415</v>
      </c>
      <c r="J532" t="e">
        <f>VLOOKUP(F532,[1]!china_towns_second__2[[Column1]:[Y]],3,FALSE)</f>
        <v>#N/A</v>
      </c>
      <c r="K532" t="e">
        <f>VLOOKUP(F532,[1]!china_towns_second__2[[Column1]:[Y]],2,FALSE)</f>
        <v>#N/A</v>
      </c>
      <c r="L532" t="s">
        <v>2190</v>
      </c>
      <c r="M532" t="str">
        <f>VLOOKUP(H532,CHOOSE({1,2},Table8[Native],Table8[Name]),2,0)</f>
        <v>Kǎruò Qū</v>
      </c>
      <c r="N532" s="13" t="str">
        <f>VLOOKUP(I532,CHOOSE({1,2},Table8[Native],Table8[Name]),2,0)</f>
        <v>Chāngdū Shì</v>
      </c>
      <c r="O532" s="13" t="str">
        <f t="shared" si="16"/>
        <v>Shagong Xiang (Karuo Qu) (Chāngdū Shì)</v>
      </c>
      <c r="P532" s="13" t="str">
        <f t="shared" si="17"/>
        <v>Shagong Xiang (Karuo Qu) (Chāngdū Shì)</v>
      </c>
    </row>
    <row r="533" spans="1:16" hidden="1" x14ac:dyDescent="0.25">
      <c r="A533" t="s">
        <v>293</v>
      </c>
      <c r="B533" t="str">
        <f>IF(COUNTIF(A:A,A533)&gt;1,_xlfn.CONCAT(A533," (",N533,")"),A533)</f>
        <v>Shāgòng Xiāng (Chāngdū Shì)</v>
      </c>
      <c r="C533" t="str">
        <f>IF(COUNTIF(B:B,B533)&gt;1,_xlfn.CONCAT(A533," (",M533,")"),B533)</f>
        <v>Shāgòng Xiāng (Dīngqīng Xiàn)</v>
      </c>
      <c r="D533" t="s">
        <v>294</v>
      </c>
      <c r="E533" t="s">
        <v>7</v>
      </c>
      <c r="F533" t="str">
        <f>_xlfn.CONCAT(D533,", ",H533,", ",I533,", ","西藏自治区")</f>
        <v>沙贡乡, 丁青县, 昌都市, 西藏自治区</v>
      </c>
      <c r="G533">
        <v>3794</v>
      </c>
      <c r="H533" t="s">
        <v>1419</v>
      </c>
      <c r="I533" t="s">
        <v>1415</v>
      </c>
      <c r="J533" t="e">
        <f>VLOOKUP(F533,[1]!china_towns_second__2[[Column1]:[Y]],3,FALSE)</f>
        <v>#N/A</v>
      </c>
      <c r="K533" t="e">
        <f>VLOOKUP(F533,[1]!china_towns_second__2[[Column1]:[Y]],2,FALSE)</f>
        <v>#N/A</v>
      </c>
      <c r="L533" t="s">
        <v>2191</v>
      </c>
      <c r="M533" t="str">
        <f>VLOOKUP(H533,CHOOSE({1,2},Table8[Native],Table8[Name]),2,0)</f>
        <v>Dīngqīng Xiàn</v>
      </c>
      <c r="N533" s="13" t="str">
        <f>VLOOKUP(I533,CHOOSE({1,2},Table8[Native],Table8[Name]),2,0)</f>
        <v>Chāngdū Shì</v>
      </c>
      <c r="O533" s="13" t="str">
        <f t="shared" si="16"/>
        <v>Shagong Xiang (Dingqing Xian) (Chāngdū Shì)</v>
      </c>
      <c r="P533" s="13" t="str">
        <f t="shared" si="17"/>
        <v>Shagong Xiang (Dingqing Xian) (Chāngdū Shì)</v>
      </c>
    </row>
    <row r="534" spans="1:16" x14ac:dyDescent="0.25">
      <c r="A534" t="s">
        <v>587</v>
      </c>
      <c r="B534" t="str">
        <f>IF(COUNTIF(A:A,A534)&gt;1,_xlfn.CONCAT(A534," (",N534,")"),A534)</f>
        <v>Shàngcháyú Zhèn</v>
      </c>
      <c r="C534" t="str">
        <f>IF(COUNTIF(B:B,B534)&gt;1,_xlfn.CONCAT(A534," (",M534,")"),B534)</f>
        <v>Shàngcháyú Zhèn</v>
      </c>
      <c r="D534" t="s">
        <v>588</v>
      </c>
      <c r="E534" t="s">
        <v>17</v>
      </c>
      <c r="F534" t="str">
        <f>_xlfn.CONCAT(D534,", ",H534,", ",I534,", ","西藏自治区")</f>
        <v>上察隅镇, 察隅县, 林芝市, 西藏自治区</v>
      </c>
      <c r="G534">
        <v>3099</v>
      </c>
      <c r="H534" t="s">
        <v>1440</v>
      </c>
      <c r="I534" t="s">
        <v>1437</v>
      </c>
      <c r="J534">
        <f>VLOOKUP(F534,[1]!china_towns_second__2[[Column1]:[Y]],3,FALSE)</f>
        <v>28.8013333020548</v>
      </c>
      <c r="K534">
        <f>VLOOKUP(F534,[1]!china_towns_second__2[[Column1]:[Y]],2,FALSE)</f>
        <v>96.357748630000003</v>
      </c>
      <c r="L534" t="s">
        <v>2192</v>
      </c>
      <c r="M534" t="str">
        <f>VLOOKUP(H534,CHOOSE({1,2},Table8[Native],Table8[Name]),2,0)</f>
        <v>Cháyú Xiàn</v>
      </c>
      <c r="N534" s="13" t="str">
        <f>VLOOKUP(I534,CHOOSE({1,2},Table8[Native],Table8[Name]),2,0)</f>
        <v>Línzhī Shì</v>
      </c>
      <c r="O534" s="13" t="str">
        <f t="shared" si="16"/>
        <v>Shangchayu Zhen (Línzhī Shì)</v>
      </c>
      <c r="P534" s="13" t="str">
        <f t="shared" si="17"/>
        <v>Shangchayu Zhen (Línzhī Shì)</v>
      </c>
    </row>
    <row r="535" spans="1:16" hidden="1" x14ac:dyDescent="0.25">
      <c r="A535" t="s">
        <v>295</v>
      </c>
      <c r="B535" t="str">
        <f>IF(COUNTIF(A:A,A535)&gt;1,_xlfn.CONCAT(A535," (",N535,")"),A535)</f>
        <v>Shàngkă Xiāng</v>
      </c>
      <c r="C535" t="str">
        <f>IF(COUNTIF(B:B,B535)&gt;1,_xlfn.CONCAT(A535," (",M535,")"),B535)</f>
        <v>Shàngkă Xiāng</v>
      </c>
      <c r="D535" t="s">
        <v>296</v>
      </c>
      <c r="E535" t="s">
        <v>7</v>
      </c>
      <c r="F535" t="str">
        <f>_xlfn.CONCAT(D535,", ",H535,", ",I535,", ","西藏自治区")</f>
        <v>尚卡乡, 类乌齐县, 昌都市, 西藏自治区</v>
      </c>
      <c r="G535">
        <v>3505</v>
      </c>
      <c r="H535" t="s">
        <v>1424</v>
      </c>
      <c r="I535" t="s">
        <v>1415</v>
      </c>
      <c r="J535" t="e">
        <f>VLOOKUP(F535,[1]!china_towns_second__2[[Column1]:[Y]],3,FALSE)</f>
        <v>#N/A</v>
      </c>
      <c r="K535" t="e">
        <f>VLOOKUP(F535,[1]!china_towns_second__2[[Column1]:[Y]],2,FALSE)</f>
        <v>#N/A</v>
      </c>
      <c r="L535" t="s">
        <v>2193</v>
      </c>
      <c r="M535" t="str">
        <f>VLOOKUP(H535,CHOOSE({1,2},Table8[Native],Table8[Name]),2,0)</f>
        <v>Lèiwūqí Xiàn</v>
      </c>
      <c r="N535" s="13" t="str">
        <f>VLOOKUP(I535,CHOOSE({1,2},Table8[Native],Table8[Name]),2,0)</f>
        <v>Chāngdū Shì</v>
      </c>
      <c r="O535" s="13" t="str">
        <f t="shared" si="16"/>
        <v>Shangka Xiang (Chāngdū Shì)</v>
      </c>
      <c r="P535" s="13" t="str">
        <f t="shared" si="17"/>
        <v>Shangka Xiang (Chāngdū Shì)</v>
      </c>
    </row>
    <row r="536" spans="1:16" hidden="1" x14ac:dyDescent="0.25">
      <c r="A536" t="s">
        <v>1178</v>
      </c>
      <c r="B536" t="str">
        <f>IF(COUNTIF(A:A,A536)&gt;1,_xlfn.CONCAT(A536," (",N536,")"),A536)</f>
        <v>Shàngyàdōng Xiāng</v>
      </c>
      <c r="C536" t="str">
        <f>IF(COUNTIF(B:B,B536)&gt;1,_xlfn.CONCAT(A536," (",M536,")"),B536)</f>
        <v>Shàngyàdōng Xiāng</v>
      </c>
      <c r="D536" t="s">
        <v>1179</v>
      </c>
      <c r="E536" t="s">
        <v>7</v>
      </c>
      <c r="F536" t="str">
        <f>_xlfn.CONCAT(D536,", ",H536,", ",I536,", ","西藏自治区")</f>
        <v>上亚东乡, 亚东县, 日喀则市, 西藏自治区</v>
      </c>
      <c r="G536">
        <v>1276</v>
      </c>
      <c r="H536" t="s">
        <v>1475</v>
      </c>
      <c r="I536" t="s">
        <v>1458</v>
      </c>
      <c r="J536" t="e">
        <f>VLOOKUP(F536,[1]!china_towns_second__2[[Column1]:[Y]],3,FALSE)</f>
        <v>#N/A</v>
      </c>
      <c r="K536" t="e">
        <f>VLOOKUP(F536,[1]!china_towns_second__2[[Column1]:[Y]],2,FALSE)</f>
        <v>#N/A</v>
      </c>
      <c r="L536" t="s">
        <v>2194</v>
      </c>
      <c r="M536" t="str">
        <f>VLOOKUP(H536,CHOOSE({1,2},Table8[Native],Table8[Name]),2,0)</f>
        <v>Yàdōng Xiàn</v>
      </c>
      <c r="N536" s="13" t="str">
        <f>VLOOKUP(I536,CHOOSE({1,2},Table8[Native],Table8[Name]),2,0)</f>
        <v>Rìkāzé Shì</v>
      </c>
      <c r="O536" s="13" t="str">
        <f t="shared" si="16"/>
        <v>Shangyadong Xiang (Rìkāzé Shì)</v>
      </c>
      <c r="P536" s="13" t="str">
        <f t="shared" si="17"/>
        <v>Shangyadong Xiang (Rìkāzé Shì)</v>
      </c>
    </row>
    <row r="537" spans="1:16" hidden="1" x14ac:dyDescent="0.25">
      <c r="A537" t="s">
        <v>1180</v>
      </c>
      <c r="B537" t="str">
        <f>IF(COUNTIF(A:A,A537)&gt;1,_xlfn.CONCAT(A537," (",N537,")"),A537)</f>
        <v>Shăogăng Xiāng</v>
      </c>
      <c r="C537" t="str">
        <f>IF(COUNTIF(B:B,B537)&gt;1,_xlfn.CONCAT(A537," (",M537,")"),B537)</f>
        <v>Shăogăng Xiāng</v>
      </c>
      <c r="D537" t="s">
        <v>1181</v>
      </c>
      <c r="E537" t="s">
        <v>7</v>
      </c>
      <c r="F537" t="str">
        <f>_xlfn.CONCAT(D537,", ",H537,", ",I537,", ","西藏自治区")</f>
        <v>少岗乡, 康马县, 日喀则市, 西藏自治区</v>
      </c>
      <c r="G537">
        <v>2344</v>
      </c>
      <c r="H537" t="s">
        <v>1466</v>
      </c>
      <c r="I537" t="s">
        <v>1458</v>
      </c>
      <c r="J537" t="e">
        <f>VLOOKUP(F537,[1]!china_towns_second__2[[Column1]:[Y]],3,FALSE)</f>
        <v>#N/A</v>
      </c>
      <c r="K537" t="e">
        <f>VLOOKUP(F537,[1]!china_towns_second__2[[Column1]:[Y]],2,FALSE)</f>
        <v>#N/A</v>
      </c>
      <c r="L537" t="s">
        <v>2195</v>
      </c>
      <c r="M537" t="str">
        <f>VLOOKUP(H537,CHOOSE({1,2},Table8[Native],Table8[Name]),2,0)</f>
        <v>Kāngmă Xiàn</v>
      </c>
      <c r="N537" s="13" t="str">
        <f>VLOOKUP(I537,CHOOSE({1,2},Table8[Native],Table8[Name]),2,0)</f>
        <v>Rìkāzé Shì</v>
      </c>
      <c r="O537" s="13" t="str">
        <f t="shared" si="16"/>
        <v>Shaogang Xiang (Rìkāzé Shì)</v>
      </c>
      <c r="P537" s="13" t="str">
        <f t="shared" si="17"/>
        <v>Shaogang Xiang (Rìkāzé Shì)</v>
      </c>
    </row>
    <row r="538" spans="1:16" hidden="1" x14ac:dyDescent="0.25">
      <c r="A538" t="s">
        <v>297</v>
      </c>
      <c r="B538" t="str">
        <f>IF(COUNTIF(A:A,A538)&gt;1,_xlfn.CONCAT(A538," (",N538,")"),A538)</f>
        <v>Shēngdá Xiāng</v>
      </c>
      <c r="C538" t="str">
        <f>IF(COUNTIF(B:B,B538)&gt;1,_xlfn.CONCAT(A538," (",M538,")"),B538)</f>
        <v>Shēngdá Xiāng</v>
      </c>
      <c r="D538" t="s">
        <v>298</v>
      </c>
      <c r="E538" t="s">
        <v>7</v>
      </c>
      <c r="F538" t="str">
        <f>_xlfn.CONCAT(D538,", ",H538,", ",I538,", ","西藏自治区")</f>
        <v>生达乡, 江达县, 昌都市, 西藏自治区</v>
      </c>
      <c r="G538">
        <v>10219</v>
      </c>
      <c r="H538" t="s">
        <v>1421</v>
      </c>
      <c r="I538" t="s">
        <v>1415</v>
      </c>
      <c r="J538" t="e">
        <f>VLOOKUP(F538,[1]!china_towns_second__2[[Column1]:[Y]],3,FALSE)</f>
        <v>#N/A</v>
      </c>
      <c r="K538" t="e">
        <f>VLOOKUP(F538,[1]!china_towns_second__2[[Column1]:[Y]],2,FALSE)</f>
        <v>#N/A</v>
      </c>
      <c r="L538" t="s">
        <v>2196</v>
      </c>
      <c r="M538" t="str">
        <f>VLOOKUP(H538,CHOOSE({1,2},Table8[Native],Table8[Name]),2,0)</f>
        <v>Jiāngdá Xiàn</v>
      </c>
      <c r="N538" s="13" t="str">
        <f>VLOOKUP(I538,CHOOSE({1,2},Table8[Native],Table8[Name]),2,0)</f>
        <v>Chāngdū Shì</v>
      </c>
      <c r="O538" s="13" t="str">
        <f t="shared" si="16"/>
        <v>Shengda Xiang (Chāngdū Shì)</v>
      </c>
      <c r="P538" s="13" t="str">
        <f t="shared" si="17"/>
        <v>Shengda Xiang (Chāngdū Shì)</v>
      </c>
    </row>
    <row r="539" spans="1:16" hidden="1" x14ac:dyDescent="0.25">
      <c r="A539" t="s">
        <v>1374</v>
      </c>
      <c r="B539" t="str">
        <f>IF(COUNTIF(A:A,A539)&gt;1,_xlfn.CONCAT(A539," (",N539,")"),A539)</f>
        <v>Shēnggé Xiāng</v>
      </c>
      <c r="C539" t="str">
        <f>IF(COUNTIF(B:B,B539)&gt;1,_xlfn.CONCAT(A539," (",M539,")"),B539)</f>
        <v>Shēnggé Xiāng</v>
      </c>
      <c r="D539" t="s">
        <v>1375</v>
      </c>
      <c r="E539" t="s">
        <v>7</v>
      </c>
      <c r="F539" t="str">
        <f>_xlfn.CONCAT(D539,", ",H539,", ",I539,", ","西藏自治区")</f>
        <v>生格乡, 洛扎县, 山南市, 西藏自治区</v>
      </c>
      <c r="G539">
        <v>2965</v>
      </c>
      <c r="H539" t="s">
        <v>1484</v>
      </c>
      <c r="I539" t="s">
        <v>1477</v>
      </c>
      <c r="J539" t="e">
        <f>VLOOKUP(F539,[1]!china_towns_second__2[[Column1]:[Y]],3,FALSE)</f>
        <v>#N/A</v>
      </c>
      <c r="K539" t="e">
        <f>VLOOKUP(F539,[1]!china_towns_second__2[[Column1]:[Y]],2,FALSE)</f>
        <v>#N/A</v>
      </c>
      <c r="L539" t="s">
        <v>2197</v>
      </c>
      <c r="M539" t="str">
        <f>VLOOKUP(H539,CHOOSE({1,2},Table8[Native],Table8[Name]),2,0)</f>
        <v>Luòzhā Xiàn</v>
      </c>
      <c r="N539" s="13" t="str">
        <f>VLOOKUP(I539,CHOOSE({1,2},Table8[Native],Table8[Name]),2,0)</f>
        <v>Shānnán Shì</v>
      </c>
      <c r="O539" s="13" t="str">
        <f t="shared" si="16"/>
        <v>Shengge Xiang (Shānnán Shì)</v>
      </c>
      <c r="P539" s="13" t="str">
        <f t="shared" si="17"/>
        <v>Shengge Xiang (Shānnán Shì)</v>
      </c>
    </row>
    <row r="540" spans="1:16" hidden="1" x14ac:dyDescent="0.25">
      <c r="A540" t="s">
        <v>779</v>
      </c>
      <c r="B540" t="str">
        <f>IF(COUNTIF(A:A,A540)&gt;1,_xlfn.CONCAT(A540," (",N540,")"),A540)</f>
        <v>Shēnyà Xiāng</v>
      </c>
      <c r="C540" t="str">
        <f>IF(COUNTIF(B:B,B540)&gt;1,_xlfn.CONCAT(A540," (",M540,")"),B540)</f>
        <v>Shēnyà Xiāng</v>
      </c>
      <c r="D540" t="s">
        <v>780</v>
      </c>
      <c r="E540" t="s">
        <v>7</v>
      </c>
      <c r="F540" t="str">
        <f>_xlfn.CONCAT(D540,", ",H540,", ",I540,", ","西藏自治区")</f>
        <v>申亚乡, 尼玛县, 那曲市, 西藏自治区</v>
      </c>
      <c r="G540">
        <v>1691</v>
      </c>
      <c r="H540" t="s">
        <v>1452</v>
      </c>
      <c r="I540" t="s">
        <v>1445</v>
      </c>
      <c r="J540" t="e">
        <f>VLOOKUP(F540,[1]!china_towns_second__2[[Column1]:[Y]],3,FALSE)</f>
        <v>#N/A</v>
      </c>
      <c r="K540" t="e">
        <f>VLOOKUP(F540,[1]!china_towns_second__2[[Column1]:[Y]],2,FALSE)</f>
        <v>#N/A</v>
      </c>
      <c r="L540" t="s">
        <v>2198</v>
      </c>
      <c r="M540" t="str">
        <f>VLOOKUP(H540,CHOOSE({1,2},Table8[Native],Table8[Name]),2,0)</f>
        <v>Nímă Xiàn</v>
      </c>
      <c r="N540" s="13" t="str">
        <f>VLOOKUP(I540,CHOOSE({1,2},Table8[Native],Table8[Name]),2,0)</f>
        <v>Nàqŭ Shì</v>
      </c>
      <c r="O540" s="13" t="str">
        <f t="shared" si="16"/>
        <v>Shenya Xiang (Nàqŭ Shì)</v>
      </c>
      <c r="P540" s="13" t="str">
        <f t="shared" si="17"/>
        <v>Shenya Xiang (Nàqŭ Shì)</v>
      </c>
    </row>
    <row r="541" spans="1:16" x14ac:dyDescent="0.25">
      <c r="A541" t="s">
        <v>781</v>
      </c>
      <c r="B541" t="str">
        <f>IF(COUNTIF(A:A,A541)&gt;1,_xlfn.CONCAT(A541," (",N541,")"),A541)</f>
        <v>Shēnzhā Zhèn</v>
      </c>
      <c r="C541" t="str">
        <f>IF(COUNTIF(B:B,B541)&gt;1,_xlfn.CONCAT(A541," (",M541,")"),B541)</f>
        <v>Shēnzhā Zhèn</v>
      </c>
      <c r="D541" t="s">
        <v>782</v>
      </c>
      <c r="E541" t="s">
        <v>17</v>
      </c>
      <c r="F541" t="str">
        <f>_xlfn.CONCAT(D541,", ",H541,", ",I541,", ","西藏自治区")</f>
        <v>申扎镇, 申扎县, 那曲市, 西藏自治区</v>
      </c>
      <c r="G541">
        <v>4296</v>
      </c>
      <c r="H541" t="s">
        <v>1455</v>
      </c>
      <c r="I541" t="s">
        <v>1445</v>
      </c>
      <c r="J541">
        <f>VLOOKUP(F541,[1]!china_towns_second__2[[Column1]:[Y]],3,FALSE)</f>
        <v>31.084770455238001</v>
      </c>
      <c r="K541">
        <f>VLOOKUP(F541,[1]!china_towns_second__2[[Column1]:[Y]],2,FALSE)</f>
        <v>88.534912930000004</v>
      </c>
      <c r="L541" t="s">
        <v>2199</v>
      </c>
      <c r="M541" t="str">
        <f>VLOOKUP(H541,CHOOSE({1,2},Table8[Native],Table8[Name]),2,0)</f>
        <v>Shēnzhā Xiàn</v>
      </c>
      <c r="N541" s="13" t="str">
        <f>VLOOKUP(I541,CHOOSE({1,2},Table8[Native],Table8[Name]),2,0)</f>
        <v>Nàqŭ Shì</v>
      </c>
      <c r="O541" s="13" t="str">
        <f t="shared" si="16"/>
        <v>Shenzha Zhen (Nàqŭ Shì)</v>
      </c>
      <c r="P541" s="13" t="str">
        <f t="shared" si="17"/>
        <v>Shenzha Zhen (Nàqŭ Shì)</v>
      </c>
    </row>
    <row r="542" spans="1:16" x14ac:dyDescent="0.25">
      <c r="A542" t="s">
        <v>64</v>
      </c>
      <c r="B542" t="str">
        <f>IF(COUNTIF(A:A,A542)&gt;1,_xlfn.CONCAT(A542," (",N542,")"),A542)</f>
        <v>Shīquánhé Zhèn</v>
      </c>
      <c r="C542" t="str">
        <f>IF(COUNTIF(B:B,B542)&gt;1,_xlfn.CONCAT(A542," (",M542,")"),B542)</f>
        <v>Shīquánhé Zhèn</v>
      </c>
      <c r="D542" t="s">
        <v>65</v>
      </c>
      <c r="E542" t="s">
        <v>17</v>
      </c>
      <c r="F542" t="str">
        <f>_xlfn.CONCAT(D542,", ",H542,", ",I542,", ","西藏自治区")</f>
        <v>狮泉河镇, 噶尔县, 阿里地区, 西藏自治区</v>
      </c>
      <c r="G542">
        <v>10507</v>
      </c>
      <c r="H542" t="s">
        <v>1408</v>
      </c>
      <c r="I542" t="s">
        <v>1405</v>
      </c>
      <c r="J542">
        <f>VLOOKUP(F542,[1]!china_towns_second__2[[Column1]:[Y]],3,FALSE)</f>
        <v>32.440102880090997</v>
      </c>
      <c r="K542">
        <f>VLOOKUP(F542,[1]!china_towns_second__2[[Column1]:[Y]],2,FALSE)</f>
        <v>80.142536390000004</v>
      </c>
      <c r="L542" t="s">
        <v>2200</v>
      </c>
      <c r="M542" t="str">
        <f>VLOOKUP(H542,CHOOSE({1,2},Table8[Native],Table8[Name]),2,0)</f>
        <v>Gá'ĕr Xiàn</v>
      </c>
      <c r="N542" s="13" t="str">
        <f>VLOOKUP(I542,CHOOSE({1,2},Table8[Native],Table8[Name]),2,0)</f>
        <v>Ālĭ Dìqū</v>
      </c>
      <c r="O542" s="13" t="str">
        <f t="shared" si="16"/>
        <v>Shiquanhe Zhen (Ālĭ Dìqū)</v>
      </c>
      <c r="P542" s="13" t="str">
        <f t="shared" si="17"/>
        <v>Shiquanhe Zhen (Ālĭ Dìqū)</v>
      </c>
    </row>
    <row r="543" spans="1:16" x14ac:dyDescent="0.25">
      <c r="A543" t="s">
        <v>299</v>
      </c>
      <c r="B543" t="str">
        <f>IF(COUNTIF(A:A,A543)&gt;1,_xlfn.CONCAT(A543," (",N543,")"),A543)</f>
        <v>Shuòdū Zhèn</v>
      </c>
      <c r="C543" t="str">
        <f>IF(COUNTIF(B:B,B543)&gt;1,_xlfn.CONCAT(A543," (",M543,")"),B543)</f>
        <v>Shuòdū Zhèn</v>
      </c>
      <c r="D543" t="s">
        <v>300</v>
      </c>
      <c r="E543" t="s">
        <v>17</v>
      </c>
      <c r="F543" t="str">
        <f>_xlfn.CONCAT(D543,", ",H543,", ",I543,", ","西藏自治区")</f>
        <v>硕督镇, 洛隆县, 昌都市, 西藏自治区</v>
      </c>
      <c r="G543">
        <v>4944</v>
      </c>
      <c r="H543" t="s">
        <v>1425</v>
      </c>
      <c r="I543" t="s">
        <v>1415</v>
      </c>
      <c r="J543">
        <f>VLOOKUP(F543,[1]!china_towns_second__2[[Column1]:[Y]],3,FALSE)</f>
        <v>30.707778692382501</v>
      </c>
      <c r="K543">
        <f>VLOOKUP(F543,[1]!china_towns_second__2[[Column1]:[Y]],2,FALSE)</f>
        <v>95.627493180000002</v>
      </c>
      <c r="L543" t="s">
        <v>2201</v>
      </c>
      <c r="M543" t="str">
        <f>VLOOKUP(H543,CHOOSE({1,2},Table8[Native],Table8[Name]),2,0)</f>
        <v>Luòlóng Xiàn</v>
      </c>
      <c r="N543" s="13" t="str">
        <f>VLOOKUP(I543,CHOOSE({1,2},Table8[Native],Table8[Name]),2,0)</f>
        <v>Chāngdū Shì</v>
      </c>
      <c r="O543" s="13" t="str">
        <f t="shared" si="16"/>
        <v>Shuodu Zhen (Chāngdū Shì)</v>
      </c>
      <c r="P543" s="13" t="str">
        <f t="shared" si="17"/>
        <v>Shuodu Zhen (Chāngdū Shì)</v>
      </c>
    </row>
    <row r="544" spans="1:16" hidden="1" x14ac:dyDescent="0.25">
      <c r="A544" t="s">
        <v>470</v>
      </c>
      <c r="B544" t="str">
        <f>IF(COUNTIF(A:A,A544)&gt;1,_xlfn.CONCAT(A544," (",N544,")"),A544)</f>
        <v>Sōngpán Xiāng</v>
      </c>
      <c r="C544" t="str">
        <f>IF(COUNTIF(B:B,B544)&gt;1,_xlfn.CONCAT(A544," (",M544,")"),B544)</f>
        <v>Sōngpán Xiāng</v>
      </c>
      <c r="D544" t="s">
        <v>471</v>
      </c>
      <c r="E544" t="s">
        <v>7</v>
      </c>
      <c r="F544" t="str">
        <f>_xlfn.CONCAT(D544,", ",H544,", ",I544,", ","西藏自治区")</f>
        <v>松盘乡, 林周县, 拉萨市, 西藏自治区</v>
      </c>
      <c r="G544">
        <v>3523</v>
      </c>
      <c r="H544" t="s">
        <v>1433</v>
      </c>
      <c r="I544" t="s">
        <v>1428</v>
      </c>
      <c r="J544" t="e">
        <f>VLOOKUP(F544,[1]!china_towns_second__2[[Column1]:[Y]],3,FALSE)</f>
        <v>#N/A</v>
      </c>
      <c r="K544" t="e">
        <f>VLOOKUP(F544,[1]!china_towns_second__2[[Column1]:[Y]],2,FALSE)</f>
        <v>#N/A</v>
      </c>
      <c r="L544" t="s">
        <v>2202</v>
      </c>
      <c r="M544" t="str">
        <f>VLOOKUP(H544,CHOOSE({1,2},Table8[Native],Table8[Name]),2,0)</f>
        <v>Línzhōu Xiàn</v>
      </c>
      <c r="N544" s="13" t="str">
        <f>VLOOKUP(I544,CHOOSE({1,2},Table8[Native],Table8[Name]),2,0)</f>
        <v>Lāsà Shì</v>
      </c>
      <c r="O544" s="13" t="str">
        <f t="shared" si="16"/>
        <v>Songpan Xiang (Lāsà Shì)</v>
      </c>
      <c r="P544" s="13" t="str">
        <f t="shared" si="17"/>
        <v>Songpan Xiang (Lāsà Shì)</v>
      </c>
    </row>
    <row r="545" spans="1:16" x14ac:dyDescent="0.25">
      <c r="A545" t="s">
        <v>589</v>
      </c>
      <c r="B545" t="str">
        <f>IF(COUNTIF(A:A,A545)&gt;1,_xlfn.CONCAT(A545," (",N545,")"),A545)</f>
        <v>Sōngzōng Zhèn</v>
      </c>
      <c r="C545" t="str">
        <f>IF(COUNTIF(B:B,B545)&gt;1,_xlfn.CONCAT(A545," (",M545,")"),B545)</f>
        <v>Sōngzōng Zhèn</v>
      </c>
      <c r="D545" t="s">
        <v>590</v>
      </c>
      <c r="E545" t="s">
        <v>17</v>
      </c>
      <c r="F545" t="str">
        <f>_xlfn.CONCAT(D545,", ",H545,", ",I545,", ","西藏自治区")</f>
        <v>松宗镇, 波密县, 林芝市, 西藏自治区</v>
      </c>
      <c r="G545">
        <v>2034</v>
      </c>
      <c r="H545" t="s">
        <v>1439</v>
      </c>
      <c r="I545" t="s">
        <v>1437</v>
      </c>
      <c r="J545">
        <f>VLOOKUP(F545,[1]!china_towns_second__2[[Column1]:[Y]],3,FALSE)</f>
        <v>29.757383761057898</v>
      </c>
      <c r="K545">
        <f>VLOOKUP(F545,[1]!china_towns_second__2[[Column1]:[Y]],2,FALSE)</f>
        <v>96.056491989999998</v>
      </c>
      <c r="L545" t="s">
        <v>2203</v>
      </c>
      <c r="M545" t="str">
        <f>VLOOKUP(H545,CHOOSE({1,2},Table8[Native],Table8[Name]),2,0)</f>
        <v>Bōmì Xiàn</v>
      </c>
      <c r="N545" s="13" t="str">
        <f>VLOOKUP(I545,CHOOSE({1,2},Table8[Native],Table8[Name]),2,0)</f>
        <v>Línzhī Shì</v>
      </c>
      <c r="O545" s="13" t="str">
        <f t="shared" si="16"/>
        <v>Songzong Zhen (Línzhī Shì)</v>
      </c>
      <c r="P545" s="13" t="str">
        <f t="shared" si="17"/>
        <v>Songzong Zhen (Línzhī Shì)</v>
      </c>
    </row>
    <row r="546" spans="1:16" hidden="1" x14ac:dyDescent="0.25">
      <c r="A546" t="s">
        <v>301</v>
      </c>
      <c r="B546" t="str">
        <f>IF(COUNTIF(A:A,A546)&gt;1,_xlfn.CONCAT(A546," (",N546,")"),A546)</f>
        <v>Suŏduōxī Xiāng</v>
      </c>
      <c r="C546" t="str">
        <f>IF(COUNTIF(B:B,B546)&gt;1,_xlfn.CONCAT(A546," (",M546,")"),B546)</f>
        <v>Suŏduōxī Xiāng</v>
      </c>
      <c r="D546" t="s">
        <v>302</v>
      </c>
      <c r="E546" t="s">
        <v>7</v>
      </c>
      <c r="F546" t="str">
        <f>_xlfn.CONCAT(D546,", ",H546,", ",I546,", ","西藏自治区")</f>
        <v>索多西乡, 芒康县, 昌都市, 西藏自治区</v>
      </c>
      <c r="G546">
        <v>5172</v>
      </c>
      <c r="H546" t="s">
        <v>1426</v>
      </c>
      <c r="I546" t="s">
        <v>1415</v>
      </c>
      <c r="J546" t="e">
        <f>VLOOKUP(F546,[1]!china_towns_second__2[[Column1]:[Y]],3,FALSE)</f>
        <v>#N/A</v>
      </c>
      <c r="K546" t="e">
        <f>VLOOKUP(F546,[1]!china_towns_second__2[[Column1]:[Y]],2,FALSE)</f>
        <v>#N/A</v>
      </c>
      <c r="L546" t="s">
        <v>2204</v>
      </c>
      <c r="M546" t="str">
        <f>VLOOKUP(H546,CHOOSE({1,2},Table8[Native],Table8[Name]),2,0)</f>
        <v>Mángkāng Xiàn</v>
      </c>
      <c r="N546" s="13" t="str">
        <f>VLOOKUP(I546,CHOOSE({1,2},Table8[Native],Table8[Name]),2,0)</f>
        <v>Chāngdū Shì</v>
      </c>
      <c r="O546" s="13" t="str">
        <f t="shared" si="16"/>
        <v>Suoduoxi Xiang (Chāngdū Shì)</v>
      </c>
      <c r="P546" s="13" t="str">
        <f t="shared" si="17"/>
        <v>Suoduoxi Xiang (Chāngdū Shì)</v>
      </c>
    </row>
    <row r="547" spans="1:16" hidden="1" x14ac:dyDescent="0.25">
      <c r="A547" t="s">
        <v>1182</v>
      </c>
      <c r="B547" t="str">
        <f>IF(COUNTIF(A:A,A547)&gt;1,_xlfn.CONCAT(A547," (",N547,")"),A547)</f>
        <v>Suŏjīn Xiāng</v>
      </c>
      <c r="C547" t="str">
        <f>IF(COUNTIF(B:B,B547)&gt;1,_xlfn.CONCAT(A547," (",M547,")"),B547)</f>
        <v>Suŏjīn Xiāng</v>
      </c>
      <c r="D547" t="s">
        <v>1183</v>
      </c>
      <c r="E547" t="s">
        <v>7</v>
      </c>
      <c r="F547" t="str">
        <f>_xlfn.CONCAT(D547,", ",H547,", ",I547,", ","西藏自治区")</f>
        <v>索金乡, 南木林县, 日喀则市, 西藏自治区</v>
      </c>
      <c r="G547">
        <v>3434</v>
      </c>
      <c r="H547" t="s">
        <v>1468</v>
      </c>
      <c r="I547" t="s">
        <v>1458</v>
      </c>
      <c r="J547" t="e">
        <f>VLOOKUP(F547,[1]!china_towns_second__2[[Column1]:[Y]],3,FALSE)</f>
        <v>#N/A</v>
      </c>
      <c r="K547" t="e">
        <f>VLOOKUP(F547,[1]!china_towns_second__2[[Column1]:[Y]],2,FALSE)</f>
        <v>#N/A</v>
      </c>
      <c r="L547" t="s">
        <v>2205</v>
      </c>
      <c r="M547" t="str">
        <f>VLOOKUP(H547,CHOOSE({1,2},Table8[Native],Table8[Name]),2,0)</f>
        <v>Nánmùlín Xiàn</v>
      </c>
      <c r="N547" s="13" t="str">
        <f>VLOOKUP(I547,CHOOSE({1,2},Table8[Native],Table8[Name]),2,0)</f>
        <v>Rìkāzé Shì</v>
      </c>
      <c r="O547" s="13" t="str">
        <f t="shared" si="16"/>
        <v>Suojin Xiang (Rìkāzé Shì)</v>
      </c>
      <c r="P547" s="13" t="str">
        <f t="shared" si="17"/>
        <v>Suojin Xiang (Rìkāzé Shì)</v>
      </c>
    </row>
    <row r="548" spans="1:16" hidden="1" x14ac:dyDescent="0.25">
      <c r="A548" t="s">
        <v>783</v>
      </c>
      <c r="B548" t="str">
        <f>IF(COUNTIF(A:A,A548)&gt;1,_xlfn.CONCAT(A548," (",N548,")"),A548)</f>
        <v>Suŏxióng Xiāng</v>
      </c>
      <c r="C548" t="str">
        <f>IF(COUNTIF(B:B,B548)&gt;1,_xlfn.CONCAT(A548," (",M548,")"),B548)</f>
        <v>Suŏxióng Xiāng</v>
      </c>
      <c r="D548" t="s">
        <v>784</v>
      </c>
      <c r="E548" t="s">
        <v>7</v>
      </c>
      <c r="F548" t="str">
        <f>_xlfn.CONCAT(D548,", ",H548,", ",I548,", ","西藏自治区")</f>
        <v>索雄乡, 聂荣县, 那曲市, 西藏自治区</v>
      </c>
      <c r="G548">
        <v>1841</v>
      </c>
      <c r="H548" t="s">
        <v>1451</v>
      </c>
      <c r="I548" t="s">
        <v>1445</v>
      </c>
      <c r="J548" t="e">
        <f>VLOOKUP(F548,[1]!china_towns_second__2[[Column1]:[Y]],3,FALSE)</f>
        <v>#N/A</v>
      </c>
      <c r="K548" t="e">
        <f>VLOOKUP(F548,[1]!china_towns_second__2[[Column1]:[Y]],2,FALSE)</f>
        <v>#N/A</v>
      </c>
      <c r="L548" t="s">
        <v>2206</v>
      </c>
      <c r="M548" t="str">
        <f>VLOOKUP(H548,CHOOSE({1,2},Table8[Native],Table8[Name]),2,0)</f>
        <v>Nièróng Xiàn</v>
      </c>
      <c r="N548" s="13" t="str">
        <f>VLOOKUP(I548,CHOOSE({1,2},Table8[Native],Table8[Name]),2,0)</f>
        <v>Nàqŭ Shì</v>
      </c>
      <c r="O548" s="13" t="str">
        <f t="shared" si="16"/>
        <v>Suoxiong Xiang (Nàqŭ Shì)</v>
      </c>
      <c r="P548" s="13" t="str">
        <f t="shared" si="17"/>
        <v>Suoxiong Xiang (Nàqŭ Shì)</v>
      </c>
    </row>
    <row r="549" spans="1:16" hidden="1" x14ac:dyDescent="0.25">
      <c r="A549" t="s">
        <v>1376</v>
      </c>
      <c r="B549" t="str">
        <f>IF(COUNTIF(A:A,A549)&gt;1,_xlfn.CONCAT(A549," (",N549,")"),A549)</f>
        <v>Suŏzhū Xiāng</v>
      </c>
      <c r="C549" t="str">
        <f>IF(COUNTIF(B:B,B549)&gt;1,_xlfn.CONCAT(A549," (",M549,")"),B549)</f>
        <v>Suŏzhū Xiāng</v>
      </c>
      <c r="D549" t="s">
        <v>1377</v>
      </c>
      <c r="E549" t="s">
        <v>7</v>
      </c>
      <c r="F549" t="str">
        <f>_xlfn.CONCAT(D549,", ",H549,", ",I549,", ","西藏自治区")</f>
        <v>索珠乡, 乃东区, 山南市, 西藏自治区</v>
      </c>
      <c r="G549">
        <v>2374</v>
      </c>
      <c r="H549" t="s">
        <v>1485</v>
      </c>
      <c r="I549" t="s">
        <v>1477</v>
      </c>
      <c r="J549" t="e">
        <f>VLOOKUP(F549,[1]!china_towns_second__2[[Column1]:[Y]],3,FALSE)</f>
        <v>#N/A</v>
      </c>
      <c r="K549" t="e">
        <f>VLOOKUP(F549,[1]!china_towns_second__2[[Column1]:[Y]],2,FALSE)</f>
        <v>#N/A</v>
      </c>
      <c r="L549" t="s">
        <v>2207</v>
      </c>
      <c r="M549" t="str">
        <f>VLOOKUP(H549,CHOOSE({1,2},Table8[Native],Table8[Name]),2,0)</f>
        <v>Năidōng Qū</v>
      </c>
      <c r="N549" s="13" t="str">
        <f>VLOOKUP(I549,CHOOSE({1,2},Table8[Native],Table8[Name]),2,0)</f>
        <v>Shānnán Shì</v>
      </c>
      <c r="O549" s="13" t="str">
        <f t="shared" si="16"/>
        <v>Suozhu Xiang (Shānnán Shì)</v>
      </c>
      <c r="P549" s="13" t="str">
        <f t="shared" si="17"/>
        <v>Suozhu Xiang (Shānnán Shì)</v>
      </c>
    </row>
    <row r="550" spans="1:16" hidden="1" x14ac:dyDescent="0.25">
      <c r="A550" t="s">
        <v>1184</v>
      </c>
      <c r="B550" t="str">
        <f>IF(COUNTIF(A:A,A550)&gt;1,_xlfn.CONCAT(A550," (",N550,")"),A550)</f>
        <v>Suŏzuò Xiāng</v>
      </c>
      <c r="C550" t="str">
        <f>IF(COUNTIF(B:B,B550)&gt;1,_xlfn.CONCAT(A550," (",M550,")"),B550)</f>
        <v>Suŏzuò Xiāng</v>
      </c>
      <c r="D550" t="s">
        <v>1185</v>
      </c>
      <c r="E550" t="s">
        <v>7</v>
      </c>
      <c r="F550" t="str">
        <f>_xlfn.CONCAT(D550,", ",H550,", ",I550,", ","西藏自治区")</f>
        <v>锁作乡, 聂拉木县, 日喀则市, 西藏自治区</v>
      </c>
      <c r="G550">
        <v>3166</v>
      </c>
      <c r="H550" t="s">
        <v>1469</v>
      </c>
      <c r="I550" t="s">
        <v>1458</v>
      </c>
      <c r="J550" t="e">
        <f>VLOOKUP(F550,[1]!china_towns_second__2[[Column1]:[Y]],3,FALSE)</f>
        <v>#N/A</v>
      </c>
      <c r="K550" t="e">
        <f>VLOOKUP(F550,[1]!china_towns_second__2[[Column1]:[Y]],2,FALSE)</f>
        <v>#N/A</v>
      </c>
      <c r="L550" t="s">
        <v>2208</v>
      </c>
      <c r="M550" t="str">
        <f>VLOOKUP(H550,CHOOSE({1,2},Table8[Native],Table8[Name]),2,0)</f>
        <v>Nièlāmù Xiàn</v>
      </c>
      <c r="N550" s="13" t="str">
        <f>VLOOKUP(I550,CHOOSE({1,2},Table8[Native],Table8[Name]),2,0)</f>
        <v>Rìkāzé Shì</v>
      </c>
      <c r="O550" s="13" t="str">
        <f t="shared" si="16"/>
        <v>Suozuo Xiang (Rìkāzé Shì)</v>
      </c>
      <c r="P550" s="13" t="str">
        <f t="shared" si="17"/>
        <v>Suozuo Xiang (Rìkāzé Shì)</v>
      </c>
    </row>
    <row r="551" spans="1:16" hidden="1" x14ac:dyDescent="0.25">
      <c r="A551" t="s">
        <v>1186</v>
      </c>
      <c r="B551" t="str">
        <f>IF(COUNTIF(A:A,A551)&gt;1,_xlfn.CONCAT(A551," (",N551,")"),A551)</f>
        <v>Tǎdīng Xiāng</v>
      </c>
      <c r="C551" t="str">
        <f>IF(COUNTIF(B:B,B551)&gt;1,_xlfn.CONCAT(A551," (",M551,")"),B551)</f>
        <v>Tǎdīng Xiāng</v>
      </c>
      <c r="D551" t="s">
        <v>1187</v>
      </c>
      <c r="E551" t="s">
        <v>7</v>
      </c>
      <c r="F551" t="str">
        <f>_xlfn.CONCAT(D551,", ",H551,", ",I551,", ","西藏自治区")</f>
        <v>塔丁乡, 谢通门县, 日喀则市, 西藏自治区</v>
      </c>
      <c r="G551">
        <v>1824</v>
      </c>
      <c r="H551" t="s">
        <v>1474</v>
      </c>
      <c r="I551" t="s">
        <v>1458</v>
      </c>
      <c r="J551" t="e">
        <f>VLOOKUP(F551,[1]!china_towns_second__2[[Column1]:[Y]],3,FALSE)</f>
        <v>#N/A</v>
      </c>
      <c r="K551" t="e">
        <f>VLOOKUP(F551,[1]!china_towns_second__2[[Column1]:[Y]],2,FALSE)</f>
        <v>#N/A</v>
      </c>
      <c r="L551" t="s">
        <v>2209</v>
      </c>
      <c r="M551" t="str">
        <f>VLOOKUP(H551,CHOOSE({1,2},Table8[Native],Table8[Name]),2,0)</f>
        <v>Xiètōngmén Xiàn</v>
      </c>
      <c r="N551" s="13" t="str">
        <f>VLOOKUP(I551,CHOOSE({1,2},Table8[Native],Table8[Name]),2,0)</f>
        <v>Rìkāzé Shì</v>
      </c>
      <c r="O551" s="13" t="str">
        <f t="shared" si="16"/>
        <v>Tading Xiang (Rìkāzé Shì)</v>
      </c>
      <c r="P551" s="13" t="str">
        <f t="shared" si="17"/>
        <v>Tading Xiang (Rìkāzé Shì)</v>
      </c>
    </row>
    <row r="552" spans="1:16" hidden="1" x14ac:dyDescent="0.25">
      <c r="A552" t="s">
        <v>785</v>
      </c>
      <c r="B552" t="str">
        <f>IF(COUNTIF(A:A,A552)&gt;1,_xlfn.CONCAT(A552," (",N552,")"),A552)</f>
        <v>Tă'ĕrmă Xiāng</v>
      </c>
      <c r="C552" t="str">
        <f>IF(COUNTIF(B:B,B552)&gt;1,_xlfn.CONCAT(A552," (",M552,")"),B552)</f>
        <v>Tă'ĕrmă Xiāng</v>
      </c>
      <c r="D552" t="s">
        <v>786</v>
      </c>
      <c r="E552" t="s">
        <v>7</v>
      </c>
      <c r="F552" t="str">
        <f>_xlfn.CONCAT(D552,", ",H552,", ",I552,", ","西藏自治区")</f>
        <v>塔尔玛乡, 申扎县, 那曲市, 西藏自治区</v>
      </c>
      <c r="G552">
        <v>3405</v>
      </c>
      <c r="H552" t="s">
        <v>1455</v>
      </c>
      <c r="I552" t="s">
        <v>1445</v>
      </c>
      <c r="J552" t="e">
        <f>VLOOKUP(F552,[1]!china_towns_second__2[[Column1]:[Y]],3,FALSE)</f>
        <v>#N/A</v>
      </c>
      <c r="K552" t="e">
        <f>VLOOKUP(F552,[1]!china_towns_second__2[[Column1]:[Y]],2,FALSE)</f>
        <v>#N/A</v>
      </c>
      <c r="L552" t="s">
        <v>2210</v>
      </c>
      <c r="M552" t="str">
        <f>VLOOKUP(H552,CHOOSE({1,2},Table8[Native],Table8[Name]),2,0)</f>
        <v>Shēnzhā Xiàn</v>
      </c>
      <c r="N552" s="13" t="str">
        <f>VLOOKUP(I552,CHOOSE({1,2},Table8[Native],Table8[Name]),2,0)</f>
        <v>Nàqŭ Shì</v>
      </c>
      <c r="O552" s="13" t="str">
        <f t="shared" si="16"/>
        <v>Ta'erma Xiang (Nàqŭ Shì)</v>
      </c>
      <c r="P552" s="13" t="str">
        <f t="shared" si="17"/>
        <v>Ta'erma Xiang (Nàqŭ Shì)</v>
      </c>
    </row>
    <row r="553" spans="1:16" hidden="1" x14ac:dyDescent="0.25">
      <c r="A553" t="s">
        <v>472</v>
      </c>
      <c r="B553" t="str">
        <f>IF(COUNTIF(A:A,A553)&gt;1,_xlfn.CONCAT(A553," (",N553,")"),A553)</f>
        <v>Tăjié Xiāng</v>
      </c>
      <c r="C553" t="str">
        <f>IF(COUNTIF(B:B,B553)&gt;1,_xlfn.CONCAT(A553," (",M553,")"),B553)</f>
        <v>Tăjié Xiāng</v>
      </c>
      <c r="D553" t="s">
        <v>473</v>
      </c>
      <c r="E553" t="s">
        <v>7</v>
      </c>
      <c r="F553" t="str">
        <f>_xlfn.CONCAT(D553,", ",H553,", ",I553,", ","西藏自治区")</f>
        <v>塔杰乡, 达孜区, 拉萨市, 西藏自治区</v>
      </c>
      <c r="G553">
        <v>2823</v>
      </c>
      <c r="H553" t="s">
        <v>1431</v>
      </c>
      <c r="I553" t="s">
        <v>1428</v>
      </c>
      <c r="J553" t="e">
        <f>VLOOKUP(F553,[1]!china_towns_second__2[[Column1]:[Y]],3,FALSE)</f>
        <v>#N/A</v>
      </c>
      <c r="K553" t="e">
        <f>VLOOKUP(F553,[1]!china_towns_second__2[[Column1]:[Y]],2,FALSE)</f>
        <v>#N/A</v>
      </c>
      <c r="L553" t="s">
        <v>2211</v>
      </c>
      <c r="M553" t="str">
        <f>VLOOKUP(H553,CHOOSE({1,2},Table8[Native],Table8[Name]),2,0)</f>
        <v>Dázī Qū</v>
      </c>
      <c r="N553" s="13" t="str">
        <f>VLOOKUP(I553,CHOOSE({1,2},Table8[Native],Table8[Name]),2,0)</f>
        <v>Lāsà Shì</v>
      </c>
      <c r="O553" s="13" t="str">
        <f t="shared" si="16"/>
        <v>Tajie Xiang (Lāsà Shì)</v>
      </c>
      <c r="P553" s="13" t="str">
        <f t="shared" si="17"/>
        <v>Tajie Xiang (Lāsà Shì)</v>
      </c>
    </row>
    <row r="554" spans="1:16" hidden="1" x14ac:dyDescent="0.25">
      <c r="A554" t="s">
        <v>787</v>
      </c>
      <c r="B554" t="str">
        <f>IF(COUNTIF(A:A,A554)&gt;1,_xlfn.CONCAT(A554," (",N554,")"),A554)</f>
        <v>Tānduī Xiāng</v>
      </c>
      <c r="C554" t="str">
        <f>IF(COUNTIF(B:B,B554)&gt;1,_xlfn.CONCAT(A554," (",M554,")"),B554)</f>
        <v>Tānduī Xiāng</v>
      </c>
      <c r="D554" t="s">
        <v>788</v>
      </c>
      <c r="E554" t="s">
        <v>7</v>
      </c>
      <c r="F554" t="str">
        <f>_xlfn.CONCAT(D554,", ",H554,", ",I554,", ","西藏自治区")</f>
        <v>滩堆乡, 安多县, 那曲市, 西藏自治区</v>
      </c>
      <c r="G554">
        <v>1143</v>
      </c>
      <c r="H554" t="s">
        <v>1446</v>
      </c>
      <c r="I554" t="s">
        <v>1445</v>
      </c>
      <c r="J554" t="e">
        <f>VLOOKUP(F554,[1]!china_towns_second__2[[Column1]:[Y]],3,FALSE)</f>
        <v>#N/A</v>
      </c>
      <c r="K554" t="e">
        <f>VLOOKUP(F554,[1]!china_towns_second__2[[Column1]:[Y]],2,FALSE)</f>
        <v>#N/A</v>
      </c>
      <c r="L554" t="s">
        <v>2212</v>
      </c>
      <c r="M554" t="str">
        <f>VLOOKUP(H554,CHOOSE({1,2},Table8[Native],Table8[Name]),2,0)</f>
        <v>Ānduō Xiàn</v>
      </c>
      <c r="N554" s="13" t="str">
        <f>VLOOKUP(I554,CHOOSE({1,2},Table8[Native],Table8[Name]),2,0)</f>
        <v>Nàqŭ Shì</v>
      </c>
      <c r="O554" s="13" t="str">
        <f t="shared" si="16"/>
        <v>Tandui Xiang (Nàqŭ Shì)</v>
      </c>
      <c r="P554" s="13" t="str">
        <f t="shared" si="17"/>
        <v>Tandui Xiang (Nàqŭ Shì)</v>
      </c>
    </row>
    <row r="555" spans="1:16" hidden="1" x14ac:dyDescent="0.25">
      <c r="A555" t="s">
        <v>474</v>
      </c>
      <c r="B555" t="str">
        <f>IF(COUNTIF(A:A,A555)&gt;1,_xlfn.CONCAT(A555," (",N555,")"),A555)</f>
        <v>Tánggā Xiāng</v>
      </c>
      <c r="C555" t="str">
        <f>IF(COUNTIF(B:B,B555)&gt;1,_xlfn.CONCAT(A555," (",M555,")"),B555)</f>
        <v>Tánggā Xiāng</v>
      </c>
      <c r="D555" t="s">
        <v>475</v>
      </c>
      <c r="E555" t="s">
        <v>7</v>
      </c>
      <c r="F555" t="str">
        <f>_xlfn.CONCAT(D555,", ",H555,", ",I555,", ","西藏自治区")</f>
        <v>唐嘎乡, 达孜区, 拉萨市, 西藏自治区</v>
      </c>
      <c r="G555">
        <v>4954</v>
      </c>
      <c r="H555" t="s">
        <v>1431</v>
      </c>
      <c r="I555" t="s">
        <v>1428</v>
      </c>
      <c r="J555" t="e">
        <f>VLOOKUP(F555,[1]!china_towns_second__2[[Column1]:[Y]],3,FALSE)</f>
        <v>#N/A</v>
      </c>
      <c r="K555" t="e">
        <f>VLOOKUP(F555,[1]!china_towns_second__2[[Column1]:[Y]],2,FALSE)</f>
        <v>#N/A</v>
      </c>
      <c r="L555" t="s">
        <v>2213</v>
      </c>
      <c r="M555" t="str">
        <f>VLOOKUP(H555,CHOOSE({1,2},Table8[Native],Table8[Name]),2,0)</f>
        <v>Dázī Qū</v>
      </c>
      <c r="N555" s="13" t="str">
        <f>VLOOKUP(I555,CHOOSE({1,2},Table8[Native],Table8[Name]),2,0)</f>
        <v>Lāsà Shì</v>
      </c>
      <c r="O555" s="13" t="str">
        <f t="shared" si="16"/>
        <v>Tangga Xiang (Lāsà Shì)</v>
      </c>
      <c r="P555" s="13" t="str">
        <f t="shared" si="17"/>
        <v>Tangga Xiang (Lāsà Shì)</v>
      </c>
    </row>
    <row r="556" spans="1:16" hidden="1" x14ac:dyDescent="0.25">
      <c r="A556" t="s">
        <v>476</v>
      </c>
      <c r="B556" t="str">
        <f>IF(COUNTIF(A:A,A556)&gt;1,_xlfn.CONCAT(A556," (",N556,")"),A556)</f>
        <v>Tánggŭ Xiāng</v>
      </c>
      <c r="C556" t="str">
        <f>IF(COUNTIF(B:B,B556)&gt;1,_xlfn.CONCAT(A556," (",M556,")"),B556)</f>
        <v>Tánggŭ Xiāng</v>
      </c>
      <c r="D556" t="s">
        <v>477</v>
      </c>
      <c r="E556" t="s">
        <v>7</v>
      </c>
      <c r="F556" t="str">
        <f>_xlfn.CONCAT(D556,", ",H556,", ",I556,", ","西藏自治区")</f>
        <v>唐古乡, 林周县, 拉萨市, 西藏自治区</v>
      </c>
      <c r="G556">
        <v>4316</v>
      </c>
      <c r="H556" t="s">
        <v>1433</v>
      </c>
      <c r="I556" t="s">
        <v>1428</v>
      </c>
      <c r="J556" t="e">
        <f>VLOOKUP(F556,[1]!china_towns_second__2[[Column1]:[Y]],3,FALSE)</f>
        <v>#N/A</v>
      </c>
      <c r="K556" t="e">
        <f>VLOOKUP(F556,[1]!china_towns_second__2[[Column1]:[Y]],2,FALSE)</f>
        <v>#N/A</v>
      </c>
      <c r="L556" t="s">
        <v>2214</v>
      </c>
      <c r="M556" t="str">
        <f>VLOOKUP(H556,CHOOSE({1,2},Table8[Native],Table8[Name]),2,0)</f>
        <v>Línzhōu Xiàn</v>
      </c>
      <c r="N556" s="13" t="str">
        <f>VLOOKUP(I556,CHOOSE({1,2},Table8[Native],Table8[Name]),2,0)</f>
        <v>Lāsà Shì</v>
      </c>
      <c r="O556" s="13" t="str">
        <f t="shared" si="16"/>
        <v>Tanggu Xiang (Lāsà Shì)</v>
      </c>
      <c r="P556" s="13" t="str">
        <f t="shared" si="17"/>
        <v>Tanggu Xiang (Lāsà Shì)</v>
      </c>
    </row>
    <row r="557" spans="1:16" hidden="1" x14ac:dyDescent="0.25">
      <c r="A557" t="s">
        <v>478</v>
      </c>
      <c r="B557" t="str">
        <f>IF(COUNTIF(A:A,A557)&gt;1,_xlfn.CONCAT(A557," (",N557,")"),A557)</f>
        <v>Tángjiā Xiāng</v>
      </c>
      <c r="C557" t="str">
        <f>IF(COUNTIF(B:B,B557)&gt;1,_xlfn.CONCAT(A557," (",M557,")"),B557)</f>
        <v>Tángjiā Xiāng</v>
      </c>
      <c r="D557" t="s">
        <v>479</v>
      </c>
      <c r="E557" t="s">
        <v>7</v>
      </c>
      <c r="F557" t="str">
        <f>_xlfn.CONCAT(D557,", ",H557,", ",I557,", ","西藏自治区")</f>
        <v>唐加乡, 墨竹工卡县, 拉萨市, 西藏自治区</v>
      </c>
      <c r="G557">
        <v>6241</v>
      </c>
      <c r="H557" t="s">
        <v>1434</v>
      </c>
      <c r="I557" t="s">
        <v>1428</v>
      </c>
      <c r="J557" t="e">
        <f>VLOOKUP(F557,[1]!china_towns_second__2[[Column1]:[Y]],3,FALSE)</f>
        <v>#N/A</v>
      </c>
      <c r="K557" t="e">
        <f>VLOOKUP(F557,[1]!china_towns_second__2[[Column1]:[Y]],2,FALSE)</f>
        <v>#N/A</v>
      </c>
      <c r="L557" t="s">
        <v>2215</v>
      </c>
      <c r="M557" t="str">
        <f>VLOOKUP(H557,CHOOSE({1,2},Table8[Native],Table8[Name]),2,0)</f>
        <v>Mòzhúgōngkă Xiàn</v>
      </c>
      <c r="N557" s="13" t="str">
        <f>VLOOKUP(I557,CHOOSE({1,2},Table8[Native],Table8[Name]),2,0)</f>
        <v>Lāsà Shì</v>
      </c>
      <c r="O557" s="13" t="str">
        <f t="shared" si="16"/>
        <v>Tangjia Xiang (Lāsà Shì)</v>
      </c>
      <c r="P557" s="13" t="str">
        <f t="shared" si="17"/>
        <v>Tangjia Xiang (Lāsà Shì)</v>
      </c>
    </row>
    <row r="558" spans="1:16" x14ac:dyDescent="0.25">
      <c r="A558" t="s">
        <v>480</v>
      </c>
      <c r="B558" t="str">
        <f>IF(COUNTIF(A:A,A558)&gt;1,_xlfn.CONCAT(A558," (",N558,")"),A558)</f>
        <v>Tăróng Zhèn</v>
      </c>
      <c r="C558" t="str">
        <f>IF(COUNTIF(B:B,B558)&gt;1,_xlfn.CONCAT(A558," (",M558,")"),B558)</f>
        <v>Tăróng Zhèn</v>
      </c>
      <c r="D558" t="s">
        <v>481</v>
      </c>
      <c r="E558" t="s">
        <v>17</v>
      </c>
      <c r="F558" t="str">
        <f>_xlfn.CONCAT(D558,", ",H558,", ",I558,", ","西藏自治区")</f>
        <v>塔荣镇, 尼木县, 拉萨市, 西藏自治区</v>
      </c>
      <c r="G558">
        <v>6393</v>
      </c>
      <c r="H558" t="s">
        <v>1435</v>
      </c>
      <c r="I558" t="s">
        <v>1428</v>
      </c>
      <c r="J558">
        <f>VLOOKUP(F558,[1]!china_towns_second__2[[Column1]:[Y]],3,FALSE)</f>
        <v>29.422919135088001</v>
      </c>
      <c r="K558">
        <f>VLOOKUP(F558,[1]!china_towns_second__2[[Column1]:[Y]],2,FALSE)</f>
        <v>90.201319339999998</v>
      </c>
      <c r="L558" t="s">
        <v>2216</v>
      </c>
      <c r="M558" t="str">
        <f>VLOOKUP(H558,CHOOSE({1,2},Table8[Native],Table8[Name]),2,0)</f>
        <v>Nímù Xiàn</v>
      </c>
      <c r="N558" s="13" t="str">
        <f>VLOOKUP(I558,CHOOSE({1,2},Table8[Native],Table8[Name]),2,0)</f>
        <v>Lāsà Shì</v>
      </c>
      <c r="O558" s="13" t="str">
        <f t="shared" si="16"/>
        <v>Tarong Zhen (Lāsà Shì)</v>
      </c>
      <c r="P558" s="13" t="str">
        <f t="shared" si="17"/>
        <v>Tarong Zhen (Lāsà Shì)</v>
      </c>
    </row>
    <row r="559" spans="1:16" x14ac:dyDescent="0.25">
      <c r="A559" t="s">
        <v>303</v>
      </c>
      <c r="B559" t="str">
        <f>IF(COUNTIF(A:A,A559)&gt;1,_xlfn.CONCAT(A559," (",N559,")"),A559)</f>
        <v>Tiántuŏ Zhèn</v>
      </c>
      <c r="C559" t="str">
        <f>IF(COUNTIF(B:B,B559)&gt;1,_xlfn.CONCAT(A559," (",M559,")"),B559)</f>
        <v>Tiántuŏ Zhèn</v>
      </c>
      <c r="D559" t="s">
        <v>304</v>
      </c>
      <c r="E559" t="s">
        <v>17</v>
      </c>
      <c r="F559" t="str">
        <f>_xlfn.CONCAT(D559,", ",H559,", ",I559,", ","西藏自治区")</f>
        <v>田妥镇, 左贡县, 昌都市, 西藏自治区</v>
      </c>
      <c r="G559">
        <v>6387</v>
      </c>
      <c r="H559" t="s">
        <v>1427</v>
      </c>
      <c r="I559" t="s">
        <v>1415</v>
      </c>
      <c r="J559">
        <f>VLOOKUP(F559,[1]!china_towns_second__2[[Column1]:[Y]],3,FALSE)</f>
        <v>29.987540859902499</v>
      </c>
      <c r="K559">
        <f>VLOOKUP(F559,[1]!china_towns_second__2[[Column1]:[Y]],2,FALSE)</f>
        <v>97.73315882</v>
      </c>
      <c r="L559" t="s">
        <v>2217</v>
      </c>
      <c r="M559" t="str">
        <f>VLOOKUP(H559,CHOOSE({1,2},Table8[Native],Table8[Name]),2,0)</f>
        <v>Zuŏgòng Xiàn</v>
      </c>
      <c r="N559" s="13" t="str">
        <f>VLOOKUP(I559,CHOOSE({1,2},Table8[Native],Table8[Name]),2,0)</f>
        <v>Chāngdū Shì</v>
      </c>
      <c r="O559" s="13" t="str">
        <f t="shared" si="16"/>
        <v>Tiantuo Zhen (Chāngdū Shì)</v>
      </c>
      <c r="P559" s="13" t="str">
        <f t="shared" si="17"/>
        <v>Tiantuo Zhen (Chāngdū Shì)</v>
      </c>
    </row>
    <row r="560" spans="1:16" x14ac:dyDescent="0.25">
      <c r="A560" t="s">
        <v>305</v>
      </c>
      <c r="B560" t="str">
        <f>IF(COUNTIF(A:A,A560)&gt;1,_xlfn.CONCAT(A560," (",N560,")"),A560)</f>
        <v>Tóngkă Zhèn</v>
      </c>
      <c r="C560" t="str">
        <f>IF(COUNTIF(B:B,B560)&gt;1,_xlfn.CONCAT(A560," (",M560,")"),B560)</f>
        <v>Tóngkă Zhèn</v>
      </c>
      <c r="D560" t="s">
        <v>306</v>
      </c>
      <c r="E560" t="s">
        <v>17</v>
      </c>
      <c r="F560" t="str">
        <f>_xlfn.CONCAT(D560,", ",H560,", ",I560,", ","西藏自治区")</f>
        <v>同卡镇, 八宿县, 昌都市, 西藏自治区</v>
      </c>
      <c r="G560">
        <v>4387</v>
      </c>
      <c r="H560" t="s">
        <v>1416</v>
      </c>
      <c r="I560" t="s">
        <v>1415</v>
      </c>
      <c r="J560">
        <f>VLOOKUP(F560,[1]!china_towns_second__2[[Column1]:[Y]],3,FALSE)</f>
        <v>30.530486734176002</v>
      </c>
      <c r="K560">
        <f>VLOOKUP(F560,[1]!china_towns_second__2[[Column1]:[Y]],2,FALSE)</f>
        <v>96.633070149999995</v>
      </c>
      <c r="L560" t="s">
        <v>2218</v>
      </c>
      <c r="M560" t="str">
        <f>VLOOKUP(H560,CHOOSE({1,2},Table8[Native],Table8[Name]),2,0)</f>
        <v>Bāsù Xiàn</v>
      </c>
      <c r="N560" s="13" t="str">
        <f>VLOOKUP(I560,CHOOSE({1,2},Table8[Native],Table8[Name]),2,0)</f>
        <v>Chāngdū Shì</v>
      </c>
      <c r="O560" s="13" t="str">
        <f t="shared" si="16"/>
        <v>Tongka Zhen (Chāngdū Shì)</v>
      </c>
      <c r="P560" s="13" t="str">
        <f t="shared" si="17"/>
        <v>Tongka Zhen (Chāngdū Shì)</v>
      </c>
    </row>
    <row r="561" spans="1:16" hidden="1" x14ac:dyDescent="0.25">
      <c r="A561" t="s">
        <v>1188</v>
      </c>
      <c r="B561" t="str">
        <f>IF(COUNTIF(A:A,A561)&gt;1,_xlfn.CONCAT(A561," (",N561,")"),A561)</f>
        <v>Tōngmén Xiāng</v>
      </c>
      <c r="C561" t="str">
        <f>IF(COUNTIF(B:B,B561)&gt;1,_xlfn.CONCAT(A561," (",M561,")"),B561)</f>
        <v>Tōngmén Xiāng</v>
      </c>
      <c r="D561" t="s">
        <v>1189</v>
      </c>
      <c r="E561" t="s">
        <v>7</v>
      </c>
      <c r="F561" t="str">
        <f>_xlfn.CONCAT(D561,", ",H561,", ",I561,", ","西藏自治区")</f>
        <v>通门乡, 谢通门县, 日喀则市, 西藏自治区</v>
      </c>
      <c r="G561">
        <v>2770</v>
      </c>
      <c r="H561" t="s">
        <v>1474</v>
      </c>
      <c r="I561" t="s">
        <v>1458</v>
      </c>
      <c r="J561" t="e">
        <f>VLOOKUP(F561,[1]!china_towns_second__2[[Column1]:[Y]],3,FALSE)</f>
        <v>#N/A</v>
      </c>
      <c r="K561" t="e">
        <f>VLOOKUP(F561,[1]!china_towns_second__2[[Column1]:[Y]],2,FALSE)</f>
        <v>#N/A</v>
      </c>
      <c r="L561" t="s">
        <v>2219</v>
      </c>
      <c r="M561" t="str">
        <f>VLOOKUP(H561,CHOOSE({1,2},Table8[Native],Table8[Name]),2,0)</f>
        <v>Xiètōngmén Xiàn</v>
      </c>
      <c r="N561" s="13" t="str">
        <f>VLOOKUP(I561,CHOOSE({1,2},Table8[Native],Table8[Name]),2,0)</f>
        <v>Rìkāzé Shì</v>
      </c>
      <c r="O561" s="13" t="str">
        <f t="shared" si="16"/>
        <v>Tongmen Xiang (Rìkāzé Shì)</v>
      </c>
      <c r="P561" s="13" t="str">
        <f t="shared" si="17"/>
        <v>Tongmen Xiang (Rìkāzé Shì)</v>
      </c>
    </row>
    <row r="562" spans="1:16" hidden="1" x14ac:dyDescent="0.25">
      <c r="A562" t="s">
        <v>307</v>
      </c>
      <c r="B562" t="str">
        <f>IF(COUNTIF(A:A,A562)&gt;1,_xlfn.CONCAT(A562," (",N562,")"),A562)</f>
        <v>Tóngpŭ Xiāng</v>
      </c>
      <c r="C562" t="str">
        <f>IF(COUNTIF(B:B,B562)&gt;1,_xlfn.CONCAT(A562," (",M562,")"),B562)</f>
        <v>Tóngpŭ Xiāng</v>
      </c>
      <c r="D562" t="s">
        <v>308</v>
      </c>
      <c r="E562" t="s">
        <v>7</v>
      </c>
      <c r="F562" t="str">
        <f>_xlfn.CONCAT(D562,", ",H562,", ",I562,", ","西藏自治区")</f>
        <v>同普乡, 江达县, 昌都市, 西藏自治区</v>
      </c>
      <c r="G562">
        <v>8141</v>
      </c>
      <c r="H562" t="s">
        <v>1421</v>
      </c>
      <c r="I562" t="s">
        <v>1415</v>
      </c>
      <c r="J562" t="e">
        <f>VLOOKUP(F562,[1]!china_towns_second__2[[Column1]:[Y]],3,FALSE)</f>
        <v>#N/A</v>
      </c>
      <c r="K562" t="e">
        <f>VLOOKUP(F562,[1]!china_towns_second__2[[Column1]:[Y]],2,FALSE)</f>
        <v>#N/A</v>
      </c>
      <c r="L562" t="s">
        <v>2220</v>
      </c>
      <c r="M562" t="str">
        <f>VLOOKUP(H562,CHOOSE({1,2},Table8[Native],Table8[Name]),2,0)</f>
        <v>Jiāngdá Xiàn</v>
      </c>
      <c r="N562" s="13" t="str">
        <f>VLOOKUP(I562,CHOOSE({1,2},Table8[Native],Table8[Name]),2,0)</f>
        <v>Chāngdū Shì</v>
      </c>
      <c r="O562" s="13" t="str">
        <f t="shared" si="16"/>
        <v>Tongpu Xiang (Chāngdū Shì)</v>
      </c>
      <c r="P562" s="13" t="str">
        <f t="shared" si="17"/>
        <v>Tongpu Xiang (Chāngdū Shì)</v>
      </c>
    </row>
    <row r="563" spans="1:16" hidden="1" x14ac:dyDescent="0.25">
      <c r="A563" t="s">
        <v>1190</v>
      </c>
      <c r="B563" t="str">
        <f>IF(COUNTIF(A:A,A563)&gt;1,_xlfn.CONCAT(A563," (",N563,")"),A563)</f>
        <v>Tŭbùjiā Xiāng</v>
      </c>
      <c r="C563" t="str">
        <f>IF(COUNTIF(B:B,B563)&gt;1,_xlfn.CONCAT(A563," (",M563,")"),B563)</f>
        <v>Tŭbùjiā Xiāng</v>
      </c>
      <c r="D563" t="s">
        <v>1191</v>
      </c>
      <c r="E563" t="s">
        <v>7</v>
      </c>
      <c r="F563" t="str">
        <f>_xlfn.CONCAT(D563,", ",H563,", ",I563,", ","西藏自治区")</f>
        <v>土布加乡, 南木林县, 日喀则市, 西藏自治区</v>
      </c>
      <c r="G563">
        <v>5607</v>
      </c>
      <c r="H563" t="s">
        <v>1468</v>
      </c>
      <c r="I563" t="s">
        <v>1458</v>
      </c>
      <c r="J563" t="e">
        <f>VLOOKUP(F563,[1]!china_towns_second__2[[Column1]:[Y]],3,FALSE)</f>
        <v>#N/A</v>
      </c>
      <c r="K563" t="e">
        <f>VLOOKUP(F563,[1]!china_towns_second__2[[Column1]:[Y]],2,FALSE)</f>
        <v>#N/A</v>
      </c>
      <c r="L563" t="s">
        <v>2221</v>
      </c>
      <c r="M563" t="str">
        <f>VLOOKUP(H563,CHOOSE({1,2},Table8[Native],Table8[Name]),2,0)</f>
        <v>Nánmùlín Xiàn</v>
      </c>
      <c r="N563" s="13" t="str">
        <f>VLOOKUP(I563,CHOOSE({1,2},Table8[Native],Table8[Name]),2,0)</f>
        <v>Rìkāzé Shì</v>
      </c>
      <c r="O563" s="13" t="str">
        <f t="shared" si="16"/>
        <v>Tubujia Xiang (Rìkāzé Shì)</v>
      </c>
      <c r="P563" s="13" t="str">
        <f t="shared" si="17"/>
        <v>Tubujia Xiang (Rìkāzé Shì)</v>
      </c>
    </row>
    <row r="564" spans="1:16" x14ac:dyDescent="0.25">
      <c r="A564" t="s">
        <v>482</v>
      </c>
      <c r="B564" t="str">
        <f>IF(COUNTIF(A:A,A564)&gt;1,_xlfn.CONCAT(A564," (",N564,")"),A564)</f>
        <v>Tūnbā Zhèn</v>
      </c>
      <c r="C564" t="str">
        <f>IF(COUNTIF(B:B,B564)&gt;1,_xlfn.CONCAT(A564," (",M564,")"),B564)</f>
        <v>Tūnbā Zhèn</v>
      </c>
      <c r="D564" t="s">
        <v>483</v>
      </c>
      <c r="E564" t="s">
        <v>17</v>
      </c>
      <c r="F564" t="str">
        <f>_xlfn.CONCAT(D564,", ",H564,", ",I564,", ","西藏自治区")</f>
        <v>吞巴镇, 尼木县, 拉萨市, 西藏自治区</v>
      </c>
      <c r="G564">
        <v>2130</v>
      </c>
      <c r="H564" t="s">
        <v>1435</v>
      </c>
      <c r="I564" t="s">
        <v>1428</v>
      </c>
      <c r="J564">
        <f>VLOOKUP(F564,[1]!china_towns_second__2[[Column1]:[Y]],3,FALSE)</f>
        <v>29.360216651344899</v>
      </c>
      <c r="K564">
        <f>VLOOKUP(F564,[1]!china_towns_second__2[[Column1]:[Y]],2,FALSE)</f>
        <v>90.333789229999994</v>
      </c>
      <c r="L564" t="s">
        <v>2222</v>
      </c>
      <c r="M564" t="str">
        <f>VLOOKUP(H564,CHOOSE({1,2},Table8[Native],Table8[Name]),2,0)</f>
        <v>Nímù Xiàn</v>
      </c>
      <c r="N564" s="13" t="str">
        <f>VLOOKUP(I564,CHOOSE({1,2},Table8[Native],Table8[Name]),2,0)</f>
        <v>Lāsà Shì</v>
      </c>
      <c r="O564" s="13" t="str">
        <f t="shared" si="16"/>
        <v>Tunba Zhen (Lāsà Shì)</v>
      </c>
      <c r="P564" s="13" t="str">
        <f t="shared" si="17"/>
        <v>Tunba Zhen (Lāsà Shì)</v>
      </c>
    </row>
    <row r="565" spans="1:16" hidden="1" x14ac:dyDescent="0.25">
      <c r="A565" t="s">
        <v>309</v>
      </c>
      <c r="B565" t="str">
        <f>IF(COUNTIF(A:A,A565)&gt;1,_xlfn.CONCAT(A565," (",N565,")"),A565)</f>
        <v>Tuŏbà Xiāng</v>
      </c>
      <c r="C565" t="str">
        <f>IF(COUNTIF(B:B,B565)&gt;1,_xlfn.CONCAT(A565," (",M565,")"),B565)</f>
        <v>Tuŏbà Xiāng</v>
      </c>
      <c r="D565" t="s">
        <v>310</v>
      </c>
      <c r="E565" t="s">
        <v>7</v>
      </c>
      <c r="F565" t="str">
        <f>_xlfn.CONCAT(D565,", ",H565,", ",I565,", ","西藏自治区")</f>
        <v>妥坝乡, 卡若区, 昌都市, 西藏自治区</v>
      </c>
      <c r="G565">
        <v>7386</v>
      </c>
      <c r="H565" t="s">
        <v>1423</v>
      </c>
      <c r="I565" t="s">
        <v>1415</v>
      </c>
      <c r="J565" t="e">
        <f>VLOOKUP(F565,[1]!china_towns_second__2[[Column1]:[Y]],3,FALSE)</f>
        <v>#N/A</v>
      </c>
      <c r="K565" t="e">
        <f>VLOOKUP(F565,[1]!china_towns_second__2[[Column1]:[Y]],2,FALSE)</f>
        <v>#N/A</v>
      </c>
      <c r="L565" t="s">
        <v>2223</v>
      </c>
      <c r="M565" t="str">
        <f>VLOOKUP(H565,CHOOSE({1,2},Table8[Native],Table8[Name]),2,0)</f>
        <v>Kǎruò Qū</v>
      </c>
      <c r="N565" s="13" t="str">
        <f>VLOOKUP(I565,CHOOSE({1,2},Table8[Native],Table8[Name]),2,0)</f>
        <v>Chāngdū Shì</v>
      </c>
      <c r="O565" s="13" t="str">
        <f t="shared" si="16"/>
        <v>Tuoba Xiang (Chāngdū Shì)</v>
      </c>
      <c r="P565" s="13" t="str">
        <f t="shared" si="17"/>
        <v>Tuoba Xiang (Chāngdū Shì)</v>
      </c>
    </row>
    <row r="566" spans="1:16" x14ac:dyDescent="0.25">
      <c r="A566" t="s">
        <v>66</v>
      </c>
      <c r="B566" t="str">
        <f>IF(COUNTIF(A:A,A566)&gt;1,_xlfn.CONCAT(A566," (",N566,")"),A566)</f>
        <v>Tuōlín Zhèn</v>
      </c>
      <c r="C566" t="str">
        <f>IF(COUNTIF(B:B,B566)&gt;1,_xlfn.CONCAT(A566," (",M566,")"),B566)</f>
        <v>Tuōlín Zhèn</v>
      </c>
      <c r="D566" t="s">
        <v>67</v>
      </c>
      <c r="E566" t="s">
        <v>17</v>
      </c>
      <c r="F566" t="str">
        <f>_xlfn.CONCAT(D566,", ",H566,", ",I566,", ","西藏自治区")</f>
        <v>托林镇, 札达县, 阿里地区, 西藏自治区</v>
      </c>
      <c r="G566">
        <v>2014</v>
      </c>
      <c r="H566" t="s">
        <v>1413</v>
      </c>
      <c r="I566" t="s">
        <v>1405</v>
      </c>
      <c r="J566">
        <f>VLOOKUP(F566,[1]!china_towns_second__2[[Column1]:[Y]],3,FALSE)</f>
        <v>31.394829717730001</v>
      </c>
      <c r="K566">
        <f>VLOOKUP(F566,[1]!china_towns_second__2[[Column1]:[Y]],2,FALSE)</f>
        <v>79.688099699999995</v>
      </c>
      <c r="L566" t="s">
        <v>2224</v>
      </c>
      <c r="M566" t="str">
        <f>VLOOKUP(H566,CHOOSE({1,2},Table8[Native],Table8[Name]),2,0)</f>
        <v>Zhádá Xiàn</v>
      </c>
      <c r="N566" s="13" t="str">
        <f>VLOOKUP(I566,CHOOSE({1,2},Table8[Native],Table8[Name]),2,0)</f>
        <v>Ālĭ Dìqū</v>
      </c>
      <c r="O566" s="13" t="str">
        <f t="shared" si="16"/>
        <v>Tuolin Zhen (Ālĭ Dìqū)</v>
      </c>
      <c r="P566" s="13" t="str">
        <f t="shared" si="17"/>
        <v>Tuolin Zhen (Ālĭ Dìqū)</v>
      </c>
    </row>
    <row r="567" spans="1:16" hidden="1" x14ac:dyDescent="0.25">
      <c r="A567" t="s">
        <v>317</v>
      </c>
      <c r="B567" t="str">
        <f>IF(COUNTIF(A:A,A567)&gt;1,_xlfn.CONCAT(A567," (",N567,")"),A567)</f>
        <v>Wă Xiāng</v>
      </c>
      <c r="C567" t="str">
        <f>IF(COUNTIF(B:B,B567)&gt;1,_xlfn.CONCAT(A567," (",M567,")"),B567)</f>
        <v>Wă Xiāng</v>
      </c>
      <c r="D567" t="s">
        <v>318</v>
      </c>
      <c r="E567" t="s">
        <v>7</v>
      </c>
      <c r="F567" t="str">
        <f>_xlfn.CONCAT(D567,", ",H567,", ",I567,", ","西藏自治区")</f>
        <v>瓦乡, 八宿县, 昌都市, 西藏自治区</v>
      </c>
      <c r="G567">
        <v>651</v>
      </c>
      <c r="H567" t="s">
        <v>1416</v>
      </c>
      <c r="I567" t="s">
        <v>1415</v>
      </c>
      <c r="J567" t="e">
        <f>VLOOKUP(F567,[1]!china_towns_second__2[[Column1]:[Y]],3,FALSE)</f>
        <v>#N/A</v>
      </c>
      <c r="K567" t="e">
        <f>VLOOKUP(F567,[1]!china_towns_second__2[[Column1]:[Y]],2,FALSE)</f>
        <v>#N/A</v>
      </c>
      <c r="L567" t="s">
        <v>2225</v>
      </c>
      <c r="M567" t="str">
        <f>VLOOKUP(H567,CHOOSE({1,2},Table8[Native],Table8[Name]),2,0)</f>
        <v>Bāsù Xiàn</v>
      </c>
      <c r="N567" s="13" t="str">
        <f>VLOOKUP(I567,CHOOSE({1,2},Table8[Native],Table8[Name]),2,0)</f>
        <v>Chāngdū Shì</v>
      </c>
      <c r="O567" s="13" t="str">
        <f t="shared" si="16"/>
        <v>Wa Xiang (Chāngdū Shì)</v>
      </c>
      <c r="P567" s="13" t="str">
        <f t="shared" si="17"/>
        <v>Wa Xiang (Chāngdū Shì)</v>
      </c>
    </row>
    <row r="568" spans="1:16" hidden="1" x14ac:dyDescent="0.25">
      <c r="A568" t="s">
        <v>311</v>
      </c>
      <c r="B568" t="str">
        <f>IF(COUNTIF(A:A,A568)&gt;1,_xlfn.CONCAT(A568," (",N568,")"),A568)</f>
        <v>Wāngbùdĭng Xiāng</v>
      </c>
      <c r="C568" t="str">
        <f>IF(COUNTIF(B:B,B568)&gt;1,_xlfn.CONCAT(A568," (",M568,")"),B568)</f>
        <v>Wāngbùdĭng Xiāng</v>
      </c>
      <c r="D568" t="s">
        <v>312</v>
      </c>
      <c r="E568" t="s">
        <v>7</v>
      </c>
      <c r="F568" t="str">
        <f>_xlfn.CONCAT(D568,", ",H568,", ",I568,", ","西藏自治区")</f>
        <v>汪布顶乡, 江达县, 昌都市, 西藏自治区</v>
      </c>
      <c r="G568">
        <v>8670</v>
      </c>
      <c r="H568" t="s">
        <v>1421</v>
      </c>
      <c r="I568" t="s">
        <v>1415</v>
      </c>
      <c r="J568" t="e">
        <f>VLOOKUP(F568,[1]!china_towns_second__2[[Column1]:[Y]],3,FALSE)</f>
        <v>#N/A</v>
      </c>
      <c r="K568" t="e">
        <f>VLOOKUP(F568,[1]!china_towns_second__2[[Column1]:[Y]],2,FALSE)</f>
        <v>#N/A</v>
      </c>
      <c r="L568" t="s">
        <v>2226</v>
      </c>
      <c r="M568" t="str">
        <f>VLOOKUP(H568,CHOOSE({1,2},Table8[Native],Table8[Name]),2,0)</f>
        <v>Jiāngdá Xiàn</v>
      </c>
      <c r="N568" s="13" t="str">
        <f>VLOOKUP(I568,CHOOSE({1,2},Table8[Native],Table8[Name]),2,0)</f>
        <v>Chāngdū Shì</v>
      </c>
      <c r="O568" s="13" t="str">
        <f t="shared" si="16"/>
        <v>Wangbuding Xiang (Chāngdū Shì)</v>
      </c>
      <c r="P568" s="13" t="str">
        <f t="shared" si="17"/>
        <v>Wangbuding Xiang (Chāngdū Shì)</v>
      </c>
    </row>
    <row r="569" spans="1:16" x14ac:dyDescent="0.25">
      <c r="A569" t="s">
        <v>313</v>
      </c>
      <c r="B569" t="str">
        <f>IF(COUNTIF(A:A,A569)&gt;1,_xlfn.CONCAT(A569," (",N569,")"),A569)</f>
        <v>Wàngdá Zhèn</v>
      </c>
      <c r="C569" t="str">
        <f>IF(COUNTIF(B:B,B569)&gt;1,_xlfn.CONCAT(A569," (",M569,")"),B569)</f>
        <v>Wàngdá Zhèn</v>
      </c>
      <c r="D569" t="s">
        <v>314</v>
      </c>
      <c r="E569" t="s">
        <v>17</v>
      </c>
      <c r="F569" t="str">
        <f>_xlfn.CONCAT(D569,", ",H569,", ",I569,", ","西藏自治区")</f>
        <v>旺达镇, 左贡县, 昌都市, 西藏自治区</v>
      </c>
      <c r="G569">
        <v>9130</v>
      </c>
      <c r="H569" t="s">
        <v>1427</v>
      </c>
      <c r="I569" t="s">
        <v>1415</v>
      </c>
      <c r="J569">
        <f>VLOOKUP(F569,[1]!china_towns_second__2[[Column1]:[Y]],3,FALSE)</f>
        <v>29.622577211841701</v>
      </c>
      <c r="K569">
        <f>VLOOKUP(F569,[1]!china_towns_second__2[[Column1]:[Y]],2,FALSE)</f>
        <v>97.854863679999994</v>
      </c>
      <c r="L569" t="s">
        <v>2227</v>
      </c>
      <c r="M569" t="str">
        <f>VLOOKUP(H569,CHOOSE({1,2},Table8[Native],Table8[Name]),2,0)</f>
        <v>Zuŏgòng Xiàn</v>
      </c>
      <c r="N569" s="13" t="str">
        <f>VLOOKUP(I569,CHOOSE({1,2},Table8[Native],Table8[Name]),2,0)</f>
        <v>Chāngdū Shì</v>
      </c>
      <c r="O569" s="13" t="str">
        <f t="shared" si="16"/>
        <v>Wangda Zhen (Chāngdū Shì)</v>
      </c>
      <c r="P569" s="13" t="str">
        <f t="shared" si="17"/>
        <v>Wangda Zhen (Chāngdū Shì)</v>
      </c>
    </row>
    <row r="570" spans="1:16" hidden="1" x14ac:dyDescent="0.25">
      <c r="A570" t="s">
        <v>1192</v>
      </c>
      <c r="B570" t="str">
        <f>IF(COUNTIF(A:A,A570)&gt;1,_xlfn.CONCAT(A570," (",N570,")"),A570)</f>
        <v>Wàngdān Xiāng</v>
      </c>
      <c r="C570" t="str">
        <f>IF(COUNTIF(B:B,B570)&gt;1,_xlfn.CONCAT(A570," (",M570,")"),B570)</f>
        <v>Wàngdān Xiāng</v>
      </c>
      <c r="D570" t="s">
        <v>1193</v>
      </c>
      <c r="E570" t="s">
        <v>7</v>
      </c>
      <c r="F570" t="str">
        <f>_xlfn.CONCAT(D570,", ",H570,", ",I570,", ","西藏自治区")</f>
        <v>旺丹乡, 白朗县, 日喀则市, 西藏自治区</v>
      </c>
      <c r="G570">
        <v>4036</v>
      </c>
      <c r="H570" t="s">
        <v>1460</v>
      </c>
      <c r="I570" t="s">
        <v>1458</v>
      </c>
      <c r="J570" t="e">
        <f>VLOOKUP(F570,[1]!china_towns_second__2[[Column1]:[Y]],3,FALSE)</f>
        <v>#N/A</v>
      </c>
      <c r="K570" t="e">
        <f>VLOOKUP(F570,[1]!china_towns_second__2[[Column1]:[Y]],2,FALSE)</f>
        <v>#N/A</v>
      </c>
      <c r="L570" t="s">
        <v>2228</v>
      </c>
      <c r="M570" t="str">
        <f>VLOOKUP(H570,CHOOSE({1,2},Table8[Native],Table8[Name]),2,0)</f>
        <v>Báilăng Xiàn</v>
      </c>
      <c r="N570" s="13" t="str">
        <f>VLOOKUP(I570,CHOOSE({1,2},Table8[Native],Table8[Name]),2,0)</f>
        <v>Rìkāzé Shì</v>
      </c>
      <c r="O570" s="13" t="str">
        <f t="shared" si="16"/>
        <v>Wangdan Xiang (Rìkāzé Shì)</v>
      </c>
      <c r="P570" s="13" t="str">
        <f t="shared" si="17"/>
        <v>Wangdan Xiang (Rìkāzé Shì)</v>
      </c>
    </row>
    <row r="571" spans="1:16" hidden="1" x14ac:dyDescent="0.25">
      <c r="A571" t="s">
        <v>315</v>
      </c>
      <c r="B571" t="str">
        <f>IF(COUNTIF(A:A,A571)&gt;1,_xlfn.CONCAT(A571," (",N571,")"),A571)</f>
        <v>Wángkă Xiāng</v>
      </c>
      <c r="C571" t="str">
        <f>IF(COUNTIF(B:B,B571)&gt;1,_xlfn.CONCAT(A571," (",M571,")"),B571)</f>
        <v>Wángkă Xiāng</v>
      </c>
      <c r="D571" t="s">
        <v>316</v>
      </c>
      <c r="E571" t="s">
        <v>7</v>
      </c>
      <c r="F571" t="str">
        <f>_xlfn.CONCAT(D571,", ",H571,", ",I571,", ","西藏自治区")</f>
        <v>王卡乡, 察雅县, 昌都市, 西藏自治区</v>
      </c>
      <c r="G571">
        <v>4709</v>
      </c>
      <c r="H571" t="s">
        <v>1418</v>
      </c>
      <c r="I571" t="s">
        <v>1415</v>
      </c>
      <c r="J571" t="e">
        <f>VLOOKUP(F571,[1]!china_towns_second__2[[Column1]:[Y]],3,FALSE)</f>
        <v>#N/A</v>
      </c>
      <c r="K571" t="e">
        <f>VLOOKUP(F571,[1]!china_towns_second__2[[Column1]:[Y]],2,FALSE)</f>
        <v>#N/A</v>
      </c>
      <c r="L571" t="s">
        <v>2229</v>
      </c>
      <c r="M571" t="str">
        <f>VLOOKUP(H571,CHOOSE({1,2},Table8[Native],Table8[Name]),2,0)</f>
        <v>Cháyă Xiàn</v>
      </c>
      <c r="N571" s="13" t="str">
        <f>VLOOKUP(I571,CHOOSE({1,2},Table8[Native],Table8[Name]),2,0)</f>
        <v>Chāngdū Shì</v>
      </c>
      <c r="O571" s="13" t="str">
        <f t="shared" si="16"/>
        <v>Wangka Xiang (Chāngdū Shì)</v>
      </c>
      <c r="P571" s="13" t="str">
        <f t="shared" si="17"/>
        <v>Wangka Xiang (Chāngdū Shì)</v>
      </c>
    </row>
    <row r="572" spans="1:16" hidden="1" x14ac:dyDescent="0.25">
      <c r="A572" t="s">
        <v>789</v>
      </c>
      <c r="B572" t="str">
        <f>IF(COUNTIF(A:A,A572)&gt;1,_xlfn.CONCAT(A572," (",N572,")"),A572)</f>
        <v>Wénbù Xiāng</v>
      </c>
      <c r="C572" t="str">
        <f>IF(COUNTIF(B:B,B572)&gt;1,_xlfn.CONCAT(A572," (",M572,")"),B572)</f>
        <v>Wénbù Xiāng</v>
      </c>
      <c r="D572" t="s">
        <v>790</v>
      </c>
      <c r="E572" t="s">
        <v>7</v>
      </c>
      <c r="F572" t="str">
        <f>_xlfn.CONCAT(D572,", ",H572,", ",I572,", ","西藏自治区")</f>
        <v>文部乡, 尼玛县, 那曲市, 西藏自治区</v>
      </c>
      <c r="G572">
        <v>1850</v>
      </c>
      <c r="H572" t="s">
        <v>1452</v>
      </c>
      <c r="I572" t="s">
        <v>1445</v>
      </c>
      <c r="J572" t="e">
        <f>VLOOKUP(F572,[1]!china_towns_second__2[[Column1]:[Y]],3,FALSE)</f>
        <v>#N/A</v>
      </c>
      <c r="K572" t="e">
        <f>VLOOKUP(F572,[1]!china_towns_second__2[[Column1]:[Y]],2,FALSE)</f>
        <v>#N/A</v>
      </c>
      <c r="L572" t="s">
        <v>2230</v>
      </c>
      <c r="M572" t="str">
        <f>VLOOKUP(H572,CHOOSE({1,2},Table8[Native],Table8[Name]),2,0)</f>
        <v>Nímă Xiàn</v>
      </c>
      <c r="N572" s="13" t="str">
        <f>VLOOKUP(I572,CHOOSE({1,2},Table8[Native],Table8[Name]),2,0)</f>
        <v>Nàqŭ Shì</v>
      </c>
      <c r="O572" s="13" t="str">
        <f t="shared" si="16"/>
        <v>Wenbu Xiang (Nàqŭ Shì)</v>
      </c>
      <c r="P572" s="13" t="str">
        <f t="shared" si="17"/>
        <v>Wenbu Xiang (Nàqŭ Shì)</v>
      </c>
    </row>
    <row r="573" spans="1:16" hidden="1" x14ac:dyDescent="0.25">
      <c r="A573" t="s">
        <v>68</v>
      </c>
      <c r="B573" t="str">
        <f>IF(COUNTIF(A:A,A573)&gt;1,_xlfn.CONCAT(A573," (",N573,")"),A573)</f>
        <v>Wénbùdāngsāng Xiāng</v>
      </c>
      <c r="C573" t="str">
        <f>IF(COUNTIF(B:B,B573)&gt;1,_xlfn.CONCAT(A573," (",M573,")"),B573)</f>
        <v>Wénbùdāngsāng Xiāng</v>
      </c>
      <c r="D573" t="s">
        <v>69</v>
      </c>
      <c r="E573" t="s">
        <v>7</v>
      </c>
      <c r="F573" t="str">
        <f>_xlfn.CONCAT(D573,", ",H573,", ",I573,", ","西藏自治区")</f>
        <v>文布当桑乡, 革吉县, 阿里地区, 西藏自治区</v>
      </c>
      <c r="G573">
        <v>1926</v>
      </c>
      <c r="H573" t="s">
        <v>1410</v>
      </c>
      <c r="I573" t="s">
        <v>1405</v>
      </c>
      <c r="J573" t="e">
        <f>VLOOKUP(F573,[1]!china_towns_second__2[[Column1]:[Y]],3,FALSE)</f>
        <v>#N/A</v>
      </c>
      <c r="K573" t="e">
        <f>VLOOKUP(F573,[1]!china_towns_second__2[[Column1]:[Y]],2,FALSE)</f>
        <v>#N/A</v>
      </c>
      <c r="L573" t="s">
        <v>2231</v>
      </c>
      <c r="M573" t="str">
        <f>VLOOKUP(H573,CHOOSE({1,2},Table8[Native],Table8[Name]),2,0)</f>
        <v>Géjí Xiàn</v>
      </c>
      <c r="N573" s="13" t="str">
        <f>VLOOKUP(I573,CHOOSE({1,2},Table8[Native],Table8[Name]),2,0)</f>
        <v>Ālĭ Dìqū</v>
      </c>
      <c r="O573" s="13" t="str">
        <f t="shared" si="16"/>
        <v>Wenbudangsang Xiang (Ālĭ Dìqū)</v>
      </c>
      <c r="P573" s="13" t="str">
        <f t="shared" si="17"/>
        <v>Wenbudangsang Xiang (Ālĭ Dìqū)</v>
      </c>
    </row>
    <row r="574" spans="1:16" x14ac:dyDescent="0.25">
      <c r="A574" t="s">
        <v>591</v>
      </c>
      <c r="B574" t="str">
        <f>IF(COUNTIF(A:A,A574)&gt;1,_xlfn.CONCAT(A574," (",N574,")"),A574)</f>
        <v>Wòlóng Zhèn</v>
      </c>
      <c r="C574" t="str">
        <f>IF(COUNTIF(B:B,B574)&gt;1,_xlfn.CONCAT(A574," (",M574,")"),B574)</f>
        <v>Wòlóng Zhèn</v>
      </c>
      <c r="D574" t="s">
        <v>592</v>
      </c>
      <c r="E574" t="s">
        <v>17</v>
      </c>
      <c r="F574" t="str">
        <f>_xlfn.CONCAT(D574,", ",H574,", ",I574,", ","西藏自治区")</f>
        <v>卧龙镇, 米林县, 林芝市, 西藏自治区</v>
      </c>
      <c r="G574">
        <v>4158</v>
      </c>
      <c r="H574" t="s">
        <v>1443</v>
      </c>
      <c r="I574" t="s">
        <v>1437</v>
      </c>
      <c r="J574">
        <f>VLOOKUP(F574,[1]!china_towns_second__2[[Column1]:[Y]],3,FALSE)</f>
        <v>29.267411369136202</v>
      </c>
      <c r="K574">
        <f>VLOOKUP(F574,[1]!china_towns_second__2[[Column1]:[Y]],2,FALSE)</f>
        <v>93.472407390000001</v>
      </c>
      <c r="L574" t="s">
        <v>2232</v>
      </c>
      <c r="M574" t="str">
        <f>VLOOKUP(H574,CHOOSE({1,2},Table8[Native],Table8[Name]),2,0)</f>
        <v>Mĭlín Xiàn</v>
      </c>
      <c r="N574" s="13" t="str">
        <f>VLOOKUP(I574,CHOOSE({1,2},Table8[Native],Table8[Name]),2,0)</f>
        <v>Línzhī Shì</v>
      </c>
      <c r="O574" s="13" t="str">
        <f t="shared" si="16"/>
        <v>Wolong Zhen (Línzhī Shì)</v>
      </c>
      <c r="P574" s="13" t="str">
        <f t="shared" si="17"/>
        <v>Wolong Zhen (Línzhī Shì)</v>
      </c>
    </row>
    <row r="575" spans="1:16" hidden="1" x14ac:dyDescent="0.25">
      <c r="A575" t="s">
        <v>70</v>
      </c>
      <c r="B575" t="str">
        <f>IF(COUNTIF(A:A,A575)&gt;1,_xlfn.CONCAT(A575," (",N575,")"),A575)</f>
        <v>Wùmă Xiāng</v>
      </c>
      <c r="C575" t="str">
        <f>IF(COUNTIF(B:B,B575)&gt;1,_xlfn.CONCAT(A575," (",M575,")"),B575)</f>
        <v>Wùmă Xiāng</v>
      </c>
      <c r="D575" t="s">
        <v>71</v>
      </c>
      <c r="E575" t="s">
        <v>7</v>
      </c>
      <c r="F575" t="str">
        <f>_xlfn.CONCAT(D575,", ",H575,", ",I575,", ","西藏自治区")</f>
        <v>物玛乡, 改则县, 阿里地区, 西藏自治区</v>
      </c>
      <c r="G575">
        <v>2315</v>
      </c>
      <c r="H575" t="s">
        <v>1409</v>
      </c>
      <c r="I575" t="s">
        <v>1405</v>
      </c>
      <c r="J575" t="e">
        <f>VLOOKUP(F575,[1]!china_towns_second__2[[Column1]:[Y]],3,FALSE)</f>
        <v>#N/A</v>
      </c>
      <c r="K575" t="e">
        <f>VLOOKUP(F575,[1]!china_towns_second__2[[Column1]:[Y]],2,FALSE)</f>
        <v>#N/A</v>
      </c>
      <c r="L575" t="s">
        <v>2233</v>
      </c>
      <c r="M575" t="str">
        <f>VLOOKUP(H575,CHOOSE({1,2},Table8[Native],Table8[Name]),2,0)</f>
        <v>Găizé Xiàn</v>
      </c>
      <c r="N575" s="13" t="str">
        <f>VLOOKUP(I575,CHOOSE({1,2},Table8[Native],Table8[Name]),2,0)</f>
        <v>Ālĭ Dìqū</v>
      </c>
      <c r="O575" s="13" t="str">
        <f t="shared" si="16"/>
        <v>Wuma Xiang (Ālĭ Dìqū)</v>
      </c>
      <c r="P575" s="13" t="str">
        <f t="shared" si="17"/>
        <v>Wuma Xiang (Ālĭ Dìqū)</v>
      </c>
    </row>
    <row r="576" spans="1:16" hidden="1" x14ac:dyDescent="0.25">
      <c r="A576" t="s">
        <v>484</v>
      </c>
      <c r="B576" t="str">
        <f>IF(COUNTIF(A:A,A576)&gt;1,_xlfn.CONCAT(A576," (",N576,")"),A576)</f>
        <v>Wūmătáng Xiāng</v>
      </c>
      <c r="C576" t="str">
        <f>IF(COUNTIF(B:B,B576)&gt;1,_xlfn.CONCAT(A576," (",M576,")"),B576)</f>
        <v>Wūmătáng Xiāng</v>
      </c>
      <c r="D576" t="s">
        <v>485</v>
      </c>
      <c r="E576" t="s">
        <v>7</v>
      </c>
      <c r="F576" t="str">
        <f>_xlfn.CONCAT(D576,", ",H576,", ",I576,", ","西藏自治区")</f>
        <v>乌玛塘乡, 当雄县, 拉萨市, 西藏自治区</v>
      </c>
      <c r="G576">
        <v>7403</v>
      </c>
      <c r="H576" t="s">
        <v>1430</v>
      </c>
      <c r="I576" t="s">
        <v>1428</v>
      </c>
      <c r="J576" t="e">
        <f>VLOOKUP(F576,[1]!china_towns_second__2[[Column1]:[Y]],3,FALSE)</f>
        <v>#N/A</v>
      </c>
      <c r="K576" t="e">
        <f>VLOOKUP(F576,[1]!china_towns_second__2[[Column1]:[Y]],2,FALSE)</f>
        <v>#N/A</v>
      </c>
      <c r="L576" t="s">
        <v>2234</v>
      </c>
      <c r="M576" t="str">
        <f>VLOOKUP(H576,CHOOSE({1,2},Table8[Native],Table8[Name]),2,0)</f>
        <v>Dāngxióng Xiàn</v>
      </c>
      <c r="N576" s="13" t="str">
        <f>VLOOKUP(I576,CHOOSE({1,2},Table8[Native],Table8[Name]),2,0)</f>
        <v>Lāsà Shì</v>
      </c>
      <c r="O576" s="13" t="str">
        <f t="shared" si="16"/>
        <v>Wumatang Xiang (Lāsà Shì)</v>
      </c>
      <c r="P576" s="13" t="str">
        <f t="shared" si="17"/>
        <v>Wumatang Xiang (Lāsà Shì)</v>
      </c>
    </row>
    <row r="577" spans="1:16" x14ac:dyDescent="0.25">
      <c r="A577" t="s">
        <v>593</v>
      </c>
      <c r="B577" t="str">
        <f>IF(COUNTIF(A:A,A577)&gt;1,_xlfn.CONCAT(A577," (",N577,")"),A577)</f>
        <v>Xiàcháyú Zhèn</v>
      </c>
      <c r="C577" t="str">
        <f>IF(COUNTIF(B:B,B577)&gt;1,_xlfn.CONCAT(A577," (",M577,")"),B577)</f>
        <v>Xiàcháyú Zhèn</v>
      </c>
      <c r="D577" t="s">
        <v>594</v>
      </c>
      <c r="E577" t="s">
        <v>17</v>
      </c>
      <c r="F577" t="str">
        <f>_xlfn.CONCAT(D577,", ",H577,", ",I577,", ","西藏自治区")</f>
        <v>下察隅镇, 察隅县, 林芝市, 西藏自治区</v>
      </c>
      <c r="G577">
        <v>5186</v>
      </c>
      <c r="H577" t="s">
        <v>1440</v>
      </c>
      <c r="I577" t="s">
        <v>1437</v>
      </c>
      <c r="J577">
        <f>VLOOKUP(F577,[1]!china_towns_second__2[[Column1]:[Y]],3,FALSE)</f>
        <v>28.1907345479373</v>
      </c>
      <c r="K577">
        <f>VLOOKUP(F577,[1]!china_towns_second__2[[Column1]:[Y]],2,FALSE)</f>
        <v>96.983630989999995</v>
      </c>
      <c r="L577" t="s">
        <v>2235</v>
      </c>
      <c r="M577" t="str">
        <f>VLOOKUP(H577,CHOOSE({1,2},Table8[Native],Table8[Name]),2,0)</f>
        <v>Cháyú Xiàn</v>
      </c>
      <c r="N577" s="13" t="str">
        <f>VLOOKUP(I577,CHOOSE({1,2},Table8[Native],Table8[Name]),2,0)</f>
        <v>Línzhī Shì</v>
      </c>
      <c r="O577" s="13" t="str">
        <f t="shared" si="16"/>
        <v>Xiachayu Zhen (Línzhī Shì)</v>
      </c>
      <c r="P577" s="13" t="str">
        <f t="shared" si="17"/>
        <v>Xiachayu Zhen (Línzhī Shì)</v>
      </c>
    </row>
    <row r="578" spans="1:16" hidden="1" x14ac:dyDescent="0.25">
      <c r="A578" t="s">
        <v>791</v>
      </c>
      <c r="B578" t="str">
        <f>IF(COUNTIF(A:A,A578)&gt;1,_xlfn.CONCAT(A578," (",N578,")"),A578)</f>
        <v>Xiàguò Xiāng</v>
      </c>
      <c r="C578" t="str">
        <f>IF(COUNTIF(B:B,B578)&gt;1,_xlfn.CONCAT(A578," (",M578,")"),B578)</f>
        <v>Xiàguò Xiāng</v>
      </c>
      <c r="D578" t="s">
        <v>792</v>
      </c>
      <c r="E578" t="s">
        <v>7</v>
      </c>
      <c r="F578" t="str">
        <f>_xlfn.CONCAT(D578,", ",H578,", ",I578,", ","西藏自治区")</f>
        <v>下过乡, 申扎县, 那曲市, 西藏自治区</v>
      </c>
      <c r="G578">
        <v>2330</v>
      </c>
      <c r="H578" t="s">
        <v>1455</v>
      </c>
      <c r="I578" t="s">
        <v>1445</v>
      </c>
      <c r="J578" t="e">
        <f>VLOOKUP(F578,[1]!china_towns_second__2[[Column1]:[Y]],3,FALSE)</f>
        <v>#N/A</v>
      </c>
      <c r="K578" t="e">
        <f>VLOOKUP(F578,[1]!china_towns_second__2[[Column1]:[Y]],2,FALSE)</f>
        <v>#N/A</v>
      </c>
      <c r="L578" t="s">
        <v>2236</v>
      </c>
      <c r="M578" t="str">
        <f>VLOOKUP(H578,CHOOSE({1,2},Table8[Native],Table8[Name]),2,0)</f>
        <v>Shēnzhā Xiàn</v>
      </c>
      <c r="N578" s="13" t="str">
        <f>VLOOKUP(I578,CHOOSE({1,2},Table8[Native],Table8[Name]),2,0)</f>
        <v>Nàqŭ Shì</v>
      </c>
      <c r="O578" s="13" t="str">
        <f t="shared" ref="O578:O641" si="18">_xlfn.CONCAT(L578," (",N578,")")</f>
        <v>Xiaguo Xiang (Nàqŭ Shì)</v>
      </c>
      <c r="P578" s="13" t="str">
        <f t="shared" ref="P578:P641" si="19">IF(COUNTIF(O:O,O578)&gt;1,_xlfn.CONCAT(L578," (",M578,")"),O578)</f>
        <v>Xiaguo Xiang (Nàqŭ Shì)</v>
      </c>
    </row>
    <row r="579" spans="1:16" hidden="1" x14ac:dyDescent="0.25">
      <c r="A579" t="s">
        <v>1378</v>
      </c>
      <c r="B579" t="str">
        <f>IF(COUNTIF(A:A,A579)&gt;1,_xlfn.CONCAT(A579," (",N579,")"),A579)</f>
        <v>Xiàjiāng Xiāng</v>
      </c>
      <c r="C579" t="str">
        <f>IF(COUNTIF(B:B,B579)&gt;1,_xlfn.CONCAT(A579," (",M579,")"),B579)</f>
        <v>Xiàjiāng Xiāng</v>
      </c>
      <c r="D579" t="s">
        <v>1379</v>
      </c>
      <c r="E579" t="s">
        <v>7</v>
      </c>
      <c r="F579" t="str">
        <f>_xlfn.CONCAT(D579,", ",H579,", ",I579,", ","西藏自治区")</f>
        <v>下江乡, 曲松县, 山南市, 西藏自治区</v>
      </c>
      <c r="G579">
        <v>1822</v>
      </c>
      <c r="H579" t="s">
        <v>1487</v>
      </c>
      <c r="I579" t="s">
        <v>1477</v>
      </c>
      <c r="J579" t="e">
        <f>VLOOKUP(F579,[1]!china_towns_second__2[[Column1]:[Y]],3,FALSE)</f>
        <v>#N/A</v>
      </c>
      <c r="K579" t="e">
        <f>VLOOKUP(F579,[1]!china_towns_second__2[[Column1]:[Y]],2,FALSE)</f>
        <v>#N/A</v>
      </c>
      <c r="L579" t="s">
        <v>2237</v>
      </c>
      <c r="M579" t="str">
        <f>VLOOKUP(H579,CHOOSE({1,2},Table8[Native],Table8[Name]),2,0)</f>
        <v>Qŭsōng Xiàn</v>
      </c>
      <c r="N579" s="13" t="str">
        <f>VLOOKUP(I579,CHOOSE({1,2},Table8[Native],Table8[Name]),2,0)</f>
        <v>Shānnán Shì</v>
      </c>
      <c r="O579" s="13" t="str">
        <f t="shared" si="18"/>
        <v>Xiajiang Xiang (Shānnán Shì)</v>
      </c>
      <c r="P579" s="13" t="str">
        <f t="shared" si="19"/>
        <v>Xiajiang Xiang (Shānnán Shì)</v>
      </c>
    </row>
    <row r="580" spans="1:16" hidden="1" x14ac:dyDescent="0.25">
      <c r="A580" t="s">
        <v>321</v>
      </c>
      <c r="B580" t="str">
        <f>IF(COUNTIF(A:A,A580)&gt;1,_xlfn.CONCAT(A580," (",N580,")"),A580)</f>
        <v>Xiàlĭ Xiāng</v>
      </c>
      <c r="C580" t="str">
        <f>IF(COUNTIF(B:B,B580)&gt;1,_xlfn.CONCAT(A580," (",M580,")"),B580)</f>
        <v>Xiàlĭ Xiāng</v>
      </c>
      <c r="D580" t="s">
        <v>322</v>
      </c>
      <c r="E580" t="s">
        <v>7</v>
      </c>
      <c r="F580" t="str">
        <f>_xlfn.CONCAT(D580,", ",H580,", ",I580,", ","西藏自治区")</f>
        <v>夏里乡, 八宿县, 昌都市, 西藏自治区</v>
      </c>
      <c r="G580">
        <v>941</v>
      </c>
      <c r="H580" t="s">
        <v>1416</v>
      </c>
      <c r="I580" t="s">
        <v>1415</v>
      </c>
      <c r="J580" t="e">
        <f>VLOOKUP(F580,[1]!china_towns_second__2[[Column1]:[Y]],3,FALSE)</f>
        <v>#N/A</v>
      </c>
      <c r="K580" t="e">
        <f>VLOOKUP(F580,[1]!china_towns_second__2[[Column1]:[Y]],2,FALSE)</f>
        <v>#N/A</v>
      </c>
      <c r="L580" t="s">
        <v>2238</v>
      </c>
      <c r="M580" t="str">
        <f>VLOOKUP(H580,CHOOSE({1,2},Table8[Native],Table8[Name]),2,0)</f>
        <v>Bāsù Xiàn</v>
      </c>
      <c r="N580" s="13" t="str">
        <f>VLOOKUP(I580,CHOOSE({1,2},Table8[Native],Table8[Name]),2,0)</f>
        <v>Chāngdū Shì</v>
      </c>
      <c r="O580" s="13" t="str">
        <f t="shared" si="18"/>
        <v>Xiali Xiang (Chāngdū Shì)</v>
      </c>
      <c r="P580" s="13" t="str">
        <f t="shared" si="19"/>
        <v>Xiali Xiang (Chāngdū Shì)</v>
      </c>
    </row>
    <row r="581" spans="1:16" hidden="1" x14ac:dyDescent="0.25">
      <c r="A581" t="s">
        <v>319</v>
      </c>
      <c r="B581" t="str">
        <f>IF(COUNTIF(A:A,A581)&gt;1,_xlfn.CONCAT(A581," (",N581,")"),A581)</f>
        <v>Xiàlínkă Xiāng</v>
      </c>
      <c r="C581" t="str">
        <f>IF(COUNTIF(B:B,B581)&gt;1,_xlfn.CONCAT(A581," (",M581,")"),B581)</f>
        <v>Xiàlínkă Xiāng</v>
      </c>
      <c r="D581" t="s">
        <v>320</v>
      </c>
      <c r="E581" t="s">
        <v>7</v>
      </c>
      <c r="F581" t="str">
        <f>_xlfn.CONCAT(D581,", ",H581,", ",I581,", ","西藏自治区")</f>
        <v>下林卡乡, 左贡县, 昌都市, 西藏自治区</v>
      </c>
      <c r="G581">
        <v>2661</v>
      </c>
      <c r="H581" t="s">
        <v>1427</v>
      </c>
      <c r="I581" t="s">
        <v>1415</v>
      </c>
      <c r="J581" t="e">
        <f>VLOOKUP(F581,[1]!china_towns_second__2[[Column1]:[Y]],3,FALSE)</f>
        <v>#N/A</v>
      </c>
      <c r="K581" t="e">
        <f>VLOOKUP(F581,[1]!china_towns_second__2[[Column1]:[Y]],2,FALSE)</f>
        <v>#N/A</v>
      </c>
      <c r="L581" t="s">
        <v>2239</v>
      </c>
      <c r="M581" t="str">
        <f>VLOOKUP(H581,CHOOSE({1,2},Table8[Native],Table8[Name]),2,0)</f>
        <v>Zuŏgòng Xiàn</v>
      </c>
      <c r="N581" s="13" t="str">
        <f>VLOOKUP(I581,CHOOSE({1,2},Table8[Native],Table8[Name]),2,0)</f>
        <v>Chāngdū Shì</v>
      </c>
      <c r="O581" s="13" t="str">
        <f t="shared" si="18"/>
        <v>Xialinka Xiang (Chāngdū Shì)</v>
      </c>
      <c r="P581" s="13" t="str">
        <f t="shared" si="19"/>
        <v>Xialinka Xiang (Chāngdū Shì)</v>
      </c>
    </row>
    <row r="582" spans="1:16" hidden="1" x14ac:dyDescent="0.25">
      <c r="A582" t="s">
        <v>793</v>
      </c>
      <c r="B582" t="str">
        <f>IF(COUNTIF(A:A,A582)&gt;1,_xlfn.CONCAT(A582," (",N582,")"),A582)</f>
        <v>Xiàmă Xiāng</v>
      </c>
      <c r="C582" t="str">
        <f>IF(COUNTIF(B:B,B582)&gt;1,_xlfn.CONCAT(A582," (",M582,")"),B582)</f>
        <v>Xiàmă Xiāng</v>
      </c>
      <c r="D582" t="s">
        <v>794</v>
      </c>
      <c r="E582" t="s">
        <v>7</v>
      </c>
      <c r="F582" t="str">
        <f>_xlfn.CONCAT(D582,", ",H582,", ",I582,", ","西藏自治区")</f>
        <v>夏玛乡, 嘉黎县, 那曲市, 西藏自治区</v>
      </c>
      <c r="G582">
        <v>4178</v>
      </c>
      <c r="H582" t="s">
        <v>1450</v>
      </c>
      <c r="I582" t="s">
        <v>1445</v>
      </c>
      <c r="J582" t="e">
        <f>VLOOKUP(F582,[1]!china_towns_second__2[[Column1]:[Y]],3,FALSE)</f>
        <v>#N/A</v>
      </c>
      <c r="K582" t="e">
        <f>VLOOKUP(F582,[1]!china_towns_second__2[[Column1]:[Y]],2,FALSE)</f>
        <v>#N/A</v>
      </c>
      <c r="L582" t="s">
        <v>2240</v>
      </c>
      <c r="M582" t="str">
        <f>VLOOKUP(H582,CHOOSE({1,2},Table8[Native],Table8[Name]),2,0)</f>
        <v>Jiālí Xiàn</v>
      </c>
      <c r="N582" s="13" t="str">
        <f>VLOOKUP(I582,CHOOSE({1,2},Table8[Native],Table8[Name]),2,0)</f>
        <v>Nàqŭ Shì</v>
      </c>
      <c r="O582" s="13" t="str">
        <f t="shared" si="18"/>
        <v>Xiama Xiang (Nàqŭ Shì)</v>
      </c>
      <c r="P582" s="13" t="str">
        <f t="shared" si="19"/>
        <v>Xiama Xiang (Nàqŭ Shì)</v>
      </c>
    </row>
    <row r="583" spans="1:16" x14ac:dyDescent="0.25">
      <c r="A583" t="s">
        <v>323</v>
      </c>
      <c r="B583" t="str">
        <f>IF(COUNTIF(A:A,A583)&gt;1,_xlfn.CONCAT(A583," (",N583,")"),A583)</f>
        <v>Xiāngduī Zhèn</v>
      </c>
      <c r="C583" t="str">
        <f>IF(COUNTIF(B:B,B583)&gt;1,_xlfn.CONCAT(A583," (",M583,")"),B583)</f>
        <v>Xiāngduī Zhèn</v>
      </c>
      <c r="D583" t="s">
        <v>324</v>
      </c>
      <c r="E583" t="s">
        <v>17</v>
      </c>
      <c r="F583" t="str">
        <f>_xlfn.CONCAT(D583,", ",H583,", ",I583,", ","西藏自治区")</f>
        <v>香堆镇, 察雅县, 昌都市, 西藏自治区</v>
      </c>
      <c r="G583">
        <v>8302</v>
      </c>
      <c r="H583" t="s">
        <v>1418</v>
      </c>
      <c r="I583" t="s">
        <v>1415</v>
      </c>
      <c r="J583">
        <f>VLOOKUP(F583,[1]!china_towns_second__2[[Column1]:[Y]],3,FALSE)</f>
        <v>30.5737594794061</v>
      </c>
      <c r="K583">
        <f>VLOOKUP(F583,[1]!china_towns_second__2[[Column1]:[Y]],2,FALSE)</f>
        <v>98.022328959999996</v>
      </c>
      <c r="L583" t="s">
        <v>2241</v>
      </c>
      <c r="M583" t="str">
        <f>VLOOKUP(H583,CHOOSE({1,2},Table8[Native],Table8[Name]),2,0)</f>
        <v>Cháyă Xiàn</v>
      </c>
      <c r="N583" s="13" t="str">
        <f>VLOOKUP(I583,CHOOSE({1,2},Table8[Native],Table8[Name]),2,0)</f>
        <v>Chāngdū Shì</v>
      </c>
      <c r="O583" s="13" t="str">
        <f t="shared" si="18"/>
        <v>Xiangdui Zhen (Chāngdū Shì)</v>
      </c>
      <c r="P583" s="13" t="str">
        <f t="shared" si="19"/>
        <v>Xiangdui Zhen (Chāngdū Shì)</v>
      </c>
    </row>
    <row r="584" spans="1:16" hidden="1" x14ac:dyDescent="0.25">
      <c r="A584" t="s">
        <v>795</v>
      </c>
      <c r="B584" t="str">
        <f>IF(COUNTIF(A:A,A584)&gt;1,_xlfn.CONCAT(A584," (",N584,")"),A584)</f>
        <v>Xiāngmào Xiāng</v>
      </c>
      <c r="C584" t="str">
        <f>IF(COUNTIF(B:B,B584)&gt;1,_xlfn.CONCAT(A584," (",M584,")"),B584)</f>
        <v>Xiāngmào Xiāng</v>
      </c>
      <c r="D584" t="s">
        <v>796</v>
      </c>
      <c r="E584" t="s">
        <v>7</v>
      </c>
      <c r="F584" t="str">
        <f>_xlfn.CONCAT(D584,", ",H584,", ",I584,", ","西藏自治区")</f>
        <v>香茂乡, 色尼区, 那曲市, 西藏自治区</v>
      </c>
      <c r="G584">
        <v>6402</v>
      </c>
      <c r="H584" t="s">
        <v>1454</v>
      </c>
      <c r="I584" t="s">
        <v>1445</v>
      </c>
      <c r="J584" t="e">
        <f>VLOOKUP(F584,[1]!china_towns_second__2[[Column1]:[Y]],3,FALSE)</f>
        <v>#N/A</v>
      </c>
      <c r="K584" t="e">
        <f>VLOOKUP(F584,[1]!china_towns_second__2[[Column1]:[Y]],2,FALSE)</f>
        <v>#N/A</v>
      </c>
      <c r="L584" t="s">
        <v>2242</v>
      </c>
      <c r="M584" t="str">
        <f>VLOOKUP(H584,CHOOSE({1,2},Table8[Native],Table8[Name]),2,0)</f>
        <v>Sèní Qū</v>
      </c>
      <c r="N584" s="13" t="str">
        <f>VLOOKUP(I584,CHOOSE({1,2},Table8[Native],Table8[Name]),2,0)</f>
        <v>Nàqŭ Shì</v>
      </c>
      <c r="O584" s="13" t="str">
        <f t="shared" si="18"/>
        <v>Xiangmao Xiang (Nàqŭ Shì)</v>
      </c>
      <c r="P584" s="13" t="str">
        <f t="shared" si="19"/>
        <v>Xiangmao Xiang (Nàqŭ Shì)</v>
      </c>
    </row>
    <row r="585" spans="1:16" hidden="1" x14ac:dyDescent="0.25">
      <c r="A585" t="s">
        <v>325</v>
      </c>
      <c r="B585" t="str">
        <f>IF(COUNTIF(A:A,A585)&gt;1,_xlfn.CONCAT(A585," (",N585,")"),A585)</f>
        <v>Xiāngpí Xiāng</v>
      </c>
      <c r="C585" t="str">
        <f>IF(COUNTIF(B:B,B585)&gt;1,_xlfn.CONCAT(A585," (",M585,")"),B585)</f>
        <v>Xiāngpí Xiāng</v>
      </c>
      <c r="D585" t="s">
        <v>326</v>
      </c>
      <c r="E585" t="s">
        <v>7</v>
      </c>
      <c r="F585" t="str">
        <f>_xlfn.CONCAT(D585,", ",H585,", ",I585,", ","西藏自治区")</f>
        <v>相皮乡, 贡觉县, 昌都市, 西藏自治区</v>
      </c>
      <c r="G585">
        <v>7257</v>
      </c>
      <c r="H585" t="s">
        <v>1420</v>
      </c>
      <c r="I585" t="s">
        <v>1415</v>
      </c>
      <c r="J585" t="e">
        <f>VLOOKUP(F585,[1]!china_towns_second__2[[Column1]:[Y]],3,FALSE)</f>
        <v>#N/A</v>
      </c>
      <c r="K585" t="e">
        <f>VLOOKUP(F585,[1]!china_towns_second__2[[Column1]:[Y]],2,FALSE)</f>
        <v>#N/A</v>
      </c>
      <c r="L585" t="s">
        <v>2243</v>
      </c>
      <c r="M585" t="str">
        <f>VLOOKUP(H585,CHOOSE({1,2},Table8[Native],Table8[Name]),2,0)</f>
        <v>Gòngjué Xiàn</v>
      </c>
      <c r="N585" s="13" t="str">
        <f>VLOOKUP(I585,CHOOSE({1,2},Table8[Native],Table8[Name]),2,0)</f>
        <v>Chāngdū Shì</v>
      </c>
      <c r="O585" s="13" t="str">
        <f t="shared" si="18"/>
        <v>Xiangpi Xiang (Chāngdū Shì)</v>
      </c>
      <c r="P585" s="13" t="str">
        <f t="shared" si="19"/>
        <v>Xiangpi Xiang (Chāngdū Shì)</v>
      </c>
    </row>
    <row r="586" spans="1:16" hidden="1" x14ac:dyDescent="0.25">
      <c r="A586" t="s">
        <v>797</v>
      </c>
      <c r="B586" t="str">
        <f>IF(COUNTIF(A:A,A586)&gt;1,_xlfn.CONCAT(A586," (",N586,")"),A586)</f>
        <v>Xiāngqŭ Xiāng</v>
      </c>
      <c r="C586" t="str">
        <f>IF(COUNTIF(B:B,B586)&gt;1,_xlfn.CONCAT(A586," (",M586,")"),B586)</f>
        <v>Xiāngqŭ Xiāng</v>
      </c>
      <c r="D586" t="s">
        <v>798</v>
      </c>
      <c r="E586" t="s">
        <v>7</v>
      </c>
      <c r="F586" t="str">
        <f>_xlfn.CONCAT(D586,", ",H586,", ",I586,", ","西藏自治区")</f>
        <v>香曲乡, 比如县, 那曲市, 西藏自治区</v>
      </c>
      <c r="G586">
        <v>5144</v>
      </c>
      <c r="H586" t="s">
        <v>1449</v>
      </c>
      <c r="I586" t="s">
        <v>1445</v>
      </c>
      <c r="J586" t="e">
        <f>VLOOKUP(F586,[1]!china_towns_second__2[[Column1]:[Y]],3,FALSE)</f>
        <v>#N/A</v>
      </c>
      <c r="K586" t="e">
        <f>VLOOKUP(F586,[1]!china_towns_second__2[[Column1]:[Y]],2,FALSE)</f>
        <v>#N/A</v>
      </c>
      <c r="L586" t="s">
        <v>2244</v>
      </c>
      <c r="M586" t="str">
        <f>VLOOKUP(H586,CHOOSE({1,2},Table8[Native],Table8[Name]),2,0)</f>
        <v>Bĭrú Xiàn</v>
      </c>
      <c r="N586" s="13" t="str">
        <f>VLOOKUP(I586,CHOOSE({1,2},Table8[Native],Table8[Name]),2,0)</f>
        <v>Nàqŭ Shì</v>
      </c>
      <c r="O586" s="13" t="str">
        <f t="shared" si="18"/>
        <v>Xiangqu Xiang (Nàqŭ Shì)</v>
      </c>
      <c r="P586" s="13" t="str">
        <f t="shared" si="19"/>
        <v>Xiangqu Xiang (Nàqŭ Shì)</v>
      </c>
    </row>
    <row r="587" spans="1:16" hidden="1" x14ac:dyDescent="0.25">
      <c r="A587" t="s">
        <v>72</v>
      </c>
      <c r="B587" t="str">
        <f>IF(COUNTIF(A:A,A587)&gt;1,_xlfn.CONCAT(A587," (",N587,")"),A587)</f>
        <v>Xiāngzī Xiāng</v>
      </c>
      <c r="C587" t="str">
        <f>IF(COUNTIF(B:B,B587)&gt;1,_xlfn.CONCAT(A587," (",M587,")"),B587)</f>
        <v>Xiāngzī Xiāng</v>
      </c>
      <c r="D587" t="s">
        <v>73</v>
      </c>
      <c r="E587" t="s">
        <v>7</v>
      </c>
      <c r="F587" t="str">
        <f>_xlfn.CONCAT(D587,", ",H587,", ",I587,", ","西藏自治区")</f>
        <v>香孜乡, 札达县, 阿里地区, 西藏自治区</v>
      </c>
      <c r="G587">
        <v>1248</v>
      </c>
      <c r="H587" t="s">
        <v>1413</v>
      </c>
      <c r="I587" t="s">
        <v>1405</v>
      </c>
      <c r="J587" t="e">
        <f>VLOOKUP(F587,[1]!china_towns_second__2[[Column1]:[Y]],3,FALSE)</f>
        <v>#N/A</v>
      </c>
      <c r="K587" t="e">
        <f>VLOOKUP(F587,[1]!china_towns_second__2[[Column1]:[Y]],2,FALSE)</f>
        <v>#N/A</v>
      </c>
      <c r="L587" t="s">
        <v>2245</v>
      </c>
      <c r="M587" t="str">
        <f>VLOOKUP(H587,CHOOSE({1,2},Table8[Native],Table8[Name]),2,0)</f>
        <v>Zhádá Xiàn</v>
      </c>
      <c r="N587" s="13" t="str">
        <f>VLOOKUP(I587,CHOOSE({1,2},Table8[Native],Table8[Name]),2,0)</f>
        <v>Ālĭ Dìqū</v>
      </c>
      <c r="O587" s="13" t="str">
        <f t="shared" si="18"/>
        <v>Xiangzi Xiang (Ālĭ Dìqū)</v>
      </c>
      <c r="P587" s="13" t="str">
        <f t="shared" si="19"/>
        <v>Xiangzi Xiang (Ālĭ Dìqū)</v>
      </c>
    </row>
    <row r="588" spans="1:16" hidden="1" x14ac:dyDescent="0.25">
      <c r="A588" t="s">
        <v>74</v>
      </c>
      <c r="B588" t="str">
        <f>IF(COUNTIF(A:A,A588)&gt;1,_xlfn.CONCAT(A588," (",N588,")"),A588)</f>
        <v>Xiānqiăn Xiāng</v>
      </c>
      <c r="C588" t="str">
        <f>IF(COUNTIF(B:B,B588)&gt;1,_xlfn.CONCAT(A588," (",M588,")"),B588)</f>
        <v>Xiānqiăn Xiāng</v>
      </c>
      <c r="D588" t="s">
        <v>75</v>
      </c>
      <c r="E588" t="s">
        <v>7</v>
      </c>
      <c r="F588" t="str">
        <f>_xlfn.CONCAT(D588,", ",H588,", ",I588,", ","西藏自治区")</f>
        <v>先遣乡, 改则县, 阿里地区, 西藏自治区</v>
      </c>
      <c r="G588">
        <v>1825</v>
      </c>
      <c r="H588" t="s">
        <v>1409</v>
      </c>
      <c r="I588" t="s">
        <v>1405</v>
      </c>
      <c r="J588" t="e">
        <f>VLOOKUP(F588,[1]!china_towns_second__2[[Column1]:[Y]],3,FALSE)</f>
        <v>#N/A</v>
      </c>
      <c r="K588" t="e">
        <f>VLOOKUP(F588,[1]!china_towns_second__2[[Column1]:[Y]],2,FALSE)</f>
        <v>#N/A</v>
      </c>
      <c r="L588" t="s">
        <v>2246</v>
      </c>
      <c r="M588" t="str">
        <f>VLOOKUP(H588,CHOOSE({1,2},Table8[Native],Table8[Name]),2,0)</f>
        <v>Găizé Xiàn</v>
      </c>
      <c r="N588" s="13" t="str">
        <f>VLOOKUP(I588,CHOOSE({1,2},Table8[Native],Table8[Name]),2,0)</f>
        <v>Ālĭ Dìqū</v>
      </c>
      <c r="O588" s="13" t="str">
        <f t="shared" si="18"/>
        <v>Xianqian Xiang (Ālĭ Dìqū)</v>
      </c>
      <c r="P588" s="13" t="str">
        <f t="shared" si="19"/>
        <v>Xianqian Xiang (Ālĭ Dìqū)</v>
      </c>
    </row>
    <row r="589" spans="1:16" hidden="1" x14ac:dyDescent="0.25">
      <c r="A589" t="s">
        <v>799</v>
      </c>
      <c r="B589" t="str">
        <f>IF(COUNTIF(A:A,A589)&gt;1,_xlfn.CONCAT(A589," (",N589,")"),A589)</f>
        <v>Xiàqŭ Xiāng</v>
      </c>
      <c r="C589" t="str">
        <f>IF(COUNTIF(B:B,B589)&gt;1,_xlfn.CONCAT(A589," (",M589,")"),B589)</f>
        <v>Xiàqŭ Xiāng</v>
      </c>
      <c r="D589" t="s">
        <v>800</v>
      </c>
      <c r="E589" t="s">
        <v>7</v>
      </c>
      <c r="F589" t="str">
        <f>_xlfn.CONCAT(D589,", ",H589,", ",I589,", ","西藏自治区")</f>
        <v>下曲乡, 聂荣县, 那曲市, 西藏自治区</v>
      </c>
      <c r="G589">
        <v>3383</v>
      </c>
      <c r="H589" t="s">
        <v>1451</v>
      </c>
      <c r="I589" t="s">
        <v>1445</v>
      </c>
      <c r="J589" t="e">
        <f>VLOOKUP(F589,[1]!china_towns_second__2[[Column1]:[Y]],3,FALSE)</f>
        <v>#N/A</v>
      </c>
      <c r="K589" t="e">
        <f>VLOOKUP(F589,[1]!china_towns_second__2[[Column1]:[Y]],2,FALSE)</f>
        <v>#N/A</v>
      </c>
      <c r="L589" t="s">
        <v>2247</v>
      </c>
      <c r="M589" t="str">
        <f>VLOOKUP(H589,CHOOSE({1,2},Table8[Native],Table8[Name]),2,0)</f>
        <v>Nièróng Xiàn</v>
      </c>
      <c r="N589" s="13" t="str">
        <f>VLOOKUP(I589,CHOOSE({1,2},Table8[Native],Table8[Name]),2,0)</f>
        <v>Nàqŭ Shì</v>
      </c>
      <c r="O589" s="13" t="str">
        <f t="shared" si="18"/>
        <v>Xiaqu Xiang (Nàqŭ Shì)</v>
      </c>
      <c r="P589" s="13" t="str">
        <f t="shared" si="19"/>
        <v>Xiaqu Xiang (Nàqŭ Shì)</v>
      </c>
    </row>
    <row r="590" spans="1:16" x14ac:dyDescent="0.25">
      <c r="A590" t="s">
        <v>801</v>
      </c>
      <c r="B590" t="str">
        <f>IF(COUNTIF(A:A,A590)&gt;1,_xlfn.CONCAT(A590," (",N590,")"),A590)</f>
        <v>Xiàqŭ Zhèn</v>
      </c>
      <c r="C590" t="str">
        <f>IF(COUNTIF(B:B,B590)&gt;1,_xlfn.CONCAT(A590," (",M590,")"),B590)</f>
        <v>Xiàqŭ Zhèn</v>
      </c>
      <c r="D590" t="s">
        <v>802</v>
      </c>
      <c r="E590" t="s">
        <v>17</v>
      </c>
      <c r="F590" t="str">
        <f>_xlfn.CONCAT(D590,", ",H590,", ",I590,", ","西藏自治区")</f>
        <v>夏曲镇, 比如县, 那曲市, 西藏自治区</v>
      </c>
      <c r="G590">
        <v>11478</v>
      </c>
      <c r="H590" t="s">
        <v>1449</v>
      </c>
      <c r="I590" t="s">
        <v>1445</v>
      </c>
      <c r="J590">
        <f>VLOOKUP(F590,[1]!china_towns_second__2[[Column1]:[Y]],3,FALSE)</f>
        <v>31.903194084102001</v>
      </c>
      <c r="K590">
        <f>VLOOKUP(F590,[1]!china_towns_second__2[[Column1]:[Y]],2,FALSE)</f>
        <v>92.980512669999996</v>
      </c>
      <c r="L590" t="s">
        <v>2248</v>
      </c>
      <c r="M590" t="str">
        <f>VLOOKUP(H590,CHOOSE({1,2},Table8[Native],Table8[Name]),2,0)</f>
        <v>Bĭrú Xiàn</v>
      </c>
      <c r="N590" s="13" t="str">
        <f>VLOOKUP(I590,CHOOSE({1,2},Table8[Native],Table8[Name]),2,0)</f>
        <v>Nàqŭ Shì</v>
      </c>
      <c r="O590" s="13" t="str">
        <f t="shared" si="18"/>
        <v>Xiaqu Zhen (Nàqŭ Shì)</v>
      </c>
      <c r="P590" s="13" t="str">
        <f t="shared" si="19"/>
        <v>Xiaqu Zhen (Nàqŭ Shì)</v>
      </c>
    </row>
    <row r="591" spans="1:16" hidden="1" x14ac:dyDescent="0.25">
      <c r="A591" t="s">
        <v>1194</v>
      </c>
      <c r="B591" t="str">
        <f>IF(COUNTIF(A:A,A591)&gt;1,_xlfn.CONCAT(A591," (",N591,")"),A591)</f>
        <v>Xiàrú Xiāng</v>
      </c>
      <c r="C591" t="str">
        <f>IF(COUNTIF(B:B,B591)&gt;1,_xlfn.CONCAT(A591," (",M591,")"),B591)</f>
        <v>Xiàrú Xiāng</v>
      </c>
      <c r="D591" t="s">
        <v>1195</v>
      </c>
      <c r="E591" t="s">
        <v>7</v>
      </c>
      <c r="F591" t="str">
        <f>_xlfn.CONCAT(D591,", ",H591,", ",I591,", ","西藏自治区")</f>
        <v>夏如乡, 萨嘎县, 日喀则市, 西藏自治区</v>
      </c>
      <c r="G591">
        <v>2490</v>
      </c>
      <c r="H591" t="s">
        <v>1471</v>
      </c>
      <c r="I591" t="s">
        <v>1458</v>
      </c>
      <c r="J591" t="e">
        <f>VLOOKUP(F591,[1]!china_towns_second__2[[Column1]:[Y]],3,FALSE)</f>
        <v>#N/A</v>
      </c>
      <c r="K591" t="e">
        <f>VLOOKUP(F591,[1]!china_towns_second__2[[Column1]:[Y]],2,FALSE)</f>
        <v>#N/A</v>
      </c>
      <c r="L591" t="s">
        <v>2249</v>
      </c>
      <c r="M591" t="str">
        <f>VLOOKUP(H591,CHOOSE({1,2},Table8[Native],Table8[Name]),2,0)</f>
        <v>Sàgā Xiàn</v>
      </c>
      <c r="N591" s="13" t="str">
        <f>VLOOKUP(I591,CHOOSE({1,2},Table8[Native],Table8[Name]),2,0)</f>
        <v>Rìkāzé Shì</v>
      </c>
      <c r="O591" s="13" t="str">
        <f t="shared" si="18"/>
        <v>Xiaru Xiang (Rìkāzé Shì)</v>
      </c>
      <c r="P591" s="13" t="str">
        <f t="shared" si="19"/>
        <v>Xiaru Xiang (Rìkāzé Shì)</v>
      </c>
    </row>
    <row r="592" spans="1:16" hidden="1" x14ac:dyDescent="0.25">
      <c r="A592" t="s">
        <v>1380</v>
      </c>
      <c r="B592" t="str">
        <f>IF(COUNTIF(A:A,A592)&gt;1,_xlfn.CONCAT(A592," (",N592,")"),A592)</f>
        <v>Xiàshuĭ Xiāng</v>
      </c>
      <c r="C592" t="str">
        <f>IF(COUNTIF(B:B,B592)&gt;1,_xlfn.CONCAT(A592," (",M592,")"),B592)</f>
        <v>Xiàshuĭ Xiāng</v>
      </c>
      <c r="D592" t="s">
        <v>1381</v>
      </c>
      <c r="E592" t="s">
        <v>7</v>
      </c>
      <c r="F592" t="str">
        <f>_xlfn.CONCAT(D592,", ",H592,", ",I592,", ","西藏自治区")</f>
        <v>下水乡, 琼结县, 山南市, 西藏自治区</v>
      </c>
      <c r="G592">
        <v>3158</v>
      </c>
      <c r="H592" t="s">
        <v>1486</v>
      </c>
      <c r="I592" t="s">
        <v>1477</v>
      </c>
      <c r="J592" t="e">
        <f>VLOOKUP(F592,[1]!china_towns_second__2[[Column1]:[Y]],3,FALSE)</f>
        <v>#N/A</v>
      </c>
      <c r="K592" t="e">
        <f>VLOOKUP(F592,[1]!china_towns_second__2[[Column1]:[Y]],2,FALSE)</f>
        <v>#N/A</v>
      </c>
      <c r="L592" t="s">
        <v>2250</v>
      </c>
      <c r="M592" t="str">
        <f>VLOOKUP(H592,CHOOSE({1,2},Table8[Native],Table8[Name]),2,0)</f>
        <v>Qióngjié Xiàn</v>
      </c>
      <c r="N592" s="13" t="str">
        <f>VLOOKUP(I592,CHOOSE({1,2},Table8[Native],Table8[Name]),2,0)</f>
        <v>Shānnán Shì</v>
      </c>
      <c r="O592" s="13" t="str">
        <f t="shared" si="18"/>
        <v>Xiashui Xiang (Shānnán Shì)</v>
      </c>
      <c r="P592" s="13" t="str">
        <f t="shared" si="19"/>
        <v>Xiashui Xiang (Shānnán Shì)</v>
      </c>
    </row>
    <row r="593" spans="1:16" x14ac:dyDescent="0.25">
      <c r="A593" t="s">
        <v>1196</v>
      </c>
      <c r="B593" t="str">
        <f>IF(COUNTIF(A:A,A593)&gt;1,_xlfn.CONCAT(A593," (",N593,")"),A593)</f>
        <v>Xiàsīmă Zhèn</v>
      </c>
      <c r="C593" t="str">
        <f>IF(COUNTIF(B:B,B593)&gt;1,_xlfn.CONCAT(A593," (",M593,")"),B593)</f>
        <v>Xiàsīmă Zhèn</v>
      </c>
      <c r="D593" t="s">
        <v>1197</v>
      </c>
      <c r="E593" t="s">
        <v>17</v>
      </c>
      <c r="F593" t="str">
        <f>_xlfn.CONCAT(D593,", ",H593,", ",I593,", ","西藏自治区")</f>
        <v>下司马镇, 亚东县, 日喀则市, 西藏自治区</v>
      </c>
      <c r="G593">
        <v>3341</v>
      </c>
      <c r="H593" t="s">
        <v>1475</v>
      </c>
      <c r="I593" t="s">
        <v>1458</v>
      </c>
      <c r="J593">
        <f>VLOOKUP(F593,[1]!china_towns_second__2[[Column1]:[Y]],3,FALSE)</f>
        <v>27.5323326087053</v>
      </c>
      <c r="K593">
        <f>VLOOKUP(F593,[1]!china_towns_second__2[[Column1]:[Y]],2,FALSE)</f>
        <v>88.854920410000005</v>
      </c>
      <c r="L593" t="s">
        <v>2251</v>
      </c>
      <c r="M593" t="str">
        <f>VLOOKUP(H593,CHOOSE({1,2},Table8[Native],Table8[Name]),2,0)</f>
        <v>Yàdōng Xiàn</v>
      </c>
      <c r="N593" s="13" t="str">
        <f>VLOOKUP(I593,CHOOSE({1,2},Table8[Native],Table8[Name]),2,0)</f>
        <v>Rìkāzé Shì</v>
      </c>
      <c r="O593" s="13" t="str">
        <f t="shared" si="18"/>
        <v>Xiasima Zhen (Rìkāzé Shì)</v>
      </c>
      <c r="P593" s="13" t="str">
        <f t="shared" si="19"/>
        <v>Xiasima Zhen (Rìkāzé Shì)</v>
      </c>
    </row>
    <row r="594" spans="1:16" hidden="1" x14ac:dyDescent="0.25">
      <c r="A594" t="s">
        <v>1198</v>
      </c>
      <c r="B594" t="str">
        <f>IF(COUNTIF(A:A,A594)&gt;1,_xlfn.CONCAT(A594," (",N594,")"),A594)</f>
        <v>Xiàyàdōng Xiāng</v>
      </c>
      <c r="C594" t="str">
        <f>IF(COUNTIF(B:B,B594)&gt;1,_xlfn.CONCAT(A594," (",M594,")"),B594)</f>
        <v>Xiàyàdōng Xiāng</v>
      </c>
      <c r="D594" t="s">
        <v>1199</v>
      </c>
      <c r="E594" t="s">
        <v>7</v>
      </c>
      <c r="F594" t="str">
        <f>_xlfn.CONCAT(D594,", ",H594,", ",I594,", ","西藏自治区")</f>
        <v>下亚东乡, 亚东县, 日喀则市, 西藏自治区</v>
      </c>
      <c r="G594">
        <v>1097</v>
      </c>
      <c r="H594" t="s">
        <v>1475</v>
      </c>
      <c r="I594" t="s">
        <v>1458</v>
      </c>
      <c r="J594" t="e">
        <f>VLOOKUP(F594,[1]!china_towns_second__2[[Column1]:[Y]],3,FALSE)</f>
        <v>#N/A</v>
      </c>
      <c r="K594" t="e">
        <f>VLOOKUP(F594,[1]!china_towns_second__2[[Column1]:[Y]],2,FALSE)</f>
        <v>#N/A</v>
      </c>
      <c r="L594" t="s">
        <v>2252</v>
      </c>
      <c r="M594" t="str">
        <f>VLOOKUP(H594,CHOOSE({1,2},Table8[Native],Table8[Name]),2,0)</f>
        <v>Yàdōng Xiàn</v>
      </c>
      <c r="N594" s="13" t="str">
        <f>VLOOKUP(I594,CHOOSE({1,2},Table8[Native],Table8[Name]),2,0)</f>
        <v>Rìkāzé Shì</v>
      </c>
      <c r="O594" s="13" t="str">
        <f t="shared" si="18"/>
        <v>Xiayadong Xiang (Rìkāzé Shì)</v>
      </c>
      <c r="P594" s="13" t="str">
        <f t="shared" si="19"/>
        <v>Xiayadong Xiang (Rìkāzé Shì)</v>
      </c>
    </row>
    <row r="595" spans="1:16" hidden="1" x14ac:dyDescent="0.25">
      <c r="A595" t="s">
        <v>803</v>
      </c>
      <c r="B595" t="str">
        <f>IF(COUNTIF(A:A,A595)&gt;1,_xlfn.CONCAT(A595," (",N595,")"),A595)</f>
        <v>Xīchāng Xiāng</v>
      </c>
      <c r="C595" t="str">
        <f>IF(COUNTIF(B:B,B595)&gt;1,_xlfn.CONCAT(A595," (",M595,")"),B595)</f>
        <v>Xīchāng Xiāng</v>
      </c>
      <c r="D595" t="s">
        <v>804</v>
      </c>
      <c r="E595" t="s">
        <v>7</v>
      </c>
      <c r="F595" t="str">
        <f>_xlfn.CONCAT(D595,", ",H595,", ",I595,", ","西藏自治区")</f>
        <v>西昌乡, 索县, 那曲市, 西藏自治区</v>
      </c>
      <c r="G595">
        <v>3130</v>
      </c>
      <c r="H595" t="s">
        <v>1457</v>
      </c>
      <c r="I595" t="s">
        <v>1445</v>
      </c>
      <c r="J595" t="e">
        <f>VLOOKUP(F595,[1]!china_towns_second__2[[Column1]:[Y]],3,FALSE)</f>
        <v>#N/A</v>
      </c>
      <c r="K595" t="e">
        <f>VLOOKUP(F595,[1]!china_towns_second__2[[Column1]:[Y]],2,FALSE)</f>
        <v>#N/A</v>
      </c>
      <c r="L595" t="s">
        <v>2253</v>
      </c>
      <c r="M595" t="str">
        <f>VLOOKUP(H595,CHOOSE({1,2},Table8[Native],Table8[Name]),2,0)</f>
        <v>Suŏ Xiàn</v>
      </c>
      <c r="N595" s="13" t="str">
        <f>VLOOKUP(I595,CHOOSE({1,2},Table8[Native],Table8[Name]),2,0)</f>
        <v>Nàqŭ Shì</v>
      </c>
      <c r="O595" s="13" t="str">
        <f t="shared" si="18"/>
        <v>Xichang Xiang (Nàqŭ Shì)</v>
      </c>
      <c r="P595" s="13" t="str">
        <f t="shared" si="19"/>
        <v>Xichang Xiang (Nàqŭ Shì)</v>
      </c>
    </row>
    <row r="596" spans="1:16" hidden="1" x14ac:dyDescent="0.25">
      <c r="A596" t="s">
        <v>805</v>
      </c>
      <c r="B596" t="str">
        <f>IF(COUNTIF(A:A,A596)&gt;1,_xlfn.CONCAT(A596," (",N596,")"),A596)</f>
        <v>Xiédé Xiāng</v>
      </c>
      <c r="C596" t="str">
        <f>IF(COUNTIF(B:B,B596)&gt;1,_xlfn.CONCAT(A596," (",M596,")"),B596)</f>
        <v>Xiédé Xiāng</v>
      </c>
      <c r="D596" t="s">
        <v>806</v>
      </c>
      <c r="E596" t="s">
        <v>7</v>
      </c>
      <c r="F596" t="str">
        <f>_xlfn.CONCAT(D596,", ",H596,", ",I596,", ","西藏自治区")</f>
        <v>协德乡, 双湖县, 那曲市, 西藏自治区</v>
      </c>
      <c r="G596">
        <v>2238</v>
      </c>
      <c r="H596" t="s">
        <v>1456</v>
      </c>
      <c r="I596" t="s">
        <v>1445</v>
      </c>
      <c r="J596" t="e">
        <f>VLOOKUP(F596,[1]!china_towns_second__2[[Column1]:[Y]],3,FALSE)</f>
        <v>#N/A</v>
      </c>
      <c r="K596" t="e">
        <f>VLOOKUP(F596,[1]!china_towns_second__2[[Column1]:[Y]],2,FALSE)</f>
        <v>#N/A</v>
      </c>
      <c r="L596" t="s">
        <v>2254</v>
      </c>
      <c r="M596" t="str">
        <f>VLOOKUP(H596,CHOOSE({1,2},Table8[Native],Table8[Name]),2,0)</f>
        <v>Shuānghú Xiàn</v>
      </c>
      <c r="N596" s="13" t="str">
        <f>VLOOKUP(I596,CHOOSE({1,2},Table8[Native],Table8[Name]),2,0)</f>
        <v>Nàqŭ Shì</v>
      </c>
      <c r="O596" s="13" t="str">
        <f t="shared" si="18"/>
        <v>Xiede Xiang (Nàqŭ Shì)</v>
      </c>
      <c r="P596" s="13" t="str">
        <f t="shared" si="19"/>
        <v>Xiede Xiang (Nàqŭ Shì)</v>
      </c>
    </row>
    <row r="597" spans="1:16" x14ac:dyDescent="0.25">
      <c r="A597" t="s">
        <v>1200</v>
      </c>
      <c r="B597" t="str">
        <f>IF(COUNTIF(A:A,A597)&gt;1,_xlfn.CONCAT(A597," (",N597,")"),A597)</f>
        <v>Xiégé'ĕr Zhèn</v>
      </c>
      <c r="C597" t="str">
        <f>IF(COUNTIF(B:B,B597)&gt;1,_xlfn.CONCAT(A597," (",M597,")"),B597)</f>
        <v>Xiégé'ĕr Zhèn</v>
      </c>
      <c r="D597" t="s">
        <v>1201</v>
      </c>
      <c r="E597" t="s">
        <v>17</v>
      </c>
      <c r="F597" t="str">
        <f>_xlfn.CONCAT(D597,", ",H597,", ",I597,", ","西藏自治区")</f>
        <v>协格尔镇, 定日县, 日喀则市, 西藏自治区</v>
      </c>
      <c r="G597">
        <v>9528</v>
      </c>
      <c r="H597" t="s">
        <v>1462</v>
      </c>
      <c r="I597" t="s">
        <v>1458</v>
      </c>
      <c r="J597">
        <f>VLOOKUP(F597,[1]!china_towns_second__2[[Column1]:[Y]],3,FALSE)</f>
        <v>28.692946651077701</v>
      </c>
      <c r="K597">
        <f>VLOOKUP(F597,[1]!china_towns_second__2[[Column1]:[Y]],2,FALSE)</f>
        <v>87.089822080000005</v>
      </c>
      <c r="L597" t="s">
        <v>2255</v>
      </c>
      <c r="M597" t="str">
        <f>VLOOKUP(H597,CHOOSE({1,2},Table8[Native],Table8[Name]),2,0)</f>
        <v>Dìngrì Xiàn</v>
      </c>
      <c r="N597" s="13" t="str">
        <f>VLOOKUP(I597,CHOOSE({1,2},Table8[Native],Table8[Name]),2,0)</f>
        <v>Rìkāzé Shì</v>
      </c>
      <c r="O597" s="13" t="str">
        <f t="shared" si="18"/>
        <v>Xiege'er Zhen (Rìkāzé Shì)</v>
      </c>
      <c r="P597" s="13" t="str">
        <f t="shared" si="19"/>
        <v>Xiege'er Zhen (Rìkāzé Shì)</v>
      </c>
    </row>
    <row r="598" spans="1:16" hidden="1" x14ac:dyDescent="0.25">
      <c r="A598" t="s">
        <v>327</v>
      </c>
      <c r="B598" t="str">
        <f>IF(COUNTIF(A:A,A598)&gt;1,_xlfn.CONCAT(A598," (",N598,")"),A598)</f>
        <v>Xiéxióng Xiāng</v>
      </c>
      <c r="C598" t="str">
        <f>IF(COUNTIF(B:B,B598)&gt;1,_xlfn.CONCAT(A598," (",M598,")"),B598)</f>
        <v>Xiéxióng Xiāng</v>
      </c>
      <c r="D598" t="s">
        <v>328</v>
      </c>
      <c r="E598" t="s">
        <v>7</v>
      </c>
      <c r="F598" t="str">
        <f>_xlfn.CONCAT(D598,", ",H598,", ",I598,", ","西藏自治区")</f>
        <v>协雄乡, 丁青县, 昌都市, 西藏自治区</v>
      </c>
      <c r="G598">
        <v>7027</v>
      </c>
      <c r="H598" t="s">
        <v>1419</v>
      </c>
      <c r="I598" t="s">
        <v>1415</v>
      </c>
      <c r="J598" t="e">
        <f>VLOOKUP(F598,[1]!china_towns_second__2[[Column1]:[Y]],3,FALSE)</f>
        <v>#N/A</v>
      </c>
      <c r="K598" t="e">
        <f>VLOOKUP(F598,[1]!china_towns_second__2[[Column1]:[Y]],2,FALSE)</f>
        <v>#N/A</v>
      </c>
      <c r="L598" t="s">
        <v>2256</v>
      </c>
      <c r="M598" t="str">
        <f>VLOOKUP(H598,CHOOSE({1,2},Table8[Native],Table8[Name]),2,0)</f>
        <v>Dīngqīng Xiàn</v>
      </c>
      <c r="N598" s="13" t="str">
        <f>VLOOKUP(I598,CHOOSE({1,2},Table8[Native],Table8[Name]),2,0)</f>
        <v>Chāngdū Shì</v>
      </c>
      <c r="O598" s="13" t="str">
        <f t="shared" si="18"/>
        <v>Xiexiong Xiang (Chāngdū Shì)</v>
      </c>
      <c r="P598" s="13" t="str">
        <f t="shared" si="19"/>
        <v>Xiexiong Xiang (Chāngdū Shì)</v>
      </c>
    </row>
    <row r="599" spans="1:16" hidden="1" x14ac:dyDescent="0.25">
      <c r="A599" t="s">
        <v>807</v>
      </c>
      <c r="B599" t="str">
        <f>IF(COUNTIF(A:A,A599)&gt;1,_xlfn.CONCAT(A599," (",N599,")"),A599)</f>
        <v>Xīnjí Xiāng</v>
      </c>
      <c r="C599" t="str">
        <f>IF(COUNTIF(B:B,B599)&gt;1,_xlfn.CONCAT(A599," (",M599,")"),B599)</f>
        <v>Xīnjí Xiāng</v>
      </c>
      <c r="D599" t="s">
        <v>808</v>
      </c>
      <c r="E599" t="s">
        <v>7</v>
      </c>
      <c r="F599" t="str">
        <f>_xlfn.CONCAT(D599,", ",H599,", ",I599,", ","西藏自治区")</f>
        <v>新吉乡, 班戈县, 那曲市, 西藏自治区</v>
      </c>
      <c r="G599">
        <v>3703</v>
      </c>
      <c r="H599" t="s">
        <v>1447</v>
      </c>
      <c r="I599" t="s">
        <v>1445</v>
      </c>
      <c r="J599" t="e">
        <f>VLOOKUP(F599,[1]!china_towns_second__2[[Column1]:[Y]],3,FALSE)</f>
        <v>#N/A</v>
      </c>
      <c r="K599" t="e">
        <f>VLOOKUP(F599,[1]!china_towns_second__2[[Column1]:[Y]],2,FALSE)</f>
        <v>#N/A</v>
      </c>
      <c r="L599" t="s">
        <v>2257</v>
      </c>
      <c r="M599" t="str">
        <f>VLOOKUP(H599,CHOOSE({1,2},Table8[Native],Table8[Name]),2,0)</f>
        <v>Bāngē Xiàn</v>
      </c>
      <c r="N599" s="13" t="str">
        <f>VLOOKUP(I599,CHOOSE({1,2},Table8[Native],Table8[Name]),2,0)</f>
        <v>Nàqŭ Shì</v>
      </c>
      <c r="O599" s="13" t="str">
        <f t="shared" si="18"/>
        <v>Xinji Xiang (Nàqŭ Shì)</v>
      </c>
      <c r="P599" s="13" t="str">
        <f t="shared" si="19"/>
        <v>Xinji Xiang (Nàqŭ Shì)</v>
      </c>
    </row>
    <row r="600" spans="1:16" hidden="1" x14ac:dyDescent="0.25">
      <c r="A600" t="s">
        <v>329</v>
      </c>
      <c r="B600" t="str">
        <f>IF(COUNTIF(A:A,A600)&gt;1,_xlfn.CONCAT(A600," (",N600,")"),A600)</f>
        <v>Xīnkă Xiāng</v>
      </c>
      <c r="C600" t="str">
        <f>IF(COUNTIF(B:B,B600)&gt;1,_xlfn.CONCAT(A600," (",M600,")"),B600)</f>
        <v>Xīnkă Xiāng</v>
      </c>
      <c r="D600" t="s">
        <v>330</v>
      </c>
      <c r="E600" t="s">
        <v>7</v>
      </c>
      <c r="F600" t="str">
        <f>_xlfn.CONCAT(D600,", ",H600,", ",I600,", ","西藏自治区")</f>
        <v>新卡乡, 察雅县, 昌都市, 西藏自治区</v>
      </c>
      <c r="G600">
        <v>1071</v>
      </c>
      <c r="H600" t="s">
        <v>1418</v>
      </c>
      <c r="I600" t="s">
        <v>1415</v>
      </c>
      <c r="J600" t="e">
        <f>VLOOKUP(F600,[1]!china_towns_second__2[[Column1]:[Y]],3,FALSE)</f>
        <v>#N/A</v>
      </c>
      <c r="K600" t="e">
        <f>VLOOKUP(F600,[1]!china_towns_second__2[[Column1]:[Y]],2,FALSE)</f>
        <v>#N/A</v>
      </c>
      <c r="L600" t="s">
        <v>2258</v>
      </c>
      <c r="M600" t="str">
        <f>VLOOKUP(H600,CHOOSE({1,2},Table8[Native],Table8[Name]),2,0)</f>
        <v>Cháyă Xiàn</v>
      </c>
      <c r="N600" s="13" t="str">
        <f>VLOOKUP(I600,CHOOSE({1,2},Table8[Native],Table8[Name]),2,0)</f>
        <v>Chāngdū Shì</v>
      </c>
      <c r="O600" s="13" t="str">
        <f t="shared" si="18"/>
        <v>Xinka Xiang (Chāngdū Shì)</v>
      </c>
      <c r="P600" s="13" t="str">
        <f t="shared" si="19"/>
        <v>Xinka Xiang (Chāngdū Shì)</v>
      </c>
    </row>
    <row r="601" spans="1:16" hidden="1" x14ac:dyDescent="0.25">
      <c r="A601" t="s">
        <v>331</v>
      </c>
      <c r="B601" t="str">
        <f>IF(COUNTIF(A:A,A601)&gt;1,_xlfn.CONCAT(A601," (",N601,")"),A601)</f>
        <v>Xīnróng Xiāng</v>
      </c>
      <c r="C601" t="str">
        <f>IF(COUNTIF(B:B,B601)&gt;1,_xlfn.CONCAT(A601," (",M601,")"),B601)</f>
        <v>Xīnróng Xiāng</v>
      </c>
      <c r="D601" t="s">
        <v>332</v>
      </c>
      <c r="E601" t="s">
        <v>7</v>
      </c>
      <c r="F601" t="str">
        <f>_xlfn.CONCAT(D601,", ",H601,", ",I601,", ","西藏自治区")</f>
        <v>新荣乡, 洛隆县, 昌都市, 西藏自治区</v>
      </c>
      <c r="G601">
        <v>3683</v>
      </c>
      <c r="H601" t="s">
        <v>1425</v>
      </c>
      <c r="I601" t="s">
        <v>1415</v>
      </c>
      <c r="J601" t="e">
        <f>VLOOKUP(F601,[1]!china_towns_second__2[[Column1]:[Y]],3,FALSE)</f>
        <v>#N/A</v>
      </c>
      <c r="K601" t="e">
        <f>VLOOKUP(F601,[1]!china_towns_second__2[[Column1]:[Y]],2,FALSE)</f>
        <v>#N/A</v>
      </c>
      <c r="L601" t="s">
        <v>2259</v>
      </c>
      <c r="M601" t="str">
        <f>VLOOKUP(H601,CHOOSE({1,2},Table8[Native],Table8[Name]),2,0)</f>
        <v>Luòlóng Xiàn</v>
      </c>
      <c r="N601" s="13" t="str">
        <f>VLOOKUP(I601,CHOOSE({1,2},Table8[Native],Table8[Name]),2,0)</f>
        <v>Chāngdū Shì</v>
      </c>
      <c r="O601" s="13" t="str">
        <f t="shared" si="18"/>
        <v>Xinrong Xiang (Chāngdū Shì)</v>
      </c>
      <c r="P601" s="13" t="str">
        <f t="shared" si="19"/>
        <v>Xinrong Xiang (Chāngdū Shì)</v>
      </c>
    </row>
    <row r="602" spans="1:16" hidden="1" x14ac:dyDescent="0.25">
      <c r="A602" t="s">
        <v>76</v>
      </c>
      <c r="B602" t="str">
        <f>IF(COUNTIF(A:A,A602)&gt;1,_xlfn.CONCAT(A602," (",N602,")"),A602)</f>
        <v>Xióngbā Xiāng (Ālĭ Dìqū)</v>
      </c>
      <c r="C602" t="str">
        <f>IF(COUNTIF(B:B,B602)&gt;1,_xlfn.CONCAT(A602," (",M602,")"),B602)</f>
        <v>Xióngbā Xiāng (Ālĭ Dìqū)</v>
      </c>
      <c r="D602" t="s">
        <v>77</v>
      </c>
      <c r="E602" t="s">
        <v>7</v>
      </c>
      <c r="F602" t="str">
        <f>_xlfn.CONCAT(D602,", ",H602,", ",I602,", ","西藏自治区")</f>
        <v>雄巴乡, 革吉县, 阿里地区, 西藏自治区</v>
      </c>
      <c r="G602">
        <v>3202</v>
      </c>
      <c r="H602" t="s">
        <v>1410</v>
      </c>
      <c r="I602" t="s">
        <v>1405</v>
      </c>
      <c r="J602" t="e">
        <f>VLOOKUP(F602,[1]!china_towns_second__2[[Column1]:[Y]],3,FALSE)</f>
        <v>#N/A</v>
      </c>
      <c r="K602" t="e">
        <f>VLOOKUP(F602,[1]!china_towns_second__2[[Column1]:[Y]],2,FALSE)</f>
        <v>#N/A</v>
      </c>
      <c r="L602" t="s">
        <v>2260</v>
      </c>
      <c r="M602" t="str">
        <f>VLOOKUP(H602,CHOOSE({1,2},Table8[Native],Table8[Name]),2,0)</f>
        <v>Géjí Xiàn</v>
      </c>
      <c r="N602" s="13" t="str">
        <f>VLOOKUP(I602,CHOOSE({1,2},Table8[Native],Table8[Name]),2,0)</f>
        <v>Ālĭ Dìqū</v>
      </c>
      <c r="O602" s="13" t="str">
        <f t="shared" si="18"/>
        <v>Xiongba Xiang (Ali Diqu) (Ālĭ Dìqū)</v>
      </c>
      <c r="P602" s="13" t="str">
        <f t="shared" si="19"/>
        <v>Xiongba Xiang (Ali Diqu) (Ālĭ Dìqū)</v>
      </c>
    </row>
    <row r="603" spans="1:16" hidden="1" x14ac:dyDescent="0.25">
      <c r="A603" t="s">
        <v>76</v>
      </c>
      <c r="B603" t="str">
        <f>IF(COUNTIF(A:A,A603)&gt;1,_xlfn.CONCAT(A603," (",N603,")"),A603)</f>
        <v>Xióngbā Xiāng (Rìkāzé Shì)</v>
      </c>
      <c r="C603" t="str">
        <f>IF(COUNTIF(B:B,B603)&gt;1,_xlfn.CONCAT(A603," (",M603,")"),B603)</f>
        <v>Xióngbā Xiāng (Rìkāzé Shì)</v>
      </c>
      <c r="D603" t="s">
        <v>77</v>
      </c>
      <c r="E603" t="s">
        <v>7</v>
      </c>
      <c r="F603" t="str">
        <f>_xlfn.CONCAT(D603,", ",H603,", ",I603,", ","西藏自治区")</f>
        <v>雄巴乡, 昂仁县, 日喀则市, 西藏自治区</v>
      </c>
      <c r="G603">
        <v>786</v>
      </c>
      <c r="H603" t="s">
        <v>1459</v>
      </c>
      <c r="I603" t="s">
        <v>1458</v>
      </c>
      <c r="J603" t="e">
        <f>VLOOKUP(F603,[1]!china_towns_second__2[[Column1]:[Y]],3,FALSE)</f>
        <v>#N/A</v>
      </c>
      <c r="K603" t="e">
        <f>VLOOKUP(F603,[1]!china_towns_second__2[[Column1]:[Y]],2,FALSE)</f>
        <v>#N/A</v>
      </c>
      <c r="L603" t="s">
        <v>2261</v>
      </c>
      <c r="M603" t="str">
        <f>VLOOKUP(H603,CHOOSE({1,2},Table8[Native],Table8[Name]),2,0)</f>
        <v>Ángrén Xiàn</v>
      </c>
      <c r="N603" s="13" t="str">
        <f>VLOOKUP(I603,CHOOSE({1,2},Table8[Native],Table8[Name]),2,0)</f>
        <v>Rìkāzé Shì</v>
      </c>
      <c r="O603" s="13" t="str">
        <f t="shared" si="18"/>
        <v>Xiongba Xiang (Rikaze Shi) (Rìkāzé Shì)</v>
      </c>
      <c r="P603" s="13" t="str">
        <f t="shared" si="19"/>
        <v>Xiongba Xiang (Rikaze Shi) (Rìkāzé Shì)</v>
      </c>
    </row>
    <row r="604" spans="1:16" hidden="1" x14ac:dyDescent="0.25">
      <c r="A604" t="s">
        <v>1204</v>
      </c>
      <c r="B604" t="str">
        <f>IF(COUNTIF(A:A,A604)&gt;1,_xlfn.CONCAT(A604," (",N604,")"),A604)</f>
        <v>Xióngmă Xiāng</v>
      </c>
      <c r="C604" t="str">
        <f>IF(COUNTIF(B:B,B604)&gt;1,_xlfn.CONCAT(A604," (",M604,")"),B604)</f>
        <v>Xióngmă Xiāng</v>
      </c>
      <c r="D604" t="s">
        <v>1205</v>
      </c>
      <c r="E604" t="s">
        <v>7</v>
      </c>
      <c r="F604" t="str">
        <f>_xlfn.CONCAT(D604,", ",H604,", ",I604,", ","西藏自治区")</f>
        <v>雄玛乡, 萨迦县, 日喀则市, 西藏自治区</v>
      </c>
      <c r="G604">
        <v>5796</v>
      </c>
      <c r="H604" t="s">
        <v>1472</v>
      </c>
      <c r="I604" t="s">
        <v>1458</v>
      </c>
      <c r="J604" t="e">
        <f>VLOOKUP(F604,[1]!china_towns_second__2[[Column1]:[Y]],3,FALSE)</f>
        <v>#N/A</v>
      </c>
      <c r="K604" t="e">
        <f>VLOOKUP(F604,[1]!china_towns_second__2[[Column1]:[Y]],2,FALSE)</f>
        <v>#N/A</v>
      </c>
      <c r="L604" t="s">
        <v>2262</v>
      </c>
      <c r="M604" t="str">
        <f>VLOOKUP(H604,CHOOSE({1,2},Table8[Native],Table8[Name]),2,0)</f>
        <v>Sàjiā Xiàn</v>
      </c>
      <c r="N604" s="13" t="str">
        <f>VLOOKUP(I604,CHOOSE({1,2},Table8[Native],Table8[Name]),2,0)</f>
        <v>Rìkāzé Shì</v>
      </c>
      <c r="O604" s="13" t="str">
        <f t="shared" si="18"/>
        <v>Xiongma Xiang (Rìkāzé Shì)</v>
      </c>
      <c r="P604" s="13" t="str">
        <f t="shared" si="19"/>
        <v>Xiongma Xiang (Rìkāzé Shì)</v>
      </c>
    </row>
    <row r="605" spans="1:16" hidden="1" x14ac:dyDescent="0.25">
      <c r="A605" t="s">
        <v>1202</v>
      </c>
      <c r="B605" t="str">
        <f>IF(COUNTIF(A:A,A605)&gt;1,_xlfn.CONCAT(A605," (",N605,")"),A605)</f>
        <v>Xióngmài Xiāng</v>
      </c>
      <c r="C605" t="str">
        <f>IF(COUNTIF(B:B,B605)&gt;1,_xlfn.CONCAT(A605," (",M605,")"),B605)</f>
        <v>Xióngmài Xiāng</v>
      </c>
      <c r="D605" t="s">
        <v>1203</v>
      </c>
      <c r="E605" t="s">
        <v>7</v>
      </c>
      <c r="F605" t="str">
        <f>_xlfn.CONCAT(D605,", ",H605,", ",I605,", ","西藏自治区")</f>
        <v>雄麦乡, 萨迦县, 日喀则市, 西藏自治区</v>
      </c>
      <c r="G605">
        <v>2382</v>
      </c>
      <c r="H605" t="s">
        <v>1472</v>
      </c>
      <c r="I605" t="s">
        <v>1458</v>
      </c>
      <c r="J605" t="e">
        <f>VLOOKUP(F605,[1]!china_towns_second__2[[Column1]:[Y]],3,FALSE)</f>
        <v>#N/A</v>
      </c>
      <c r="K605" t="e">
        <f>VLOOKUP(F605,[1]!china_towns_second__2[[Column1]:[Y]],2,FALSE)</f>
        <v>#N/A</v>
      </c>
      <c r="L605" t="s">
        <v>2263</v>
      </c>
      <c r="M605" t="str">
        <f>VLOOKUP(H605,CHOOSE({1,2},Table8[Native],Table8[Name]),2,0)</f>
        <v>Sàjiā Xiàn</v>
      </c>
      <c r="N605" s="13" t="str">
        <f>VLOOKUP(I605,CHOOSE({1,2},Table8[Native],Table8[Name]),2,0)</f>
        <v>Rìkāzé Shì</v>
      </c>
      <c r="O605" s="13" t="str">
        <f t="shared" si="18"/>
        <v>Xiongmai Xiang (Rìkāzé Shì)</v>
      </c>
      <c r="P605" s="13" t="str">
        <f t="shared" si="19"/>
        <v>Xiongmai Xiang (Rìkāzé Shì)</v>
      </c>
    </row>
    <row r="606" spans="1:16" x14ac:dyDescent="0.25">
      <c r="A606" t="s">
        <v>809</v>
      </c>
      <c r="B606" t="str">
        <f>IF(COUNTIF(A:A,A606)&gt;1,_xlfn.CONCAT(A606," (",N606,")"),A606)</f>
        <v>Xióngméi Zhèn</v>
      </c>
      <c r="C606" t="str">
        <f>IF(COUNTIF(B:B,B606)&gt;1,_xlfn.CONCAT(A606," (",M606,")"),B606)</f>
        <v>Xióngméi Zhèn</v>
      </c>
      <c r="D606" t="s">
        <v>810</v>
      </c>
      <c r="E606" t="s">
        <v>17</v>
      </c>
      <c r="F606" t="str">
        <f>_xlfn.CONCAT(D606,", ",H606,", ",I606,", ","西藏自治区")</f>
        <v>雄梅镇, 申扎县, 那曲市, 西藏自治区</v>
      </c>
      <c r="G606">
        <v>3437</v>
      </c>
      <c r="H606" t="s">
        <v>1455</v>
      </c>
      <c r="I606" t="s">
        <v>1445</v>
      </c>
      <c r="J606">
        <f>VLOOKUP(F606,[1]!china_towns_second__2[[Column1]:[Y]],3,FALSE)</f>
        <v>31.589597270877299</v>
      </c>
      <c r="K606">
        <f>VLOOKUP(F606,[1]!china_towns_second__2[[Column1]:[Y]],2,FALSE)</f>
        <v>89.025057919999995</v>
      </c>
      <c r="L606" t="s">
        <v>2264</v>
      </c>
      <c r="M606" t="str">
        <f>VLOOKUP(H606,CHOOSE({1,2},Table8[Native],Table8[Name]),2,0)</f>
        <v>Shēnzhā Xiàn</v>
      </c>
      <c r="N606" s="13" t="str">
        <f>VLOOKUP(I606,CHOOSE({1,2},Table8[Native],Table8[Name]),2,0)</f>
        <v>Nàqŭ Shì</v>
      </c>
      <c r="O606" s="13" t="str">
        <f t="shared" si="18"/>
        <v>Xiongmei Zhen (Nàqŭ Shì)</v>
      </c>
      <c r="P606" s="13" t="str">
        <f t="shared" si="19"/>
        <v>Xiongmei Zhen (Nàqŭ Shì)</v>
      </c>
    </row>
    <row r="607" spans="1:16" hidden="1" x14ac:dyDescent="0.25">
      <c r="A607" t="s">
        <v>1206</v>
      </c>
      <c r="B607" t="str">
        <f>IF(COUNTIF(A:A,A607)&gt;1,_xlfn.CONCAT(A607," (",N607,")"),A607)</f>
        <v>Xióngrú Xiāng</v>
      </c>
      <c r="C607" t="str">
        <f>IF(COUNTIF(B:B,B607)&gt;1,_xlfn.CONCAT(A607," (",M607,")"),B607)</f>
        <v>Xióngrú Xiāng</v>
      </c>
      <c r="D607" t="s">
        <v>1207</v>
      </c>
      <c r="E607" t="s">
        <v>7</v>
      </c>
      <c r="F607" t="str">
        <f>_xlfn.CONCAT(D607,", ",H607,", ",I607,", ","西藏自治区")</f>
        <v>雄如乡, 萨嘎县, 日喀则市, 西藏自治区</v>
      </c>
      <c r="G607">
        <v>1900</v>
      </c>
      <c r="H607" t="s">
        <v>1471</v>
      </c>
      <c r="I607" t="s">
        <v>1458</v>
      </c>
      <c r="J607" t="e">
        <f>VLOOKUP(F607,[1]!china_towns_second__2[[Column1]:[Y]],3,FALSE)</f>
        <v>#N/A</v>
      </c>
      <c r="K607" t="e">
        <f>VLOOKUP(F607,[1]!china_towns_second__2[[Column1]:[Y]],2,FALSE)</f>
        <v>#N/A</v>
      </c>
      <c r="L607" t="s">
        <v>2265</v>
      </c>
      <c r="M607" t="str">
        <f>VLOOKUP(H607,CHOOSE({1,2},Table8[Native],Table8[Name]),2,0)</f>
        <v>Sàgā Xiàn</v>
      </c>
      <c r="N607" s="13" t="str">
        <f>VLOOKUP(I607,CHOOSE({1,2},Table8[Native],Table8[Name]),2,0)</f>
        <v>Rìkāzé Shì</v>
      </c>
      <c r="O607" s="13" t="str">
        <f t="shared" si="18"/>
        <v>Xiongru Xiang (Rìkāzé Shì)</v>
      </c>
      <c r="P607" s="13" t="str">
        <f t="shared" si="19"/>
        <v>Xiongru Xiang (Rìkāzé Shì)</v>
      </c>
    </row>
    <row r="608" spans="1:16" hidden="1" x14ac:dyDescent="0.25">
      <c r="A608" t="s">
        <v>333</v>
      </c>
      <c r="B608" t="str">
        <f>IF(COUNTIF(A:A,A608)&gt;1,_xlfn.CONCAT(A608," (",N608,")"),A608)</f>
        <v>Xióngsōng Xiāng</v>
      </c>
      <c r="C608" t="str">
        <f>IF(COUNTIF(B:B,B608)&gt;1,_xlfn.CONCAT(A608," (",M608,")"),B608)</f>
        <v>Xióngsōng Xiāng</v>
      </c>
      <c r="D608" t="s">
        <v>334</v>
      </c>
      <c r="E608" t="s">
        <v>7</v>
      </c>
      <c r="F608" t="str">
        <f>_xlfn.CONCAT(D608,", ",H608,", ",I608,", ","西藏自治区")</f>
        <v>雄松乡, 贡觉县, 昌都市, 西藏自治区</v>
      </c>
      <c r="G608">
        <v>1825</v>
      </c>
      <c r="H608" t="s">
        <v>1420</v>
      </c>
      <c r="I608" t="s">
        <v>1415</v>
      </c>
      <c r="J608" t="e">
        <f>VLOOKUP(F608,[1]!china_towns_second__2[[Column1]:[Y]],3,FALSE)</f>
        <v>#N/A</v>
      </c>
      <c r="K608" t="e">
        <f>VLOOKUP(F608,[1]!china_towns_second__2[[Column1]:[Y]],2,FALSE)</f>
        <v>#N/A</v>
      </c>
      <c r="L608" t="s">
        <v>2266</v>
      </c>
      <c r="M608" t="str">
        <f>VLOOKUP(H608,CHOOSE({1,2},Table8[Native],Table8[Name]),2,0)</f>
        <v>Gòngjué Xiàn</v>
      </c>
      <c r="N608" s="13" t="str">
        <f>VLOOKUP(I608,CHOOSE({1,2},Table8[Native],Table8[Name]),2,0)</f>
        <v>Chāngdū Shì</v>
      </c>
      <c r="O608" s="13" t="str">
        <f t="shared" si="18"/>
        <v>Xiongsong Xiang (Chāngdū Shì)</v>
      </c>
      <c r="P608" s="13" t="str">
        <f t="shared" si="19"/>
        <v>Xiongsong Xiang (Chāngdū Shì)</v>
      </c>
    </row>
    <row r="609" spans="1:16" hidden="1" x14ac:dyDescent="0.25">
      <c r="A609" t="s">
        <v>1208</v>
      </c>
      <c r="B609" t="str">
        <f>IF(COUNTIF(A:A,A609)&gt;1,_xlfn.CONCAT(A609," (",N609,")"),A609)</f>
        <v>Xióngzhāng Xiāng</v>
      </c>
      <c r="C609" t="str">
        <f>IF(COUNTIF(B:B,B609)&gt;1,_xlfn.CONCAT(A609," (",M609,")"),B609)</f>
        <v>Xióngzhāng Xiāng</v>
      </c>
      <c r="D609" t="s">
        <v>1209</v>
      </c>
      <c r="E609" t="s">
        <v>7</v>
      </c>
      <c r="F609" t="str">
        <f>_xlfn.CONCAT(D609,", ",H609,", ",I609,", ","西藏自治区")</f>
        <v>雄章乡, 康马县, 日喀则市, 西藏自治区</v>
      </c>
      <c r="G609">
        <v>1892</v>
      </c>
      <c r="H609" t="s">
        <v>1466</v>
      </c>
      <c r="I609" t="s">
        <v>1458</v>
      </c>
      <c r="J609" t="e">
        <f>VLOOKUP(F609,[1]!china_towns_second__2[[Column1]:[Y]],3,FALSE)</f>
        <v>#N/A</v>
      </c>
      <c r="K609" t="e">
        <f>VLOOKUP(F609,[1]!china_towns_second__2[[Column1]:[Y]],2,FALSE)</f>
        <v>#N/A</v>
      </c>
      <c r="L609" t="s">
        <v>2267</v>
      </c>
      <c r="M609" t="str">
        <f>VLOOKUP(H609,CHOOSE({1,2},Table8[Native],Table8[Name]),2,0)</f>
        <v>Kāngmă Xiàn</v>
      </c>
      <c r="N609" s="13" t="str">
        <f>VLOOKUP(I609,CHOOSE({1,2},Table8[Native],Table8[Name]),2,0)</f>
        <v>Rìkāzé Shì</v>
      </c>
      <c r="O609" s="13" t="str">
        <f t="shared" si="18"/>
        <v>Xiongzhang Xiang (Rìkāzé Shì)</v>
      </c>
      <c r="P609" s="13" t="str">
        <f t="shared" si="19"/>
        <v>Xiongzhang Xiang (Rìkāzé Shì)</v>
      </c>
    </row>
    <row r="610" spans="1:16" hidden="1" x14ac:dyDescent="0.25">
      <c r="A610" t="s">
        <v>1210</v>
      </c>
      <c r="B610" t="str">
        <f>IF(COUNTIF(A:A,A610)&gt;1,_xlfn.CONCAT(A610," (",N610,")"),A610)</f>
        <v>Xīqīn Xiāng</v>
      </c>
      <c r="C610" t="str">
        <f>IF(COUNTIF(B:B,B610)&gt;1,_xlfn.CONCAT(A610," (",M610,")"),B610)</f>
        <v>Xīqīn Xiāng</v>
      </c>
      <c r="D610" t="s">
        <v>1211</v>
      </c>
      <c r="E610" t="s">
        <v>7</v>
      </c>
      <c r="F610" t="str">
        <f>_xlfn.CONCAT(D610,", ",H610,", ",I610,", ","西藏自治区")</f>
        <v>锡钦乡, 拉孜县, 日喀则市, 西藏自治区</v>
      </c>
      <c r="G610">
        <v>5730</v>
      </c>
      <c r="H610" t="s">
        <v>1467</v>
      </c>
      <c r="I610" t="s">
        <v>1458</v>
      </c>
      <c r="J610" t="e">
        <f>VLOOKUP(F610,[1]!china_towns_second__2[[Column1]:[Y]],3,FALSE)</f>
        <v>#N/A</v>
      </c>
      <c r="K610" t="e">
        <f>VLOOKUP(F610,[1]!china_towns_second__2[[Column1]:[Y]],2,FALSE)</f>
        <v>#N/A</v>
      </c>
      <c r="L610" t="s">
        <v>2268</v>
      </c>
      <c r="M610" t="str">
        <f>VLOOKUP(H610,CHOOSE({1,2},Table8[Native],Table8[Name]),2,0)</f>
        <v>Lāzī Xiàn</v>
      </c>
      <c r="N610" s="13" t="str">
        <f>VLOOKUP(I610,CHOOSE({1,2},Table8[Native],Table8[Name]),2,0)</f>
        <v>Rìkāzé Shì</v>
      </c>
      <c r="O610" s="13" t="str">
        <f t="shared" si="18"/>
        <v>Xiqin Xiang (Rìkāzé Shì)</v>
      </c>
      <c r="P610" s="13" t="str">
        <f t="shared" si="19"/>
        <v>Xiqin Xiang (Rìkāzé Shì)</v>
      </c>
    </row>
    <row r="611" spans="1:16" hidden="1" x14ac:dyDescent="0.25">
      <c r="A611" t="s">
        <v>486</v>
      </c>
      <c r="B611" t="str">
        <f>IF(COUNTIF(A:A,A611)&gt;1,_xlfn.CONCAT(A611," (",N611,")"),A611)</f>
        <v>Xuĕ Xiāng</v>
      </c>
      <c r="C611" t="str">
        <f>IF(COUNTIF(B:B,B611)&gt;1,_xlfn.CONCAT(A611," (",M611,")"),B611)</f>
        <v>Xuĕ Xiāng</v>
      </c>
      <c r="D611" t="s">
        <v>487</v>
      </c>
      <c r="E611" t="s">
        <v>7</v>
      </c>
      <c r="F611" t="str">
        <f>_xlfn.CONCAT(D611,", ",H611,", ",I611,", ","西藏自治区")</f>
        <v>雪乡, 达孜区, 拉萨市, 西藏自治区</v>
      </c>
      <c r="G611">
        <v>2633</v>
      </c>
      <c r="H611" t="s">
        <v>1431</v>
      </c>
      <c r="I611" t="s">
        <v>1428</v>
      </c>
      <c r="J611" t="e">
        <f>VLOOKUP(F611,[1]!china_towns_second__2[[Column1]:[Y]],3,FALSE)</f>
        <v>#N/A</v>
      </c>
      <c r="K611" t="e">
        <f>VLOOKUP(F611,[1]!china_towns_second__2[[Column1]:[Y]],2,FALSE)</f>
        <v>#N/A</v>
      </c>
      <c r="L611" t="s">
        <v>2269</v>
      </c>
      <c r="M611" t="str">
        <f>VLOOKUP(H611,CHOOSE({1,2},Table8[Native],Table8[Name]),2,0)</f>
        <v>Dázī Qū</v>
      </c>
      <c r="N611" s="13" t="str">
        <f>VLOOKUP(I611,CHOOSE({1,2},Table8[Native],Table8[Name]),2,0)</f>
        <v>Lāsà Shì</v>
      </c>
      <c r="O611" s="13" t="str">
        <f t="shared" si="18"/>
        <v>Xue Xiang (Lāsà Shì)</v>
      </c>
      <c r="P611" s="13" t="str">
        <f t="shared" si="19"/>
        <v>Xue Xiang (Lāsà Shì)</v>
      </c>
    </row>
    <row r="612" spans="1:16" hidden="1" x14ac:dyDescent="0.25">
      <c r="A612" t="s">
        <v>1382</v>
      </c>
      <c r="B612" t="str">
        <f>IF(COUNTIF(A:A,A612)&gt;1,_xlfn.CONCAT(A612," (",N612,")"),A612)</f>
        <v>Xuĕsà Xiāng</v>
      </c>
      <c r="C612" t="str">
        <f>IF(COUNTIF(B:B,B612)&gt;1,_xlfn.CONCAT(A612," (",M612,")"),B612)</f>
        <v>Xuĕsà Xiāng</v>
      </c>
      <c r="D612" t="s">
        <v>1383</v>
      </c>
      <c r="E612" t="s">
        <v>7</v>
      </c>
      <c r="F612" t="str">
        <f>_xlfn.CONCAT(D612,", ",H612,", ",I612,", ","西藏自治区")</f>
        <v>雪萨乡, 隆子县, 山南市, 西藏自治区</v>
      </c>
      <c r="G612">
        <v>4163</v>
      </c>
      <c r="H612" t="s">
        <v>1483</v>
      </c>
      <c r="I612" t="s">
        <v>1477</v>
      </c>
      <c r="J612" t="e">
        <f>VLOOKUP(F612,[1]!china_towns_second__2[[Column1]:[Y]],3,FALSE)</f>
        <v>#N/A</v>
      </c>
      <c r="K612" t="e">
        <f>VLOOKUP(F612,[1]!china_towns_second__2[[Column1]:[Y]],2,FALSE)</f>
        <v>#N/A</v>
      </c>
      <c r="L612" t="s">
        <v>2270</v>
      </c>
      <c r="M612" t="str">
        <f>VLOOKUP(H612,CHOOSE({1,2},Table8[Native],Table8[Name]),2,0)</f>
        <v>Lóngzi Xiàn</v>
      </c>
      <c r="N612" s="13" t="str">
        <f>VLOOKUP(I612,CHOOSE({1,2},Table8[Native],Table8[Name]),2,0)</f>
        <v>Shānnán Shì</v>
      </c>
      <c r="O612" s="13" t="str">
        <f t="shared" si="18"/>
        <v>Xuesa Xiang (Shānnán Shì)</v>
      </c>
      <c r="P612" s="13" t="str">
        <f t="shared" si="19"/>
        <v>Xuesa Xiang (Shānnán Shì)</v>
      </c>
    </row>
    <row r="613" spans="1:16" hidden="1" x14ac:dyDescent="0.25">
      <c r="A613" t="s">
        <v>488</v>
      </c>
      <c r="B613" t="str">
        <f>IF(COUNTIF(A:A,A613)&gt;1,_xlfn.CONCAT(A613," (",N613,")"),A613)</f>
        <v>Xùmài Xiāng</v>
      </c>
      <c r="C613" t="str">
        <f>IF(COUNTIF(B:B,B613)&gt;1,_xlfn.CONCAT(A613," (",M613,")"),B613)</f>
        <v>Xùmài Xiāng</v>
      </c>
      <c r="D613" t="s">
        <v>489</v>
      </c>
      <c r="E613" t="s">
        <v>7</v>
      </c>
      <c r="F613" t="str">
        <f>_xlfn.CONCAT(D613,", ",H613,", ",I613,", ","西藏自治区")</f>
        <v>续迈乡, 尼木县, 拉萨市, 西藏自治区</v>
      </c>
      <c r="G613">
        <v>4495</v>
      </c>
      <c r="H613" t="s">
        <v>1435</v>
      </c>
      <c r="I613" t="s">
        <v>1428</v>
      </c>
      <c r="J613" t="e">
        <f>VLOOKUP(F613,[1]!china_towns_second__2[[Column1]:[Y]],3,FALSE)</f>
        <v>#N/A</v>
      </c>
      <c r="K613" t="e">
        <f>VLOOKUP(F613,[1]!china_towns_second__2[[Column1]:[Y]],2,FALSE)</f>
        <v>#N/A</v>
      </c>
      <c r="L613" t="s">
        <v>2271</v>
      </c>
      <c r="M613" t="str">
        <f>VLOOKUP(H613,CHOOSE({1,2},Table8[Native],Table8[Name]),2,0)</f>
        <v>Nímù Xiàn</v>
      </c>
      <c r="N613" s="13" t="str">
        <f>VLOOKUP(I613,CHOOSE({1,2},Table8[Native],Table8[Name]),2,0)</f>
        <v>Lāsà Shì</v>
      </c>
      <c r="O613" s="13" t="str">
        <f t="shared" si="18"/>
        <v>Xumai Xiang (Lāsà Shì)</v>
      </c>
      <c r="P613" s="13" t="str">
        <f t="shared" si="19"/>
        <v>Xumai Xiang (Lāsà Shì)</v>
      </c>
    </row>
    <row r="614" spans="1:16" hidden="1" x14ac:dyDescent="0.25">
      <c r="A614" t="s">
        <v>335</v>
      </c>
      <c r="B614" t="str">
        <f>IF(COUNTIF(A:A,A614)&gt;1,_xlfn.CONCAT(A614," (",N614,")"),A614)</f>
        <v>Xúzhōng Xiāng</v>
      </c>
      <c r="C614" t="str">
        <f>IF(COUNTIF(B:B,B614)&gt;1,_xlfn.CONCAT(A614," (",M614,")"),B614)</f>
        <v>Xúzhōng Xiāng</v>
      </c>
      <c r="D614" t="s">
        <v>336</v>
      </c>
      <c r="E614" t="s">
        <v>7</v>
      </c>
      <c r="F614" t="str">
        <f>_xlfn.CONCAT(D614,", ",H614,", ",I614,", ","西藏自治区")</f>
        <v>徐中乡, 芒康县, 昌都市, 西藏自治区</v>
      </c>
      <c r="G614">
        <v>5409</v>
      </c>
      <c r="H614" t="s">
        <v>1426</v>
      </c>
      <c r="I614" t="s">
        <v>1415</v>
      </c>
      <c r="J614" t="e">
        <f>VLOOKUP(F614,[1]!china_towns_second__2[[Column1]:[Y]],3,FALSE)</f>
        <v>#N/A</v>
      </c>
      <c r="K614" t="e">
        <f>VLOOKUP(F614,[1]!china_towns_second__2[[Column1]:[Y]],2,FALSE)</f>
        <v>#N/A</v>
      </c>
      <c r="L614" t="s">
        <v>2272</v>
      </c>
      <c r="M614" t="str">
        <f>VLOOKUP(H614,CHOOSE({1,2},Table8[Native],Table8[Name]),2,0)</f>
        <v>Mángkāng Xiàn</v>
      </c>
      <c r="N614" s="13" t="str">
        <f>VLOOKUP(I614,CHOOSE({1,2},Table8[Native],Table8[Name]),2,0)</f>
        <v>Chāngdū Shì</v>
      </c>
      <c r="O614" s="13" t="str">
        <f t="shared" si="18"/>
        <v>Xuzhong Xiang (Chāngdū Shì)</v>
      </c>
      <c r="P614" s="13" t="str">
        <f t="shared" si="19"/>
        <v>Xuzhong Xiang (Chāngdū Shì)</v>
      </c>
    </row>
    <row r="615" spans="1:16" x14ac:dyDescent="0.25">
      <c r="A615" t="s">
        <v>811</v>
      </c>
      <c r="B615" t="str">
        <f>IF(COUNTIF(A:A,A615)&gt;1,_xlfn.CONCAT(A615," (",N615,")"),A615)</f>
        <v>Yă'ān Zhèn</v>
      </c>
      <c r="C615" t="str">
        <f>IF(COUNTIF(B:B,B615)&gt;1,_xlfn.CONCAT(A615," (",M615,")"),B615)</f>
        <v>Yă'ān Zhèn</v>
      </c>
      <c r="D615" t="s">
        <v>812</v>
      </c>
      <c r="E615" t="s">
        <v>17</v>
      </c>
      <c r="F615" t="str">
        <f>_xlfn.CONCAT(D615,", ",H615,", ",I615,", ","西藏自治区")</f>
        <v>雅安镇, 巴青县, 那曲市, 西藏自治区</v>
      </c>
      <c r="G615">
        <v>4802</v>
      </c>
      <c r="H615" t="s">
        <v>1448</v>
      </c>
      <c r="I615" t="s">
        <v>1445</v>
      </c>
      <c r="J615">
        <f>VLOOKUP(F615,[1]!china_towns_second__2[[Column1]:[Y]],3,FALSE)</f>
        <v>31.913959159860099</v>
      </c>
      <c r="K615">
        <f>VLOOKUP(F615,[1]!china_towns_second__2[[Column1]:[Y]],2,FALSE)</f>
        <v>94.524352309999998</v>
      </c>
      <c r="L615" t="s">
        <v>2273</v>
      </c>
      <c r="M615" t="str">
        <f>VLOOKUP(H615,CHOOSE({1,2},Table8[Native],Table8[Name]),2,0)</f>
        <v>Bāqīng Xiàn</v>
      </c>
      <c r="N615" s="13" t="str">
        <f>VLOOKUP(I615,CHOOSE({1,2},Table8[Native],Table8[Name]),2,0)</f>
        <v>Nàqŭ Shì</v>
      </c>
      <c r="O615" s="13" t="str">
        <f t="shared" si="18"/>
        <v>Ya'an Zhen (Nàqŭ Shì)</v>
      </c>
      <c r="P615" s="13" t="str">
        <f t="shared" si="19"/>
        <v>Ya'an Zhen (Nàqŭ Shì)</v>
      </c>
    </row>
    <row r="616" spans="1:16" hidden="1" x14ac:dyDescent="0.25">
      <c r="A616" t="s">
        <v>1384</v>
      </c>
      <c r="B616" t="str">
        <f>IF(COUNTIF(A:A,A616)&gt;1,_xlfn.CONCAT(A616," (",N616,")"),A616)</f>
        <v>Yàduī Xiāng</v>
      </c>
      <c r="C616" t="str">
        <f>IF(COUNTIF(B:B,B616)&gt;1,_xlfn.CONCAT(A616," (",M616,")"),B616)</f>
        <v>Yàduī Xiāng</v>
      </c>
      <c r="D616" t="s">
        <v>1385</v>
      </c>
      <c r="E616" t="s">
        <v>7</v>
      </c>
      <c r="F616" t="str">
        <f>_xlfn.CONCAT(D616,", ",H616,", ",I616,", ","西藏自治区")</f>
        <v>亚堆乡, 乃东区, 山南市, 西藏自治区</v>
      </c>
      <c r="G616">
        <v>6843</v>
      </c>
      <c r="H616" t="s">
        <v>1485</v>
      </c>
      <c r="I616" t="s">
        <v>1477</v>
      </c>
      <c r="J616" t="e">
        <f>VLOOKUP(F616,[1]!china_towns_second__2[[Column1]:[Y]],3,FALSE)</f>
        <v>#N/A</v>
      </c>
      <c r="K616" t="e">
        <f>VLOOKUP(F616,[1]!china_towns_second__2[[Column1]:[Y]],2,FALSE)</f>
        <v>#N/A</v>
      </c>
      <c r="L616" t="s">
        <v>2274</v>
      </c>
      <c r="M616" t="str">
        <f>VLOOKUP(H616,CHOOSE({1,2},Table8[Native],Table8[Name]),2,0)</f>
        <v>Năidōng Qū</v>
      </c>
      <c r="N616" s="13" t="str">
        <f>VLOOKUP(I616,CHOOSE({1,2},Table8[Native],Table8[Name]),2,0)</f>
        <v>Shānnán Shì</v>
      </c>
      <c r="O616" s="13" t="str">
        <f t="shared" si="18"/>
        <v>Yadui Xiang (Shānnán Shì)</v>
      </c>
      <c r="P616" s="13" t="str">
        <f t="shared" si="19"/>
        <v>Yadui Xiang (Shānnán Shì)</v>
      </c>
    </row>
    <row r="617" spans="1:16" x14ac:dyDescent="0.25">
      <c r="A617" t="s">
        <v>813</v>
      </c>
      <c r="B617" t="str">
        <f>IF(COUNTIF(A:A,A617)&gt;1,_xlfn.CONCAT(A617," (",N617,")"),A617)</f>
        <v>Yàlā Zhèn</v>
      </c>
      <c r="C617" t="str">
        <f>IF(COUNTIF(B:B,B617)&gt;1,_xlfn.CONCAT(A617," (",M617,")"),B617)</f>
        <v>Yàlā Zhèn</v>
      </c>
      <c r="D617" t="s">
        <v>814</v>
      </c>
      <c r="E617" t="s">
        <v>17</v>
      </c>
      <c r="F617" t="str">
        <f>_xlfn.CONCAT(D617,", ",H617,", ",I617,", ","西藏自治区")</f>
        <v>亚拉镇, 索县, 那曲市, 西藏自治区</v>
      </c>
      <c r="G617">
        <v>9785</v>
      </c>
      <c r="H617" t="s">
        <v>1457</v>
      </c>
      <c r="I617" t="s">
        <v>1445</v>
      </c>
      <c r="J617">
        <f>VLOOKUP(F617,[1]!china_towns_second__2[[Column1]:[Y]],3,FALSE)</f>
        <v>31.8596219075304</v>
      </c>
      <c r="K617">
        <f>VLOOKUP(F617,[1]!china_towns_second__2[[Column1]:[Y]],2,FALSE)</f>
        <v>93.756021750000002</v>
      </c>
      <c r="L617" t="s">
        <v>2275</v>
      </c>
      <c r="M617" t="str">
        <f>VLOOKUP(H617,CHOOSE({1,2},Table8[Native],Table8[Name]),2,0)</f>
        <v>Suŏ Xiàn</v>
      </c>
      <c r="N617" s="13" t="str">
        <f>VLOOKUP(I617,CHOOSE({1,2},Table8[Native],Table8[Name]),2,0)</f>
        <v>Nàqŭ Shì</v>
      </c>
      <c r="O617" s="13" t="str">
        <f t="shared" si="18"/>
        <v>Yala Zhen (Nàqŭ Shì)</v>
      </c>
      <c r="P617" s="13" t="str">
        <f t="shared" si="19"/>
        <v>Yala Zhen (Nàqŭ Shì)</v>
      </c>
    </row>
    <row r="618" spans="1:16" hidden="1" x14ac:dyDescent="0.25">
      <c r="A618" t="s">
        <v>1212</v>
      </c>
      <c r="B618" t="str">
        <f>IF(COUNTIF(A:A,A618)&gt;1,_xlfn.CONCAT(A618," (",N618,")"),A618)</f>
        <v>Yàlái Xiāng</v>
      </c>
      <c r="C618" t="str">
        <f>IF(COUNTIF(B:B,B618)&gt;1,_xlfn.CONCAT(A618," (",M618,")"),B618)</f>
        <v>Yàlái Xiāng</v>
      </c>
      <c r="D618" t="s">
        <v>1213</v>
      </c>
      <c r="E618" t="s">
        <v>7</v>
      </c>
      <c r="F618" t="str">
        <f>_xlfn.CONCAT(D618,", ",H618,", ",I618,", ","西藏自治区")</f>
        <v>亚来乡, 聂拉木县, 日喀则市, 西藏自治区</v>
      </c>
      <c r="G618">
        <v>1555</v>
      </c>
      <c r="H618" t="s">
        <v>1469</v>
      </c>
      <c r="I618" t="s">
        <v>1458</v>
      </c>
      <c r="J618" t="e">
        <f>VLOOKUP(F618,[1]!china_towns_second__2[[Column1]:[Y]],3,FALSE)</f>
        <v>#N/A</v>
      </c>
      <c r="K618" t="e">
        <f>VLOOKUP(F618,[1]!china_towns_second__2[[Column1]:[Y]],2,FALSE)</f>
        <v>#N/A</v>
      </c>
      <c r="L618" t="s">
        <v>2276</v>
      </c>
      <c r="M618" t="str">
        <f>VLOOKUP(H618,CHOOSE({1,2},Table8[Native],Table8[Name]),2,0)</f>
        <v>Nièlāmù Xiàn</v>
      </c>
      <c r="N618" s="13" t="str">
        <f>VLOOKUP(I618,CHOOSE({1,2},Table8[Native],Table8[Name]),2,0)</f>
        <v>Rìkāzé Shì</v>
      </c>
      <c r="O618" s="13" t="str">
        <f t="shared" si="18"/>
        <v>Yalai Xiang (Rìkāzé Shì)</v>
      </c>
      <c r="P618" s="13" t="str">
        <f t="shared" si="19"/>
        <v>Yalai Xiang (Rìkāzé Shì)</v>
      </c>
    </row>
    <row r="619" spans="1:16" hidden="1" x14ac:dyDescent="0.25">
      <c r="A619" t="s">
        <v>1214</v>
      </c>
      <c r="B619" t="str">
        <f>IF(COUNTIF(A:A,A619)&gt;1,_xlfn.CONCAT(A619," (",N619,")"),A619)</f>
        <v>Yàmù Xiāng</v>
      </c>
      <c r="C619" t="str">
        <f>IF(COUNTIF(B:B,B619)&gt;1,_xlfn.CONCAT(A619," (",M619,")"),B619)</f>
        <v>Yàmù Xiāng</v>
      </c>
      <c r="D619" t="s">
        <v>1215</v>
      </c>
      <c r="E619" t="s">
        <v>7</v>
      </c>
      <c r="F619" t="str">
        <f>_xlfn.CONCAT(D619,", ",H619,", ",I619,", ","西藏自治区")</f>
        <v>亚木乡, 昂仁县, 日喀则市, 西藏自治区</v>
      </c>
      <c r="G619">
        <v>6313</v>
      </c>
      <c r="H619" t="s">
        <v>1459</v>
      </c>
      <c r="I619" t="s">
        <v>1458</v>
      </c>
      <c r="J619" t="e">
        <f>VLOOKUP(F619,[1]!china_towns_second__2[[Column1]:[Y]],3,FALSE)</f>
        <v>#N/A</v>
      </c>
      <c r="K619" t="e">
        <f>VLOOKUP(F619,[1]!china_towns_second__2[[Column1]:[Y]],2,FALSE)</f>
        <v>#N/A</v>
      </c>
      <c r="L619" t="s">
        <v>2277</v>
      </c>
      <c r="M619" t="str">
        <f>VLOOKUP(H619,CHOOSE({1,2},Table8[Native],Table8[Name]),2,0)</f>
        <v>Ángrén Xiàn</v>
      </c>
      <c r="N619" s="13" t="str">
        <f>VLOOKUP(I619,CHOOSE({1,2},Table8[Native],Table8[Name]),2,0)</f>
        <v>Rìkāzé Shì</v>
      </c>
      <c r="O619" s="13" t="str">
        <f t="shared" si="18"/>
        <v>Yamu Xiang (Rìkāzé Shì)</v>
      </c>
      <c r="P619" s="13" t="str">
        <f t="shared" si="19"/>
        <v>Yamu Xiang (Rìkāzé Shì)</v>
      </c>
    </row>
    <row r="620" spans="1:16" hidden="1" x14ac:dyDescent="0.25">
      <c r="A620" t="s">
        <v>337</v>
      </c>
      <c r="B620" t="str">
        <f>IF(COUNTIF(A:A,A620)&gt;1,_xlfn.CONCAT(A620," (",N620,")"),A620)</f>
        <v>Yánbĭ Xiāng</v>
      </c>
      <c r="C620" t="str">
        <f>IF(COUNTIF(B:B,B620)&gt;1,_xlfn.CONCAT(A620," (",M620,")"),B620)</f>
        <v>Yánbĭ Xiāng</v>
      </c>
      <c r="D620" t="s">
        <v>338</v>
      </c>
      <c r="E620" t="s">
        <v>7</v>
      </c>
      <c r="F620" t="str">
        <f>_xlfn.CONCAT(D620,", ",H620,", ",I620,", ","西藏自治区")</f>
        <v>岩比乡, 江达县, 昌都市, 西藏自治区</v>
      </c>
      <c r="G620">
        <v>3852</v>
      </c>
      <c r="H620" t="s">
        <v>1421</v>
      </c>
      <c r="I620" t="s">
        <v>1415</v>
      </c>
      <c r="J620" t="e">
        <f>VLOOKUP(F620,[1]!china_towns_second__2[[Column1]:[Y]],3,FALSE)</f>
        <v>#N/A</v>
      </c>
      <c r="K620" t="e">
        <f>VLOOKUP(F620,[1]!china_towns_second__2[[Column1]:[Y]],2,FALSE)</f>
        <v>#N/A</v>
      </c>
      <c r="L620" t="s">
        <v>2278</v>
      </c>
      <c r="M620" t="str">
        <f>VLOOKUP(H620,CHOOSE({1,2},Table8[Native],Table8[Name]),2,0)</f>
        <v>Jiāngdá Xiàn</v>
      </c>
      <c r="N620" s="13" t="str">
        <f>VLOOKUP(I620,CHOOSE({1,2},Table8[Native],Table8[Name]),2,0)</f>
        <v>Chāngdū Shì</v>
      </c>
      <c r="O620" s="13" t="str">
        <f t="shared" si="18"/>
        <v>Yanbi Xiang (Chāngdū Shì)</v>
      </c>
      <c r="P620" s="13" t="str">
        <f t="shared" si="19"/>
        <v>Yanbi Xiang (Chāngdū Shì)</v>
      </c>
    </row>
    <row r="621" spans="1:16" x14ac:dyDescent="0.25">
      <c r="A621" t="s">
        <v>339</v>
      </c>
      <c r="B621" t="str">
        <f>IF(COUNTIF(A:A,A621)&gt;1,_xlfn.CONCAT(A621," (",N621,")"),A621)</f>
        <v>Yānduō Zhèn</v>
      </c>
      <c r="C621" t="str">
        <f>IF(COUNTIF(B:B,B621)&gt;1,_xlfn.CONCAT(A621," (",M621,")"),B621)</f>
        <v>Yānduō Zhèn</v>
      </c>
      <c r="D621" t="s">
        <v>340</v>
      </c>
      <c r="E621" t="s">
        <v>17</v>
      </c>
      <c r="F621" t="str">
        <f>_xlfn.CONCAT(D621,", ",H621,", ",I621,", ","西藏自治区")</f>
        <v>烟多镇, 察雅县, 昌都市, 西藏自治区</v>
      </c>
      <c r="G621">
        <v>7878</v>
      </c>
      <c r="H621" t="s">
        <v>1418</v>
      </c>
      <c r="I621" t="s">
        <v>1415</v>
      </c>
      <c r="J621">
        <f>VLOOKUP(F621,[1]!china_towns_second__2[[Column1]:[Y]],3,FALSE)</f>
        <v>30.710246297591901</v>
      </c>
      <c r="K621">
        <f>VLOOKUP(F621,[1]!china_towns_second__2[[Column1]:[Y]],2,FALSE)</f>
        <v>97.534547799999999</v>
      </c>
      <c r="L621" t="s">
        <v>2279</v>
      </c>
      <c r="M621" t="str">
        <f>VLOOKUP(H621,CHOOSE({1,2},Table8[Native],Table8[Name]),2,0)</f>
        <v>Cháyă Xiàn</v>
      </c>
      <c r="N621" s="13" t="str">
        <f>VLOOKUP(I621,CHOOSE({1,2},Table8[Native],Table8[Name]),2,0)</f>
        <v>Chāngdū Shì</v>
      </c>
      <c r="O621" s="13" t="str">
        <f t="shared" si="18"/>
        <v>Yanduo Zhen (Chāngdū Shì)</v>
      </c>
      <c r="P621" s="13" t="str">
        <f t="shared" si="19"/>
        <v>Yanduo Zhen (Chāngdū Shì)</v>
      </c>
    </row>
    <row r="622" spans="1:16" x14ac:dyDescent="0.25">
      <c r="A622" t="s">
        <v>490</v>
      </c>
      <c r="B622" t="str">
        <f>IF(COUNTIF(A:A,A622)&gt;1,_xlfn.CONCAT(A622," (",N622,")"),A622)</f>
        <v>Yángbājĭng Zhèn</v>
      </c>
      <c r="C622" t="str">
        <f>IF(COUNTIF(B:B,B622)&gt;1,_xlfn.CONCAT(A622," (",M622,")"),B622)</f>
        <v>Yángbājĭng Zhèn</v>
      </c>
      <c r="D622" t="s">
        <v>491</v>
      </c>
      <c r="E622" t="s">
        <v>17</v>
      </c>
      <c r="F622" t="str">
        <f>_xlfn.CONCAT(D622,", ",H622,", ",I622,", ","西藏自治区")</f>
        <v>羊八井镇, 当雄县, 拉萨市, 西藏自治区</v>
      </c>
      <c r="G622">
        <v>5017</v>
      </c>
      <c r="H622" t="s">
        <v>1430</v>
      </c>
      <c r="I622" t="s">
        <v>1428</v>
      </c>
      <c r="J622">
        <f>VLOOKUP(F622,[1]!china_towns_second__2[[Column1]:[Y]],3,FALSE)</f>
        <v>30.181552469233001</v>
      </c>
      <c r="K622">
        <f>VLOOKUP(F622,[1]!china_towns_second__2[[Column1]:[Y]],2,FALSE)</f>
        <v>90.484377820000006</v>
      </c>
      <c r="L622" t="s">
        <v>2280</v>
      </c>
      <c r="M622" t="str">
        <f>VLOOKUP(H622,CHOOSE({1,2},Table8[Native],Table8[Name]),2,0)</f>
        <v>Dāngxióng Xiàn</v>
      </c>
      <c r="N622" s="13" t="str">
        <f>VLOOKUP(I622,CHOOSE({1,2},Table8[Native],Table8[Name]),2,0)</f>
        <v>Lāsà Shì</v>
      </c>
      <c r="O622" s="13" t="str">
        <f t="shared" si="18"/>
        <v>Yangbajing Zhen (Lāsà Shì)</v>
      </c>
      <c r="P622" s="13" t="str">
        <f t="shared" si="19"/>
        <v>Yangbajing Zhen (Lāsà Shì)</v>
      </c>
    </row>
    <row r="623" spans="1:16" hidden="1" x14ac:dyDescent="0.25">
      <c r="A623" t="s">
        <v>492</v>
      </c>
      <c r="B623" t="str">
        <f>IF(COUNTIF(A:A,A623)&gt;1,_xlfn.CONCAT(A623," (",N623,")"),A623)</f>
        <v>Yángdá Jiēdào</v>
      </c>
      <c r="C623" t="str">
        <f>IF(COUNTIF(B:B,B623)&gt;1,_xlfn.CONCAT(A623," (",M623,")"),B623)</f>
        <v>Yángdá Jiēdào</v>
      </c>
      <c r="D623" t="s">
        <v>493</v>
      </c>
      <c r="E623" t="s">
        <v>374</v>
      </c>
      <c r="F623" t="str">
        <f>_xlfn.CONCAT(D623,", ",H623,", ",I623,", ","西藏自治区")</f>
        <v>羊达乡, 堆龙德庆区, 拉萨市, 西藏自治区</v>
      </c>
      <c r="G623">
        <v>4860</v>
      </c>
      <c r="H623" t="s">
        <v>1432</v>
      </c>
      <c r="I623" t="s">
        <v>1428</v>
      </c>
      <c r="J623" t="e">
        <f>VLOOKUP(F623,[1]!china_towns_second__2[[Column1]:[Y]],3,FALSE)</f>
        <v>#N/A</v>
      </c>
      <c r="K623" t="e">
        <f>VLOOKUP(F623,[1]!china_towns_second__2[[Column1]:[Y]],2,FALSE)</f>
        <v>#N/A</v>
      </c>
      <c r="L623" t="s">
        <v>2281</v>
      </c>
      <c r="M623" t="str">
        <f>VLOOKUP(H623,CHOOSE({1,2},Table8[Native],Table8[Name]),2,0)</f>
        <v>Duīlóngdéqìng Qū</v>
      </c>
      <c r="N623" s="13" t="str">
        <f>VLOOKUP(I623,CHOOSE({1,2},Table8[Native],Table8[Name]),2,0)</f>
        <v>Lāsà Shì</v>
      </c>
      <c r="O623" s="13" t="str">
        <f t="shared" si="18"/>
        <v>Yangda Jiedao (Lāsà Shì)</v>
      </c>
      <c r="P623" s="13" t="str">
        <f t="shared" si="19"/>
        <v>Yangda Jiedao (Lāsà Shì)</v>
      </c>
    </row>
    <row r="624" spans="1:16" hidden="1" x14ac:dyDescent="0.25">
      <c r="A624" t="s">
        <v>815</v>
      </c>
      <c r="B624" t="str">
        <f>IF(COUNTIF(A:A,A624)&gt;1,_xlfn.CONCAT(A624," (",N624,")"),A624)</f>
        <v>Yángxiù Xiāng</v>
      </c>
      <c r="C624" t="str">
        <f>IF(COUNTIF(B:B,B624)&gt;1,_xlfn.CONCAT(A624," (",M624,")"),B624)</f>
        <v>Yángxiù Xiāng</v>
      </c>
      <c r="D624" t="s">
        <v>816</v>
      </c>
      <c r="E624" t="s">
        <v>7</v>
      </c>
      <c r="F624" t="str">
        <f>_xlfn.CONCAT(D624,", ",H624,", ",I624,", ","西藏自治区")</f>
        <v>羊秀乡, 比如县, 那曲市, 西藏自治区</v>
      </c>
      <c r="G624">
        <v>5307</v>
      </c>
      <c r="H624" t="s">
        <v>1449</v>
      </c>
      <c r="I624" t="s">
        <v>1445</v>
      </c>
      <c r="J624" t="e">
        <f>VLOOKUP(F624,[1]!china_towns_second__2[[Column1]:[Y]],3,FALSE)</f>
        <v>#N/A</v>
      </c>
      <c r="K624" t="e">
        <f>VLOOKUP(F624,[1]!china_towns_second__2[[Column1]:[Y]],2,FALSE)</f>
        <v>#N/A</v>
      </c>
      <c r="L624" t="s">
        <v>2282</v>
      </c>
      <c r="M624" t="str">
        <f>VLOOKUP(H624,CHOOSE({1,2},Table8[Native],Table8[Name]),2,0)</f>
        <v>Bĭrú Xiàn</v>
      </c>
      <c r="N624" s="13" t="str">
        <f>VLOOKUP(I624,CHOOSE({1,2},Table8[Native],Table8[Name]),2,0)</f>
        <v>Nàqŭ Shì</v>
      </c>
      <c r="O624" s="13" t="str">
        <f t="shared" si="18"/>
        <v>Yangxiu Xiang (Nàqŭ Shì)</v>
      </c>
      <c r="P624" s="13" t="str">
        <f t="shared" si="19"/>
        <v>Yangxiu Xiang (Nàqŭ Shì)</v>
      </c>
    </row>
    <row r="625" spans="1:16" hidden="1" x14ac:dyDescent="0.25">
      <c r="A625" t="s">
        <v>78</v>
      </c>
      <c r="B625" t="str">
        <f>IF(COUNTIF(A:A,A625)&gt;1,_xlfn.CONCAT(A625," (",N625,")"),A625)</f>
        <v>Yánhú Xiāng</v>
      </c>
      <c r="C625" t="str">
        <f>IF(COUNTIF(B:B,B625)&gt;1,_xlfn.CONCAT(A625," (",M625,")"),B625)</f>
        <v>Yánhú Xiāng</v>
      </c>
      <c r="D625" t="s">
        <v>79</v>
      </c>
      <c r="E625" t="s">
        <v>7</v>
      </c>
      <c r="F625" t="str">
        <f>_xlfn.CONCAT(D625,", ",H625,", ",I625,", ","西藏自治区")</f>
        <v>盐湖乡, 革吉县, 阿里地区, 西藏自治区</v>
      </c>
      <c r="G625">
        <v>3124</v>
      </c>
      <c r="H625" t="s">
        <v>1410</v>
      </c>
      <c r="I625" t="s">
        <v>1405</v>
      </c>
      <c r="J625" t="e">
        <f>VLOOKUP(F625,[1]!china_towns_second__2[[Column1]:[Y]],3,FALSE)</f>
        <v>#N/A</v>
      </c>
      <c r="K625" t="e">
        <f>VLOOKUP(F625,[1]!china_towns_second__2[[Column1]:[Y]],2,FALSE)</f>
        <v>#N/A</v>
      </c>
      <c r="L625" t="s">
        <v>2283</v>
      </c>
      <c r="M625" t="str">
        <f>VLOOKUP(H625,CHOOSE({1,2},Table8[Native],Table8[Name]),2,0)</f>
        <v>Géjí Xiàn</v>
      </c>
      <c r="N625" s="13" t="str">
        <f>VLOOKUP(I625,CHOOSE({1,2},Table8[Native],Table8[Name]),2,0)</f>
        <v>Ālĭ Dìqū</v>
      </c>
      <c r="O625" s="13" t="str">
        <f t="shared" si="18"/>
        <v>Yanhu Xiang (Ālĭ Dìqū)</v>
      </c>
      <c r="P625" s="13" t="str">
        <f t="shared" si="19"/>
        <v>Yanhu Xiang (Ālĭ Dìqū)</v>
      </c>
    </row>
    <row r="626" spans="1:16" x14ac:dyDescent="0.25">
      <c r="A626" t="s">
        <v>817</v>
      </c>
      <c r="B626" t="str">
        <f>IF(COUNTIF(A:A,A626)&gt;1,_xlfn.CONCAT(A626," (",N626,")"),A626)</f>
        <v>Yànshípíng Zhèn [in: Qīnghăi]</v>
      </c>
      <c r="C626" t="str">
        <f>IF(COUNTIF(B:B,B626)&gt;1,_xlfn.CONCAT(A626," (",M626,")"),B626)</f>
        <v>Yànshípíng Zhèn [in: Qīnghăi]</v>
      </c>
      <c r="D626" t="s">
        <v>818</v>
      </c>
      <c r="E626" t="s">
        <v>17</v>
      </c>
      <c r="F626" t="str">
        <f>_xlfn.CONCAT(D626,", ",H626,", ",I626,", ","西藏自治区")</f>
        <v>雁石坪镇, 安多县, 那曲市, 西藏自治区</v>
      </c>
      <c r="G626">
        <v>2876</v>
      </c>
      <c r="H626" t="s">
        <v>1446</v>
      </c>
      <c r="I626" t="s">
        <v>1445</v>
      </c>
      <c r="J626">
        <f>VLOOKUP(F626,[1]!china_towns_second__2[[Column1]:[Y]],3,FALSE)</f>
        <v>33.597560000000001</v>
      </c>
      <c r="K626">
        <f>VLOOKUP(F626,[1]!china_towns_second__2[[Column1]:[Y]],2,FALSE)</f>
        <v>92.069452999999996</v>
      </c>
      <c r="L626" t="s">
        <v>2284</v>
      </c>
      <c r="M626" t="str">
        <f>VLOOKUP(H626,CHOOSE({1,2},Table8[Native],Table8[Name]),2,0)</f>
        <v>Ānduō Xiàn</v>
      </c>
      <c r="N626" s="13" t="str">
        <f>VLOOKUP(I626,CHOOSE({1,2},Table8[Native],Table8[Name]),2,0)</f>
        <v>Nàqŭ Shì</v>
      </c>
      <c r="O626" s="13" t="str">
        <f t="shared" si="18"/>
        <v>Yanshiping Zhen [in: Qinghai] (Nàqŭ Shì)</v>
      </c>
      <c r="P626" s="13" t="str">
        <f t="shared" si="19"/>
        <v>Yanshiping Zhen [in: Qinghai] (Nàqŭ Shì)</v>
      </c>
    </row>
    <row r="627" spans="1:16" hidden="1" x14ac:dyDescent="0.25">
      <c r="A627" t="s">
        <v>819</v>
      </c>
      <c r="B627" t="str">
        <f>IF(COUNTIF(A:A,A627)&gt;1,_xlfn.CONCAT(A627," (",N627,")"),A627)</f>
        <v>Yăqŭ Xiāng</v>
      </c>
      <c r="C627" t="str">
        <f>IF(COUNTIF(B:B,B627)&gt;1,_xlfn.CONCAT(A627," (",M627,")"),B627)</f>
        <v>Yăqŭ Xiāng</v>
      </c>
      <c r="D627" t="s">
        <v>820</v>
      </c>
      <c r="E627" t="s">
        <v>7</v>
      </c>
      <c r="F627" t="str">
        <f>_xlfn.CONCAT(D627,", ",H627,", ",I627,", ","西藏自治区")</f>
        <v>雅曲乡, 双湖县, 那曲市, 西藏自治区</v>
      </c>
      <c r="G627">
        <v>1051</v>
      </c>
      <c r="H627" t="s">
        <v>1456</v>
      </c>
      <c r="I627" t="s">
        <v>1445</v>
      </c>
      <c r="J627" t="e">
        <f>VLOOKUP(F627,[1]!china_towns_second__2[[Column1]:[Y]],3,FALSE)</f>
        <v>#N/A</v>
      </c>
      <c r="K627" t="e">
        <f>VLOOKUP(F627,[1]!china_towns_second__2[[Column1]:[Y]],2,FALSE)</f>
        <v>#N/A</v>
      </c>
      <c r="L627" t="s">
        <v>2285</v>
      </c>
      <c r="M627" t="str">
        <f>VLOOKUP(H627,CHOOSE({1,2},Table8[Native],Table8[Name]),2,0)</f>
        <v>Shuānghú Xiàn</v>
      </c>
      <c r="N627" s="13" t="str">
        <f>VLOOKUP(I627,CHOOSE({1,2},Table8[Native],Table8[Name]),2,0)</f>
        <v>Nàqŭ Shì</v>
      </c>
      <c r="O627" s="13" t="str">
        <f t="shared" si="18"/>
        <v>Yaqu Xiang (Nàqŭ Shì)</v>
      </c>
      <c r="P627" s="13" t="str">
        <f t="shared" si="19"/>
        <v>Yaqu Xiang (Nàqŭ Shì)</v>
      </c>
    </row>
    <row r="628" spans="1:16" hidden="1" x14ac:dyDescent="0.25">
      <c r="A628" t="s">
        <v>80</v>
      </c>
      <c r="B628" t="str">
        <f>IF(COUNTIF(A:A,A628)&gt;1,_xlfn.CONCAT(A628," (",N628,")"),A628)</f>
        <v>Yàrè Xiāng (Ālĭ Dìqū)</v>
      </c>
      <c r="C628" t="str">
        <f>IF(COUNTIF(B:B,B628)&gt;1,_xlfn.CONCAT(A628," (",M628,")"),B628)</f>
        <v>Yàrè Xiāng (Ālĭ Dìqū)</v>
      </c>
      <c r="D628" t="s">
        <v>81</v>
      </c>
      <c r="E628" t="s">
        <v>7</v>
      </c>
      <c r="F628" t="str">
        <f>_xlfn.CONCAT(D628,", ",H628,", ",I628,", ","西藏自治区")</f>
        <v>亚热乡, 革吉县, 阿里地区, 西藏自治区</v>
      </c>
      <c r="G628">
        <v>3345</v>
      </c>
      <c r="H628" t="s">
        <v>1410</v>
      </c>
      <c r="I628" t="s">
        <v>1405</v>
      </c>
      <c r="J628" t="e">
        <f>VLOOKUP(F628,[1]!china_towns_second__2[[Column1]:[Y]],3,FALSE)</f>
        <v>#N/A</v>
      </c>
      <c r="K628" t="e">
        <f>VLOOKUP(F628,[1]!china_towns_second__2[[Column1]:[Y]],2,FALSE)</f>
        <v>#N/A</v>
      </c>
      <c r="L628" t="s">
        <v>2286</v>
      </c>
      <c r="M628" t="str">
        <f>VLOOKUP(H628,CHOOSE({1,2},Table8[Native],Table8[Name]),2,0)</f>
        <v>Géjí Xiàn</v>
      </c>
      <c r="N628" s="13" t="str">
        <f>VLOOKUP(I628,CHOOSE({1,2},Table8[Native],Table8[Name]),2,0)</f>
        <v>Ālĭ Dìqū</v>
      </c>
      <c r="O628" s="13" t="str">
        <f t="shared" si="18"/>
        <v>Yare Xiang (Ali Diqu) (Ālĭ Dìqū)</v>
      </c>
      <c r="P628" s="13" t="str">
        <f t="shared" si="19"/>
        <v>Yare Xiang (Ali Diqu) (Ālĭ Dìqū)</v>
      </c>
    </row>
    <row r="629" spans="1:16" hidden="1" x14ac:dyDescent="0.25">
      <c r="A629" t="s">
        <v>80</v>
      </c>
      <c r="B629" t="str">
        <f>IF(COUNTIF(A:A,A629)&gt;1,_xlfn.CONCAT(A629," (",N629,")"),A629)</f>
        <v>Yàrè Xiāng (Rìkāzé Shì)</v>
      </c>
      <c r="C629" t="str">
        <f>IF(COUNTIF(B:B,B629)&gt;1,_xlfn.CONCAT(A629," (",M629,")"),B629)</f>
        <v>Yàrè Xiāng (Rìkāzé Shì)</v>
      </c>
      <c r="D629" t="s">
        <v>81</v>
      </c>
      <c r="E629" t="s">
        <v>7</v>
      </c>
      <c r="F629" t="str">
        <f>_xlfn.CONCAT(D629,", ",H629,", ",I629,", ","西藏自治区")</f>
        <v>亚热乡, 仲巴县, 日喀则市, 西藏自治区</v>
      </c>
      <c r="G629">
        <v>1342</v>
      </c>
      <c r="H629" t="s">
        <v>1476</v>
      </c>
      <c r="I629" t="s">
        <v>1458</v>
      </c>
      <c r="J629" t="e">
        <f>VLOOKUP(F629,[1]!china_towns_second__2[[Column1]:[Y]],3,FALSE)</f>
        <v>#N/A</v>
      </c>
      <c r="K629" t="e">
        <f>VLOOKUP(F629,[1]!china_towns_second__2[[Column1]:[Y]],2,FALSE)</f>
        <v>#N/A</v>
      </c>
      <c r="L629" t="s">
        <v>2287</v>
      </c>
      <c r="M629" t="str">
        <f>VLOOKUP(H629,CHOOSE({1,2},Table8[Native],Table8[Name]),2,0)</f>
        <v>Zhòngbā Xiàn</v>
      </c>
      <c r="N629" s="13" t="str">
        <f>VLOOKUP(I629,CHOOSE({1,2},Table8[Native],Table8[Name]),2,0)</f>
        <v>Rìkāzé Shì</v>
      </c>
      <c r="O629" s="13" t="str">
        <f t="shared" si="18"/>
        <v>Yare Xiang (Rikaze Shi) (Rìkāzé Shì)</v>
      </c>
      <c r="P629" s="13" t="str">
        <f t="shared" si="19"/>
        <v>Yare Xiang (Rikaze Shi) (Rìkāzé Shì)</v>
      </c>
    </row>
    <row r="630" spans="1:16" hidden="1" x14ac:dyDescent="0.25">
      <c r="A630" t="s">
        <v>595</v>
      </c>
      <c r="B630" t="str">
        <f>IF(COUNTIF(A:A,A630)&gt;1,_xlfn.CONCAT(A630," (",N630,")"),A630)</f>
        <v>Yìgòng Xiāng</v>
      </c>
      <c r="C630" t="str">
        <f>IF(COUNTIF(B:B,B630)&gt;1,_xlfn.CONCAT(A630," (",M630,")"),B630)</f>
        <v>Yìgòng Xiāng</v>
      </c>
      <c r="D630" t="s">
        <v>596</v>
      </c>
      <c r="E630" t="s">
        <v>7</v>
      </c>
      <c r="F630" t="str">
        <f>_xlfn.CONCAT(D630,", ",H630,", ",I630,", ","西藏自治区")</f>
        <v>易贡乡, 波密县, 林芝市, 西藏自治区</v>
      </c>
      <c r="G630">
        <v>2242</v>
      </c>
      <c r="H630" t="s">
        <v>1439</v>
      </c>
      <c r="I630" t="s">
        <v>1437</v>
      </c>
      <c r="J630" t="e">
        <f>VLOOKUP(F630,[1]!china_towns_second__2[[Column1]:[Y]],3,FALSE)</f>
        <v>#N/A</v>
      </c>
      <c r="K630" t="e">
        <f>VLOOKUP(F630,[1]!china_towns_second__2[[Column1]:[Y]],2,FALSE)</f>
        <v>#N/A</v>
      </c>
      <c r="L630" t="s">
        <v>2288</v>
      </c>
      <c r="M630" t="str">
        <f>VLOOKUP(H630,CHOOSE({1,2},Table8[Native],Table8[Name]),2,0)</f>
        <v>Bōmì Xiàn</v>
      </c>
      <c r="N630" s="13" t="str">
        <f>VLOOKUP(I630,CHOOSE({1,2},Table8[Native],Table8[Name]),2,0)</f>
        <v>Línzhī Shì</v>
      </c>
      <c r="O630" s="13" t="str">
        <f t="shared" si="18"/>
        <v>Yigong Xiang (Línzhī Shì)</v>
      </c>
      <c r="P630" s="13" t="str">
        <f t="shared" si="19"/>
        <v>Yigong Xiang (Línzhī Shì)</v>
      </c>
    </row>
    <row r="631" spans="1:16" hidden="1" x14ac:dyDescent="0.25">
      <c r="A631" t="s">
        <v>341</v>
      </c>
      <c r="B631" t="str">
        <f>IF(COUNTIF(A:A,A631)&gt;1,_xlfn.CONCAT(A631," (",N631,")"),A631)</f>
        <v>Yìqìng Xiāng</v>
      </c>
      <c r="C631" t="str">
        <f>IF(COUNTIF(B:B,B631)&gt;1,_xlfn.CONCAT(A631," (",M631,")"),B631)</f>
        <v>Yìqìng Xiāng</v>
      </c>
      <c r="D631" t="s">
        <v>342</v>
      </c>
      <c r="E631" t="s">
        <v>7</v>
      </c>
      <c r="F631" t="str">
        <f>_xlfn.CONCAT(D631,", ",H631,", ",I631,", ","西藏自治区")</f>
        <v>益庆乡, 八宿县, 昌都市, 西藏自治区</v>
      </c>
      <c r="G631">
        <v>2602</v>
      </c>
      <c r="H631" t="s">
        <v>1416</v>
      </c>
      <c r="I631" t="s">
        <v>1415</v>
      </c>
      <c r="J631" t="e">
        <f>VLOOKUP(F631,[1]!china_towns_second__2[[Column1]:[Y]],3,FALSE)</f>
        <v>#N/A</v>
      </c>
      <c r="K631" t="e">
        <f>VLOOKUP(F631,[1]!china_towns_second__2[[Column1]:[Y]],2,FALSE)</f>
        <v>#N/A</v>
      </c>
      <c r="L631" t="s">
        <v>2289</v>
      </c>
      <c r="M631" t="str">
        <f>VLOOKUP(H631,CHOOSE({1,2},Table8[Native],Table8[Name]),2,0)</f>
        <v>Bāsù Xiàn</v>
      </c>
      <c r="N631" s="13" t="str">
        <f>VLOOKUP(I631,CHOOSE({1,2},Table8[Native],Table8[Name]),2,0)</f>
        <v>Chāngdū Shì</v>
      </c>
      <c r="O631" s="13" t="str">
        <f t="shared" si="18"/>
        <v>Yiqing Xiang (Chāngdū Shì)</v>
      </c>
      <c r="P631" s="13" t="str">
        <f t="shared" si="19"/>
        <v>Yiqing Xiang (Chāngdū Shì)</v>
      </c>
    </row>
    <row r="632" spans="1:16" hidden="1" x14ac:dyDescent="0.25">
      <c r="A632" t="s">
        <v>343</v>
      </c>
      <c r="B632" t="str">
        <f>IF(COUNTIF(A:A,A632)&gt;1,_xlfn.CONCAT(A632," (",N632,")"),A632)</f>
        <v>Yīrì Xiāng</v>
      </c>
      <c r="C632" t="str">
        <f>IF(COUNTIF(B:B,B632)&gt;1,_xlfn.CONCAT(A632," (",M632,")"),B632)</f>
        <v>Yīrì Xiāng</v>
      </c>
      <c r="D632" t="s">
        <v>344</v>
      </c>
      <c r="E632" t="s">
        <v>7</v>
      </c>
      <c r="F632" t="str">
        <f>_xlfn.CONCAT(D632,", ",H632,", ",I632,", ","西藏自治区")</f>
        <v>伊日乡, 类乌齐县, 昌都市, 西藏自治区</v>
      </c>
      <c r="G632">
        <v>2707</v>
      </c>
      <c r="H632" t="s">
        <v>1424</v>
      </c>
      <c r="I632" t="s">
        <v>1415</v>
      </c>
      <c r="J632" t="e">
        <f>VLOOKUP(F632,[1]!china_towns_second__2[[Column1]:[Y]],3,FALSE)</f>
        <v>#N/A</v>
      </c>
      <c r="K632" t="e">
        <f>VLOOKUP(F632,[1]!china_towns_second__2[[Column1]:[Y]],2,FALSE)</f>
        <v>#N/A</v>
      </c>
      <c r="L632" t="s">
        <v>2290</v>
      </c>
      <c r="M632" t="str">
        <f>VLOOKUP(H632,CHOOSE({1,2},Table8[Native],Table8[Name]),2,0)</f>
        <v>Lèiwūqí Xiàn</v>
      </c>
      <c r="N632" s="13" t="str">
        <f>VLOOKUP(I632,CHOOSE({1,2},Table8[Native],Table8[Name]),2,0)</f>
        <v>Chāngdū Shì</v>
      </c>
      <c r="O632" s="13" t="str">
        <f t="shared" si="18"/>
        <v>Yiri Xiang (Chāngdū Shì)</v>
      </c>
      <c r="P632" s="13" t="str">
        <f t="shared" si="19"/>
        <v>Yiri Xiang (Chāngdū Shì)</v>
      </c>
    </row>
    <row r="633" spans="1:16" hidden="1" x14ac:dyDescent="0.25">
      <c r="A633" t="s">
        <v>345</v>
      </c>
      <c r="B633" t="str">
        <f>IF(COUNTIF(A:A,A633)&gt;1,_xlfn.CONCAT(A633," (",N633,")"),A633)</f>
        <v>Yōng Xiāng</v>
      </c>
      <c r="C633" t="str">
        <f>IF(COUNTIF(B:B,B633)&gt;1,_xlfn.CONCAT(A633," (",M633,")"),B633)</f>
        <v>Yōng Xiāng</v>
      </c>
      <c r="D633" t="s">
        <v>346</v>
      </c>
      <c r="E633" t="s">
        <v>7</v>
      </c>
      <c r="F633" t="str">
        <f>_xlfn.CONCAT(D633,", ",H633,", ",I633,", ","西藏自治区")</f>
        <v>拥乡, 八宿县, 昌都市, 西藏自治区</v>
      </c>
      <c r="G633">
        <v>1176</v>
      </c>
      <c r="H633" t="s">
        <v>1416</v>
      </c>
      <c r="I633" t="s">
        <v>1415</v>
      </c>
      <c r="J633" t="e">
        <f>VLOOKUP(F633,[1]!china_towns_second__2[[Column1]:[Y]],3,FALSE)</f>
        <v>#N/A</v>
      </c>
      <c r="K633" t="e">
        <f>VLOOKUP(F633,[1]!china_towns_second__2[[Column1]:[Y]],2,FALSE)</f>
        <v>#N/A</v>
      </c>
      <c r="L633" t="s">
        <v>2291</v>
      </c>
      <c r="M633" t="str">
        <f>VLOOKUP(H633,CHOOSE({1,2},Table8[Native],Table8[Name]),2,0)</f>
        <v>Bāsù Xiàn</v>
      </c>
      <c r="N633" s="13" t="str">
        <f>VLOOKUP(I633,CHOOSE({1,2},Table8[Native],Table8[Name]),2,0)</f>
        <v>Chāngdū Shì</v>
      </c>
      <c r="O633" s="13" t="str">
        <f t="shared" si="18"/>
        <v>Yong Xiang (Chāngdū Shì)</v>
      </c>
      <c r="P633" s="13" t="str">
        <f t="shared" si="19"/>
        <v>Yong Xiang (Chāngdū Shì)</v>
      </c>
    </row>
    <row r="634" spans="1:16" hidden="1" x14ac:dyDescent="0.25">
      <c r="A634" t="s">
        <v>821</v>
      </c>
      <c r="B634" t="str">
        <f>IF(COUNTIF(A:A,A634)&gt;1,_xlfn.CONCAT(A634," (",N634,")"),A634)</f>
        <v>Yŏngqŭ Xiāng [in: Qīnghăi (partly)]</v>
      </c>
      <c r="C634" t="str">
        <f>IF(COUNTIF(B:B,B634)&gt;1,_xlfn.CONCAT(A634," (",M634,")"),B634)</f>
        <v>Yŏngqŭ Xiāng [in: Qīnghăi (partly)]</v>
      </c>
      <c r="D634" t="s">
        <v>822</v>
      </c>
      <c r="E634" t="s">
        <v>7</v>
      </c>
      <c r="F634" t="str">
        <f>_xlfn.CONCAT(D634,", ",H634,", ",I634,", ","西藏自治区")</f>
        <v>永曲乡, 聂荣县, 那曲市, 西藏自治区</v>
      </c>
      <c r="G634">
        <v>1891</v>
      </c>
      <c r="H634" t="s">
        <v>1451</v>
      </c>
      <c r="I634" t="s">
        <v>1445</v>
      </c>
      <c r="J634" t="e">
        <f>VLOOKUP(F634,[1]!china_towns_second__2[[Column1]:[Y]],3,FALSE)</f>
        <v>#N/A</v>
      </c>
      <c r="K634" t="e">
        <f>VLOOKUP(F634,[1]!china_towns_second__2[[Column1]:[Y]],2,FALSE)</f>
        <v>#N/A</v>
      </c>
      <c r="L634" t="s">
        <v>2292</v>
      </c>
      <c r="M634" t="str">
        <f>VLOOKUP(H634,CHOOSE({1,2},Table8[Native],Table8[Name]),2,0)</f>
        <v>Nièróng Xiàn</v>
      </c>
      <c r="N634" s="13" t="str">
        <f>VLOOKUP(I634,CHOOSE({1,2},Table8[Native],Table8[Name]),2,0)</f>
        <v>Nàqŭ Shì</v>
      </c>
      <c r="O634" s="13" t="str">
        <f t="shared" si="18"/>
        <v>Yongqu Xiang [in: Qinghai (partly)] (Nàqŭ Shì)</v>
      </c>
      <c r="P634" s="13" t="str">
        <f t="shared" si="19"/>
        <v>Yongqu Xiang [in: Qinghai (partly)] (Nàqŭ Shì)</v>
      </c>
    </row>
    <row r="635" spans="1:16" hidden="1" x14ac:dyDescent="0.25">
      <c r="A635" t="s">
        <v>823</v>
      </c>
      <c r="B635" t="str">
        <f>IF(COUNTIF(A:A,A635)&gt;1,_xlfn.CONCAT(A635," (",N635,")"),A635)</f>
        <v>Yóuqià Xiāng</v>
      </c>
      <c r="C635" t="str">
        <f>IF(COUNTIF(B:B,B635)&gt;1,_xlfn.CONCAT(A635," (",M635,")"),B635)</f>
        <v>Yóuqià Xiāng</v>
      </c>
      <c r="D635" t="s">
        <v>824</v>
      </c>
      <c r="E635" t="s">
        <v>7</v>
      </c>
      <c r="F635" t="str">
        <f>_xlfn.CONCAT(D635,", ",H635,", ",I635,", ","西藏自治区")</f>
        <v>油恰乡, 色尼区, 那曲市, 西藏自治区</v>
      </c>
      <c r="G635">
        <v>5013</v>
      </c>
      <c r="H635" t="s">
        <v>1454</v>
      </c>
      <c r="I635" t="s">
        <v>1445</v>
      </c>
      <c r="J635" t="e">
        <f>VLOOKUP(F635,[1]!china_towns_second__2[[Column1]:[Y]],3,FALSE)</f>
        <v>#N/A</v>
      </c>
      <c r="K635" t="e">
        <f>VLOOKUP(F635,[1]!china_towns_second__2[[Column1]:[Y]],2,FALSE)</f>
        <v>#N/A</v>
      </c>
      <c r="L635" t="s">
        <v>2293</v>
      </c>
      <c r="M635" t="str">
        <f>VLOOKUP(H635,CHOOSE({1,2},Table8[Native],Table8[Name]),2,0)</f>
        <v>Sèní Qū</v>
      </c>
      <c r="N635" s="13" t="str">
        <f>VLOOKUP(I635,CHOOSE({1,2},Table8[Native],Table8[Name]),2,0)</f>
        <v>Nàqŭ Shì</v>
      </c>
      <c r="O635" s="13" t="str">
        <f t="shared" si="18"/>
        <v>Youqia Xiang (Nàqŭ Shì)</v>
      </c>
      <c r="P635" s="13" t="str">
        <f t="shared" si="19"/>
        <v>Youqia Xiang (Nàqŭ Shì)</v>
      </c>
    </row>
    <row r="636" spans="1:16" hidden="1" x14ac:dyDescent="0.25">
      <c r="A636" t="s">
        <v>347</v>
      </c>
      <c r="B636" t="str">
        <f>IF(COUNTIF(A:A,A636)&gt;1,_xlfn.CONCAT(A636," (",N636,")"),A636)</f>
        <v>Yuēbā Xiāng</v>
      </c>
      <c r="C636" t="str">
        <f>IF(COUNTIF(B:B,B636)&gt;1,_xlfn.CONCAT(A636," (",M636,")"),B636)</f>
        <v>Yuēbā Xiāng</v>
      </c>
      <c r="D636" t="s">
        <v>348</v>
      </c>
      <c r="E636" t="s">
        <v>7</v>
      </c>
      <c r="F636" t="str">
        <f>_xlfn.CONCAT(D636,", ",H636,", ",I636,", ","西藏自治区")</f>
        <v>约巴乡, 卡若区, 昌都市, 西藏自治区</v>
      </c>
      <c r="G636">
        <v>3736</v>
      </c>
      <c r="H636" t="s">
        <v>1423</v>
      </c>
      <c r="I636" t="s">
        <v>1415</v>
      </c>
      <c r="J636" t="e">
        <f>VLOOKUP(F636,[1]!china_towns_second__2[[Column1]:[Y]],3,FALSE)</f>
        <v>#N/A</v>
      </c>
      <c r="K636" t="e">
        <f>VLOOKUP(F636,[1]!china_towns_second__2[[Column1]:[Y]],2,FALSE)</f>
        <v>#N/A</v>
      </c>
      <c r="L636" t="s">
        <v>2294</v>
      </c>
      <c r="M636" t="str">
        <f>VLOOKUP(H636,CHOOSE({1,2},Table8[Native],Table8[Name]),2,0)</f>
        <v>Kǎruò Qū</v>
      </c>
      <c r="N636" s="13" t="str">
        <f>VLOOKUP(I636,CHOOSE({1,2},Table8[Native],Table8[Name]),2,0)</f>
        <v>Chāngdū Shì</v>
      </c>
      <c r="O636" s="13" t="str">
        <f t="shared" si="18"/>
        <v>Yueba Xiang (Chāngdū Shì)</v>
      </c>
      <c r="P636" s="13" t="str">
        <f t="shared" si="19"/>
        <v>Yueba Xiang (Chāngdū Shì)</v>
      </c>
    </row>
    <row r="637" spans="1:16" hidden="1" x14ac:dyDescent="0.25">
      <c r="A637" t="s">
        <v>1386</v>
      </c>
      <c r="B637" t="str">
        <f>IF(COUNTIF(A:A,A637)&gt;1,_xlfn.CONCAT(A637," (",N637,")"),A637)</f>
        <v>Yùmài Xiāng</v>
      </c>
      <c r="C637" t="str">
        <f>IF(COUNTIF(B:B,B637)&gt;1,_xlfn.CONCAT(A637," (",M637,")"),B637)</f>
        <v>Yùmài Xiāng</v>
      </c>
      <c r="D637" t="s">
        <v>1387</v>
      </c>
      <c r="E637" t="s">
        <v>7</v>
      </c>
      <c r="F637" t="str">
        <f>_xlfn.CONCAT(D637,", ",H637,", ",I637,", ","西藏自治区")</f>
        <v>玉麦乡, 隆子县, 山南市, 西藏自治区</v>
      </c>
      <c r="G637">
        <v>33</v>
      </c>
      <c r="H637" t="s">
        <v>1483</v>
      </c>
      <c r="I637" t="s">
        <v>1477</v>
      </c>
      <c r="J637" t="e">
        <f>VLOOKUP(F637,[1]!china_towns_second__2[[Column1]:[Y]],3,FALSE)</f>
        <v>#N/A</v>
      </c>
      <c r="K637" t="e">
        <f>VLOOKUP(F637,[1]!china_towns_second__2[[Column1]:[Y]],2,FALSE)</f>
        <v>#N/A</v>
      </c>
      <c r="L637" t="s">
        <v>2295</v>
      </c>
      <c r="M637" t="str">
        <f>VLOOKUP(H637,CHOOSE({1,2},Table8[Native],Table8[Name]),2,0)</f>
        <v>Lóngzi Xiàn</v>
      </c>
      <c r="N637" s="13" t="str">
        <f>VLOOKUP(I637,CHOOSE({1,2},Table8[Native],Table8[Name]),2,0)</f>
        <v>Shānnán Shì</v>
      </c>
      <c r="O637" s="13" t="str">
        <f t="shared" si="18"/>
        <v>Yumai Xiang (Shānnán Shì)</v>
      </c>
      <c r="P637" s="13" t="str">
        <f t="shared" si="19"/>
        <v>Yumai Xiang (Shānnán Shì)</v>
      </c>
    </row>
    <row r="638" spans="1:16" hidden="1" x14ac:dyDescent="0.25">
      <c r="A638" t="s">
        <v>597</v>
      </c>
      <c r="B638" t="str">
        <f>IF(COUNTIF(A:A,A638)&gt;1,_xlfn.CONCAT(A638," (",N638,")"),A638)</f>
        <v>Yùpŭ Xiāng</v>
      </c>
      <c r="C638" t="str">
        <f>IF(COUNTIF(B:B,B638)&gt;1,_xlfn.CONCAT(A638," (",M638,")"),B638)</f>
        <v>Yùpŭ Xiāng</v>
      </c>
      <c r="D638" t="s">
        <v>598</v>
      </c>
      <c r="E638" t="s">
        <v>7</v>
      </c>
      <c r="F638" t="str">
        <f>_xlfn.CONCAT(D638,", ",H638,", ",I638,", ","西藏自治区")</f>
        <v>玉普乡, 波密县, 林芝市, 西藏自治区</v>
      </c>
      <c r="G638">
        <v>1587</v>
      </c>
      <c r="H638" t="s">
        <v>1439</v>
      </c>
      <c r="I638" t="s">
        <v>1437</v>
      </c>
      <c r="J638" t="e">
        <f>VLOOKUP(F638,[1]!china_towns_second__2[[Column1]:[Y]],3,FALSE)</f>
        <v>#N/A</v>
      </c>
      <c r="K638" t="e">
        <f>VLOOKUP(F638,[1]!china_towns_second__2[[Column1]:[Y]],2,FALSE)</f>
        <v>#N/A</v>
      </c>
      <c r="L638" t="s">
        <v>2296</v>
      </c>
      <c r="M638" t="str">
        <f>VLOOKUP(H638,CHOOSE({1,2},Table8[Native],Table8[Name]),2,0)</f>
        <v>Bōmì Xiàn</v>
      </c>
      <c r="N638" s="13" t="str">
        <f>VLOOKUP(I638,CHOOSE({1,2},Table8[Native],Table8[Name]),2,0)</f>
        <v>Línzhī Shì</v>
      </c>
      <c r="O638" s="13" t="str">
        <f t="shared" si="18"/>
        <v>Yupu Xiang (Línzhī Shì)</v>
      </c>
      <c r="P638" s="13" t="str">
        <f t="shared" si="19"/>
        <v>Yupu Xiang (Línzhī Shì)</v>
      </c>
    </row>
    <row r="639" spans="1:16" hidden="1" x14ac:dyDescent="0.25">
      <c r="A639" t="s">
        <v>349</v>
      </c>
      <c r="B639" t="str">
        <f>IF(COUNTIF(A:A,A639)&gt;1,_xlfn.CONCAT(A639," (",N639,")"),A639)</f>
        <v>Yùxī Xiāng</v>
      </c>
      <c r="C639" t="str">
        <f>IF(COUNTIF(B:B,B639)&gt;1,_xlfn.CONCAT(A639," (",M639,")"),B639)</f>
        <v>Yùxī Xiāng</v>
      </c>
      <c r="D639" t="s">
        <v>350</v>
      </c>
      <c r="E639" t="s">
        <v>7</v>
      </c>
      <c r="F639" t="str">
        <f>_xlfn.CONCAT(D639,", ",H639,", ",I639,", ","西藏自治区")</f>
        <v>玉西乡, 洛隆县, 昌都市, 西藏自治区</v>
      </c>
      <c r="G639">
        <v>1216</v>
      </c>
      <c r="H639" t="s">
        <v>1425</v>
      </c>
      <c r="I639" t="s">
        <v>1415</v>
      </c>
      <c r="J639" t="e">
        <f>VLOOKUP(F639,[1]!china_towns_second__2[[Column1]:[Y]],3,FALSE)</f>
        <v>#N/A</v>
      </c>
      <c r="K639" t="e">
        <f>VLOOKUP(F639,[1]!china_towns_second__2[[Column1]:[Y]],2,FALSE)</f>
        <v>#N/A</v>
      </c>
      <c r="L639" t="s">
        <v>2297</v>
      </c>
      <c r="M639" t="str">
        <f>VLOOKUP(H639,CHOOSE({1,2},Table8[Native],Table8[Name]),2,0)</f>
        <v>Luòlóng Xiàn</v>
      </c>
      <c r="N639" s="13" t="str">
        <f>VLOOKUP(I639,CHOOSE({1,2},Table8[Native],Table8[Name]),2,0)</f>
        <v>Chāngdū Shì</v>
      </c>
      <c r="O639" s="13" t="str">
        <f t="shared" si="18"/>
        <v>Yuxi Xiang (Chāngdū Shì)</v>
      </c>
      <c r="P639" s="13" t="str">
        <f t="shared" si="19"/>
        <v>Yuxi Xiang (Chāngdū Shì)</v>
      </c>
    </row>
    <row r="640" spans="1:16" hidden="1" x14ac:dyDescent="0.25">
      <c r="A640" t="s">
        <v>599</v>
      </c>
      <c r="B640" t="str">
        <f>IF(COUNTIF(A:A,A640)&gt;1,_xlfn.CONCAT(A640," (",N640,")"),A640)</f>
        <v>Yùxŭ Xiāng</v>
      </c>
      <c r="C640" t="str">
        <f>IF(COUNTIF(B:B,B640)&gt;1,_xlfn.CONCAT(A640," (",M640,")"),B640)</f>
        <v>Yùxŭ Xiāng</v>
      </c>
      <c r="D640" t="s">
        <v>600</v>
      </c>
      <c r="E640" t="s">
        <v>7</v>
      </c>
      <c r="F640" t="str">
        <f>_xlfn.CONCAT(D640,", ",H640,", ",I640,", ","西藏自治区")</f>
        <v>玉许乡, 波密县, 林芝市, 西藏自治区</v>
      </c>
      <c r="G640">
        <v>5569</v>
      </c>
      <c r="H640" t="s">
        <v>1439</v>
      </c>
      <c r="I640" t="s">
        <v>1437</v>
      </c>
      <c r="J640" t="e">
        <f>VLOOKUP(F640,[1]!china_towns_second__2[[Column1]:[Y]],3,FALSE)</f>
        <v>#N/A</v>
      </c>
      <c r="K640" t="e">
        <f>VLOOKUP(F640,[1]!china_towns_second__2[[Column1]:[Y]],2,FALSE)</f>
        <v>#N/A</v>
      </c>
      <c r="L640" t="s">
        <v>2298</v>
      </c>
      <c r="M640" t="str">
        <f>VLOOKUP(H640,CHOOSE({1,2},Table8[Native],Table8[Name]),2,0)</f>
        <v>Bōmì Xiàn</v>
      </c>
      <c r="N640" s="13" t="str">
        <f>VLOOKUP(I640,CHOOSE({1,2},Table8[Native],Table8[Name]),2,0)</f>
        <v>Línzhī Shì</v>
      </c>
      <c r="O640" s="13" t="str">
        <f t="shared" si="18"/>
        <v>Yuxu Xiang (Línzhī Shì)</v>
      </c>
      <c r="P640" s="13" t="str">
        <f t="shared" si="19"/>
        <v>Yuxu Xiang (Línzhī Shì)</v>
      </c>
    </row>
    <row r="641" spans="1:16" hidden="1" x14ac:dyDescent="0.25">
      <c r="A641" t="s">
        <v>825</v>
      </c>
      <c r="B641" t="str">
        <f>IF(COUNTIF(A:A,A641)&gt;1,_xlfn.CONCAT(A641," (",N641,")"),A641)</f>
        <v>Zàngbĭ Xiāng</v>
      </c>
      <c r="C641" t="str">
        <f>IF(COUNTIF(B:B,B641)&gt;1,_xlfn.CONCAT(A641," (",M641,")"),B641)</f>
        <v>Zàngbĭ Xiāng</v>
      </c>
      <c r="D641" t="s">
        <v>826</v>
      </c>
      <c r="E641" t="s">
        <v>7</v>
      </c>
      <c r="F641" t="str">
        <f>_xlfn.CONCAT(D641,", ",H641,", ",I641,", ","西藏自治区")</f>
        <v>藏比乡, 嘉黎县, 那曲市, 西藏自治区</v>
      </c>
      <c r="G641">
        <v>1886</v>
      </c>
      <c r="H641" t="s">
        <v>1450</v>
      </c>
      <c r="I641" t="s">
        <v>1445</v>
      </c>
      <c r="J641" t="e">
        <f>VLOOKUP(F641,[1]!china_towns_second__2[[Column1]:[Y]],3,FALSE)</f>
        <v>#N/A</v>
      </c>
      <c r="K641" t="e">
        <f>VLOOKUP(F641,[1]!china_towns_second__2[[Column1]:[Y]],2,FALSE)</f>
        <v>#N/A</v>
      </c>
      <c r="L641" t="s">
        <v>2299</v>
      </c>
      <c r="M641" t="str">
        <f>VLOOKUP(H641,CHOOSE({1,2},Table8[Native],Table8[Name]),2,0)</f>
        <v>Jiālí Xiàn</v>
      </c>
      <c r="N641" s="13" t="str">
        <f>VLOOKUP(I641,CHOOSE({1,2},Table8[Native],Table8[Name]),2,0)</f>
        <v>Nàqŭ Shì</v>
      </c>
      <c r="O641" s="13" t="str">
        <f t="shared" si="18"/>
        <v>Zangbi Xiang (Nàqŭ Shì)</v>
      </c>
      <c r="P641" s="13" t="str">
        <f t="shared" si="19"/>
        <v>Zangbi Xiang (Nàqŭ Shì)</v>
      </c>
    </row>
    <row r="642" spans="1:16" hidden="1" x14ac:dyDescent="0.25">
      <c r="A642" t="s">
        <v>1216</v>
      </c>
      <c r="B642" t="str">
        <f>IF(COUNTIF(A:A,A642)&gt;1,_xlfn.CONCAT(A642," (",N642,")"),A642)</f>
        <v>Zànggăi Xiāng</v>
      </c>
      <c r="C642" t="str">
        <f>IF(COUNTIF(B:B,B642)&gt;1,_xlfn.CONCAT(A642," (",M642,")"),B642)</f>
        <v>Zànggăi Xiāng</v>
      </c>
      <c r="D642" t="s">
        <v>1217</v>
      </c>
      <c r="E642" t="s">
        <v>7</v>
      </c>
      <c r="F642" t="str">
        <f>_xlfn.CONCAT(D642,", ",H642,", ",I642,", ","西藏自治区")</f>
        <v>藏改乡, 江孜县, 日喀则市, 西藏自治区</v>
      </c>
      <c r="G642">
        <v>2309</v>
      </c>
      <c r="H642" t="s">
        <v>1464</v>
      </c>
      <c r="I642" t="s">
        <v>1458</v>
      </c>
      <c r="J642" t="e">
        <f>VLOOKUP(F642,[1]!china_towns_second__2[[Column1]:[Y]],3,FALSE)</f>
        <v>#N/A</v>
      </c>
      <c r="K642" t="e">
        <f>VLOOKUP(F642,[1]!china_towns_second__2[[Column1]:[Y]],2,FALSE)</f>
        <v>#N/A</v>
      </c>
      <c r="L642" t="s">
        <v>2300</v>
      </c>
      <c r="M642" t="str">
        <f>VLOOKUP(H642,CHOOSE({1,2},Table8[Native],Table8[Name]),2,0)</f>
        <v>Jiāngzī Xiàn</v>
      </c>
      <c r="N642" s="13" t="str">
        <f>VLOOKUP(I642,CHOOSE({1,2},Table8[Native],Table8[Name]),2,0)</f>
        <v>Rìkāzé Shì</v>
      </c>
      <c r="O642" s="13" t="str">
        <f t="shared" ref="O642:O705" si="20">_xlfn.CONCAT(L642," (",N642,")")</f>
        <v>Zanggai Xiang (Rìkāzé Shì)</v>
      </c>
      <c r="P642" s="13" t="str">
        <f t="shared" ref="P642:P705" si="21">IF(COUNTIF(O:O,O642)&gt;1,_xlfn.CONCAT(L642," (",M642,")"),O642)</f>
        <v>Zanggai Xiang (Rìkāzé Shì)</v>
      </c>
    </row>
    <row r="643" spans="1:16" x14ac:dyDescent="0.25">
      <c r="A643" t="s">
        <v>827</v>
      </c>
      <c r="B643" t="str">
        <f>IF(COUNTIF(A:A,A643)&gt;1,_xlfn.CONCAT(A643," (",N643,")"),A643)</f>
        <v>Zásè Zhèn</v>
      </c>
      <c r="C643" t="str">
        <f>IF(COUNTIF(B:B,B643)&gt;1,_xlfn.CONCAT(A643," (",M643,")"),B643)</f>
        <v>Zásè Zhèn</v>
      </c>
      <c r="D643" t="s">
        <v>828</v>
      </c>
      <c r="E643" t="s">
        <v>17</v>
      </c>
      <c r="F643" t="str">
        <f>_xlfn.CONCAT(D643,", ",H643,", ",I643,", ","西藏自治区")</f>
        <v>杂色镇, 巴青县, 那曲市, 西藏自治区</v>
      </c>
      <c r="G643">
        <v>9375</v>
      </c>
      <c r="H643" t="s">
        <v>1448</v>
      </c>
      <c r="I643" t="s">
        <v>1445</v>
      </c>
      <c r="J643">
        <f>VLOOKUP(F643,[1]!china_towns_second__2[[Column1]:[Y]],3,FALSE)</f>
        <v>32.071871675614098</v>
      </c>
      <c r="K643">
        <f>VLOOKUP(F643,[1]!china_towns_second__2[[Column1]:[Y]],2,FALSE)</f>
        <v>93.739033669999998</v>
      </c>
      <c r="L643" t="s">
        <v>2301</v>
      </c>
      <c r="M643" t="str">
        <f>VLOOKUP(H643,CHOOSE({1,2},Table8[Native],Table8[Name]),2,0)</f>
        <v>Bāqīng Xiàn</v>
      </c>
      <c r="N643" s="13" t="str">
        <f>VLOOKUP(I643,CHOOSE({1,2},Table8[Native],Table8[Name]),2,0)</f>
        <v>Nàqŭ Shì</v>
      </c>
      <c r="O643" s="13" t="str">
        <f t="shared" si="20"/>
        <v>Zase Zhen (Nàqŭ Shì)</v>
      </c>
      <c r="P643" s="13" t="str">
        <f t="shared" si="21"/>
        <v>Zase Zhen (Nàqŭ Shì)</v>
      </c>
    </row>
    <row r="644" spans="1:16" hidden="1" x14ac:dyDescent="0.25">
      <c r="A644" t="s">
        <v>351</v>
      </c>
      <c r="B644" t="str">
        <f>IF(COUNTIF(A:A,A644)&gt;1,_xlfn.CONCAT(A644," (",N644,")"),A644)</f>
        <v>Zébā Xiāng</v>
      </c>
      <c r="C644" t="str">
        <f>IF(COUNTIF(B:B,B644)&gt;1,_xlfn.CONCAT(A644," (",M644,")"),B644)</f>
        <v>Zébā Xiāng</v>
      </c>
      <c r="D644" t="s">
        <v>352</v>
      </c>
      <c r="E644" t="s">
        <v>7</v>
      </c>
      <c r="F644" t="str">
        <f>_xlfn.CONCAT(D644,", ",H644,", ",I644,", ","西藏自治区")</f>
        <v>则巴乡, 贡觉县, 昌都市, 西藏自治区</v>
      </c>
      <c r="G644">
        <v>2855</v>
      </c>
      <c r="H644" t="s">
        <v>1420</v>
      </c>
      <c r="I644" t="s">
        <v>1415</v>
      </c>
      <c r="J644" t="e">
        <f>VLOOKUP(F644,[1]!china_towns_second__2[[Column1]:[Y]],3,FALSE)</f>
        <v>#N/A</v>
      </c>
      <c r="K644" t="e">
        <f>VLOOKUP(F644,[1]!china_towns_second__2[[Column1]:[Y]],2,FALSE)</f>
        <v>#N/A</v>
      </c>
      <c r="L644" t="s">
        <v>2302</v>
      </c>
      <c r="M644" t="str">
        <f>VLOOKUP(H644,CHOOSE({1,2},Table8[Native],Table8[Name]),2,0)</f>
        <v>Gòngjué Xiàn</v>
      </c>
      <c r="N644" s="13" t="str">
        <f>VLOOKUP(I644,CHOOSE({1,2},Table8[Native],Table8[Name]),2,0)</f>
        <v>Chāngdū Shì</v>
      </c>
      <c r="O644" s="13" t="str">
        <f t="shared" si="20"/>
        <v>Zeba Xiang (Chāngdū Shì)</v>
      </c>
      <c r="P644" s="13" t="str">
        <f t="shared" si="21"/>
        <v>Zeba Xiang (Chāngdū Shì)</v>
      </c>
    </row>
    <row r="645" spans="1:16" hidden="1" x14ac:dyDescent="0.25">
      <c r="A645" t="s">
        <v>1388</v>
      </c>
      <c r="B645" t="str">
        <f>IF(COUNTIF(A:A,A645)&gt;1,_xlfn.CONCAT(A645," (",N645,")"),A645)</f>
        <v>Zédāng Jiēdào</v>
      </c>
      <c r="C645" t="str">
        <f>IF(COUNTIF(B:B,B645)&gt;1,_xlfn.CONCAT(A645," (",M645,")"),B645)</f>
        <v>Zédāng Jiēdào</v>
      </c>
      <c r="D645" t="s">
        <v>1389</v>
      </c>
      <c r="E645" t="s">
        <v>374</v>
      </c>
      <c r="F645" t="str">
        <f>_xlfn.CONCAT(D645,", ",H645,", ",I645,", ","西藏自治区")</f>
        <v>泽当街道, 乃东区, 山南市, 西藏自治区</v>
      </c>
      <c r="G645">
        <v>30370</v>
      </c>
      <c r="H645" t="s">
        <v>1485</v>
      </c>
      <c r="I645" t="s">
        <v>1477</v>
      </c>
      <c r="J645" t="e">
        <f>VLOOKUP(F645,[1]!china_towns_second__2[[Column1]:[Y]],3,FALSE)</f>
        <v>#N/A</v>
      </c>
      <c r="K645" t="e">
        <f>VLOOKUP(F645,[1]!china_towns_second__2[[Column1]:[Y]],2,FALSE)</f>
        <v>#N/A</v>
      </c>
      <c r="L645" t="s">
        <v>2303</v>
      </c>
      <c r="M645" t="str">
        <f>VLOOKUP(H645,CHOOSE({1,2},Table8[Native],Table8[Name]),2,0)</f>
        <v>Năidōng Qū</v>
      </c>
      <c r="N645" s="13" t="str">
        <f>VLOOKUP(I645,CHOOSE({1,2},Table8[Native],Table8[Name]),2,0)</f>
        <v>Shānnán Shì</v>
      </c>
      <c r="O645" s="13" t="str">
        <f t="shared" si="20"/>
        <v>Zedang Jiedao (Shānnán Shì)</v>
      </c>
      <c r="P645" s="13" t="str">
        <f t="shared" si="21"/>
        <v>Zedang Jiedao (Shānnán Shì)</v>
      </c>
    </row>
    <row r="646" spans="1:16" hidden="1" x14ac:dyDescent="0.25">
      <c r="A646" t="s">
        <v>1390</v>
      </c>
      <c r="B646" t="str">
        <f>IF(COUNTIF(A:A,A646)&gt;1,_xlfn.CONCAT(A646," (",N646,")"),A646)</f>
        <v>Zēngqī Xiāng</v>
      </c>
      <c r="C646" t="str">
        <f>IF(COUNTIF(B:B,B646)&gt;1,_xlfn.CONCAT(A646," (",M646,")"),B646)</f>
        <v>Zēngqī Xiāng</v>
      </c>
      <c r="D646" t="s">
        <v>1391</v>
      </c>
      <c r="E646" t="s">
        <v>7</v>
      </c>
      <c r="F646" t="str">
        <f>_xlfn.CONCAT(D646,", ",H646,", ",I646,", ","西藏自治区")</f>
        <v>增期乡, 桑日县, 山南市, 西藏自治区</v>
      </c>
      <c r="G646">
        <v>4339</v>
      </c>
      <c r="H646" t="s">
        <v>1488</v>
      </c>
      <c r="I646" t="s">
        <v>1477</v>
      </c>
      <c r="J646" t="e">
        <f>VLOOKUP(F646,[1]!china_towns_second__2[[Column1]:[Y]],3,FALSE)</f>
        <v>#N/A</v>
      </c>
      <c r="K646" t="e">
        <f>VLOOKUP(F646,[1]!china_towns_second__2[[Column1]:[Y]],2,FALSE)</f>
        <v>#N/A</v>
      </c>
      <c r="L646" t="s">
        <v>2304</v>
      </c>
      <c r="M646" t="str">
        <f>VLOOKUP(H646,CHOOSE({1,2},Table8[Native],Table8[Name]),2,0)</f>
        <v>Sāngrì Xiàn</v>
      </c>
      <c r="N646" s="13" t="str">
        <f>VLOOKUP(I646,CHOOSE({1,2},Table8[Native],Table8[Name]),2,0)</f>
        <v>Shānnán Shì</v>
      </c>
      <c r="O646" s="13" t="str">
        <f t="shared" si="20"/>
        <v>Zengqi Xiang (Shānnán Shì)</v>
      </c>
      <c r="P646" s="13" t="str">
        <f t="shared" si="21"/>
        <v>Zengqi Xiang (Shānnán Shì)</v>
      </c>
    </row>
    <row r="647" spans="1:16" hidden="1" x14ac:dyDescent="0.25">
      <c r="A647" t="s">
        <v>1218</v>
      </c>
      <c r="B647" t="str">
        <f>IF(COUNTIF(A:A,A647)&gt;1,_xlfn.CONCAT(A647," (",N647,")"),A647)</f>
        <v>Zéxŭ Xiāng</v>
      </c>
      <c r="C647" t="str">
        <f>IF(COUNTIF(B:B,B647)&gt;1,_xlfn.CONCAT(A647," (",M647,")"),B647)</f>
        <v>Zéxŭ Xiāng</v>
      </c>
      <c r="D647" t="s">
        <v>1219</v>
      </c>
      <c r="E647" t="s">
        <v>7</v>
      </c>
      <c r="F647" t="str">
        <f>_xlfn.CONCAT(D647,", ",H647,", ",I647,", ","西藏自治区")</f>
        <v>则许乡, 谢通门县, 日喀则市, 西藏自治区</v>
      </c>
      <c r="G647">
        <v>700</v>
      </c>
      <c r="H647" t="s">
        <v>1474</v>
      </c>
      <c r="I647" t="s">
        <v>1458</v>
      </c>
      <c r="J647" t="e">
        <f>VLOOKUP(F647,[1]!china_towns_second__2[[Column1]:[Y]],3,FALSE)</f>
        <v>#N/A</v>
      </c>
      <c r="K647" t="e">
        <f>VLOOKUP(F647,[1]!china_towns_second__2[[Column1]:[Y]],2,FALSE)</f>
        <v>#N/A</v>
      </c>
      <c r="L647" t="s">
        <v>2305</v>
      </c>
      <c r="M647" t="str">
        <f>VLOOKUP(H647,CHOOSE({1,2},Table8[Native],Table8[Name]),2,0)</f>
        <v>Xiètōngmén Xiàn</v>
      </c>
      <c r="N647" s="13" t="str">
        <f>VLOOKUP(I647,CHOOSE({1,2},Table8[Native],Table8[Name]),2,0)</f>
        <v>Rìkāzé Shì</v>
      </c>
      <c r="O647" s="13" t="str">
        <f t="shared" si="20"/>
        <v>Zexu Xiang (Rìkāzé Shì)</v>
      </c>
      <c r="P647" s="13" t="str">
        <f t="shared" si="21"/>
        <v>Zexu Xiang (Rìkāzé Shì)</v>
      </c>
    </row>
    <row r="648" spans="1:16" hidden="1" x14ac:dyDescent="0.25">
      <c r="A648" t="s">
        <v>1220</v>
      </c>
      <c r="B648" t="str">
        <f>IF(COUNTIF(A:A,A648)&gt;1,_xlfn.CONCAT(A648," (",N648,")"),A648)</f>
        <v>Zhāguŏ Xiāng</v>
      </c>
      <c r="C648" t="str">
        <f>IF(COUNTIF(B:B,B648)&gt;1,_xlfn.CONCAT(A648," (",M648,")"),B648)</f>
        <v>Zhāguŏ Xiāng</v>
      </c>
      <c r="D648" t="s">
        <v>1221</v>
      </c>
      <c r="E648" t="s">
        <v>7</v>
      </c>
      <c r="F648" t="str">
        <f>_xlfn.CONCAT(D648,", ",H648,", ",I648,", ","西藏自治区")</f>
        <v>扎果乡, 定日县, 日喀则市, 西藏自治区</v>
      </c>
      <c r="G648">
        <v>2285</v>
      </c>
      <c r="H648" t="s">
        <v>1462</v>
      </c>
      <c r="I648" t="s">
        <v>1458</v>
      </c>
      <c r="J648" t="e">
        <f>VLOOKUP(F648,[1]!china_towns_second__2[[Column1]:[Y]],3,FALSE)</f>
        <v>#N/A</v>
      </c>
      <c r="K648" t="e">
        <f>VLOOKUP(F648,[1]!china_towns_second__2[[Column1]:[Y]],2,FALSE)</f>
        <v>#N/A</v>
      </c>
      <c r="L648" t="s">
        <v>2306</v>
      </c>
      <c r="M648" t="str">
        <f>VLOOKUP(H648,CHOOSE({1,2},Table8[Native],Table8[Name]),2,0)</f>
        <v>Dìngrì Xiàn</v>
      </c>
      <c r="N648" s="13" t="str">
        <f>VLOOKUP(I648,CHOOSE({1,2},Table8[Native],Table8[Name]),2,0)</f>
        <v>Rìkāzé Shì</v>
      </c>
      <c r="O648" s="13" t="str">
        <f t="shared" si="20"/>
        <v>Zhaguo Xiang (Rìkāzé Shì)</v>
      </c>
      <c r="P648" s="13" t="str">
        <f t="shared" si="21"/>
        <v>Zhaguo Xiang (Rìkāzé Shì)</v>
      </c>
    </row>
    <row r="649" spans="1:16" hidden="1" x14ac:dyDescent="0.25">
      <c r="A649" t="s">
        <v>829</v>
      </c>
      <c r="B649" t="str">
        <f>IF(COUNTIF(A:A,A649)&gt;1,_xlfn.CONCAT(A649," (",N649,")"),A649)</f>
        <v>Zhālā Xiāng</v>
      </c>
      <c r="C649" t="str">
        <f>IF(COUNTIF(B:B,B649)&gt;1,_xlfn.CONCAT(A649," (",M649,")"),B649)</f>
        <v>Zhālā Xiāng</v>
      </c>
      <c r="D649" t="s">
        <v>830</v>
      </c>
      <c r="E649" t="s">
        <v>7</v>
      </c>
      <c r="F649" t="str">
        <f>_xlfn.CONCAT(D649,", ",H649,", ",I649,", ","西藏自治区")</f>
        <v>扎拉乡, 比如县, 那曲市, 西藏自治区</v>
      </c>
      <c r="G649">
        <v>2674</v>
      </c>
      <c r="H649" t="s">
        <v>1449</v>
      </c>
      <c r="I649" t="s">
        <v>1445</v>
      </c>
      <c r="J649" t="e">
        <f>VLOOKUP(F649,[1]!china_towns_second__2[[Column1]:[Y]],3,FALSE)</f>
        <v>#N/A</v>
      </c>
      <c r="K649" t="e">
        <f>VLOOKUP(F649,[1]!china_towns_second__2[[Column1]:[Y]],2,FALSE)</f>
        <v>#N/A</v>
      </c>
      <c r="L649" t="s">
        <v>2307</v>
      </c>
      <c r="M649" t="str">
        <f>VLOOKUP(H649,CHOOSE({1,2},Table8[Native],Table8[Name]),2,0)</f>
        <v>Bĭrú Xiàn</v>
      </c>
      <c r="N649" s="13" t="str">
        <f>VLOOKUP(I649,CHOOSE({1,2},Table8[Native],Table8[Name]),2,0)</f>
        <v>Nàqŭ Shì</v>
      </c>
      <c r="O649" s="13" t="str">
        <f t="shared" si="20"/>
        <v>Zhala Xiang (Nàqŭ Shì)</v>
      </c>
      <c r="P649" s="13" t="str">
        <f t="shared" si="21"/>
        <v>Zhala Xiang (Nàqŭ Shì)</v>
      </c>
    </row>
    <row r="650" spans="1:16" x14ac:dyDescent="0.25">
      <c r="A650" t="s">
        <v>601</v>
      </c>
      <c r="B650" t="str">
        <f>IF(COUNTIF(A:A,A650)&gt;1,_xlfn.CONCAT(A650," (",N650,")"),A650)</f>
        <v>Zhāmù Zhèn</v>
      </c>
      <c r="C650" t="str">
        <f>IF(COUNTIF(B:B,B650)&gt;1,_xlfn.CONCAT(A650," (",M650,")"),B650)</f>
        <v>Zhāmù Zhèn</v>
      </c>
      <c r="D650" t="s">
        <v>602</v>
      </c>
      <c r="E650" t="s">
        <v>17</v>
      </c>
      <c r="F650" t="str">
        <f>_xlfn.CONCAT(D650,", ",H650,", ",I650,", ","西藏自治区")</f>
        <v>扎木镇, 波密县, 林芝市, 西藏自治区</v>
      </c>
      <c r="G650">
        <v>9050</v>
      </c>
      <c r="H650" t="s">
        <v>1439</v>
      </c>
      <c r="I650" t="s">
        <v>1437</v>
      </c>
      <c r="J650">
        <f>VLOOKUP(F650,[1]!china_towns_second__2[[Column1]:[Y]],3,FALSE)</f>
        <v>29.825797179581102</v>
      </c>
      <c r="K650">
        <f>VLOOKUP(F650,[1]!china_towns_second__2[[Column1]:[Y]],2,FALSE)</f>
        <v>95.779007669999999</v>
      </c>
      <c r="L650" t="s">
        <v>2308</v>
      </c>
      <c r="M650" t="str">
        <f>VLOOKUP(H650,CHOOSE({1,2},Table8[Native],Table8[Name]),2,0)</f>
        <v>Bōmì Xiàn</v>
      </c>
      <c r="N650" s="13" t="str">
        <f>VLOOKUP(I650,CHOOSE({1,2},Table8[Native],Table8[Name]),2,0)</f>
        <v>Línzhī Shì</v>
      </c>
      <c r="O650" s="13" t="str">
        <f t="shared" si="20"/>
        <v>Zhamu Zhen (Línzhī Shì)</v>
      </c>
      <c r="P650" s="13" t="str">
        <f t="shared" si="21"/>
        <v>Zhamu Zhen (Línzhī Shì)</v>
      </c>
    </row>
    <row r="651" spans="1:16" hidden="1" x14ac:dyDescent="0.25">
      <c r="A651" t="s">
        <v>1392</v>
      </c>
      <c r="B651" t="str">
        <f>IF(COUNTIF(A:A,A651)&gt;1,_xlfn.CONCAT(A651," (",N651,")"),A651)</f>
        <v>Zhāngdá Xiāng</v>
      </c>
      <c r="C651" t="str">
        <f>IF(COUNTIF(B:B,B651)&gt;1,_xlfn.CONCAT(A651," (",M651,")"),B651)</f>
        <v>Zhāngdá Xiāng</v>
      </c>
      <c r="D651" t="s">
        <v>1393</v>
      </c>
      <c r="E651" t="s">
        <v>7</v>
      </c>
      <c r="F651" t="str">
        <f>_xlfn.CONCAT(D651,", ",H651,", ",I651,", ","西藏自治区")</f>
        <v>张达乡, 浪卡子县, 山南市, 西藏自治区</v>
      </c>
      <c r="G651">
        <v>3877</v>
      </c>
      <c r="H651" t="s">
        <v>1482</v>
      </c>
      <c r="I651" t="s">
        <v>1477</v>
      </c>
      <c r="J651" t="e">
        <f>VLOOKUP(F651,[1]!china_towns_second__2[[Column1]:[Y]],3,FALSE)</f>
        <v>#N/A</v>
      </c>
      <c r="K651" t="e">
        <f>VLOOKUP(F651,[1]!china_towns_second__2[[Column1]:[Y]],2,FALSE)</f>
        <v>#N/A</v>
      </c>
      <c r="L651" t="s">
        <v>2309</v>
      </c>
      <c r="M651" t="str">
        <f>VLOOKUP(H651,CHOOSE({1,2},Table8[Native],Table8[Name]),2,0)</f>
        <v>Làngkăzi Xiàn</v>
      </c>
      <c r="N651" s="13" t="str">
        <f>VLOOKUP(I651,CHOOSE({1,2},Table8[Native],Table8[Name]),2,0)</f>
        <v>Shānnán Shì</v>
      </c>
      <c r="O651" s="13" t="str">
        <f t="shared" si="20"/>
        <v>Zhangda Xiang (Shānnán Shì)</v>
      </c>
      <c r="P651" s="13" t="str">
        <f t="shared" si="21"/>
        <v>Zhangda Xiang (Shānnán Shì)</v>
      </c>
    </row>
    <row r="652" spans="1:16" hidden="1" x14ac:dyDescent="0.25">
      <c r="A652" t="s">
        <v>494</v>
      </c>
      <c r="B652" t="str">
        <f>IF(COUNTIF(A:A,A652)&gt;1,_xlfn.CONCAT(A652," (",N652,")"),A652)</f>
        <v>Zhāngduō Xiāng</v>
      </c>
      <c r="C652" t="str">
        <f>IF(COUNTIF(B:B,B652)&gt;1,_xlfn.CONCAT(A652," (",M652,")"),B652)</f>
        <v>Zhāngduō Xiāng</v>
      </c>
      <c r="D652" t="s">
        <v>495</v>
      </c>
      <c r="E652" t="s">
        <v>7</v>
      </c>
      <c r="F652" t="str">
        <f>_xlfn.CONCAT(D652,", ",H652,", ",I652,", ","西藏自治区")</f>
        <v>章多乡, 达孜区, 拉萨市, 西藏自治区</v>
      </c>
      <c r="G652">
        <v>3958</v>
      </c>
      <c r="H652" t="s">
        <v>1431</v>
      </c>
      <c r="I652" t="s">
        <v>1428</v>
      </c>
      <c r="J652" t="e">
        <f>VLOOKUP(F652,[1]!china_towns_second__2[[Column1]:[Y]],3,FALSE)</f>
        <v>#N/A</v>
      </c>
      <c r="K652" t="e">
        <f>VLOOKUP(F652,[1]!china_towns_second__2[[Column1]:[Y]],2,FALSE)</f>
        <v>#N/A</v>
      </c>
      <c r="L652" t="s">
        <v>2310</v>
      </c>
      <c r="M652" t="str">
        <f>VLOOKUP(H652,CHOOSE({1,2},Table8[Native],Table8[Name]),2,0)</f>
        <v>Dázī Qū</v>
      </c>
      <c r="N652" s="13" t="str">
        <f>VLOOKUP(I652,CHOOSE({1,2},Table8[Native],Table8[Name]),2,0)</f>
        <v>Lāsà Shì</v>
      </c>
      <c r="O652" s="13" t="str">
        <f t="shared" si="20"/>
        <v>Zhangduo Xiang (Lāsà Shì)</v>
      </c>
      <c r="P652" s="13" t="str">
        <f t="shared" si="21"/>
        <v>Zhangduo Xiang (Lāsà Shì)</v>
      </c>
    </row>
    <row r="653" spans="1:16" x14ac:dyDescent="0.25">
      <c r="A653" t="s">
        <v>1222</v>
      </c>
      <c r="B653" t="str">
        <f>IF(COUNTIF(A:A,A653)&gt;1,_xlfn.CONCAT(A653," (",N653,")"),A653)</f>
        <v>Zhāngmù Zhèn</v>
      </c>
      <c r="C653" t="str">
        <f>IF(COUNTIF(B:B,B653)&gt;1,_xlfn.CONCAT(A653," (",M653,")"),B653)</f>
        <v>Zhāngmù Zhèn</v>
      </c>
      <c r="D653" t="s">
        <v>1223</v>
      </c>
      <c r="E653" t="s">
        <v>17</v>
      </c>
      <c r="F653" t="str">
        <f>_xlfn.CONCAT(D653,", ",H653,", ",I653,", ","西藏自治区")</f>
        <v>樟木镇, 聂拉木县, 日喀则市, 西藏自治区</v>
      </c>
      <c r="G653">
        <v>3469</v>
      </c>
      <c r="H653" t="s">
        <v>1469</v>
      </c>
      <c r="I653" t="s">
        <v>1458</v>
      </c>
      <c r="J653">
        <f>VLOOKUP(F653,[1]!china_towns_second__2[[Column1]:[Y]],3,FALSE)</f>
        <v>28.013612526308101</v>
      </c>
      <c r="K653">
        <f>VLOOKUP(F653,[1]!china_towns_second__2[[Column1]:[Y]],2,FALSE)</f>
        <v>86.013629339999994</v>
      </c>
      <c r="L653" t="s">
        <v>2311</v>
      </c>
      <c r="M653" t="str">
        <f>VLOOKUP(H653,CHOOSE({1,2},Table8[Native],Table8[Name]),2,0)</f>
        <v>Nièlāmù Xiàn</v>
      </c>
      <c r="N653" s="13" t="str">
        <f>VLOOKUP(I653,CHOOSE({1,2},Table8[Native],Table8[Name]),2,0)</f>
        <v>Rìkāzé Shì</v>
      </c>
      <c r="O653" s="13" t="str">
        <f t="shared" si="20"/>
        <v>Zhangmu Zhen (Rìkāzé Shì)</v>
      </c>
      <c r="P653" s="13" t="str">
        <f t="shared" si="21"/>
        <v>Zhangmu Zhen (Rìkāzé Shì)</v>
      </c>
    </row>
    <row r="654" spans="1:16" hidden="1" x14ac:dyDescent="0.25">
      <c r="A654" t="s">
        <v>1394</v>
      </c>
      <c r="B654" t="str">
        <f>IF(COUNTIF(A:A,A654)&gt;1,_xlfn.CONCAT(A654," (",N654,")"),A654)</f>
        <v>Zhāqí Xiāng</v>
      </c>
      <c r="C654" t="str">
        <f>IF(COUNTIF(B:B,B654)&gt;1,_xlfn.CONCAT(A654," (",M654,")"),B654)</f>
        <v>Zhāqí Xiāng</v>
      </c>
      <c r="D654" t="s">
        <v>1395</v>
      </c>
      <c r="E654" t="s">
        <v>7</v>
      </c>
      <c r="F654" t="str">
        <f>_xlfn.CONCAT(D654,", ",H654,", ",I654,", ","西藏自治区")</f>
        <v>扎其乡, 扎囊县, 山南市, 西藏自治区</v>
      </c>
      <c r="G654">
        <v>9021</v>
      </c>
      <c r="H654" t="s">
        <v>1489</v>
      </c>
      <c r="I654" t="s">
        <v>1477</v>
      </c>
      <c r="J654" t="e">
        <f>VLOOKUP(F654,[1]!china_towns_second__2[[Column1]:[Y]],3,FALSE)</f>
        <v>#N/A</v>
      </c>
      <c r="K654" t="e">
        <f>VLOOKUP(F654,[1]!china_towns_second__2[[Column1]:[Y]],2,FALSE)</f>
        <v>#N/A</v>
      </c>
      <c r="L654" t="s">
        <v>2312</v>
      </c>
      <c r="M654" t="str">
        <f>VLOOKUP(H654,CHOOSE({1,2},Table8[Native],Table8[Name]),2,0)</f>
        <v>Zhānáng Xiàn</v>
      </c>
      <c r="N654" s="13" t="str">
        <f>VLOOKUP(I654,CHOOSE({1,2},Table8[Native],Table8[Name]),2,0)</f>
        <v>Shānnán Shì</v>
      </c>
      <c r="O654" s="13" t="str">
        <f t="shared" si="20"/>
        <v>Zhaqi Xiang (Shānnán Shì)</v>
      </c>
      <c r="P654" s="13" t="str">
        <f t="shared" si="21"/>
        <v>Zhaqi Xiang (Shānnán Shì)</v>
      </c>
    </row>
    <row r="655" spans="1:16" hidden="1" x14ac:dyDescent="0.25">
      <c r="A655" t="s">
        <v>831</v>
      </c>
      <c r="B655" t="str">
        <f>IF(COUNTIF(A:A,A655)&gt;1,_xlfn.CONCAT(A655," (",N655,")"),A655)</f>
        <v>Zhāqŭ Xiāng</v>
      </c>
      <c r="C655" t="str">
        <f>IF(COUNTIF(B:B,B655)&gt;1,_xlfn.CONCAT(A655," (",M655,")"),B655)</f>
        <v>Zhāqŭ Xiāng</v>
      </c>
      <c r="D655" t="s">
        <v>832</v>
      </c>
      <c r="E655" t="s">
        <v>7</v>
      </c>
      <c r="F655" t="str">
        <f>_xlfn.CONCAT(D655,", ",H655,", ",I655,", ","西藏自治区")</f>
        <v>扎曲乡, 安多县, 那曲市, 西藏自治区</v>
      </c>
      <c r="G655">
        <v>1109</v>
      </c>
      <c r="H655" t="s">
        <v>1446</v>
      </c>
      <c r="I655" t="s">
        <v>1445</v>
      </c>
      <c r="J655" t="e">
        <f>VLOOKUP(F655,[1]!china_towns_second__2[[Column1]:[Y]],3,FALSE)</f>
        <v>#N/A</v>
      </c>
      <c r="K655" t="e">
        <f>VLOOKUP(F655,[1]!china_towns_second__2[[Column1]:[Y]],2,FALSE)</f>
        <v>#N/A</v>
      </c>
      <c r="L655" t="s">
        <v>2313</v>
      </c>
      <c r="M655" t="str">
        <f>VLOOKUP(H655,CHOOSE({1,2},Table8[Native],Table8[Name]),2,0)</f>
        <v>Ānduō Xiàn</v>
      </c>
      <c r="N655" s="13" t="str">
        <f>VLOOKUP(I655,CHOOSE({1,2},Table8[Native],Table8[Name]),2,0)</f>
        <v>Nàqŭ Shì</v>
      </c>
      <c r="O655" s="13" t="str">
        <f t="shared" si="20"/>
        <v>Zhaqu Xiang (Nàqŭ Shì)</v>
      </c>
      <c r="P655" s="13" t="str">
        <f t="shared" si="21"/>
        <v>Zhaqu Xiang (Nàqŭ Shì)</v>
      </c>
    </row>
    <row r="656" spans="1:16" x14ac:dyDescent="0.25">
      <c r="A656" t="s">
        <v>833</v>
      </c>
      <c r="B656" t="str">
        <f>IF(COUNTIF(A:A,A656)&gt;1,_xlfn.CONCAT(A656," (",N656,")"),A656)</f>
        <v>Zhārén Zhèn</v>
      </c>
      <c r="C656" t="str">
        <f>IF(COUNTIF(B:B,B656)&gt;1,_xlfn.CONCAT(A656," (",M656,")"),B656)</f>
        <v>Zhārén Zhèn</v>
      </c>
      <c r="D656" t="s">
        <v>834</v>
      </c>
      <c r="E656" t="s">
        <v>17</v>
      </c>
      <c r="F656" t="str">
        <f>_xlfn.CONCAT(D656,", ",H656,", ",I656,", ","西藏自治区")</f>
        <v>扎仁镇, 安多县, 那曲市, 西藏自治区</v>
      </c>
      <c r="G656">
        <v>8507</v>
      </c>
      <c r="H656" t="s">
        <v>1446</v>
      </c>
      <c r="I656" t="s">
        <v>1445</v>
      </c>
      <c r="J656">
        <f>VLOOKUP(F656,[1]!china_towns_second__2[[Column1]:[Y]],3,FALSE)</f>
        <v>31.856385017657299</v>
      </c>
      <c r="K656">
        <f>VLOOKUP(F656,[1]!china_towns_second__2[[Column1]:[Y]],2,FALSE)</f>
        <v>91.662988940000005</v>
      </c>
      <c r="L656" t="s">
        <v>2314</v>
      </c>
      <c r="M656" t="str">
        <f>VLOOKUP(H656,CHOOSE({1,2},Table8[Native],Table8[Name]),2,0)</f>
        <v>Ānduō Xiàn</v>
      </c>
      <c r="N656" s="13" t="str">
        <f>VLOOKUP(I656,CHOOSE({1,2},Table8[Native],Table8[Name]),2,0)</f>
        <v>Nàqŭ Shì</v>
      </c>
      <c r="O656" s="13" t="str">
        <f t="shared" si="20"/>
        <v>Zharen Zhen (Nàqŭ Shì)</v>
      </c>
      <c r="P656" s="13" t="str">
        <f t="shared" si="21"/>
        <v>Zharen Zhen (Nàqŭ Shì)</v>
      </c>
    </row>
    <row r="657" spans="1:16" hidden="1" x14ac:dyDescent="0.25">
      <c r="A657" t="s">
        <v>1396</v>
      </c>
      <c r="B657" t="str">
        <f>IF(COUNTIF(A:A,A657)&gt;1,_xlfn.CONCAT(A657," (",N657,")"),A657)</f>
        <v>Zhārì Xiāng (Shānnán Shì)</v>
      </c>
      <c r="C657" t="str">
        <f>IF(COUNTIF(B:B,B657)&gt;1,_xlfn.CONCAT(A657," (",M657,")"),B657)</f>
        <v>Zhārì Xiāng (Luòzhā Xiàn)</v>
      </c>
      <c r="D657" t="s">
        <v>1397</v>
      </c>
      <c r="E657" t="s">
        <v>7</v>
      </c>
      <c r="F657" t="str">
        <f>_xlfn.CONCAT(D657,", ",H657,", ",I657,", ","西藏自治区")</f>
        <v>扎日乡, 洛扎县, 山南市, 西藏自治区</v>
      </c>
      <c r="G657">
        <v>4460</v>
      </c>
      <c r="H657" t="s">
        <v>1484</v>
      </c>
      <c r="I657" t="s">
        <v>1477</v>
      </c>
      <c r="J657" t="e">
        <f>VLOOKUP(F657,[1]!china_towns_second__2[[Column1]:[Y]],3,FALSE)</f>
        <v>#N/A</v>
      </c>
      <c r="K657" t="e">
        <f>VLOOKUP(F657,[1]!china_towns_second__2[[Column1]:[Y]],2,FALSE)</f>
        <v>#N/A</v>
      </c>
      <c r="L657" t="s">
        <v>2315</v>
      </c>
      <c r="M657" t="str">
        <f>VLOOKUP(H657,CHOOSE({1,2},Table8[Native],Table8[Name]),2,0)</f>
        <v>Luòzhā Xiàn</v>
      </c>
      <c r="N657" s="13" t="str">
        <f>VLOOKUP(I657,CHOOSE({1,2},Table8[Native],Table8[Name]),2,0)</f>
        <v>Shānnán Shì</v>
      </c>
      <c r="O657" s="13" t="str">
        <f t="shared" si="20"/>
        <v>Zhari Xiang (Luozha Xian) (Shānnán Shì)</v>
      </c>
      <c r="P657" s="13" t="str">
        <f t="shared" si="21"/>
        <v>Zhari Xiang (Luozha Xian) (Shānnán Shì)</v>
      </c>
    </row>
    <row r="658" spans="1:16" hidden="1" x14ac:dyDescent="0.25">
      <c r="A658" t="s">
        <v>1396</v>
      </c>
      <c r="B658" t="str">
        <f>IF(COUNTIF(A:A,A658)&gt;1,_xlfn.CONCAT(A658," (",N658,")"),A658)</f>
        <v>Zhārì Xiāng (Shānnán Shì)</v>
      </c>
      <c r="C658" t="str">
        <f>IF(COUNTIF(B:B,B658)&gt;1,_xlfn.CONCAT(A658," (",M658,")"),B658)</f>
        <v>Zhārì Xiāng (Lóngzi Xiàn)</v>
      </c>
      <c r="D658" t="s">
        <v>1397</v>
      </c>
      <c r="E658" t="s">
        <v>7</v>
      </c>
      <c r="F658" t="str">
        <f>_xlfn.CONCAT(D658,", ",H658,", ",I658,", ","西藏自治区")</f>
        <v>扎日乡, 隆子县, 山南市, 西藏自治区</v>
      </c>
      <c r="G658">
        <v>531</v>
      </c>
      <c r="H658" t="s">
        <v>1483</v>
      </c>
      <c r="I658" t="s">
        <v>1477</v>
      </c>
      <c r="J658" t="e">
        <f>VLOOKUP(F658,[1]!china_towns_second__2[[Column1]:[Y]],3,FALSE)</f>
        <v>#N/A</v>
      </c>
      <c r="K658" t="e">
        <f>VLOOKUP(F658,[1]!china_towns_second__2[[Column1]:[Y]],2,FALSE)</f>
        <v>#N/A</v>
      </c>
      <c r="L658" t="s">
        <v>2316</v>
      </c>
      <c r="M658" t="str">
        <f>VLOOKUP(H658,CHOOSE({1,2},Table8[Native],Table8[Name]),2,0)</f>
        <v>Lóngzi Xiàn</v>
      </c>
      <c r="N658" s="13" t="str">
        <f>VLOOKUP(I658,CHOOSE({1,2},Table8[Native],Table8[Name]),2,0)</f>
        <v>Shānnán Shì</v>
      </c>
      <c r="O658" s="13" t="str">
        <f t="shared" si="20"/>
        <v>Zhari Xiang (Longzi Xian) (Shānnán Shì)</v>
      </c>
      <c r="P658" s="13" t="str">
        <f t="shared" si="21"/>
        <v>Zhari Xiang (Longzi Xian) (Shānnán Shì)</v>
      </c>
    </row>
    <row r="659" spans="1:16" x14ac:dyDescent="0.25">
      <c r="A659" t="s">
        <v>1398</v>
      </c>
      <c r="B659" t="str">
        <f>IF(COUNTIF(A:A,A659)&gt;1,_xlfn.CONCAT(A659," (",N659,")"),A659)</f>
        <v>Zhātáng Zhèn</v>
      </c>
      <c r="C659" t="str">
        <f>IF(COUNTIF(B:B,B659)&gt;1,_xlfn.CONCAT(A659," (",M659,")"),B659)</f>
        <v>Zhātáng Zhèn</v>
      </c>
      <c r="D659" t="s">
        <v>1399</v>
      </c>
      <c r="E659" t="s">
        <v>17</v>
      </c>
      <c r="F659" t="str">
        <f>_xlfn.CONCAT(D659,", ",H659,", ",I659,", ","西藏自治区")</f>
        <v>扎塘镇, 扎囊县, 山南市, 西藏自治区</v>
      </c>
      <c r="G659">
        <v>9495</v>
      </c>
      <c r="H659" t="s">
        <v>1489</v>
      </c>
      <c r="I659" t="s">
        <v>1477</v>
      </c>
      <c r="J659">
        <f>VLOOKUP(F659,[1]!china_towns_second__2[[Column1]:[Y]],3,FALSE)</f>
        <v>29.2125383845638</v>
      </c>
      <c r="K659">
        <f>VLOOKUP(F659,[1]!china_towns_second__2[[Column1]:[Y]],2,FALSE)</f>
        <v>91.276554930000003</v>
      </c>
      <c r="L659" t="s">
        <v>2317</v>
      </c>
      <c r="M659" t="str">
        <f>VLOOKUP(H659,CHOOSE({1,2},Table8[Native],Table8[Name]),2,0)</f>
        <v>Zhānáng Xiàn</v>
      </c>
      <c r="N659" s="13" t="str">
        <f>VLOOKUP(I659,CHOOSE({1,2},Table8[Native],Table8[Name]),2,0)</f>
        <v>Shānnán Shì</v>
      </c>
      <c r="O659" s="13" t="str">
        <f t="shared" si="20"/>
        <v>Zhatang Zhen (Shānnán Shì)</v>
      </c>
      <c r="P659" s="13" t="str">
        <f t="shared" si="21"/>
        <v>Zhatang Zhen (Shānnán Shì)</v>
      </c>
    </row>
    <row r="660" spans="1:16" hidden="1" x14ac:dyDescent="0.25">
      <c r="A660" t="s">
        <v>496</v>
      </c>
      <c r="B660" t="str">
        <f>IF(COUNTIF(A:A,A660)&gt;1,_xlfn.CONCAT(A660," (",N660,")"),A660)</f>
        <v>Zhāxì Jiēdào</v>
      </c>
      <c r="C660" t="str">
        <f>IF(COUNTIF(B:B,B660)&gt;1,_xlfn.CONCAT(A660," (",M660,")"),B660)</f>
        <v>Zhāxì Jiēdào</v>
      </c>
      <c r="D660" t="s">
        <v>497</v>
      </c>
      <c r="E660" t="s">
        <v>374</v>
      </c>
      <c r="F660" t="str">
        <f>_xlfn.CONCAT(D660,", ",H660,", ",I660,", ","西藏自治区")</f>
        <v>扎细街道, 城关区, 拉萨市, 西藏自治区</v>
      </c>
      <c r="G660">
        <v>30820</v>
      </c>
      <c r="H660" t="s">
        <v>1429</v>
      </c>
      <c r="I660" t="s">
        <v>1428</v>
      </c>
      <c r="J660">
        <f>VLOOKUP(F660,[1]!china_towns_second__2[[Column1]:[Y]],3,FALSE)</f>
        <v>29.6713719429588</v>
      </c>
      <c r="K660">
        <f>VLOOKUP(F660,[1]!china_towns_second__2[[Column1]:[Y]],2,FALSE)</f>
        <v>91.135370390000006</v>
      </c>
      <c r="L660" t="s">
        <v>2318</v>
      </c>
      <c r="M660" t="str">
        <f>VLOOKUP(H660,CHOOSE({1,2},Table8[Native],Table8[Name]),2,0)</f>
        <v>Chéngguān Qū</v>
      </c>
      <c r="N660" s="13" t="str">
        <f>VLOOKUP(I660,CHOOSE({1,2},Table8[Native],Table8[Name]),2,0)</f>
        <v>Lāsà Shì</v>
      </c>
      <c r="O660" s="13" t="str">
        <f t="shared" si="20"/>
        <v>Zhaxi Jiedao (Lāsà Shì)</v>
      </c>
      <c r="P660" s="13" t="str">
        <f t="shared" si="21"/>
        <v>Zhaxi Jiedao (Lāsà Shì)</v>
      </c>
    </row>
    <row r="661" spans="1:16" hidden="1" x14ac:dyDescent="0.25">
      <c r="A661" t="s">
        <v>82</v>
      </c>
      <c r="B661" t="str">
        <f>IF(COUNTIF(A:A,A661)&gt;1,_xlfn.CONCAT(A661," (",N661,")"),A661)</f>
        <v>Zhāxīgăng Xiāng (Ālĭ Dìqū)</v>
      </c>
      <c r="C661" t="str">
        <f>IF(COUNTIF(B:B,B661)&gt;1,_xlfn.CONCAT(A661," (",M661,")"),B661)</f>
        <v>Zhāxīgăng Xiāng (Ālĭ Dìqū)</v>
      </c>
      <c r="D661" t="s">
        <v>83</v>
      </c>
      <c r="E661" t="s">
        <v>7</v>
      </c>
      <c r="F661" t="str">
        <f>_xlfn.CONCAT(D661,", ",H661,", ",I661,", ","西藏自治区")</f>
        <v>扎西岗乡, 噶尔县, 阿里地区, 西藏自治区</v>
      </c>
      <c r="G661">
        <v>861</v>
      </c>
      <c r="H661" t="s">
        <v>1408</v>
      </c>
      <c r="I661" t="s">
        <v>1405</v>
      </c>
      <c r="J661" t="e">
        <f>VLOOKUP(F661,[1]!china_towns_second__2[[Column1]:[Y]],3,FALSE)</f>
        <v>#N/A</v>
      </c>
      <c r="K661" t="e">
        <f>VLOOKUP(F661,[1]!china_towns_second__2[[Column1]:[Y]],2,FALSE)</f>
        <v>#N/A</v>
      </c>
      <c r="L661" t="s">
        <v>2319</v>
      </c>
      <c r="M661" t="str">
        <f>VLOOKUP(H661,CHOOSE({1,2},Table8[Native],Table8[Name]),2,0)</f>
        <v>Gá'ĕr Xiàn</v>
      </c>
      <c r="N661" s="13" t="str">
        <f>VLOOKUP(I661,CHOOSE({1,2},Table8[Native],Table8[Name]),2,0)</f>
        <v>Ālĭ Dìqū</v>
      </c>
      <c r="O661" s="13" t="str">
        <f t="shared" si="20"/>
        <v>Zhaxigang Xiang (Ali Diqu) (Ālĭ Dìqū)</v>
      </c>
      <c r="P661" s="13" t="str">
        <f t="shared" si="21"/>
        <v>Zhaxigang Xiang (Ali Diqu) (Ālĭ Dìqū)</v>
      </c>
    </row>
    <row r="662" spans="1:16" hidden="1" x14ac:dyDescent="0.25">
      <c r="A662" t="s">
        <v>82</v>
      </c>
      <c r="B662" t="str">
        <f>IF(COUNTIF(A:A,A662)&gt;1,_xlfn.CONCAT(A662," (",N662,")"),A662)</f>
        <v>Zhāxīgăng Xiāng (Lāsà Shì)</v>
      </c>
      <c r="C662" t="str">
        <f>IF(COUNTIF(B:B,B662)&gt;1,_xlfn.CONCAT(A662," (",M662,")"),B662)</f>
        <v>Zhāxīgăng Xiāng (Lāsà Shì)</v>
      </c>
      <c r="D662" t="s">
        <v>83</v>
      </c>
      <c r="E662" t="s">
        <v>7</v>
      </c>
      <c r="F662" t="str">
        <f>_xlfn.CONCAT(D662,", ",H662,", ",I662,", ","西藏自治区")</f>
        <v>扎西岗乡, 墨竹工卡县, 拉萨市, 西藏自治区</v>
      </c>
      <c r="G662">
        <v>7248</v>
      </c>
      <c r="H662" t="s">
        <v>1434</v>
      </c>
      <c r="I662" t="s">
        <v>1428</v>
      </c>
      <c r="J662" t="e">
        <f>VLOOKUP(F662,[1]!china_towns_second__2[[Column1]:[Y]],3,FALSE)</f>
        <v>#N/A</v>
      </c>
      <c r="K662" t="e">
        <f>VLOOKUP(F662,[1]!china_towns_second__2[[Column1]:[Y]],2,FALSE)</f>
        <v>#N/A</v>
      </c>
      <c r="L662" t="s">
        <v>2320</v>
      </c>
      <c r="M662" t="str">
        <f>VLOOKUP(H662,CHOOSE({1,2},Table8[Native],Table8[Name]),2,0)</f>
        <v>Mòzhúgōngkă Xiàn</v>
      </c>
      <c r="N662" s="13" t="str">
        <f>VLOOKUP(I662,CHOOSE({1,2},Table8[Native],Table8[Name]),2,0)</f>
        <v>Lāsà Shì</v>
      </c>
      <c r="O662" s="13" t="str">
        <f t="shared" si="20"/>
        <v>Zhaxigang Xiang (Lasa Shi) (Lāsà Shì)</v>
      </c>
      <c r="P662" s="13" t="str">
        <f t="shared" si="21"/>
        <v>Zhaxigang Xiang (Lasa Shi) (Lāsà Shì)</v>
      </c>
    </row>
    <row r="663" spans="1:16" hidden="1" x14ac:dyDescent="0.25">
      <c r="A663" t="s">
        <v>82</v>
      </c>
      <c r="B663" t="str">
        <f>IF(COUNTIF(A:A,A663)&gt;1,_xlfn.CONCAT(A663," (",N663,")"),A663)</f>
        <v>Zhāxīgăng Xiāng (Rìkāzé Shì)</v>
      </c>
      <c r="C663" t="str">
        <f>IF(COUNTIF(B:B,B663)&gt;1,_xlfn.CONCAT(A663," (",M663,")"),B663)</f>
        <v>Zhāxīgăng Xiāng (Sàjiā Xiàn)</v>
      </c>
      <c r="D663" t="s">
        <v>83</v>
      </c>
      <c r="E663" t="s">
        <v>7</v>
      </c>
      <c r="F663" t="str">
        <f>_xlfn.CONCAT(D663,", ",H663,", ",I663,", ","西藏自治区")</f>
        <v>扎西岗乡, 萨迦县, 日喀则市, 西藏自治区</v>
      </c>
      <c r="G663">
        <v>4509</v>
      </c>
      <c r="H663" t="s">
        <v>1472</v>
      </c>
      <c r="I663" t="s">
        <v>1458</v>
      </c>
      <c r="J663" t="e">
        <f>VLOOKUP(F663,[1]!china_towns_second__2[[Column1]:[Y]],3,FALSE)</f>
        <v>#N/A</v>
      </c>
      <c r="K663" t="e">
        <f>VLOOKUP(F663,[1]!china_towns_second__2[[Column1]:[Y]],2,FALSE)</f>
        <v>#N/A</v>
      </c>
      <c r="L663" t="s">
        <v>2321</v>
      </c>
      <c r="M663" t="str">
        <f>VLOOKUP(H663,CHOOSE({1,2},Table8[Native],Table8[Name]),2,0)</f>
        <v>Sàjiā Xiàn</v>
      </c>
      <c r="N663" s="13" t="str">
        <f>VLOOKUP(I663,CHOOSE({1,2},Table8[Native],Table8[Name]),2,0)</f>
        <v>Rìkāzé Shì</v>
      </c>
      <c r="O663" s="13" t="str">
        <f t="shared" si="20"/>
        <v>Zhaxigang Xiang (Sajia Xian) (Rìkāzé Shì)</v>
      </c>
      <c r="P663" s="13" t="str">
        <f t="shared" si="21"/>
        <v>Zhaxigang Xiang (Sajia Xian) (Rìkāzé Shì)</v>
      </c>
    </row>
    <row r="664" spans="1:16" hidden="1" x14ac:dyDescent="0.25">
      <c r="A664" t="s">
        <v>82</v>
      </c>
      <c r="B664" t="str">
        <f>IF(COUNTIF(A:A,A664)&gt;1,_xlfn.CONCAT(A664," (",N664,")"),A664)</f>
        <v>Zhāxīgăng Xiāng (Rìkāzé Shì)</v>
      </c>
      <c r="C664" t="str">
        <f>IF(COUNTIF(B:B,B664)&gt;1,_xlfn.CONCAT(A664," (",M664,")"),B664)</f>
        <v>Zhāxīgăng Xiāng (Lāzī Xiàn)</v>
      </c>
      <c r="D664" t="s">
        <v>83</v>
      </c>
      <c r="E664" t="s">
        <v>7</v>
      </c>
      <c r="F664" t="str">
        <f>_xlfn.CONCAT(D664,", ",H664,", ",I664,", ","西藏自治区")</f>
        <v>扎西岗乡, 拉孜县, 日喀则市, 西藏自治区</v>
      </c>
      <c r="G664">
        <v>6358</v>
      </c>
      <c r="H664" t="s">
        <v>1467</v>
      </c>
      <c r="I664" t="s">
        <v>1458</v>
      </c>
      <c r="J664" t="e">
        <f>VLOOKUP(F664,[1]!china_towns_second__2[[Column1]:[Y]],3,FALSE)</f>
        <v>#N/A</v>
      </c>
      <c r="K664" t="e">
        <f>VLOOKUP(F664,[1]!china_towns_second__2[[Column1]:[Y]],2,FALSE)</f>
        <v>#N/A</v>
      </c>
      <c r="L664" t="s">
        <v>2322</v>
      </c>
      <c r="M664" t="str">
        <f>VLOOKUP(H664,CHOOSE({1,2},Table8[Native],Table8[Name]),2,0)</f>
        <v>Lāzī Xiàn</v>
      </c>
      <c r="N664" s="13" t="str">
        <f>VLOOKUP(I664,CHOOSE({1,2},Table8[Native],Table8[Name]),2,0)</f>
        <v>Rìkāzé Shì</v>
      </c>
      <c r="O664" s="13" t="str">
        <f t="shared" si="20"/>
        <v>Zhaxigang Xiang (Lazi Xian) (Rìkāzé Shì)</v>
      </c>
      <c r="P664" s="13" t="str">
        <f t="shared" si="21"/>
        <v>Zhaxigang Xiang (Lazi Xian) (Rìkāzé Shì)</v>
      </c>
    </row>
    <row r="665" spans="1:16" hidden="1" x14ac:dyDescent="0.25">
      <c r="A665" t="s">
        <v>82</v>
      </c>
      <c r="B665" t="str">
        <f>IF(COUNTIF(A:A,A665)&gt;1,_xlfn.CONCAT(A665," (",N665,")"),A665)</f>
        <v>Zhāxīgăng Xiāng (Rìkāzé Shì)</v>
      </c>
      <c r="C665" t="str">
        <f>IF(COUNTIF(B:B,B665)&gt;1,_xlfn.CONCAT(A665," (",M665,")"),B665)</f>
        <v>Zhāxīgăng Xiāng (Dìngjié Xiàn)</v>
      </c>
      <c r="D665" t="s">
        <v>83</v>
      </c>
      <c r="E665" t="s">
        <v>7</v>
      </c>
      <c r="F665" t="str">
        <f>_xlfn.CONCAT(D665,", ",H665,", ",I665,", ","西藏自治区")</f>
        <v>扎西岗乡, 定结县, 日喀则市, 西藏自治区</v>
      </c>
      <c r="G665">
        <v>2048</v>
      </c>
      <c r="H665" t="s">
        <v>1461</v>
      </c>
      <c r="I665" t="s">
        <v>1458</v>
      </c>
      <c r="J665" t="e">
        <f>VLOOKUP(F665,[1]!china_towns_second__2[[Column1]:[Y]],3,FALSE)</f>
        <v>#N/A</v>
      </c>
      <c r="K665" t="e">
        <f>VLOOKUP(F665,[1]!china_towns_second__2[[Column1]:[Y]],2,FALSE)</f>
        <v>#N/A</v>
      </c>
      <c r="L665" t="s">
        <v>2323</v>
      </c>
      <c r="M665" t="str">
        <f>VLOOKUP(H665,CHOOSE({1,2},Table8[Native],Table8[Name]),2,0)</f>
        <v>Dìngjié Xiàn</v>
      </c>
      <c r="N665" s="13" t="str">
        <f>VLOOKUP(I665,CHOOSE({1,2},Table8[Native],Table8[Name]),2,0)</f>
        <v>Rìkāzé Shì</v>
      </c>
      <c r="O665" s="13" t="str">
        <f t="shared" si="20"/>
        <v>Zhaxigang Xiang (Dingjie Xian) (Rìkāzé Shì)</v>
      </c>
      <c r="P665" s="13" t="str">
        <f t="shared" si="21"/>
        <v>Zhaxigang Xiang (Dingjie Xian) (Rìkāzé Shì)</v>
      </c>
    </row>
    <row r="666" spans="1:16" hidden="1" x14ac:dyDescent="0.25">
      <c r="A666" t="s">
        <v>603</v>
      </c>
      <c r="B666" t="str">
        <f>IF(COUNTIF(A:A,A666)&gt;1,_xlfn.CONCAT(A666," (",N666,")"),A666)</f>
        <v>Zhāxīrăodēng Xiāng</v>
      </c>
      <c r="C666" t="str">
        <f>IF(COUNTIF(B:B,B666)&gt;1,_xlfn.CONCAT(A666," (",M666,")"),B666)</f>
        <v>Zhāxīrăodēng Xiāng</v>
      </c>
      <c r="D666" t="s">
        <v>604</v>
      </c>
      <c r="E666" t="s">
        <v>7</v>
      </c>
      <c r="F666" t="str">
        <f>_xlfn.CONCAT(D666,", ",H666,", ",I666,", ","西藏自治区")</f>
        <v>扎西绕登乡, 米林县, 林芝市, 西藏自治区</v>
      </c>
      <c r="G666">
        <v>3552</v>
      </c>
      <c r="H666" t="s">
        <v>1443</v>
      </c>
      <c r="I666" t="s">
        <v>1437</v>
      </c>
      <c r="J666" t="e">
        <f>VLOOKUP(F666,[1]!china_towns_second__2[[Column1]:[Y]],3,FALSE)</f>
        <v>#N/A</v>
      </c>
      <c r="K666" t="e">
        <f>VLOOKUP(F666,[1]!china_towns_second__2[[Column1]:[Y]],2,FALSE)</f>
        <v>#N/A</v>
      </c>
      <c r="L666" t="s">
        <v>2324</v>
      </c>
      <c r="M666" t="str">
        <f>VLOOKUP(H666,CHOOSE({1,2},Table8[Native],Table8[Name]),2,0)</f>
        <v>Mĭlín Xiàn</v>
      </c>
      <c r="N666" s="13" t="str">
        <f>VLOOKUP(I666,CHOOSE({1,2},Table8[Native],Table8[Name]),2,0)</f>
        <v>Línzhī Shì</v>
      </c>
      <c r="O666" s="13" t="str">
        <f t="shared" si="20"/>
        <v>Zhaxiraodeng Xiang (Línzhī Shì)</v>
      </c>
      <c r="P666" s="13" t="str">
        <f t="shared" si="21"/>
        <v>Zhaxiraodeng Xiang (Línzhī Shì)</v>
      </c>
    </row>
    <row r="667" spans="1:16" hidden="1" x14ac:dyDescent="0.25">
      <c r="A667" t="s">
        <v>1224</v>
      </c>
      <c r="B667" t="str">
        <f>IF(COUNTIF(A:A,A667)&gt;1,_xlfn.CONCAT(A667," (",N667,")"),A667)</f>
        <v>Zhāxīzōng Xiāng (Rìkāzé Shì)</v>
      </c>
      <c r="C667" t="str">
        <f>IF(COUNTIF(B:B,B667)&gt;1,_xlfn.CONCAT(A667," (",M667,")"),B667)</f>
        <v>Zhāxīzōng Xiāng (Dìngrì Xiàn)</v>
      </c>
      <c r="D667" t="s">
        <v>1225</v>
      </c>
      <c r="E667" t="s">
        <v>7</v>
      </c>
      <c r="F667" t="str">
        <f>_xlfn.CONCAT(D667,", ",H667,", ",I667,", ","西藏自治区")</f>
        <v>扎西宗乡, 定日县, 日喀则市, 西藏自治区</v>
      </c>
      <c r="G667">
        <v>6722</v>
      </c>
      <c r="H667" t="s">
        <v>1462</v>
      </c>
      <c r="I667" t="s">
        <v>1458</v>
      </c>
      <c r="J667" t="e">
        <f>VLOOKUP(F667,[1]!china_towns_second__2[[Column1]:[Y]],3,FALSE)</f>
        <v>#N/A</v>
      </c>
      <c r="K667" t="e">
        <f>VLOOKUP(F667,[1]!china_towns_second__2[[Column1]:[Y]],2,FALSE)</f>
        <v>#N/A</v>
      </c>
      <c r="L667" t="s">
        <v>2325</v>
      </c>
      <c r="M667" t="str">
        <f>VLOOKUP(H667,CHOOSE({1,2},Table8[Native],Table8[Name]),2,0)</f>
        <v>Dìngrì Xiàn</v>
      </c>
      <c r="N667" s="13" t="str">
        <f>VLOOKUP(I667,CHOOSE({1,2},Table8[Native],Table8[Name]),2,0)</f>
        <v>Rìkāzé Shì</v>
      </c>
      <c r="O667" s="13" t="str">
        <f t="shared" si="20"/>
        <v>Zhaxizong Xiang (Dingri Xian) (Rìkāzé Shì)</v>
      </c>
      <c r="P667" s="13" t="str">
        <f t="shared" si="21"/>
        <v>Zhaxizong Xiang (Dingri Xian) (Rìkāzé Shì)</v>
      </c>
    </row>
    <row r="668" spans="1:16" hidden="1" x14ac:dyDescent="0.25">
      <c r="A668" t="s">
        <v>1224</v>
      </c>
      <c r="B668" t="str">
        <f>IF(COUNTIF(A:A,A668)&gt;1,_xlfn.CONCAT(A668," (",N668,")"),A668)</f>
        <v>Zhāxīzōng Xiāng (Rìkāzé Shì)</v>
      </c>
      <c r="C668" t="str">
        <f>IF(COUNTIF(B:B,B668)&gt;1,_xlfn.CONCAT(A668," (",M668,")"),B668)</f>
        <v>Zhāxīzōng Xiāng (Lāzī Xiàn)</v>
      </c>
      <c r="D668" t="s">
        <v>1225</v>
      </c>
      <c r="E668" t="s">
        <v>7</v>
      </c>
      <c r="F668" t="str">
        <f>_xlfn.CONCAT(D668,", ",H668,", ",I668,", ","西藏自治区")</f>
        <v>扎西宗乡, 拉孜县, 日喀则市, 西藏自治区</v>
      </c>
      <c r="G668">
        <v>2737</v>
      </c>
      <c r="H668" t="s">
        <v>1467</v>
      </c>
      <c r="I668" t="s">
        <v>1458</v>
      </c>
      <c r="J668" t="e">
        <f>VLOOKUP(F668,[1]!china_towns_second__2[[Column1]:[Y]],3,FALSE)</f>
        <v>#N/A</v>
      </c>
      <c r="K668" t="e">
        <f>VLOOKUP(F668,[1]!china_towns_second__2[[Column1]:[Y]],2,FALSE)</f>
        <v>#N/A</v>
      </c>
      <c r="L668" t="s">
        <v>2326</v>
      </c>
      <c r="M668" t="str">
        <f>VLOOKUP(H668,CHOOSE({1,2},Table8[Native],Table8[Name]),2,0)</f>
        <v>Lāzī Xiàn</v>
      </c>
      <c r="N668" s="13" t="str">
        <f>VLOOKUP(I668,CHOOSE({1,2},Table8[Native],Table8[Name]),2,0)</f>
        <v>Rìkāzé Shì</v>
      </c>
      <c r="O668" s="13" t="str">
        <f t="shared" si="20"/>
        <v>Zhaxizong Xiang (Lazi Xian) (Rìkāzé Shì)</v>
      </c>
      <c r="P668" s="13" t="str">
        <f t="shared" si="21"/>
        <v>Zhaxizong Xiang (Lazi Xian) (Rìkāzé Shì)</v>
      </c>
    </row>
    <row r="669" spans="1:16" hidden="1" x14ac:dyDescent="0.25">
      <c r="A669" t="s">
        <v>498</v>
      </c>
      <c r="B669" t="str">
        <f>IF(COUNTIF(A:A,A669)&gt;1,_xlfn.CONCAT(A669," (",N669,")"),A669)</f>
        <v>Zhāxuĕ Xiāng</v>
      </c>
      <c r="C669" t="str">
        <f>IF(COUNTIF(B:B,B669)&gt;1,_xlfn.CONCAT(A669," (",M669,")"),B669)</f>
        <v>Zhāxuĕ Xiāng</v>
      </c>
      <c r="D669" t="s">
        <v>499</v>
      </c>
      <c r="E669" t="s">
        <v>7</v>
      </c>
      <c r="F669" t="str">
        <f>_xlfn.CONCAT(D669,", ",H669,", ",I669,", ","西藏自治区")</f>
        <v>扎雪乡, 墨竹工卡县, 拉萨市, 西藏自治区</v>
      </c>
      <c r="G669">
        <v>6939</v>
      </c>
      <c r="H669" t="s">
        <v>1434</v>
      </c>
      <c r="I669" t="s">
        <v>1428</v>
      </c>
      <c r="J669" t="e">
        <f>VLOOKUP(F669,[1]!china_towns_second__2[[Column1]:[Y]],3,FALSE)</f>
        <v>#N/A</v>
      </c>
      <c r="K669" t="e">
        <f>VLOOKUP(F669,[1]!china_towns_second__2[[Column1]:[Y]],2,FALSE)</f>
        <v>#N/A</v>
      </c>
      <c r="L669" t="s">
        <v>2327</v>
      </c>
      <c r="M669" t="str">
        <f>VLOOKUP(H669,CHOOSE({1,2},Table8[Native],Table8[Name]),2,0)</f>
        <v>Mòzhúgōngkă Xiàn</v>
      </c>
      <c r="N669" s="13" t="str">
        <f>VLOOKUP(I669,CHOOSE({1,2},Table8[Native],Table8[Name]),2,0)</f>
        <v>Lāsà Shì</v>
      </c>
      <c r="O669" s="13" t="str">
        <f t="shared" si="20"/>
        <v>Zhaxue Xiang (Lāsà Shì)</v>
      </c>
      <c r="P669" s="13" t="str">
        <f t="shared" si="21"/>
        <v>Zhaxue Xiang (Lāsà Shì)</v>
      </c>
    </row>
    <row r="670" spans="1:16" x14ac:dyDescent="0.25">
      <c r="A670" t="s">
        <v>353</v>
      </c>
      <c r="B670" t="str">
        <f>IF(COUNTIF(A:A,A670)&gt;1,_xlfn.CONCAT(A670," (",N670,")"),A670)</f>
        <v>Zhāyù Zhèn</v>
      </c>
      <c r="C670" t="str">
        <f>IF(COUNTIF(B:B,B670)&gt;1,_xlfn.CONCAT(A670," (",M670,")"),B670)</f>
        <v>Zhāyù Zhèn</v>
      </c>
      <c r="D670" t="s">
        <v>354</v>
      </c>
      <c r="E670" t="s">
        <v>17</v>
      </c>
      <c r="F670" t="str">
        <f>_xlfn.CONCAT(D670,", ",H670,", ",I670,", ","西藏自治区")</f>
        <v>扎玉镇, 左贡县, 昌都市, 西藏自治区</v>
      </c>
      <c r="G670">
        <v>6499</v>
      </c>
      <c r="H670" t="s">
        <v>1427</v>
      </c>
      <c r="I670" t="s">
        <v>1415</v>
      </c>
      <c r="J670">
        <f>VLOOKUP(F670,[1]!china_towns_second__2[[Column1]:[Y]],3,FALSE)</f>
        <v>29.145675227219201</v>
      </c>
      <c r="K670">
        <f>VLOOKUP(F670,[1]!china_towns_second__2[[Column1]:[Y]],2,FALSE)</f>
        <v>98.172730479999998</v>
      </c>
      <c r="L670" t="s">
        <v>2328</v>
      </c>
      <c r="M670" t="str">
        <f>VLOOKUP(H670,CHOOSE({1,2},Table8[Native],Table8[Name]),2,0)</f>
        <v>Zuŏgòng Xiàn</v>
      </c>
      <c r="N670" s="13" t="str">
        <f>VLOOKUP(I670,CHOOSE({1,2},Table8[Native],Table8[Name]),2,0)</f>
        <v>Chāngdū Shì</v>
      </c>
      <c r="O670" s="13" t="str">
        <f t="shared" si="20"/>
        <v>Zhayu Zhen (Chāngdū Shì)</v>
      </c>
      <c r="P670" s="13" t="str">
        <f t="shared" si="21"/>
        <v>Zhayu Zhen (Chāngdū Shì)</v>
      </c>
    </row>
    <row r="671" spans="1:16" hidden="1" x14ac:dyDescent="0.25">
      <c r="A671" t="s">
        <v>1226</v>
      </c>
      <c r="B671" t="str">
        <f>IF(COUNTIF(A:A,A671)&gt;1,_xlfn.CONCAT(A671," (",N671,")"),A671)</f>
        <v>Zhébā Xiāng</v>
      </c>
      <c r="C671" t="str">
        <f>IF(COUNTIF(B:B,B671)&gt;1,_xlfn.CONCAT(A671," (",M671,")"),B671)</f>
        <v>Zhébā Xiāng</v>
      </c>
      <c r="D671" t="s">
        <v>1227</v>
      </c>
      <c r="E671" t="s">
        <v>7</v>
      </c>
      <c r="F671" t="str">
        <f>_xlfn.CONCAT(D671,", ",H671,", ",I671,", ","西藏自治区")</f>
        <v>折巴乡, 吉隆县, 日喀则市, 西藏自治区</v>
      </c>
      <c r="G671">
        <v>2324</v>
      </c>
      <c r="H671" t="s">
        <v>1465</v>
      </c>
      <c r="I671" t="s">
        <v>1458</v>
      </c>
      <c r="J671" t="e">
        <f>VLOOKUP(F671,[1]!china_towns_second__2[[Column1]:[Y]],3,FALSE)</f>
        <v>#N/A</v>
      </c>
      <c r="K671" t="e">
        <f>VLOOKUP(F671,[1]!china_towns_second__2[[Column1]:[Y]],2,FALSE)</f>
        <v>#N/A</v>
      </c>
      <c r="L671" t="s">
        <v>2329</v>
      </c>
      <c r="M671" t="str">
        <f>VLOOKUP(H671,CHOOSE({1,2},Table8[Native],Table8[Name]),2,0)</f>
        <v>Jílóng Xiàn</v>
      </c>
      <c r="N671" s="13" t="str">
        <f>VLOOKUP(I671,CHOOSE({1,2},Table8[Native],Table8[Name]),2,0)</f>
        <v>Rìkāzé Shì</v>
      </c>
      <c r="O671" s="13" t="str">
        <f t="shared" si="20"/>
        <v>Zheba Xiang (Rìkāzé Shì)</v>
      </c>
      <c r="P671" s="13" t="str">
        <f t="shared" si="21"/>
        <v>Zheba Xiang (Rìkāzé Shì)</v>
      </c>
    </row>
    <row r="672" spans="1:16" x14ac:dyDescent="0.25">
      <c r="A672" t="s">
        <v>1400</v>
      </c>
      <c r="B672" t="str">
        <f>IF(COUNTIF(A:A,A672)&gt;1,_xlfn.CONCAT(A672," (",N672,")"),A672)</f>
        <v>Zhégŭ Zhèn</v>
      </c>
      <c r="C672" t="str">
        <f>IF(COUNTIF(B:B,B672)&gt;1,_xlfn.CONCAT(A672," (",M672,")"),B672)</f>
        <v>Zhégŭ Zhèn</v>
      </c>
      <c r="D672" t="s">
        <v>1401</v>
      </c>
      <c r="E672" t="s">
        <v>17</v>
      </c>
      <c r="F672" t="str">
        <f>_xlfn.CONCAT(D672,", ",H672,", ",I672,", ","西藏自治区")</f>
        <v>哲古镇, 措美县, 山南市, 西藏自治区</v>
      </c>
      <c r="G672">
        <v>5040</v>
      </c>
      <c r="H672" t="s">
        <v>1478</v>
      </c>
      <c r="I672" t="s">
        <v>1477</v>
      </c>
      <c r="J672">
        <f>VLOOKUP(F672,[1]!china_towns_second__2[[Column1]:[Y]],3,FALSE)</f>
        <v>28.711656479885999</v>
      </c>
      <c r="K672">
        <f>VLOOKUP(F672,[1]!china_towns_second__2[[Column1]:[Y]],2,FALSE)</f>
        <v>91.55099371</v>
      </c>
      <c r="L672" t="s">
        <v>2330</v>
      </c>
      <c r="M672" t="str">
        <f>VLOOKUP(H672,CHOOSE({1,2},Table8[Native],Table8[Name]),2,0)</f>
        <v>Cuòmĕi Xiàn</v>
      </c>
      <c r="N672" s="13" t="str">
        <f>VLOOKUP(I672,CHOOSE({1,2},Table8[Native],Table8[Name]),2,0)</f>
        <v>Shānnán Shì</v>
      </c>
      <c r="O672" s="13" t="str">
        <f t="shared" si="20"/>
        <v>Zhegu Zhen (Shānnán Shì)</v>
      </c>
      <c r="P672" s="13" t="str">
        <f t="shared" si="21"/>
        <v>Zhegu Zhen (Shānnán Shì)</v>
      </c>
    </row>
    <row r="673" spans="1:16" hidden="1" x14ac:dyDescent="0.25">
      <c r="A673" t="s">
        <v>1228</v>
      </c>
      <c r="B673" t="str">
        <f>IF(COUNTIF(A:A,A673)&gt;1,_xlfn.CONCAT(A673," (",N673,")"),A673)</f>
        <v>Zhĕxià Xiāng</v>
      </c>
      <c r="C673" t="str">
        <f>IF(COUNTIF(B:B,B673)&gt;1,_xlfn.CONCAT(A673," (",M673,")"),B673)</f>
        <v>Zhĕxià Xiāng</v>
      </c>
      <c r="D673" t="s">
        <v>1229</v>
      </c>
      <c r="E673" t="s">
        <v>7</v>
      </c>
      <c r="F673" t="str">
        <f>_xlfn.CONCAT(D673,", ",H673,", ",I673,", ","西藏自治区")</f>
        <v>者下乡, 白朗县, 日喀则市, 西藏自治区</v>
      </c>
      <c r="G673">
        <v>1906</v>
      </c>
      <c r="H673" t="s">
        <v>1460</v>
      </c>
      <c r="I673" t="s">
        <v>1458</v>
      </c>
      <c r="J673" t="e">
        <f>VLOOKUP(F673,[1]!china_towns_second__2[[Column1]:[Y]],3,FALSE)</f>
        <v>#N/A</v>
      </c>
      <c r="K673" t="e">
        <f>VLOOKUP(F673,[1]!china_towns_second__2[[Column1]:[Y]],2,FALSE)</f>
        <v>#N/A</v>
      </c>
      <c r="L673" t="s">
        <v>2331</v>
      </c>
      <c r="M673" t="str">
        <f>VLOOKUP(H673,CHOOSE({1,2},Table8[Native],Table8[Name]),2,0)</f>
        <v>Báilăng Xiàn</v>
      </c>
      <c r="N673" s="13" t="str">
        <f>VLOOKUP(I673,CHOOSE({1,2},Table8[Native],Table8[Name]),2,0)</f>
        <v>Rìkāzé Shì</v>
      </c>
      <c r="O673" s="13" t="str">
        <f t="shared" si="20"/>
        <v>Zhexia Xiang (Rìkāzé Shì)</v>
      </c>
      <c r="P673" s="13" t="str">
        <f t="shared" si="21"/>
        <v>Zhexia Xiang (Rìkāzé Shì)</v>
      </c>
    </row>
    <row r="674" spans="1:16" hidden="1" x14ac:dyDescent="0.25">
      <c r="A674" t="s">
        <v>1230</v>
      </c>
      <c r="B674" t="str">
        <f>IF(COUNTIF(A:A,A674)&gt;1,_xlfn.CONCAT(A674," (",N674,")"),A674)</f>
        <v>Zhíkè Xiāng</v>
      </c>
      <c r="C674" t="str">
        <f>IF(COUNTIF(B:B,B674)&gt;1,_xlfn.CONCAT(A674," (",M674,")"),B674)</f>
        <v>Zhíkè Xiāng</v>
      </c>
      <c r="D674" t="s">
        <v>1231</v>
      </c>
      <c r="E674" t="s">
        <v>7</v>
      </c>
      <c r="F674" t="str">
        <f>_xlfn.CONCAT(D674,", ",H674,", ",I674,", ","西藏自治区")</f>
        <v>直克乡, 岗巴县, 日喀则市, 西藏自治区</v>
      </c>
      <c r="G674">
        <v>1226</v>
      </c>
      <c r="H674" t="s">
        <v>1463</v>
      </c>
      <c r="I674" t="s">
        <v>1458</v>
      </c>
      <c r="J674" t="e">
        <f>VLOOKUP(F674,[1]!china_towns_second__2[[Column1]:[Y]],3,FALSE)</f>
        <v>#N/A</v>
      </c>
      <c r="K674" t="e">
        <f>VLOOKUP(F674,[1]!china_towns_second__2[[Column1]:[Y]],2,FALSE)</f>
        <v>#N/A</v>
      </c>
      <c r="L674" t="s">
        <v>2332</v>
      </c>
      <c r="M674" t="str">
        <f>VLOOKUP(H674,CHOOSE({1,2},Table8[Native],Table8[Name]),2,0)</f>
        <v>Găngbā Xiàn</v>
      </c>
      <c r="N674" s="13" t="str">
        <f>VLOOKUP(I674,CHOOSE({1,2},Table8[Native],Table8[Name]),2,0)</f>
        <v>Rìkāzé Shì</v>
      </c>
      <c r="O674" s="13" t="str">
        <f t="shared" si="20"/>
        <v>Zhike Xiang (Rìkāzé Shì)</v>
      </c>
      <c r="P674" s="13" t="str">
        <f t="shared" si="21"/>
        <v>Zhike Xiang (Rìkāzé Shì)</v>
      </c>
    </row>
    <row r="675" spans="1:16" hidden="1" x14ac:dyDescent="0.25">
      <c r="A675" t="s">
        <v>835</v>
      </c>
      <c r="B675" t="str">
        <f>IF(COUNTIF(A:A,A675)&gt;1,_xlfn.CONCAT(A675," (",N675,")"),A675)</f>
        <v>Zhōngcāng Xiāng</v>
      </c>
      <c r="C675" t="str">
        <f>IF(COUNTIF(B:B,B675)&gt;1,_xlfn.CONCAT(A675," (",M675,")"),B675)</f>
        <v>Zhōngcāng Xiāng</v>
      </c>
      <c r="D675" t="s">
        <v>836</v>
      </c>
      <c r="E675" t="s">
        <v>7</v>
      </c>
      <c r="F675" t="str">
        <f>_xlfn.CONCAT(D675,", ",H675,", ",I675,", ","西藏自治区")</f>
        <v>中仓乡, 尼玛县, 那曲市, 西藏自治区</v>
      </c>
      <c r="G675">
        <v>2492</v>
      </c>
      <c r="H675" t="s">
        <v>1452</v>
      </c>
      <c r="I675" t="s">
        <v>1445</v>
      </c>
      <c r="J675" t="e">
        <f>VLOOKUP(F675,[1]!china_towns_second__2[[Column1]:[Y]],3,FALSE)</f>
        <v>#N/A</v>
      </c>
      <c r="K675" t="e">
        <f>VLOOKUP(F675,[1]!china_towns_second__2[[Column1]:[Y]],2,FALSE)</f>
        <v>#N/A</v>
      </c>
      <c r="L675" t="s">
        <v>2333</v>
      </c>
      <c r="M675" t="str">
        <f>VLOOKUP(H675,CHOOSE({1,2},Table8[Native],Table8[Name]),2,0)</f>
        <v>Nímă Xiàn</v>
      </c>
      <c r="N675" s="13" t="str">
        <f>VLOOKUP(I675,CHOOSE({1,2},Table8[Native],Table8[Name]),2,0)</f>
        <v>Nàqŭ Shì</v>
      </c>
      <c r="O675" s="13" t="str">
        <f t="shared" si="20"/>
        <v>Zhongcang Xiang (Nàqŭ Shì)</v>
      </c>
      <c r="P675" s="13" t="str">
        <f t="shared" si="21"/>
        <v>Zhongcang Xiang (Nàqŭ Shì)</v>
      </c>
    </row>
    <row r="676" spans="1:16" x14ac:dyDescent="0.25">
      <c r="A676" t="s">
        <v>605</v>
      </c>
      <c r="B676" t="str">
        <f>IF(COUNTIF(A:A,A676)&gt;1,_xlfn.CONCAT(A676," (",N676,")"),A676)</f>
        <v>Zhòngdá Zhèn</v>
      </c>
      <c r="C676" t="str">
        <f>IF(COUNTIF(B:B,B676)&gt;1,_xlfn.CONCAT(A676," (",M676,")"),B676)</f>
        <v>Zhòngdá Zhèn</v>
      </c>
      <c r="D676" t="s">
        <v>606</v>
      </c>
      <c r="E676" t="s">
        <v>17</v>
      </c>
      <c r="F676" t="str">
        <f>_xlfn.CONCAT(D676,", ",H676,", ",I676,", ","西藏自治区")</f>
        <v>仲达镇, 朗县, 林芝市, 西藏自治区</v>
      </c>
      <c r="G676">
        <v>2321</v>
      </c>
      <c r="H676" t="s">
        <v>1442</v>
      </c>
      <c r="I676" t="s">
        <v>1437</v>
      </c>
      <c r="J676">
        <f>VLOOKUP(F676,[1]!china_towns_second__2[[Column1]:[Y]],3,FALSE)</f>
        <v>28.9865868991428</v>
      </c>
      <c r="K676">
        <f>VLOOKUP(F676,[1]!china_towns_second__2[[Column1]:[Y]],2,FALSE)</f>
        <v>92.844865240000004</v>
      </c>
      <c r="L676" t="s">
        <v>2334</v>
      </c>
      <c r="M676" t="str">
        <f>VLOOKUP(H676,CHOOSE({1,2},Table8[Native],Table8[Name]),2,0)</f>
        <v>Lăng Xiàn</v>
      </c>
      <c r="N676" s="13" t="str">
        <f>VLOOKUP(I676,CHOOSE({1,2},Table8[Native],Table8[Name]),2,0)</f>
        <v>Línzhī Shì</v>
      </c>
      <c r="O676" s="13" t="str">
        <f t="shared" si="20"/>
        <v>Zhongda Zhen (Línzhī Shì)</v>
      </c>
      <c r="P676" s="13" t="str">
        <f t="shared" si="21"/>
        <v>Zhongda Zhen (Línzhī Shì)</v>
      </c>
    </row>
    <row r="677" spans="1:16" hidden="1" x14ac:dyDescent="0.25">
      <c r="A677" t="s">
        <v>355</v>
      </c>
      <c r="B677" t="str">
        <f>IF(COUNTIF(A:A,A677)&gt;1,_xlfn.CONCAT(A677," (",N677,")"),A677)</f>
        <v>Zhōnglínkă Xiāng</v>
      </c>
      <c r="C677" t="str">
        <f>IF(COUNTIF(B:B,B677)&gt;1,_xlfn.CONCAT(A677," (",M677,")"),B677)</f>
        <v>Zhōnglínkă Xiāng</v>
      </c>
      <c r="D677" t="s">
        <v>356</v>
      </c>
      <c r="E677" t="s">
        <v>7</v>
      </c>
      <c r="F677" t="str">
        <f>_xlfn.CONCAT(D677,", ",H677,", ",I677,", ","西藏自治区")</f>
        <v>中林卡乡, 左贡县, 昌都市, 西藏自治区</v>
      </c>
      <c r="G677">
        <v>6039</v>
      </c>
      <c r="H677" t="s">
        <v>1427</v>
      </c>
      <c r="I677" t="s">
        <v>1415</v>
      </c>
      <c r="J677" t="e">
        <f>VLOOKUP(F677,[1]!china_towns_second__2[[Column1]:[Y]],3,FALSE)</f>
        <v>#N/A</v>
      </c>
      <c r="K677" t="e">
        <f>VLOOKUP(F677,[1]!china_towns_second__2[[Column1]:[Y]],2,FALSE)</f>
        <v>#N/A</v>
      </c>
      <c r="L677" t="s">
        <v>2335</v>
      </c>
      <c r="M677" t="str">
        <f>VLOOKUP(H677,CHOOSE({1,2},Table8[Native],Table8[Name]),2,0)</f>
        <v>Zuŏgòng Xiàn</v>
      </c>
      <c r="N677" s="13" t="str">
        <f>VLOOKUP(I677,CHOOSE({1,2},Table8[Native],Table8[Name]),2,0)</f>
        <v>Chāngdū Shì</v>
      </c>
      <c r="O677" s="13" t="str">
        <f t="shared" si="20"/>
        <v>Zhonglinka Xiang (Chāngdū Shì)</v>
      </c>
      <c r="P677" s="13" t="str">
        <f t="shared" si="21"/>
        <v>Zhonglinka Xiang (Chāngdū Shì)</v>
      </c>
    </row>
    <row r="678" spans="1:16" hidden="1" x14ac:dyDescent="0.25">
      <c r="A678" t="s">
        <v>607</v>
      </c>
      <c r="B678" t="str">
        <f>IF(COUNTIF(A:A,A678)&gt;1,_xlfn.CONCAT(A678," (",N678,")"),A678)</f>
        <v>Zhòngsà Xiāng</v>
      </c>
      <c r="C678" t="str">
        <f>IF(COUNTIF(B:B,B678)&gt;1,_xlfn.CONCAT(A678," (",M678,")"),B678)</f>
        <v>Zhòngsà Xiāng</v>
      </c>
      <c r="D678" t="s">
        <v>608</v>
      </c>
      <c r="E678" t="s">
        <v>7</v>
      </c>
      <c r="F678" t="str">
        <f>_xlfn.CONCAT(D678,", ",H678,", ",I678,", ","西藏自治区")</f>
        <v>仲萨乡, 工布江达县, 林芝市, 西藏自治区</v>
      </c>
      <c r="G678">
        <v>2560</v>
      </c>
      <c r="H678" t="s">
        <v>1441</v>
      </c>
      <c r="I678" t="s">
        <v>1437</v>
      </c>
      <c r="J678" t="e">
        <f>VLOOKUP(F678,[1]!china_towns_second__2[[Column1]:[Y]],3,FALSE)</f>
        <v>#N/A</v>
      </c>
      <c r="K678" t="e">
        <f>VLOOKUP(F678,[1]!china_towns_second__2[[Column1]:[Y]],2,FALSE)</f>
        <v>#N/A</v>
      </c>
      <c r="L678" t="s">
        <v>2336</v>
      </c>
      <c r="M678" t="str">
        <f>VLOOKUP(H678,CHOOSE({1,2},Table8[Native],Table8[Name]),2,0)</f>
        <v>Gōngbùjiāngdá Xiàn</v>
      </c>
      <c r="N678" s="13" t="str">
        <f>VLOOKUP(I678,CHOOSE({1,2},Table8[Native],Table8[Name]),2,0)</f>
        <v>Línzhī Shì</v>
      </c>
      <c r="O678" s="13" t="str">
        <f t="shared" si="20"/>
        <v>Zhongsa Xiang (Línzhī Shì)</v>
      </c>
      <c r="P678" s="13" t="str">
        <f t="shared" si="21"/>
        <v>Zhongsa Xiang (Línzhī Shì)</v>
      </c>
    </row>
    <row r="679" spans="1:16" hidden="1" x14ac:dyDescent="0.25">
      <c r="A679" t="s">
        <v>357</v>
      </c>
      <c r="B679" t="str">
        <f>IF(COUNTIF(A:A,A679)&gt;1,_xlfn.CONCAT(A679," (",N679,")"),A679)</f>
        <v>Zhōngyì Xiāng</v>
      </c>
      <c r="C679" t="str">
        <f>IF(COUNTIF(B:B,B679)&gt;1,_xlfn.CONCAT(A679," (",M679,")"),B679)</f>
        <v>Zhōngyì Xiāng</v>
      </c>
      <c r="D679" t="s">
        <v>358</v>
      </c>
      <c r="E679" t="s">
        <v>7</v>
      </c>
      <c r="F679" t="str">
        <f>_xlfn.CONCAT(D679,", ",H679,", ",I679,", ","西藏自治区")</f>
        <v>中亦乡, 洛隆县, 昌都市, 西藏自治区</v>
      </c>
      <c r="G679">
        <v>2999</v>
      </c>
      <c r="H679" t="s">
        <v>1425</v>
      </c>
      <c r="I679" t="s">
        <v>1415</v>
      </c>
      <c r="J679" t="e">
        <f>VLOOKUP(F679,[1]!china_towns_second__2[[Column1]:[Y]],3,FALSE)</f>
        <v>#N/A</v>
      </c>
      <c r="K679" t="e">
        <f>VLOOKUP(F679,[1]!china_towns_second__2[[Column1]:[Y]],2,FALSE)</f>
        <v>#N/A</v>
      </c>
      <c r="L679" t="s">
        <v>2337</v>
      </c>
      <c r="M679" t="str">
        <f>VLOOKUP(H679,CHOOSE({1,2},Table8[Native],Table8[Name]),2,0)</f>
        <v>Luòlóng Xiàn</v>
      </c>
      <c r="N679" s="13" t="str">
        <f>VLOOKUP(I679,CHOOSE({1,2},Table8[Native],Table8[Name]),2,0)</f>
        <v>Chāngdū Shì</v>
      </c>
      <c r="O679" s="13" t="str">
        <f t="shared" si="20"/>
        <v>Zhongyi Xiang (Chāngdū Shì)</v>
      </c>
      <c r="P679" s="13" t="str">
        <f t="shared" si="21"/>
        <v>Zhongyi Xiang (Chāngdū Shì)</v>
      </c>
    </row>
    <row r="680" spans="1:16" hidden="1" x14ac:dyDescent="0.25">
      <c r="A680" t="s">
        <v>359</v>
      </c>
      <c r="B680" t="str">
        <f>IF(COUNTIF(A:A,A680)&gt;1,_xlfn.CONCAT(A680," (",N680,")"),A680)</f>
        <v>Zhúbālóng Xiāng</v>
      </c>
      <c r="C680" t="str">
        <f>IF(COUNTIF(B:B,B680)&gt;1,_xlfn.CONCAT(A680," (",M680,")"),B680)</f>
        <v>Zhúbālóng Xiāng</v>
      </c>
      <c r="D680" t="s">
        <v>360</v>
      </c>
      <c r="E680" t="s">
        <v>7</v>
      </c>
      <c r="F680" t="str">
        <f>_xlfn.CONCAT(D680,", ",H680,", ",I680,", ","西藏自治区")</f>
        <v>竹巴龙乡, 芒康县, 昌都市, 西藏自治区</v>
      </c>
      <c r="G680">
        <v>4834</v>
      </c>
      <c r="H680" t="s">
        <v>1426</v>
      </c>
      <c r="I680" t="s">
        <v>1415</v>
      </c>
      <c r="J680" t="e">
        <f>VLOOKUP(F680,[1]!china_towns_second__2[[Column1]:[Y]],3,FALSE)</f>
        <v>#N/A</v>
      </c>
      <c r="K680" t="e">
        <f>VLOOKUP(F680,[1]!china_towns_second__2[[Column1]:[Y]],2,FALSE)</f>
        <v>#N/A</v>
      </c>
      <c r="L680" t="s">
        <v>2338</v>
      </c>
      <c r="M680" t="str">
        <f>VLOOKUP(H680,CHOOSE({1,2},Table8[Native],Table8[Name]),2,0)</f>
        <v>Mángkāng Xiàn</v>
      </c>
      <c r="N680" s="13" t="str">
        <f>VLOOKUP(I680,CHOOSE({1,2},Table8[Native],Table8[Name]),2,0)</f>
        <v>Chāngdū Shì</v>
      </c>
      <c r="O680" s="13" t="str">
        <f t="shared" si="20"/>
        <v>Zhubalong Xiang (Chāngdū Shì)</v>
      </c>
      <c r="P680" s="13" t="str">
        <f t="shared" si="21"/>
        <v>Zhubalong Xiang (Chāngdū Shì)</v>
      </c>
    </row>
    <row r="681" spans="1:16" hidden="1" x14ac:dyDescent="0.25">
      <c r="A681" t="s">
        <v>609</v>
      </c>
      <c r="B681" t="str">
        <f>IF(COUNTIF(A:A,A681)&gt;1,_xlfn.CONCAT(A681," (",N681,")"),A681)</f>
        <v>Zhūlā Xiāng</v>
      </c>
      <c r="C681" t="str">
        <f>IF(COUNTIF(B:B,B681)&gt;1,_xlfn.CONCAT(A681," (",M681,")"),B681)</f>
        <v>Zhūlā Xiāng</v>
      </c>
      <c r="D681" t="s">
        <v>610</v>
      </c>
      <c r="E681" t="s">
        <v>7</v>
      </c>
      <c r="F681" t="str">
        <f>_xlfn.CONCAT(D681,", ",H681,", ",I681,", ","西藏自治区")</f>
        <v>朱拉乡, 工布江达县, 林芝市, 西藏自治区</v>
      </c>
      <c r="G681">
        <v>2739</v>
      </c>
      <c r="H681" t="s">
        <v>1441</v>
      </c>
      <c r="I681" t="s">
        <v>1437</v>
      </c>
      <c r="J681" t="e">
        <f>VLOOKUP(F681,[1]!china_towns_second__2[[Column1]:[Y]],3,FALSE)</f>
        <v>#N/A</v>
      </c>
      <c r="K681" t="e">
        <f>VLOOKUP(F681,[1]!china_towns_second__2[[Column1]:[Y]],2,FALSE)</f>
        <v>#N/A</v>
      </c>
      <c r="L681" t="s">
        <v>2339</v>
      </c>
      <c r="M681" t="str">
        <f>VLOOKUP(H681,CHOOSE({1,2},Table8[Native],Table8[Name]),2,0)</f>
        <v>Gōngbùjiāngdá Xiàn</v>
      </c>
      <c r="N681" s="13" t="str">
        <f>VLOOKUP(I681,CHOOSE({1,2},Table8[Native],Table8[Name]),2,0)</f>
        <v>Línzhī Shì</v>
      </c>
      <c r="O681" s="13" t="str">
        <f t="shared" si="20"/>
        <v>Zhula Xiang (Línzhī Shì)</v>
      </c>
      <c r="P681" s="13" t="str">
        <f t="shared" si="21"/>
        <v>Zhula Xiang (Línzhī Shì)</v>
      </c>
    </row>
    <row r="682" spans="1:16" hidden="1" x14ac:dyDescent="0.25">
      <c r="A682" t="s">
        <v>1402</v>
      </c>
      <c r="B682" t="str">
        <f>IF(COUNTIF(A:A,A682)&gt;1,_xlfn.CONCAT(A682," (",N682,")"),A682)</f>
        <v>Zhŭnbā Xiāng</v>
      </c>
      <c r="C682" t="str">
        <f>IF(COUNTIF(B:B,B682)&gt;1,_xlfn.CONCAT(A682," (",M682,")"),B682)</f>
        <v>Zhŭnbā Xiāng</v>
      </c>
      <c r="D682" t="s">
        <v>1403</v>
      </c>
      <c r="E682" t="s">
        <v>7</v>
      </c>
      <c r="F682" t="str">
        <f>_xlfn.CONCAT(D682,", ",H682,", ",I682,", ","西藏自治区")</f>
        <v>准巴乡, 隆子县, 山南市, 西藏自治区</v>
      </c>
      <c r="G682">
        <v>435</v>
      </c>
      <c r="H682" t="s">
        <v>1483</v>
      </c>
      <c r="I682" t="s">
        <v>1477</v>
      </c>
      <c r="J682" t="e">
        <f>VLOOKUP(F682,[1]!china_towns_second__2[[Column1]:[Y]],3,FALSE)</f>
        <v>#N/A</v>
      </c>
      <c r="K682" t="e">
        <f>VLOOKUP(F682,[1]!china_towns_second__2[[Column1]:[Y]],2,FALSE)</f>
        <v>#N/A</v>
      </c>
      <c r="L682" t="s">
        <v>2340</v>
      </c>
      <c r="M682" t="str">
        <f>VLOOKUP(H682,CHOOSE({1,2},Table8[Native],Table8[Name]),2,0)</f>
        <v>Lóngzi Xiàn</v>
      </c>
      <c r="N682" s="13" t="str">
        <f>VLOOKUP(I682,CHOOSE({1,2},Table8[Native],Table8[Name]),2,0)</f>
        <v>Shānnán Shì</v>
      </c>
      <c r="O682" s="13" t="str">
        <f t="shared" si="20"/>
        <v>Zhunba Xiang (Shānnán Shì)</v>
      </c>
      <c r="P682" s="13" t="str">
        <f t="shared" si="21"/>
        <v>Zhunba Xiang (Shānnán Shì)</v>
      </c>
    </row>
    <row r="683" spans="1:16" hidden="1" x14ac:dyDescent="0.25">
      <c r="A683" t="s">
        <v>837</v>
      </c>
      <c r="B683" t="str">
        <f>IF(COUNTIF(A:A,A683)&gt;1,_xlfn.CONCAT(A683," (",N683,")"),A683)</f>
        <v>Zhuóní Xiāng</v>
      </c>
      <c r="C683" t="str">
        <f>IF(COUNTIF(B:B,B683)&gt;1,_xlfn.CONCAT(A683," (",M683,")"),B683)</f>
        <v>Zhuóní Xiāng</v>
      </c>
      <c r="D683" t="s">
        <v>838</v>
      </c>
      <c r="E683" t="s">
        <v>7</v>
      </c>
      <c r="F683" t="str">
        <f>_xlfn.CONCAT(D683,", ",H683,", ",I683,", ","西藏自治区")</f>
        <v>卓尼乡, 尼玛县, 那曲市, 西藏自治区</v>
      </c>
      <c r="G683">
        <v>1791</v>
      </c>
      <c r="H683" t="s">
        <v>1452</v>
      </c>
      <c r="I683" t="s">
        <v>1445</v>
      </c>
      <c r="J683" t="e">
        <f>VLOOKUP(F683,[1]!china_towns_second__2[[Column1]:[Y]],3,FALSE)</f>
        <v>#N/A</v>
      </c>
      <c r="K683" t="e">
        <f>VLOOKUP(F683,[1]!china_towns_second__2[[Column1]:[Y]],2,FALSE)</f>
        <v>#N/A</v>
      </c>
      <c r="L683" t="s">
        <v>2341</v>
      </c>
      <c r="M683" t="str">
        <f>VLOOKUP(H683,CHOOSE({1,2},Table8[Native],Table8[Name]),2,0)</f>
        <v>Nímă Xiàn</v>
      </c>
      <c r="N683" s="13" t="str">
        <f>VLOOKUP(I683,CHOOSE({1,2},Table8[Native],Table8[Name]),2,0)</f>
        <v>Nàqŭ Shì</v>
      </c>
      <c r="O683" s="13" t="str">
        <f t="shared" si="20"/>
        <v>Zhuoni Xiang (Nàqŭ Shì)</v>
      </c>
      <c r="P683" s="13" t="str">
        <f t="shared" si="21"/>
        <v>Zhuoni Xiang (Nàqŭ Shì)</v>
      </c>
    </row>
    <row r="684" spans="1:16" hidden="1" x14ac:dyDescent="0.25">
      <c r="A684" t="s">
        <v>839</v>
      </c>
      <c r="B684" t="str">
        <f>IF(COUNTIF(A:A,A684)&gt;1,_xlfn.CONCAT(A684," (",N684,")"),A684)</f>
        <v>Zhuówă Xiāng</v>
      </c>
      <c r="C684" t="str">
        <f>IF(COUNTIF(B:B,B684)&gt;1,_xlfn.CONCAT(A684," (",M684,")"),B684)</f>
        <v>Zhuówă Xiāng</v>
      </c>
      <c r="D684" t="s">
        <v>840</v>
      </c>
      <c r="E684" t="s">
        <v>7</v>
      </c>
      <c r="F684" t="str">
        <f>_xlfn.CONCAT(D684,", ",H684,", ",I684,", ","西藏自治区")</f>
        <v>卓瓦乡, 尼玛县, 那曲市, 西藏自治区</v>
      </c>
      <c r="G684">
        <v>1996</v>
      </c>
      <c r="H684" t="s">
        <v>1452</v>
      </c>
      <c r="I684" t="s">
        <v>1445</v>
      </c>
      <c r="J684" t="e">
        <f>VLOOKUP(F684,[1]!china_towns_second__2[[Column1]:[Y]],3,FALSE)</f>
        <v>#N/A</v>
      </c>
      <c r="K684" t="e">
        <f>VLOOKUP(F684,[1]!china_towns_second__2[[Column1]:[Y]],2,FALSE)</f>
        <v>#N/A</v>
      </c>
      <c r="L684" t="s">
        <v>2342</v>
      </c>
      <c r="M684" t="str">
        <f>VLOOKUP(H684,CHOOSE({1,2},Table8[Native],Table8[Name]),2,0)</f>
        <v>Nímă Xiàn</v>
      </c>
      <c r="N684" s="13" t="str">
        <f>VLOOKUP(I684,CHOOSE({1,2},Table8[Native],Table8[Name]),2,0)</f>
        <v>Nàqŭ Shì</v>
      </c>
      <c r="O684" s="13" t="str">
        <f t="shared" si="20"/>
        <v>Zhuowa Xiang (Nàqŭ Shì)</v>
      </c>
      <c r="P684" s="13" t="str">
        <f t="shared" si="21"/>
        <v>Zhuowa Xiang (Nàqŭ Shì)</v>
      </c>
    </row>
    <row r="685" spans="1:16" x14ac:dyDescent="0.25">
      <c r="A685" t="s">
        <v>611</v>
      </c>
      <c r="B685" t="str">
        <f>IF(COUNTIF(A:A,A685)&gt;1,_xlfn.CONCAT(A685," (",N685,")"),A685)</f>
        <v>Zhúwăgēn Zhèn</v>
      </c>
      <c r="C685" t="str">
        <f>IF(COUNTIF(B:B,B685)&gt;1,_xlfn.CONCAT(A685," (",M685,")"),B685)</f>
        <v>Zhúwăgēn Zhèn</v>
      </c>
      <c r="D685" t="s">
        <v>612</v>
      </c>
      <c r="E685" t="s">
        <v>17</v>
      </c>
      <c r="F685" t="str">
        <f>_xlfn.CONCAT(D685,", ",H685,", ",I685,", ","西藏自治区")</f>
        <v>竹瓦根镇, 察隅县, 林芝市, 西藏自治区</v>
      </c>
      <c r="G685">
        <v>6522</v>
      </c>
      <c r="H685" t="s">
        <v>1440</v>
      </c>
      <c r="I685" t="s">
        <v>1437</v>
      </c>
      <c r="J685">
        <f>VLOOKUP(F685,[1]!china_towns_second__2[[Column1]:[Y]],3,FALSE)</f>
        <v>28.6488632603232</v>
      </c>
      <c r="K685">
        <f>VLOOKUP(F685,[1]!china_towns_second__2[[Column1]:[Y]],2,FALSE)</f>
        <v>97.541819910000001</v>
      </c>
      <c r="L685" t="s">
        <v>2343</v>
      </c>
      <c r="M685" t="str">
        <f>VLOOKUP(H685,CHOOSE({1,2},Table8[Native],Table8[Name]),2,0)</f>
        <v>Cháyú Xiàn</v>
      </c>
      <c r="N685" s="13" t="str">
        <f>VLOOKUP(I685,CHOOSE({1,2},Table8[Native],Table8[Name]),2,0)</f>
        <v>Línzhī Shì</v>
      </c>
      <c r="O685" s="13" t="str">
        <f t="shared" si="20"/>
        <v>Zhuwagen Zhen (Línzhī Shì)</v>
      </c>
      <c r="P685" s="13" t="str">
        <f t="shared" si="21"/>
        <v>Zhuwagen Zhen (Línzhī Shì)</v>
      </c>
    </row>
    <row r="686" spans="1:16" hidden="1" x14ac:dyDescent="0.25">
      <c r="A686" t="s">
        <v>361</v>
      </c>
      <c r="B686" t="str">
        <f>IF(COUNTIF(A:A,A686)&gt;1,_xlfn.CONCAT(A686," (",N686,")"),A686)</f>
        <v>Zìgā Xiāng</v>
      </c>
      <c r="C686" t="str">
        <f>IF(COUNTIF(B:B,B686)&gt;1,_xlfn.CONCAT(A686," (",M686,")"),B686)</f>
        <v>Zìgā Xiāng</v>
      </c>
      <c r="D686" t="s">
        <v>362</v>
      </c>
      <c r="E686" t="s">
        <v>7</v>
      </c>
      <c r="F686" t="str">
        <f>_xlfn.CONCAT(D686,", ",H686,", ",I686,", ","西藏自治区")</f>
        <v>字嘎乡, 江达县, 昌都市, 西藏自治区</v>
      </c>
      <c r="G686">
        <v>7347</v>
      </c>
      <c r="H686" t="s">
        <v>1421</v>
      </c>
      <c r="I686" t="s">
        <v>1415</v>
      </c>
      <c r="J686" t="e">
        <f>VLOOKUP(F686,[1]!china_towns_second__2[[Column1]:[Y]],3,FALSE)</f>
        <v>#N/A</v>
      </c>
      <c r="K686" t="e">
        <f>VLOOKUP(F686,[1]!china_towns_second__2[[Column1]:[Y]],2,FALSE)</f>
        <v>#N/A</v>
      </c>
      <c r="L686" t="s">
        <v>2344</v>
      </c>
      <c r="M686" t="str">
        <f>VLOOKUP(H686,CHOOSE({1,2},Table8[Native],Table8[Name]),2,0)</f>
        <v>Jiāngdá Xiàn</v>
      </c>
      <c r="N686" s="13" t="str">
        <f>VLOOKUP(I686,CHOOSE({1,2},Table8[Native],Table8[Name]),2,0)</f>
        <v>Chāngdū Shì</v>
      </c>
      <c r="O686" s="13" t="str">
        <f t="shared" si="20"/>
        <v>Ziga Xiang (Chāngdū Shì)</v>
      </c>
      <c r="P686" s="13" t="str">
        <f t="shared" si="21"/>
        <v>Ziga Xiang (Chāngdū Shì)</v>
      </c>
    </row>
    <row r="687" spans="1:16" hidden="1" x14ac:dyDescent="0.25">
      <c r="A687" t="s">
        <v>1232</v>
      </c>
      <c r="B687" t="str">
        <f>IF(COUNTIF(A:A,A687)&gt;1,_xlfn.CONCAT(A687," (",N687,")"),A687)</f>
        <v>Zĭjīn Xiāng</v>
      </c>
      <c r="C687" t="str">
        <f>IF(COUNTIF(B:B,B687)&gt;1,_xlfn.CONCAT(A687," (",M687,")"),B687)</f>
        <v>Zĭjīn Xiāng</v>
      </c>
      <c r="D687" t="s">
        <v>1233</v>
      </c>
      <c r="E687" t="s">
        <v>7</v>
      </c>
      <c r="F687" t="str">
        <f>_xlfn.CONCAT(D687,", ",H687,", ",I687,", ","西藏自治区")</f>
        <v>紫金乡, 江孜县, 日喀则市, 西藏自治区</v>
      </c>
      <c r="G687">
        <v>3424</v>
      </c>
      <c r="H687" t="s">
        <v>1464</v>
      </c>
      <c r="I687" t="s">
        <v>1458</v>
      </c>
      <c r="J687" t="e">
        <f>VLOOKUP(F687,[1]!china_towns_second__2[[Column1]:[Y]],3,FALSE)</f>
        <v>#N/A</v>
      </c>
      <c r="K687" t="e">
        <f>VLOOKUP(F687,[1]!china_towns_second__2[[Column1]:[Y]],2,FALSE)</f>
        <v>#N/A</v>
      </c>
      <c r="L687" t="s">
        <v>2345</v>
      </c>
      <c r="M687" t="str">
        <f>VLOOKUP(H687,CHOOSE({1,2},Table8[Native],Table8[Name]),2,0)</f>
        <v>Jiāngzī Xiàn</v>
      </c>
      <c r="N687" s="13" t="str">
        <f>VLOOKUP(I687,CHOOSE({1,2},Table8[Native],Table8[Name]),2,0)</f>
        <v>Rìkāzé Shì</v>
      </c>
      <c r="O687" s="13" t="str">
        <f t="shared" si="20"/>
        <v>Zijin Xiang (Rìkāzé Shì)</v>
      </c>
      <c r="P687" s="13" t="str">
        <f t="shared" si="21"/>
        <v>Zijin Xiang (Rìkāzé Shì)</v>
      </c>
    </row>
    <row r="688" spans="1:16" x14ac:dyDescent="0.25">
      <c r="A688" t="s">
        <v>363</v>
      </c>
      <c r="B688" t="str">
        <f>IF(COUNTIF(A:A,A688)&gt;1,_xlfn.CONCAT(A688," (",N688,")"),A688)</f>
        <v>Zītuō Zhèn</v>
      </c>
      <c r="C688" t="str">
        <f>IF(COUNTIF(B:B,B688)&gt;1,_xlfn.CONCAT(A688," (",M688,")"),B688)</f>
        <v>Zītuō Zhèn</v>
      </c>
      <c r="D688" t="s">
        <v>364</v>
      </c>
      <c r="E688" t="s">
        <v>17</v>
      </c>
      <c r="F688" t="str">
        <f>_xlfn.CONCAT(D688,", ",H688,", ",I688,", ","西藏自治区")</f>
        <v>孜托镇, 洛隆县, 昌都市, 西藏自治区</v>
      </c>
      <c r="G688">
        <v>10942</v>
      </c>
      <c r="H688" t="s">
        <v>1425</v>
      </c>
      <c r="I688" t="s">
        <v>1415</v>
      </c>
      <c r="J688">
        <f>VLOOKUP(F688,[1]!china_towns_second__2[[Column1]:[Y]],3,FALSE)</f>
        <v>30.6819760565206</v>
      </c>
      <c r="K688">
        <f>VLOOKUP(F688,[1]!china_towns_second__2[[Column1]:[Y]],2,FALSE)</f>
        <v>95.837566120000005</v>
      </c>
      <c r="L688" t="s">
        <v>2346</v>
      </c>
      <c r="M688" t="str">
        <f>VLOOKUP(H688,CHOOSE({1,2},Table8[Native],Table8[Name]),2,0)</f>
        <v>Luòlóng Xiàn</v>
      </c>
      <c r="N688" s="13" t="str">
        <f>VLOOKUP(I688,CHOOSE({1,2},Table8[Native],Table8[Name]),2,0)</f>
        <v>Chāngdū Shì</v>
      </c>
      <c r="O688" s="13" t="str">
        <f t="shared" si="20"/>
        <v>Zituo Zhen (Chāngdū Shì)</v>
      </c>
      <c r="P688" s="13" t="str">
        <f t="shared" si="21"/>
        <v>Zituo Zhen (Chāngdū Shì)</v>
      </c>
    </row>
    <row r="689" spans="1:16" x14ac:dyDescent="0.25">
      <c r="A689" t="s">
        <v>1234</v>
      </c>
      <c r="B689" t="str">
        <f>IF(COUNTIF(A:A,A689)&gt;1,_xlfn.CONCAT(A689," (",N689,")"),A689)</f>
        <v>Zōnggā Zhèn</v>
      </c>
      <c r="C689" t="str">
        <f>IF(COUNTIF(B:B,B689)&gt;1,_xlfn.CONCAT(A689," (",M689,")"),B689)</f>
        <v>Zōnggā Zhèn</v>
      </c>
      <c r="D689" t="s">
        <v>1235</v>
      </c>
      <c r="E689" t="s">
        <v>17</v>
      </c>
      <c r="F689" t="str">
        <f>_xlfn.CONCAT(D689,", ",H689,", ",I689,", ","西藏自治区")</f>
        <v>宗嘎镇, 吉隆县, 日喀则市, 西藏自治区</v>
      </c>
      <c r="G689">
        <v>4047</v>
      </c>
      <c r="H689" t="s">
        <v>1465</v>
      </c>
      <c r="I689" t="s">
        <v>1458</v>
      </c>
      <c r="J689">
        <f>VLOOKUP(F689,[1]!china_towns_second__2[[Column1]:[Y]],3,FALSE)</f>
        <v>28.787888735829</v>
      </c>
      <c r="K689">
        <f>VLOOKUP(F689,[1]!china_towns_second__2[[Column1]:[Y]],2,FALSE)</f>
        <v>85.241190900000007</v>
      </c>
      <c r="L689" t="s">
        <v>2347</v>
      </c>
      <c r="M689" t="str">
        <f>VLOOKUP(H689,CHOOSE({1,2},Table8[Native],Table8[Name]),2,0)</f>
        <v>Jílóng Xiàn</v>
      </c>
      <c r="N689" s="13" t="str">
        <f>VLOOKUP(I689,CHOOSE({1,2},Table8[Native],Table8[Name]),2,0)</f>
        <v>Rìkāzé Shì</v>
      </c>
      <c r="O689" s="13" t="str">
        <f t="shared" si="20"/>
        <v>Zongga Zhen (Rìkāzé Shì)</v>
      </c>
      <c r="P689" s="13" t="str">
        <f t="shared" si="21"/>
        <v>Zongga Zhen (Rìkāzé Shì)</v>
      </c>
    </row>
    <row r="690" spans="1:16" hidden="1" x14ac:dyDescent="0.25">
      <c r="A690" t="s">
        <v>365</v>
      </c>
      <c r="B690" t="str">
        <f>IF(COUNTIF(A:A,A690)&gt;1,_xlfn.CONCAT(A690," (",N690,")"),A690)</f>
        <v>Zōngshā Xiāng</v>
      </c>
      <c r="C690" t="str">
        <f>IF(COUNTIF(B:B,B690)&gt;1,_xlfn.CONCAT(A690," (",M690,")"),B690)</f>
        <v>Zōngshā Xiāng</v>
      </c>
      <c r="D690" t="s">
        <v>366</v>
      </c>
      <c r="E690" t="s">
        <v>7</v>
      </c>
      <c r="F690" t="str">
        <f>_xlfn.CONCAT(D690,", ",H690,", ",I690,", ","西藏自治区")</f>
        <v>宗沙乡, 察雅县, 昌都市, 西藏自治区</v>
      </c>
      <c r="G690">
        <v>4726</v>
      </c>
      <c r="H690" t="s">
        <v>1418</v>
      </c>
      <c r="I690" t="s">
        <v>1415</v>
      </c>
      <c r="J690" t="e">
        <f>VLOOKUP(F690,[1]!china_towns_second__2[[Column1]:[Y]],3,FALSE)</f>
        <v>#N/A</v>
      </c>
      <c r="K690" t="e">
        <f>VLOOKUP(F690,[1]!china_towns_second__2[[Column1]:[Y]],2,FALSE)</f>
        <v>#N/A</v>
      </c>
      <c r="L690" t="s">
        <v>2348</v>
      </c>
      <c r="M690" t="str">
        <f>VLOOKUP(H690,CHOOSE({1,2},Table8[Native],Table8[Name]),2,0)</f>
        <v>Cháyă Xiàn</v>
      </c>
      <c r="N690" s="13" t="str">
        <f>VLOOKUP(I690,CHOOSE({1,2},Table8[Native],Table8[Name]),2,0)</f>
        <v>Chāngdū Shì</v>
      </c>
      <c r="O690" s="13" t="str">
        <f t="shared" si="20"/>
        <v>Zongsha Xiang (Chāngdū Shì)</v>
      </c>
      <c r="P690" s="13" t="str">
        <f t="shared" si="21"/>
        <v>Zongsha Xiang (Chāngdū Shì)</v>
      </c>
    </row>
    <row r="691" spans="1:16" hidden="1" x14ac:dyDescent="0.25">
      <c r="A691" t="s">
        <v>367</v>
      </c>
      <c r="B691" t="str">
        <f>IF(COUNTIF(A:A,A691)&gt;1,_xlfn.CONCAT(A691," (",N691,")"),A691)</f>
        <v>Zōngxī Xiāng</v>
      </c>
      <c r="C691" t="str">
        <f>IF(COUNTIF(B:B,B691)&gt;1,_xlfn.CONCAT(A691," (",M691,")"),B691)</f>
        <v>Zōngxī Xiāng</v>
      </c>
      <c r="D691" t="s">
        <v>368</v>
      </c>
      <c r="E691" t="s">
        <v>7</v>
      </c>
      <c r="F691" t="str">
        <f>_xlfn.CONCAT(D691,", ",H691,", ",I691,", ","西藏自治区")</f>
        <v>宗西乡, 芒康县, 昌都市, 西藏自治区</v>
      </c>
      <c r="G691">
        <v>5354</v>
      </c>
      <c r="H691" t="s">
        <v>1426</v>
      </c>
      <c r="I691" t="s">
        <v>1415</v>
      </c>
      <c r="J691" t="e">
        <f>VLOOKUP(F691,[1]!china_towns_second__2[[Column1]:[Y]],3,FALSE)</f>
        <v>#N/A</v>
      </c>
      <c r="K691" t="e">
        <f>VLOOKUP(F691,[1]!china_towns_second__2[[Column1]:[Y]],2,FALSE)</f>
        <v>#N/A</v>
      </c>
      <c r="L691" t="s">
        <v>2349</v>
      </c>
      <c r="M691" t="str">
        <f>VLOOKUP(H691,CHOOSE({1,2},Table8[Native],Table8[Name]),2,0)</f>
        <v>Mángkāng Xiàn</v>
      </c>
      <c r="N691" s="13" t="str">
        <f>VLOOKUP(I691,CHOOSE({1,2},Table8[Native],Table8[Name]),2,0)</f>
        <v>Chāngdū Shì</v>
      </c>
      <c r="O691" s="13" t="str">
        <f t="shared" si="20"/>
        <v>Zongxi Xiang (Chāngdū Shì)</v>
      </c>
      <c r="P691" s="13" t="str">
        <f t="shared" si="21"/>
        <v>Zongxi Xiang (Chāngdū Shì)</v>
      </c>
    </row>
    <row r="692" spans="1:16" hidden="1" x14ac:dyDescent="0.25">
      <c r="A692" t="s">
        <v>84</v>
      </c>
      <c r="B692" t="str">
        <f>IF(COUNTIF(A:A,A692)&gt;1,_xlfn.CONCAT(A692," (",N692,")"),A692)</f>
        <v>Zuŏzuŏ Xiāng</v>
      </c>
      <c r="C692" t="str">
        <f>IF(COUNTIF(B:B,B692)&gt;1,_xlfn.CONCAT(A692," (",M692,")"),B692)</f>
        <v>Zuŏzuŏ Xiāng</v>
      </c>
      <c r="D692" t="s">
        <v>85</v>
      </c>
      <c r="E692" t="s">
        <v>7</v>
      </c>
      <c r="F692" t="str">
        <f>_xlfn.CONCAT(D692,", ",H692,", ",I692,", ","西藏自治区")</f>
        <v>左左乡, 噶尔县, 阿里地区, 西藏自治区</v>
      </c>
      <c r="G692">
        <v>1343</v>
      </c>
      <c r="H692" t="s">
        <v>1408</v>
      </c>
      <c r="I692" t="s">
        <v>1405</v>
      </c>
      <c r="J692" t="e">
        <f>VLOOKUP(F692,[1]!china_towns_second__2[[Column1]:[Y]],3,FALSE)</f>
        <v>#N/A</v>
      </c>
      <c r="K692" t="e">
        <f>VLOOKUP(F692,[1]!china_towns_second__2[[Column1]:[Y]],2,FALSE)</f>
        <v>#N/A</v>
      </c>
      <c r="L692" t="s">
        <v>2350</v>
      </c>
      <c r="M692" t="str">
        <f>VLOOKUP(H692,CHOOSE({1,2},Table8[Native],Table8[Name]),2,0)</f>
        <v>Gá'ĕr Xiàn</v>
      </c>
      <c r="N692" s="13" t="str">
        <f>VLOOKUP(I692,CHOOSE({1,2},Table8[Native],Table8[Name]),2,0)</f>
        <v>Ālĭ Dìqū</v>
      </c>
      <c r="O692" s="13" t="str">
        <f t="shared" si="20"/>
        <v>Zuozuo Xiang (Ālĭ Dìqū)</v>
      </c>
      <c r="P692" s="13" t="str">
        <f t="shared" si="21"/>
        <v>Zuozuo Xiang (Ālĭ Dìqū)</v>
      </c>
    </row>
  </sheetData>
  <phoneticPr fontId="3" type="noConversion"/>
  <conditionalFormatting sqref="J2:J692">
    <cfRule type="expression" dxfId="14" priority="8">
      <formula>ISERROR(J2)</formula>
    </cfRule>
  </conditionalFormatting>
  <conditionalFormatting sqref="A2:A692">
    <cfRule type="duplicateValues" dxfId="13" priority="7"/>
  </conditionalFormatting>
  <conditionalFormatting sqref="B2:B692">
    <cfRule type="duplicateValues" dxfId="12" priority="6"/>
  </conditionalFormatting>
  <conditionalFormatting sqref="C2:C692">
    <cfRule type="duplicateValues" dxfId="11" priority="5"/>
  </conditionalFormatting>
  <conditionalFormatting sqref="L2:L692">
    <cfRule type="duplicateValues" dxfId="0" priority="4"/>
    <cfRule type="duplicateValues" dxfId="1" priority="1"/>
  </conditionalFormatting>
  <conditionalFormatting sqref="O2:O692">
    <cfRule type="duplicateValues" dxfId="10" priority="3"/>
  </conditionalFormatting>
  <conditionalFormatting sqref="P2:P692">
    <cfRule type="duplicateValues" dxfId="9" priority="2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EFFFB-73C6-4A7D-9D8E-1BED2010BAC0}">
  <dimension ref="A1:E4"/>
  <sheetViews>
    <sheetView workbookViewId="0">
      <selection activeCell="E3" sqref="E3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1502</v>
      </c>
      <c r="B1" t="s">
        <v>1512</v>
      </c>
      <c r="C1" t="s">
        <v>1504</v>
      </c>
      <c r="D1" t="s">
        <v>1505</v>
      </c>
      <c r="E1" t="s">
        <v>1506</v>
      </c>
    </row>
    <row r="2" spans="1:5" x14ac:dyDescent="0.25">
      <c r="A2" t="s">
        <v>1477</v>
      </c>
      <c r="B2" t="str">
        <f>VLOOKUP(A2,CHOOSE({1,2},Table8[Native],Table8[Name]),2,0)</f>
        <v>Shānnán Shì</v>
      </c>
      <c r="C2">
        <v>30370</v>
      </c>
      <c r="D2">
        <f>VLOOKUP(A2,[1]!Table1[[name]:[@lon]],5,0)</f>
        <v>28.771117499999999</v>
      </c>
      <c r="E2">
        <f>VLOOKUP(A2,[1]!Table1[[name]:[@lon]],6,0)</f>
        <v>91.785660800000002</v>
      </c>
    </row>
    <row r="3" spans="1:5" x14ac:dyDescent="0.25">
      <c r="A3" t="s">
        <v>1428</v>
      </c>
      <c r="B3" t="str">
        <f>VLOOKUP(A3,CHOOSE({1,2},Table8[Native],Table8[Name]),2,0)</f>
        <v>Lāsà Shì</v>
      </c>
      <c r="C3">
        <v>279215</v>
      </c>
      <c r="D3">
        <f>VLOOKUP(A3,[1]!Table1[[name]:[@lon]],5,0)</f>
        <v>32.791976300000002</v>
      </c>
      <c r="E3">
        <f>VLOOKUP(A3,[1]!Table1[[name]:[@lon]],6,0)</f>
        <v>92.458585400000004</v>
      </c>
    </row>
    <row r="4" spans="1:5" x14ac:dyDescent="0.25">
      <c r="A4" t="s">
        <v>1458</v>
      </c>
      <c r="B4" t="str">
        <f>VLOOKUP(A4,CHOOSE({1,2},Table8[Native],Table8[Name]),2,0)</f>
        <v>Rìkāzé Shì</v>
      </c>
      <c r="C4">
        <v>63967</v>
      </c>
      <c r="D4">
        <f>VLOOKUP(A4,[1]!Table1[[name]:[@lon]],5,0)</f>
        <v>29.511006500000001</v>
      </c>
      <c r="E4">
        <f>VLOOKUP(A4,[1]!Table1[[name]:[@lon]],6,0)</f>
        <v>86.2220339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BBD23-E3C9-482D-8DDA-644AD037E508}">
  <dimension ref="A1:I145"/>
  <sheetViews>
    <sheetView workbookViewId="0">
      <selection activeCell="C1" sqref="C1"/>
    </sheetView>
  </sheetViews>
  <sheetFormatPr defaultRowHeight="15" x14ac:dyDescent="0.25"/>
  <sheetData>
    <row r="1" spans="1:9" x14ac:dyDescent="0.25">
      <c r="A1" t="s">
        <v>1513</v>
      </c>
      <c r="B1" t="s">
        <v>1631</v>
      </c>
      <c r="C1" t="s">
        <v>2358</v>
      </c>
      <c r="D1">
        <v>29.25179309</v>
      </c>
      <c r="E1" t="s">
        <v>1514</v>
      </c>
      <c r="F1">
        <v>92.567465279999993</v>
      </c>
      <c r="G1" t="s">
        <v>1515</v>
      </c>
      <c r="H1">
        <v>8009</v>
      </c>
      <c r="I1" t="s">
        <v>1516</v>
      </c>
    </row>
    <row r="2" spans="1:9" x14ac:dyDescent="0.25">
      <c r="A2" t="s">
        <v>1513</v>
      </c>
      <c r="B2" t="s">
        <v>1582</v>
      </c>
      <c r="C2" t="s">
        <v>2358</v>
      </c>
      <c r="D2">
        <v>30.592239419999999</v>
      </c>
      <c r="E2" t="s">
        <v>1514</v>
      </c>
      <c r="F2">
        <v>93.254508729999998</v>
      </c>
      <c r="G2" t="s">
        <v>1515</v>
      </c>
      <c r="H2">
        <v>4879</v>
      </c>
      <c r="I2" t="s">
        <v>1516</v>
      </c>
    </row>
    <row r="3" spans="1:9" x14ac:dyDescent="0.25">
      <c r="A3" t="s">
        <v>1513</v>
      </c>
      <c r="B3" t="s">
        <v>1562</v>
      </c>
      <c r="C3" t="s">
        <v>2358</v>
      </c>
      <c r="D3">
        <v>30.016079909999998</v>
      </c>
      <c r="E3" t="s">
        <v>1514</v>
      </c>
      <c r="F3">
        <v>93.754166990000002</v>
      </c>
      <c r="G3" t="s">
        <v>1515</v>
      </c>
      <c r="H3">
        <v>2926</v>
      </c>
      <c r="I3" t="s">
        <v>1516</v>
      </c>
    </row>
    <row r="4" spans="1:9" x14ac:dyDescent="0.25">
      <c r="A4" t="s">
        <v>1513</v>
      </c>
      <c r="B4" t="s">
        <v>1563</v>
      </c>
      <c r="C4" t="s">
        <v>2358</v>
      </c>
      <c r="D4">
        <v>29.679403279999999</v>
      </c>
      <c r="E4" t="s">
        <v>1514</v>
      </c>
      <c r="F4">
        <v>93.806714040000003</v>
      </c>
      <c r="G4" t="s">
        <v>1515</v>
      </c>
      <c r="H4">
        <v>3748</v>
      </c>
      <c r="I4" t="s">
        <v>1516</v>
      </c>
    </row>
    <row r="5" spans="1:9" x14ac:dyDescent="0.25">
      <c r="A5" t="s">
        <v>1513</v>
      </c>
      <c r="B5" t="s">
        <v>1524</v>
      </c>
      <c r="C5" t="s">
        <v>2358</v>
      </c>
      <c r="D5">
        <v>30.055783940000001</v>
      </c>
      <c r="E5" t="s">
        <v>1514</v>
      </c>
      <c r="F5">
        <v>96.839617410000002</v>
      </c>
      <c r="G5" t="s">
        <v>1515</v>
      </c>
      <c r="H5">
        <v>6402</v>
      </c>
      <c r="I5" t="s">
        <v>1516</v>
      </c>
    </row>
    <row r="6" spans="1:9" x14ac:dyDescent="0.25">
      <c r="A6" t="s">
        <v>1513</v>
      </c>
      <c r="B6" t="s">
        <v>1525</v>
      </c>
      <c r="C6" t="s">
        <v>2358</v>
      </c>
      <c r="D6">
        <v>30.204786540000001</v>
      </c>
      <c r="E6" t="s">
        <v>1514</v>
      </c>
      <c r="F6">
        <v>97.252914880000006</v>
      </c>
      <c r="G6" t="s">
        <v>1515</v>
      </c>
      <c r="H6">
        <v>2284</v>
      </c>
      <c r="I6" t="s">
        <v>1516</v>
      </c>
    </row>
    <row r="7" spans="1:9" x14ac:dyDescent="0.25">
      <c r="A7" t="s">
        <v>1513</v>
      </c>
      <c r="B7" t="s">
        <v>1564</v>
      </c>
      <c r="C7" t="s">
        <v>2358</v>
      </c>
      <c r="D7">
        <v>29.729445559999998</v>
      </c>
      <c r="E7" t="s">
        <v>1514</v>
      </c>
      <c r="F7">
        <v>94.30912069</v>
      </c>
      <c r="G7" t="s">
        <v>1515</v>
      </c>
      <c r="H7">
        <v>39110</v>
      </c>
      <c r="I7" t="s">
        <v>1516</v>
      </c>
    </row>
    <row r="8" spans="1:9" x14ac:dyDescent="0.25">
      <c r="A8" t="s">
        <v>1513</v>
      </c>
      <c r="B8" t="s">
        <v>1583</v>
      </c>
      <c r="C8" t="s">
        <v>2358</v>
      </c>
      <c r="D8">
        <v>31.411349699999999</v>
      </c>
      <c r="E8" t="s">
        <v>1514</v>
      </c>
      <c r="F8">
        <v>90.768966719999995</v>
      </c>
      <c r="G8" t="s">
        <v>1515</v>
      </c>
      <c r="H8">
        <v>4656</v>
      </c>
      <c r="I8" t="s">
        <v>1516</v>
      </c>
    </row>
    <row r="9" spans="1:9" x14ac:dyDescent="0.25">
      <c r="A9" t="s">
        <v>1513</v>
      </c>
      <c r="B9" t="s">
        <v>1526</v>
      </c>
      <c r="C9" t="s">
        <v>2358</v>
      </c>
      <c r="D9">
        <v>30.71621232</v>
      </c>
      <c r="E9" t="s">
        <v>1514</v>
      </c>
      <c r="F9">
        <v>94.831562579999996</v>
      </c>
      <c r="G9" t="s">
        <v>1515</v>
      </c>
      <c r="H9">
        <v>5032</v>
      </c>
      <c r="I9" t="s">
        <v>1516</v>
      </c>
    </row>
    <row r="10" spans="1:9" x14ac:dyDescent="0.25">
      <c r="A10" t="s">
        <v>1513</v>
      </c>
      <c r="B10" t="s">
        <v>1584</v>
      </c>
      <c r="C10" t="s">
        <v>2358</v>
      </c>
      <c r="D10">
        <v>31.476575359999998</v>
      </c>
      <c r="E10" t="s">
        <v>1514</v>
      </c>
      <c r="F10">
        <v>93.607669090000002</v>
      </c>
      <c r="G10" t="s">
        <v>1515</v>
      </c>
      <c r="H10">
        <v>10709</v>
      </c>
      <c r="I10" t="s">
        <v>1516</v>
      </c>
    </row>
    <row r="11" spans="1:9" x14ac:dyDescent="0.25">
      <c r="A11" t="s">
        <v>1513</v>
      </c>
      <c r="B11" t="s">
        <v>1527</v>
      </c>
      <c r="C11" t="s">
        <v>2358</v>
      </c>
      <c r="D11">
        <v>30.909015109999999</v>
      </c>
      <c r="E11" t="s">
        <v>1514</v>
      </c>
      <c r="F11">
        <v>94.708927169999995</v>
      </c>
      <c r="G11" t="s">
        <v>1515</v>
      </c>
      <c r="H11">
        <v>7250</v>
      </c>
      <c r="I11" t="s">
        <v>1516</v>
      </c>
    </row>
    <row r="12" spans="1:9" x14ac:dyDescent="0.25">
      <c r="A12" t="s">
        <v>1513</v>
      </c>
      <c r="B12" t="s">
        <v>1632</v>
      </c>
      <c r="C12" t="s">
        <v>2358</v>
      </c>
      <c r="D12">
        <v>29.167814140000001</v>
      </c>
      <c r="E12" t="s">
        <v>1514</v>
      </c>
      <c r="F12">
        <v>91.769429290000005</v>
      </c>
      <c r="G12" t="s">
        <v>1515</v>
      </c>
      <c r="H12">
        <v>6621</v>
      </c>
      <c r="I12" t="s">
        <v>1516</v>
      </c>
    </row>
    <row r="13" spans="1:9" x14ac:dyDescent="0.25">
      <c r="A13" t="s">
        <v>1513</v>
      </c>
      <c r="B13" t="s">
        <v>1528</v>
      </c>
      <c r="C13" t="s">
        <v>2358</v>
      </c>
      <c r="D13">
        <v>31.14274326</v>
      </c>
      <c r="E13" t="s">
        <v>1514</v>
      </c>
      <c r="F13">
        <v>97.167916099999999</v>
      </c>
      <c r="G13" t="s">
        <v>1515</v>
      </c>
      <c r="H13">
        <v>45861</v>
      </c>
      <c r="I13" t="s">
        <v>1516</v>
      </c>
    </row>
    <row r="14" spans="1:9" x14ac:dyDescent="0.25">
      <c r="A14" t="s">
        <v>1513</v>
      </c>
      <c r="B14" t="s">
        <v>1606</v>
      </c>
      <c r="C14" t="s">
        <v>2358</v>
      </c>
      <c r="D14">
        <v>27.91518851</v>
      </c>
      <c r="E14" t="s">
        <v>1514</v>
      </c>
      <c r="F14">
        <v>87.446689309999996</v>
      </c>
      <c r="G14" t="s">
        <v>1515</v>
      </c>
      <c r="H14">
        <v>2043</v>
      </c>
      <c r="I14" t="s">
        <v>1516</v>
      </c>
    </row>
    <row r="15" spans="1:9" x14ac:dyDescent="0.25">
      <c r="A15" t="s">
        <v>1513</v>
      </c>
      <c r="B15" t="s">
        <v>1529</v>
      </c>
      <c r="C15" t="s">
        <v>2358</v>
      </c>
      <c r="D15">
        <v>31.539969930000002</v>
      </c>
      <c r="E15" t="s">
        <v>1514</v>
      </c>
      <c r="F15">
        <v>95.037113340000005</v>
      </c>
      <c r="G15" t="s">
        <v>1515</v>
      </c>
      <c r="H15">
        <v>9463</v>
      </c>
      <c r="I15" t="s">
        <v>1516</v>
      </c>
    </row>
    <row r="16" spans="1:9" x14ac:dyDescent="0.25">
      <c r="A16" t="s">
        <v>1513</v>
      </c>
      <c r="B16" t="s">
        <v>1633</v>
      </c>
      <c r="C16" t="s">
        <v>2358</v>
      </c>
      <c r="D16">
        <v>28.472628570000001</v>
      </c>
      <c r="E16" t="s">
        <v>1514</v>
      </c>
      <c r="F16">
        <v>91.358785940000004</v>
      </c>
      <c r="G16" t="s">
        <v>1515</v>
      </c>
      <c r="H16">
        <v>4926</v>
      </c>
      <c r="I16" t="s">
        <v>1516</v>
      </c>
    </row>
    <row r="17" spans="1:9" x14ac:dyDescent="0.25">
      <c r="A17" t="s">
        <v>1513</v>
      </c>
      <c r="B17" t="s">
        <v>1634</v>
      </c>
      <c r="C17" t="s">
        <v>2358</v>
      </c>
      <c r="D17">
        <v>28.10243157</v>
      </c>
      <c r="E17" t="s">
        <v>1514</v>
      </c>
      <c r="F17">
        <v>91.997766670000004</v>
      </c>
      <c r="G17" t="s">
        <v>1515</v>
      </c>
      <c r="H17">
        <v>3232</v>
      </c>
      <c r="I17" t="s">
        <v>1516</v>
      </c>
    </row>
    <row r="18" spans="1:9" x14ac:dyDescent="0.25">
      <c r="A18" t="s">
        <v>1513</v>
      </c>
      <c r="B18" t="s">
        <v>1517</v>
      </c>
      <c r="C18" t="s">
        <v>2358</v>
      </c>
      <c r="D18">
        <v>30.972762620000001</v>
      </c>
      <c r="E18" t="s">
        <v>1514</v>
      </c>
      <c r="F18">
        <v>85.154303569999996</v>
      </c>
      <c r="G18" t="s">
        <v>1515</v>
      </c>
      <c r="H18">
        <v>4190</v>
      </c>
      <c r="I18" t="s">
        <v>1516</v>
      </c>
    </row>
    <row r="19" spans="1:9" x14ac:dyDescent="0.25">
      <c r="A19" t="s">
        <v>1513</v>
      </c>
      <c r="B19" t="s">
        <v>1585</v>
      </c>
      <c r="C19" t="s">
        <v>2358</v>
      </c>
      <c r="D19">
        <v>32.151111550000003</v>
      </c>
      <c r="E19" t="s">
        <v>1514</v>
      </c>
      <c r="F19">
        <v>87.851088570000002</v>
      </c>
      <c r="G19" t="s">
        <v>1515</v>
      </c>
      <c r="H19">
        <v>2818</v>
      </c>
      <c r="I19" t="s">
        <v>1516</v>
      </c>
    </row>
    <row r="20" spans="1:9" x14ac:dyDescent="0.25">
      <c r="A20" t="s">
        <v>1513</v>
      </c>
      <c r="B20" t="s">
        <v>1552</v>
      </c>
      <c r="C20" t="s">
        <v>2358</v>
      </c>
      <c r="D20">
        <v>29.430145069999998</v>
      </c>
      <c r="E20" t="s">
        <v>1514</v>
      </c>
      <c r="F20">
        <v>90.576400050000004</v>
      </c>
      <c r="G20" t="s">
        <v>1515</v>
      </c>
      <c r="H20">
        <v>7050</v>
      </c>
      <c r="I20" t="s">
        <v>1516</v>
      </c>
    </row>
    <row r="21" spans="1:9" x14ac:dyDescent="0.25">
      <c r="A21" t="s">
        <v>1513</v>
      </c>
      <c r="B21" t="s">
        <v>1635</v>
      </c>
      <c r="C21" t="s">
        <v>2358</v>
      </c>
      <c r="D21">
        <v>28.64933722</v>
      </c>
      <c r="E21" t="s">
        <v>1514</v>
      </c>
      <c r="F21">
        <v>90.502583200000004</v>
      </c>
      <c r="G21" t="s">
        <v>1515</v>
      </c>
      <c r="H21">
        <v>4672</v>
      </c>
      <c r="I21" t="s">
        <v>1516</v>
      </c>
    </row>
    <row r="22" spans="1:9" x14ac:dyDescent="0.25">
      <c r="A22" t="s">
        <v>1513</v>
      </c>
      <c r="B22" t="s">
        <v>1553</v>
      </c>
      <c r="C22" t="s">
        <v>2358</v>
      </c>
      <c r="D22">
        <v>30.504279369999999</v>
      </c>
      <c r="E22" t="s">
        <v>1514</v>
      </c>
      <c r="F22">
        <v>91.017356329999998</v>
      </c>
      <c r="G22" t="s">
        <v>1515</v>
      </c>
      <c r="H22">
        <v>5202</v>
      </c>
      <c r="I22" t="s">
        <v>1516</v>
      </c>
    </row>
    <row r="23" spans="1:9" x14ac:dyDescent="0.25">
      <c r="A23" t="s">
        <v>1513</v>
      </c>
      <c r="B23" t="s">
        <v>1607</v>
      </c>
      <c r="C23" t="s">
        <v>2358</v>
      </c>
      <c r="D23">
        <v>29.115923280000001</v>
      </c>
      <c r="E23" t="s">
        <v>1514</v>
      </c>
      <c r="F23">
        <v>89.859560759999994</v>
      </c>
      <c r="G23" t="s">
        <v>1515</v>
      </c>
      <c r="H23">
        <v>4722</v>
      </c>
      <c r="I23" t="s">
        <v>1516</v>
      </c>
    </row>
    <row r="24" spans="1:9" x14ac:dyDescent="0.25">
      <c r="A24" t="s">
        <v>1513</v>
      </c>
      <c r="B24" t="s">
        <v>2353</v>
      </c>
      <c r="C24" t="s">
        <v>2358</v>
      </c>
      <c r="D24">
        <v>30.0477855</v>
      </c>
      <c r="E24" t="s">
        <v>1514</v>
      </c>
      <c r="F24">
        <v>90.814096180000007</v>
      </c>
      <c r="G24" t="s">
        <v>1515</v>
      </c>
      <c r="H24">
        <v>6243</v>
      </c>
      <c r="I24" t="s">
        <v>1516</v>
      </c>
    </row>
    <row r="25" spans="1:9" x14ac:dyDescent="0.25">
      <c r="A25" t="s">
        <v>1513</v>
      </c>
      <c r="B25" t="s">
        <v>2354</v>
      </c>
      <c r="C25" t="s">
        <v>2358</v>
      </c>
      <c r="D25">
        <v>29.595912340000002</v>
      </c>
      <c r="E25" t="s">
        <v>1514</v>
      </c>
      <c r="F25">
        <v>91.407617209999998</v>
      </c>
      <c r="G25" t="s">
        <v>1515</v>
      </c>
      <c r="H25">
        <v>9040</v>
      </c>
      <c r="I25" t="s">
        <v>1516</v>
      </c>
    </row>
    <row r="26" spans="1:9" x14ac:dyDescent="0.25">
      <c r="A26" t="s">
        <v>1513</v>
      </c>
      <c r="B26" t="s">
        <v>2355</v>
      </c>
      <c r="C26" t="s">
        <v>2358</v>
      </c>
      <c r="D26">
        <v>30.390459499999999</v>
      </c>
      <c r="E26" t="s">
        <v>1514</v>
      </c>
      <c r="F26">
        <v>90.169847790000006</v>
      </c>
      <c r="G26" t="s">
        <v>1515</v>
      </c>
      <c r="H26">
        <v>3698</v>
      </c>
      <c r="I26" t="s">
        <v>1516</v>
      </c>
    </row>
    <row r="27" spans="1:9" x14ac:dyDescent="0.25">
      <c r="A27" t="s">
        <v>1513</v>
      </c>
      <c r="B27" t="s">
        <v>1530</v>
      </c>
      <c r="C27" t="s">
        <v>2358</v>
      </c>
      <c r="D27">
        <v>31.565592639999998</v>
      </c>
      <c r="E27" t="s">
        <v>1514</v>
      </c>
      <c r="F27">
        <v>95.608533300000005</v>
      </c>
      <c r="G27" t="s">
        <v>1515</v>
      </c>
      <c r="H27">
        <v>10028</v>
      </c>
      <c r="I27" t="s">
        <v>1516</v>
      </c>
    </row>
    <row r="28" spans="1:9" x14ac:dyDescent="0.25">
      <c r="A28" t="s">
        <v>1513</v>
      </c>
      <c r="B28" t="s">
        <v>1565</v>
      </c>
      <c r="C28" t="s">
        <v>2358</v>
      </c>
      <c r="D28">
        <v>29.14079079</v>
      </c>
      <c r="E28" t="s">
        <v>1514</v>
      </c>
      <c r="F28">
        <v>93.177365550000005</v>
      </c>
      <c r="G28" t="s">
        <v>1515</v>
      </c>
      <c r="H28">
        <v>2489</v>
      </c>
      <c r="I28" t="s">
        <v>1516</v>
      </c>
    </row>
    <row r="29" spans="1:9" x14ac:dyDescent="0.25">
      <c r="A29" t="s">
        <v>1513</v>
      </c>
      <c r="B29" t="s">
        <v>1531</v>
      </c>
      <c r="C29" t="s">
        <v>2358</v>
      </c>
      <c r="D29">
        <v>31.20810084</v>
      </c>
      <c r="E29" t="s">
        <v>1514</v>
      </c>
      <c r="F29">
        <v>96.972081410000001</v>
      </c>
      <c r="G29" t="s">
        <v>1515</v>
      </c>
      <c r="H29">
        <v>6502</v>
      </c>
      <c r="I29" t="s">
        <v>1516</v>
      </c>
    </row>
    <row r="30" spans="1:9" x14ac:dyDescent="0.25">
      <c r="A30" t="s">
        <v>1513</v>
      </c>
      <c r="B30" t="s">
        <v>1608</v>
      </c>
      <c r="C30" t="s">
        <v>2358</v>
      </c>
      <c r="D30">
        <v>29.22733861</v>
      </c>
      <c r="E30" t="s">
        <v>1514</v>
      </c>
      <c r="F30">
        <v>89.166714720000002</v>
      </c>
      <c r="G30" t="s">
        <v>1515</v>
      </c>
      <c r="H30">
        <v>7601</v>
      </c>
      <c r="I30" t="s">
        <v>1516</v>
      </c>
    </row>
    <row r="31" spans="1:9" x14ac:dyDescent="0.25">
      <c r="A31" t="s">
        <v>1513</v>
      </c>
      <c r="B31" t="s">
        <v>1518</v>
      </c>
      <c r="C31" t="s">
        <v>2358</v>
      </c>
      <c r="D31">
        <v>32.430198019999999</v>
      </c>
      <c r="E31" t="s">
        <v>1514</v>
      </c>
      <c r="F31">
        <v>84.218654189999995</v>
      </c>
      <c r="G31" t="s">
        <v>1515</v>
      </c>
      <c r="H31">
        <v>5072</v>
      </c>
      <c r="I31" t="s">
        <v>1516</v>
      </c>
    </row>
    <row r="32" spans="1:9" x14ac:dyDescent="0.25">
      <c r="A32" t="s">
        <v>1513</v>
      </c>
      <c r="B32" t="s">
        <v>1554</v>
      </c>
      <c r="C32" t="s">
        <v>2358</v>
      </c>
      <c r="D32">
        <v>29.849028730000001</v>
      </c>
      <c r="E32" t="s">
        <v>1514</v>
      </c>
      <c r="F32">
        <v>91.244682179999998</v>
      </c>
      <c r="G32" t="s">
        <v>1515</v>
      </c>
      <c r="H32">
        <v>8267</v>
      </c>
      <c r="I32" t="s">
        <v>1516</v>
      </c>
    </row>
    <row r="33" spans="1:9" x14ac:dyDescent="0.25">
      <c r="A33" t="s">
        <v>1513</v>
      </c>
      <c r="B33" t="s">
        <v>1609</v>
      </c>
      <c r="C33" t="s">
        <v>2358</v>
      </c>
      <c r="D33">
        <v>28.16713292</v>
      </c>
      <c r="E33" t="s">
        <v>1514</v>
      </c>
      <c r="F33">
        <v>88.547393749999998</v>
      </c>
      <c r="G33" t="s">
        <v>1515</v>
      </c>
      <c r="H33">
        <v>3417</v>
      </c>
      <c r="I33" t="s">
        <v>1516</v>
      </c>
    </row>
    <row r="34" spans="1:9" x14ac:dyDescent="0.25">
      <c r="A34" t="s">
        <v>1513</v>
      </c>
      <c r="B34" t="s">
        <v>1636</v>
      </c>
      <c r="C34" t="s">
        <v>2358</v>
      </c>
      <c r="D34">
        <v>29.22058831</v>
      </c>
      <c r="E34" t="s">
        <v>1514</v>
      </c>
      <c r="F34">
        <v>90.795744369999994</v>
      </c>
      <c r="G34" t="s">
        <v>1515</v>
      </c>
      <c r="H34">
        <v>6832</v>
      </c>
      <c r="I34" t="s">
        <v>1516</v>
      </c>
    </row>
    <row r="35" spans="1:9" x14ac:dyDescent="0.25">
      <c r="A35" t="s">
        <v>1513</v>
      </c>
      <c r="B35" t="s">
        <v>1610</v>
      </c>
      <c r="C35" t="s">
        <v>2358</v>
      </c>
      <c r="D35">
        <v>28.502901690000002</v>
      </c>
      <c r="E35" t="s">
        <v>1514</v>
      </c>
      <c r="F35">
        <v>86.523682010000002</v>
      </c>
      <c r="G35" t="s">
        <v>1515</v>
      </c>
      <c r="H35">
        <v>6850</v>
      </c>
      <c r="I35" t="s">
        <v>1516</v>
      </c>
    </row>
    <row r="36" spans="1:9" x14ac:dyDescent="0.25">
      <c r="A36" t="s">
        <v>1513</v>
      </c>
      <c r="B36" t="s">
        <v>1532</v>
      </c>
      <c r="C36" t="s">
        <v>2358</v>
      </c>
      <c r="D36">
        <v>31.574263210000002</v>
      </c>
      <c r="E36" t="s">
        <v>1514</v>
      </c>
      <c r="F36">
        <v>98.565752349999997</v>
      </c>
      <c r="G36" t="s">
        <v>1515</v>
      </c>
      <c r="H36">
        <v>3484</v>
      </c>
      <c r="I36" t="s">
        <v>1516</v>
      </c>
    </row>
    <row r="37" spans="1:9" x14ac:dyDescent="0.25">
      <c r="A37" t="s">
        <v>1513</v>
      </c>
      <c r="B37" t="s">
        <v>1533</v>
      </c>
      <c r="C37" t="s">
        <v>2358</v>
      </c>
      <c r="D37">
        <v>29.51278306</v>
      </c>
      <c r="E37" t="s">
        <v>1514</v>
      </c>
      <c r="F37">
        <v>98.545609389999996</v>
      </c>
      <c r="G37" t="s">
        <v>1515</v>
      </c>
      <c r="H37">
        <v>12217</v>
      </c>
      <c r="I37" t="s">
        <v>1516</v>
      </c>
    </row>
    <row r="38" spans="1:9" x14ac:dyDescent="0.25">
      <c r="A38" t="s">
        <v>1513</v>
      </c>
      <c r="B38" t="s">
        <v>1519</v>
      </c>
      <c r="C38" t="s">
        <v>2358</v>
      </c>
      <c r="D38">
        <v>32.033706780000003</v>
      </c>
      <c r="E38" t="s">
        <v>1514</v>
      </c>
      <c r="F38">
        <v>81.268679250000005</v>
      </c>
      <c r="G38" t="s">
        <v>1515</v>
      </c>
      <c r="H38">
        <v>3886</v>
      </c>
      <c r="I38" t="s">
        <v>1516</v>
      </c>
    </row>
    <row r="39" spans="1:9" x14ac:dyDescent="0.25">
      <c r="A39" t="s">
        <v>1513</v>
      </c>
      <c r="B39" t="s">
        <v>1566</v>
      </c>
      <c r="C39" t="s">
        <v>2358</v>
      </c>
      <c r="D39">
        <v>29.935811879999999</v>
      </c>
      <c r="E39" t="s">
        <v>1514</v>
      </c>
      <c r="F39">
        <v>93.420324649999998</v>
      </c>
      <c r="G39" t="s">
        <v>1515</v>
      </c>
      <c r="H39">
        <v>5451</v>
      </c>
      <c r="I39" t="s">
        <v>1516</v>
      </c>
    </row>
    <row r="40" spans="1:9" x14ac:dyDescent="0.25">
      <c r="A40" t="s">
        <v>1513</v>
      </c>
      <c r="B40" t="s">
        <v>1555</v>
      </c>
      <c r="C40" t="s">
        <v>2358</v>
      </c>
      <c r="D40">
        <v>29.787968670000001</v>
      </c>
      <c r="E40" t="s">
        <v>1514</v>
      </c>
      <c r="F40">
        <v>91.767625519999996</v>
      </c>
      <c r="G40" t="s">
        <v>1515</v>
      </c>
      <c r="H40">
        <v>6493</v>
      </c>
      <c r="I40" t="s">
        <v>1516</v>
      </c>
    </row>
    <row r="41" spans="1:9" x14ac:dyDescent="0.25">
      <c r="A41" t="s">
        <v>1513</v>
      </c>
      <c r="B41" t="s">
        <v>1586</v>
      </c>
      <c r="C41" t="s">
        <v>2358</v>
      </c>
      <c r="D41">
        <v>30.815002580000002</v>
      </c>
      <c r="E41" t="s">
        <v>1514</v>
      </c>
      <c r="F41">
        <v>91.604020270000007</v>
      </c>
      <c r="G41" t="s">
        <v>1515</v>
      </c>
      <c r="H41">
        <v>3695</v>
      </c>
      <c r="I41" t="s">
        <v>1516</v>
      </c>
    </row>
    <row r="42" spans="1:9" x14ac:dyDescent="0.25">
      <c r="A42" t="s">
        <v>1513</v>
      </c>
      <c r="B42" t="s">
        <v>1556</v>
      </c>
      <c r="C42" t="s">
        <v>2358</v>
      </c>
      <c r="D42">
        <v>29.701338419999999</v>
      </c>
      <c r="E42" t="s">
        <v>1514</v>
      </c>
      <c r="F42">
        <v>90.655484250000001</v>
      </c>
      <c r="G42" t="s">
        <v>1515</v>
      </c>
      <c r="H42">
        <v>5763</v>
      </c>
      <c r="I42" t="s">
        <v>1516</v>
      </c>
    </row>
    <row r="43" spans="1:9" x14ac:dyDescent="0.25">
      <c r="A43" t="s">
        <v>1513</v>
      </c>
      <c r="B43" t="s">
        <v>1637</v>
      </c>
      <c r="C43" t="s">
        <v>2358</v>
      </c>
      <c r="D43">
        <v>29.17592977</v>
      </c>
      <c r="E43" t="s">
        <v>1514</v>
      </c>
      <c r="F43">
        <v>92.787712369999994</v>
      </c>
      <c r="G43" t="s">
        <v>1515</v>
      </c>
      <c r="H43">
        <v>3261</v>
      </c>
      <c r="I43" t="s">
        <v>1516</v>
      </c>
    </row>
    <row r="44" spans="1:9" x14ac:dyDescent="0.25">
      <c r="A44" t="s">
        <v>1513</v>
      </c>
      <c r="B44" t="s">
        <v>1611</v>
      </c>
      <c r="C44" t="s">
        <v>2358</v>
      </c>
      <c r="D44">
        <v>29.503341339999999</v>
      </c>
      <c r="E44" t="s">
        <v>1514</v>
      </c>
      <c r="F44">
        <v>85.561061330000001</v>
      </c>
      <c r="G44" t="s">
        <v>1515</v>
      </c>
      <c r="H44">
        <v>3242</v>
      </c>
      <c r="I44" t="s">
        <v>1516</v>
      </c>
    </row>
    <row r="45" spans="1:9" x14ac:dyDescent="0.25">
      <c r="A45" t="s">
        <v>1513</v>
      </c>
      <c r="B45" t="s">
        <v>1587</v>
      </c>
      <c r="C45" t="s">
        <v>2358</v>
      </c>
      <c r="D45">
        <v>30.787603659999998</v>
      </c>
      <c r="E45" t="s">
        <v>1514</v>
      </c>
      <c r="F45">
        <v>93.310445439999995</v>
      </c>
      <c r="G45" t="s">
        <v>1515</v>
      </c>
      <c r="H45">
        <v>3455</v>
      </c>
      <c r="I45" t="s">
        <v>1516</v>
      </c>
    </row>
    <row r="46" spans="1:9" x14ac:dyDescent="0.25">
      <c r="A46" t="s">
        <v>1513</v>
      </c>
      <c r="B46" t="s">
        <v>1534</v>
      </c>
      <c r="C46" t="s">
        <v>2358</v>
      </c>
      <c r="D46">
        <v>31.493642950000002</v>
      </c>
      <c r="E46" t="s">
        <v>1514</v>
      </c>
      <c r="F46">
        <v>98.220373809999998</v>
      </c>
      <c r="G46" t="s">
        <v>1515</v>
      </c>
      <c r="H46">
        <v>4255</v>
      </c>
      <c r="I46" t="s">
        <v>1516</v>
      </c>
    </row>
    <row r="47" spans="1:9" x14ac:dyDescent="0.25">
      <c r="A47" t="s">
        <v>1513</v>
      </c>
      <c r="B47" t="s">
        <v>1612</v>
      </c>
      <c r="C47" t="s">
        <v>2358</v>
      </c>
      <c r="D47">
        <v>28.34855761</v>
      </c>
      <c r="E47" t="s">
        <v>1514</v>
      </c>
      <c r="F47">
        <v>87.818106909999997</v>
      </c>
      <c r="G47" t="s">
        <v>1515</v>
      </c>
      <c r="H47">
        <v>4428</v>
      </c>
      <c r="I47" t="s">
        <v>1516</v>
      </c>
    </row>
    <row r="48" spans="1:9" x14ac:dyDescent="0.25">
      <c r="A48" t="s">
        <v>1513</v>
      </c>
      <c r="B48" t="s">
        <v>1638</v>
      </c>
      <c r="C48" t="s">
        <v>2358</v>
      </c>
      <c r="D48">
        <v>29.239253900000001</v>
      </c>
      <c r="E48" t="s">
        <v>1514</v>
      </c>
      <c r="F48">
        <v>90.620015710000004</v>
      </c>
      <c r="G48" t="s">
        <v>1515</v>
      </c>
      <c r="H48">
        <v>4852</v>
      </c>
      <c r="I48" t="s">
        <v>1516</v>
      </c>
    </row>
    <row r="49" spans="1:9" x14ac:dyDescent="0.25">
      <c r="A49" t="s">
        <v>1513</v>
      </c>
      <c r="B49" t="s">
        <v>1613</v>
      </c>
      <c r="C49" t="s">
        <v>2358</v>
      </c>
      <c r="D49">
        <v>28.928014170000001</v>
      </c>
      <c r="E49" t="s">
        <v>1514</v>
      </c>
      <c r="F49">
        <v>89.615600169999993</v>
      </c>
      <c r="G49" t="s">
        <v>1515</v>
      </c>
      <c r="H49">
        <v>11039</v>
      </c>
      <c r="I49" t="s">
        <v>1516</v>
      </c>
    </row>
    <row r="50" spans="1:9" x14ac:dyDescent="0.25">
      <c r="A50" t="s">
        <v>1513</v>
      </c>
      <c r="B50" t="s">
        <v>1588</v>
      </c>
      <c r="C50" t="s">
        <v>2358</v>
      </c>
      <c r="D50">
        <v>31.875751359999999</v>
      </c>
      <c r="E50" t="s">
        <v>1514</v>
      </c>
      <c r="F50">
        <v>90.563088710000002</v>
      </c>
      <c r="G50" t="s">
        <v>1515</v>
      </c>
      <c r="H50">
        <v>2926</v>
      </c>
      <c r="I50" t="s">
        <v>1516</v>
      </c>
    </row>
    <row r="51" spans="1:9" x14ac:dyDescent="0.25">
      <c r="A51" t="s">
        <v>1513</v>
      </c>
      <c r="B51" t="s">
        <v>1639</v>
      </c>
      <c r="C51" t="s">
        <v>2358</v>
      </c>
      <c r="D51">
        <v>29.217957729999998</v>
      </c>
      <c r="E51" t="s">
        <v>1514</v>
      </c>
      <c r="F51">
        <v>90.920421160000004</v>
      </c>
      <c r="G51" t="s">
        <v>1515</v>
      </c>
      <c r="H51">
        <v>8459</v>
      </c>
      <c r="I51" t="s">
        <v>1516</v>
      </c>
    </row>
    <row r="52" spans="1:9" x14ac:dyDescent="0.25">
      <c r="A52" t="s">
        <v>1513</v>
      </c>
      <c r="B52" t="s">
        <v>1614</v>
      </c>
      <c r="C52" t="s">
        <v>2358</v>
      </c>
      <c r="D52">
        <v>29.218235159999999</v>
      </c>
      <c r="E52" t="s">
        <v>1514</v>
      </c>
      <c r="F52">
        <v>88.376181310000007</v>
      </c>
      <c r="G52" t="s">
        <v>1515</v>
      </c>
      <c r="H52">
        <v>6182</v>
      </c>
      <c r="I52" t="s">
        <v>1516</v>
      </c>
    </row>
    <row r="53" spans="1:9" x14ac:dyDescent="0.25">
      <c r="A53" t="s">
        <v>1513</v>
      </c>
      <c r="B53" t="s">
        <v>1640</v>
      </c>
      <c r="C53" t="s">
        <v>2358</v>
      </c>
      <c r="D53">
        <v>29.242592460000001</v>
      </c>
      <c r="E53" t="s">
        <v>1514</v>
      </c>
      <c r="F53">
        <v>91.122432090000004</v>
      </c>
      <c r="G53" t="s">
        <v>1515</v>
      </c>
      <c r="H53">
        <v>7508</v>
      </c>
      <c r="I53" t="s">
        <v>1516</v>
      </c>
    </row>
    <row r="54" spans="1:9" x14ac:dyDescent="0.25">
      <c r="A54" t="s">
        <v>1513</v>
      </c>
      <c r="B54" t="s">
        <v>1615</v>
      </c>
      <c r="C54" t="s">
        <v>2358</v>
      </c>
      <c r="D54">
        <v>28.43045656</v>
      </c>
      <c r="E54" t="s">
        <v>1514</v>
      </c>
      <c r="F54">
        <v>85.391155319999996</v>
      </c>
      <c r="G54" t="s">
        <v>1515</v>
      </c>
      <c r="H54">
        <v>4863</v>
      </c>
      <c r="I54" t="s">
        <v>1516</v>
      </c>
    </row>
    <row r="55" spans="1:9" x14ac:dyDescent="0.25">
      <c r="A55" t="s">
        <v>1513</v>
      </c>
      <c r="B55" t="s">
        <v>1567</v>
      </c>
      <c r="C55" t="s">
        <v>2358</v>
      </c>
      <c r="D55">
        <v>30.110391929999999</v>
      </c>
      <c r="E55" t="s">
        <v>1514</v>
      </c>
      <c r="F55">
        <v>92.856259980000004</v>
      </c>
      <c r="G55" t="s">
        <v>1515</v>
      </c>
      <c r="H55">
        <v>4564</v>
      </c>
      <c r="I55" t="s">
        <v>1516</v>
      </c>
    </row>
    <row r="56" spans="1:9" x14ac:dyDescent="0.25">
      <c r="A56" t="s">
        <v>1513</v>
      </c>
      <c r="B56" t="s">
        <v>1535</v>
      </c>
      <c r="C56" t="s">
        <v>2358</v>
      </c>
      <c r="D56">
        <v>30.655204650000002</v>
      </c>
      <c r="E56" t="s">
        <v>1514</v>
      </c>
      <c r="F56">
        <v>97.326117460000006</v>
      </c>
      <c r="G56" t="s">
        <v>1515</v>
      </c>
      <c r="H56">
        <v>4345</v>
      </c>
      <c r="I56" t="s">
        <v>1516</v>
      </c>
    </row>
    <row r="57" spans="1:9" x14ac:dyDescent="0.25">
      <c r="A57" t="s">
        <v>1513</v>
      </c>
      <c r="B57" t="s">
        <v>1641</v>
      </c>
      <c r="C57" t="s">
        <v>2358</v>
      </c>
      <c r="D57">
        <v>29.32313637</v>
      </c>
      <c r="E57" t="s">
        <v>1514</v>
      </c>
      <c r="F57">
        <v>91.0222433</v>
      </c>
      <c r="G57" t="s">
        <v>1515</v>
      </c>
      <c r="H57">
        <v>5016</v>
      </c>
      <c r="I57" t="s">
        <v>1516</v>
      </c>
    </row>
    <row r="58" spans="1:9" x14ac:dyDescent="0.25">
      <c r="A58" t="s">
        <v>1513</v>
      </c>
      <c r="B58" t="s">
        <v>2356</v>
      </c>
      <c r="C58" t="s">
        <v>2358</v>
      </c>
      <c r="D58">
        <v>29.30129397</v>
      </c>
      <c r="E58" t="s">
        <v>1514</v>
      </c>
      <c r="F58">
        <v>87.2588401</v>
      </c>
      <c r="G58" t="s">
        <v>1515</v>
      </c>
      <c r="H58">
        <v>8567</v>
      </c>
      <c r="I58" t="s">
        <v>1516</v>
      </c>
    </row>
    <row r="59" spans="1:9" x14ac:dyDescent="0.25">
      <c r="A59" t="s">
        <v>1513</v>
      </c>
      <c r="B59" t="s">
        <v>2357</v>
      </c>
      <c r="C59" t="s">
        <v>2358</v>
      </c>
      <c r="D59">
        <v>29.484011049999999</v>
      </c>
      <c r="E59" t="s">
        <v>1514</v>
      </c>
      <c r="F59">
        <v>88.270162020000001</v>
      </c>
      <c r="G59" t="s">
        <v>1515</v>
      </c>
      <c r="H59">
        <v>7023</v>
      </c>
      <c r="I59" t="s">
        <v>1516</v>
      </c>
    </row>
    <row r="60" spans="1:9" x14ac:dyDescent="0.25">
      <c r="A60" t="s">
        <v>1513</v>
      </c>
      <c r="B60" t="s">
        <v>1616</v>
      </c>
      <c r="C60" t="s">
        <v>2358</v>
      </c>
      <c r="D60">
        <v>28.510051820000001</v>
      </c>
      <c r="E60" t="s">
        <v>1514</v>
      </c>
      <c r="F60">
        <v>89.708356440000003</v>
      </c>
      <c r="G60" t="s">
        <v>1515</v>
      </c>
      <c r="H60">
        <v>3085</v>
      </c>
      <c r="I60" t="s">
        <v>1516</v>
      </c>
    </row>
    <row r="61" spans="1:9" x14ac:dyDescent="0.25">
      <c r="A61" t="s">
        <v>1513</v>
      </c>
      <c r="B61" t="s">
        <v>1536</v>
      </c>
      <c r="C61" t="s">
        <v>2358</v>
      </c>
      <c r="D61">
        <v>30.75649752</v>
      </c>
      <c r="E61" t="s">
        <v>1514</v>
      </c>
      <c r="F61">
        <v>96.098822909999996</v>
      </c>
      <c r="G61" t="s">
        <v>1515</v>
      </c>
      <c r="H61">
        <v>5703</v>
      </c>
      <c r="I61" t="s">
        <v>1516</v>
      </c>
    </row>
    <row r="62" spans="1:9" x14ac:dyDescent="0.25">
      <c r="A62" t="s">
        <v>1513</v>
      </c>
      <c r="B62" t="s">
        <v>1537</v>
      </c>
      <c r="C62" t="s">
        <v>2358</v>
      </c>
      <c r="D62">
        <v>30.946219620000001</v>
      </c>
      <c r="E62" t="s">
        <v>1514</v>
      </c>
      <c r="F62">
        <v>97.250791739999997</v>
      </c>
      <c r="G62" t="s">
        <v>1515</v>
      </c>
      <c r="H62">
        <v>3955</v>
      </c>
      <c r="I62" t="s">
        <v>1516</v>
      </c>
    </row>
    <row r="63" spans="1:9" x14ac:dyDescent="0.25">
      <c r="A63" t="s">
        <v>1513</v>
      </c>
      <c r="B63" t="s">
        <v>1642</v>
      </c>
      <c r="C63" t="s">
        <v>2358</v>
      </c>
      <c r="D63">
        <v>28.091995090000001</v>
      </c>
      <c r="E63" t="s">
        <v>1514</v>
      </c>
      <c r="F63">
        <v>91.167747390000002</v>
      </c>
      <c r="G63" t="s">
        <v>1515</v>
      </c>
      <c r="H63">
        <v>1799</v>
      </c>
      <c r="I63" t="s">
        <v>1516</v>
      </c>
    </row>
    <row r="64" spans="1:9" x14ac:dyDescent="0.25">
      <c r="A64" t="s">
        <v>1513</v>
      </c>
      <c r="B64" t="s">
        <v>1568</v>
      </c>
      <c r="C64" t="s">
        <v>2358</v>
      </c>
      <c r="D64">
        <v>29.070604830000001</v>
      </c>
      <c r="E64" t="s">
        <v>1514</v>
      </c>
      <c r="F64">
        <v>92.984422289999998</v>
      </c>
      <c r="G64" t="s">
        <v>1515</v>
      </c>
      <c r="H64">
        <v>4391</v>
      </c>
      <c r="I64" t="s">
        <v>1516</v>
      </c>
    </row>
    <row r="65" spans="1:9" x14ac:dyDescent="0.25">
      <c r="A65" t="s">
        <v>1513</v>
      </c>
      <c r="B65" t="s">
        <v>1643</v>
      </c>
      <c r="C65" t="s">
        <v>2358</v>
      </c>
      <c r="D65">
        <v>28.941905670000001</v>
      </c>
      <c r="E65" t="s">
        <v>1514</v>
      </c>
      <c r="F65">
        <v>90.336302279999998</v>
      </c>
      <c r="G65" t="s">
        <v>1515</v>
      </c>
      <c r="H65">
        <v>4560</v>
      </c>
      <c r="I65" t="s">
        <v>1516</v>
      </c>
    </row>
    <row r="66" spans="1:9" x14ac:dyDescent="0.25">
      <c r="A66" t="s">
        <v>1513</v>
      </c>
      <c r="B66" t="s">
        <v>1589</v>
      </c>
      <c r="C66" t="s">
        <v>2358</v>
      </c>
      <c r="D66">
        <v>31.970662829999998</v>
      </c>
      <c r="E66" t="s">
        <v>1514</v>
      </c>
      <c r="F66">
        <v>94.12309209</v>
      </c>
      <c r="G66" t="s">
        <v>1515</v>
      </c>
      <c r="H66">
        <v>8032</v>
      </c>
      <c r="I66" t="s">
        <v>1516</v>
      </c>
    </row>
    <row r="67" spans="1:9" x14ac:dyDescent="0.25">
      <c r="A67" t="s">
        <v>1513</v>
      </c>
      <c r="B67" t="s">
        <v>1617</v>
      </c>
      <c r="C67" t="s">
        <v>2358</v>
      </c>
      <c r="D67">
        <v>29.18605728</v>
      </c>
      <c r="E67" t="s">
        <v>1514</v>
      </c>
      <c r="F67">
        <v>87.798946389999998</v>
      </c>
      <c r="G67" t="s">
        <v>1515</v>
      </c>
      <c r="H67">
        <v>5870</v>
      </c>
      <c r="I67" t="s">
        <v>1516</v>
      </c>
    </row>
    <row r="68" spans="1:9" x14ac:dyDescent="0.25">
      <c r="A68" t="s">
        <v>1513</v>
      </c>
      <c r="B68" t="s">
        <v>1538</v>
      </c>
      <c r="C68" t="s">
        <v>2358</v>
      </c>
      <c r="D68">
        <v>31.460707710000001</v>
      </c>
      <c r="E68" t="s">
        <v>1514</v>
      </c>
      <c r="F68">
        <v>96.449813039999995</v>
      </c>
      <c r="G68" t="s">
        <v>1515</v>
      </c>
      <c r="H68">
        <v>6900</v>
      </c>
      <c r="I68" t="s">
        <v>1516</v>
      </c>
    </row>
    <row r="69" spans="1:9" x14ac:dyDescent="0.25">
      <c r="A69" t="s">
        <v>1513</v>
      </c>
      <c r="B69" t="s">
        <v>1569</v>
      </c>
      <c r="C69" t="s">
        <v>2358</v>
      </c>
      <c r="D69">
        <v>29.613669460000001</v>
      </c>
      <c r="E69" t="s">
        <v>1514</v>
      </c>
      <c r="F69">
        <v>94.5268552</v>
      </c>
      <c r="G69" t="s">
        <v>1515</v>
      </c>
      <c r="H69">
        <v>3267</v>
      </c>
      <c r="I69" t="s">
        <v>1516</v>
      </c>
    </row>
    <row r="70" spans="1:9" x14ac:dyDescent="0.25">
      <c r="A70" t="s">
        <v>1513</v>
      </c>
      <c r="B70" t="s">
        <v>1644</v>
      </c>
      <c r="C70" t="s">
        <v>2358</v>
      </c>
      <c r="D70">
        <v>28.41748355</v>
      </c>
      <c r="E70" t="s">
        <v>1514</v>
      </c>
      <c r="F70">
        <v>92.432844650000007</v>
      </c>
      <c r="G70" t="s">
        <v>1515</v>
      </c>
      <c r="H70">
        <v>7778</v>
      </c>
      <c r="I70" t="s">
        <v>1516</v>
      </c>
    </row>
    <row r="71" spans="1:9" x14ac:dyDescent="0.25">
      <c r="A71" t="s">
        <v>1513</v>
      </c>
      <c r="B71" t="s">
        <v>1570</v>
      </c>
      <c r="C71" t="s">
        <v>2358</v>
      </c>
      <c r="D71">
        <v>29.941749649999998</v>
      </c>
      <c r="E71" t="s">
        <v>1514</v>
      </c>
      <c r="F71">
        <v>94.747515840000005</v>
      </c>
      <c r="G71" t="s">
        <v>1515</v>
      </c>
      <c r="H71">
        <v>1588</v>
      </c>
      <c r="I71" t="s">
        <v>1516</v>
      </c>
    </row>
    <row r="72" spans="1:9" x14ac:dyDescent="0.25">
      <c r="A72" t="s">
        <v>1513</v>
      </c>
      <c r="B72" t="s">
        <v>1645</v>
      </c>
      <c r="C72" t="s">
        <v>2358</v>
      </c>
      <c r="D72">
        <v>29.217337140000001</v>
      </c>
      <c r="E72" t="s">
        <v>1514</v>
      </c>
      <c r="F72">
        <v>92.189860730000007</v>
      </c>
      <c r="G72" t="s">
        <v>1515</v>
      </c>
      <c r="H72">
        <v>1183</v>
      </c>
      <c r="I72" t="s">
        <v>1516</v>
      </c>
    </row>
    <row r="73" spans="1:9" x14ac:dyDescent="0.25">
      <c r="A73" t="s">
        <v>1513</v>
      </c>
      <c r="B73" t="s">
        <v>1618</v>
      </c>
      <c r="C73" t="s">
        <v>2358</v>
      </c>
      <c r="D73">
        <v>29.112080429999999</v>
      </c>
      <c r="E73" t="s">
        <v>1514</v>
      </c>
      <c r="F73">
        <v>89.287773639999997</v>
      </c>
      <c r="G73" t="s">
        <v>1515</v>
      </c>
      <c r="H73">
        <v>7243</v>
      </c>
      <c r="I73" t="s">
        <v>1516</v>
      </c>
    </row>
    <row r="74" spans="1:9" x14ac:dyDescent="0.25">
      <c r="A74" t="s">
        <v>1513</v>
      </c>
      <c r="B74" t="s">
        <v>1590</v>
      </c>
      <c r="C74" t="s">
        <v>2358</v>
      </c>
      <c r="D74">
        <v>31.188410340000001</v>
      </c>
      <c r="E74" t="s">
        <v>1514</v>
      </c>
      <c r="F74">
        <v>91.949181999999993</v>
      </c>
      <c r="G74" t="s">
        <v>1515</v>
      </c>
      <c r="H74">
        <v>6572</v>
      </c>
      <c r="I74" t="s">
        <v>1516</v>
      </c>
    </row>
    <row r="75" spans="1:9" x14ac:dyDescent="0.25">
      <c r="A75" t="s">
        <v>1513</v>
      </c>
      <c r="B75" t="s">
        <v>1646</v>
      </c>
      <c r="C75" t="s">
        <v>2358</v>
      </c>
      <c r="D75">
        <v>28.417575530000001</v>
      </c>
      <c r="E75" t="s">
        <v>1514</v>
      </c>
      <c r="F75">
        <v>90.913782889999993</v>
      </c>
      <c r="G75" t="s">
        <v>1515</v>
      </c>
      <c r="H75">
        <v>5696</v>
      </c>
      <c r="I75" t="s">
        <v>1516</v>
      </c>
    </row>
    <row r="76" spans="1:9" x14ac:dyDescent="0.25">
      <c r="A76" t="s">
        <v>1513</v>
      </c>
      <c r="B76" t="s">
        <v>1557</v>
      </c>
      <c r="C76" t="s">
        <v>2358</v>
      </c>
      <c r="D76">
        <v>29.863668659999998</v>
      </c>
      <c r="E76" t="s">
        <v>1514</v>
      </c>
      <c r="F76">
        <v>90.69784181</v>
      </c>
      <c r="G76" t="s">
        <v>1515</v>
      </c>
      <c r="H76">
        <v>4500</v>
      </c>
      <c r="I76" t="s">
        <v>1516</v>
      </c>
    </row>
    <row r="77" spans="1:9" x14ac:dyDescent="0.25">
      <c r="A77" t="s">
        <v>1513</v>
      </c>
      <c r="B77" t="s">
        <v>1539</v>
      </c>
      <c r="C77" t="s">
        <v>2358</v>
      </c>
      <c r="D77">
        <v>30.931202970000001</v>
      </c>
      <c r="E77" t="s">
        <v>1514</v>
      </c>
      <c r="F77">
        <v>96.32312177</v>
      </c>
      <c r="G77" t="s">
        <v>1515</v>
      </c>
      <c r="H77">
        <v>4501</v>
      </c>
      <c r="I77" t="s">
        <v>1516</v>
      </c>
    </row>
    <row r="78" spans="1:9" x14ac:dyDescent="0.25">
      <c r="A78" t="s">
        <v>1513</v>
      </c>
      <c r="B78" t="s">
        <v>1571</v>
      </c>
      <c r="C78" t="s">
        <v>2358</v>
      </c>
      <c r="D78">
        <v>29.205837590000002</v>
      </c>
      <c r="E78" t="s">
        <v>1514</v>
      </c>
      <c r="F78">
        <v>94.287323310000005</v>
      </c>
      <c r="G78" t="s">
        <v>1515</v>
      </c>
      <c r="H78">
        <v>5617</v>
      </c>
      <c r="I78" t="s">
        <v>1516</v>
      </c>
    </row>
    <row r="79" spans="1:9" x14ac:dyDescent="0.25">
      <c r="A79" t="s">
        <v>1513</v>
      </c>
      <c r="B79" t="s">
        <v>1540</v>
      </c>
      <c r="C79" t="s">
        <v>2358</v>
      </c>
      <c r="D79">
        <v>30.846553010000001</v>
      </c>
      <c r="E79" t="s">
        <v>1514</v>
      </c>
      <c r="F79">
        <v>98.217079440000006</v>
      </c>
      <c r="G79" t="s">
        <v>1515</v>
      </c>
      <c r="H79">
        <v>11026</v>
      </c>
      <c r="I79" t="s">
        <v>1516</v>
      </c>
    </row>
    <row r="80" spans="1:9" x14ac:dyDescent="0.25">
      <c r="A80" t="s">
        <v>1513</v>
      </c>
      <c r="B80" t="s">
        <v>1572</v>
      </c>
      <c r="C80" t="s">
        <v>2358</v>
      </c>
      <c r="D80">
        <v>28.54668023</v>
      </c>
      <c r="E80" t="s">
        <v>1514</v>
      </c>
      <c r="F80">
        <v>94.899302419999998</v>
      </c>
      <c r="G80" t="s">
        <v>1515</v>
      </c>
      <c r="H80">
        <v>3157</v>
      </c>
      <c r="I80" t="s">
        <v>1516</v>
      </c>
    </row>
    <row r="81" spans="1:9" x14ac:dyDescent="0.25">
      <c r="A81" t="s">
        <v>1513</v>
      </c>
      <c r="B81" t="s">
        <v>1619</v>
      </c>
      <c r="C81" t="s">
        <v>2358</v>
      </c>
      <c r="D81">
        <v>29.722700360000001</v>
      </c>
      <c r="E81" t="s">
        <v>1514</v>
      </c>
      <c r="F81">
        <v>89.078388829999994</v>
      </c>
      <c r="G81" t="s">
        <v>1515</v>
      </c>
      <c r="H81">
        <v>10028</v>
      </c>
      <c r="I81" t="s">
        <v>1516</v>
      </c>
    </row>
    <row r="82" spans="1:9" x14ac:dyDescent="0.25">
      <c r="A82" t="s">
        <v>1513</v>
      </c>
      <c r="B82" t="s">
        <v>1591</v>
      </c>
      <c r="C82" t="s">
        <v>2358</v>
      </c>
      <c r="D82">
        <v>31.507059479999999</v>
      </c>
      <c r="E82" t="s">
        <v>1514</v>
      </c>
      <c r="F82">
        <v>92.075344720000004</v>
      </c>
      <c r="G82" t="s">
        <v>1515</v>
      </c>
      <c r="H82">
        <v>50530</v>
      </c>
      <c r="I82" t="s">
        <v>1516</v>
      </c>
    </row>
    <row r="83" spans="1:9" x14ac:dyDescent="0.25">
      <c r="A83" t="s">
        <v>1513</v>
      </c>
      <c r="B83" t="s">
        <v>1620</v>
      </c>
      <c r="C83" t="s">
        <v>2358</v>
      </c>
      <c r="D83">
        <v>28.226814690000001</v>
      </c>
      <c r="E83" t="s">
        <v>1514</v>
      </c>
      <c r="F83">
        <v>86.043093310000003</v>
      </c>
      <c r="G83" t="s">
        <v>1515</v>
      </c>
      <c r="H83">
        <v>2986</v>
      </c>
      <c r="I83" t="s">
        <v>1516</v>
      </c>
    </row>
    <row r="84" spans="1:9" x14ac:dyDescent="0.25">
      <c r="A84" t="s">
        <v>1513</v>
      </c>
      <c r="B84" t="s">
        <v>1592</v>
      </c>
      <c r="C84" t="s">
        <v>2358</v>
      </c>
      <c r="D84">
        <v>32.056648299999999</v>
      </c>
      <c r="E84" t="s">
        <v>1514</v>
      </c>
      <c r="F84">
        <v>92.302994119999994</v>
      </c>
      <c r="G84" t="s">
        <v>1515</v>
      </c>
      <c r="H84">
        <v>4285</v>
      </c>
      <c r="I84" t="s">
        <v>1516</v>
      </c>
    </row>
    <row r="85" spans="1:9" x14ac:dyDescent="0.25">
      <c r="A85" t="s">
        <v>1513</v>
      </c>
      <c r="B85" t="s">
        <v>1593</v>
      </c>
      <c r="C85" t="s">
        <v>2358</v>
      </c>
      <c r="D85">
        <v>31.84455238</v>
      </c>
      <c r="E85" t="s">
        <v>1514</v>
      </c>
      <c r="F85">
        <v>87.252828829999999</v>
      </c>
      <c r="G85" t="s">
        <v>1515</v>
      </c>
      <c r="H85">
        <v>6943</v>
      </c>
      <c r="I85" t="s">
        <v>1516</v>
      </c>
    </row>
    <row r="86" spans="1:9" x14ac:dyDescent="0.25">
      <c r="A86" t="s">
        <v>1513</v>
      </c>
      <c r="B86" t="s">
        <v>1573</v>
      </c>
      <c r="C86" t="s">
        <v>2358</v>
      </c>
      <c r="D86">
        <v>29.653583009999998</v>
      </c>
      <c r="E86" t="s">
        <v>1514</v>
      </c>
      <c r="F86">
        <v>94.949113929999996</v>
      </c>
      <c r="G86" t="s">
        <v>1515</v>
      </c>
      <c r="H86">
        <v>2334</v>
      </c>
      <c r="I86" t="s">
        <v>1516</v>
      </c>
    </row>
    <row r="87" spans="1:9" x14ac:dyDescent="0.25">
      <c r="A87" t="s">
        <v>1513</v>
      </c>
      <c r="B87" t="s">
        <v>1621</v>
      </c>
      <c r="C87" t="s">
        <v>2358</v>
      </c>
      <c r="D87">
        <v>27.722057490000001</v>
      </c>
      <c r="E87" t="s">
        <v>1514</v>
      </c>
      <c r="F87">
        <v>89.1220778</v>
      </c>
      <c r="G87" t="s">
        <v>1515</v>
      </c>
      <c r="H87">
        <v>2554</v>
      </c>
      <c r="I87" t="s">
        <v>1516</v>
      </c>
    </row>
    <row r="88" spans="1:9" x14ac:dyDescent="0.25">
      <c r="A88" t="s">
        <v>1513</v>
      </c>
      <c r="B88" t="s">
        <v>1594</v>
      </c>
      <c r="C88" t="s">
        <v>2358</v>
      </c>
      <c r="D88">
        <v>32.397769179999997</v>
      </c>
      <c r="E88" t="s">
        <v>1514</v>
      </c>
      <c r="F88">
        <v>91.730250350000006</v>
      </c>
      <c r="G88" t="s">
        <v>1515</v>
      </c>
      <c r="H88">
        <v>5963</v>
      </c>
      <c r="I88" t="s">
        <v>1516</v>
      </c>
    </row>
    <row r="89" spans="1:9" x14ac:dyDescent="0.25">
      <c r="A89" t="s">
        <v>1513</v>
      </c>
      <c r="B89" t="s">
        <v>1622</v>
      </c>
      <c r="C89" t="s">
        <v>2358</v>
      </c>
      <c r="D89">
        <v>30.002715630000001</v>
      </c>
      <c r="E89" t="s">
        <v>1514</v>
      </c>
      <c r="F89">
        <v>83.166071439999996</v>
      </c>
      <c r="G89" t="s">
        <v>1515</v>
      </c>
      <c r="H89">
        <v>2118</v>
      </c>
      <c r="I89" t="s">
        <v>1516</v>
      </c>
    </row>
    <row r="90" spans="1:9" x14ac:dyDescent="0.25">
      <c r="A90" t="s">
        <v>1513</v>
      </c>
      <c r="B90" t="s">
        <v>1595</v>
      </c>
      <c r="C90" t="s">
        <v>2358</v>
      </c>
      <c r="D90">
        <v>31.328274700000001</v>
      </c>
      <c r="E90" t="s">
        <v>1514</v>
      </c>
      <c r="F90">
        <v>90.15043507</v>
      </c>
      <c r="G90" t="s">
        <v>1515</v>
      </c>
      <c r="H90">
        <v>6753</v>
      </c>
      <c r="I90" t="s">
        <v>1516</v>
      </c>
    </row>
    <row r="91" spans="1:9" x14ac:dyDescent="0.25">
      <c r="A91" t="s">
        <v>1513</v>
      </c>
      <c r="B91" t="s">
        <v>1520</v>
      </c>
      <c r="C91" t="s">
        <v>2358</v>
      </c>
      <c r="D91">
        <v>30.391158480000001</v>
      </c>
      <c r="E91" t="s">
        <v>1514</v>
      </c>
      <c r="F91">
        <v>81.130247240000003</v>
      </c>
      <c r="G91" t="s">
        <v>1515</v>
      </c>
      <c r="H91">
        <v>6047</v>
      </c>
      <c r="I91" t="s">
        <v>1516</v>
      </c>
    </row>
    <row r="92" spans="1:9" x14ac:dyDescent="0.25">
      <c r="A92" t="s">
        <v>1513</v>
      </c>
      <c r="B92" t="s">
        <v>1596</v>
      </c>
      <c r="C92" t="s">
        <v>2358</v>
      </c>
      <c r="D92">
        <v>31.946885519999999</v>
      </c>
      <c r="E92" t="s">
        <v>1514</v>
      </c>
      <c r="F92">
        <v>90.983746409999995</v>
      </c>
      <c r="G92" t="s">
        <v>1515</v>
      </c>
      <c r="H92">
        <v>4461</v>
      </c>
      <c r="I92" t="s">
        <v>1516</v>
      </c>
    </row>
    <row r="93" spans="1:9" x14ac:dyDescent="0.25">
      <c r="A93" t="s">
        <v>1513</v>
      </c>
      <c r="B93" t="s">
        <v>1574</v>
      </c>
      <c r="C93" t="s">
        <v>2358</v>
      </c>
      <c r="D93">
        <v>30.187433609999999</v>
      </c>
      <c r="E93" t="s">
        <v>1514</v>
      </c>
      <c r="F93">
        <v>95.728973089999997</v>
      </c>
      <c r="G93" t="s">
        <v>1515</v>
      </c>
      <c r="H93">
        <v>5402</v>
      </c>
      <c r="I93" t="s">
        <v>1516</v>
      </c>
    </row>
    <row r="94" spans="1:9" x14ac:dyDescent="0.25">
      <c r="A94" t="s">
        <v>1513</v>
      </c>
      <c r="B94" t="s">
        <v>1647</v>
      </c>
      <c r="C94" t="s">
        <v>2358</v>
      </c>
      <c r="D94">
        <v>28.92786456</v>
      </c>
      <c r="E94" t="s">
        <v>1514</v>
      </c>
      <c r="F94">
        <v>91.662909150000004</v>
      </c>
      <c r="G94" t="s">
        <v>1515</v>
      </c>
      <c r="H94">
        <v>5155</v>
      </c>
      <c r="I94" t="s">
        <v>1516</v>
      </c>
    </row>
    <row r="95" spans="1:9" x14ac:dyDescent="0.25">
      <c r="A95" t="s">
        <v>1513</v>
      </c>
      <c r="B95" t="s">
        <v>1558</v>
      </c>
      <c r="C95" t="s">
        <v>2358</v>
      </c>
      <c r="D95">
        <v>29.461745440000001</v>
      </c>
      <c r="E95" t="s">
        <v>1514</v>
      </c>
      <c r="F95">
        <v>90.729668590000003</v>
      </c>
      <c r="G95" t="s">
        <v>1515</v>
      </c>
      <c r="H95">
        <v>8695</v>
      </c>
      <c r="I95" t="s">
        <v>1516</v>
      </c>
    </row>
    <row r="96" spans="1:9" x14ac:dyDescent="0.25">
      <c r="A96" t="s">
        <v>1513</v>
      </c>
      <c r="B96" t="s">
        <v>1648</v>
      </c>
      <c r="C96" t="s">
        <v>2358</v>
      </c>
      <c r="D96">
        <v>29.141347769999999</v>
      </c>
      <c r="E96" t="s">
        <v>1514</v>
      </c>
      <c r="F96">
        <v>92.213122490000003</v>
      </c>
      <c r="G96" t="s">
        <v>1515</v>
      </c>
      <c r="H96">
        <v>6159</v>
      </c>
      <c r="I96" t="s">
        <v>1516</v>
      </c>
    </row>
    <row r="97" spans="1:9" x14ac:dyDescent="0.25">
      <c r="A97" t="s">
        <v>1513</v>
      </c>
      <c r="B97" t="s">
        <v>1623</v>
      </c>
      <c r="C97" t="s">
        <v>2358</v>
      </c>
      <c r="D97">
        <v>29.04850326</v>
      </c>
      <c r="E97" t="s">
        <v>1514</v>
      </c>
      <c r="F97">
        <v>87.647295249999999</v>
      </c>
      <c r="G97" t="s">
        <v>1515</v>
      </c>
      <c r="H97">
        <v>6263</v>
      </c>
      <c r="I97" t="s">
        <v>1516</v>
      </c>
    </row>
    <row r="98" spans="1:9" x14ac:dyDescent="0.25">
      <c r="A98" t="s">
        <v>1513</v>
      </c>
      <c r="B98" t="s">
        <v>1541</v>
      </c>
      <c r="C98" t="s">
        <v>2358</v>
      </c>
      <c r="D98">
        <v>29.427281350000001</v>
      </c>
      <c r="E98" t="s">
        <v>1514</v>
      </c>
      <c r="F98">
        <v>96.839926939999998</v>
      </c>
      <c r="G98" t="s">
        <v>1515</v>
      </c>
      <c r="H98">
        <v>4335</v>
      </c>
      <c r="I98" t="s">
        <v>1516</v>
      </c>
    </row>
    <row r="99" spans="1:9" x14ac:dyDescent="0.25">
      <c r="A99" t="s">
        <v>1513</v>
      </c>
      <c r="B99" t="s">
        <v>1649</v>
      </c>
      <c r="C99" t="s">
        <v>2358</v>
      </c>
      <c r="D99">
        <v>28.471975019999999</v>
      </c>
      <c r="E99" t="s">
        <v>1514</v>
      </c>
      <c r="F99">
        <v>92.211077509999996</v>
      </c>
      <c r="G99" t="s">
        <v>1515</v>
      </c>
      <c r="H99">
        <v>8340</v>
      </c>
      <c r="I99" t="s">
        <v>1516</v>
      </c>
    </row>
    <row r="100" spans="1:9" x14ac:dyDescent="0.25">
      <c r="A100" t="s">
        <v>1513</v>
      </c>
      <c r="B100" t="s">
        <v>1521</v>
      </c>
      <c r="C100" t="s">
        <v>2358</v>
      </c>
      <c r="D100">
        <v>33.461056970000001</v>
      </c>
      <c r="E100" t="s">
        <v>1514</v>
      </c>
      <c r="F100">
        <v>79.301614850000007</v>
      </c>
      <c r="G100" t="s">
        <v>1515</v>
      </c>
      <c r="H100">
        <v>3057</v>
      </c>
      <c r="I100" t="s">
        <v>1516</v>
      </c>
    </row>
    <row r="101" spans="1:9" x14ac:dyDescent="0.25">
      <c r="A101" t="s">
        <v>1513</v>
      </c>
      <c r="B101" t="s">
        <v>1624</v>
      </c>
      <c r="C101" t="s">
        <v>2358</v>
      </c>
      <c r="D101">
        <v>27.97556165</v>
      </c>
      <c r="E101" t="s">
        <v>1514</v>
      </c>
      <c r="F101">
        <v>87.700914109999999</v>
      </c>
      <c r="G101" t="s">
        <v>1515</v>
      </c>
      <c r="H101">
        <v>1135</v>
      </c>
      <c r="I101" t="s">
        <v>1516</v>
      </c>
    </row>
    <row r="102" spans="1:9" x14ac:dyDescent="0.25">
      <c r="A102" t="s">
        <v>1513</v>
      </c>
      <c r="B102" t="s">
        <v>1597</v>
      </c>
      <c r="C102" t="s">
        <v>2358</v>
      </c>
      <c r="D102">
        <v>31.631324079999999</v>
      </c>
      <c r="E102" t="s">
        <v>1514</v>
      </c>
      <c r="F102">
        <v>94.603157699999997</v>
      </c>
      <c r="G102" t="s">
        <v>1515</v>
      </c>
      <c r="H102">
        <v>7214</v>
      </c>
      <c r="I102" t="s">
        <v>1516</v>
      </c>
    </row>
    <row r="103" spans="1:9" x14ac:dyDescent="0.25">
      <c r="A103" t="s">
        <v>1513</v>
      </c>
      <c r="B103" t="s">
        <v>1542</v>
      </c>
      <c r="C103" t="s">
        <v>2358</v>
      </c>
      <c r="D103">
        <v>29.709325230000001</v>
      </c>
      <c r="E103" t="s">
        <v>1514</v>
      </c>
      <c r="F103">
        <v>98.370968660000003</v>
      </c>
      <c r="G103" t="s">
        <v>1515</v>
      </c>
      <c r="H103">
        <v>5055</v>
      </c>
      <c r="I103" t="s">
        <v>1516</v>
      </c>
    </row>
    <row r="104" spans="1:9" x14ac:dyDescent="0.25">
      <c r="A104" t="s">
        <v>1513</v>
      </c>
      <c r="B104" t="s">
        <v>1625</v>
      </c>
      <c r="C104" t="s">
        <v>2358</v>
      </c>
      <c r="D104">
        <v>28.850851160000001</v>
      </c>
      <c r="E104" t="s">
        <v>1514</v>
      </c>
      <c r="F104">
        <v>88.151019969999993</v>
      </c>
      <c r="G104" t="s">
        <v>1515</v>
      </c>
      <c r="H104">
        <v>4758</v>
      </c>
      <c r="I104" t="s">
        <v>1516</v>
      </c>
    </row>
    <row r="105" spans="1:9" x14ac:dyDescent="0.25">
      <c r="A105" t="s">
        <v>1513</v>
      </c>
      <c r="B105" t="s">
        <v>1543</v>
      </c>
      <c r="C105" t="s">
        <v>2358</v>
      </c>
      <c r="D105">
        <v>31.207616489999999</v>
      </c>
      <c r="E105" t="s">
        <v>1514</v>
      </c>
      <c r="F105">
        <v>96.661940810000004</v>
      </c>
      <c r="G105" t="s">
        <v>1515</v>
      </c>
      <c r="H105">
        <v>11747</v>
      </c>
      <c r="I105" t="s">
        <v>1516</v>
      </c>
    </row>
    <row r="106" spans="1:9" x14ac:dyDescent="0.25">
      <c r="A106" t="s">
        <v>1513</v>
      </c>
      <c r="B106" t="s">
        <v>1650</v>
      </c>
      <c r="C106" t="s">
        <v>2358</v>
      </c>
      <c r="D106">
        <v>29.366875369999999</v>
      </c>
      <c r="E106" t="s">
        <v>1514</v>
      </c>
      <c r="F106">
        <v>92.020734050000002</v>
      </c>
      <c r="G106" t="s">
        <v>1515</v>
      </c>
      <c r="H106">
        <v>4720</v>
      </c>
      <c r="I106" t="s">
        <v>1516</v>
      </c>
    </row>
    <row r="107" spans="1:9" x14ac:dyDescent="0.25">
      <c r="A107" t="s">
        <v>1513</v>
      </c>
      <c r="B107" t="s">
        <v>1626</v>
      </c>
      <c r="C107" t="s">
        <v>2358</v>
      </c>
      <c r="D107">
        <v>29.485141250000002</v>
      </c>
      <c r="E107" t="s">
        <v>1514</v>
      </c>
      <c r="F107">
        <v>86.645982500000002</v>
      </c>
      <c r="G107" t="s">
        <v>1515</v>
      </c>
      <c r="H107">
        <v>4379</v>
      </c>
      <c r="I107" t="s">
        <v>1516</v>
      </c>
    </row>
    <row r="108" spans="1:9" x14ac:dyDescent="0.25">
      <c r="A108" t="s">
        <v>1513</v>
      </c>
      <c r="B108" t="s">
        <v>1651</v>
      </c>
      <c r="C108" t="s">
        <v>2358</v>
      </c>
      <c r="D108">
        <v>29.405990509999999</v>
      </c>
      <c r="E108" t="s">
        <v>1514</v>
      </c>
      <c r="F108">
        <v>91.48833363</v>
      </c>
      <c r="G108" t="s">
        <v>1515</v>
      </c>
      <c r="H108">
        <v>4625</v>
      </c>
      <c r="I108" t="s">
        <v>1516</v>
      </c>
    </row>
    <row r="109" spans="1:9" x14ac:dyDescent="0.25">
      <c r="A109" t="s">
        <v>1513</v>
      </c>
      <c r="B109" t="s">
        <v>1575</v>
      </c>
      <c r="C109" t="s">
        <v>2358</v>
      </c>
      <c r="D109">
        <v>28.8013333</v>
      </c>
      <c r="E109" t="s">
        <v>1514</v>
      </c>
      <c r="F109">
        <v>96.357748630000003</v>
      </c>
      <c r="G109" t="s">
        <v>1515</v>
      </c>
      <c r="H109">
        <v>3099</v>
      </c>
      <c r="I109" t="s">
        <v>1516</v>
      </c>
    </row>
    <row r="110" spans="1:9" x14ac:dyDescent="0.25">
      <c r="A110" t="s">
        <v>1513</v>
      </c>
      <c r="B110" t="s">
        <v>1598</v>
      </c>
      <c r="C110" t="s">
        <v>2358</v>
      </c>
      <c r="D110">
        <v>31.084770460000001</v>
      </c>
      <c r="E110" t="s">
        <v>1514</v>
      </c>
      <c r="F110">
        <v>88.534912930000004</v>
      </c>
      <c r="G110" t="s">
        <v>1515</v>
      </c>
      <c r="H110">
        <v>4296</v>
      </c>
      <c r="I110" t="s">
        <v>1516</v>
      </c>
    </row>
    <row r="111" spans="1:9" x14ac:dyDescent="0.25">
      <c r="A111" t="s">
        <v>1513</v>
      </c>
      <c r="B111" t="s">
        <v>1522</v>
      </c>
      <c r="C111" t="s">
        <v>2358</v>
      </c>
      <c r="D111">
        <v>32.440102879999998</v>
      </c>
      <c r="E111" t="s">
        <v>1514</v>
      </c>
      <c r="F111">
        <v>80.142536390000004</v>
      </c>
      <c r="G111" t="s">
        <v>1515</v>
      </c>
      <c r="H111">
        <v>10507</v>
      </c>
      <c r="I111" t="s">
        <v>1516</v>
      </c>
    </row>
    <row r="112" spans="1:9" x14ac:dyDescent="0.25">
      <c r="A112" t="s">
        <v>1513</v>
      </c>
      <c r="B112" t="s">
        <v>1544</v>
      </c>
      <c r="C112" t="s">
        <v>2358</v>
      </c>
      <c r="D112">
        <v>30.707778690000001</v>
      </c>
      <c r="E112" t="s">
        <v>1514</v>
      </c>
      <c r="F112">
        <v>95.627493180000002</v>
      </c>
      <c r="G112" t="s">
        <v>1515</v>
      </c>
      <c r="H112">
        <v>4944</v>
      </c>
      <c r="I112" t="s">
        <v>1516</v>
      </c>
    </row>
    <row r="113" spans="1:9" x14ac:dyDescent="0.25">
      <c r="A113" t="s">
        <v>1513</v>
      </c>
      <c r="B113" t="s">
        <v>1576</v>
      </c>
      <c r="C113" t="s">
        <v>2358</v>
      </c>
      <c r="D113">
        <v>29.75738376</v>
      </c>
      <c r="E113" t="s">
        <v>1514</v>
      </c>
      <c r="F113">
        <v>96.056491989999998</v>
      </c>
      <c r="G113" t="s">
        <v>1515</v>
      </c>
      <c r="H113">
        <v>2034</v>
      </c>
      <c r="I113" t="s">
        <v>1516</v>
      </c>
    </row>
    <row r="114" spans="1:9" x14ac:dyDescent="0.25">
      <c r="A114" t="s">
        <v>1513</v>
      </c>
      <c r="B114" t="s">
        <v>1559</v>
      </c>
      <c r="C114" t="s">
        <v>2358</v>
      </c>
      <c r="D114">
        <v>29.422919140000001</v>
      </c>
      <c r="E114" t="s">
        <v>1514</v>
      </c>
      <c r="F114">
        <v>90.201319339999998</v>
      </c>
      <c r="G114" t="s">
        <v>1515</v>
      </c>
      <c r="H114">
        <v>6393</v>
      </c>
      <c r="I114" t="s">
        <v>1516</v>
      </c>
    </row>
    <row r="115" spans="1:9" x14ac:dyDescent="0.25">
      <c r="A115" t="s">
        <v>1513</v>
      </c>
      <c r="B115" t="s">
        <v>1545</v>
      </c>
      <c r="C115" t="s">
        <v>2358</v>
      </c>
      <c r="D115">
        <v>29.987540859999999</v>
      </c>
      <c r="E115" t="s">
        <v>1514</v>
      </c>
      <c r="F115">
        <v>97.73315882</v>
      </c>
      <c r="G115" t="s">
        <v>1515</v>
      </c>
      <c r="H115">
        <v>6387</v>
      </c>
      <c r="I115" t="s">
        <v>1516</v>
      </c>
    </row>
    <row r="116" spans="1:9" x14ac:dyDescent="0.25">
      <c r="A116" t="s">
        <v>1513</v>
      </c>
      <c r="B116" t="s">
        <v>1546</v>
      </c>
      <c r="C116" t="s">
        <v>2358</v>
      </c>
      <c r="D116">
        <v>30.53048673</v>
      </c>
      <c r="E116" t="s">
        <v>1514</v>
      </c>
      <c r="F116">
        <v>96.633070149999995</v>
      </c>
      <c r="G116" t="s">
        <v>1515</v>
      </c>
      <c r="H116">
        <v>4387</v>
      </c>
      <c r="I116" t="s">
        <v>1516</v>
      </c>
    </row>
    <row r="117" spans="1:9" x14ac:dyDescent="0.25">
      <c r="A117" t="s">
        <v>1513</v>
      </c>
      <c r="B117" t="s">
        <v>1560</v>
      </c>
      <c r="C117" t="s">
        <v>2358</v>
      </c>
      <c r="D117">
        <v>29.360216650000002</v>
      </c>
      <c r="E117" t="s">
        <v>1514</v>
      </c>
      <c r="F117">
        <v>90.333789229999994</v>
      </c>
      <c r="G117" t="s">
        <v>1515</v>
      </c>
      <c r="H117">
        <v>2130</v>
      </c>
      <c r="I117" t="s">
        <v>1516</v>
      </c>
    </row>
    <row r="118" spans="1:9" x14ac:dyDescent="0.25">
      <c r="A118" t="s">
        <v>1513</v>
      </c>
      <c r="B118" t="s">
        <v>1523</v>
      </c>
      <c r="C118" t="s">
        <v>2358</v>
      </c>
      <c r="D118">
        <v>31.394829720000001</v>
      </c>
      <c r="E118" t="s">
        <v>1514</v>
      </c>
      <c r="F118">
        <v>79.688099699999995</v>
      </c>
      <c r="G118" t="s">
        <v>1515</v>
      </c>
      <c r="H118">
        <v>2014</v>
      </c>
      <c r="I118" t="s">
        <v>1516</v>
      </c>
    </row>
    <row r="119" spans="1:9" x14ac:dyDescent="0.25">
      <c r="A119" t="s">
        <v>1513</v>
      </c>
      <c r="B119" t="s">
        <v>1547</v>
      </c>
      <c r="C119" t="s">
        <v>2358</v>
      </c>
      <c r="D119">
        <v>29.622577209999999</v>
      </c>
      <c r="E119" t="s">
        <v>1514</v>
      </c>
      <c r="F119">
        <v>97.854863679999994</v>
      </c>
      <c r="G119" t="s">
        <v>1515</v>
      </c>
      <c r="H119">
        <v>9130</v>
      </c>
      <c r="I119" t="s">
        <v>1516</v>
      </c>
    </row>
    <row r="120" spans="1:9" x14ac:dyDescent="0.25">
      <c r="A120" t="s">
        <v>1513</v>
      </c>
      <c r="B120" t="s">
        <v>1577</v>
      </c>
      <c r="C120" t="s">
        <v>2358</v>
      </c>
      <c r="D120">
        <v>29.267411370000001</v>
      </c>
      <c r="E120" t="s">
        <v>1514</v>
      </c>
      <c r="F120">
        <v>93.472407390000001</v>
      </c>
      <c r="G120" t="s">
        <v>1515</v>
      </c>
      <c r="H120">
        <v>4158</v>
      </c>
      <c r="I120" t="s">
        <v>1516</v>
      </c>
    </row>
    <row r="121" spans="1:9" x14ac:dyDescent="0.25">
      <c r="A121" t="s">
        <v>1513</v>
      </c>
      <c r="B121" t="s">
        <v>1578</v>
      </c>
      <c r="C121" t="s">
        <v>2358</v>
      </c>
      <c r="D121">
        <v>28.190734549999998</v>
      </c>
      <c r="E121" t="s">
        <v>1514</v>
      </c>
      <c r="F121">
        <v>96.983630989999995</v>
      </c>
      <c r="G121" t="s">
        <v>1515</v>
      </c>
      <c r="H121">
        <v>5186</v>
      </c>
      <c r="I121" t="s">
        <v>1516</v>
      </c>
    </row>
    <row r="122" spans="1:9" x14ac:dyDescent="0.25">
      <c r="A122" t="s">
        <v>1513</v>
      </c>
      <c r="B122" t="s">
        <v>1548</v>
      </c>
      <c r="C122" t="s">
        <v>2358</v>
      </c>
      <c r="D122">
        <v>30.57375948</v>
      </c>
      <c r="E122" t="s">
        <v>1514</v>
      </c>
      <c r="F122">
        <v>98.022328959999996</v>
      </c>
      <c r="G122" t="s">
        <v>1515</v>
      </c>
      <c r="H122">
        <v>8302</v>
      </c>
      <c r="I122" t="s">
        <v>1516</v>
      </c>
    </row>
    <row r="123" spans="1:9" x14ac:dyDescent="0.25">
      <c r="A123" t="s">
        <v>1513</v>
      </c>
      <c r="B123" t="s">
        <v>1599</v>
      </c>
      <c r="C123" t="s">
        <v>2358</v>
      </c>
      <c r="D123">
        <v>31.903194079999999</v>
      </c>
      <c r="E123" t="s">
        <v>1514</v>
      </c>
      <c r="F123">
        <v>92.980512669999996</v>
      </c>
      <c r="G123" t="s">
        <v>1515</v>
      </c>
      <c r="H123">
        <v>11478</v>
      </c>
      <c r="I123" t="s">
        <v>1516</v>
      </c>
    </row>
    <row r="124" spans="1:9" x14ac:dyDescent="0.25">
      <c r="A124" t="s">
        <v>1513</v>
      </c>
      <c r="B124" t="s">
        <v>1627</v>
      </c>
      <c r="C124" t="s">
        <v>2358</v>
      </c>
      <c r="D124">
        <v>27.532332610000001</v>
      </c>
      <c r="E124" t="s">
        <v>1514</v>
      </c>
      <c r="F124">
        <v>88.854920410000005</v>
      </c>
      <c r="G124" t="s">
        <v>1515</v>
      </c>
      <c r="H124">
        <v>3341</v>
      </c>
      <c r="I124" t="s">
        <v>1516</v>
      </c>
    </row>
    <row r="125" spans="1:9" x14ac:dyDescent="0.25">
      <c r="A125" t="s">
        <v>1513</v>
      </c>
      <c r="B125" t="s">
        <v>1628</v>
      </c>
      <c r="C125" t="s">
        <v>2358</v>
      </c>
      <c r="D125">
        <v>28.69294665</v>
      </c>
      <c r="E125" t="s">
        <v>1514</v>
      </c>
      <c r="F125">
        <v>87.089822080000005</v>
      </c>
      <c r="G125" t="s">
        <v>1515</v>
      </c>
      <c r="H125">
        <v>9528</v>
      </c>
      <c r="I125" t="s">
        <v>1516</v>
      </c>
    </row>
    <row r="126" spans="1:9" x14ac:dyDescent="0.25">
      <c r="A126" t="s">
        <v>1513</v>
      </c>
      <c r="B126" t="s">
        <v>1600</v>
      </c>
      <c r="C126" t="s">
        <v>2358</v>
      </c>
      <c r="D126">
        <v>31.589597269999999</v>
      </c>
      <c r="E126" t="s">
        <v>1514</v>
      </c>
      <c r="F126">
        <v>89.025057919999995</v>
      </c>
      <c r="G126" t="s">
        <v>1515</v>
      </c>
      <c r="H126">
        <v>3437</v>
      </c>
      <c r="I126" t="s">
        <v>1516</v>
      </c>
    </row>
    <row r="127" spans="1:9" x14ac:dyDescent="0.25">
      <c r="A127" t="s">
        <v>1513</v>
      </c>
      <c r="B127" t="s">
        <v>1601</v>
      </c>
      <c r="C127" t="s">
        <v>2358</v>
      </c>
      <c r="D127">
        <v>31.913959160000001</v>
      </c>
      <c r="E127" t="s">
        <v>1514</v>
      </c>
      <c r="F127">
        <v>94.524352309999998</v>
      </c>
      <c r="G127" t="s">
        <v>1515</v>
      </c>
      <c r="H127">
        <v>4802</v>
      </c>
      <c r="I127" t="s">
        <v>1516</v>
      </c>
    </row>
    <row r="128" spans="1:9" x14ac:dyDescent="0.25">
      <c r="A128" t="s">
        <v>1513</v>
      </c>
      <c r="B128" t="s">
        <v>1602</v>
      </c>
      <c r="C128" t="s">
        <v>2358</v>
      </c>
      <c r="D128">
        <v>31.859621910000001</v>
      </c>
      <c r="E128" t="s">
        <v>1514</v>
      </c>
      <c r="F128">
        <v>93.756021750000002</v>
      </c>
      <c r="G128" t="s">
        <v>1515</v>
      </c>
      <c r="H128">
        <v>9785</v>
      </c>
      <c r="I128" t="s">
        <v>1516</v>
      </c>
    </row>
    <row r="129" spans="1:9" x14ac:dyDescent="0.25">
      <c r="A129" t="s">
        <v>1513</v>
      </c>
      <c r="B129" t="s">
        <v>1549</v>
      </c>
      <c r="C129" t="s">
        <v>2358</v>
      </c>
      <c r="D129">
        <v>30.710246300000001</v>
      </c>
      <c r="E129" t="s">
        <v>1514</v>
      </c>
      <c r="F129">
        <v>97.534547799999999</v>
      </c>
      <c r="G129" t="s">
        <v>1515</v>
      </c>
      <c r="H129">
        <v>7878</v>
      </c>
      <c r="I129" t="s">
        <v>1516</v>
      </c>
    </row>
    <row r="130" spans="1:9" x14ac:dyDescent="0.25">
      <c r="A130" t="s">
        <v>1513</v>
      </c>
      <c r="B130" t="s">
        <v>1561</v>
      </c>
      <c r="C130" t="s">
        <v>2358</v>
      </c>
      <c r="D130">
        <v>30.18155247</v>
      </c>
      <c r="E130" t="s">
        <v>1514</v>
      </c>
      <c r="F130">
        <v>90.484377820000006</v>
      </c>
      <c r="G130" t="s">
        <v>1515</v>
      </c>
      <c r="H130">
        <v>5017</v>
      </c>
      <c r="I130" t="s">
        <v>1516</v>
      </c>
    </row>
    <row r="131" spans="1:9" x14ac:dyDescent="0.25">
      <c r="A131" t="s">
        <v>1513</v>
      </c>
      <c r="B131" t="s">
        <v>1603</v>
      </c>
      <c r="C131" t="s">
        <v>2358</v>
      </c>
      <c r="D131">
        <v>33.597560000000001</v>
      </c>
      <c r="E131" t="s">
        <v>1514</v>
      </c>
      <c r="F131">
        <v>92.069452999999996</v>
      </c>
      <c r="G131" t="s">
        <v>1515</v>
      </c>
      <c r="H131">
        <v>2876</v>
      </c>
      <c r="I131" t="s">
        <v>1516</v>
      </c>
    </row>
    <row r="132" spans="1:9" x14ac:dyDescent="0.25">
      <c r="A132" t="s">
        <v>1513</v>
      </c>
      <c r="B132" t="s">
        <v>1604</v>
      </c>
      <c r="C132" t="s">
        <v>2358</v>
      </c>
      <c r="D132">
        <v>32.071871680000001</v>
      </c>
      <c r="E132" t="s">
        <v>1514</v>
      </c>
      <c r="F132">
        <v>93.739033669999998</v>
      </c>
      <c r="G132" t="s">
        <v>1515</v>
      </c>
      <c r="H132">
        <v>9375</v>
      </c>
      <c r="I132" t="s">
        <v>1516</v>
      </c>
    </row>
    <row r="133" spans="1:9" x14ac:dyDescent="0.25">
      <c r="A133" t="s">
        <v>1513</v>
      </c>
      <c r="B133" t="s">
        <v>1579</v>
      </c>
      <c r="C133" t="s">
        <v>2358</v>
      </c>
      <c r="D133">
        <v>29.825797179999999</v>
      </c>
      <c r="E133" t="s">
        <v>1514</v>
      </c>
      <c r="F133">
        <v>95.779007669999999</v>
      </c>
      <c r="G133" t="s">
        <v>1515</v>
      </c>
      <c r="H133">
        <v>9050</v>
      </c>
      <c r="I133" t="s">
        <v>1516</v>
      </c>
    </row>
    <row r="134" spans="1:9" x14ac:dyDescent="0.25">
      <c r="A134" t="s">
        <v>1513</v>
      </c>
      <c r="B134" t="s">
        <v>1629</v>
      </c>
      <c r="C134" t="s">
        <v>2358</v>
      </c>
      <c r="D134">
        <v>28.01361253</v>
      </c>
      <c r="E134" t="s">
        <v>1514</v>
      </c>
      <c r="F134">
        <v>86.013629339999994</v>
      </c>
      <c r="G134" t="s">
        <v>1515</v>
      </c>
      <c r="H134">
        <v>3469</v>
      </c>
      <c r="I134" t="s">
        <v>1516</v>
      </c>
    </row>
    <row r="135" spans="1:9" x14ac:dyDescent="0.25">
      <c r="A135" t="s">
        <v>1513</v>
      </c>
      <c r="B135" t="s">
        <v>1605</v>
      </c>
      <c r="C135" t="s">
        <v>2358</v>
      </c>
      <c r="D135">
        <v>31.856385020000001</v>
      </c>
      <c r="E135" t="s">
        <v>1514</v>
      </c>
      <c r="F135">
        <v>91.662988940000005</v>
      </c>
      <c r="G135" t="s">
        <v>1515</v>
      </c>
      <c r="H135">
        <v>8507</v>
      </c>
      <c r="I135" t="s">
        <v>1516</v>
      </c>
    </row>
    <row r="136" spans="1:9" x14ac:dyDescent="0.25">
      <c r="A136" t="s">
        <v>1513</v>
      </c>
      <c r="B136" t="s">
        <v>1652</v>
      </c>
      <c r="C136" t="s">
        <v>2358</v>
      </c>
      <c r="D136">
        <v>29.212538380000002</v>
      </c>
      <c r="E136" t="s">
        <v>1514</v>
      </c>
      <c r="F136">
        <v>91.276554930000003</v>
      </c>
      <c r="G136" t="s">
        <v>1515</v>
      </c>
      <c r="H136">
        <v>9495</v>
      </c>
      <c r="I136" t="s">
        <v>1516</v>
      </c>
    </row>
    <row r="137" spans="1:9" x14ac:dyDescent="0.25">
      <c r="A137" t="s">
        <v>1513</v>
      </c>
      <c r="B137" t="s">
        <v>1550</v>
      </c>
      <c r="C137" t="s">
        <v>2358</v>
      </c>
      <c r="D137">
        <v>29.145675229999998</v>
      </c>
      <c r="E137" t="s">
        <v>1514</v>
      </c>
      <c r="F137">
        <v>98.172730479999998</v>
      </c>
      <c r="G137" t="s">
        <v>1515</v>
      </c>
      <c r="H137">
        <v>6499</v>
      </c>
      <c r="I137" t="s">
        <v>1516</v>
      </c>
    </row>
    <row r="138" spans="1:9" x14ac:dyDescent="0.25">
      <c r="A138" t="s">
        <v>1513</v>
      </c>
      <c r="B138" t="s">
        <v>1653</v>
      </c>
      <c r="C138" t="s">
        <v>2358</v>
      </c>
      <c r="D138">
        <v>28.711656479999998</v>
      </c>
      <c r="E138" t="s">
        <v>1514</v>
      </c>
      <c r="F138">
        <v>91.55099371</v>
      </c>
      <c r="G138" t="s">
        <v>1515</v>
      </c>
      <c r="H138">
        <v>5040</v>
      </c>
      <c r="I138" t="s">
        <v>1516</v>
      </c>
    </row>
    <row r="139" spans="1:9" x14ac:dyDescent="0.25">
      <c r="A139" t="s">
        <v>1513</v>
      </c>
      <c r="B139" t="s">
        <v>1580</v>
      </c>
      <c r="C139" t="s">
        <v>2358</v>
      </c>
      <c r="D139">
        <v>28.986586899999999</v>
      </c>
      <c r="E139" t="s">
        <v>1514</v>
      </c>
      <c r="F139">
        <v>92.844865240000004</v>
      </c>
      <c r="G139" t="s">
        <v>1515</v>
      </c>
      <c r="H139">
        <v>2321</v>
      </c>
      <c r="I139" t="s">
        <v>1516</v>
      </c>
    </row>
    <row r="140" spans="1:9" x14ac:dyDescent="0.25">
      <c r="A140" t="s">
        <v>1513</v>
      </c>
      <c r="B140" t="s">
        <v>1581</v>
      </c>
      <c r="C140" t="s">
        <v>2358</v>
      </c>
      <c r="D140">
        <v>28.648863259999999</v>
      </c>
      <c r="E140" t="s">
        <v>1514</v>
      </c>
      <c r="F140">
        <v>97.541819910000001</v>
      </c>
      <c r="G140" t="s">
        <v>1515</v>
      </c>
      <c r="H140">
        <v>6522</v>
      </c>
      <c r="I140" t="s">
        <v>1516</v>
      </c>
    </row>
    <row r="141" spans="1:9" x14ac:dyDescent="0.25">
      <c r="A141" t="s">
        <v>1513</v>
      </c>
      <c r="B141" t="s">
        <v>1551</v>
      </c>
      <c r="C141" t="s">
        <v>2358</v>
      </c>
      <c r="D141">
        <v>30.68197606</v>
      </c>
      <c r="E141" t="s">
        <v>1514</v>
      </c>
      <c r="F141">
        <v>95.837566120000005</v>
      </c>
      <c r="G141" t="s">
        <v>1515</v>
      </c>
      <c r="H141">
        <v>10942</v>
      </c>
      <c r="I141" t="s">
        <v>1516</v>
      </c>
    </row>
    <row r="142" spans="1:9" x14ac:dyDescent="0.25">
      <c r="A142" t="s">
        <v>1513</v>
      </c>
      <c r="B142" t="s">
        <v>1630</v>
      </c>
      <c r="C142" t="s">
        <v>2358</v>
      </c>
      <c r="D142">
        <v>28.78788874</v>
      </c>
      <c r="E142" t="s">
        <v>1514</v>
      </c>
      <c r="F142">
        <v>85.241190900000007</v>
      </c>
      <c r="G142" t="s">
        <v>1515</v>
      </c>
      <c r="H142">
        <v>4047</v>
      </c>
      <c r="I142" t="s">
        <v>1516</v>
      </c>
    </row>
    <row r="143" spans="1:9" x14ac:dyDescent="0.25">
      <c r="A143" t="s">
        <v>1513</v>
      </c>
      <c r="B143" t="s">
        <v>1654</v>
      </c>
      <c r="C143" t="s">
        <v>2358</v>
      </c>
      <c r="D143">
        <v>28.771117499999999</v>
      </c>
      <c r="E143" t="s">
        <v>1514</v>
      </c>
      <c r="F143">
        <v>91.785660800000002</v>
      </c>
      <c r="G143" t="s">
        <v>1515</v>
      </c>
      <c r="H143">
        <v>30370</v>
      </c>
      <c r="I143" t="s">
        <v>1516</v>
      </c>
    </row>
    <row r="144" spans="1:9" x14ac:dyDescent="0.25">
      <c r="A144" t="s">
        <v>1513</v>
      </c>
      <c r="B144" t="s">
        <v>1655</v>
      </c>
      <c r="C144" t="s">
        <v>2358</v>
      </c>
      <c r="D144">
        <v>32.791976300000002</v>
      </c>
      <c r="E144" t="s">
        <v>1514</v>
      </c>
      <c r="F144">
        <v>92.458585400000004</v>
      </c>
      <c r="G144" t="s">
        <v>1515</v>
      </c>
      <c r="H144">
        <v>279215</v>
      </c>
      <c r="I144" t="s">
        <v>1657</v>
      </c>
    </row>
    <row r="145" spans="1:9" x14ac:dyDescent="0.25">
      <c r="A145" t="s">
        <v>1513</v>
      </c>
      <c r="B145" t="s">
        <v>1656</v>
      </c>
      <c r="C145" t="s">
        <v>2358</v>
      </c>
      <c r="D145">
        <v>29.511006500000001</v>
      </c>
      <c r="E145" t="s">
        <v>1514</v>
      </c>
      <c r="F145">
        <v>86.2220339</v>
      </c>
      <c r="G145" t="s">
        <v>1515</v>
      </c>
      <c r="H145">
        <v>63967</v>
      </c>
      <c r="I145" t="s">
        <v>1516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5B3FC-E3AF-4D0F-91A5-4CB1EB57D0ED}">
  <dimension ref="A1:G83"/>
  <sheetViews>
    <sheetView workbookViewId="0">
      <selection activeCell="A2" sqref="A2:G83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1492</v>
      </c>
      <c r="F1" t="s">
        <v>1493</v>
      </c>
      <c r="G1" t="s">
        <v>1503</v>
      </c>
    </row>
    <row r="2" spans="1:7" ht="15.75" thickBot="1" x14ac:dyDescent="0.3">
      <c r="A2" t="s">
        <v>1494</v>
      </c>
      <c r="B2" s="4" t="s">
        <v>1404</v>
      </c>
      <c r="C2" s="4" t="s">
        <v>1405</v>
      </c>
      <c r="D2" s="5">
        <v>77253</v>
      </c>
      <c r="E2" s="5">
        <v>95465</v>
      </c>
      <c r="F2" s="5">
        <v>123281</v>
      </c>
      <c r="G2" s="10" t="str" cm="1">
        <f t="array" aca="1" ref="G2" ca="1">IF(Background=36,C2,G1)</f>
        <v>阿里地区</v>
      </c>
    </row>
    <row r="3" spans="1:7" ht="15.75" thickBot="1" x14ac:dyDescent="0.3">
      <c r="A3" t="s">
        <v>14</v>
      </c>
      <c r="B3" s="1" t="s">
        <v>1406</v>
      </c>
      <c r="C3" s="1" t="s">
        <v>1407</v>
      </c>
      <c r="D3" s="2">
        <v>12083</v>
      </c>
      <c r="E3" s="2">
        <v>14626</v>
      </c>
      <c r="F3" s="2">
        <v>17027</v>
      </c>
      <c r="G3" s="2" t="str" cm="1">
        <f t="array" aca="1" ref="G3" ca="1">IF(Background=36,C3,G2)</f>
        <v>阿里地区</v>
      </c>
    </row>
    <row r="4" spans="1:7" ht="15.75" thickBot="1" x14ac:dyDescent="0.3">
      <c r="A4" t="s">
        <v>45</v>
      </c>
      <c r="B4" s="1" t="s">
        <v>1406</v>
      </c>
      <c r="C4" s="1" t="s">
        <v>1408</v>
      </c>
      <c r="D4" s="2">
        <v>13364</v>
      </c>
      <c r="E4" s="2">
        <v>16901</v>
      </c>
      <c r="F4" s="2">
        <v>31052</v>
      </c>
      <c r="G4" s="2" t="str" cm="1">
        <f t="array" aca="1" ref="G4" ca="1">IF(Background=36,C4,G3)</f>
        <v>阿里地区</v>
      </c>
    </row>
    <row r="5" spans="1:7" ht="15.75" thickBot="1" x14ac:dyDescent="0.3">
      <c r="A5" t="s">
        <v>11</v>
      </c>
      <c r="B5" s="1" t="s">
        <v>1406</v>
      </c>
      <c r="C5" s="1" t="s">
        <v>1409</v>
      </c>
      <c r="D5" s="2">
        <v>17502</v>
      </c>
      <c r="E5" s="2">
        <v>22177</v>
      </c>
      <c r="F5" s="2">
        <v>25327</v>
      </c>
      <c r="G5" s="2" t="str" cm="1">
        <f t="array" aca="1" ref="G5" ca="1">IF(Background=36,C5,G4)</f>
        <v>阿里地区</v>
      </c>
    </row>
    <row r="6" spans="1:7" ht="15.75" thickBot="1" x14ac:dyDescent="0.3">
      <c r="A6" t="s">
        <v>36</v>
      </c>
      <c r="B6" s="1" t="s">
        <v>1406</v>
      </c>
      <c r="C6" s="1" t="s">
        <v>1410</v>
      </c>
      <c r="D6" s="2">
        <v>12826</v>
      </c>
      <c r="E6" s="2">
        <v>15483</v>
      </c>
      <c r="F6" s="2">
        <v>18012</v>
      </c>
      <c r="G6" s="2" t="str" cm="1">
        <f t="array" aca="1" ref="G6" ca="1">IF(Background=36,C6,G5)</f>
        <v>阿里地区</v>
      </c>
    </row>
    <row r="7" spans="1:7" ht="15.75" thickBot="1" x14ac:dyDescent="0.3">
      <c r="A7" t="s">
        <v>8</v>
      </c>
      <c r="B7" s="1" t="s">
        <v>1406</v>
      </c>
      <c r="C7" s="1" t="s">
        <v>1411</v>
      </c>
      <c r="D7" s="2">
        <v>7919</v>
      </c>
      <c r="E7" s="2">
        <v>9657</v>
      </c>
      <c r="F7" s="2">
        <v>12242</v>
      </c>
      <c r="G7" s="2" t="str" cm="1">
        <f t="array" aca="1" ref="G7" ca="1">IF(Background=36,C7,G6)</f>
        <v>阿里地区</v>
      </c>
    </row>
    <row r="8" spans="1:7" ht="15.75" thickBot="1" x14ac:dyDescent="0.3">
      <c r="A8" t="s">
        <v>29</v>
      </c>
      <c r="B8" s="1" t="s">
        <v>1406</v>
      </c>
      <c r="C8" s="1" t="s">
        <v>1412</v>
      </c>
      <c r="D8" s="2">
        <v>7175</v>
      </c>
      <c r="E8" s="2">
        <v>9738</v>
      </c>
      <c r="F8" s="2">
        <v>11167</v>
      </c>
      <c r="G8" s="2" t="str" cm="1">
        <f t="array" aca="1" ref="G8" ca="1">IF(Background=36,C8,G7)</f>
        <v>阿里地区</v>
      </c>
    </row>
    <row r="9" spans="1:7" ht="15.75" thickBot="1" x14ac:dyDescent="0.3">
      <c r="A9" t="s">
        <v>20</v>
      </c>
      <c r="B9" s="1" t="s">
        <v>1406</v>
      </c>
      <c r="C9" s="1" t="s">
        <v>1413</v>
      </c>
      <c r="D9" s="2">
        <v>6384</v>
      </c>
      <c r="E9" s="2">
        <v>6883</v>
      </c>
      <c r="F9" s="2">
        <v>8454</v>
      </c>
      <c r="G9" s="2" t="str" cm="1">
        <f t="array" aca="1" ref="G9" ca="1">IF(Background=36,C9,G8)</f>
        <v>阿里地区</v>
      </c>
    </row>
    <row r="10" spans="1:7" ht="15.75" thickBot="1" x14ac:dyDescent="0.3">
      <c r="A10" t="s">
        <v>1495</v>
      </c>
      <c r="B10" s="4" t="s">
        <v>1414</v>
      </c>
      <c r="C10" s="4" t="s">
        <v>1415</v>
      </c>
      <c r="D10" s="5">
        <v>586152</v>
      </c>
      <c r="E10" s="5">
        <v>657505</v>
      </c>
      <c r="F10" s="5">
        <v>760966</v>
      </c>
      <c r="G10" s="2" t="str" cm="1">
        <f t="array" aca="1" ref="G10" ca="1">IF(Background=36,C10,G9)</f>
        <v>昌都市</v>
      </c>
    </row>
    <row r="11" spans="1:7" ht="15.75" thickBot="1" x14ac:dyDescent="0.3">
      <c r="A11" t="s">
        <v>106</v>
      </c>
      <c r="B11" s="1" t="s">
        <v>1406</v>
      </c>
      <c r="C11" s="1" t="s">
        <v>1416</v>
      </c>
      <c r="D11" s="2">
        <v>38170</v>
      </c>
      <c r="E11" s="2">
        <v>39021</v>
      </c>
      <c r="F11" s="2">
        <v>43538</v>
      </c>
      <c r="G11" s="2" t="str" cm="1">
        <f t="array" aca="1" ref="G11" ca="1">IF(Background=36,C11,G10)</f>
        <v>昌都市</v>
      </c>
    </row>
    <row r="12" spans="1:7" ht="15.75" thickBot="1" x14ac:dyDescent="0.3">
      <c r="A12" t="s">
        <v>115</v>
      </c>
      <c r="B12" s="1" t="s">
        <v>1406</v>
      </c>
      <c r="C12" s="1" t="s">
        <v>1417</v>
      </c>
      <c r="D12" s="2">
        <v>30818</v>
      </c>
      <c r="E12" s="2">
        <v>35767</v>
      </c>
      <c r="F12" s="2">
        <v>42716</v>
      </c>
      <c r="G12" s="2" t="str" cm="1">
        <f t="array" aca="1" ref="G12" ca="1">IF(Background=36,C12,G11)</f>
        <v>昌都市</v>
      </c>
    </row>
    <row r="13" spans="1:7" ht="15.75" thickBot="1" x14ac:dyDescent="0.3">
      <c r="A13" t="s">
        <v>97</v>
      </c>
      <c r="B13" s="1" t="s">
        <v>1406</v>
      </c>
      <c r="C13" s="1" t="s">
        <v>1418</v>
      </c>
      <c r="D13" s="2">
        <v>53009</v>
      </c>
      <c r="E13" s="2">
        <v>56789</v>
      </c>
      <c r="F13" s="2">
        <v>57065</v>
      </c>
      <c r="G13" s="2" t="str" cm="1">
        <f t="array" aca="1" ref="G13" ca="1">IF(Background=36,C13,G12)</f>
        <v>昌都市</v>
      </c>
    </row>
    <row r="14" spans="1:7" ht="15.75" thickBot="1" x14ac:dyDescent="0.3">
      <c r="A14" t="s">
        <v>100</v>
      </c>
      <c r="B14" s="1" t="s">
        <v>1406</v>
      </c>
      <c r="C14" s="1" t="s">
        <v>1419</v>
      </c>
      <c r="D14" s="2">
        <v>60586</v>
      </c>
      <c r="E14" s="2">
        <v>69888</v>
      </c>
      <c r="F14" s="2">
        <v>98677</v>
      </c>
      <c r="G14" s="2" t="str" cm="1">
        <f t="array" aca="1" ref="G14" ca="1">IF(Background=36,C14,G13)</f>
        <v>昌都市</v>
      </c>
    </row>
    <row r="15" spans="1:7" ht="15.75" thickBot="1" x14ac:dyDescent="0.3">
      <c r="A15" t="s">
        <v>94</v>
      </c>
      <c r="B15" s="1" t="s">
        <v>1406</v>
      </c>
      <c r="C15" s="1" t="s">
        <v>1420</v>
      </c>
      <c r="D15" s="2">
        <v>43160</v>
      </c>
      <c r="E15" s="2">
        <v>40434</v>
      </c>
      <c r="F15" s="2">
        <v>40009</v>
      </c>
      <c r="G15" s="2" t="str" cm="1">
        <f t="array" aca="1" ref="G15" ca="1">IF(Background=36,C15,G14)</f>
        <v>昌都市</v>
      </c>
    </row>
    <row r="16" spans="1:7" ht="15.75" thickBot="1" x14ac:dyDescent="0.3">
      <c r="A16" t="s">
        <v>124</v>
      </c>
      <c r="B16" s="1" t="s">
        <v>1406</v>
      </c>
      <c r="C16" s="1" t="s">
        <v>1421</v>
      </c>
      <c r="D16" s="2">
        <v>68993</v>
      </c>
      <c r="E16" s="2">
        <v>76026</v>
      </c>
      <c r="F16" s="2">
        <v>92800</v>
      </c>
      <c r="G16" s="2" t="str" cm="1">
        <f t="array" aca="1" ref="G16" ca="1">IF(Background=36,C16,G15)</f>
        <v>昌都市</v>
      </c>
    </row>
    <row r="17" spans="1:7" ht="15.75" thickBot="1" x14ac:dyDescent="0.3">
      <c r="A17" t="s">
        <v>88</v>
      </c>
      <c r="B17" s="1" t="s">
        <v>1422</v>
      </c>
      <c r="C17" s="1" t="s">
        <v>1423</v>
      </c>
      <c r="D17" s="2">
        <v>94419</v>
      </c>
      <c r="E17" s="2">
        <v>116500</v>
      </c>
      <c r="F17" s="2">
        <v>148511</v>
      </c>
      <c r="G17" s="2" t="str" cm="1">
        <f t="array" aca="1" ref="G17" ca="1">IF(Background=36,C17,G16)</f>
        <v>昌都市</v>
      </c>
    </row>
    <row r="18" spans="1:7" ht="15.75" thickBot="1" x14ac:dyDescent="0.3">
      <c r="A18" t="s">
        <v>118</v>
      </c>
      <c r="B18" s="1" t="s">
        <v>1406</v>
      </c>
      <c r="C18" s="1" t="s">
        <v>1424</v>
      </c>
      <c r="D18" s="2">
        <v>40895</v>
      </c>
      <c r="E18" s="2">
        <v>49870</v>
      </c>
      <c r="F18" s="2">
        <v>58856</v>
      </c>
      <c r="G18" s="2" t="str" cm="1">
        <f t="array" aca="1" ref="G18" ca="1">IF(Background=36,C18,G17)</f>
        <v>昌都市</v>
      </c>
    </row>
    <row r="19" spans="1:7" ht="15.75" thickBot="1" x14ac:dyDescent="0.3">
      <c r="A19" t="s">
        <v>103</v>
      </c>
      <c r="B19" s="1" t="s">
        <v>1406</v>
      </c>
      <c r="C19" s="1" t="s">
        <v>1425</v>
      </c>
      <c r="D19" s="2">
        <v>41144</v>
      </c>
      <c r="E19" s="2">
        <v>47491</v>
      </c>
      <c r="F19" s="2">
        <v>53185</v>
      </c>
      <c r="G19" s="2" t="str" cm="1">
        <f t="array" aca="1" ref="G19" ca="1">IF(Background=36,C19,G18)</f>
        <v>昌都市</v>
      </c>
    </row>
    <row r="20" spans="1:7" ht="15.75" thickBot="1" x14ac:dyDescent="0.3">
      <c r="A20" t="s">
        <v>91</v>
      </c>
      <c r="B20" s="1" t="s">
        <v>1406</v>
      </c>
      <c r="C20" s="1" t="s">
        <v>1426</v>
      </c>
      <c r="D20" s="2">
        <v>73155</v>
      </c>
      <c r="E20" s="2">
        <v>81399</v>
      </c>
      <c r="F20" s="2">
        <v>79001</v>
      </c>
      <c r="G20" s="2" t="str" cm="1">
        <f t="array" aca="1" ref="G20" ca="1">IF(Background=36,C20,G19)</f>
        <v>昌都市</v>
      </c>
    </row>
    <row r="21" spans="1:7" ht="15.75" thickBot="1" x14ac:dyDescent="0.3">
      <c r="A21" t="s">
        <v>121</v>
      </c>
      <c r="B21" s="1" t="s">
        <v>1406</v>
      </c>
      <c r="C21" s="1" t="s">
        <v>1427</v>
      </c>
      <c r="D21" s="2">
        <v>41803</v>
      </c>
      <c r="E21" s="2">
        <v>44320</v>
      </c>
      <c r="F21" s="2">
        <v>46608</v>
      </c>
      <c r="G21" s="2" t="str" cm="1">
        <f t="array" aca="1" ref="G21" ca="1">IF(Background=36,C21,G20)</f>
        <v>昌都市</v>
      </c>
    </row>
    <row r="22" spans="1:7" ht="15.75" thickBot="1" x14ac:dyDescent="0.3">
      <c r="A22" t="s">
        <v>1496</v>
      </c>
      <c r="B22" s="4" t="s">
        <v>1414</v>
      </c>
      <c r="C22" s="4" t="s">
        <v>1428</v>
      </c>
      <c r="D22" s="5">
        <v>474499</v>
      </c>
      <c r="E22" s="5">
        <v>559423</v>
      </c>
      <c r="F22" s="5">
        <v>867891</v>
      </c>
      <c r="G22" s="2" t="str" cm="1">
        <f t="array" aca="1" ref="G22" ca="1">IF(Background=36,C22,G21)</f>
        <v>拉萨市</v>
      </c>
    </row>
    <row r="23" spans="1:7" ht="15.75" thickBot="1" x14ac:dyDescent="0.3">
      <c r="A23" t="s">
        <v>375</v>
      </c>
      <c r="B23" s="1" t="s">
        <v>1422</v>
      </c>
      <c r="C23" s="1" t="s">
        <v>1429</v>
      </c>
      <c r="D23" s="2">
        <v>223001</v>
      </c>
      <c r="E23" s="2">
        <v>279074</v>
      </c>
      <c r="F23" s="2">
        <v>478275</v>
      </c>
      <c r="G23" s="2" t="str" cm="1">
        <f t="array" aca="1" ref="G23" ca="1">IF(Background=36,C23,G22)</f>
        <v>拉萨市</v>
      </c>
    </row>
    <row r="24" spans="1:7" ht="15.75" thickBot="1" x14ac:dyDescent="0.3">
      <c r="A24" t="s">
        <v>394</v>
      </c>
      <c r="B24" s="1" t="s">
        <v>1406</v>
      </c>
      <c r="C24" s="1" t="s">
        <v>1430</v>
      </c>
      <c r="D24" s="2">
        <v>39169</v>
      </c>
      <c r="E24" s="2">
        <v>46463</v>
      </c>
      <c r="F24" s="2">
        <v>47900</v>
      </c>
      <c r="G24" s="2" t="str" cm="1">
        <f t="array" aca="1" ref="G24" ca="1">IF(Background=36,C24,G23)</f>
        <v>拉萨市</v>
      </c>
    </row>
    <row r="25" spans="1:7" ht="15.75" thickBot="1" x14ac:dyDescent="0.3">
      <c r="A25" t="s">
        <v>378</v>
      </c>
      <c r="B25" s="1" t="s">
        <v>1422</v>
      </c>
      <c r="C25" s="1" t="s">
        <v>1431</v>
      </c>
      <c r="D25" s="2">
        <v>24906</v>
      </c>
      <c r="E25" s="2">
        <v>26708</v>
      </c>
      <c r="F25" s="2">
        <v>32318</v>
      </c>
      <c r="G25" s="2" t="str" cm="1">
        <f t="array" aca="1" ref="G25" ca="1">IF(Background=36,C25,G24)</f>
        <v>拉萨市</v>
      </c>
    </row>
    <row r="26" spans="1:7" ht="15.75" thickBot="1" x14ac:dyDescent="0.3">
      <c r="A26" t="s">
        <v>397</v>
      </c>
      <c r="B26" s="1" t="s">
        <v>1422</v>
      </c>
      <c r="C26" s="1" t="s">
        <v>1432</v>
      </c>
      <c r="D26" s="2">
        <v>40543</v>
      </c>
      <c r="E26" s="2">
        <v>52249</v>
      </c>
      <c r="F26" s="2">
        <v>137451</v>
      </c>
      <c r="G26" s="2" t="str" cm="1">
        <f t="array" aca="1" ref="G26" ca="1">IF(Background=36,C26,G25)</f>
        <v>拉萨市</v>
      </c>
    </row>
    <row r="27" spans="1:7" ht="15.75" thickBot="1" x14ac:dyDescent="0.3">
      <c r="A27" t="s">
        <v>371</v>
      </c>
      <c r="B27" s="1" t="s">
        <v>1406</v>
      </c>
      <c r="C27" s="1" t="s">
        <v>1433</v>
      </c>
      <c r="D27" s="2">
        <v>50895</v>
      </c>
      <c r="E27" s="2">
        <v>50246</v>
      </c>
      <c r="F27" s="2">
        <v>50596</v>
      </c>
      <c r="G27" s="2" t="str" cm="1">
        <f t="array" aca="1" ref="G27" ca="1">IF(Background=36,C27,G26)</f>
        <v>拉萨市</v>
      </c>
    </row>
    <row r="28" spans="1:7" ht="15.75" thickBot="1" x14ac:dyDescent="0.3">
      <c r="A28" t="s">
        <v>412</v>
      </c>
      <c r="B28" s="1" t="s">
        <v>1406</v>
      </c>
      <c r="C28" s="1" t="s">
        <v>1434</v>
      </c>
      <c r="D28" s="2">
        <v>38920</v>
      </c>
      <c r="E28" s="2">
        <v>44674</v>
      </c>
      <c r="F28" s="2">
        <v>49511</v>
      </c>
      <c r="G28" s="2" t="str" cm="1">
        <f t="array" aca="1" ref="G28" ca="1">IF(Background=36,C28,G27)</f>
        <v>拉萨市</v>
      </c>
    </row>
    <row r="29" spans="1:7" ht="15.75" thickBot="1" x14ac:dyDescent="0.3">
      <c r="A29" t="s">
        <v>427</v>
      </c>
      <c r="B29" s="1" t="s">
        <v>1406</v>
      </c>
      <c r="C29" s="1" t="s">
        <v>1435</v>
      </c>
      <c r="D29" s="2">
        <v>27375</v>
      </c>
      <c r="E29" s="2">
        <v>28149</v>
      </c>
      <c r="F29" s="2">
        <v>29989</v>
      </c>
      <c r="G29" s="2" t="str" cm="1">
        <f t="array" aca="1" ref="G29" ca="1">IF(Background=36,C29,G28)</f>
        <v>拉萨市</v>
      </c>
    </row>
    <row r="30" spans="1:7" ht="15.75" thickBot="1" x14ac:dyDescent="0.3">
      <c r="A30" t="s">
        <v>385</v>
      </c>
      <c r="B30" s="1" t="s">
        <v>1406</v>
      </c>
      <c r="C30" s="1" t="s">
        <v>1436</v>
      </c>
      <c r="D30" s="2">
        <v>29690</v>
      </c>
      <c r="E30" s="2">
        <v>31860</v>
      </c>
      <c r="F30" s="2">
        <v>41851</v>
      </c>
      <c r="G30" s="2" t="str" cm="1">
        <f t="array" aca="1" ref="G30" ca="1">IF(Background=36,C30,G29)</f>
        <v>拉萨市</v>
      </c>
    </row>
    <row r="31" spans="1:7" ht="15.75" thickBot="1" x14ac:dyDescent="0.3">
      <c r="A31" t="s">
        <v>1497</v>
      </c>
      <c r="B31" s="4" t="s">
        <v>1414</v>
      </c>
      <c r="C31" s="4" t="s">
        <v>1437</v>
      </c>
      <c r="D31" s="5">
        <v>158647</v>
      </c>
      <c r="E31" s="5">
        <v>195109</v>
      </c>
      <c r="F31" s="5">
        <v>238936</v>
      </c>
      <c r="G31" s="2" t="str" cm="1">
        <f t="array" aca="1" ref="G31" ca="1">IF(Background=36,C31,G30)</f>
        <v>林芝市</v>
      </c>
    </row>
    <row r="32" spans="1:7" ht="15.75" thickBot="1" x14ac:dyDescent="0.3">
      <c r="A32" t="s">
        <v>508</v>
      </c>
      <c r="B32" s="1" t="s">
        <v>1422</v>
      </c>
      <c r="C32" s="1" t="s">
        <v>1438</v>
      </c>
      <c r="D32" s="2">
        <v>38960</v>
      </c>
      <c r="E32" s="2">
        <v>54702</v>
      </c>
      <c r="F32" s="2">
        <v>84254</v>
      </c>
      <c r="G32" s="2" t="str" cm="1">
        <f t="array" aca="1" ref="G32" ca="1">IF(Background=36,C32,G31)</f>
        <v>林芝市</v>
      </c>
    </row>
    <row r="33" spans="1:7" ht="15.75" thickBot="1" x14ac:dyDescent="0.3">
      <c r="A33" t="s">
        <v>502</v>
      </c>
      <c r="B33" s="1" t="s">
        <v>1406</v>
      </c>
      <c r="C33" s="1" t="s">
        <v>1439</v>
      </c>
      <c r="D33" s="2">
        <v>26748</v>
      </c>
      <c r="E33" s="2">
        <v>33480</v>
      </c>
      <c r="F33" s="2">
        <v>34858</v>
      </c>
      <c r="G33" s="2" t="str" cm="1">
        <f t="array" aca="1" ref="G33" ca="1">IF(Background=36,C33,G32)</f>
        <v>林芝市</v>
      </c>
    </row>
    <row r="34" spans="1:7" ht="15.75" thickBot="1" x14ac:dyDescent="0.3">
      <c r="A34" t="s">
        <v>520</v>
      </c>
      <c r="B34" s="1" t="s">
        <v>1406</v>
      </c>
      <c r="C34" s="1" t="s">
        <v>1440</v>
      </c>
      <c r="D34" s="2">
        <v>25939</v>
      </c>
      <c r="E34" s="2">
        <v>27255</v>
      </c>
      <c r="F34" s="2">
        <v>28237</v>
      </c>
      <c r="G34" s="2" t="str" cm="1">
        <f t="array" aca="1" ref="G34" ca="1">IF(Background=36,C34,G33)</f>
        <v>林芝市</v>
      </c>
    </row>
    <row r="35" spans="1:7" ht="15.75" thickBot="1" x14ac:dyDescent="0.3">
      <c r="A35" t="s">
        <v>505</v>
      </c>
      <c r="B35" s="1" t="s">
        <v>1406</v>
      </c>
      <c r="C35" s="1" t="s">
        <v>1441</v>
      </c>
      <c r="D35" s="2">
        <v>24971</v>
      </c>
      <c r="E35" s="2">
        <v>29929</v>
      </c>
      <c r="F35" s="2">
        <v>32874</v>
      </c>
      <c r="G35" s="2" t="str" cm="1">
        <f t="array" aca="1" ref="G35" ca="1">IF(Background=36,C35,G34)</f>
        <v>林芝市</v>
      </c>
    </row>
    <row r="36" spans="1:7" ht="15.75" thickBot="1" x14ac:dyDescent="0.3">
      <c r="A36" t="s">
        <v>530</v>
      </c>
      <c r="B36" s="1" t="s">
        <v>1406</v>
      </c>
      <c r="C36" s="1" t="s">
        <v>1442</v>
      </c>
      <c r="D36" s="2">
        <v>14283</v>
      </c>
      <c r="E36" s="2">
        <v>15946</v>
      </c>
      <c r="F36" s="2">
        <v>17648</v>
      </c>
      <c r="G36" s="2" t="str" cm="1">
        <f t="array" aca="1" ref="G36" ca="1">IF(Background=36,C36,G35)</f>
        <v>林芝市</v>
      </c>
    </row>
    <row r="37" spans="1:7" ht="15.75" thickBot="1" x14ac:dyDescent="0.3">
      <c r="A37" t="s">
        <v>527</v>
      </c>
      <c r="B37" s="1" t="s">
        <v>1406</v>
      </c>
      <c r="C37" s="1" t="s">
        <v>1443</v>
      </c>
      <c r="D37" s="2">
        <v>18047</v>
      </c>
      <c r="E37" s="2">
        <v>22834</v>
      </c>
      <c r="F37" s="2">
        <v>26176</v>
      </c>
      <c r="G37" s="2" t="str" cm="1">
        <f t="array" aca="1" ref="G37" ca="1">IF(Background=36,C37,G36)</f>
        <v>林芝市</v>
      </c>
    </row>
    <row r="38" spans="1:7" ht="15.75" thickBot="1" x14ac:dyDescent="0.3">
      <c r="A38" t="s">
        <v>511</v>
      </c>
      <c r="B38" s="1" t="s">
        <v>1406</v>
      </c>
      <c r="C38" s="1" t="s">
        <v>1444</v>
      </c>
      <c r="D38" s="2">
        <v>9699</v>
      </c>
      <c r="E38" s="2">
        <v>10963</v>
      </c>
      <c r="F38" s="2">
        <v>14889</v>
      </c>
      <c r="G38" s="2" t="str" cm="1">
        <f t="array" aca="1" ref="G38" ca="1">IF(Background=36,C38,G37)</f>
        <v>林芝市</v>
      </c>
    </row>
    <row r="39" spans="1:7" ht="15.75" thickBot="1" x14ac:dyDescent="0.3">
      <c r="A39" t="s">
        <v>1498</v>
      </c>
      <c r="B39" s="4" t="s">
        <v>1414</v>
      </c>
      <c r="C39" s="4" t="s">
        <v>1445</v>
      </c>
      <c r="D39" s="5">
        <v>366710</v>
      </c>
      <c r="E39" s="5">
        <v>462381</v>
      </c>
      <c r="F39" s="5">
        <v>504838</v>
      </c>
      <c r="G39" s="2" t="str" cm="1">
        <f t="array" aca="1" ref="G39" ca="1">IF(Background=36,C39,G38)</f>
        <v>那曲市</v>
      </c>
    </row>
    <row r="40" spans="1:7" ht="15.75" thickBot="1" x14ac:dyDescent="0.3">
      <c r="A40" t="s">
        <v>633</v>
      </c>
      <c r="B40" s="1" t="s">
        <v>1406</v>
      </c>
      <c r="C40" s="1" t="s">
        <v>1446</v>
      </c>
      <c r="D40" s="2">
        <v>32843</v>
      </c>
      <c r="E40" s="2">
        <v>37802</v>
      </c>
      <c r="F40" s="2">
        <v>39683</v>
      </c>
      <c r="G40" s="2" t="str" cm="1">
        <f t="array" aca="1" ref="G40" ca="1">IF(Background=36,C40,G39)</f>
        <v>那曲市</v>
      </c>
    </row>
    <row r="41" spans="1:7" ht="15.75" thickBot="1" x14ac:dyDescent="0.3">
      <c r="A41" t="s">
        <v>636</v>
      </c>
      <c r="B41" s="1" t="s">
        <v>1406</v>
      </c>
      <c r="C41" s="1" t="s">
        <v>1447</v>
      </c>
      <c r="D41" s="2">
        <v>32287</v>
      </c>
      <c r="E41" s="2">
        <v>36842</v>
      </c>
      <c r="F41" s="2">
        <v>39309</v>
      </c>
      <c r="G41" s="2" t="str" cm="1">
        <f t="array" aca="1" ref="G41" ca="1">IF(Background=36,C41,G40)</f>
        <v>那曲市</v>
      </c>
    </row>
    <row r="42" spans="1:7" ht="15.75" thickBot="1" x14ac:dyDescent="0.3">
      <c r="A42" t="s">
        <v>618</v>
      </c>
      <c r="B42" s="1" t="s">
        <v>1406</v>
      </c>
      <c r="C42" s="1" t="s">
        <v>1448</v>
      </c>
      <c r="D42" s="2">
        <v>35895</v>
      </c>
      <c r="E42" s="2">
        <v>48284</v>
      </c>
      <c r="F42" s="2">
        <v>56200</v>
      </c>
      <c r="G42" s="2" t="str" cm="1">
        <f t="array" aca="1" ref="G42" ca="1">IF(Background=36,C42,G41)</f>
        <v>那曲市</v>
      </c>
    </row>
    <row r="43" spans="1:7" ht="15.75" thickBot="1" x14ac:dyDescent="0.3">
      <c r="A43" t="s">
        <v>624</v>
      </c>
      <c r="B43" s="1" t="s">
        <v>1406</v>
      </c>
      <c r="C43" s="1" t="s">
        <v>1449</v>
      </c>
      <c r="D43" s="2">
        <v>45222</v>
      </c>
      <c r="E43" s="2">
        <v>60179</v>
      </c>
      <c r="F43" s="2">
        <v>72618</v>
      </c>
      <c r="G43" s="2" t="str" cm="1">
        <f t="array" aca="1" ref="G43" ca="1">IF(Background=36,C43,G42)</f>
        <v>那曲市</v>
      </c>
    </row>
    <row r="44" spans="1:7" ht="15.75" thickBot="1" x14ac:dyDescent="0.3">
      <c r="A44" t="s">
        <v>621</v>
      </c>
      <c r="B44" s="1" t="s">
        <v>1406</v>
      </c>
      <c r="C44" s="1" t="s">
        <v>1450</v>
      </c>
      <c r="D44" s="2">
        <v>24953</v>
      </c>
      <c r="E44" s="2">
        <v>32356</v>
      </c>
      <c r="F44" s="2">
        <v>38797</v>
      </c>
      <c r="G44" s="2" t="str" cm="1">
        <f t="array" aca="1" ref="G44" ca="1">IF(Background=36,C44,G43)</f>
        <v>那曲市</v>
      </c>
    </row>
    <row r="45" spans="1:7" ht="15.75" thickBot="1" x14ac:dyDescent="0.3">
      <c r="A45" t="s">
        <v>627</v>
      </c>
      <c r="B45" s="1" t="s">
        <v>1406</v>
      </c>
      <c r="C45" s="1" t="s">
        <v>1451</v>
      </c>
      <c r="D45" s="2">
        <v>28192</v>
      </c>
      <c r="E45" s="2">
        <v>32376</v>
      </c>
      <c r="F45" s="2">
        <v>35163</v>
      </c>
      <c r="G45" s="2" t="str" cm="1">
        <f t="array" aca="1" ref="G45" ca="1">IF(Background=36,C45,G44)</f>
        <v>那曲市</v>
      </c>
    </row>
    <row r="46" spans="1:7" ht="15.75" thickBot="1" x14ac:dyDescent="0.3">
      <c r="A46" t="s">
        <v>615</v>
      </c>
      <c r="B46" s="1" t="s">
        <v>1406</v>
      </c>
      <c r="C46" s="1" t="s">
        <v>1452</v>
      </c>
      <c r="D46" s="3" t="s">
        <v>1453</v>
      </c>
      <c r="E46" s="2">
        <v>29856</v>
      </c>
      <c r="F46" s="2">
        <v>33006</v>
      </c>
      <c r="G46" s="2" t="str" cm="1">
        <f t="array" aca="1" ref="G46" ca="1">IF(Background=36,C46,G45)</f>
        <v>那曲市</v>
      </c>
    </row>
    <row r="47" spans="1:7" ht="15.75" thickBot="1" x14ac:dyDescent="0.3">
      <c r="A47" t="s">
        <v>669</v>
      </c>
      <c r="B47" s="1" t="s">
        <v>1422</v>
      </c>
      <c r="C47" s="1" t="s">
        <v>1454</v>
      </c>
      <c r="D47" s="2">
        <v>81786</v>
      </c>
      <c r="E47" s="2">
        <v>108781</v>
      </c>
      <c r="F47" s="2">
        <v>104490</v>
      </c>
      <c r="G47" s="2" t="str" cm="1">
        <f t="array" aca="1" ref="G47" ca="1">IF(Background=36,C47,G46)</f>
        <v>那曲市</v>
      </c>
    </row>
    <row r="48" spans="1:7" ht="15.75" thickBot="1" x14ac:dyDescent="0.3">
      <c r="A48" t="s">
        <v>641</v>
      </c>
      <c r="B48" s="1" t="s">
        <v>1406</v>
      </c>
      <c r="C48" s="1" t="s">
        <v>1455</v>
      </c>
      <c r="D48" s="2">
        <v>16487</v>
      </c>
      <c r="E48" s="2">
        <v>20285</v>
      </c>
      <c r="F48" s="2">
        <v>21768</v>
      </c>
      <c r="G48" s="2" t="str" cm="1">
        <f t="array" aca="1" ref="G48" ca="1">IF(Background=36,C48,G47)</f>
        <v>那曲市</v>
      </c>
    </row>
    <row r="49" spans="1:7" ht="15.75" thickBot="1" x14ac:dyDescent="0.3">
      <c r="A49" t="s">
        <v>630</v>
      </c>
      <c r="B49" s="1" t="s">
        <v>1406</v>
      </c>
      <c r="C49" s="1" t="s">
        <v>1456</v>
      </c>
      <c r="D49" s="3" t="s">
        <v>1453</v>
      </c>
      <c r="E49" s="2">
        <v>10500</v>
      </c>
      <c r="F49" s="2">
        <v>10881</v>
      </c>
      <c r="G49" s="2" t="str" cm="1">
        <f t="array" aca="1" ref="G49" ca="1">IF(Background=36,C49,G48)</f>
        <v>那曲市</v>
      </c>
    </row>
    <row r="50" spans="1:7" ht="15.75" thickBot="1" x14ac:dyDescent="0.3">
      <c r="A50" t="s">
        <v>654</v>
      </c>
      <c r="B50" s="1" t="s">
        <v>1406</v>
      </c>
      <c r="C50" s="1" t="s">
        <v>1457</v>
      </c>
      <c r="D50" s="2">
        <v>34736</v>
      </c>
      <c r="E50" s="2">
        <v>43621</v>
      </c>
      <c r="F50" s="2">
        <v>52923</v>
      </c>
      <c r="G50" s="2" t="str" cm="1">
        <f t="array" aca="1" ref="G50" ca="1">IF(Background=36,C50,G49)</f>
        <v>那曲市</v>
      </c>
    </row>
    <row r="51" spans="1:7" ht="15.75" thickBot="1" x14ac:dyDescent="0.3">
      <c r="A51" t="s">
        <v>1499</v>
      </c>
      <c r="B51" s="4" t="s">
        <v>1414</v>
      </c>
      <c r="C51" s="4" t="s">
        <v>1458</v>
      </c>
      <c r="D51" s="5">
        <v>634962</v>
      </c>
      <c r="E51" s="5">
        <v>703292</v>
      </c>
      <c r="F51" s="5">
        <v>798153</v>
      </c>
      <c r="G51" s="2" t="str" cm="1">
        <f t="array" aca="1" ref="G51" ca="1">IF(Background=36,C51,G50)</f>
        <v>日喀则市</v>
      </c>
    </row>
    <row r="52" spans="1:7" ht="15.75" thickBot="1" x14ac:dyDescent="0.3">
      <c r="A52" t="s">
        <v>846</v>
      </c>
      <c r="B52" s="1" t="s">
        <v>1406</v>
      </c>
      <c r="C52" s="1" t="s">
        <v>1459</v>
      </c>
      <c r="D52" s="2">
        <v>45172</v>
      </c>
      <c r="E52" s="2">
        <v>51472</v>
      </c>
      <c r="F52" s="2">
        <v>55108</v>
      </c>
      <c r="G52" s="2" t="str" cm="1">
        <f t="array" aca="1" ref="G52" ca="1">IF(Background=36,C52,G51)</f>
        <v>日喀则市</v>
      </c>
    </row>
    <row r="53" spans="1:7" ht="15.75" thickBot="1" x14ac:dyDescent="0.3">
      <c r="A53" t="s">
        <v>847</v>
      </c>
      <c r="B53" s="1" t="s">
        <v>1406</v>
      </c>
      <c r="C53" s="1" t="s">
        <v>1460</v>
      </c>
      <c r="D53" s="2">
        <v>40111</v>
      </c>
      <c r="E53" s="2">
        <v>42551</v>
      </c>
      <c r="F53" s="2">
        <v>44564</v>
      </c>
      <c r="G53" s="2" t="str" cm="1">
        <f t="array" aca="1" ref="G53" ca="1">IF(Background=36,C53,G52)</f>
        <v>日喀则市</v>
      </c>
    </row>
    <row r="54" spans="1:7" ht="15.75" thickBot="1" x14ac:dyDescent="0.3">
      <c r="A54" t="s">
        <v>890</v>
      </c>
      <c r="B54" s="1" t="s">
        <v>1406</v>
      </c>
      <c r="C54" s="1" t="s">
        <v>1461</v>
      </c>
      <c r="D54" s="2">
        <v>17691</v>
      </c>
      <c r="E54" s="2">
        <v>20319</v>
      </c>
      <c r="F54" s="2">
        <v>20362</v>
      </c>
      <c r="G54" s="2" t="str" cm="1">
        <f t="array" aca="1" ref="G54" ca="1">IF(Background=36,C54,G53)</f>
        <v>日喀则市</v>
      </c>
    </row>
    <row r="55" spans="1:7" ht="15.75" thickBot="1" x14ac:dyDescent="0.3">
      <c r="A55" t="s">
        <v>875</v>
      </c>
      <c r="B55" s="1" t="s">
        <v>1406</v>
      </c>
      <c r="C55" s="1" t="s">
        <v>1462</v>
      </c>
      <c r="D55" s="2">
        <v>46585</v>
      </c>
      <c r="E55" s="2">
        <v>50818</v>
      </c>
      <c r="F55" s="2">
        <v>58173</v>
      </c>
      <c r="G55" s="2" t="str" cm="1">
        <f t="array" aca="1" ref="G55" ca="1">IF(Background=36,C55,G54)</f>
        <v>日喀则市</v>
      </c>
    </row>
    <row r="56" spans="1:7" ht="15.75" thickBot="1" x14ac:dyDescent="0.3">
      <c r="A56" t="s">
        <v>872</v>
      </c>
      <c r="B56" s="1" t="s">
        <v>1406</v>
      </c>
      <c r="C56" s="1" t="s">
        <v>1463</v>
      </c>
      <c r="D56" s="2">
        <v>9201</v>
      </c>
      <c r="E56" s="2">
        <v>10464</v>
      </c>
      <c r="F56" s="2">
        <v>11276</v>
      </c>
      <c r="G56" s="2" t="str" cm="1">
        <f t="array" aca="1" ref="G56" ca="1">IF(Background=36,C56,G55)</f>
        <v>日喀则市</v>
      </c>
    </row>
    <row r="57" spans="1:7" ht="15.75" thickBot="1" x14ac:dyDescent="0.3">
      <c r="A57" t="s">
        <v>893</v>
      </c>
      <c r="B57" s="1" t="s">
        <v>1406</v>
      </c>
      <c r="C57" s="1" t="s">
        <v>1464</v>
      </c>
      <c r="D57" s="2">
        <v>61431</v>
      </c>
      <c r="E57" s="2">
        <v>63503</v>
      </c>
      <c r="F57" s="2">
        <v>68650</v>
      </c>
      <c r="G57" s="2" t="str" cm="1">
        <f t="array" aca="1" ref="G57" ca="1">IF(Background=36,C57,G56)</f>
        <v>日喀则市</v>
      </c>
    </row>
    <row r="58" spans="1:7" ht="15.75" thickBot="1" x14ac:dyDescent="0.3">
      <c r="A58" t="s">
        <v>866</v>
      </c>
      <c r="B58" s="1" t="s">
        <v>1406</v>
      </c>
      <c r="C58" s="1" t="s">
        <v>1465</v>
      </c>
      <c r="D58" s="2">
        <v>12174</v>
      </c>
      <c r="E58" s="2">
        <v>14972</v>
      </c>
      <c r="F58" s="2">
        <v>17536</v>
      </c>
      <c r="G58" s="2" t="str" cm="1">
        <f t="array" aca="1" ref="G58" ca="1">IF(Background=36,C58,G57)</f>
        <v>日喀则市</v>
      </c>
    </row>
    <row r="59" spans="1:7" ht="15.75" thickBot="1" x14ac:dyDescent="0.3">
      <c r="A59" t="s">
        <v>947</v>
      </c>
      <c r="B59" s="1" t="s">
        <v>1406</v>
      </c>
      <c r="C59" s="1" t="s">
        <v>1466</v>
      </c>
      <c r="D59" s="2">
        <v>19501</v>
      </c>
      <c r="E59" s="2">
        <v>20522</v>
      </c>
      <c r="F59" s="2">
        <v>20864</v>
      </c>
      <c r="G59" s="2" t="str" cm="1">
        <f t="array" aca="1" ref="G59" ca="1">IF(Background=36,C59,G58)</f>
        <v>日喀则市</v>
      </c>
    </row>
    <row r="60" spans="1:7" ht="15.75" thickBot="1" x14ac:dyDescent="0.3">
      <c r="A60" t="s">
        <v>881</v>
      </c>
      <c r="B60" s="1" t="s">
        <v>1406</v>
      </c>
      <c r="C60" s="1" t="s">
        <v>1467</v>
      </c>
      <c r="D60" s="2">
        <v>45895</v>
      </c>
      <c r="E60" s="2">
        <v>49286</v>
      </c>
      <c r="F60" s="2">
        <v>56355</v>
      </c>
      <c r="G60" s="2" t="str" cm="1">
        <f t="array" aca="1" ref="G60" ca="1">IF(Background=36,C60,G59)</f>
        <v>日喀则市</v>
      </c>
    </row>
    <row r="61" spans="1:7" ht="15.75" thickBot="1" x14ac:dyDescent="0.3">
      <c r="A61" t="s">
        <v>843</v>
      </c>
      <c r="B61" s="1" t="s">
        <v>1406</v>
      </c>
      <c r="C61" s="1" t="s">
        <v>1468</v>
      </c>
      <c r="D61" s="2">
        <v>69214</v>
      </c>
      <c r="E61" s="2">
        <v>74930</v>
      </c>
      <c r="F61" s="2">
        <v>83531</v>
      </c>
      <c r="G61" s="2" t="str" cm="1">
        <f t="array" aca="1" ref="G61" ca="1">IF(Background=36,C61,G60)</f>
        <v>日喀则市</v>
      </c>
    </row>
    <row r="62" spans="1:7" ht="15.75" thickBot="1" x14ac:dyDescent="0.3">
      <c r="A62" t="s">
        <v>853</v>
      </c>
      <c r="B62" s="1" t="s">
        <v>1406</v>
      </c>
      <c r="C62" s="1" t="s">
        <v>1469</v>
      </c>
      <c r="D62" s="2">
        <v>15479</v>
      </c>
      <c r="E62" s="2">
        <v>17568</v>
      </c>
      <c r="F62" s="2">
        <v>17009</v>
      </c>
      <c r="G62" s="2" t="str" cm="1">
        <f t="array" aca="1" ref="G62" ca="1">IF(Background=36,C62,G61)</f>
        <v>日喀则市</v>
      </c>
    </row>
    <row r="63" spans="1:7" ht="15.75" thickBot="1" x14ac:dyDescent="0.3">
      <c r="A63" t="s">
        <v>859</v>
      </c>
      <c r="B63" s="1" t="s">
        <v>1406</v>
      </c>
      <c r="C63" s="1" t="s">
        <v>1470</v>
      </c>
      <c r="D63" s="2">
        <v>28255</v>
      </c>
      <c r="E63" s="2">
        <v>27826</v>
      </c>
      <c r="F63" s="2">
        <v>33530</v>
      </c>
      <c r="G63" s="2" t="str" cm="1">
        <f t="array" aca="1" ref="G63" ca="1">IF(Background=36,C63,G62)</f>
        <v>日喀则市</v>
      </c>
    </row>
    <row r="64" spans="1:7" ht="15.75" thickBot="1" x14ac:dyDescent="0.3">
      <c r="A64" t="s">
        <v>869</v>
      </c>
      <c r="B64" s="1" t="s">
        <v>1406</v>
      </c>
      <c r="C64" s="1" t="s">
        <v>1471</v>
      </c>
      <c r="D64" s="2">
        <v>11947</v>
      </c>
      <c r="E64" s="2">
        <v>14036</v>
      </c>
      <c r="F64" s="2">
        <v>16220</v>
      </c>
      <c r="G64" s="2" t="str" cm="1">
        <f t="array" aca="1" ref="G64" ca="1">IF(Background=36,C64,G63)</f>
        <v>日喀则市</v>
      </c>
    </row>
    <row r="65" spans="1:7" ht="15.75" thickBot="1" x14ac:dyDescent="0.3">
      <c r="A65" t="s">
        <v>878</v>
      </c>
      <c r="B65" s="1" t="s">
        <v>1406</v>
      </c>
      <c r="C65" s="1" t="s">
        <v>1472</v>
      </c>
      <c r="D65" s="2">
        <v>42590</v>
      </c>
      <c r="E65" s="2">
        <v>47304</v>
      </c>
      <c r="F65" s="2">
        <v>48766</v>
      </c>
      <c r="G65" s="2" t="str" cm="1">
        <f t="array" aca="1" ref="G65" ca="1">IF(Background=36,C65,G64)</f>
        <v>日喀则市</v>
      </c>
    </row>
    <row r="66" spans="1:7" ht="15.75" thickBot="1" x14ac:dyDescent="0.3">
      <c r="A66" t="s">
        <v>850</v>
      </c>
      <c r="B66" s="1" t="s">
        <v>1422</v>
      </c>
      <c r="C66" s="1" t="s">
        <v>1473</v>
      </c>
      <c r="D66" s="2">
        <v>99863</v>
      </c>
      <c r="E66" s="2">
        <v>120374</v>
      </c>
      <c r="F66" s="2">
        <v>158290</v>
      </c>
      <c r="G66" s="2" t="str" cm="1">
        <f t="array" aca="1" ref="G66" ca="1">IF(Background=36,C66,G65)</f>
        <v>日喀则市</v>
      </c>
    </row>
    <row r="67" spans="1:7" ht="15.75" thickBot="1" x14ac:dyDescent="0.3">
      <c r="A67" t="s">
        <v>861</v>
      </c>
      <c r="B67" s="1" t="s">
        <v>1406</v>
      </c>
      <c r="C67" s="1" t="s">
        <v>1474</v>
      </c>
      <c r="D67" s="2">
        <v>39955</v>
      </c>
      <c r="E67" s="2">
        <v>42280</v>
      </c>
      <c r="F67" s="2">
        <v>45573</v>
      </c>
      <c r="G67" s="2" t="str" cm="1">
        <f t="array" aca="1" ref="G67" ca="1">IF(Background=36,C67,G66)</f>
        <v>日喀则市</v>
      </c>
    </row>
    <row r="68" spans="1:7" ht="15.75" thickBot="1" x14ac:dyDescent="0.3">
      <c r="A68" t="s">
        <v>934</v>
      </c>
      <c r="B68" s="1" t="s">
        <v>1406</v>
      </c>
      <c r="C68" s="1" t="s">
        <v>1475</v>
      </c>
      <c r="D68" s="2">
        <v>12038</v>
      </c>
      <c r="E68" s="2">
        <v>12920</v>
      </c>
      <c r="F68" s="2">
        <v>15449</v>
      </c>
      <c r="G68" s="2" t="str" cm="1">
        <f t="array" aca="1" ref="G68" ca="1">IF(Background=36,C68,G67)</f>
        <v>日喀则市</v>
      </c>
    </row>
    <row r="69" spans="1:7" ht="15.75" thickBot="1" x14ac:dyDescent="0.3">
      <c r="A69" t="s">
        <v>856</v>
      </c>
      <c r="B69" s="1" t="s">
        <v>1406</v>
      </c>
      <c r="C69" s="1" t="s">
        <v>1476</v>
      </c>
      <c r="D69" s="2">
        <v>17860</v>
      </c>
      <c r="E69" s="2">
        <v>22147</v>
      </c>
      <c r="F69" s="2">
        <v>26897</v>
      </c>
      <c r="G69" s="2" t="str" cm="1">
        <f t="array" aca="1" ref="G69" ca="1">IF(Background=36,C69,G68)</f>
        <v>日喀则市</v>
      </c>
    </row>
    <row r="70" spans="1:7" ht="15.75" thickBot="1" x14ac:dyDescent="0.3">
      <c r="A70" t="s">
        <v>1500</v>
      </c>
      <c r="B70" s="4" t="s">
        <v>1414</v>
      </c>
      <c r="C70" s="4" t="s">
        <v>1477</v>
      </c>
      <c r="D70" s="5">
        <v>318106</v>
      </c>
      <c r="E70" s="5">
        <v>328990</v>
      </c>
      <c r="F70" s="5">
        <v>354035</v>
      </c>
      <c r="G70" s="2" t="str" cm="1">
        <f t="array" aca="1" ref="G70" ca="1">IF(Background=36,C70,G69)</f>
        <v>山南市</v>
      </c>
    </row>
    <row r="71" spans="1:7" ht="15.75" thickBot="1" x14ac:dyDescent="0.3">
      <c r="A71" t="s">
        <v>1261</v>
      </c>
      <c r="B71" s="1" t="s">
        <v>1406</v>
      </c>
      <c r="C71" s="1" t="s">
        <v>1478</v>
      </c>
      <c r="D71" s="2">
        <v>13529</v>
      </c>
      <c r="E71" s="2">
        <v>13641</v>
      </c>
      <c r="F71" s="2">
        <v>12132</v>
      </c>
      <c r="G71" s="2" t="str" cm="1">
        <f t="array" aca="1" ref="G71" ca="1">IF(Background=36,C71,G70)</f>
        <v>山南市</v>
      </c>
    </row>
    <row r="72" spans="1:7" ht="15.75" thickBot="1" x14ac:dyDescent="0.3">
      <c r="A72" t="s">
        <v>1264</v>
      </c>
      <c r="B72" s="1" t="s">
        <v>1406</v>
      </c>
      <c r="C72" s="1" t="s">
        <v>1479</v>
      </c>
      <c r="D72" s="2">
        <v>15277</v>
      </c>
      <c r="E72" s="2">
        <v>15124</v>
      </c>
      <c r="F72" s="2">
        <v>13932</v>
      </c>
      <c r="G72" s="2" t="str" cm="1">
        <f t="array" aca="1" ref="G72" ca="1">IF(Background=36,C72,G71)</f>
        <v>山南市</v>
      </c>
    </row>
    <row r="73" spans="1:7" ht="15.75" thickBot="1" x14ac:dyDescent="0.3">
      <c r="A73" t="s">
        <v>1253</v>
      </c>
      <c r="B73" s="1" t="s">
        <v>1406</v>
      </c>
      <c r="C73" s="1" t="s">
        <v>1480</v>
      </c>
      <c r="D73" s="2">
        <v>44624</v>
      </c>
      <c r="E73" s="2">
        <v>45708</v>
      </c>
      <c r="F73" s="2">
        <v>53701</v>
      </c>
      <c r="G73" s="2" t="str" cm="1">
        <f t="array" aca="1" ref="G73" ca="1">IF(Background=36,C73,G72)</f>
        <v>山南市</v>
      </c>
    </row>
    <row r="74" spans="1:7" ht="15.75" thickBot="1" x14ac:dyDescent="0.3">
      <c r="A74" t="s">
        <v>1238</v>
      </c>
      <c r="B74" s="1" t="s">
        <v>1406</v>
      </c>
      <c r="C74" s="1" t="s">
        <v>1481</v>
      </c>
      <c r="D74" s="2">
        <v>18263</v>
      </c>
      <c r="E74" s="2">
        <v>23434</v>
      </c>
      <c r="F74" s="2">
        <v>23534</v>
      </c>
      <c r="G74" s="2" t="str" cm="1">
        <f t="array" aca="1" ref="G74" ca="1">IF(Background=36,C74,G73)</f>
        <v>山南市</v>
      </c>
    </row>
    <row r="75" spans="1:7" ht="15.75" thickBot="1" x14ac:dyDescent="0.3">
      <c r="A75" t="s">
        <v>1242</v>
      </c>
      <c r="B75" s="1" t="s">
        <v>1406</v>
      </c>
      <c r="C75" s="1" t="s">
        <v>1482</v>
      </c>
      <c r="D75" s="2">
        <v>32635</v>
      </c>
      <c r="E75" s="2">
        <v>34767</v>
      </c>
      <c r="F75" s="2">
        <v>32835</v>
      </c>
      <c r="G75" s="2" t="str" cm="1">
        <f t="array" aca="1" ref="G75" ca="1">IF(Background=36,C75,G74)</f>
        <v>山南市</v>
      </c>
    </row>
    <row r="76" spans="1:7" ht="15.75" thickBot="1" x14ac:dyDescent="0.3">
      <c r="A76" t="s">
        <v>1271</v>
      </c>
      <c r="B76" s="1" t="s">
        <v>1406</v>
      </c>
      <c r="C76" s="1" t="s">
        <v>1483</v>
      </c>
      <c r="D76" s="2">
        <v>32184</v>
      </c>
      <c r="E76" s="2">
        <v>34141</v>
      </c>
      <c r="F76" s="2">
        <v>33570</v>
      </c>
      <c r="G76" s="2" t="str" cm="1">
        <f t="array" aca="1" ref="G76" ca="1">IF(Background=36,C76,G75)</f>
        <v>山南市</v>
      </c>
    </row>
    <row r="77" spans="1:7" ht="15.75" thickBot="1" x14ac:dyDescent="0.3">
      <c r="A77" t="s">
        <v>1252</v>
      </c>
      <c r="B77" s="1" t="s">
        <v>1406</v>
      </c>
      <c r="C77" s="1" t="s">
        <v>1484</v>
      </c>
      <c r="D77" s="2">
        <v>18407</v>
      </c>
      <c r="E77" s="2">
        <v>18453</v>
      </c>
      <c r="F77" s="2">
        <v>19865</v>
      </c>
      <c r="G77" s="2" t="str" cm="1">
        <f t="array" aca="1" ref="G77" ca="1">IF(Background=36,C77,G76)</f>
        <v>山南市</v>
      </c>
    </row>
    <row r="78" spans="1:7" ht="15.75" thickBot="1" x14ac:dyDescent="0.3">
      <c r="A78" t="s">
        <v>1256</v>
      </c>
      <c r="B78" s="1" t="s">
        <v>1422</v>
      </c>
      <c r="C78" s="1" t="s">
        <v>1485</v>
      </c>
      <c r="D78" s="2">
        <v>58808</v>
      </c>
      <c r="E78" s="2">
        <v>59615</v>
      </c>
      <c r="F78" s="2">
        <v>81608</v>
      </c>
      <c r="G78" s="2" t="str" cm="1">
        <f t="array" aca="1" ref="G78" ca="1">IF(Background=36,C78,G77)</f>
        <v>山南市</v>
      </c>
    </row>
    <row r="79" spans="1:7" ht="15.75" thickBot="1" x14ac:dyDescent="0.3">
      <c r="A79" t="s">
        <v>1289</v>
      </c>
      <c r="B79" s="1" t="s">
        <v>1406</v>
      </c>
      <c r="C79" s="1" t="s">
        <v>1486</v>
      </c>
      <c r="D79" s="2">
        <v>17031</v>
      </c>
      <c r="E79" s="2">
        <v>17093</v>
      </c>
      <c r="F79" s="2">
        <v>15199</v>
      </c>
      <c r="G79" s="2" t="str" cm="1">
        <f t="array" aca="1" ref="G79" ca="1">IF(Background=36,C79,G78)</f>
        <v>山南市</v>
      </c>
    </row>
    <row r="80" spans="1:7" ht="15.75" thickBot="1" x14ac:dyDescent="0.3">
      <c r="A80" t="s">
        <v>1274</v>
      </c>
      <c r="B80" s="1" t="s">
        <v>1406</v>
      </c>
      <c r="C80" s="1" t="s">
        <v>1487</v>
      </c>
      <c r="D80" s="2">
        <v>16037</v>
      </c>
      <c r="E80" s="2">
        <v>14280</v>
      </c>
      <c r="F80" s="2">
        <v>12962</v>
      </c>
      <c r="G80" s="2" t="str" cm="1">
        <f t="array" aca="1" ref="G80" ca="1">IF(Background=36,C80,G79)</f>
        <v>山南市</v>
      </c>
    </row>
    <row r="81" spans="1:7" ht="15.75" thickBot="1" x14ac:dyDescent="0.3">
      <c r="A81" t="s">
        <v>1247</v>
      </c>
      <c r="B81" s="1" t="s">
        <v>1406</v>
      </c>
      <c r="C81" s="1" t="s">
        <v>1488</v>
      </c>
      <c r="D81" s="2">
        <v>16033</v>
      </c>
      <c r="E81" s="2">
        <v>17261</v>
      </c>
      <c r="F81" s="2">
        <v>18041</v>
      </c>
      <c r="G81" s="2" t="str" cm="1">
        <f t="array" aca="1" ref="G81" ca="1">IF(Background=36,C81,G80)</f>
        <v>山南市</v>
      </c>
    </row>
    <row r="82" spans="1:7" ht="15.75" thickBot="1" x14ac:dyDescent="0.3">
      <c r="A82" t="s">
        <v>1241</v>
      </c>
      <c r="B82" s="1" t="s">
        <v>1406</v>
      </c>
      <c r="C82" s="1" t="s">
        <v>1489</v>
      </c>
      <c r="D82" s="2">
        <v>35278</v>
      </c>
      <c r="E82" s="2">
        <v>35473</v>
      </c>
      <c r="F82" s="2">
        <v>36656</v>
      </c>
      <c r="G82" s="2" t="str" cm="1">
        <f t="array" aca="1" ref="G82" ca="1">IF(Background=36,C82,G81)</f>
        <v>山南市</v>
      </c>
    </row>
    <row r="83" spans="1:7" x14ac:dyDescent="0.25">
      <c r="A83" s="6" t="s">
        <v>1501</v>
      </c>
      <c r="B83" s="6" t="s">
        <v>1490</v>
      </c>
      <c r="C83" s="6" t="s">
        <v>1491</v>
      </c>
      <c r="D83" s="7">
        <v>2616329</v>
      </c>
      <c r="E83" s="7">
        <v>3002165</v>
      </c>
      <c r="F83" s="7">
        <v>3648100</v>
      </c>
      <c r="G83" s="11" t="str" cm="1">
        <f t="array" aca="1" ref="G83" ca="1">IF(Background=36,C83,G82)</f>
        <v>山南市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ali</vt:lpstr>
      <vt:lpstr>changdu</vt:lpstr>
      <vt:lpstr>lasa</vt:lpstr>
      <vt:lpstr>linzhi</vt:lpstr>
      <vt:lpstr>naqu</vt:lpstr>
      <vt:lpstr>rikaze</vt:lpstr>
      <vt:lpstr>shannan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2024-04-03T00:04:41Z</dcterms:created>
  <dcterms:modified xsi:type="dcterms:W3CDTF">2024-05-04T16:30:45Z</dcterms:modified>
</cp:coreProperties>
</file>