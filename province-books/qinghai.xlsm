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C41EBBE8-F711-4F26-B562-A45D875D5168}" xr6:coauthVersionLast="47" xr6:coauthVersionMax="47" xr10:uidLastSave="{00000000-0000-0000-0000-000000000000}"/>
  <bookViews>
    <workbookView xWindow="-120" yWindow="480" windowWidth="24240" windowHeight="13140" tabRatio="1000" activeTab="8" xr2:uid="{C88E6803-3EF8-41F9-9E7F-8478DB9E93E8}"/>
  </bookViews>
  <sheets>
    <sheet name="golog" sheetId="1" r:id="rId1"/>
    <sheet name="haibei" sheetId="2" r:id="rId2"/>
    <sheet name="haidong" sheetId="3" r:id="rId3"/>
    <sheet name="hainan" sheetId="4" r:id="rId4"/>
    <sheet name="haixi" sheetId="5" r:id="rId5"/>
    <sheet name="huangnan" sheetId="6" r:id="rId6"/>
    <sheet name="xining" sheetId="7" r:id="rId7"/>
    <sheet name="yushu" sheetId="8" r:id="rId8"/>
    <sheet name="main table" sheetId="10" r:id="rId9"/>
    <sheet name="cities" sheetId="11" r:id="rId10"/>
    <sheet name="json" sheetId="12" r:id="rId11"/>
    <sheet name="county-naming" sheetId="9" r:id="rId12"/>
  </sheets>
  <externalReferences>
    <externalReference r:id="rId13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0" l="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N2" i="10"/>
  <c r="O2" i="10" s="1"/>
  <c r="N3" i="10"/>
  <c r="O3" i="10" s="1"/>
  <c r="N4" i="10"/>
  <c r="O4" i="10" s="1"/>
  <c r="N5" i="10"/>
  <c r="O5" i="10" s="1"/>
  <c r="N6" i="10"/>
  <c r="O6" i="10" s="1"/>
  <c r="N7" i="10"/>
  <c r="O7" i="10" s="1"/>
  <c r="N8" i="10"/>
  <c r="O8" i="10" s="1"/>
  <c r="N9" i="10"/>
  <c r="O9" i="10" s="1"/>
  <c r="N10" i="10"/>
  <c r="O10" i="10" s="1"/>
  <c r="N11" i="10"/>
  <c r="O11" i="10" s="1"/>
  <c r="N12" i="10"/>
  <c r="O12" i="10" s="1"/>
  <c r="N13" i="10"/>
  <c r="O13" i="10" s="1"/>
  <c r="N14" i="10"/>
  <c r="O14" i="10" s="1"/>
  <c r="N15" i="10"/>
  <c r="O15" i="10" s="1"/>
  <c r="N16" i="10"/>
  <c r="O16" i="10" s="1"/>
  <c r="N17" i="10"/>
  <c r="O17" i="10" s="1"/>
  <c r="N18" i="10"/>
  <c r="O18" i="10" s="1"/>
  <c r="N19" i="10"/>
  <c r="O19" i="10" s="1"/>
  <c r="N20" i="10"/>
  <c r="O20" i="10" s="1"/>
  <c r="N21" i="10"/>
  <c r="O21" i="10" s="1"/>
  <c r="N22" i="10"/>
  <c r="O22" i="10" s="1"/>
  <c r="N23" i="10"/>
  <c r="O23" i="10" s="1"/>
  <c r="N24" i="10"/>
  <c r="O24" i="10" s="1"/>
  <c r="N25" i="10"/>
  <c r="O25" i="10" s="1"/>
  <c r="N26" i="10"/>
  <c r="O26" i="10" s="1"/>
  <c r="N27" i="10"/>
  <c r="N28" i="10"/>
  <c r="N29" i="10"/>
  <c r="O29" i="10" s="1"/>
  <c r="N30" i="10"/>
  <c r="O30" i="10" s="1"/>
  <c r="N31" i="10"/>
  <c r="O31" i="10" s="1"/>
  <c r="N32" i="10"/>
  <c r="O32" i="10" s="1"/>
  <c r="N33" i="10"/>
  <c r="O33" i="10" s="1"/>
  <c r="N34" i="10"/>
  <c r="O34" i="10" s="1"/>
  <c r="N35" i="10"/>
  <c r="O35" i="10" s="1"/>
  <c r="N36" i="10"/>
  <c r="O36" i="10" s="1"/>
  <c r="N37" i="10"/>
  <c r="O37" i="10" s="1"/>
  <c r="N38" i="10"/>
  <c r="O38" i="10" s="1"/>
  <c r="N39" i="10"/>
  <c r="O39" i="10" s="1"/>
  <c r="N40" i="10"/>
  <c r="O40" i="10" s="1"/>
  <c r="N41" i="10"/>
  <c r="O41" i="10" s="1"/>
  <c r="N42" i="10"/>
  <c r="N43" i="10"/>
  <c r="N44" i="10"/>
  <c r="O44" i="10" s="1"/>
  <c r="N45" i="10"/>
  <c r="O45" i="10" s="1"/>
  <c r="N46" i="10"/>
  <c r="O46" i="10" s="1"/>
  <c r="N47" i="10"/>
  <c r="O47" i="10" s="1"/>
  <c r="N48" i="10"/>
  <c r="O48" i="10" s="1"/>
  <c r="N49" i="10"/>
  <c r="O49" i="10" s="1"/>
  <c r="N50" i="10"/>
  <c r="O50" i="10" s="1"/>
  <c r="N51" i="10"/>
  <c r="O51" i="10" s="1"/>
  <c r="N52" i="10"/>
  <c r="O52" i="10" s="1"/>
  <c r="N53" i="10"/>
  <c r="O53" i="10" s="1"/>
  <c r="N54" i="10"/>
  <c r="O54" i="10" s="1"/>
  <c r="N55" i="10"/>
  <c r="O55" i="10" s="1"/>
  <c r="N56" i="10"/>
  <c r="O56" i="10" s="1"/>
  <c r="N57" i="10"/>
  <c r="O57" i="10" s="1"/>
  <c r="N58" i="10"/>
  <c r="O58" i="10" s="1"/>
  <c r="N59" i="10"/>
  <c r="O59" i="10" s="1"/>
  <c r="N60" i="10"/>
  <c r="O60" i="10" s="1"/>
  <c r="N61" i="10"/>
  <c r="O61" i="10" s="1"/>
  <c r="N62" i="10"/>
  <c r="O62" i="10" s="1"/>
  <c r="N63" i="10"/>
  <c r="O63" i="10" s="1"/>
  <c r="N64" i="10"/>
  <c r="O64" i="10" s="1"/>
  <c r="N65" i="10"/>
  <c r="O65" i="10" s="1"/>
  <c r="N66" i="10"/>
  <c r="O66" i="10" s="1"/>
  <c r="N67" i="10"/>
  <c r="O67" i="10" s="1"/>
  <c r="N68" i="10"/>
  <c r="O68" i="10" s="1"/>
  <c r="N69" i="10"/>
  <c r="O69" i="10" s="1"/>
  <c r="N70" i="10"/>
  <c r="O70" i="10" s="1"/>
  <c r="N71" i="10"/>
  <c r="O71" i="10" s="1"/>
  <c r="N72" i="10"/>
  <c r="O72" i="10" s="1"/>
  <c r="N73" i="10"/>
  <c r="O73" i="10" s="1"/>
  <c r="N74" i="10"/>
  <c r="O74" i="10" s="1"/>
  <c r="N75" i="10"/>
  <c r="O75" i="10" s="1"/>
  <c r="N76" i="10"/>
  <c r="O76" i="10" s="1"/>
  <c r="N77" i="10"/>
  <c r="O77" i="10" s="1"/>
  <c r="N78" i="10"/>
  <c r="O78" i="10" s="1"/>
  <c r="N79" i="10"/>
  <c r="O79" i="10" s="1"/>
  <c r="N80" i="10"/>
  <c r="O80" i="10" s="1"/>
  <c r="N81" i="10"/>
  <c r="O81" i="10" s="1"/>
  <c r="N82" i="10"/>
  <c r="O82" i="10" s="1"/>
  <c r="N83" i="10"/>
  <c r="O83" i="10" s="1"/>
  <c r="N84" i="10"/>
  <c r="O84" i="10" s="1"/>
  <c r="N85" i="10"/>
  <c r="O85" i="10" s="1"/>
  <c r="N86" i="10"/>
  <c r="O86" i="10" s="1"/>
  <c r="N87" i="10"/>
  <c r="O87" i="10" s="1"/>
  <c r="N88" i="10"/>
  <c r="O88" i="10" s="1"/>
  <c r="N89" i="10"/>
  <c r="O89" i="10" s="1"/>
  <c r="N90" i="10"/>
  <c r="O90" i="10" s="1"/>
  <c r="N91" i="10"/>
  <c r="O91" i="10" s="1"/>
  <c r="N92" i="10"/>
  <c r="O92" i="10" s="1"/>
  <c r="N93" i="10"/>
  <c r="O93" i="10" s="1"/>
  <c r="N94" i="10"/>
  <c r="O94" i="10" s="1"/>
  <c r="N95" i="10"/>
  <c r="O95" i="10" s="1"/>
  <c r="N96" i="10"/>
  <c r="O96" i="10" s="1"/>
  <c r="N97" i="10"/>
  <c r="O97" i="10" s="1"/>
  <c r="N98" i="10"/>
  <c r="O98" i="10" s="1"/>
  <c r="N99" i="10"/>
  <c r="O99" i="10" s="1"/>
  <c r="N100" i="10"/>
  <c r="O100" i="10" s="1"/>
  <c r="N101" i="10"/>
  <c r="O101" i="10" s="1"/>
  <c r="N102" i="10"/>
  <c r="O102" i="10" s="1"/>
  <c r="N103" i="10"/>
  <c r="O103" i="10" s="1"/>
  <c r="N104" i="10"/>
  <c r="O104" i="10" s="1"/>
  <c r="N105" i="10"/>
  <c r="O105" i="10" s="1"/>
  <c r="N106" i="10"/>
  <c r="O106" i="10" s="1"/>
  <c r="N107" i="10"/>
  <c r="O107" i="10" s="1"/>
  <c r="N108" i="10"/>
  <c r="O108" i="10" s="1"/>
  <c r="N109" i="10"/>
  <c r="O109" i="10" s="1"/>
  <c r="N110" i="10"/>
  <c r="O110" i="10" s="1"/>
  <c r="N111" i="10"/>
  <c r="O111" i="10" s="1"/>
  <c r="N112" i="10"/>
  <c r="O112" i="10" s="1"/>
  <c r="N113" i="10"/>
  <c r="O113" i="10" s="1"/>
  <c r="N114" i="10"/>
  <c r="O114" i="10" s="1"/>
  <c r="N115" i="10"/>
  <c r="O115" i="10" s="1"/>
  <c r="N116" i="10"/>
  <c r="O116" i="10" s="1"/>
  <c r="N117" i="10"/>
  <c r="O117" i="10" s="1"/>
  <c r="N118" i="10"/>
  <c r="O118" i="10" s="1"/>
  <c r="N119" i="10"/>
  <c r="O119" i="10" s="1"/>
  <c r="N120" i="10"/>
  <c r="O120" i="10" s="1"/>
  <c r="N121" i="10"/>
  <c r="O121" i="10" s="1"/>
  <c r="N122" i="10"/>
  <c r="O122" i="10" s="1"/>
  <c r="N123" i="10"/>
  <c r="O123" i="10" s="1"/>
  <c r="N124" i="10"/>
  <c r="O124" i="10" s="1"/>
  <c r="N125" i="10"/>
  <c r="O125" i="10" s="1"/>
  <c r="N126" i="10"/>
  <c r="O126" i="10" s="1"/>
  <c r="N127" i="10"/>
  <c r="O127" i="10" s="1"/>
  <c r="N128" i="10"/>
  <c r="O128" i="10" s="1"/>
  <c r="N129" i="10"/>
  <c r="O129" i="10" s="1"/>
  <c r="N130" i="10"/>
  <c r="O130" i="10" s="1"/>
  <c r="N131" i="10"/>
  <c r="N132" i="10"/>
  <c r="N133" i="10"/>
  <c r="O133" i="10" s="1"/>
  <c r="N134" i="10"/>
  <c r="O134" i="10" s="1"/>
  <c r="N135" i="10"/>
  <c r="O135" i="10" s="1"/>
  <c r="N136" i="10"/>
  <c r="O136" i="10" s="1"/>
  <c r="N137" i="10"/>
  <c r="O137" i="10" s="1"/>
  <c r="N138" i="10"/>
  <c r="O138" i="10" s="1"/>
  <c r="N139" i="10"/>
  <c r="O139" i="10" s="1"/>
  <c r="N140" i="10"/>
  <c r="O140" i="10" s="1"/>
  <c r="N141" i="10"/>
  <c r="O141" i="10" s="1"/>
  <c r="N142" i="10"/>
  <c r="O142" i="10" s="1"/>
  <c r="N143" i="10"/>
  <c r="O143" i="10" s="1"/>
  <c r="N144" i="10"/>
  <c r="O144" i="10" s="1"/>
  <c r="N145" i="10"/>
  <c r="O145" i="10" s="1"/>
  <c r="N146" i="10"/>
  <c r="O146" i="10" s="1"/>
  <c r="N147" i="10"/>
  <c r="O147" i="10" s="1"/>
  <c r="N148" i="10"/>
  <c r="N149" i="10"/>
  <c r="N150" i="10"/>
  <c r="O150" i="10" s="1"/>
  <c r="N151" i="10"/>
  <c r="O151" i="10" s="1"/>
  <c r="N152" i="10"/>
  <c r="O152" i="10" s="1"/>
  <c r="N153" i="10"/>
  <c r="O153" i="10" s="1"/>
  <c r="N154" i="10"/>
  <c r="O154" i="10" s="1"/>
  <c r="N155" i="10"/>
  <c r="O155" i="10" s="1"/>
  <c r="N156" i="10"/>
  <c r="O156" i="10" s="1"/>
  <c r="N157" i="10"/>
  <c r="O157" i="10" s="1"/>
  <c r="N158" i="10"/>
  <c r="O158" i="10" s="1"/>
  <c r="N159" i="10"/>
  <c r="O159" i="10" s="1"/>
  <c r="N160" i="10"/>
  <c r="O160" i="10" s="1"/>
  <c r="N161" i="10"/>
  <c r="O161" i="10" s="1"/>
  <c r="N162" i="10"/>
  <c r="O162" i="10" s="1"/>
  <c r="N163" i="10"/>
  <c r="O163" i="10" s="1"/>
  <c r="N164" i="10"/>
  <c r="O164" i="10" s="1"/>
  <c r="N165" i="10"/>
  <c r="O165" i="10" s="1"/>
  <c r="N166" i="10"/>
  <c r="O166" i="10" s="1"/>
  <c r="N167" i="10"/>
  <c r="O167" i="10" s="1"/>
  <c r="N168" i="10"/>
  <c r="O168" i="10" s="1"/>
  <c r="N169" i="10"/>
  <c r="O169" i="10" s="1"/>
  <c r="N170" i="10"/>
  <c r="O170" i="10" s="1"/>
  <c r="N171" i="10"/>
  <c r="O171" i="10" s="1"/>
  <c r="N172" i="10"/>
  <c r="O172" i="10" s="1"/>
  <c r="N173" i="10"/>
  <c r="O173" i="10" s="1"/>
  <c r="N174" i="10"/>
  <c r="O174" i="10" s="1"/>
  <c r="N175" i="10"/>
  <c r="O175" i="10" s="1"/>
  <c r="N176" i="10"/>
  <c r="O176" i="10" s="1"/>
  <c r="N177" i="10"/>
  <c r="O177" i="10" s="1"/>
  <c r="N178" i="10"/>
  <c r="O178" i="10" s="1"/>
  <c r="N179" i="10"/>
  <c r="O179" i="10" s="1"/>
  <c r="N180" i="10"/>
  <c r="O180" i="10" s="1"/>
  <c r="N181" i="10"/>
  <c r="O181" i="10" s="1"/>
  <c r="N182" i="10"/>
  <c r="O182" i="10" s="1"/>
  <c r="N183" i="10"/>
  <c r="O183" i="10" s="1"/>
  <c r="N184" i="10"/>
  <c r="O184" i="10" s="1"/>
  <c r="N185" i="10"/>
  <c r="O185" i="10" s="1"/>
  <c r="N186" i="10"/>
  <c r="O186" i="10" s="1"/>
  <c r="N187" i="10"/>
  <c r="O187" i="10" s="1"/>
  <c r="N188" i="10"/>
  <c r="O188" i="10" s="1"/>
  <c r="N189" i="10"/>
  <c r="O189" i="10" s="1"/>
  <c r="N190" i="10"/>
  <c r="O190" i="10" s="1"/>
  <c r="N191" i="10"/>
  <c r="O191" i="10" s="1"/>
  <c r="N192" i="10"/>
  <c r="O192" i="10" s="1"/>
  <c r="N193" i="10"/>
  <c r="O193" i="10" s="1"/>
  <c r="N194" i="10"/>
  <c r="O194" i="10" s="1"/>
  <c r="N195" i="10"/>
  <c r="O195" i="10" s="1"/>
  <c r="N196" i="10"/>
  <c r="O196" i="10" s="1"/>
  <c r="N197" i="10"/>
  <c r="O197" i="10" s="1"/>
  <c r="N198" i="10"/>
  <c r="O198" i="10" s="1"/>
  <c r="N199" i="10"/>
  <c r="O199" i="10" s="1"/>
  <c r="N200" i="10"/>
  <c r="O200" i="10" s="1"/>
  <c r="N201" i="10"/>
  <c r="O201" i="10" s="1"/>
  <c r="N202" i="10"/>
  <c r="O202" i="10" s="1"/>
  <c r="N203" i="10"/>
  <c r="O203" i="10" s="1"/>
  <c r="N204" i="10"/>
  <c r="O204" i="10" s="1"/>
  <c r="N205" i="10"/>
  <c r="O205" i="10" s="1"/>
  <c r="N206" i="10"/>
  <c r="O206" i="10" s="1"/>
  <c r="N207" i="10"/>
  <c r="O207" i="10" s="1"/>
  <c r="N208" i="10"/>
  <c r="O208" i="10" s="1"/>
  <c r="N209" i="10"/>
  <c r="O209" i="10" s="1"/>
  <c r="N210" i="10"/>
  <c r="O210" i="10" s="1"/>
  <c r="N211" i="10"/>
  <c r="O211" i="10" s="1"/>
  <c r="N212" i="10"/>
  <c r="O212" i="10" s="1"/>
  <c r="N213" i="10"/>
  <c r="O213" i="10" s="1"/>
  <c r="N214" i="10"/>
  <c r="O214" i="10" s="1"/>
  <c r="N215" i="10"/>
  <c r="O215" i="10" s="1"/>
  <c r="N216" i="10"/>
  <c r="O216" i="10" s="1"/>
  <c r="N217" i="10"/>
  <c r="O217" i="10" s="1"/>
  <c r="N218" i="10"/>
  <c r="O218" i="10" s="1"/>
  <c r="N219" i="10"/>
  <c r="O219" i="10" s="1"/>
  <c r="N220" i="10"/>
  <c r="O220" i="10" s="1"/>
  <c r="N221" i="10"/>
  <c r="O221" i="10" s="1"/>
  <c r="N222" i="10"/>
  <c r="O222" i="10" s="1"/>
  <c r="N223" i="10"/>
  <c r="O223" i="10" s="1"/>
  <c r="N224" i="10"/>
  <c r="O224" i="10" s="1"/>
  <c r="N225" i="10"/>
  <c r="O225" i="10" s="1"/>
  <c r="N226" i="10"/>
  <c r="O226" i="10" s="1"/>
  <c r="N227" i="10"/>
  <c r="O227" i="10" s="1"/>
  <c r="N228" i="10"/>
  <c r="O228" i="10" s="1"/>
  <c r="N229" i="10"/>
  <c r="O229" i="10" s="1"/>
  <c r="N230" i="10"/>
  <c r="O230" i="10" s="1"/>
  <c r="N231" i="10"/>
  <c r="O231" i="10" s="1"/>
  <c r="N232" i="10"/>
  <c r="O232" i="10" s="1"/>
  <c r="N233" i="10"/>
  <c r="O233" i="10" s="1"/>
  <c r="N234" i="10"/>
  <c r="O234" i="10" s="1"/>
  <c r="N235" i="10"/>
  <c r="O235" i="10" s="1"/>
  <c r="N236" i="10"/>
  <c r="O236" i="10" s="1"/>
  <c r="N237" i="10"/>
  <c r="O237" i="10" s="1"/>
  <c r="N238" i="10"/>
  <c r="O238" i="10" s="1"/>
  <c r="N239" i="10"/>
  <c r="O239" i="10" s="1"/>
  <c r="N240" i="10"/>
  <c r="O240" i="10" s="1"/>
  <c r="N241" i="10"/>
  <c r="O241" i="10" s="1"/>
  <c r="N242" i="10"/>
  <c r="O242" i="10" s="1"/>
  <c r="N243" i="10"/>
  <c r="O243" i="10" s="1"/>
  <c r="N244" i="10"/>
  <c r="O244" i="10" s="1"/>
  <c r="N245" i="10"/>
  <c r="O245" i="10" s="1"/>
  <c r="N246" i="10"/>
  <c r="O246" i="10" s="1"/>
  <c r="N247" i="10"/>
  <c r="O247" i="10" s="1"/>
  <c r="N248" i="10"/>
  <c r="O248" i="10" s="1"/>
  <c r="N249" i="10"/>
  <c r="O249" i="10" s="1"/>
  <c r="N250" i="10"/>
  <c r="O250" i="10" s="1"/>
  <c r="N251" i="10"/>
  <c r="O251" i="10" s="1"/>
  <c r="N252" i="10"/>
  <c r="O252" i="10" s="1"/>
  <c r="N253" i="10"/>
  <c r="O253" i="10" s="1"/>
  <c r="N254" i="10"/>
  <c r="O254" i="10" s="1"/>
  <c r="N255" i="10"/>
  <c r="O255" i="10" s="1"/>
  <c r="N256" i="10"/>
  <c r="O256" i="10" s="1"/>
  <c r="N257" i="10"/>
  <c r="O257" i="10" s="1"/>
  <c r="N258" i="10"/>
  <c r="O258" i="10" s="1"/>
  <c r="N259" i="10"/>
  <c r="O259" i="10" s="1"/>
  <c r="N260" i="10"/>
  <c r="O260" i="10" s="1"/>
  <c r="N261" i="10"/>
  <c r="O261" i="10" s="1"/>
  <c r="N262" i="10"/>
  <c r="O262" i="10" s="1"/>
  <c r="N263" i="10"/>
  <c r="O263" i="10" s="1"/>
  <c r="N264" i="10"/>
  <c r="O264" i="10" s="1"/>
  <c r="N265" i="10"/>
  <c r="O265" i="10" s="1"/>
  <c r="N266" i="10"/>
  <c r="O266" i="10" s="1"/>
  <c r="N267" i="10"/>
  <c r="O267" i="10" s="1"/>
  <c r="N268" i="10"/>
  <c r="O268" i="10" s="1"/>
  <c r="N269" i="10"/>
  <c r="O269" i="10" s="1"/>
  <c r="N270" i="10"/>
  <c r="O270" i="10" s="1"/>
  <c r="N271" i="10"/>
  <c r="O271" i="10" s="1"/>
  <c r="N272" i="10"/>
  <c r="O272" i="10" s="1"/>
  <c r="N273" i="10"/>
  <c r="O273" i="10" s="1"/>
  <c r="N274" i="10"/>
  <c r="O274" i="10" s="1"/>
  <c r="N275" i="10"/>
  <c r="O275" i="10" s="1"/>
  <c r="N276" i="10"/>
  <c r="O276" i="10" s="1"/>
  <c r="N277" i="10"/>
  <c r="O277" i="10" s="1"/>
  <c r="N278" i="10"/>
  <c r="O278" i="10" s="1"/>
  <c r="N279" i="10"/>
  <c r="O279" i="10" s="1"/>
  <c r="N280" i="10"/>
  <c r="O280" i="10" s="1"/>
  <c r="N281" i="10"/>
  <c r="O281" i="10" s="1"/>
  <c r="N282" i="10"/>
  <c r="O282" i="10" s="1"/>
  <c r="N283" i="10"/>
  <c r="O283" i="10" s="1"/>
  <c r="N284" i="10"/>
  <c r="O284" i="10" s="1"/>
  <c r="N285" i="10"/>
  <c r="O285" i="10" s="1"/>
  <c r="N286" i="10"/>
  <c r="O286" i="10" s="1"/>
  <c r="N287" i="10"/>
  <c r="O287" i="10" s="1"/>
  <c r="N288" i="10"/>
  <c r="O288" i="10" s="1"/>
  <c r="N289" i="10"/>
  <c r="O289" i="10" s="1"/>
  <c r="N290" i="10"/>
  <c r="O290" i="10" s="1"/>
  <c r="N291" i="10"/>
  <c r="O291" i="10" s="1"/>
  <c r="N292" i="10"/>
  <c r="O292" i="10" s="1"/>
  <c r="N293" i="10"/>
  <c r="O293" i="10" s="1"/>
  <c r="N294" i="10"/>
  <c r="O294" i="10" s="1"/>
  <c r="N295" i="10"/>
  <c r="O295" i="10" s="1"/>
  <c r="N296" i="10"/>
  <c r="O296" i="10" s="1"/>
  <c r="N297" i="10"/>
  <c r="O297" i="10" s="1"/>
  <c r="N298" i="10"/>
  <c r="O298" i="10" s="1"/>
  <c r="N299" i="10"/>
  <c r="O299" i="10" s="1"/>
  <c r="N300" i="10"/>
  <c r="O300" i="10" s="1"/>
  <c r="N301" i="10"/>
  <c r="O301" i="10" s="1"/>
  <c r="N302" i="10"/>
  <c r="O302" i="10" s="1"/>
  <c r="N303" i="10"/>
  <c r="O303" i="10" s="1"/>
  <c r="N304" i="10"/>
  <c r="O304" i="10" s="1"/>
  <c r="N305" i="10"/>
  <c r="O305" i="10" s="1"/>
  <c r="N306" i="10"/>
  <c r="O306" i="10" s="1"/>
  <c r="N307" i="10"/>
  <c r="O307" i="10" s="1"/>
  <c r="N308" i="10"/>
  <c r="O308" i="10" s="1"/>
  <c r="N309" i="10"/>
  <c r="O309" i="10" s="1"/>
  <c r="N310" i="10"/>
  <c r="O310" i="10" s="1"/>
  <c r="N311" i="10"/>
  <c r="O311" i="10" s="1"/>
  <c r="N312" i="10"/>
  <c r="O312" i="10" s="1"/>
  <c r="N313" i="10"/>
  <c r="O313" i="10" s="1"/>
  <c r="N314" i="10"/>
  <c r="O314" i="10" s="1"/>
  <c r="N315" i="10"/>
  <c r="O315" i="10" s="1"/>
  <c r="N316" i="10"/>
  <c r="O316" i="10" s="1"/>
  <c r="N317" i="10"/>
  <c r="O317" i="10" s="1"/>
  <c r="N318" i="10"/>
  <c r="O318" i="10" s="1"/>
  <c r="N319" i="10"/>
  <c r="O319" i="10" s="1"/>
  <c r="N320" i="10"/>
  <c r="O320" i="10" s="1"/>
  <c r="N321" i="10"/>
  <c r="O321" i="10" s="1"/>
  <c r="N322" i="10"/>
  <c r="O322" i="10" s="1"/>
  <c r="N323" i="10"/>
  <c r="O323" i="10" s="1"/>
  <c r="N324" i="10"/>
  <c r="O324" i="10" s="1"/>
  <c r="N325" i="10"/>
  <c r="O325" i="10" s="1"/>
  <c r="N326" i="10"/>
  <c r="O326" i="10" s="1"/>
  <c r="N327" i="10"/>
  <c r="O327" i="10" s="1"/>
  <c r="N328" i="10"/>
  <c r="O328" i="10" s="1"/>
  <c r="N329" i="10"/>
  <c r="O329" i="10" s="1"/>
  <c r="N330" i="10"/>
  <c r="O330" i="10" s="1"/>
  <c r="N331" i="10"/>
  <c r="O331" i="10" s="1"/>
  <c r="N332" i="10"/>
  <c r="O332" i="10" s="1"/>
  <c r="N333" i="10"/>
  <c r="O333" i="10" s="1"/>
  <c r="N334" i="10"/>
  <c r="O334" i="10" s="1"/>
  <c r="N335" i="10"/>
  <c r="O335" i="10" s="1"/>
  <c r="N336" i="10"/>
  <c r="O336" i="10" s="1"/>
  <c r="N337" i="10"/>
  <c r="O337" i="10" s="1"/>
  <c r="N338" i="10"/>
  <c r="O338" i="10" s="1"/>
  <c r="N339" i="10"/>
  <c r="O339" i="10" s="1"/>
  <c r="N340" i="10"/>
  <c r="O340" i="10" s="1"/>
  <c r="N341" i="10"/>
  <c r="O341" i="10" s="1"/>
  <c r="N342" i="10"/>
  <c r="O342" i="10" s="1"/>
  <c r="N343" i="10"/>
  <c r="O343" i="10" s="1"/>
  <c r="N344" i="10"/>
  <c r="O344" i="10" s="1"/>
  <c r="N345" i="10"/>
  <c r="O345" i="10" s="1"/>
  <c r="N346" i="10"/>
  <c r="O346" i="10" s="1"/>
  <c r="N347" i="10"/>
  <c r="O347" i="10" s="1"/>
  <c r="N348" i="10"/>
  <c r="O348" i="10" s="1"/>
  <c r="N349" i="10"/>
  <c r="O349" i="10" s="1"/>
  <c r="N350" i="10"/>
  <c r="O350" i="10" s="1"/>
  <c r="N351" i="10"/>
  <c r="O351" i="10" s="1"/>
  <c r="N352" i="10"/>
  <c r="O352" i="10" s="1"/>
  <c r="N353" i="10"/>
  <c r="O353" i="10" s="1"/>
  <c r="N354" i="10"/>
  <c r="O354" i="10" s="1"/>
  <c r="N355" i="10"/>
  <c r="O355" i="10" s="1"/>
  <c r="N356" i="10"/>
  <c r="O356" i="10" s="1"/>
  <c r="N357" i="10"/>
  <c r="O357" i="10" s="1"/>
  <c r="N358" i="10"/>
  <c r="O358" i="10" s="1"/>
  <c r="N359" i="10"/>
  <c r="O359" i="10" s="1"/>
  <c r="N360" i="10"/>
  <c r="O360" i="10" s="1"/>
  <c r="N361" i="10"/>
  <c r="O361" i="10" s="1"/>
  <c r="N362" i="10"/>
  <c r="O362" i="10" s="1"/>
  <c r="N363" i="10"/>
  <c r="O363" i="10" s="1"/>
  <c r="N364" i="10"/>
  <c r="O364" i="10" s="1"/>
  <c r="N365" i="10"/>
  <c r="O365" i="10" s="1"/>
  <c r="N366" i="10"/>
  <c r="O366" i="10" s="1"/>
  <c r="N367" i="10"/>
  <c r="O367" i="10" s="1"/>
  <c r="N368" i="10"/>
  <c r="O368" i="10" s="1"/>
  <c r="N369" i="10"/>
  <c r="O369" i="10" s="1"/>
  <c r="N370" i="10"/>
  <c r="O370" i="10" s="1"/>
  <c r="N371" i="10"/>
  <c r="O371" i="10" s="1"/>
  <c r="N372" i="10"/>
  <c r="O372" i="10" s="1"/>
  <c r="N373" i="10"/>
  <c r="O373" i="10" s="1"/>
  <c r="N374" i="10"/>
  <c r="O374" i="10" s="1"/>
  <c r="N375" i="10"/>
  <c r="O375" i="10" s="1"/>
  <c r="N376" i="10"/>
  <c r="O376" i="10" s="1"/>
  <c r="N377" i="10"/>
  <c r="O377" i="10" s="1"/>
  <c r="N378" i="10"/>
  <c r="O378" i="10" s="1"/>
  <c r="N379" i="10"/>
  <c r="O379" i="10" s="1"/>
  <c r="N380" i="10"/>
  <c r="O380" i="10" s="1"/>
  <c r="N381" i="10"/>
  <c r="O381" i="10" s="1"/>
  <c r="N382" i="10"/>
  <c r="O382" i="10" s="1"/>
  <c r="N383" i="10"/>
  <c r="O383" i="10" s="1"/>
  <c r="N384" i="10"/>
  <c r="O384" i="10" s="1"/>
  <c r="N385" i="10"/>
  <c r="O385" i="10" s="1"/>
  <c r="N386" i="10"/>
  <c r="O386" i="10" s="1"/>
  <c r="N387" i="10"/>
  <c r="O387" i="10" s="1"/>
  <c r="N388" i="10"/>
  <c r="O388" i="10" s="1"/>
  <c r="N389" i="10"/>
  <c r="O389" i="10" s="1"/>
  <c r="N390" i="10"/>
  <c r="O390" i="10" s="1"/>
  <c r="N391" i="10"/>
  <c r="O391" i="10" s="1"/>
  <c r="N392" i="10"/>
  <c r="O392" i="10" s="1"/>
  <c r="N393" i="10"/>
  <c r="O393" i="10" s="1"/>
  <c r="N394" i="10"/>
  <c r="O394" i="10" s="1"/>
  <c r="N395" i="10"/>
  <c r="O395" i="10" s="1"/>
  <c r="N396" i="10"/>
  <c r="O396" i="10" s="1"/>
  <c r="N397" i="10"/>
  <c r="O397" i="10" s="1"/>
  <c r="N398" i="10"/>
  <c r="O398" i="10" s="1"/>
  <c r="N399" i="10"/>
  <c r="O399" i="10" s="1"/>
  <c r="N400" i="10"/>
  <c r="O400" i="10" s="1"/>
  <c r="N401" i="10"/>
  <c r="O401" i="10" s="1"/>
  <c r="N402" i="10"/>
  <c r="O402" i="10" s="1"/>
  <c r="N403" i="10"/>
  <c r="O403" i="10" s="1"/>
  <c r="N404" i="10"/>
  <c r="O404" i="10" s="1"/>
  <c r="N405" i="10"/>
  <c r="O405" i="10" s="1"/>
  <c r="N406" i="10"/>
  <c r="O406" i="10" s="1"/>
  <c r="N407" i="10"/>
  <c r="O407" i="10" s="1"/>
  <c r="N408" i="10"/>
  <c r="O408" i="10" s="1"/>
  <c r="N409" i="10"/>
  <c r="O409" i="10" s="1"/>
  <c r="N410" i="10"/>
  <c r="O410" i="10" s="1"/>
  <c r="N411" i="10"/>
  <c r="O411" i="10" s="1"/>
  <c r="N412" i="10"/>
  <c r="O412" i="10" s="1"/>
  <c r="N413" i="10"/>
  <c r="O413" i="10" s="1"/>
  <c r="N414" i="10"/>
  <c r="O414" i="10" s="1"/>
  <c r="M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D2" i="11"/>
  <c r="D3" i="11"/>
  <c r="D4" i="11"/>
  <c r="D5" i="11"/>
  <c r="D6" i="11"/>
  <c r="E2" i="11"/>
  <c r="E3" i="11"/>
  <c r="E4" i="11"/>
  <c r="E5" i="11"/>
  <c r="E6" i="11"/>
  <c r="B3" i="11"/>
  <c r="B2" i="11"/>
  <c r="B4" i="11"/>
  <c r="B5" i="11"/>
  <c r="B6" i="11"/>
  <c r="F13" i="10"/>
  <c r="F53" i="10"/>
  <c r="F55" i="10"/>
  <c r="F60" i="10"/>
  <c r="F61" i="10"/>
  <c r="F64" i="10"/>
  <c r="F66" i="10"/>
  <c r="F72" i="10"/>
  <c r="F78" i="10"/>
  <c r="F92" i="10"/>
  <c r="F141" i="10"/>
  <c r="F145" i="10"/>
  <c r="F155" i="10"/>
  <c r="F156" i="10"/>
  <c r="F158" i="10"/>
  <c r="F165" i="10"/>
  <c r="F167" i="10"/>
  <c r="F181" i="10"/>
  <c r="F186" i="10"/>
  <c r="F209" i="10"/>
  <c r="F215" i="10"/>
  <c r="F222" i="10"/>
  <c r="F226" i="10"/>
  <c r="F229" i="10"/>
  <c r="F259" i="10"/>
  <c r="F274" i="10"/>
  <c r="F275" i="10"/>
  <c r="F284" i="10"/>
  <c r="F285" i="10"/>
  <c r="F307" i="10"/>
  <c r="F318" i="10"/>
  <c r="F324" i="10"/>
  <c r="F326" i="10"/>
  <c r="F330" i="10"/>
  <c r="F334" i="10"/>
  <c r="F335" i="10"/>
  <c r="F336" i="10"/>
  <c r="F349" i="10"/>
  <c r="F371" i="10"/>
  <c r="F374" i="10"/>
  <c r="F384" i="10"/>
  <c r="F392" i="10"/>
  <c r="F400" i="10"/>
  <c r="F399" i="10"/>
  <c r="F8" i="10"/>
  <c r="F10" i="10"/>
  <c r="F27" i="10"/>
  <c r="F68" i="10"/>
  <c r="F83" i="10"/>
  <c r="F95" i="10"/>
  <c r="F114" i="10"/>
  <c r="F118" i="10"/>
  <c r="F120" i="10"/>
  <c r="F140" i="10"/>
  <c r="F163" i="10"/>
  <c r="F171" i="10"/>
  <c r="F217" i="10"/>
  <c r="F227" i="10"/>
  <c r="F228" i="10"/>
  <c r="F230" i="10"/>
  <c r="F252" i="10"/>
  <c r="F253" i="10"/>
  <c r="F256" i="10"/>
  <c r="F262" i="10"/>
  <c r="F263" i="10"/>
  <c r="F277" i="10"/>
  <c r="F278" i="10"/>
  <c r="F283" i="10"/>
  <c r="F304" i="10"/>
  <c r="F343" i="10"/>
  <c r="F357" i="10"/>
  <c r="F367" i="10"/>
  <c r="F376" i="10"/>
  <c r="F379" i="10"/>
  <c r="F380" i="10"/>
  <c r="F382" i="10"/>
  <c r="F394" i="10"/>
  <c r="F410" i="10"/>
  <c r="F6" i="10"/>
  <c r="F9" i="10"/>
  <c r="F15" i="10"/>
  <c r="F22" i="10"/>
  <c r="F24" i="10"/>
  <c r="F25" i="10"/>
  <c r="F26" i="10"/>
  <c r="F28" i="10"/>
  <c r="F30" i="10"/>
  <c r="F34" i="10"/>
  <c r="F35" i="10"/>
  <c r="F44" i="10"/>
  <c r="F46" i="10"/>
  <c r="F47" i="10"/>
  <c r="F54" i="10"/>
  <c r="F57" i="10"/>
  <c r="F59" i="10"/>
  <c r="F63" i="10"/>
  <c r="F65" i="10"/>
  <c r="F69" i="10"/>
  <c r="F71" i="10"/>
  <c r="F73" i="10"/>
  <c r="F84" i="10"/>
  <c r="F85" i="10"/>
  <c r="F89" i="10"/>
  <c r="F90" i="10"/>
  <c r="F91" i="10"/>
  <c r="F93" i="10"/>
  <c r="F96" i="10"/>
  <c r="F97" i="10"/>
  <c r="F98" i="10"/>
  <c r="F102" i="10"/>
  <c r="F103" i="10"/>
  <c r="F106" i="10"/>
  <c r="F108" i="10"/>
  <c r="F113" i="10"/>
  <c r="F117" i="10"/>
  <c r="F130" i="10"/>
  <c r="F136" i="10"/>
  <c r="F135" i="10"/>
  <c r="F137" i="10"/>
  <c r="F151" i="10"/>
  <c r="F164" i="10"/>
  <c r="F172" i="10"/>
  <c r="F174" i="10"/>
  <c r="F176" i="10"/>
  <c r="F193" i="10"/>
  <c r="F196" i="10"/>
  <c r="F194" i="10"/>
  <c r="F197" i="10"/>
  <c r="F206" i="10"/>
  <c r="F207" i="10"/>
  <c r="F210" i="10"/>
  <c r="F211" i="10"/>
  <c r="F221" i="10"/>
  <c r="F224" i="10"/>
  <c r="F225" i="10"/>
  <c r="F235" i="10"/>
  <c r="F238" i="10"/>
  <c r="F246" i="10"/>
  <c r="F247" i="10"/>
  <c r="F249" i="10"/>
  <c r="F257" i="10"/>
  <c r="F267" i="10"/>
  <c r="F276" i="10"/>
  <c r="F280" i="10"/>
  <c r="F282" i="10"/>
  <c r="F294" i="10"/>
  <c r="F295" i="10"/>
  <c r="F298" i="10"/>
  <c r="F302" i="10"/>
  <c r="F303" i="10"/>
  <c r="F310" i="10"/>
  <c r="F311" i="10"/>
  <c r="F312" i="10"/>
  <c r="F327" i="10"/>
  <c r="F328" i="10"/>
  <c r="F331" i="10"/>
  <c r="F332" i="10"/>
  <c r="F338" i="10"/>
  <c r="F346" i="10"/>
  <c r="F348" i="10"/>
  <c r="F353" i="10"/>
  <c r="F355" i="10"/>
  <c r="F359" i="10"/>
  <c r="F362" i="10"/>
  <c r="F365" i="10"/>
  <c r="F366" i="10"/>
  <c r="F377" i="10"/>
  <c r="F387" i="10"/>
  <c r="F389" i="10"/>
  <c r="F402" i="10"/>
  <c r="F403" i="10"/>
  <c r="F405" i="10"/>
  <c r="F409" i="10"/>
  <c r="F412" i="10"/>
  <c r="F7" i="10"/>
  <c r="F12" i="10"/>
  <c r="F16" i="10"/>
  <c r="F39" i="10"/>
  <c r="F58" i="10"/>
  <c r="F86" i="10"/>
  <c r="F99" i="10"/>
  <c r="F110" i="10"/>
  <c r="F112" i="10"/>
  <c r="F122" i="10"/>
  <c r="F124" i="10"/>
  <c r="F125" i="10"/>
  <c r="F126" i="10"/>
  <c r="F127" i="10"/>
  <c r="F133" i="10"/>
  <c r="F134" i="10"/>
  <c r="F147" i="10"/>
  <c r="F157" i="10"/>
  <c r="F189" i="10"/>
  <c r="F204" i="10"/>
  <c r="F205" i="10"/>
  <c r="F218" i="10"/>
  <c r="F219" i="10"/>
  <c r="F239" i="10"/>
  <c r="F248" i="10"/>
  <c r="F251" i="10"/>
  <c r="F268" i="10"/>
  <c r="F279" i="10"/>
  <c r="F281" i="10"/>
  <c r="F289" i="10"/>
  <c r="F290" i="10"/>
  <c r="F296" i="10"/>
  <c r="F313" i="10"/>
  <c r="F314" i="10"/>
  <c r="F316" i="10"/>
  <c r="F317" i="10"/>
  <c r="F320" i="10"/>
  <c r="F321" i="10"/>
  <c r="F329" i="10"/>
  <c r="F361" i="10"/>
  <c r="F369" i="10"/>
  <c r="F406" i="10"/>
  <c r="F411" i="10"/>
  <c r="F17" i="10"/>
  <c r="F33" i="10"/>
  <c r="F36" i="10"/>
  <c r="F37" i="10"/>
  <c r="F38" i="10"/>
  <c r="F51" i="10"/>
  <c r="F88" i="10"/>
  <c r="F101" i="10"/>
  <c r="F105" i="10"/>
  <c r="F111" i="10"/>
  <c r="F115" i="10"/>
  <c r="F123" i="10"/>
  <c r="F131" i="10"/>
  <c r="F132" i="10"/>
  <c r="F138" i="10"/>
  <c r="F142" i="10"/>
  <c r="F146" i="10"/>
  <c r="F148" i="10"/>
  <c r="F154" i="10"/>
  <c r="F168" i="10"/>
  <c r="F179" i="10"/>
  <c r="F180" i="10"/>
  <c r="F183" i="10"/>
  <c r="F184" i="10"/>
  <c r="F191" i="10"/>
  <c r="F202" i="10"/>
  <c r="F220" i="10"/>
  <c r="F232" i="10"/>
  <c r="F270" i="10"/>
  <c r="F291" i="10"/>
  <c r="F305" i="10"/>
  <c r="F315" i="10"/>
  <c r="F322" i="10"/>
  <c r="F333" i="10"/>
  <c r="F341" i="10"/>
  <c r="F342" i="10"/>
  <c r="F347" i="10"/>
  <c r="F358" i="10"/>
  <c r="F363" i="10"/>
  <c r="F368" i="10"/>
  <c r="F370" i="10"/>
  <c r="F372" i="10"/>
  <c r="F375" i="10"/>
  <c r="F398" i="10"/>
  <c r="F408" i="10"/>
  <c r="F413" i="10"/>
  <c r="F4" i="10"/>
  <c r="F18" i="10"/>
  <c r="F48" i="10"/>
  <c r="F56" i="10"/>
  <c r="F79" i="10"/>
  <c r="F81" i="10"/>
  <c r="F82" i="10"/>
  <c r="F107" i="10"/>
  <c r="F129" i="10"/>
  <c r="F144" i="10"/>
  <c r="F153" i="10"/>
  <c r="F159" i="10"/>
  <c r="F160" i="10"/>
  <c r="F177" i="10"/>
  <c r="F178" i="10"/>
  <c r="F182" i="10"/>
  <c r="F187" i="10"/>
  <c r="F203" i="10"/>
  <c r="F214" i="10"/>
  <c r="F216" i="10"/>
  <c r="F237" i="10"/>
  <c r="F240" i="10"/>
  <c r="F243" i="10"/>
  <c r="F244" i="10"/>
  <c r="F264" i="10"/>
  <c r="F273" i="10"/>
  <c r="F299" i="10"/>
  <c r="F325" i="10"/>
  <c r="F351" i="10"/>
  <c r="F383" i="10"/>
  <c r="F388" i="10"/>
  <c r="F393" i="10"/>
  <c r="F19" i="10"/>
  <c r="F21" i="10"/>
  <c r="F23" i="10"/>
  <c r="F29" i="10"/>
  <c r="F31" i="10"/>
  <c r="F40" i="10"/>
  <c r="F41" i="10"/>
  <c r="F42" i="10"/>
  <c r="F43" i="10"/>
  <c r="F49" i="10"/>
  <c r="F50" i="10"/>
  <c r="F52" i="10"/>
  <c r="F62" i="10"/>
  <c r="F70" i="10"/>
  <c r="F74" i="10"/>
  <c r="F75" i="10"/>
  <c r="F76" i="10"/>
  <c r="F80" i="10"/>
  <c r="F94" i="10"/>
  <c r="F104" i="10"/>
  <c r="F109" i="10"/>
  <c r="F116" i="10"/>
  <c r="F119" i="10"/>
  <c r="F128" i="10"/>
  <c r="F139" i="10"/>
  <c r="F143" i="10"/>
  <c r="F149" i="10"/>
  <c r="F150" i="10"/>
  <c r="F166" i="10"/>
  <c r="F169" i="10"/>
  <c r="F188" i="10"/>
  <c r="F190" i="10"/>
  <c r="F192" i="10"/>
  <c r="F195" i="10"/>
  <c r="F198" i="10"/>
  <c r="F199" i="10"/>
  <c r="F208" i="10"/>
  <c r="F213" i="10"/>
  <c r="F233" i="10"/>
  <c r="F234" i="10"/>
  <c r="F236" i="10"/>
  <c r="F242" i="10"/>
  <c r="F245" i="10"/>
  <c r="F250" i="10"/>
  <c r="F254" i="10"/>
  <c r="F255" i="10"/>
  <c r="F260" i="10"/>
  <c r="F266" i="10"/>
  <c r="F269" i="10"/>
  <c r="F271" i="10"/>
  <c r="F287" i="10"/>
  <c r="F288" i="10"/>
  <c r="F292" i="10"/>
  <c r="F293" i="10"/>
  <c r="F297" i="10"/>
  <c r="F300" i="10"/>
  <c r="F301" i="10"/>
  <c r="F309" i="10"/>
  <c r="F319" i="10"/>
  <c r="F323" i="10"/>
  <c r="F340" i="10"/>
  <c r="F344" i="10"/>
  <c r="F350" i="10"/>
  <c r="F352" i="10"/>
  <c r="F356" i="10"/>
  <c r="F360" i="10"/>
  <c r="F364" i="10"/>
  <c r="F373" i="10"/>
  <c r="F381" i="10"/>
  <c r="F386" i="10"/>
  <c r="F407" i="10"/>
  <c r="F414" i="10"/>
  <c r="F2" i="10"/>
  <c r="F3" i="10"/>
  <c r="F5" i="10"/>
  <c r="F11" i="10"/>
  <c r="F14" i="10"/>
  <c r="F20" i="10"/>
  <c r="F32" i="10"/>
  <c r="F45" i="10"/>
  <c r="F67" i="10"/>
  <c r="F77" i="10"/>
  <c r="F87" i="10"/>
  <c r="F100" i="10"/>
  <c r="F121" i="10"/>
  <c r="F152" i="10"/>
  <c r="F161" i="10"/>
  <c r="F162" i="10"/>
  <c r="F170" i="10"/>
  <c r="F173" i="10"/>
  <c r="F175" i="10"/>
  <c r="F185" i="10"/>
  <c r="F200" i="10"/>
  <c r="F201" i="10"/>
  <c r="F212" i="10"/>
  <c r="F223" i="10"/>
  <c r="F231" i="10"/>
  <c r="F241" i="10"/>
  <c r="F258" i="10"/>
  <c r="F261" i="10"/>
  <c r="F265" i="10"/>
  <c r="F272" i="10"/>
  <c r="F286" i="10"/>
  <c r="F306" i="10"/>
  <c r="F308" i="10"/>
  <c r="F337" i="10"/>
  <c r="F339" i="10"/>
  <c r="F345" i="10"/>
  <c r="F354" i="10"/>
  <c r="F378" i="10"/>
  <c r="F385" i="10"/>
  <c r="F390" i="10"/>
  <c r="F391" i="10"/>
  <c r="F395" i="10"/>
  <c r="F396" i="10"/>
  <c r="F397" i="10"/>
  <c r="F401" i="10"/>
  <c r="F404" i="10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G48" i="9" a="1"/>
  <c r="G21" i="9" a="1"/>
  <c r="G40" i="9" a="1"/>
  <c r="G2" i="9" a="1"/>
  <c r="G35" i="9" a="1"/>
  <c r="G27" i="9" a="1"/>
  <c r="G14" i="9" a="1"/>
  <c r="G9" i="9" a="1"/>
  <c r="O149" i="10" l="1"/>
  <c r="B149" i="10"/>
  <c r="O148" i="10"/>
  <c r="B148" i="10"/>
  <c r="O132" i="10"/>
  <c r="B132" i="10"/>
  <c r="O28" i="10"/>
  <c r="B28" i="10"/>
  <c r="C72" i="10" s="1"/>
  <c r="O131" i="10"/>
  <c r="B131" i="10"/>
  <c r="O43" i="10"/>
  <c r="B43" i="10"/>
  <c r="O27" i="10"/>
  <c r="B27" i="10"/>
  <c r="C201" i="10" s="1"/>
  <c r="B281" i="10"/>
  <c r="O42" i="10"/>
  <c r="B42" i="10"/>
  <c r="B280" i="10"/>
  <c r="C210" i="10"/>
  <c r="C178" i="10"/>
  <c r="C146" i="10"/>
  <c r="C114" i="10"/>
  <c r="C82" i="10"/>
  <c r="C50" i="10"/>
  <c r="C10" i="10"/>
  <c r="G35" i="9"/>
  <c r="G27" i="9"/>
  <c r="G21" i="9"/>
  <c r="G9" i="9"/>
  <c r="G48" i="9"/>
  <c r="G40" i="9"/>
  <c r="G14" i="9"/>
  <c r="G2" i="9"/>
  <c r="G3" i="9" a="1"/>
  <c r="G28" i="9" a="1"/>
  <c r="G41" i="9" a="1"/>
  <c r="G15" i="9" a="1"/>
  <c r="G22" i="9" a="1"/>
  <c r="G49" i="9" a="1"/>
  <c r="G10" i="9" a="1"/>
  <c r="G36" i="9" a="1"/>
  <c r="C242" i="10" l="1"/>
  <c r="C67" i="10"/>
  <c r="C135" i="10"/>
  <c r="C199" i="10"/>
  <c r="C22" i="10"/>
  <c r="C24" i="10"/>
  <c r="C60" i="10"/>
  <c r="C92" i="10"/>
  <c r="C136" i="10"/>
  <c r="C160" i="10"/>
  <c r="C39" i="10"/>
  <c r="C25" i="10"/>
  <c r="C57" i="10"/>
  <c r="C93" i="10"/>
  <c r="C157" i="10"/>
  <c r="C228" i="10"/>
  <c r="C356" i="10"/>
  <c r="C233" i="10"/>
  <c r="C18" i="10"/>
  <c r="C58" i="10"/>
  <c r="C94" i="10"/>
  <c r="C126" i="10"/>
  <c r="C158" i="10"/>
  <c r="C190" i="10"/>
  <c r="C222" i="10"/>
  <c r="C3" i="10"/>
  <c r="C35" i="10"/>
  <c r="C75" i="10"/>
  <c r="C103" i="10"/>
  <c r="C147" i="10"/>
  <c r="C179" i="10"/>
  <c r="C211" i="10"/>
  <c r="C243" i="10"/>
  <c r="C275" i="10"/>
  <c r="C38" i="10"/>
  <c r="C12" i="10"/>
  <c r="C32" i="10"/>
  <c r="C48" i="10"/>
  <c r="C64" i="10"/>
  <c r="C80" i="10"/>
  <c r="C96" i="10"/>
  <c r="C116" i="10"/>
  <c r="C140" i="10"/>
  <c r="C164" i="10"/>
  <c r="C192" i="10"/>
  <c r="C55" i="10"/>
  <c r="C29" i="10"/>
  <c r="C61" i="10"/>
  <c r="C105" i="10"/>
  <c r="C30" i="10"/>
  <c r="C244" i="10"/>
  <c r="C292" i="10"/>
  <c r="C380" i="10"/>
  <c r="C101" i="10"/>
  <c r="C281" i="10"/>
  <c r="P43" i="10"/>
  <c r="C66" i="10"/>
  <c r="C130" i="10"/>
  <c r="C194" i="10"/>
  <c r="C226" i="10"/>
  <c r="C83" i="10"/>
  <c r="C151" i="10"/>
  <c r="C183" i="10"/>
  <c r="C247" i="10"/>
  <c r="C279" i="10"/>
  <c r="C54" i="10"/>
  <c r="C16" i="10"/>
  <c r="C36" i="10"/>
  <c r="C52" i="10"/>
  <c r="C68" i="10"/>
  <c r="C84" i="10"/>
  <c r="C100" i="10"/>
  <c r="C120" i="10"/>
  <c r="C144" i="10"/>
  <c r="C172" i="10"/>
  <c r="C204" i="10"/>
  <c r="C9" i="10"/>
  <c r="C41" i="10"/>
  <c r="C73" i="10"/>
  <c r="C125" i="10"/>
  <c r="C212" i="10"/>
  <c r="C260" i="10"/>
  <c r="C316" i="10"/>
  <c r="C412" i="10"/>
  <c r="C169" i="10"/>
  <c r="C19" i="10"/>
  <c r="C99" i="10"/>
  <c r="C167" i="10"/>
  <c r="C231" i="10"/>
  <c r="C263" i="10"/>
  <c r="C8" i="10"/>
  <c r="C44" i="10"/>
  <c r="C76" i="10"/>
  <c r="C108" i="10"/>
  <c r="C188" i="10"/>
  <c r="C26" i="10"/>
  <c r="C98" i="10"/>
  <c r="C162" i="10"/>
  <c r="C2" i="10"/>
  <c r="C51" i="10"/>
  <c r="C115" i="10"/>
  <c r="C215" i="10"/>
  <c r="C34" i="10"/>
  <c r="C74" i="10"/>
  <c r="C110" i="10"/>
  <c r="C142" i="10"/>
  <c r="C174" i="10"/>
  <c r="C206" i="10"/>
  <c r="C238" i="10"/>
  <c r="C11" i="10"/>
  <c r="C59" i="10"/>
  <c r="C87" i="10"/>
  <c r="C119" i="10"/>
  <c r="C163" i="10"/>
  <c r="C195" i="10"/>
  <c r="C227" i="10"/>
  <c r="C259" i="10"/>
  <c r="C6" i="10"/>
  <c r="C4" i="10"/>
  <c r="C20" i="10"/>
  <c r="C40" i="10"/>
  <c r="C56" i="10"/>
  <c r="C88" i="10"/>
  <c r="C104" i="10"/>
  <c r="C124" i="10"/>
  <c r="C156" i="10"/>
  <c r="C176" i="10"/>
  <c r="C208" i="10"/>
  <c r="C13" i="10"/>
  <c r="C45" i="10"/>
  <c r="C77" i="10"/>
  <c r="C137" i="10"/>
  <c r="C216" i="10"/>
  <c r="C276" i="10"/>
  <c r="C336" i="10"/>
  <c r="C240" i="10"/>
  <c r="P406" i="10"/>
  <c r="P28" i="10"/>
  <c r="P148" i="10"/>
  <c r="P6" i="10"/>
  <c r="P22" i="10"/>
  <c r="P38" i="10"/>
  <c r="P58" i="10"/>
  <c r="P74" i="10"/>
  <c r="P90" i="10"/>
  <c r="P106" i="10"/>
  <c r="P122" i="10"/>
  <c r="P138" i="10"/>
  <c r="P154" i="10"/>
  <c r="P170" i="10"/>
  <c r="P186" i="10"/>
  <c r="P202" i="10"/>
  <c r="P218" i="10"/>
  <c r="P234" i="10"/>
  <c r="P250" i="10"/>
  <c r="P266" i="10"/>
  <c r="P282" i="10"/>
  <c r="P298" i="10"/>
  <c r="P314" i="10"/>
  <c r="P330" i="10"/>
  <c r="P7" i="10"/>
  <c r="P23" i="10"/>
  <c r="P47" i="10"/>
  <c r="P63" i="10"/>
  <c r="P79" i="10"/>
  <c r="P95" i="10"/>
  <c r="P111" i="10"/>
  <c r="P127" i="10"/>
  <c r="P147" i="10"/>
  <c r="P163" i="10"/>
  <c r="P179" i="10"/>
  <c r="P195" i="10"/>
  <c r="P211" i="10"/>
  <c r="P227" i="10"/>
  <c r="P243" i="10"/>
  <c r="P259" i="10"/>
  <c r="P275" i="10"/>
  <c r="P291" i="10"/>
  <c r="P307" i="10"/>
  <c r="P323" i="10"/>
  <c r="P339" i="10"/>
  <c r="P16" i="10"/>
  <c r="P36" i="10"/>
  <c r="P52" i="10"/>
  <c r="P68" i="10"/>
  <c r="P84" i="10"/>
  <c r="P100" i="10"/>
  <c r="P116" i="10"/>
  <c r="P136" i="10"/>
  <c r="P156" i="10"/>
  <c r="P172" i="10"/>
  <c r="P188" i="10"/>
  <c r="P347" i="10"/>
  <c r="P363" i="10"/>
  <c r="P379" i="10"/>
  <c r="P395" i="10"/>
  <c r="P411" i="10"/>
  <c r="P212" i="10"/>
  <c r="P228" i="10"/>
  <c r="P244" i="10"/>
  <c r="P260" i="10"/>
  <c r="P276" i="10"/>
  <c r="P292" i="10"/>
  <c r="P308" i="10"/>
  <c r="P324" i="10"/>
  <c r="P340" i="10"/>
  <c r="P356" i="10"/>
  <c r="P372" i="10"/>
  <c r="P388" i="10"/>
  <c r="P404" i="10"/>
  <c r="P9" i="10"/>
  <c r="P25" i="10"/>
  <c r="P41" i="10"/>
  <c r="P57" i="10"/>
  <c r="P73" i="10"/>
  <c r="P89" i="10"/>
  <c r="P105" i="10"/>
  <c r="P121" i="10"/>
  <c r="P137" i="10"/>
  <c r="P157" i="10"/>
  <c r="P173" i="10"/>
  <c r="P189" i="10"/>
  <c r="P205" i="10"/>
  <c r="P221" i="10"/>
  <c r="P237" i="10"/>
  <c r="P253" i="10"/>
  <c r="P269" i="10"/>
  <c r="P285" i="10"/>
  <c r="P301" i="10"/>
  <c r="P317" i="10"/>
  <c r="P333" i="10"/>
  <c r="P349" i="10"/>
  <c r="P365" i="10"/>
  <c r="P381" i="10"/>
  <c r="P397" i="10"/>
  <c r="P413" i="10"/>
  <c r="P354" i="10"/>
  <c r="P370" i="10"/>
  <c r="P386" i="10"/>
  <c r="P402" i="10"/>
  <c r="C232" i="10"/>
  <c r="C248" i="10"/>
  <c r="C264" i="10"/>
  <c r="C313" i="10"/>
  <c r="C300" i="10"/>
  <c r="C320" i="10"/>
  <c r="C340" i="10"/>
  <c r="C364" i="10"/>
  <c r="C388" i="10"/>
  <c r="C117" i="10"/>
  <c r="C177" i="10"/>
  <c r="C209" i="10"/>
  <c r="C241" i="10"/>
  <c r="C399" i="10"/>
  <c r="P10" i="10"/>
  <c r="P26" i="10"/>
  <c r="P46" i="10"/>
  <c r="P62" i="10"/>
  <c r="P78" i="10"/>
  <c r="P94" i="10"/>
  <c r="P110" i="10"/>
  <c r="P126" i="10"/>
  <c r="P142" i="10"/>
  <c r="P158" i="10"/>
  <c r="P174" i="10"/>
  <c r="P190" i="10"/>
  <c r="P206" i="10"/>
  <c r="P222" i="10"/>
  <c r="P238" i="10"/>
  <c r="P254" i="10"/>
  <c r="P270" i="10"/>
  <c r="P286" i="10"/>
  <c r="P302" i="10"/>
  <c r="P318" i="10"/>
  <c r="P334" i="10"/>
  <c r="P11" i="10"/>
  <c r="P31" i="10"/>
  <c r="P51" i="10"/>
  <c r="P67" i="10"/>
  <c r="P83" i="10"/>
  <c r="P99" i="10"/>
  <c r="P115" i="10"/>
  <c r="P135" i="10"/>
  <c r="P151" i="10"/>
  <c r="P167" i="10"/>
  <c r="P183" i="10"/>
  <c r="P199" i="10"/>
  <c r="P215" i="10"/>
  <c r="P231" i="10"/>
  <c r="P247" i="10"/>
  <c r="P263" i="10"/>
  <c r="P279" i="10"/>
  <c r="P295" i="10"/>
  <c r="P311" i="10"/>
  <c r="P327" i="10"/>
  <c r="P4" i="10"/>
  <c r="P20" i="10"/>
  <c r="P40" i="10"/>
  <c r="P56" i="10"/>
  <c r="P72" i="10"/>
  <c r="P88" i="10"/>
  <c r="P104" i="10"/>
  <c r="P120" i="10"/>
  <c r="P140" i="10"/>
  <c r="P160" i="10"/>
  <c r="P176" i="10"/>
  <c r="P192" i="10"/>
  <c r="P351" i="10"/>
  <c r="P367" i="10"/>
  <c r="P383" i="10"/>
  <c r="P399" i="10"/>
  <c r="P200" i="10"/>
  <c r="P216" i="10"/>
  <c r="P232" i="10"/>
  <c r="P248" i="10"/>
  <c r="P264" i="10"/>
  <c r="P280" i="10"/>
  <c r="P296" i="10"/>
  <c r="P312" i="10"/>
  <c r="P328" i="10"/>
  <c r="P344" i="10"/>
  <c r="P360" i="10"/>
  <c r="P376" i="10"/>
  <c r="P392" i="10"/>
  <c r="P408" i="10"/>
  <c r="P13" i="10"/>
  <c r="P29" i="10"/>
  <c r="P45" i="10"/>
  <c r="P61" i="10"/>
  <c r="P77" i="10"/>
  <c r="P93" i="10"/>
  <c r="P109" i="10"/>
  <c r="P125" i="10"/>
  <c r="P141" i="10"/>
  <c r="P161" i="10"/>
  <c r="P177" i="10"/>
  <c r="P193" i="10"/>
  <c r="P209" i="10"/>
  <c r="P225" i="10"/>
  <c r="P241" i="10"/>
  <c r="P257" i="10"/>
  <c r="P273" i="10"/>
  <c r="P289" i="10"/>
  <c r="P305" i="10"/>
  <c r="P321" i="10"/>
  <c r="P337" i="10"/>
  <c r="P353" i="10"/>
  <c r="P369" i="10"/>
  <c r="P385" i="10"/>
  <c r="P401" i="10"/>
  <c r="P342" i="10"/>
  <c r="P358" i="10"/>
  <c r="P374" i="10"/>
  <c r="P390" i="10"/>
  <c r="C180" i="10"/>
  <c r="C196" i="10"/>
  <c r="C7" i="10"/>
  <c r="C71" i="10"/>
  <c r="C17" i="10"/>
  <c r="C33" i="10"/>
  <c r="C49" i="10"/>
  <c r="C65" i="10"/>
  <c r="C81" i="10"/>
  <c r="C109" i="10"/>
  <c r="C141" i="10"/>
  <c r="C134" i="10"/>
  <c r="C220" i="10"/>
  <c r="C236" i="10"/>
  <c r="C252" i="10"/>
  <c r="C268" i="10"/>
  <c r="C284" i="10"/>
  <c r="C304" i="10"/>
  <c r="C324" i="10"/>
  <c r="C348" i="10"/>
  <c r="C368" i="10"/>
  <c r="C396" i="10"/>
  <c r="P42" i="10"/>
  <c r="C139" i="10"/>
  <c r="C185" i="10"/>
  <c r="C217" i="10"/>
  <c r="C249" i="10"/>
  <c r="P27" i="10"/>
  <c r="P131" i="10"/>
  <c r="P132" i="10"/>
  <c r="P149" i="10"/>
  <c r="P14" i="10"/>
  <c r="P30" i="10"/>
  <c r="P50" i="10"/>
  <c r="P66" i="10"/>
  <c r="P82" i="10"/>
  <c r="P98" i="10"/>
  <c r="P114" i="10"/>
  <c r="P130" i="10"/>
  <c r="P146" i="10"/>
  <c r="P162" i="10"/>
  <c r="P178" i="10"/>
  <c r="P194" i="10"/>
  <c r="P210" i="10"/>
  <c r="P226" i="10"/>
  <c r="P242" i="10"/>
  <c r="P258" i="10"/>
  <c r="P274" i="10"/>
  <c r="P290" i="10"/>
  <c r="P306" i="10"/>
  <c r="P322" i="10"/>
  <c r="P338" i="10"/>
  <c r="P15" i="10"/>
  <c r="P35" i="10"/>
  <c r="P55" i="10"/>
  <c r="P71" i="10"/>
  <c r="P87" i="10"/>
  <c r="P103" i="10"/>
  <c r="P119" i="10"/>
  <c r="P139" i="10"/>
  <c r="P155" i="10"/>
  <c r="P171" i="10"/>
  <c r="P187" i="10"/>
  <c r="P203" i="10"/>
  <c r="P219" i="10"/>
  <c r="P235" i="10"/>
  <c r="P251" i="10"/>
  <c r="P267" i="10"/>
  <c r="P283" i="10"/>
  <c r="P299" i="10"/>
  <c r="P315" i="10"/>
  <c r="P331" i="10"/>
  <c r="P8" i="10"/>
  <c r="P24" i="10"/>
  <c r="P44" i="10"/>
  <c r="P60" i="10"/>
  <c r="P76" i="10"/>
  <c r="P92" i="10"/>
  <c r="P108" i="10"/>
  <c r="P124" i="10"/>
  <c r="P144" i="10"/>
  <c r="P164" i="10"/>
  <c r="P180" i="10"/>
  <c r="P196" i="10"/>
  <c r="P355" i="10"/>
  <c r="P371" i="10"/>
  <c r="P387" i="10"/>
  <c r="P403" i="10"/>
  <c r="P204" i="10"/>
  <c r="P220" i="10"/>
  <c r="P236" i="10"/>
  <c r="P252" i="10"/>
  <c r="P268" i="10"/>
  <c r="P284" i="10"/>
  <c r="P300" i="10"/>
  <c r="P316" i="10"/>
  <c r="P332" i="10"/>
  <c r="P348" i="10"/>
  <c r="P364" i="10"/>
  <c r="P380" i="10"/>
  <c r="P396" i="10"/>
  <c r="P412" i="10"/>
  <c r="P17" i="10"/>
  <c r="P33" i="10"/>
  <c r="P49" i="10"/>
  <c r="P65" i="10"/>
  <c r="P81" i="10"/>
  <c r="P97" i="10"/>
  <c r="P113" i="10"/>
  <c r="P129" i="10"/>
  <c r="P145" i="10"/>
  <c r="P165" i="10"/>
  <c r="P181" i="10"/>
  <c r="P197" i="10"/>
  <c r="P213" i="10"/>
  <c r="P229" i="10"/>
  <c r="P245" i="10"/>
  <c r="P261" i="10"/>
  <c r="P277" i="10"/>
  <c r="P293" i="10"/>
  <c r="P309" i="10"/>
  <c r="P325" i="10"/>
  <c r="P341" i="10"/>
  <c r="P357" i="10"/>
  <c r="P373" i="10"/>
  <c r="P389" i="10"/>
  <c r="P405" i="10"/>
  <c r="P346" i="10"/>
  <c r="P362" i="10"/>
  <c r="P378" i="10"/>
  <c r="P394" i="10"/>
  <c r="P410" i="10"/>
  <c r="C112" i="10"/>
  <c r="C128" i="10"/>
  <c r="C152" i="10"/>
  <c r="C168" i="10"/>
  <c r="C184" i="10"/>
  <c r="C200" i="10"/>
  <c r="C23" i="10"/>
  <c r="C5" i="10"/>
  <c r="C21" i="10"/>
  <c r="C37" i="10"/>
  <c r="C53" i="10"/>
  <c r="C69" i="10"/>
  <c r="C89" i="10"/>
  <c r="C121" i="10"/>
  <c r="C153" i="10"/>
  <c r="C138" i="10"/>
  <c r="C224" i="10"/>
  <c r="C256" i="10"/>
  <c r="C272" i="10"/>
  <c r="C288" i="10"/>
  <c r="C308" i="10"/>
  <c r="C332" i="10"/>
  <c r="C352" i="10"/>
  <c r="C372" i="10"/>
  <c r="C404" i="10"/>
  <c r="C85" i="10"/>
  <c r="C161" i="10"/>
  <c r="C193" i="10"/>
  <c r="C225" i="10"/>
  <c r="C265" i="10"/>
  <c r="P2" i="10"/>
  <c r="P18" i="10"/>
  <c r="P34" i="10"/>
  <c r="P54" i="10"/>
  <c r="P70" i="10"/>
  <c r="P86" i="10"/>
  <c r="P102" i="10"/>
  <c r="P118" i="10"/>
  <c r="P134" i="10"/>
  <c r="P150" i="10"/>
  <c r="P166" i="10"/>
  <c r="P182" i="10"/>
  <c r="P198" i="10"/>
  <c r="P214" i="10"/>
  <c r="P230" i="10"/>
  <c r="P246" i="10"/>
  <c r="P262" i="10"/>
  <c r="P278" i="10"/>
  <c r="P294" i="10"/>
  <c r="P310" i="10"/>
  <c r="P326" i="10"/>
  <c r="P3" i="10"/>
  <c r="P19" i="10"/>
  <c r="P39" i="10"/>
  <c r="P59" i="10"/>
  <c r="P75" i="10"/>
  <c r="P91" i="10"/>
  <c r="P107" i="10"/>
  <c r="P123" i="10"/>
  <c r="P143" i="10"/>
  <c r="P159" i="10"/>
  <c r="P175" i="10"/>
  <c r="P191" i="10"/>
  <c r="P207" i="10"/>
  <c r="P223" i="10"/>
  <c r="P239" i="10"/>
  <c r="P255" i="10"/>
  <c r="P271" i="10"/>
  <c r="P287" i="10"/>
  <c r="P303" i="10"/>
  <c r="P319" i="10"/>
  <c r="P335" i="10"/>
  <c r="P12" i="10"/>
  <c r="P32" i="10"/>
  <c r="P48" i="10"/>
  <c r="P64" i="10"/>
  <c r="P80" i="10"/>
  <c r="P96" i="10"/>
  <c r="P112" i="10"/>
  <c r="P128" i="10"/>
  <c r="P152" i="10"/>
  <c r="P168" i="10"/>
  <c r="P184" i="10"/>
  <c r="P343" i="10"/>
  <c r="P359" i="10"/>
  <c r="P375" i="10"/>
  <c r="P391" i="10"/>
  <c r="P407" i="10"/>
  <c r="P208" i="10"/>
  <c r="P224" i="10"/>
  <c r="P240" i="10"/>
  <c r="P256" i="10"/>
  <c r="P272" i="10"/>
  <c r="P288" i="10"/>
  <c r="P304" i="10"/>
  <c r="P320" i="10"/>
  <c r="P336" i="10"/>
  <c r="P352" i="10"/>
  <c r="P368" i="10"/>
  <c r="P384" i="10"/>
  <c r="P400" i="10"/>
  <c r="P5" i="10"/>
  <c r="P21" i="10"/>
  <c r="P37" i="10"/>
  <c r="P53" i="10"/>
  <c r="P69" i="10"/>
  <c r="P85" i="10"/>
  <c r="P101" i="10"/>
  <c r="P117" i="10"/>
  <c r="P133" i="10"/>
  <c r="P153" i="10"/>
  <c r="P169" i="10"/>
  <c r="P185" i="10"/>
  <c r="P201" i="10"/>
  <c r="P217" i="10"/>
  <c r="P233" i="10"/>
  <c r="P249" i="10"/>
  <c r="P265" i="10"/>
  <c r="P281" i="10"/>
  <c r="P297" i="10"/>
  <c r="P313" i="10"/>
  <c r="P329" i="10"/>
  <c r="P345" i="10"/>
  <c r="P361" i="10"/>
  <c r="P377" i="10"/>
  <c r="P393" i="10"/>
  <c r="P409" i="10"/>
  <c r="P350" i="10"/>
  <c r="P366" i="10"/>
  <c r="P382" i="10"/>
  <c r="P398" i="10"/>
  <c r="P414" i="10"/>
  <c r="C384" i="10"/>
  <c r="C400" i="10"/>
  <c r="C42" i="10"/>
  <c r="C97" i="10"/>
  <c r="C129" i="10"/>
  <c r="C165" i="10"/>
  <c r="C181" i="10"/>
  <c r="C197" i="10"/>
  <c r="C213" i="10"/>
  <c r="C229" i="10"/>
  <c r="C245" i="10"/>
  <c r="C261" i="10"/>
  <c r="C277" i="10"/>
  <c r="C293" i="10"/>
  <c r="C309" i="10"/>
  <c r="C325" i="10"/>
  <c r="C341" i="10"/>
  <c r="C357" i="10"/>
  <c r="C373" i="10"/>
  <c r="C389" i="10"/>
  <c r="C405" i="10"/>
  <c r="C70" i="10"/>
  <c r="C102" i="10"/>
  <c r="C150" i="10"/>
  <c r="C182" i="10"/>
  <c r="C214" i="10"/>
  <c r="C246" i="10"/>
  <c r="C262" i="10"/>
  <c r="C278" i="10"/>
  <c r="C294" i="10"/>
  <c r="C310" i="10"/>
  <c r="C326" i="10"/>
  <c r="C342" i="10"/>
  <c r="C358" i="10"/>
  <c r="C374" i="10"/>
  <c r="C390" i="10"/>
  <c r="C406" i="10"/>
  <c r="C79" i="10"/>
  <c r="C111" i="10"/>
  <c r="C145" i="10"/>
  <c r="C175" i="10"/>
  <c r="C207" i="10"/>
  <c r="C239" i="10"/>
  <c r="C271" i="10"/>
  <c r="C295" i="10"/>
  <c r="C311" i="10"/>
  <c r="C327" i="10"/>
  <c r="C343" i="10"/>
  <c r="C359" i="10"/>
  <c r="C375" i="10"/>
  <c r="C391" i="10"/>
  <c r="C407" i="10"/>
  <c r="C297" i="10"/>
  <c r="C329" i="10"/>
  <c r="C345" i="10"/>
  <c r="C361" i="10"/>
  <c r="C377" i="10"/>
  <c r="C393" i="10"/>
  <c r="C409" i="10"/>
  <c r="C43" i="10"/>
  <c r="C14" i="10"/>
  <c r="C78" i="10"/>
  <c r="C106" i="10"/>
  <c r="C154" i="10"/>
  <c r="C186" i="10"/>
  <c r="C218" i="10"/>
  <c r="C250" i="10"/>
  <c r="C266" i="10"/>
  <c r="C282" i="10"/>
  <c r="C298" i="10"/>
  <c r="C314" i="10"/>
  <c r="C330" i="10"/>
  <c r="C346" i="10"/>
  <c r="C362" i="10"/>
  <c r="C378" i="10"/>
  <c r="C394" i="10"/>
  <c r="C410" i="10"/>
  <c r="C132" i="10"/>
  <c r="C15" i="10"/>
  <c r="C91" i="10"/>
  <c r="C123" i="10"/>
  <c r="C155" i="10"/>
  <c r="C187" i="10"/>
  <c r="C219" i="10"/>
  <c r="C251" i="10"/>
  <c r="C283" i="10"/>
  <c r="C299" i="10"/>
  <c r="C315" i="10"/>
  <c r="C331" i="10"/>
  <c r="C347" i="10"/>
  <c r="C363" i="10"/>
  <c r="C379" i="10"/>
  <c r="C395" i="10"/>
  <c r="C411" i="10"/>
  <c r="C280" i="10"/>
  <c r="C296" i="10"/>
  <c r="C312" i="10"/>
  <c r="C328" i="10"/>
  <c r="C344" i="10"/>
  <c r="C360" i="10"/>
  <c r="C376" i="10"/>
  <c r="C392" i="10"/>
  <c r="C408" i="10"/>
  <c r="C31" i="10"/>
  <c r="C113" i="10"/>
  <c r="C143" i="10"/>
  <c r="C173" i="10"/>
  <c r="C189" i="10"/>
  <c r="C205" i="10"/>
  <c r="C221" i="10"/>
  <c r="C237" i="10"/>
  <c r="C253" i="10"/>
  <c r="C269" i="10"/>
  <c r="C285" i="10"/>
  <c r="C301" i="10"/>
  <c r="C317" i="10"/>
  <c r="C333" i="10"/>
  <c r="C349" i="10"/>
  <c r="C365" i="10"/>
  <c r="C381" i="10"/>
  <c r="C397" i="10"/>
  <c r="C413" i="10"/>
  <c r="C46" i="10"/>
  <c r="C86" i="10"/>
  <c r="C118" i="10"/>
  <c r="C166" i="10"/>
  <c r="C198" i="10"/>
  <c r="C230" i="10"/>
  <c r="C254" i="10"/>
  <c r="C270" i="10"/>
  <c r="C286" i="10"/>
  <c r="C302" i="10"/>
  <c r="C318" i="10"/>
  <c r="C334" i="10"/>
  <c r="C350" i="10"/>
  <c r="C366" i="10"/>
  <c r="C382" i="10"/>
  <c r="C398" i="10"/>
  <c r="C414" i="10"/>
  <c r="C47" i="10"/>
  <c r="C95" i="10"/>
  <c r="C127" i="10"/>
  <c r="C159" i="10"/>
  <c r="C191" i="10"/>
  <c r="C223" i="10"/>
  <c r="C255" i="10"/>
  <c r="C287" i="10"/>
  <c r="C303" i="10"/>
  <c r="C319" i="10"/>
  <c r="C335" i="10"/>
  <c r="C351" i="10"/>
  <c r="C367" i="10"/>
  <c r="C383" i="10"/>
  <c r="C149" i="10"/>
  <c r="C257" i="10"/>
  <c r="C273" i="10"/>
  <c r="C289" i="10"/>
  <c r="C305" i="10"/>
  <c r="C321" i="10"/>
  <c r="C337" i="10"/>
  <c r="C353" i="10"/>
  <c r="C369" i="10"/>
  <c r="C385" i="10"/>
  <c r="C401" i="10"/>
  <c r="C27" i="10"/>
  <c r="C131" i="10"/>
  <c r="C62" i="10"/>
  <c r="C90" i="10"/>
  <c r="C122" i="10"/>
  <c r="C170" i="10"/>
  <c r="C202" i="10"/>
  <c r="C234" i="10"/>
  <c r="C258" i="10"/>
  <c r="C274" i="10"/>
  <c r="C290" i="10"/>
  <c r="C306" i="10"/>
  <c r="C322" i="10"/>
  <c r="C338" i="10"/>
  <c r="C354" i="10"/>
  <c r="C370" i="10"/>
  <c r="C386" i="10"/>
  <c r="C402" i="10"/>
  <c r="C28" i="10"/>
  <c r="C148" i="10"/>
  <c r="C63" i="10"/>
  <c r="C107" i="10"/>
  <c r="C133" i="10"/>
  <c r="C171" i="10"/>
  <c r="C203" i="10"/>
  <c r="C235" i="10"/>
  <c r="C267" i="10"/>
  <c r="C291" i="10"/>
  <c r="C307" i="10"/>
  <c r="C323" i="10"/>
  <c r="C339" i="10"/>
  <c r="C355" i="10"/>
  <c r="C371" i="10"/>
  <c r="C387" i="10"/>
  <c r="C403" i="10"/>
  <c r="G41" i="9"/>
  <c r="G3" i="9"/>
  <c r="G10" i="9"/>
  <c r="G15" i="9"/>
  <c r="G22" i="9"/>
  <c r="G28" i="9"/>
  <c r="G49" i="9"/>
  <c r="G36" i="9"/>
  <c r="G29" i="9" a="1"/>
  <c r="G42" i="9" a="1"/>
  <c r="G11" i="9" a="1"/>
  <c r="G50" i="9" a="1"/>
  <c r="G23" i="9" a="1"/>
  <c r="G37" i="9" a="1"/>
  <c r="G16" i="9" a="1"/>
  <c r="G4" i="9" a="1"/>
  <c r="G9" i="8" l="1"/>
  <c r="G21" i="8"/>
  <c r="G41" i="8"/>
  <c r="G44" i="8"/>
  <c r="G28" i="8"/>
  <c r="G12" i="8"/>
  <c r="G38" i="8"/>
  <c r="G8" i="7"/>
  <c r="G63" i="7"/>
  <c r="G39" i="7"/>
  <c r="G11" i="7"/>
  <c r="G43" i="7"/>
  <c r="G24" i="6"/>
  <c r="G17" i="6"/>
  <c r="G27" i="6"/>
  <c r="G7" i="6"/>
  <c r="G31" i="6"/>
  <c r="G41" i="5"/>
  <c r="G5" i="5"/>
  <c r="G25" i="4"/>
  <c r="G33" i="4"/>
  <c r="G4" i="4"/>
  <c r="G13" i="4"/>
  <c r="G21" i="4"/>
  <c r="G38" i="4"/>
  <c r="G18" i="4"/>
  <c r="G27" i="4"/>
  <c r="G31" i="4"/>
  <c r="G39" i="4"/>
  <c r="G26" i="4"/>
  <c r="G6" i="4"/>
  <c r="G19" i="4"/>
  <c r="G2" i="4"/>
  <c r="G34" i="4"/>
  <c r="G20" i="3"/>
  <c r="G24" i="3"/>
  <c r="G68" i="3"/>
  <c r="G84" i="3"/>
  <c r="G92" i="3"/>
  <c r="G5" i="3"/>
  <c r="G45" i="3"/>
  <c r="G49" i="3"/>
  <c r="G88" i="3"/>
  <c r="G33" i="3"/>
  <c r="G65" i="3"/>
  <c r="G69" i="3"/>
  <c r="G2" i="3"/>
  <c r="G15" i="3"/>
  <c r="G90" i="3"/>
  <c r="G75" i="3"/>
  <c r="G27" i="3"/>
  <c r="G11" i="3"/>
  <c r="G3" i="3"/>
  <c r="G25" i="2"/>
  <c r="G21" i="2"/>
  <c r="G32" i="2"/>
  <c r="G12" i="2"/>
  <c r="G18" i="2"/>
  <c r="G24" i="2"/>
  <c r="G8" i="2"/>
  <c r="G17" i="1"/>
  <c r="G41" i="1"/>
  <c r="G45" i="1"/>
  <c r="G8" i="1"/>
  <c r="G15" i="1"/>
  <c r="G3" i="1"/>
  <c r="G22" i="1"/>
  <c r="G27" i="1"/>
  <c r="G10" i="1"/>
  <c r="G37" i="9"/>
  <c r="G16" i="9"/>
  <c r="G50" i="9"/>
  <c r="G11" i="9"/>
  <c r="G29" i="9"/>
  <c r="G4" i="9"/>
  <c r="G23" i="9"/>
  <c r="G42" i="9"/>
  <c r="G17" i="9" a="1"/>
  <c r="G51" i="9" a="1"/>
  <c r="G12" i="9" a="1"/>
  <c r="G24" i="9" a="1"/>
  <c r="G43" i="9" a="1"/>
  <c r="G38" i="9" a="1"/>
  <c r="G5" i="9" a="1"/>
  <c r="G30" i="9" a="1"/>
  <c r="G13" i="8" l="1"/>
  <c r="G25" i="8"/>
  <c r="G45" i="8"/>
  <c r="G10" i="8"/>
  <c r="G19" i="8"/>
  <c r="G6" i="8"/>
  <c r="G27" i="8"/>
  <c r="G36" i="8"/>
  <c r="G20" i="8"/>
  <c r="G18" i="8"/>
  <c r="G33" i="7"/>
  <c r="G71" i="7"/>
  <c r="G14" i="7"/>
  <c r="G72" i="7"/>
  <c r="G36" i="7"/>
  <c r="G4" i="7"/>
  <c r="G28" i="7"/>
  <c r="G48" i="7"/>
  <c r="G15" i="7"/>
  <c r="G16" i="6"/>
  <c r="G5" i="6"/>
  <c r="G13" i="6"/>
  <c r="G4" i="6"/>
  <c r="G12" i="6"/>
  <c r="G21" i="6"/>
  <c r="G15" i="6"/>
  <c r="G22" i="6"/>
  <c r="G2" i="6"/>
  <c r="G15" i="5"/>
  <c r="G13" i="5"/>
  <c r="G8" i="5"/>
  <c r="G19" i="5"/>
  <c r="G43" i="5"/>
  <c r="G23" i="5"/>
  <c r="G16" i="5"/>
  <c r="G12" i="4"/>
  <c r="G20" i="4"/>
  <c r="G17" i="4"/>
  <c r="G41" i="4"/>
  <c r="G8" i="4"/>
  <c r="G16" i="4"/>
  <c r="G5" i="4"/>
  <c r="G32" i="3"/>
  <c r="G76" i="3"/>
  <c r="G89" i="3"/>
  <c r="G72" i="3"/>
  <c r="G80" i="3"/>
  <c r="G17" i="3"/>
  <c r="G21" i="3"/>
  <c r="G77" i="3"/>
  <c r="G79" i="3"/>
  <c r="G42" i="3"/>
  <c r="G7" i="3"/>
  <c r="G22" i="3"/>
  <c r="G51" i="3"/>
  <c r="G59" i="3"/>
  <c r="G43" i="3"/>
  <c r="G74" i="3"/>
  <c r="G10" i="3"/>
  <c r="G23" i="3"/>
  <c r="G38" i="3"/>
  <c r="G9" i="2"/>
  <c r="G13" i="2"/>
  <c r="G23" i="2"/>
  <c r="G28" i="2"/>
  <c r="G19" i="2"/>
  <c r="G7" i="2"/>
  <c r="G25" i="1"/>
  <c r="G28" i="1"/>
  <c r="G30" i="1"/>
  <c r="G18" i="1"/>
  <c r="G16" i="1"/>
  <c r="G32" i="1"/>
  <c r="G7" i="1"/>
  <c r="G35" i="1"/>
  <c r="G38" i="1"/>
  <c r="G23" i="1"/>
  <c r="G43" i="9"/>
  <c r="G12" i="9"/>
  <c r="G24" i="9"/>
  <c r="G51" i="9"/>
  <c r="G5" i="9"/>
  <c r="G17" i="9"/>
  <c r="G30" i="9"/>
  <c r="G38" i="9"/>
  <c r="G52" i="9" a="1"/>
  <c r="G13" i="9" a="1"/>
  <c r="G18" i="9" a="1"/>
  <c r="G25" i="9" a="1"/>
  <c r="G31" i="9" a="1"/>
  <c r="G44" i="9" a="1"/>
  <c r="G39" i="9" a="1"/>
  <c r="G6" i="9" a="1"/>
  <c r="G5" i="8" l="1"/>
  <c r="G29" i="8"/>
  <c r="G39" i="8"/>
  <c r="G30" i="8"/>
  <c r="G40" i="8"/>
  <c r="G24" i="8"/>
  <c r="G29" i="7"/>
  <c r="G67" i="7"/>
  <c r="G22" i="7"/>
  <c r="G66" i="7"/>
  <c r="G54" i="7"/>
  <c r="G44" i="7"/>
  <c r="G8" i="6"/>
  <c r="G28" i="6"/>
  <c r="G33" i="6"/>
  <c r="G9" i="6"/>
  <c r="G3" i="6"/>
  <c r="G23" i="6"/>
  <c r="G19" i="6"/>
  <c r="G11" i="6"/>
  <c r="G18" i="6"/>
  <c r="G26" i="6"/>
  <c r="G14" i="6"/>
  <c r="G47" i="5"/>
  <c r="G30" i="5"/>
  <c r="G10" i="5"/>
  <c r="G36" i="5"/>
  <c r="G4" i="5"/>
  <c r="G2" i="5"/>
  <c r="G38" i="5"/>
  <c r="G37" i="5"/>
  <c r="G9" i="4"/>
  <c r="G24" i="4"/>
  <c r="G29" i="4"/>
  <c r="G37" i="4"/>
  <c r="G30" i="4"/>
  <c r="G10" i="4"/>
  <c r="G23" i="4"/>
  <c r="G13" i="3"/>
  <c r="G25" i="3"/>
  <c r="G57" i="3"/>
  <c r="G16" i="3"/>
  <c r="G60" i="3"/>
  <c r="G41" i="3"/>
  <c r="G53" i="3"/>
  <c r="G93" i="3"/>
  <c r="G50" i="3"/>
  <c r="G34" i="3"/>
  <c r="G95" i="3"/>
  <c r="G47" i="3"/>
  <c r="G31" i="3"/>
  <c r="G71" i="3"/>
  <c r="G54" i="3"/>
  <c r="G83" i="3"/>
  <c r="G62" i="3"/>
  <c r="G30" i="3"/>
  <c r="G91" i="3"/>
  <c r="G33" i="2"/>
  <c r="G5" i="2"/>
  <c r="G29" i="2"/>
  <c r="G26" i="2"/>
  <c r="G10" i="2"/>
  <c r="G16" i="2"/>
  <c r="G27" i="2"/>
  <c r="G20" i="2"/>
  <c r="G22" i="2"/>
  <c r="G15" i="2"/>
  <c r="G11" i="2"/>
  <c r="G14" i="2"/>
  <c r="G35" i="2"/>
  <c r="G4" i="2"/>
  <c r="G29" i="1"/>
  <c r="G37" i="1"/>
  <c r="G14" i="1"/>
  <c r="G39" i="1"/>
  <c r="G11" i="1"/>
  <c r="G26" i="1"/>
  <c r="G19" i="1"/>
  <c r="G39" i="9"/>
  <c r="G52" i="9"/>
  <c r="G31" i="9"/>
  <c r="G25" i="9"/>
  <c r="G18" i="9"/>
  <c r="G13" i="9"/>
  <c r="G6" i="9"/>
  <c r="G44" i="9"/>
  <c r="G45" i="9" a="1"/>
  <c r="G53" i="9" a="1"/>
  <c r="G7" i="9" a="1"/>
  <c r="G32" i="9" a="1"/>
  <c r="G26" i="9" a="1"/>
  <c r="G19" i="9" a="1"/>
  <c r="G37" i="8" l="1"/>
  <c r="G17" i="8"/>
  <c r="G47" i="8"/>
  <c r="G23" i="8"/>
  <c r="G7" i="8"/>
  <c r="G14" i="8"/>
  <c r="G35" i="8"/>
  <c r="G3" i="8"/>
  <c r="G32" i="8"/>
  <c r="G37" i="7"/>
  <c r="G73" i="7"/>
  <c r="G41" i="7"/>
  <c r="G42" i="7"/>
  <c r="G6" i="7"/>
  <c r="G40" i="7"/>
  <c r="G50" i="7"/>
  <c r="G70" i="7"/>
  <c r="G25" i="6"/>
  <c r="G20" i="6"/>
  <c r="G32" i="6"/>
  <c r="G29" i="6"/>
  <c r="G30" i="6"/>
  <c r="G10" i="6"/>
  <c r="G6" i="6"/>
  <c r="G35" i="5"/>
  <c r="G14" i="5"/>
  <c r="G3" i="5"/>
  <c r="G33" i="5"/>
  <c r="G17" i="5"/>
  <c r="G11" i="5"/>
  <c r="G42" i="5"/>
  <c r="G25" i="5"/>
  <c r="G9" i="5"/>
  <c r="G7" i="5"/>
  <c r="G21" i="5"/>
  <c r="G32" i="4"/>
  <c r="G35" i="4"/>
  <c r="G3" i="4"/>
  <c r="G42" i="4"/>
  <c r="G7" i="4"/>
  <c r="G11" i="4"/>
  <c r="G8" i="3"/>
  <c r="G48" i="3"/>
  <c r="G56" i="3"/>
  <c r="G37" i="3"/>
  <c r="G73" i="3"/>
  <c r="G81" i="3"/>
  <c r="G97" i="3"/>
  <c r="G52" i="3"/>
  <c r="G96" i="3"/>
  <c r="G9" i="3"/>
  <c r="G29" i="3"/>
  <c r="G85" i="3"/>
  <c r="G94" i="3"/>
  <c r="G63" i="3"/>
  <c r="G86" i="3"/>
  <c r="G19" i="3"/>
  <c r="G14" i="3"/>
  <c r="G58" i="3"/>
  <c r="G87" i="3"/>
  <c r="G55" i="3"/>
  <c r="G39" i="3"/>
  <c r="G35" i="3"/>
  <c r="G17" i="2"/>
  <c r="G31" i="2"/>
  <c r="G6" i="2"/>
  <c r="G3" i="2"/>
  <c r="G2" i="2"/>
  <c r="G30" i="2"/>
  <c r="G34" i="2"/>
  <c r="G33" i="1"/>
  <c r="G2" i="1"/>
  <c r="G31" i="1"/>
  <c r="G34" i="1"/>
  <c r="G24" i="1"/>
  <c r="G44" i="1"/>
  <c r="G7" i="9"/>
  <c r="G32" i="9"/>
  <c r="G19" i="9"/>
  <c r="G45" i="9"/>
  <c r="G26" i="9"/>
  <c r="G53" i="9"/>
  <c r="G54" i="9" a="1"/>
  <c r="G20" i="9" a="1"/>
  <c r="G8" i="9" a="1"/>
  <c r="G33" i="9" a="1"/>
  <c r="G46" i="9" a="1"/>
  <c r="G33" i="8" l="1"/>
  <c r="G43" i="8"/>
  <c r="G8" i="8"/>
  <c r="G4" i="8"/>
  <c r="G31" i="8"/>
  <c r="G2" i="8"/>
  <c r="G26" i="8"/>
  <c r="G16" i="8"/>
  <c r="G45" i="7"/>
  <c r="G65" i="7"/>
  <c r="G69" i="7"/>
  <c r="G9" i="7"/>
  <c r="G17" i="7"/>
  <c r="G57" i="7"/>
  <c r="G47" i="7"/>
  <c r="G46" i="7"/>
  <c r="G31" i="7"/>
  <c r="G7" i="7"/>
  <c r="G56" i="7"/>
  <c r="G27" i="7"/>
  <c r="G34" i="7"/>
  <c r="G59" i="7"/>
  <c r="G62" i="7"/>
  <c r="G30" i="7"/>
  <c r="G2" i="7"/>
  <c r="G19" i="7"/>
  <c r="G26" i="7"/>
  <c r="G68" i="7"/>
  <c r="G18" i="5"/>
  <c r="G28" i="5"/>
  <c r="G26" i="5"/>
  <c r="G28" i="4"/>
  <c r="G36" i="4"/>
  <c r="G44" i="4"/>
  <c r="G40" i="4"/>
  <c r="G15" i="4"/>
  <c r="G22" i="4"/>
  <c r="G43" i="4"/>
  <c r="G14" i="4"/>
  <c r="G40" i="3"/>
  <c r="G61" i="3"/>
  <c r="G36" i="3"/>
  <c r="G66" i="3"/>
  <c r="G82" i="3"/>
  <c r="G70" i="3"/>
  <c r="G6" i="3"/>
  <c r="G67" i="3"/>
  <c r="G13" i="1"/>
  <c r="G21" i="1"/>
  <c r="G12" i="1"/>
  <c r="G43" i="1"/>
  <c r="G54" i="9"/>
  <c r="G46" i="9"/>
  <c r="G33" i="9"/>
  <c r="G8" i="9"/>
  <c r="G20" i="9"/>
  <c r="G47" i="9" a="1"/>
  <c r="G55" i="9" a="1"/>
  <c r="G34" i="9" a="1"/>
  <c r="G42" i="8" l="1"/>
  <c r="G22" i="8"/>
  <c r="G34" i="8"/>
  <c r="G15" i="8"/>
  <c r="G46" i="8"/>
  <c r="G11" i="8"/>
  <c r="G13" i="7"/>
  <c r="G25" i="7"/>
  <c r="G5" i="7"/>
  <c r="G3" i="7"/>
  <c r="G10" i="7"/>
  <c r="G55" i="7"/>
  <c r="G58" i="7"/>
  <c r="G16" i="7"/>
  <c r="G51" i="7"/>
  <c r="G46" i="5"/>
  <c r="G45" i="5"/>
  <c r="G29" i="5"/>
  <c r="G40" i="5"/>
  <c r="G24" i="5"/>
  <c r="G31" i="5"/>
  <c r="G27" i="5"/>
  <c r="G20" i="5"/>
  <c r="G44" i="5"/>
  <c r="G32" i="5"/>
  <c r="G12" i="3"/>
  <c r="G64" i="3"/>
  <c r="G4" i="3"/>
  <c r="G28" i="3"/>
  <c r="G44" i="3"/>
  <c r="G18" i="3"/>
  <c r="G78" i="3"/>
  <c r="G46" i="3"/>
  <c r="G26" i="3"/>
  <c r="G9" i="1"/>
  <c r="G5" i="1"/>
  <c r="G40" i="1"/>
  <c r="G4" i="1"/>
  <c r="G6" i="1"/>
  <c r="G20" i="1"/>
  <c r="G42" i="1"/>
  <c r="G36" i="1"/>
  <c r="G34" i="9"/>
  <c r="G47" i="9"/>
  <c r="G55" i="9"/>
  <c r="G49" i="7" l="1"/>
  <c r="G21" i="7"/>
  <c r="G53" i="7"/>
  <c r="G61" i="7"/>
  <c r="G24" i="7"/>
  <c r="G20" i="7"/>
  <c r="G38" i="7"/>
  <c r="G52" i="7"/>
  <c r="G60" i="7"/>
  <c r="G23" i="7"/>
  <c r="G64" i="7"/>
  <c r="G32" i="7"/>
  <c r="G35" i="7"/>
  <c r="G18" i="7"/>
  <c r="G12" i="7"/>
  <c r="G34" i="5"/>
  <c r="G12" i="5"/>
  <c r="G22" i="5"/>
  <c r="G6" i="5"/>
  <c r="G39" i="5"/>
  <c r="J335" i="10" l="1"/>
  <c r="J254" i="10"/>
  <c r="J166" i="10"/>
  <c r="J62" i="10"/>
  <c r="J351" i="10"/>
  <c r="J160" i="10"/>
  <c r="J401" i="10"/>
  <c r="J231" i="10"/>
  <c r="J67" i="10"/>
  <c r="J356" i="10"/>
  <c r="J375" i="10"/>
  <c r="J220" i="10"/>
  <c r="J115" i="10"/>
  <c r="J321" i="10"/>
  <c r="J218" i="10"/>
  <c r="K12" i="10"/>
  <c r="K348" i="10"/>
  <c r="K280" i="10"/>
  <c r="J176" i="10"/>
  <c r="J97" i="10"/>
  <c r="J47" i="10"/>
  <c r="J382" i="10"/>
  <c r="J171" i="10"/>
  <c r="J374" i="10"/>
  <c r="J60" i="10"/>
  <c r="J306" i="10"/>
  <c r="J162" i="10"/>
  <c r="J414" i="10"/>
  <c r="J300" i="10"/>
  <c r="J234" i="10"/>
  <c r="J75" i="10"/>
  <c r="J325" i="10"/>
  <c r="J107" i="10"/>
  <c r="J291" i="10"/>
  <c r="J111" i="10"/>
  <c r="J313" i="10"/>
  <c r="J112" i="10"/>
  <c r="J359" i="10"/>
  <c r="J276" i="10"/>
  <c r="J137" i="10"/>
  <c r="J71" i="10"/>
  <c r="J6" i="10"/>
  <c r="J163" i="10"/>
  <c r="J334" i="10"/>
  <c r="J158" i="10"/>
  <c r="K165" i="10"/>
  <c r="J339" i="10"/>
  <c r="J175" i="10"/>
  <c r="J5" i="10"/>
  <c r="J319" i="10"/>
  <c r="J245" i="10"/>
  <c r="J119" i="10"/>
  <c r="J23" i="10"/>
  <c r="J153" i="10"/>
  <c r="J347" i="10"/>
  <c r="J146" i="10"/>
  <c r="J317" i="10"/>
  <c r="J134" i="10"/>
  <c r="J402" i="10"/>
  <c r="J294" i="10"/>
  <c r="J196" i="10"/>
  <c r="J93" i="10"/>
  <c r="J22" i="10"/>
  <c r="J253" i="10"/>
  <c r="J392" i="10"/>
  <c r="J181" i="10"/>
  <c r="K392" i="10"/>
  <c r="J199" i="10"/>
  <c r="J29" i="10"/>
  <c r="J56" i="10"/>
  <c r="J148" i="10"/>
  <c r="J281" i="10"/>
  <c r="J403" i="10"/>
  <c r="J247" i="10"/>
  <c r="J96" i="10"/>
  <c r="J188" i="10"/>
  <c r="J388" i="10"/>
  <c r="J408" i="10"/>
  <c r="J131" i="10"/>
  <c r="J239" i="10"/>
  <c r="J366" i="10"/>
  <c r="K197" i="10"/>
  <c r="J236" i="10"/>
  <c r="J324" i="10"/>
  <c r="K258" i="10"/>
  <c r="K14" i="10"/>
  <c r="K300" i="10"/>
  <c r="K190" i="10"/>
  <c r="K23" i="10"/>
  <c r="K82" i="10"/>
  <c r="K191" i="10"/>
  <c r="K321" i="10"/>
  <c r="K122" i="10"/>
  <c r="K331" i="10"/>
  <c r="K194" i="10"/>
  <c r="K71" i="10"/>
  <c r="K357" i="10"/>
  <c r="K334" i="10"/>
  <c r="K380" i="10"/>
  <c r="K400" i="10"/>
  <c r="J308" i="10"/>
  <c r="K236" i="10"/>
  <c r="K139" i="10"/>
  <c r="K43" i="10"/>
  <c r="K264" i="10"/>
  <c r="K129" i="10"/>
  <c r="J391" i="10"/>
  <c r="J200" i="10"/>
  <c r="J14" i="10"/>
  <c r="J340" i="10"/>
  <c r="K363" i="10"/>
  <c r="K183" i="10"/>
  <c r="K88" i="10"/>
  <c r="K314" i="10"/>
  <c r="J127" i="10"/>
  <c r="J405" i="10"/>
  <c r="J331" i="10"/>
  <c r="J249" i="10"/>
  <c r="J151" i="10"/>
  <c r="J90" i="10"/>
  <c r="J34" i="10"/>
  <c r="J367" i="10"/>
  <c r="J118" i="10"/>
  <c r="J284" i="10"/>
  <c r="J397" i="10"/>
  <c r="J261" i="10"/>
  <c r="J100" i="10"/>
  <c r="J373" i="10"/>
  <c r="J288" i="10"/>
  <c r="J190" i="10"/>
  <c r="J52" i="10"/>
  <c r="J244" i="10"/>
  <c r="J413" i="10"/>
  <c r="J202" i="10"/>
  <c r="J51" i="10"/>
  <c r="J248" i="10"/>
  <c r="J58" i="10"/>
  <c r="J346" i="10"/>
  <c r="J225" i="10"/>
  <c r="J117" i="10"/>
  <c r="J59" i="10"/>
  <c r="J357" i="10"/>
  <c r="J114" i="10"/>
  <c r="J318" i="10"/>
  <c r="J66" i="10"/>
  <c r="J72" i="10"/>
  <c r="J286" i="10"/>
  <c r="J161" i="10"/>
  <c r="J407" i="10"/>
  <c r="J297" i="10"/>
  <c r="J233" i="10"/>
  <c r="J94" i="10"/>
  <c r="J292" i="10"/>
  <c r="J208" i="10"/>
  <c r="J109" i="10"/>
  <c r="J31" i="10"/>
  <c r="J237" i="10"/>
  <c r="J79" i="10"/>
  <c r="J354" i="10"/>
  <c r="J170" i="10"/>
  <c r="J2" i="10"/>
  <c r="J301" i="10"/>
  <c r="J341" i="10"/>
  <c r="J154" i="10"/>
  <c r="J36" i="10"/>
  <c r="J289" i="10"/>
  <c r="J122" i="10"/>
  <c r="J387" i="10"/>
  <c r="J311" i="10"/>
  <c r="J235" i="10"/>
  <c r="J130" i="10"/>
  <c r="J73" i="10"/>
  <c r="J25" i="10"/>
  <c r="J283" i="10"/>
  <c r="K68" i="10"/>
  <c r="J229" i="10"/>
  <c r="J390" i="10"/>
  <c r="J223" i="10"/>
  <c r="J45" i="10"/>
  <c r="J352" i="10"/>
  <c r="J266" i="10"/>
  <c r="J150" i="10"/>
  <c r="J42" i="10"/>
  <c r="J182" i="10"/>
  <c r="J372" i="10"/>
  <c r="J180" i="10"/>
  <c r="J369" i="10"/>
  <c r="J205" i="10"/>
  <c r="J7" i="10"/>
  <c r="J310" i="10"/>
  <c r="J210" i="10"/>
  <c r="J103" i="10"/>
  <c r="J30" i="10"/>
  <c r="J278" i="10"/>
  <c r="J27" i="10"/>
  <c r="J226" i="10"/>
  <c r="J55" i="10"/>
  <c r="J396" i="10"/>
  <c r="J258" i="10"/>
  <c r="J87" i="10"/>
  <c r="J364" i="10"/>
  <c r="J287" i="10"/>
  <c r="J198" i="10"/>
  <c r="J50" i="10"/>
  <c r="J243" i="10"/>
  <c r="J48" i="10"/>
  <c r="J191" i="10"/>
  <c r="J38" i="10"/>
  <c r="J279" i="10"/>
  <c r="J39" i="10"/>
  <c r="J338" i="10"/>
  <c r="J246" i="10"/>
  <c r="J113" i="10"/>
  <c r="J57" i="10"/>
  <c r="J379" i="10"/>
  <c r="J95" i="10"/>
  <c r="J307" i="10"/>
  <c r="J92" i="10"/>
  <c r="K66" i="10"/>
  <c r="J104" i="10"/>
  <c r="J216" i="10"/>
  <c r="J333" i="10"/>
  <c r="J33" i="10"/>
  <c r="J126" i="10"/>
  <c r="J328" i="10"/>
  <c r="J174" i="10"/>
  <c r="J46" i="10"/>
  <c r="J74" i="10"/>
  <c r="J178" i="10"/>
  <c r="J270" i="10"/>
  <c r="J361" i="10"/>
  <c r="J110" i="10"/>
  <c r="K157" i="10"/>
  <c r="K262" i="10"/>
  <c r="J314" i="10"/>
  <c r="K354" i="10"/>
  <c r="K162" i="10"/>
  <c r="J269" i="10"/>
  <c r="J187" i="10"/>
  <c r="J381" i="10"/>
  <c r="J406" i="10"/>
  <c r="J298" i="10"/>
  <c r="K9" i="10"/>
  <c r="J345" i="10"/>
  <c r="J250" i="10"/>
  <c r="J358" i="10"/>
  <c r="J377" i="10"/>
  <c r="J24" i="10"/>
  <c r="J209" i="10"/>
  <c r="J350" i="10"/>
  <c r="J299" i="10"/>
  <c r="J322" i="10"/>
  <c r="J296" i="10"/>
  <c r="J355" i="10"/>
  <c r="J172" i="10"/>
  <c r="J410" i="10"/>
  <c r="J330" i="10"/>
  <c r="K156" i="10"/>
  <c r="K29" i="10"/>
  <c r="K148" i="10"/>
  <c r="K403" i="10"/>
  <c r="K96" i="10"/>
  <c r="K388" i="10"/>
  <c r="K131" i="10"/>
  <c r="K366" i="10"/>
  <c r="J129" i="10"/>
  <c r="K200" i="10"/>
  <c r="K340" i="10"/>
  <c r="K128" i="10"/>
  <c r="K237" i="10"/>
  <c r="K305" i="10"/>
  <c r="K296" i="10"/>
  <c r="K402" i="10"/>
  <c r="K225" i="10"/>
  <c r="K47" i="10"/>
  <c r="K171" i="10"/>
  <c r="J380" i="10"/>
  <c r="J275" i="10"/>
  <c r="J139" i="10"/>
  <c r="J165" i="10"/>
  <c r="K231" i="10"/>
  <c r="K11" i="10"/>
  <c r="K297" i="10"/>
  <c r="K166" i="10"/>
  <c r="K19" i="10"/>
  <c r="K79" i="10"/>
  <c r="K180" i="10"/>
  <c r="K320" i="10"/>
  <c r="K112" i="10"/>
  <c r="K327" i="10"/>
  <c r="K196" i="10"/>
  <c r="K69" i="10"/>
  <c r="K283" i="10"/>
  <c r="K374" i="10"/>
  <c r="K145" i="10"/>
  <c r="J28" i="10"/>
  <c r="J140" i="10"/>
  <c r="J43" i="10"/>
  <c r="K401" i="10"/>
  <c r="K223" i="10"/>
  <c r="K5" i="10"/>
  <c r="K292" i="10"/>
  <c r="K150" i="10"/>
  <c r="K393" i="10"/>
  <c r="K48" i="10"/>
  <c r="K179" i="10"/>
  <c r="K317" i="10"/>
  <c r="K86" i="10"/>
  <c r="K311" i="10"/>
  <c r="K176" i="10"/>
  <c r="K59" i="10"/>
  <c r="K278" i="10"/>
  <c r="K371" i="10"/>
  <c r="K92" i="10"/>
  <c r="K135" i="10"/>
  <c r="K222" i="10"/>
  <c r="K404" i="10"/>
  <c r="K378" i="10"/>
  <c r="K272" i="10"/>
  <c r="K201" i="10"/>
  <c r="K152" i="10"/>
  <c r="K20" i="10"/>
  <c r="K386" i="10"/>
  <c r="K344" i="10"/>
  <c r="K293" i="10"/>
  <c r="K255" i="10"/>
  <c r="K213" i="10"/>
  <c r="K169" i="10"/>
  <c r="K116" i="10"/>
  <c r="K70" i="10"/>
  <c r="K40" i="10"/>
  <c r="K383" i="10"/>
  <c r="K240" i="10"/>
  <c r="K177" i="10"/>
  <c r="K81" i="10"/>
  <c r="K398" i="10"/>
  <c r="K342" i="10"/>
  <c r="K232" i="10"/>
  <c r="K168" i="10"/>
  <c r="K123" i="10"/>
  <c r="K37" i="10"/>
  <c r="K329" i="10"/>
  <c r="K290" i="10"/>
  <c r="K219" i="10"/>
  <c r="K133" i="10"/>
  <c r="K99" i="10"/>
  <c r="K409" i="10"/>
  <c r="K365" i="10"/>
  <c r="K332" i="10"/>
  <c r="K302" i="10"/>
  <c r="K257" i="10"/>
  <c r="K221" i="10"/>
  <c r="K193" i="10"/>
  <c r="K136" i="10"/>
  <c r="K98" i="10"/>
  <c r="K84" i="10"/>
  <c r="K54" i="10"/>
  <c r="K26" i="10"/>
  <c r="K394" i="10"/>
  <c r="K304" i="10"/>
  <c r="K252" i="10"/>
  <c r="K120" i="10"/>
  <c r="K8" i="10"/>
  <c r="K336" i="10"/>
  <c r="K285" i="10"/>
  <c r="K215" i="10"/>
  <c r="K155" i="10"/>
  <c r="K61" i="10"/>
  <c r="J88" i="10"/>
  <c r="K385" i="10"/>
  <c r="K170" i="10"/>
  <c r="K373" i="10"/>
  <c r="K260" i="10"/>
  <c r="K94" i="10"/>
  <c r="K243" i="10"/>
  <c r="K370" i="10"/>
  <c r="K115" i="10"/>
  <c r="K251" i="10"/>
  <c r="J192" i="10"/>
  <c r="K324" i="10"/>
  <c r="J4" i="10"/>
  <c r="J251" i="10"/>
  <c r="J211" i="10"/>
  <c r="J230" i="10"/>
  <c r="J185" i="10"/>
  <c r="J128" i="10"/>
  <c r="J132" i="10"/>
  <c r="J295" i="10"/>
  <c r="J256" i="10"/>
  <c r="J385" i="10"/>
  <c r="J260" i="10"/>
  <c r="J214" i="10"/>
  <c r="J179" i="10"/>
  <c r="J204" i="10"/>
  <c r="J327" i="10"/>
  <c r="J102" i="10"/>
  <c r="J277" i="10"/>
  <c r="J274" i="10"/>
  <c r="K55" i="10"/>
  <c r="K216" i="10"/>
  <c r="K33" i="10"/>
  <c r="K328" i="10"/>
  <c r="K46" i="10"/>
  <c r="K178" i="10"/>
  <c r="K361" i="10"/>
  <c r="J157" i="10"/>
  <c r="J106" i="10"/>
  <c r="K87" i="10"/>
  <c r="K287" i="10"/>
  <c r="K76" i="10"/>
  <c r="K160" i="10"/>
  <c r="K146" i="10"/>
  <c r="K248" i="10"/>
  <c r="K359" i="10"/>
  <c r="K151" i="10"/>
  <c r="K25" i="10"/>
  <c r="K95" i="10"/>
  <c r="J228" i="10"/>
  <c r="K275" i="10"/>
  <c r="J363" i="10"/>
  <c r="K391" i="10"/>
  <c r="K185" i="10"/>
  <c r="K407" i="10"/>
  <c r="K269" i="10"/>
  <c r="K119" i="10"/>
  <c r="K299" i="10"/>
  <c r="K375" i="10"/>
  <c r="K138" i="10"/>
  <c r="K289" i="10"/>
  <c r="K7" i="10"/>
  <c r="K295" i="10"/>
  <c r="K137" i="10"/>
  <c r="K44" i="10"/>
  <c r="K253" i="10"/>
  <c r="K330" i="10"/>
  <c r="K60" i="10"/>
  <c r="K28" i="10"/>
  <c r="K140" i="10"/>
  <c r="J183" i="10"/>
  <c r="K390" i="10"/>
  <c r="K175" i="10"/>
  <c r="K381" i="10"/>
  <c r="K266" i="10"/>
  <c r="K109" i="10"/>
  <c r="K244" i="10"/>
  <c r="K372" i="10"/>
  <c r="K132" i="10"/>
  <c r="K279" i="10"/>
  <c r="K412" i="10"/>
  <c r="K294" i="10"/>
  <c r="K130" i="10"/>
  <c r="K34" i="10"/>
  <c r="K230" i="10"/>
  <c r="K318" i="10"/>
  <c r="J303" i="10"/>
  <c r="J85" i="10"/>
  <c r="J64" i="10"/>
  <c r="J395" i="10"/>
  <c r="J337" i="10"/>
  <c r="J241" i="10"/>
  <c r="J173" i="10"/>
  <c r="J77" i="10"/>
  <c r="J3" i="10"/>
  <c r="J360" i="10"/>
  <c r="J309" i="10"/>
  <c r="J271" i="10"/>
  <c r="J242" i="10"/>
  <c r="J195" i="10"/>
  <c r="J143" i="10"/>
  <c r="J80" i="10"/>
  <c r="J49" i="10"/>
  <c r="J21" i="10"/>
  <c r="J273" i="10"/>
  <c r="J203" i="10"/>
  <c r="J144" i="10"/>
  <c r="J18" i="10"/>
  <c r="J368" i="10"/>
  <c r="J315" i="10"/>
  <c r="J184" i="10"/>
  <c r="J142" i="10"/>
  <c r="J101" i="10"/>
  <c r="J411" i="10"/>
  <c r="J316" i="10"/>
  <c r="J268" i="10"/>
  <c r="J189" i="10"/>
  <c r="J124" i="10"/>
  <c r="J16" i="10"/>
  <c r="J389" i="10"/>
  <c r="J353" i="10"/>
  <c r="J312" i="10"/>
  <c r="J282" i="10"/>
  <c r="J238" i="10"/>
  <c r="J206" i="10"/>
  <c r="J164" i="10"/>
  <c r="J108" i="10"/>
  <c r="J91" i="10"/>
  <c r="J65" i="10"/>
  <c r="J35" i="10"/>
  <c r="J15" i="10"/>
  <c r="J376" i="10"/>
  <c r="J263" i="10"/>
  <c r="J217" i="10"/>
  <c r="J83" i="10"/>
  <c r="J384" i="10"/>
  <c r="J326" i="10"/>
  <c r="J259" i="10"/>
  <c r="J167" i="10"/>
  <c r="J78" i="10"/>
  <c r="J13" i="10"/>
  <c r="J280" i="10"/>
  <c r="K308" i="10"/>
  <c r="K100" i="10"/>
  <c r="K350" i="10"/>
  <c r="K234" i="10"/>
  <c r="K52" i="10"/>
  <c r="K182" i="10"/>
  <c r="K322" i="10"/>
  <c r="K38" i="10"/>
  <c r="K204" i="10"/>
  <c r="K362" i="10"/>
  <c r="K235" i="10"/>
  <c r="K97" i="10"/>
  <c r="K6" i="10"/>
  <c r="K114" i="10"/>
  <c r="K226" i="10"/>
  <c r="J265" i="10"/>
  <c r="J305" i="10"/>
  <c r="J86" i="10"/>
  <c r="K106" i="10"/>
  <c r="J399" i="10"/>
  <c r="J11" i="10"/>
  <c r="J393" i="10"/>
  <c r="J320" i="10"/>
  <c r="J194" i="10"/>
  <c r="J371" i="10"/>
  <c r="J212" i="10"/>
  <c r="J149" i="10"/>
  <c r="J82" i="10"/>
  <c r="J105" i="10"/>
  <c r="J125" i="10"/>
  <c r="J267" i="10"/>
  <c r="J69" i="10"/>
  <c r="J227" i="10"/>
  <c r="J156" i="10"/>
  <c r="K199" i="10"/>
  <c r="K56" i="10"/>
  <c r="K281" i="10"/>
  <c r="K247" i="10"/>
  <c r="J76" i="10"/>
  <c r="J19" i="10"/>
  <c r="K63" i="10"/>
  <c r="J147" i="10"/>
  <c r="J41" i="10"/>
  <c r="J207" i="10"/>
  <c r="K104" i="10"/>
  <c r="K188" i="10"/>
  <c r="K239" i="10"/>
  <c r="K396" i="10"/>
  <c r="K254" i="10"/>
  <c r="K413" i="10"/>
  <c r="K147" i="10"/>
  <c r="K113" i="10"/>
  <c r="K284" i="10"/>
  <c r="J141" i="10"/>
  <c r="K345" i="10"/>
  <c r="K356" i="10"/>
  <c r="K75" i="10"/>
  <c r="K347" i="10"/>
  <c r="K218" i="10"/>
  <c r="K249" i="10"/>
  <c r="K24" i="10"/>
  <c r="K274" i="10"/>
  <c r="J343" i="10"/>
  <c r="J348" i="10"/>
  <c r="K121" i="10"/>
  <c r="K245" i="10"/>
  <c r="K187" i="10"/>
  <c r="K51" i="10"/>
  <c r="K377" i="10"/>
  <c r="K102" i="10"/>
  <c r="K118" i="10"/>
  <c r="K303" i="10"/>
  <c r="K64" i="10"/>
  <c r="K337" i="10"/>
  <c r="K173" i="10"/>
  <c r="K3" i="10"/>
  <c r="K309" i="10"/>
  <c r="K242" i="10"/>
  <c r="K143" i="10"/>
  <c r="K49" i="10"/>
  <c r="K273" i="10"/>
  <c r="K144" i="10"/>
  <c r="K368" i="10"/>
  <c r="K184" i="10"/>
  <c r="K101" i="10"/>
  <c r="K316" i="10"/>
  <c r="K189" i="10"/>
  <c r="K16" i="10"/>
  <c r="K353" i="10"/>
  <c r="K282" i="10"/>
  <c r="K206" i="10"/>
  <c r="K108" i="10"/>
  <c r="K65" i="10"/>
  <c r="K15" i="10"/>
  <c r="K263" i="10"/>
  <c r="K83" i="10"/>
  <c r="K326" i="10"/>
  <c r="K167" i="10"/>
  <c r="K13" i="10"/>
  <c r="K261" i="10"/>
  <c r="K301" i="10"/>
  <c r="K31" i="10"/>
  <c r="K202" i="10"/>
  <c r="K125" i="10"/>
  <c r="K310" i="10"/>
  <c r="K117" i="10"/>
  <c r="K367" i="10"/>
  <c r="K335" i="10"/>
  <c r="K53" i="10"/>
  <c r="K228" i="10"/>
  <c r="K105" i="10"/>
  <c r="K103" i="10"/>
  <c r="J224" i="10"/>
  <c r="K339" i="10"/>
  <c r="K62" i="10"/>
  <c r="K205" i="10"/>
  <c r="K229" i="10"/>
  <c r="K395" i="10"/>
  <c r="K77" i="10"/>
  <c r="K271" i="10"/>
  <c r="K80" i="10"/>
  <c r="K203" i="10"/>
  <c r="K315" i="10"/>
  <c r="K411" i="10"/>
  <c r="K124" i="10"/>
  <c r="K312" i="10"/>
  <c r="K91" i="10"/>
  <c r="K376" i="10"/>
  <c r="K384" i="10"/>
  <c r="K78" i="10"/>
  <c r="K32" i="10"/>
  <c r="K107" i="10"/>
  <c r="K405" i="10"/>
  <c r="K57" i="10"/>
  <c r="K158" i="10"/>
  <c r="J362" i="10"/>
  <c r="J32" i="10"/>
  <c r="J412" i="10"/>
  <c r="J53" i="10"/>
  <c r="K174" i="10"/>
  <c r="J262" i="10"/>
  <c r="K325" i="10"/>
  <c r="K267" i="10"/>
  <c r="J400" i="10"/>
  <c r="K208" i="10"/>
  <c r="K17" i="10"/>
  <c r="K90" i="10"/>
  <c r="K224" i="10"/>
  <c r="K265" i="10"/>
  <c r="K41" i="10"/>
  <c r="K127" i="10"/>
  <c r="K379" i="10"/>
  <c r="J222" i="10"/>
  <c r="J201" i="10"/>
  <c r="J344" i="10"/>
  <c r="J169" i="10"/>
  <c r="J383" i="10"/>
  <c r="J398" i="10"/>
  <c r="J123" i="10"/>
  <c r="J99" i="10"/>
  <c r="J302" i="10"/>
  <c r="J136" i="10"/>
  <c r="J26" i="10"/>
  <c r="J120" i="10"/>
  <c r="J215" i="10"/>
  <c r="K397" i="10"/>
  <c r="K149" i="10"/>
  <c r="K313" i="10"/>
  <c r="K172" i="10"/>
  <c r="K399" i="10"/>
  <c r="J121" i="10"/>
  <c r="J145" i="10"/>
  <c r="J89" i="10"/>
  <c r="J370" i="10"/>
  <c r="J44" i="10"/>
  <c r="K333" i="10"/>
  <c r="K74" i="10"/>
  <c r="K110" i="10"/>
  <c r="K306" i="10"/>
  <c r="K233" i="10"/>
  <c r="K358" i="10"/>
  <c r="K39" i="10"/>
  <c r="K93" i="10"/>
  <c r="K209" i="10"/>
  <c r="K141" i="10"/>
  <c r="K286" i="10"/>
  <c r="K323" i="10"/>
  <c r="K42" i="10"/>
  <c r="K291" i="10"/>
  <c r="K134" i="10"/>
  <c r="K211" i="10"/>
  <c r="K382" i="10"/>
  <c r="K186" i="10"/>
  <c r="K343" i="10"/>
  <c r="J9" i="10"/>
  <c r="K45" i="10"/>
  <c r="K198" i="10"/>
  <c r="K153" i="10"/>
  <c r="K406" i="10"/>
  <c r="K346" i="10"/>
  <c r="K89" i="10"/>
  <c r="K10" i="10"/>
  <c r="J135" i="10"/>
  <c r="J404" i="10"/>
  <c r="J272" i="10"/>
  <c r="J152" i="10"/>
  <c r="J386" i="10"/>
  <c r="J293" i="10"/>
  <c r="J213" i="10"/>
  <c r="J116" i="10"/>
  <c r="J40" i="10"/>
  <c r="J240" i="10"/>
  <c r="J81" i="10"/>
  <c r="J342" i="10"/>
  <c r="J168" i="10"/>
  <c r="J37" i="10"/>
  <c r="J290" i="10"/>
  <c r="J133" i="10"/>
  <c r="J409" i="10"/>
  <c r="J332" i="10"/>
  <c r="J257" i="10"/>
  <c r="J193" i="10"/>
  <c r="J98" i="10"/>
  <c r="J54" i="10"/>
  <c r="J394" i="10"/>
  <c r="J252" i="10"/>
  <c r="J8" i="10"/>
  <c r="J285" i="10"/>
  <c r="J155" i="10"/>
  <c r="J264" i="10"/>
  <c r="K212" i="10"/>
  <c r="K288" i="10"/>
  <c r="K351" i="10"/>
  <c r="K154" i="10"/>
  <c r="K58" i="10"/>
  <c r="K276" i="10"/>
  <c r="K73" i="10"/>
  <c r="K277" i="10"/>
  <c r="K307" i="10"/>
  <c r="J138" i="10"/>
  <c r="J323" i="10"/>
  <c r="J186" i="10"/>
  <c r="J17" i="10"/>
  <c r="J10" i="10"/>
  <c r="K126" i="10"/>
  <c r="K408" i="10"/>
  <c r="J197" i="10"/>
  <c r="K414" i="10"/>
  <c r="K50" i="10"/>
  <c r="K111" i="10"/>
  <c r="K298" i="10"/>
  <c r="K410" i="10"/>
  <c r="J12" i="10"/>
  <c r="K161" i="10"/>
  <c r="K250" i="10"/>
  <c r="K214" i="10"/>
  <c r="K387" i="10"/>
  <c r="K163" i="10"/>
  <c r="J349" i="10"/>
  <c r="K352" i="10"/>
  <c r="K341" i="10"/>
  <c r="K246" i="10"/>
  <c r="K22" i="10"/>
  <c r="K85" i="10"/>
  <c r="K241" i="10"/>
  <c r="K360" i="10"/>
  <c r="K195" i="10"/>
  <c r="K21" i="10"/>
  <c r="K18" i="10"/>
  <c r="K142" i="10"/>
  <c r="K268" i="10"/>
  <c r="K389" i="10"/>
  <c r="K238" i="10"/>
  <c r="K164" i="10"/>
  <c r="K35" i="10"/>
  <c r="K217" i="10"/>
  <c r="K259" i="10"/>
  <c r="J68" i="10"/>
  <c r="K192" i="10"/>
  <c r="K369" i="10"/>
  <c r="K207" i="10"/>
  <c r="K227" i="10"/>
  <c r="J159" i="10"/>
  <c r="K270" i="10"/>
  <c r="K364" i="10"/>
  <c r="K36" i="10"/>
  <c r="K256" i="10"/>
  <c r="J63" i="10"/>
  <c r="K67" i="10"/>
  <c r="K159" i="10"/>
  <c r="K355" i="10"/>
  <c r="K27" i="10"/>
  <c r="K349" i="10"/>
  <c r="K319" i="10"/>
  <c r="K220" i="10"/>
  <c r="K210" i="10"/>
  <c r="K181" i="10"/>
  <c r="J378" i="10"/>
  <c r="J20" i="10"/>
  <c r="J255" i="10"/>
  <c r="J70" i="10"/>
  <c r="J177" i="10"/>
  <c r="J232" i="10"/>
  <c r="J329" i="10"/>
  <c r="J219" i="10"/>
  <c r="J365" i="10"/>
  <c r="J221" i="10"/>
  <c r="J84" i="10"/>
  <c r="J304" i="10"/>
  <c r="J336" i="10"/>
  <c r="J61" i="10"/>
  <c r="K2" i="10"/>
  <c r="K4" i="10"/>
  <c r="K338" i="10"/>
  <c r="K30" i="10"/>
  <c r="K7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<sst xmlns="http://schemas.openxmlformats.org/spreadsheetml/2006/main" count="5277" uniqueCount="1530">
  <si>
    <t>Name</t>
  </si>
  <si>
    <t>Native</t>
  </si>
  <si>
    <t>Status</t>
  </si>
  <si>
    <t>City / District / County</t>
  </si>
  <si>
    <t>Population</t>
  </si>
  <si>
    <t>Báiyù Xiāng</t>
  </si>
  <si>
    <t>白玉乡</t>
  </si>
  <si>
    <t>Rural Township</t>
  </si>
  <si>
    <t>Jiŭzhì Xiàn</t>
  </si>
  <si>
    <t>Dákă Xiāng</t>
  </si>
  <si>
    <t>达卡乡</t>
  </si>
  <si>
    <t>Bānmă Xiàn</t>
  </si>
  <si>
    <t>Dāngluò Xiāng</t>
  </si>
  <si>
    <t>当洛乡</t>
  </si>
  <si>
    <t>Măqìn Xiàn</t>
  </si>
  <si>
    <t>Dàwŭ Xiāng</t>
  </si>
  <si>
    <t>大武乡</t>
  </si>
  <si>
    <t>Dàwŭ Zhèn</t>
  </si>
  <si>
    <t>大武镇</t>
  </si>
  <si>
    <t>Town</t>
  </si>
  <si>
    <t>Dé'áng Xiāng</t>
  </si>
  <si>
    <t>德昂乡</t>
  </si>
  <si>
    <t>Dárì Xiàn</t>
  </si>
  <si>
    <t>Dēngtă Xiāng</t>
  </si>
  <si>
    <t>灯塔乡</t>
  </si>
  <si>
    <t>Dōngqīnggōu Xiāng</t>
  </si>
  <si>
    <t>东倾沟乡</t>
  </si>
  <si>
    <t>Duōgòngmá Xiāng</t>
  </si>
  <si>
    <t>多贡麻乡</t>
  </si>
  <si>
    <t>Gănglóng Xiāng</t>
  </si>
  <si>
    <t>岗龙乡</t>
  </si>
  <si>
    <t>Gāndé Xiàn</t>
  </si>
  <si>
    <t>Huánghé Xiāng</t>
  </si>
  <si>
    <t>黄河乡</t>
  </si>
  <si>
    <t>Măduō Xiàn</t>
  </si>
  <si>
    <t>Huāshíxiá Zhèn</t>
  </si>
  <si>
    <t>花石峡镇</t>
  </si>
  <si>
    <t>Jiāngqiān Xiāng</t>
  </si>
  <si>
    <t>江千乡</t>
  </si>
  <si>
    <t>Jiāngrìtáng Xiāng</t>
  </si>
  <si>
    <t>江日堂乡</t>
  </si>
  <si>
    <t>Jiànshè Xiāng</t>
  </si>
  <si>
    <t>建设乡</t>
  </si>
  <si>
    <t>Jíkă Xiāng</t>
  </si>
  <si>
    <t>吉卡乡</t>
  </si>
  <si>
    <t>Jímài Zhèn</t>
  </si>
  <si>
    <t>吉迈镇</t>
  </si>
  <si>
    <t>Kēqŭ Zhèn</t>
  </si>
  <si>
    <t>柯曲镇</t>
  </si>
  <si>
    <t>Lājiā Zhèn</t>
  </si>
  <si>
    <t>拉加镇</t>
  </si>
  <si>
    <t>Măchálĭ Zhèn</t>
  </si>
  <si>
    <t>玛查理镇</t>
  </si>
  <si>
    <t>Măkĕhé Xiāng</t>
  </si>
  <si>
    <t>马可河乡</t>
  </si>
  <si>
    <t>Mănzhăng Xiāng</t>
  </si>
  <si>
    <t>满掌乡</t>
  </si>
  <si>
    <t>Méntáng Xiāng</t>
  </si>
  <si>
    <t>门堂乡</t>
  </si>
  <si>
    <t>Mòbà Xiāng</t>
  </si>
  <si>
    <t>莫坝乡</t>
  </si>
  <si>
    <t>Qīngzhēn Xiāng</t>
  </si>
  <si>
    <t>青珍乡</t>
  </si>
  <si>
    <t>Sàiláitáng Zhèn</t>
  </si>
  <si>
    <t>赛来塘镇</t>
  </si>
  <si>
    <t>Sāngrìmá Xiāng</t>
  </si>
  <si>
    <t>桑日麻乡</t>
  </si>
  <si>
    <t>Shànggòngmá Xiāng</t>
  </si>
  <si>
    <t>上贡麻乡</t>
  </si>
  <si>
    <t>Shànghóngkē Xiāng</t>
  </si>
  <si>
    <t>上红科乡</t>
  </si>
  <si>
    <t>Suŏhū Rìmá Xiāng</t>
  </si>
  <si>
    <t>索呼日麻乡</t>
  </si>
  <si>
    <t>Tèhétŭ Xiāng</t>
  </si>
  <si>
    <t>特合土乡</t>
  </si>
  <si>
    <t>Wā'ĕryī Xiāng</t>
  </si>
  <si>
    <t>哇尔依乡</t>
  </si>
  <si>
    <t>Wāsài Xiāng</t>
  </si>
  <si>
    <t>哇赛乡</t>
  </si>
  <si>
    <t>Wōsài Xiāng</t>
  </si>
  <si>
    <t>窝赛乡</t>
  </si>
  <si>
    <t>Xiàdàwŭ Xiāng</t>
  </si>
  <si>
    <t>下大武乡</t>
  </si>
  <si>
    <t>Xiàgòngmá Xiāng</t>
  </si>
  <si>
    <t>下贡麻乡</t>
  </si>
  <si>
    <t>Xiàhóngkē Xiāng</t>
  </si>
  <si>
    <t>下红科乡</t>
  </si>
  <si>
    <t>Xiàzàngkē Xiāng</t>
  </si>
  <si>
    <t>下藏科乡</t>
  </si>
  <si>
    <t>Xuĕshān Xiāng</t>
  </si>
  <si>
    <t>雪山乡</t>
  </si>
  <si>
    <t>Yà'ĕrtáng Xiāng</t>
  </si>
  <si>
    <t>亚尔堂乡</t>
  </si>
  <si>
    <t>Yōuyún Xiāng</t>
  </si>
  <si>
    <t>优云乡</t>
  </si>
  <si>
    <t>Zhālínghú Xiāng</t>
  </si>
  <si>
    <t>扎陵湖乡</t>
  </si>
  <si>
    <t>Zhìqīng Sōngduō Zhèn</t>
  </si>
  <si>
    <t>智青松多镇</t>
  </si>
  <si>
    <t>Zhīqīn Xiāng</t>
  </si>
  <si>
    <t>知钦乡</t>
  </si>
  <si>
    <t>Āróu Xiāng</t>
  </si>
  <si>
    <t>阿柔乡</t>
  </si>
  <si>
    <t>Qílián Xiàn</t>
  </si>
  <si>
    <t>Bābăo Zhèn</t>
  </si>
  <si>
    <t>八宝镇</t>
  </si>
  <si>
    <t>Bĕishān Xiāng</t>
  </si>
  <si>
    <t>北山乡</t>
  </si>
  <si>
    <t>Ményuán Huízú Zìzhìxiàn</t>
  </si>
  <si>
    <t>Dōngchuān Zhèn</t>
  </si>
  <si>
    <t>东川镇</t>
  </si>
  <si>
    <t>Ébăo Zhèn</t>
  </si>
  <si>
    <t>峨堡镇</t>
  </si>
  <si>
    <t>Gānzihé Xiāng</t>
  </si>
  <si>
    <t>甘子河乡</t>
  </si>
  <si>
    <t>Hăiyàn Xiàn</t>
  </si>
  <si>
    <t>Hā'ĕrgài Zhèn</t>
  </si>
  <si>
    <t>哈尔盖镇</t>
  </si>
  <si>
    <t>Gāngchá Xiàn</t>
  </si>
  <si>
    <t>Hālèjĭng Mĕnggŭzú Xiāng</t>
  </si>
  <si>
    <t>哈勒景蒙古族乡</t>
  </si>
  <si>
    <t>Hàomén Zhèn</t>
  </si>
  <si>
    <t>浩门镇</t>
  </si>
  <si>
    <t>Huángchéng Mĕnggŭzú Xiāng</t>
  </si>
  <si>
    <t>皇城蒙古族乡</t>
  </si>
  <si>
    <t>Jí'ĕrmèng Xiāng</t>
  </si>
  <si>
    <t>吉尔孟乡</t>
  </si>
  <si>
    <t>Jīntān Xiāng</t>
  </si>
  <si>
    <t>金滩乡</t>
  </si>
  <si>
    <t>Málián Xiāng</t>
  </si>
  <si>
    <t>麻莲乡</t>
  </si>
  <si>
    <t>Ményuán Jiānyù</t>
  </si>
  <si>
    <t>门源监狱</t>
  </si>
  <si>
    <t>Township-like Area</t>
  </si>
  <si>
    <t>Ményuánzhŏng Măchăng</t>
  </si>
  <si>
    <t>门源种马场</t>
  </si>
  <si>
    <t>Mòlè Zhèn</t>
  </si>
  <si>
    <t>默勒镇</t>
  </si>
  <si>
    <t>Qīnghăihú Nóngchăng</t>
  </si>
  <si>
    <t>青海湖农场</t>
  </si>
  <si>
    <t>Qīnghăihú Xiāng</t>
  </si>
  <si>
    <t>青海湖乡</t>
  </si>
  <si>
    <t>Qīngshíjŭ Zhèn</t>
  </si>
  <si>
    <t>青石咀镇</t>
  </si>
  <si>
    <t>Quánjí Xiāng</t>
  </si>
  <si>
    <t>泉吉乡</t>
  </si>
  <si>
    <t>Quánkŏu Zhèn</t>
  </si>
  <si>
    <t>泉口镇</t>
  </si>
  <si>
    <t>Sānjiăochéng Zhèn</t>
  </si>
  <si>
    <t>三角城镇</t>
  </si>
  <si>
    <t>Sānjiăochéng Zhŏngyángchăng</t>
  </si>
  <si>
    <t>三角城种羊场</t>
  </si>
  <si>
    <t>Shāliŭhé Zhèn</t>
  </si>
  <si>
    <t>沙柳河镇</t>
  </si>
  <si>
    <t>Sūjítān Xiāng</t>
  </si>
  <si>
    <t>苏吉滩乡</t>
  </si>
  <si>
    <t>Xiānmĭ Xiāng</t>
  </si>
  <si>
    <t>仙米乡</t>
  </si>
  <si>
    <t>Xīhăi Zhèn</t>
  </si>
  <si>
    <t>西海镇</t>
  </si>
  <si>
    <t>Xītān Xiāng</t>
  </si>
  <si>
    <t>西滩乡</t>
  </si>
  <si>
    <t>Yānglóng Xiāng</t>
  </si>
  <si>
    <t>央隆乡</t>
  </si>
  <si>
    <t>Yĕniúgōu Xiāng</t>
  </si>
  <si>
    <t>野牛沟乡</t>
  </si>
  <si>
    <t>Yīkèwūlán Xiāng</t>
  </si>
  <si>
    <t>伊克乌兰乡</t>
  </si>
  <si>
    <t>Yīntián Xiāng</t>
  </si>
  <si>
    <t>阴田乡</t>
  </si>
  <si>
    <t>Zhāmáshí Xiāng</t>
  </si>
  <si>
    <t>扎麻什乡</t>
  </si>
  <si>
    <t>Zhūgù Xiāng</t>
  </si>
  <si>
    <t>珠固乡</t>
  </si>
  <si>
    <t>Ángsīduō Zhèn</t>
  </si>
  <si>
    <t>昂思多镇</t>
  </si>
  <si>
    <t>Huàlóng Huízú Zìzhìxiàn</t>
  </si>
  <si>
    <t>Āshínú Xiāng</t>
  </si>
  <si>
    <t>阿什奴乡</t>
  </si>
  <si>
    <t>Báizhuāng Zhèn</t>
  </si>
  <si>
    <t>白庄镇</t>
  </si>
  <si>
    <t>Xúnhuà Sālāzú Zìzhìxiàn</t>
  </si>
  <si>
    <t>Bāyàn Zhèn</t>
  </si>
  <si>
    <t>巴燕镇</t>
  </si>
  <si>
    <t>Bāzànggōu Xiāng</t>
  </si>
  <si>
    <t>巴藏沟乡</t>
  </si>
  <si>
    <t>Píng'ān Qū</t>
  </si>
  <si>
    <t>Bāzhā Zàngzú Xiāng</t>
  </si>
  <si>
    <t>巴扎藏族乡</t>
  </si>
  <si>
    <t>Hùzhù Tŭzú Zìzhìxiàn</t>
  </si>
  <si>
    <t>Bāzhōu Zhèn</t>
  </si>
  <si>
    <t>巴州镇</t>
  </si>
  <si>
    <t>Mínhé Huízú Tŭzú Zìzhìxiàn</t>
  </si>
  <si>
    <t>Càijiābăo Xiāng</t>
  </si>
  <si>
    <t>蔡家堡乡</t>
  </si>
  <si>
    <t>Cháfŭ Zàngzú Xiāng</t>
  </si>
  <si>
    <t>查甫藏族乡</t>
  </si>
  <si>
    <t>Cháhàndūsī Xiāng</t>
  </si>
  <si>
    <t>查汗都斯乡</t>
  </si>
  <si>
    <t>Chéngtái Xiāng</t>
  </si>
  <si>
    <t>城台乡</t>
  </si>
  <si>
    <t>Lèdū Qū</t>
  </si>
  <si>
    <t>Chuānkŏu Zhèn</t>
  </si>
  <si>
    <t>川口镇</t>
  </si>
  <si>
    <t>Chūmá Xiāng</t>
  </si>
  <si>
    <t>初麻乡</t>
  </si>
  <si>
    <t>Dálā Xiāng</t>
  </si>
  <si>
    <t>达拉乡</t>
  </si>
  <si>
    <t>Dānmá Zhèn</t>
  </si>
  <si>
    <t>丹麻镇</t>
  </si>
  <si>
    <t>Dàowéi Zàngzú Xiāng</t>
  </si>
  <si>
    <t>道帏藏族乡</t>
  </si>
  <si>
    <t>Dàzhuāng Xiāng</t>
  </si>
  <si>
    <t>大庄乡</t>
  </si>
  <si>
    <t>Déhénglóng Xiāng</t>
  </si>
  <si>
    <t>德恒隆乡</t>
  </si>
  <si>
    <t>Dōnggōu Xiāng</t>
  </si>
  <si>
    <t>东沟乡</t>
  </si>
  <si>
    <t>Dōnghé Xiāng</t>
  </si>
  <si>
    <t>东和乡</t>
  </si>
  <si>
    <t>Dōngshān Xiāng</t>
  </si>
  <si>
    <t>东山乡</t>
  </si>
  <si>
    <t>Èrtáng Xiāng</t>
  </si>
  <si>
    <t>二塘乡</t>
  </si>
  <si>
    <t>Fēngduī Xiāng</t>
  </si>
  <si>
    <t>峰堆乡</t>
  </si>
  <si>
    <t>Găléng Zàngzú Xiāng</t>
  </si>
  <si>
    <t>尕楞藏族乡</t>
  </si>
  <si>
    <t>Gāndū Zhèn</t>
  </si>
  <si>
    <t>甘都镇</t>
  </si>
  <si>
    <t>Găngchá Zàngzú Xiāng</t>
  </si>
  <si>
    <t>岗察藏族乡</t>
  </si>
  <si>
    <t>Gāngōu Xiāng</t>
  </si>
  <si>
    <t>甘沟乡</t>
  </si>
  <si>
    <t>Gāodiàn Zhèn</t>
  </si>
  <si>
    <t>高店镇</t>
  </si>
  <si>
    <t>Gāomiào Zhèn</t>
  </si>
  <si>
    <t>高庙镇</t>
  </si>
  <si>
    <t>Gāozhài Zhèn</t>
  </si>
  <si>
    <t>高寨镇</t>
  </si>
  <si>
    <t>Gōngbóxiá Guănlĭ Wĕiyuánhuì</t>
  </si>
  <si>
    <t>公伯峡管理委员会</t>
  </si>
  <si>
    <t>Gònghé Xiāng</t>
  </si>
  <si>
    <t>共和乡</t>
  </si>
  <si>
    <t>Guāntíng Zhèn</t>
  </si>
  <si>
    <t>官亭镇</t>
  </si>
  <si>
    <t>Gŭchéng Xiāng</t>
  </si>
  <si>
    <t>古城乡</t>
  </si>
  <si>
    <t>Gŭshàn Zhèn</t>
  </si>
  <si>
    <t>古鄯镇</t>
  </si>
  <si>
    <t>Hālāzhígōu Xiāng</t>
  </si>
  <si>
    <t>哈拉直沟乡</t>
  </si>
  <si>
    <t>Hétáozhuāng Xiāng</t>
  </si>
  <si>
    <t>核桃庄乡</t>
  </si>
  <si>
    <t>Hóngshuĭquán Xiāng</t>
  </si>
  <si>
    <t>洪水泉乡</t>
  </si>
  <si>
    <t>Hóngshuĭ Zhèn</t>
  </si>
  <si>
    <t>洪水镇</t>
  </si>
  <si>
    <t>Hóngyázigōu Xiāng</t>
  </si>
  <si>
    <t>红崖子沟乡</t>
  </si>
  <si>
    <t>Jiādìng Zhèn</t>
  </si>
  <si>
    <t>加定镇</t>
  </si>
  <si>
    <t>Jiēzi Zhèn</t>
  </si>
  <si>
    <t>街子镇</t>
  </si>
  <si>
    <t>Jīnyuán Zàngzú Xiāng</t>
  </si>
  <si>
    <t>金源藏族乡</t>
  </si>
  <si>
    <t>Jīshí Zhèn</t>
  </si>
  <si>
    <t>积石镇</t>
  </si>
  <si>
    <t>Jùtán Zhèn</t>
  </si>
  <si>
    <t>瞿昙镇</t>
  </si>
  <si>
    <t>Lĭ'èrbăo Zhèn</t>
  </si>
  <si>
    <t>李二堡镇</t>
  </si>
  <si>
    <t>Lĭjiāxiá Guănlĭ Wĕiyuánhuì</t>
  </si>
  <si>
    <t>李家峡管理委员会</t>
  </si>
  <si>
    <t>Lĭjiā Xiāng</t>
  </si>
  <si>
    <t>李家乡</t>
  </si>
  <si>
    <t>Línchuān Xiāng</t>
  </si>
  <si>
    <t>林川乡</t>
  </si>
  <si>
    <t>Lóngzhì Xiāng</t>
  </si>
  <si>
    <t>隆治乡</t>
  </si>
  <si>
    <t>Lúhuā Xiāng</t>
  </si>
  <si>
    <t>芦花乡</t>
  </si>
  <si>
    <t>Măchăng Xiāng</t>
  </si>
  <si>
    <t>马厂乡</t>
  </si>
  <si>
    <t>Măchăngyuán Xiāng</t>
  </si>
  <si>
    <t>马场垣乡</t>
  </si>
  <si>
    <t>Mănpíng Zhèn</t>
  </si>
  <si>
    <t>满坪镇</t>
  </si>
  <si>
    <t>Măyíng Xiāng</t>
  </si>
  <si>
    <t>马营乡</t>
  </si>
  <si>
    <t>Măyíng Zhèn</t>
  </si>
  <si>
    <t>马营镇</t>
  </si>
  <si>
    <t>Nánménxiá Zhèn</t>
  </si>
  <si>
    <t>南门峡镇</t>
  </si>
  <si>
    <t>Niănbó Zhèn</t>
  </si>
  <si>
    <t>碾伯镇</t>
  </si>
  <si>
    <t>Píng'ān Zhèn</t>
  </si>
  <si>
    <t>平安镇</t>
  </si>
  <si>
    <t>Pútái Xiāng</t>
  </si>
  <si>
    <t>蒲台乡</t>
  </si>
  <si>
    <t>Qiánhé Xiāng</t>
  </si>
  <si>
    <t>前河乡</t>
  </si>
  <si>
    <t>Qīngshuĭ Xiāng</t>
  </si>
  <si>
    <t>清水乡</t>
  </si>
  <si>
    <t>Qúnkē Zhèn</t>
  </si>
  <si>
    <t>群科镇</t>
  </si>
  <si>
    <t>Sānhé Zhèn</t>
  </si>
  <si>
    <t>三合镇</t>
  </si>
  <si>
    <t>Shāgōu Xiāng</t>
  </si>
  <si>
    <t>沙沟乡</t>
  </si>
  <si>
    <t>Shāliánbăo Xiāng</t>
  </si>
  <si>
    <t>沙连堡乡</t>
  </si>
  <si>
    <t>Shídàcāng Xiāng</t>
  </si>
  <si>
    <t>石大仓乡</t>
  </si>
  <si>
    <t>Shíhuīyáo Xiāng</t>
  </si>
  <si>
    <t>石灰窑乡</t>
  </si>
  <si>
    <t>Shòulè Zhèn</t>
  </si>
  <si>
    <t>寿乐镇</t>
  </si>
  <si>
    <t>Sōngduō Zàngzú Xiāng</t>
  </si>
  <si>
    <t>松多藏族乡</t>
  </si>
  <si>
    <t>Sōngshù Xiāng</t>
  </si>
  <si>
    <t>松树乡</t>
  </si>
  <si>
    <t>Táizi Xiāng</t>
  </si>
  <si>
    <t>台子乡</t>
  </si>
  <si>
    <t>Tăjiā Zàngzú Xiāng</t>
  </si>
  <si>
    <t>塔加藏族乡</t>
  </si>
  <si>
    <t>Tángchuān Zhèn</t>
  </si>
  <si>
    <t>塘川镇</t>
  </si>
  <si>
    <t>Wēiyuăn Zhèn</t>
  </si>
  <si>
    <t>威远镇</t>
  </si>
  <si>
    <t>Wéndū Zàngzú Xiāng</t>
  </si>
  <si>
    <t>文都藏族乡</t>
  </si>
  <si>
    <t>Wŭfēng Zhèn</t>
  </si>
  <si>
    <t>五峰镇</t>
  </si>
  <si>
    <t>Wŭshí Zhèn</t>
  </si>
  <si>
    <t>五十镇</t>
  </si>
  <si>
    <t>Xiámén Zhèn</t>
  </si>
  <si>
    <t>峡门镇</t>
  </si>
  <si>
    <t>Xiăoxiá Zhèn</t>
  </si>
  <si>
    <t>小峡镇</t>
  </si>
  <si>
    <t>Xiàyíng Xiāng</t>
  </si>
  <si>
    <t>下营乡</t>
  </si>
  <si>
    <t>Xièjiātān Xiāng</t>
  </si>
  <si>
    <t>谢家滩乡</t>
  </si>
  <si>
    <t>Xīgōu Xiāng</t>
  </si>
  <si>
    <t>西沟乡</t>
  </si>
  <si>
    <t>Xìng'ér Xiāng</t>
  </si>
  <si>
    <t>杏儿乡</t>
  </si>
  <si>
    <t>Xīnmín Xiāng</t>
  </si>
  <si>
    <t>新民乡</t>
  </si>
  <si>
    <t>Xióngxiān Zàngzú Xiāng</t>
  </si>
  <si>
    <t>雄先藏族乡</t>
  </si>
  <si>
    <t>Xīshān Xiāng</t>
  </si>
  <si>
    <t>西山乡</t>
  </si>
  <si>
    <t>Yáshígă Zhèn</t>
  </si>
  <si>
    <t>牙什尕镇</t>
  </si>
  <si>
    <t>Yŭrùn Zhèn</t>
  </si>
  <si>
    <t>雨润镇</t>
  </si>
  <si>
    <t>Zhābā Zhèn</t>
  </si>
  <si>
    <t>扎巴镇</t>
  </si>
  <si>
    <t>Zhōngbà Xiāng</t>
  </si>
  <si>
    <t>中坝乡</t>
  </si>
  <si>
    <t>Zhōngchuān Xiāng</t>
  </si>
  <si>
    <t>中川乡</t>
  </si>
  <si>
    <t>Zhōnglĭng Xiāng</t>
  </si>
  <si>
    <t>中岭乡</t>
  </si>
  <si>
    <t>Zhuăndăo Xiāng</t>
  </si>
  <si>
    <t>转导乡</t>
  </si>
  <si>
    <t>Zŏngbăo Xiāng</t>
  </si>
  <si>
    <t>总堡乡</t>
  </si>
  <si>
    <t>Ānzhì Nóngchăng</t>
  </si>
  <si>
    <t>安置农场</t>
  </si>
  <si>
    <t>Gònghé Xiàn</t>
  </si>
  <si>
    <t>Bāgōu Xiāng</t>
  </si>
  <si>
    <t>巴沟乡</t>
  </si>
  <si>
    <t>Tóngdé Xiàn</t>
  </si>
  <si>
    <t>Bākătái Nóngchăng</t>
  </si>
  <si>
    <t>巴卡台农场</t>
  </si>
  <si>
    <t>Chángmù Zhèn</t>
  </si>
  <si>
    <t>常牧镇</t>
  </si>
  <si>
    <t>Guìdé Xiàn</t>
  </si>
  <si>
    <t>Dăotănghé Zhèn</t>
  </si>
  <si>
    <t>倒淌河镇</t>
  </si>
  <si>
    <t>Găbāsōngduō Zhèn</t>
  </si>
  <si>
    <t>尕巴松多镇</t>
  </si>
  <si>
    <t>Găràng Xiāng</t>
  </si>
  <si>
    <t>尕让乡</t>
  </si>
  <si>
    <t>Guìnán Căoyè Kāifā Yŏuxiàn Zérèn Gōngsī</t>
  </si>
  <si>
    <t>贵南草业开发有限责任公司</t>
  </si>
  <si>
    <t>Guìnán Xiàn</t>
  </si>
  <si>
    <t>Guòmăyíng Zhèn</t>
  </si>
  <si>
    <t>过马营镇</t>
  </si>
  <si>
    <t>Hébĕi Xiāng</t>
  </si>
  <si>
    <t>河北乡</t>
  </si>
  <si>
    <t>Hédōng Xiāng</t>
  </si>
  <si>
    <t>河东乡</t>
  </si>
  <si>
    <t>Hēimăhé Zhèn</t>
  </si>
  <si>
    <t>黑马河镇</t>
  </si>
  <si>
    <t>Hékă Zhèn</t>
  </si>
  <si>
    <t>河卡镇</t>
  </si>
  <si>
    <t>Xīnghăi Xiàn</t>
  </si>
  <si>
    <t>Hékă Zhŏngyángchăng</t>
  </si>
  <si>
    <t>河卡种羊场</t>
  </si>
  <si>
    <t>Héxī Zhèn</t>
  </si>
  <si>
    <t>河西镇</t>
  </si>
  <si>
    <t>Héyīn Zhèn</t>
  </si>
  <si>
    <t>河阴镇</t>
  </si>
  <si>
    <t>Húdōng Zhŏngyángchăng</t>
  </si>
  <si>
    <t>湖东种羊场</t>
  </si>
  <si>
    <t>Jiāngxīgōu Zhèn</t>
  </si>
  <si>
    <t>江西沟镇</t>
  </si>
  <si>
    <t>Lāxīwă Zhèn</t>
  </si>
  <si>
    <t>拉西瓦镇</t>
  </si>
  <si>
    <t>Lóngyángxiá Zhèn</t>
  </si>
  <si>
    <t>龙羊峡镇</t>
  </si>
  <si>
    <t>Lóngzàng Xiāng</t>
  </si>
  <si>
    <t>龙藏乡</t>
  </si>
  <si>
    <t>Mánglā Xiāng</t>
  </si>
  <si>
    <t>茫拉乡</t>
  </si>
  <si>
    <t>Mángqŭ Zhèn</t>
  </si>
  <si>
    <t>茫曲镇</t>
  </si>
  <si>
    <t>Niàndì Xiāng</t>
  </si>
  <si>
    <t>廿地乡</t>
  </si>
  <si>
    <t>Qiàbŭqià Zhèn</t>
  </si>
  <si>
    <t>恰卜恰镇</t>
  </si>
  <si>
    <t>Qièjí Xiāng</t>
  </si>
  <si>
    <t>切吉乡</t>
  </si>
  <si>
    <t>Qŭshí'ān Zhèn</t>
  </si>
  <si>
    <t>曲什安镇</t>
  </si>
  <si>
    <t>Sēnduō Zhèn</t>
  </si>
  <si>
    <t>森多镇</t>
  </si>
  <si>
    <t>Shāzhūyù Xiāng</t>
  </si>
  <si>
    <t>沙珠玉乡</t>
  </si>
  <si>
    <t>Shĕng Mùcăo Liángzhŏng Fánzhí Chăng</t>
  </si>
  <si>
    <t>省牧草良种繁殖场</t>
  </si>
  <si>
    <t>Shínăihài Zhèn</t>
  </si>
  <si>
    <t>石乃亥镇</t>
  </si>
  <si>
    <t>Tánggémù Zhèn</t>
  </si>
  <si>
    <t>塘格木镇</t>
  </si>
  <si>
    <t>Tánggŭ Zhèn</t>
  </si>
  <si>
    <t>唐谷镇</t>
  </si>
  <si>
    <t>Tángnăihài Xiāng</t>
  </si>
  <si>
    <t>唐乃亥乡</t>
  </si>
  <si>
    <t>Tăxiù Xiāng</t>
  </si>
  <si>
    <t>塔秀乡</t>
  </si>
  <si>
    <t>Tiĕbŭjiācăo Găizhàn</t>
  </si>
  <si>
    <t>铁卜加草改站</t>
  </si>
  <si>
    <t>Tiĕgài Xiāng</t>
  </si>
  <si>
    <t>铁盖乡</t>
  </si>
  <si>
    <t>Wēnquán Xiāng</t>
  </si>
  <si>
    <t>温泉乡</t>
  </si>
  <si>
    <t>Xīnjiē Huízú Xiāng</t>
  </si>
  <si>
    <t>新街回族乡</t>
  </si>
  <si>
    <t>Xiùmá Xiāng</t>
  </si>
  <si>
    <t>秀麻乡</t>
  </si>
  <si>
    <t>Zhōngtiĕ Xiāng</t>
  </si>
  <si>
    <t>中铁乡</t>
  </si>
  <si>
    <t>Zikētān Zhèn</t>
  </si>
  <si>
    <t>子科滩镇</t>
  </si>
  <si>
    <t>Bālóng Xiāng</t>
  </si>
  <si>
    <t>巴隆乡</t>
  </si>
  <si>
    <t>Dūlán Xiàn</t>
  </si>
  <si>
    <t>Chá'ĕrhàn Gōngxíngwĕi</t>
  </si>
  <si>
    <t>察尔汗工行委</t>
  </si>
  <si>
    <t>Gé'ĕrmù Shì</t>
  </si>
  <si>
    <t>Cháhànwūsū Zhèn</t>
  </si>
  <si>
    <t>察汉乌苏镇</t>
  </si>
  <si>
    <t>Cháidàn Zhèn [Dàcháidàn Zhèn]</t>
  </si>
  <si>
    <t>柴旦镇</t>
  </si>
  <si>
    <t>Dàcháidàn Xíngwĕi</t>
  </si>
  <si>
    <t>Chákă Zhèn</t>
  </si>
  <si>
    <t>茶卡镇</t>
  </si>
  <si>
    <t>Wūlán Xiàn</t>
  </si>
  <si>
    <t>Dàgélè Xiāng</t>
  </si>
  <si>
    <t>大格勒乡</t>
  </si>
  <si>
    <t>Găhăi Zhèn</t>
  </si>
  <si>
    <t>尕海镇</t>
  </si>
  <si>
    <t>Délìnghā Shì</t>
  </si>
  <si>
    <t>Gé'ĕrmù Nóngkĕn Yŏuxiàn Gōngsī</t>
  </si>
  <si>
    <t>格尔木农垦有限公司</t>
  </si>
  <si>
    <t>Gōulĭ Xiāng</t>
  </si>
  <si>
    <t>沟里乡</t>
  </si>
  <si>
    <t>Guōlèmùdé Zhèn</t>
  </si>
  <si>
    <t>郭勒木德镇</t>
  </si>
  <si>
    <t>Hăixī Zhōumòhé Chùmù Chăng</t>
  </si>
  <si>
    <t>海西州莫河畜牧场</t>
  </si>
  <si>
    <t>Hédōng Jiēdào</t>
  </si>
  <si>
    <t>河东街道</t>
  </si>
  <si>
    <t>Urban Subdistrict</t>
  </si>
  <si>
    <t>Héxī Jiēdào</t>
  </si>
  <si>
    <t>河西街道</t>
  </si>
  <si>
    <t>Huáitóu Tālā Zhèn</t>
  </si>
  <si>
    <t>怀头他拉镇</t>
  </si>
  <si>
    <t>Huánghélù Jiēdào</t>
  </si>
  <si>
    <t>黄河路街道</t>
  </si>
  <si>
    <t>Huātŭgōu Zhèn</t>
  </si>
  <si>
    <t>花土沟镇</t>
  </si>
  <si>
    <t>Mángyá Shì</t>
  </si>
  <si>
    <t>Huŏchēzhàn Jiēdào</t>
  </si>
  <si>
    <t>火车站街道</t>
  </si>
  <si>
    <t>Jiānghé Zhèn</t>
  </si>
  <si>
    <t>江河镇</t>
  </si>
  <si>
    <t>Tiānjùn Xiàn</t>
  </si>
  <si>
    <t>Jīnfēnglù Jiēdào</t>
  </si>
  <si>
    <t>金峰路街道</t>
  </si>
  <si>
    <t>Kēkē Zhèn</t>
  </si>
  <si>
    <t>柯柯镇</t>
  </si>
  <si>
    <t>Kēlŭkē Zhèn</t>
  </si>
  <si>
    <t>柯鲁柯镇</t>
  </si>
  <si>
    <t>Kuài'ĕrmă Xiāng</t>
  </si>
  <si>
    <t>快尔玛乡</t>
  </si>
  <si>
    <t>Kūnlúnlù Jiēdào</t>
  </si>
  <si>
    <t>昆仑路街道</t>
  </si>
  <si>
    <t>Lĕnghú Zhèn</t>
  </si>
  <si>
    <t>冷湖镇</t>
  </si>
  <si>
    <t>Lóngmén Xiāng</t>
  </si>
  <si>
    <t>龙门乡</t>
  </si>
  <si>
    <t>Mángyá Zhèn</t>
  </si>
  <si>
    <t>茫崖镇</t>
  </si>
  <si>
    <t>Mùlĭ Zhèn</t>
  </si>
  <si>
    <t>木里镇</t>
  </si>
  <si>
    <t>Rèshuĭ Xiāng</t>
  </si>
  <si>
    <t>热水乡</t>
  </si>
  <si>
    <t>Shēnggé Xiāng</t>
  </si>
  <si>
    <t>生格乡</t>
  </si>
  <si>
    <t>Sūlĭ Xiāng</t>
  </si>
  <si>
    <t>苏里乡</t>
  </si>
  <si>
    <t>Tánggŭlā Zhèn</t>
  </si>
  <si>
    <t>唐古拉镇</t>
  </si>
  <si>
    <t>Tóngpŭ Zhèn</t>
  </si>
  <si>
    <t>铜普镇</t>
  </si>
  <si>
    <t>Wūtú Mĕirén Xiāng</t>
  </si>
  <si>
    <t>乌图美仁乡</t>
  </si>
  <si>
    <t>Xiāngjiā Xiāng</t>
  </si>
  <si>
    <t>香加乡</t>
  </si>
  <si>
    <t>Xiāngrìdé Zhèn</t>
  </si>
  <si>
    <t>香日德镇</t>
  </si>
  <si>
    <t>Xiàrìhā Zhèn</t>
  </si>
  <si>
    <t>夏日哈镇</t>
  </si>
  <si>
    <t>Xīlĭgōu Zhèn</t>
  </si>
  <si>
    <t>希里沟镇</t>
  </si>
  <si>
    <t>Xīnyuán Zhèn</t>
  </si>
  <si>
    <t>新源镇</t>
  </si>
  <si>
    <t>Xītiĕshān Zhèn</t>
  </si>
  <si>
    <t>锡铁山镇</t>
  </si>
  <si>
    <t>Xīzànglù Jiēdào</t>
  </si>
  <si>
    <t>西藏路街道</t>
  </si>
  <si>
    <t>Xùjí Xiāng</t>
  </si>
  <si>
    <t>蓄集乡</t>
  </si>
  <si>
    <t>Yángkāng Xiāng</t>
  </si>
  <si>
    <t>阳康乡</t>
  </si>
  <si>
    <t>Zhīhémă Xiāng</t>
  </si>
  <si>
    <t>织合玛乡</t>
  </si>
  <si>
    <t>Zhōuqún Xiāng</t>
  </si>
  <si>
    <t>舟群乡</t>
  </si>
  <si>
    <t>Zōngjiā Zhèn</t>
  </si>
  <si>
    <t>宗加镇</t>
  </si>
  <si>
    <t>Ánglā Xiāng</t>
  </si>
  <si>
    <t>昂拉乡</t>
  </si>
  <si>
    <t>Jiānzhā Xiàn</t>
  </si>
  <si>
    <t>Băo'ān Zhèn</t>
  </si>
  <si>
    <t>保安镇</t>
  </si>
  <si>
    <t>Tóngrén Shì</t>
  </si>
  <si>
    <t>Cuòzhōu Xiāng</t>
  </si>
  <si>
    <t>措周乡</t>
  </si>
  <si>
    <t>Dāngshùn Xiāng</t>
  </si>
  <si>
    <t>当顺乡</t>
  </si>
  <si>
    <t>Duōhémào Xiāng</t>
  </si>
  <si>
    <t>多禾茂乡</t>
  </si>
  <si>
    <t>Zékù Xiàn</t>
  </si>
  <si>
    <t>Duōsōng Xiāng</t>
  </si>
  <si>
    <t>多松乡</t>
  </si>
  <si>
    <t>Hénán Mĕnggŭzú Zìzhìxiàn</t>
  </si>
  <si>
    <t>Duōwā Zhèn</t>
  </si>
  <si>
    <t>多哇镇</t>
  </si>
  <si>
    <t>Guāshízé Xiāng</t>
  </si>
  <si>
    <t>瓜什则乡</t>
  </si>
  <si>
    <t>Hérì Zhèn</t>
  </si>
  <si>
    <t>和日镇</t>
  </si>
  <si>
    <t>Huángnăihài Xiāng</t>
  </si>
  <si>
    <t>黄乃亥乡</t>
  </si>
  <si>
    <t>Jiăjiā Xiāng</t>
  </si>
  <si>
    <t>贾加乡</t>
  </si>
  <si>
    <t>Jiānzhātān Xiāng</t>
  </si>
  <si>
    <t>尖扎滩乡</t>
  </si>
  <si>
    <t>Jiāwú Xiāng</t>
  </si>
  <si>
    <t>加吾乡</t>
  </si>
  <si>
    <t>Kănbùlā Zhèn</t>
  </si>
  <si>
    <t>坎布拉镇</t>
  </si>
  <si>
    <t>Kāngyáng Zhèn</t>
  </si>
  <si>
    <t>康扬镇</t>
  </si>
  <si>
    <t>Kēshēng Xiāng</t>
  </si>
  <si>
    <t>柯生乡</t>
  </si>
  <si>
    <t>Láncăi Xiāng</t>
  </si>
  <si>
    <t>兰采乡</t>
  </si>
  <si>
    <t>Lóngwù Zhèn</t>
  </si>
  <si>
    <t>隆务镇</t>
  </si>
  <si>
    <t>Màixiù Zhèn</t>
  </si>
  <si>
    <t>麦秀镇</t>
  </si>
  <si>
    <t>Măkètáng Zhèn</t>
  </si>
  <si>
    <t>马克堂镇</t>
  </si>
  <si>
    <t>Néngkē Xiāng</t>
  </si>
  <si>
    <t>能科乡</t>
  </si>
  <si>
    <t>Niándūhū Xiāng</t>
  </si>
  <si>
    <t>年都乎乡</t>
  </si>
  <si>
    <t>Níngmùtè Zhèn</t>
  </si>
  <si>
    <t>宁木特镇</t>
  </si>
  <si>
    <t>Níngxiù Zhèn</t>
  </si>
  <si>
    <t>宁秀镇</t>
  </si>
  <si>
    <t>Qŭkùhū Xiāng</t>
  </si>
  <si>
    <t>曲库乎乡</t>
  </si>
  <si>
    <t>Sài'ĕrlóng Xiāng</t>
  </si>
  <si>
    <t>赛尔龙乡</t>
  </si>
  <si>
    <t>Shuāngpéngxī Xiāng</t>
  </si>
  <si>
    <t>双朋西乡</t>
  </si>
  <si>
    <t>Wángjiā Xiāng</t>
  </si>
  <si>
    <t>王加乡</t>
  </si>
  <si>
    <t>Xībŭshā Xiāng</t>
  </si>
  <si>
    <t>西卜沙乡</t>
  </si>
  <si>
    <t>Yōugānníng Zhèn</t>
  </si>
  <si>
    <t>优干宁镇</t>
  </si>
  <si>
    <t>Zéqŭ Zhèn</t>
  </si>
  <si>
    <t>泽曲镇</t>
  </si>
  <si>
    <t>Zhāmáo Xiāng</t>
  </si>
  <si>
    <t>扎毛乡</t>
  </si>
  <si>
    <t>Băokù Xiāng</t>
  </si>
  <si>
    <t>宝库乡</t>
  </si>
  <si>
    <t>Dàtōng Huízú Tŭzú Zìzhìxiàn</t>
  </si>
  <si>
    <t>Bāyàn Xiāng</t>
  </si>
  <si>
    <t>巴燕乡</t>
  </si>
  <si>
    <t>Huángyuán Xiàn</t>
  </si>
  <si>
    <t>Bāyīlù Jiēdào</t>
  </si>
  <si>
    <t>八一路街道</t>
  </si>
  <si>
    <t>Chéngdōng Qū</t>
  </si>
  <si>
    <t>Bōháng Xiāng</t>
  </si>
  <si>
    <t>波航乡</t>
  </si>
  <si>
    <t>Cāngménjiē Jiēdào</t>
  </si>
  <si>
    <t>仓门街街道</t>
  </si>
  <si>
    <t>Chéngzhōng Qū</t>
  </si>
  <si>
    <t>Chángníng Zhèn</t>
  </si>
  <si>
    <t>长宁镇</t>
  </si>
  <si>
    <t>Cháoyáng Jiēdào</t>
  </si>
  <si>
    <t>朝阳街道</t>
  </si>
  <si>
    <t>Chéngbĕi Qū</t>
  </si>
  <si>
    <t>Chéngguān Zhèn</t>
  </si>
  <si>
    <t>城关镇</t>
  </si>
  <si>
    <t>Dàbăozi Zhèn</t>
  </si>
  <si>
    <t>大堡子镇</t>
  </si>
  <si>
    <t>Dàcái Huízú Xiāng</t>
  </si>
  <si>
    <t>大才回族乡</t>
  </si>
  <si>
    <t>Huángzhōng Qū</t>
  </si>
  <si>
    <t>Dàhuá Zhèn</t>
  </si>
  <si>
    <t>大华镇</t>
  </si>
  <si>
    <t>Dàzhòngjiē Jiēdào</t>
  </si>
  <si>
    <t>大众街街道</t>
  </si>
  <si>
    <t>Dōngguān Dàjiē Jiēdào</t>
  </si>
  <si>
    <t>东关大街街道</t>
  </si>
  <si>
    <t>Dōngxiá Xiāng</t>
  </si>
  <si>
    <t>东峡乡</t>
  </si>
  <si>
    <t>Dōngxiá Zhèn</t>
  </si>
  <si>
    <t>东峡镇</t>
  </si>
  <si>
    <t>Duōbā Zhèn [incl. Kāngchuān Jiēdào]</t>
  </si>
  <si>
    <t>多巴镇</t>
  </si>
  <si>
    <t>Duōlín Zhèn</t>
  </si>
  <si>
    <t>多林镇</t>
  </si>
  <si>
    <t>Gānhétān Zhèn</t>
  </si>
  <si>
    <t>甘河滩镇</t>
  </si>
  <si>
    <t>Gònghé Zhèn</t>
  </si>
  <si>
    <t>共和镇</t>
  </si>
  <si>
    <t>Gŭchéngtái Jiēdào</t>
  </si>
  <si>
    <t>古城台街道</t>
  </si>
  <si>
    <t>Chéngxī Qū</t>
  </si>
  <si>
    <t>Hăizigōu Xiāng</t>
  </si>
  <si>
    <t>海子沟乡</t>
  </si>
  <si>
    <t>Hàndōng Huízú Xiāng</t>
  </si>
  <si>
    <t>汉东回族乡</t>
  </si>
  <si>
    <t>Hépíng Xiāng</t>
  </si>
  <si>
    <t>和平乡</t>
  </si>
  <si>
    <t>Huàlín Xiāng</t>
  </si>
  <si>
    <t>桦林乡</t>
  </si>
  <si>
    <t>Huángjiāzhài Zhèn</t>
  </si>
  <si>
    <t>黄家寨镇</t>
  </si>
  <si>
    <t>Hŭtái Jiēdào</t>
  </si>
  <si>
    <t>虎台街道</t>
  </si>
  <si>
    <t>Jílè Xiāng</t>
  </si>
  <si>
    <t>极乐乡</t>
  </si>
  <si>
    <t>Jĭngyáng Zhèn</t>
  </si>
  <si>
    <t>景阳镇</t>
  </si>
  <si>
    <t>Lánlóngkŏu Zhèn</t>
  </si>
  <si>
    <t>拦隆口镇</t>
  </si>
  <si>
    <t>Lèjiāwān Zhèn</t>
  </si>
  <si>
    <t>乐家湾镇</t>
  </si>
  <si>
    <t>Liángjiào Xiāng</t>
  </si>
  <si>
    <t>良教乡</t>
  </si>
  <si>
    <t>Lĭjiāshān Zhèn</t>
  </si>
  <si>
    <t>李家山镇</t>
  </si>
  <si>
    <t>Línjiāyá Jiēdào</t>
  </si>
  <si>
    <t>林家崖街道</t>
  </si>
  <si>
    <t>Lĭràngjiē Jiēdào</t>
  </si>
  <si>
    <t>礼让街街道</t>
  </si>
  <si>
    <t>Lŭshā'ĕr Zhèn</t>
  </si>
  <si>
    <t>鲁沙尔镇</t>
  </si>
  <si>
    <t>Măfāng Jiēdào</t>
  </si>
  <si>
    <t>马坊街道</t>
  </si>
  <si>
    <t>Nánchuān Dōnglù Jiēdào</t>
  </si>
  <si>
    <t>南川东路街道</t>
  </si>
  <si>
    <t>Nánchuān Xīlù Jiēdào</t>
  </si>
  <si>
    <t>南川西路街道</t>
  </si>
  <si>
    <t>Nántān Jiēdào</t>
  </si>
  <si>
    <t>南滩街道</t>
  </si>
  <si>
    <t>Niànlĭpū Zhèn</t>
  </si>
  <si>
    <t>廿里铺镇</t>
  </si>
  <si>
    <t>Péngjiāzhài Zhèn</t>
  </si>
  <si>
    <t>彭家寨镇</t>
  </si>
  <si>
    <t>Qiáotóu Zhèn</t>
  </si>
  <si>
    <t>桥头镇</t>
  </si>
  <si>
    <t>Qīnglín Xiāng</t>
  </si>
  <si>
    <t>青林乡</t>
  </si>
  <si>
    <t>Qīngshān Xiāng</t>
  </si>
  <si>
    <t>青山乡</t>
  </si>
  <si>
    <t>Qīngzhēnxiàng Jiēdào</t>
  </si>
  <si>
    <t>清真巷街道</t>
  </si>
  <si>
    <t>Qúnjiā Zàngzú Xiāng</t>
  </si>
  <si>
    <t>群加藏族乡</t>
  </si>
  <si>
    <t>Rénmínjiē Jiēdào</t>
  </si>
  <si>
    <t>人民街街道</t>
  </si>
  <si>
    <t>Rìyuè Xiāng</t>
  </si>
  <si>
    <t>日月乡</t>
  </si>
  <si>
    <t>Shàngwŭzhuāng Zhèn</t>
  </si>
  <si>
    <t>上五庄镇</t>
  </si>
  <si>
    <t>Shàngxīnzhuāng Zhèn</t>
  </si>
  <si>
    <t>上新庄镇</t>
  </si>
  <si>
    <t>Shènglìlù Jiēdào</t>
  </si>
  <si>
    <t>胜利路街道</t>
  </si>
  <si>
    <t>Shēnzhōng Xiāng</t>
  </si>
  <si>
    <t>申中乡</t>
  </si>
  <si>
    <t>Shíshān Xiāng</t>
  </si>
  <si>
    <t>石山乡</t>
  </si>
  <si>
    <t>Shuòbĕi Zàngzú Xiāng</t>
  </si>
  <si>
    <t>朔北藏族乡</t>
  </si>
  <si>
    <t>Sìzhài Xiāng</t>
  </si>
  <si>
    <t>寺寨乡</t>
  </si>
  <si>
    <t>Tă'ĕr Zhèn</t>
  </si>
  <si>
    <t>塔尔镇</t>
  </si>
  <si>
    <t>Tiánjiāzhài Zhèn</t>
  </si>
  <si>
    <t>田家寨镇</t>
  </si>
  <si>
    <t>Tŭménguān Xiāng</t>
  </si>
  <si>
    <t>土门关乡</t>
  </si>
  <si>
    <t>Xiànghuà Zàngzú Xiāng</t>
  </si>
  <si>
    <t>向化藏族乡</t>
  </si>
  <si>
    <t>Xiăoqiáo Dàjiē Jiēdào</t>
  </si>
  <si>
    <t>小桥大街街道</t>
  </si>
  <si>
    <t>Xībăo Zhèn</t>
  </si>
  <si>
    <t>西堡镇</t>
  </si>
  <si>
    <t>Xiégōu Xiāng</t>
  </si>
  <si>
    <t>斜沟乡</t>
  </si>
  <si>
    <t>Xīguān Dàjiē Jiēdào</t>
  </si>
  <si>
    <t>西关大街街道</t>
  </si>
  <si>
    <t>Xīnghăilù Jiēdào</t>
  </si>
  <si>
    <t>兴海路街道</t>
  </si>
  <si>
    <t>Xīnzhuāng Zhèn</t>
  </si>
  <si>
    <t>新庄镇</t>
  </si>
  <si>
    <t>Xùnràng Xiāng</t>
  </si>
  <si>
    <t>逊让乡</t>
  </si>
  <si>
    <t>Yĭnmăjiē Jiēdào</t>
  </si>
  <si>
    <t>饮马街街道</t>
  </si>
  <si>
    <t>Yùnjiākŏu Zhèn</t>
  </si>
  <si>
    <t>韵家口镇</t>
  </si>
  <si>
    <t>Zhōujiāquán Jiēdào</t>
  </si>
  <si>
    <t>周家泉街道</t>
  </si>
  <si>
    <t>Zŏngzhài Zhèn</t>
  </si>
  <si>
    <t>总寨镇</t>
  </si>
  <si>
    <t>Āduō Xiāng</t>
  </si>
  <si>
    <t>阿多乡</t>
  </si>
  <si>
    <t>Záduō Xiàn</t>
  </si>
  <si>
    <t>Ānchōng Xiāng</t>
  </si>
  <si>
    <t>安冲乡</t>
  </si>
  <si>
    <t>Yùshù Shì</t>
  </si>
  <si>
    <t>Ángsài Xiāng</t>
  </si>
  <si>
    <t>昂赛乡</t>
  </si>
  <si>
    <t>Bāgān Xiāng</t>
  </si>
  <si>
    <t>巴干乡</t>
  </si>
  <si>
    <t>Qŭmálái Xiàn</t>
  </si>
  <si>
    <t>Báizhā Xiāng</t>
  </si>
  <si>
    <t>白扎乡</t>
  </si>
  <si>
    <t>Nángqiān Xiàn</t>
  </si>
  <si>
    <t>Bātáng Xiāng</t>
  </si>
  <si>
    <t>巴塘乡</t>
  </si>
  <si>
    <t>Chádàn Xiāng</t>
  </si>
  <si>
    <t>查旦乡</t>
  </si>
  <si>
    <t>Chēngwén Zhèn</t>
  </si>
  <si>
    <t>称文镇</t>
  </si>
  <si>
    <t>Chēngduō Xiàn</t>
  </si>
  <si>
    <t>Dōngbà Xiāng</t>
  </si>
  <si>
    <t>东坝乡</t>
  </si>
  <si>
    <t>Duōcăi Xiāng</t>
  </si>
  <si>
    <t>多彩乡</t>
  </si>
  <si>
    <t>Zhìduō Xiàn</t>
  </si>
  <si>
    <t>Găduŏ Xiāng</t>
  </si>
  <si>
    <t>尕朵乡</t>
  </si>
  <si>
    <t>Găyáng Xiāng</t>
  </si>
  <si>
    <t>尕羊乡</t>
  </si>
  <si>
    <t>Hāxiù Xiāng</t>
  </si>
  <si>
    <t>哈秀乡</t>
  </si>
  <si>
    <t>Jiājí Bóluògé Zhèn</t>
  </si>
  <si>
    <t>加吉博洛格镇</t>
  </si>
  <si>
    <t>Jiéduō Xiāng</t>
  </si>
  <si>
    <t>结多乡</t>
  </si>
  <si>
    <t>Jiégŭ Jiēdào [incl. Jiégǔzhèn Jiēdào, Zhāxīkē Jiēdào, Xīháng Jiēdào, Xīnzhài Jiēdào]</t>
  </si>
  <si>
    <t>结古街道</t>
  </si>
  <si>
    <t>Jínísài Xiāng</t>
  </si>
  <si>
    <t>吉尼赛乡</t>
  </si>
  <si>
    <t>Jíqŭ Xiāng</t>
  </si>
  <si>
    <t>吉曲乡</t>
  </si>
  <si>
    <t>Juélā Xiāng</t>
  </si>
  <si>
    <t>觉拉乡</t>
  </si>
  <si>
    <t>Lābù Xiāng</t>
  </si>
  <si>
    <t>拉布乡</t>
  </si>
  <si>
    <t>Lìxīn Xiāng</t>
  </si>
  <si>
    <t>立新乡</t>
  </si>
  <si>
    <t>Lóngbăo Zhèn</t>
  </si>
  <si>
    <t>隆宝镇</t>
  </si>
  <si>
    <t>Máduō Xiāng</t>
  </si>
  <si>
    <t>麻多乡</t>
  </si>
  <si>
    <t>Máozhuāng Xiāng</t>
  </si>
  <si>
    <t>毛庄乡</t>
  </si>
  <si>
    <t>Mòyún Xiāng</t>
  </si>
  <si>
    <t>莫云乡</t>
  </si>
  <si>
    <t>Niánglā Xiāng</t>
  </si>
  <si>
    <t>娘拉乡</t>
  </si>
  <si>
    <t>Qīngshuĭhé Zhèn</t>
  </si>
  <si>
    <t>清水河镇</t>
  </si>
  <si>
    <t>Qiūzhì Xiāng</t>
  </si>
  <si>
    <t>秋智乡</t>
  </si>
  <si>
    <t>Qŭmáhé Xiāng</t>
  </si>
  <si>
    <t>曲麻河乡</t>
  </si>
  <si>
    <t>Sàhūténg Zhèn</t>
  </si>
  <si>
    <t>萨呼腾镇</t>
  </si>
  <si>
    <t>Shànglāxiù Xiāng</t>
  </si>
  <si>
    <t>上拉秀乡</t>
  </si>
  <si>
    <t>Sūlŭ Xiāng</t>
  </si>
  <si>
    <t>苏鲁乡</t>
  </si>
  <si>
    <t>Suŏjiā Xiāng</t>
  </si>
  <si>
    <t>索加乡</t>
  </si>
  <si>
    <t>Xiàlāxiù Zhèn</t>
  </si>
  <si>
    <t>下拉秀镇</t>
  </si>
  <si>
    <t>Xiāngdá Zhèn</t>
  </si>
  <si>
    <t>香达镇</t>
  </si>
  <si>
    <t>Xiăosūmăng Xiāng</t>
  </si>
  <si>
    <t>小苏莽乡</t>
  </si>
  <si>
    <t>Xiēwŭ Zhèn</t>
  </si>
  <si>
    <t>歇武镇</t>
  </si>
  <si>
    <t>Yègé Xiāng</t>
  </si>
  <si>
    <t>叶格乡</t>
  </si>
  <si>
    <t>Yuēgăi Zhèn</t>
  </si>
  <si>
    <t>约改镇</t>
  </si>
  <si>
    <t>Zhāduŏ Zhèn</t>
  </si>
  <si>
    <t>扎朵镇</t>
  </si>
  <si>
    <t>Zhāhé Xiāng</t>
  </si>
  <si>
    <t>扎河乡</t>
  </si>
  <si>
    <t>Zhāqīng Xiāng</t>
  </si>
  <si>
    <t>扎青乡</t>
  </si>
  <si>
    <t>Zhēnqín Zhèn</t>
  </si>
  <si>
    <t>珍秦镇</t>
  </si>
  <si>
    <t>Zhexiăo Xiāng</t>
  </si>
  <si>
    <t>着晓乡</t>
  </si>
  <si>
    <t>Zhìqú Xiāng</t>
  </si>
  <si>
    <t>治渠乡</t>
  </si>
  <si>
    <t>Zhòngdá Xiāng</t>
  </si>
  <si>
    <t>仲达乡</t>
  </si>
  <si>
    <t>Tibetan Autonomous Prefecture</t>
  </si>
  <si>
    <t>果洛藏族自治州</t>
  </si>
  <si>
    <t>County</t>
  </si>
  <si>
    <t>班玛县</t>
  </si>
  <si>
    <t>达日县</t>
  </si>
  <si>
    <t>甘德县</t>
  </si>
  <si>
    <t>久治县</t>
  </si>
  <si>
    <t>玛多县</t>
  </si>
  <si>
    <t>玛沁县</t>
  </si>
  <si>
    <t>Hăibĕi Zàngzú Zìzhìzhōu</t>
  </si>
  <si>
    <t>海北藏族自治州</t>
  </si>
  <si>
    <t>刚察县</t>
  </si>
  <si>
    <t>海晏县</t>
  </si>
  <si>
    <t>Autonomous County</t>
  </si>
  <si>
    <t>门源回族自治县</t>
  </si>
  <si>
    <t>祁连县</t>
  </si>
  <si>
    <t>Hăidōng Shì</t>
  </si>
  <si>
    <t>Prefecture-level City</t>
  </si>
  <si>
    <t>海东市</t>
  </si>
  <si>
    <t>化隆回族自治县</t>
  </si>
  <si>
    <t>互助土族自治县</t>
  </si>
  <si>
    <t>District</t>
  </si>
  <si>
    <t>乐都区</t>
  </si>
  <si>
    <t>民和回族土族自治县</t>
  </si>
  <si>
    <t>平安区</t>
  </si>
  <si>
    <t>循化撒拉族自治县</t>
  </si>
  <si>
    <t>Hăinán Zàngzú Zìzhìzhōu</t>
  </si>
  <si>
    <t>海南藏族自治州</t>
  </si>
  <si>
    <t>共和县</t>
  </si>
  <si>
    <t>贵德县</t>
  </si>
  <si>
    <t>贵南县</t>
  </si>
  <si>
    <t>同德县</t>
  </si>
  <si>
    <t>兴海县</t>
  </si>
  <si>
    <t>Hăixī Mĕnggŭzú Zàngzú Zìzhìzhōu</t>
  </si>
  <si>
    <t>Mongol and Tibetan Autonomous Prefecture</t>
  </si>
  <si>
    <t>海西蒙古族藏族自治州</t>
  </si>
  <si>
    <t>Administrative Committee</t>
  </si>
  <si>
    <t>大柴旦行委</t>
  </si>
  <si>
    <t>...</t>
  </si>
  <si>
    <t>County-level City</t>
  </si>
  <si>
    <t>德令哈市</t>
  </si>
  <si>
    <t>都兰县</t>
  </si>
  <si>
    <t>格尔木市</t>
  </si>
  <si>
    <t>茫崖市</t>
  </si>
  <si>
    <t>天峻县</t>
  </si>
  <si>
    <t>乌兰县</t>
  </si>
  <si>
    <t>Huángnán Zàngzú Zìzhìzhōu</t>
  </si>
  <si>
    <t>黄南藏族自治州</t>
  </si>
  <si>
    <t>河南蒙古族自治县</t>
  </si>
  <si>
    <t>尖扎县</t>
  </si>
  <si>
    <t>同仁市</t>
  </si>
  <si>
    <t>泽库县</t>
  </si>
  <si>
    <t>Xīníng Shì</t>
  </si>
  <si>
    <t>西宁市</t>
  </si>
  <si>
    <t>城北区</t>
  </si>
  <si>
    <t>城东区</t>
  </si>
  <si>
    <t>城西区</t>
  </si>
  <si>
    <t>城中区</t>
  </si>
  <si>
    <t>大通回族土族自治县</t>
  </si>
  <si>
    <t>湟源县</t>
  </si>
  <si>
    <t>湟中区</t>
  </si>
  <si>
    <t>Yùshù Zàngzú Zìzhìzhōu</t>
  </si>
  <si>
    <t>玉树藏族自治州</t>
  </si>
  <si>
    <t>称多县</t>
  </si>
  <si>
    <t>囊谦县</t>
  </si>
  <si>
    <t>曲麻莱县</t>
  </si>
  <si>
    <t>玉树市</t>
  </si>
  <si>
    <t>杂多县</t>
  </si>
  <si>
    <t>治多县</t>
  </si>
  <si>
    <t>Qīnghăi</t>
  </si>
  <si>
    <t>Province</t>
  </si>
  <si>
    <t>青海省</t>
  </si>
  <si>
    <t>Population2</t>
  </si>
  <si>
    <t>Population3</t>
  </si>
  <si>
    <t>Guŏluò Zàngzú Zìzhìzhōu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</si>
  <si>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</si>
  <si>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</si>
  <si>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</si>
  <si>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</si>
  <si>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</si>
  <si>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</si>
  <si>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</si>
  <si>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</si>
  <si>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</si>
  <si>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</si>
  <si>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</si>
  <si>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</si>
  <si>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</si>
  <si>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</si>
  <si>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</si>
  <si>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","state":"Qīnghăi","territory":"","country":"China","latitude":</t>
  </si>
  <si>
    <t>Dàwŭ</t>
  </si>
  <si>
    <t>Huāshíxiá</t>
  </si>
  <si>
    <t>Jímài</t>
  </si>
  <si>
    <t>Kēqŭ</t>
  </si>
  <si>
    <t>Lājiā</t>
  </si>
  <si>
    <t>Măchálĭ</t>
  </si>
  <si>
    <t>Sàiláitáng</t>
  </si>
  <si>
    <t>Zhìqīng Sōngduō</t>
  </si>
  <si>
    <t>Bābăo</t>
  </si>
  <si>
    <t>Dōngchuān</t>
  </si>
  <si>
    <t>Ébăo</t>
  </si>
  <si>
    <t>Hā'ĕrgài</t>
  </si>
  <si>
    <t>Hàomén</t>
  </si>
  <si>
    <t>Mòlè</t>
  </si>
  <si>
    <t>Qīngshíjŭ</t>
  </si>
  <si>
    <t>Quánkŏu</t>
  </si>
  <si>
    <t>Sānjiăochéng</t>
  </si>
  <si>
    <t>Shāliŭhé</t>
  </si>
  <si>
    <t>Xīhăi</t>
  </si>
  <si>
    <t>Ángsīduō</t>
  </si>
  <si>
    <t>Báizhuāng</t>
  </si>
  <si>
    <t>Bāyàn</t>
  </si>
  <si>
    <t>Bāzhōu</t>
  </si>
  <si>
    <t>Chuānkŏu</t>
  </si>
  <si>
    <t>Dānmá</t>
  </si>
  <si>
    <t>Gāndū</t>
  </si>
  <si>
    <t>Gāodiàn</t>
  </si>
  <si>
    <t>Gāomiào</t>
  </si>
  <si>
    <t>Gāozhài</t>
  </si>
  <si>
    <t>Guāntíng</t>
  </si>
  <si>
    <t>Gŭshàn</t>
  </si>
  <si>
    <t>Hóngshuĭ</t>
  </si>
  <si>
    <t>Jiādìng</t>
  </si>
  <si>
    <t>Jiēzi</t>
  </si>
  <si>
    <t>Jīshí</t>
  </si>
  <si>
    <t>Jùtán</t>
  </si>
  <si>
    <t>Lĭ'èrbăo</t>
  </si>
  <si>
    <t>Mănpíng</t>
  </si>
  <si>
    <t>Măyíng</t>
  </si>
  <si>
    <t>Nánménxiá</t>
  </si>
  <si>
    <t>Niănbó</t>
  </si>
  <si>
    <t>Píng'ān</t>
  </si>
  <si>
    <t>Qúnkē</t>
  </si>
  <si>
    <t>Sānhé</t>
  </si>
  <si>
    <t>Shòulè</t>
  </si>
  <si>
    <t>Tángchuān</t>
  </si>
  <si>
    <t>Wēiyuăn</t>
  </si>
  <si>
    <t>Wŭfēng</t>
  </si>
  <si>
    <t>Wŭshí</t>
  </si>
  <si>
    <t>Xiámén</t>
  </si>
  <si>
    <t>Xiăoxiá</t>
  </si>
  <si>
    <t>Yáshígă</t>
  </si>
  <si>
    <t>Yŭrùn</t>
  </si>
  <si>
    <t>Zhābā</t>
  </si>
  <si>
    <t>Chángmù</t>
  </si>
  <si>
    <t>Dăotănghé</t>
  </si>
  <si>
    <t>Găbāsōngduō</t>
  </si>
  <si>
    <t>Guòmăyíng</t>
  </si>
  <si>
    <t>Hēimăhé</t>
  </si>
  <si>
    <t>Hékă</t>
  </si>
  <si>
    <t>Héxī</t>
  </si>
  <si>
    <t>Héyīn</t>
  </si>
  <si>
    <t>Jiāngxīgōu</t>
  </si>
  <si>
    <t>Lāxīwă</t>
  </si>
  <si>
    <t>Lóngyángxiá</t>
  </si>
  <si>
    <t>Mángqŭ</t>
  </si>
  <si>
    <t>Qiàbŭqià</t>
  </si>
  <si>
    <t>Qŭshí'ān</t>
  </si>
  <si>
    <t>Sēnduō</t>
  </si>
  <si>
    <t>Shínăihài</t>
  </si>
  <si>
    <t>Tánggémù</t>
  </si>
  <si>
    <t>Tánggŭ</t>
  </si>
  <si>
    <t>Zikētān</t>
  </si>
  <si>
    <t>Cháhànwūsū</t>
  </si>
  <si>
    <t>Cháidàn</t>
  </si>
  <si>
    <t>Chákă</t>
  </si>
  <si>
    <t>Găhăi</t>
  </si>
  <si>
    <t>Guōlèmùdé</t>
  </si>
  <si>
    <t>Huáitóu Tālā</t>
  </si>
  <si>
    <t>Huātŭgōu</t>
  </si>
  <si>
    <t>Jiānghé</t>
  </si>
  <si>
    <t>Kēkē</t>
  </si>
  <si>
    <t>Kēlŭkē</t>
  </si>
  <si>
    <t>Lĕnghú</t>
  </si>
  <si>
    <t>Mángyá</t>
  </si>
  <si>
    <t>Mùlĭ</t>
  </si>
  <si>
    <t>Tánggŭlā</t>
  </si>
  <si>
    <t>Tóngpŭ</t>
  </si>
  <si>
    <t>Xiāngrìdé</t>
  </si>
  <si>
    <t>Xiàrìhā</t>
  </si>
  <si>
    <t>Xīlĭgōu</t>
  </si>
  <si>
    <t>Xīnyuán</t>
  </si>
  <si>
    <t>Xītiĕshān</t>
  </si>
  <si>
    <t>Zōngjiā</t>
  </si>
  <si>
    <t>Băo'ān</t>
  </si>
  <si>
    <t>Duōwā</t>
  </si>
  <si>
    <t>Hérì</t>
  </si>
  <si>
    <t>Kănbùlā</t>
  </si>
  <si>
    <t>Kāngyáng</t>
  </si>
  <si>
    <t>Lóngwù</t>
  </si>
  <si>
    <t>Màixiù</t>
  </si>
  <si>
    <t>Măkètáng</t>
  </si>
  <si>
    <t>Níngmùtè</t>
  </si>
  <si>
    <t>Níngxiù</t>
  </si>
  <si>
    <t>Yōugānníng</t>
  </si>
  <si>
    <t>Zéqŭ</t>
  </si>
  <si>
    <t>Chángníng</t>
  </si>
  <si>
    <t>Dàbăozi</t>
  </si>
  <si>
    <t>Dàhuá</t>
  </si>
  <si>
    <t>Dōngxiá</t>
  </si>
  <si>
    <t>Duōbā</t>
  </si>
  <si>
    <t>Duōlín</t>
  </si>
  <si>
    <t>Gānhétān</t>
  </si>
  <si>
    <t>Gònghé</t>
  </si>
  <si>
    <t>Huángjiāzhài</t>
  </si>
  <si>
    <t>Jĭngyáng</t>
  </si>
  <si>
    <t>Lánlóngkŏu</t>
  </si>
  <si>
    <t>Lèjiāwān</t>
  </si>
  <si>
    <t>Lĭjiāshān</t>
  </si>
  <si>
    <t>Lŭshā'ĕr</t>
  </si>
  <si>
    <t>Niànlĭpū</t>
  </si>
  <si>
    <t>Péngjiāzhài</t>
  </si>
  <si>
    <t>Qiáotóu</t>
  </si>
  <si>
    <t>Shàngwŭzhuāng</t>
  </si>
  <si>
    <t>Shàngxīnzhuāng</t>
  </si>
  <si>
    <t>Tă'ĕr</t>
  </si>
  <si>
    <t>Tiánjiāzhài</t>
  </si>
  <si>
    <t>Xībăo</t>
  </si>
  <si>
    <t>Xīnzhuāng</t>
  </si>
  <si>
    <t>Yùnjiākŏu</t>
  </si>
  <si>
    <t>Zŏngzhài</t>
  </si>
  <si>
    <t>Chēngwén</t>
  </si>
  <si>
    <t>Jiājí Bóluògé</t>
  </si>
  <si>
    <t>Lóngbăo</t>
  </si>
  <si>
    <t>Qīngshuĭhé</t>
  </si>
  <si>
    <t>Sàhūténg</t>
  </si>
  <si>
    <t>Xiàlāxiù</t>
  </si>
  <si>
    <t>Xiāngdá</t>
  </si>
  <si>
    <t>Xiēwŭ</t>
  </si>
  <si>
    <t>Yuēgăi</t>
  </si>
  <si>
    <t>Zhāduŏ</t>
  </si>
  <si>
    <t>Zhēnqín</t>
  </si>
  <si>
    <t>Hăidōng</t>
  </si>
  <si>
    <t>Délìnghā</t>
  </si>
  <si>
    <t>Gé'ĕrmù</t>
  </si>
  <si>
    <t>Yùshù</t>
  </si>
  <si>
    <t>Xīníng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</si>
  <si>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</si>
  <si>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</si>
  <si>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</si>
  <si>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</si>
  <si>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</si>
  <si>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Aduo Xiang</t>
  </si>
  <si>
    <t>Anchong Xiang</t>
  </si>
  <si>
    <t>Angla Xiang</t>
  </si>
  <si>
    <t>Angsai Xiang</t>
  </si>
  <si>
    <t>Angsiduo Zhen</t>
  </si>
  <si>
    <t>Anzhi Nongchang</t>
  </si>
  <si>
    <t>Arou Xiang</t>
  </si>
  <si>
    <t>Ashinu Xiang</t>
  </si>
  <si>
    <t>Babao Zhen</t>
  </si>
  <si>
    <t>Bagan Xiang</t>
  </si>
  <si>
    <t>Bagou Xiang</t>
  </si>
  <si>
    <t>Baiyu Xiang</t>
  </si>
  <si>
    <t>Baizha Xiang</t>
  </si>
  <si>
    <t>Baizhuang Zhen</t>
  </si>
  <si>
    <t>Bakatai Nongchang</t>
  </si>
  <si>
    <t>Balong Xiang</t>
  </si>
  <si>
    <t>Bao'an Zhen</t>
  </si>
  <si>
    <t>Baoku Xiang</t>
  </si>
  <si>
    <t>Batang Xiang</t>
  </si>
  <si>
    <t>Bayan Xiang</t>
  </si>
  <si>
    <t>Bayan Zhen</t>
  </si>
  <si>
    <t>Bayilu Jiedao</t>
  </si>
  <si>
    <t>Bazanggou Xiang</t>
  </si>
  <si>
    <t>Bazha Zangzu Xiang</t>
  </si>
  <si>
    <t>Bazhou Zhen</t>
  </si>
  <si>
    <t>Beishan Xiang (Haibei Zangzu Zizhizhou)</t>
  </si>
  <si>
    <t>Beishan Xiang (Haidong Shi)</t>
  </si>
  <si>
    <t>Bohang Xiang</t>
  </si>
  <si>
    <t>Caijiabao Xiang</t>
  </si>
  <si>
    <t>Cangmenjie Jiedao</t>
  </si>
  <si>
    <t>Chadan Xiang</t>
  </si>
  <si>
    <t>Cha'erhan Gongxingwei</t>
  </si>
  <si>
    <t>Chafu Zangzu Xiang</t>
  </si>
  <si>
    <t>Chahandusi Xiang</t>
  </si>
  <si>
    <t>Chahanwusu Zhen</t>
  </si>
  <si>
    <t>Chaidan Zhen [Dachaidan Zhen]</t>
  </si>
  <si>
    <t>Chaka Zhen</t>
  </si>
  <si>
    <t>Changmu Zhen</t>
  </si>
  <si>
    <t>Changning Zhen</t>
  </si>
  <si>
    <t>Chaoyang Jiedao</t>
  </si>
  <si>
    <t>Chengguan Zhen (Datong Huizu Tuzu Zizhixian)</t>
  </si>
  <si>
    <t>Chengguan Zhen (Huangyuan Xian)</t>
  </si>
  <si>
    <t>Chengtai Xiang</t>
  </si>
  <si>
    <t>Chengwen Zhen</t>
  </si>
  <si>
    <t>Chuankou Zhen</t>
  </si>
  <si>
    <t>Chuma Xiang</t>
  </si>
  <si>
    <t>Cuozhou Xiang</t>
  </si>
  <si>
    <t>Dabaozi Zhen</t>
  </si>
  <si>
    <t>Dacai Huizu Xiang</t>
  </si>
  <si>
    <t>Dagele Xiang</t>
  </si>
  <si>
    <t>Dahua Zhen</t>
  </si>
  <si>
    <t>Daka Xiang</t>
  </si>
  <si>
    <t>Dala Xiang</t>
  </si>
  <si>
    <t>Dangluo Xiang</t>
  </si>
  <si>
    <t>Dangshun Xiang</t>
  </si>
  <si>
    <t>Danma Zhen</t>
  </si>
  <si>
    <t>Daotanghe Zhen</t>
  </si>
  <si>
    <t>Daowei Zangzu Xiang</t>
  </si>
  <si>
    <t>Dawu Xiang</t>
  </si>
  <si>
    <t>Dawu Zhen</t>
  </si>
  <si>
    <t>Dazhongjie Jiedao</t>
  </si>
  <si>
    <t>Dazhuang Xiang</t>
  </si>
  <si>
    <t>De'ang Xiang</t>
  </si>
  <si>
    <t>Dehenglong Xiang</t>
  </si>
  <si>
    <t>Dengta Xiang</t>
  </si>
  <si>
    <t>Dongba Xiang</t>
  </si>
  <si>
    <t>Dongchuan Zhen</t>
  </si>
  <si>
    <t>Donggou Xiang</t>
  </si>
  <si>
    <t>Dongguan Dajie Jiedao</t>
  </si>
  <si>
    <t>Donghe Xiang</t>
  </si>
  <si>
    <t>Dongqinggou Xiang</t>
  </si>
  <si>
    <t>Dongshan Xiang</t>
  </si>
  <si>
    <t>Dongxia Xiang</t>
  </si>
  <si>
    <t>Dongxia Zhen</t>
  </si>
  <si>
    <t>Duoba Zhen [incl. Kangchuan Jiedao]</t>
  </si>
  <si>
    <t>Duocai Xiang</t>
  </si>
  <si>
    <t>Duogongma Xiang</t>
  </si>
  <si>
    <t>Duohemao Xiang</t>
  </si>
  <si>
    <t>Duolin Zhen</t>
  </si>
  <si>
    <t>Duosong Xiang</t>
  </si>
  <si>
    <t>Duowa Zhen</t>
  </si>
  <si>
    <t>Ebao Zhen</t>
  </si>
  <si>
    <t>Ertang Xiang</t>
  </si>
  <si>
    <t>Fengdui Xiang</t>
  </si>
  <si>
    <t>Gabasongduo Zhen</t>
  </si>
  <si>
    <t>Gaduo Xiang</t>
  </si>
  <si>
    <t>Gahai Zhen</t>
  </si>
  <si>
    <t>Galeng Zangzu Xiang</t>
  </si>
  <si>
    <t>Gandu Zhen</t>
  </si>
  <si>
    <t>Gangcha Zangzu Xiang</t>
  </si>
  <si>
    <t>Ganglong Xiang</t>
  </si>
  <si>
    <t>Gangou Xiang</t>
  </si>
  <si>
    <t>Ganhetan Zhen</t>
  </si>
  <si>
    <t>Ganzihe Xiang</t>
  </si>
  <si>
    <t>Gaodian Zhen</t>
  </si>
  <si>
    <t>Gaomiao Zhen</t>
  </si>
  <si>
    <t>Gaozhai Zhen</t>
  </si>
  <si>
    <t>Garang Xiang</t>
  </si>
  <si>
    <t>Gayang Xiang</t>
  </si>
  <si>
    <t>Ge'ermu Nongken Youxian Gongsi</t>
  </si>
  <si>
    <t>Gongboxia Guanli Weiyuanhui</t>
  </si>
  <si>
    <t>Gonghe Xiang</t>
  </si>
  <si>
    <t>Gonghe Zhen</t>
  </si>
  <si>
    <t>Gouli Xiang</t>
  </si>
  <si>
    <t>Guanting Zhen</t>
  </si>
  <si>
    <t>Guashize Xiang</t>
  </si>
  <si>
    <t>Gucheng Xiang</t>
  </si>
  <si>
    <t>Guchengtai Jiedao</t>
  </si>
  <si>
    <t>Guinan Caoye Kaifa Youxian Zeren Gongsi</t>
  </si>
  <si>
    <t>Guolemude Zhen</t>
  </si>
  <si>
    <t>Guomaying Zhen</t>
  </si>
  <si>
    <t>Gushan Zhen</t>
  </si>
  <si>
    <t>Ha'ergai Zhen</t>
  </si>
  <si>
    <t>Haixi Zhoumohe Chumu Chang</t>
  </si>
  <si>
    <t>Haizigou Xiang</t>
  </si>
  <si>
    <t>Halazhigou Xiang</t>
  </si>
  <si>
    <t>Halejing Mengguzu Xiang</t>
  </si>
  <si>
    <t>Handong Huizu Xiang</t>
  </si>
  <si>
    <t>Haomen Zhen</t>
  </si>
  <si>
    <t>Haxiu Xiang</t>
  </si>
  <si>
    <t>Hebei Xiang</t>
  </si>
  <si>
    <t>Hedong Jiedao</t>
  </si>
  <si>
    <t>Hedong Xiang</t>
  </si>
  <si>
    <t>Heimahe Zhen</t>
  </si>
  <si>
    <t>Heka Zhen</t>
  </si>
  <si>
    <t>Heka Zhongyangchang</t>
  </si>
  <si>
    <t>Heping Xiang</t>
  </si>
  <si>
    <t>Heri Zhen</t>
  </si>
  <si>
    <t>Hetaozhuang Xiang</t>
  </si>
  <si>
    <t>Hexi Jiedao (Ge'ermu Shi)</t>
  </si>
  <si>
    <t>Hexi Jiedao (Delingha Shi)</t>
  </si>
  <si>
    <t>Hexi Zhen</t>
  </si>
  <si>
    <t>Heyin Zhen</t>
  </si>
  <si>
    <t>Hongshui Zhen</t>
  </si>
  <si>
    <t>Hongshuiquan Xiang</t>
  </si>
  <si>
    <t>Hongyazigou Xiang</t>
  </si>
  <si>
    <t>Huaitou Tala Zhen</t>
  </si>
  <si>
    <t>Hualin Xiang</t>
  </si>
  <si>
    <t>Huangcheng Mengguzu Xiang</t>
  </si>
  <si>
    <t>Huanghe Xiang</t>
  </si>
  <si>
    <t>Huanghelu Jiedao</t>
  </si>
  <si>
    <t>Huangjiazhai Zhen</t>
  </si>
  <si>
    <t>Huangnaihai Xiang</t>
  </si>
  <si>
    <t>Huashixia Zhen</t>
  </si>
  <si>
    <t>Huatugou Zhen</t>
  </si>
  <si>
    <t>Hudong Zhongyangchang</t>
  </si>
  <si>
    <t>Huochezhan Jiedao (Haixi Mengguzu Zangzu Zizhizhou)</t>
  </si>
  <si>
    <t>Huochezhan Jiedao (Xining Shi)</t>
  </si>
  <si>
    <t>Hutai Jiedao</t>
  </si>
  <si>
    <t>Jiading Zhen</t>
  </si>
  <si>
    <t>Jiaji Boluoge Zhen</t>
  </si>
  <si>
    <t>Jiajia Xiang</t>
  </si>
  <si>
    <t>Jianghe Zhen</t>
  </si>
  <si>
    <t>Jiangqian Xiang</t>
  </si>
  <si>
    <t>Jiangritang Xiang</t>
  </si>
  <si>
    <t>Jiangxigou Zhen</t>
  </si>
  <si>
    <t>Jianshe Xiang</t>
  </si>
  <si>
    <t>Jianzhatan Xiang</t>
  </si>
  <si>
    <t>Jiawu Xiang</t>
  </si>
  <si>
    <t>Jieduo Xiang</t>
  </si>
  <si>
    <t>Jiegu Jiedao [incl. Jieguzhen Jiedao, Zhaxike Jiedao, Xihang Jiedao, Xinzhai Jiedao]</t>
  </si>
  <si>
    <t>Ji'ermeng Xiang</t>
  </si>
  <si>
    <t>Jiezi Zhen</t>
  </si>
  <si>
    <t>Jika Xiang</t>
  </si>
  <si>
    <t>Jile Xiang</t>
  </si>
  <si>
    <t>Jimai Zhen</t>
  </si>
  <si>
    <t>Jinfenglu Jiedao</t>
  </si>
  <si>
    <t>Jingyang Zhen</t>
  </si>
  <si>
    <t>Jinisai Xiang</t>
  </si>
  <si>
    <t>Jintan Xiang</t>
  </si>
  <si>
    <t>Jinyuan Zangzu Xiang</t>
  </si>
  <si>
    <t>Jiqu Xiang</t>
  </si>
  <si>
    <t>Jishi Zhen</t>
  </si>
  <si>
    <t>Juela Xiang</t>
  </si>
  <si>
    <t>Jutan Zhen</t>
  </si>
  <si>
    <t>Kanbula Zhen</t>
  </si>
  <si>
    <t>Kangyang Zhen</t>
  </si>
  <si>
    <t>Keke Zhen</t>
  </si>
  <si>
    <t>Keluke Zhen</t>
  </si>
  <si>
    <t>Kequ Zhen</t>
  </si>
  <si>
    <t>Kesheng Xiang</t>
  </si>
  <si>
    <t>Kuai'erma Xiang</t>
  </si>
  <si>
    <t>Kunlunlu Jiedao</t>
  </si>
  <si>
    <t>Labu Xiang</t>
  </si>
  <si>
    <t>Lajia Zhen</t>
  </si>
  <si>
    <t>Lancai Xiang</t>
  </si>
  <si>
    <t>Lanlongkou Zhen</t>
  </si>
  <si>
    <t>Laxiwa Zhen</t>
  </si>
  <si>
    <t>Lejiawan Zhen</t>
  </si>
  <si>
    <t>Lenghu Zhen</t>
  </si>
  <si>
    <t>Liangjiao Xiang</t>
  </si>
  <si>
    <t>Li'erbao Zhen</t>
  </si>
  <si>
    <t>Lijia Xiang</t>
  </si>
  <si>
    <t>Lijiashan Zhen</t>
  </si>
  <si>
    <t>Lijiaxia Guanli Weiyuanhui</t>
  </si>
  <si>
    <t>Linchuan Xiang</t>
  </si>
  <si>
    <t>Linjiaya Jiedao</t>
  </si>
  <si>
    <t>Lirangjie Jiedao</t>
  </si>
  <si>
    <t>Lixin Xiang</t>
  </si>
  <si>
    <t>Longbao Zhen</t>
  </si>
  <si>
    <t>Longmen Xiang</t>
  </si>
  <si>
    <t>Longwu Zhen</t>
  </si>
  <si>
    <t>Longyangxia Zhen</t>
  </si>
  <si>
    <t>Longzang Xiang</t>
  </si>
  <si>
    <t>Longzhi Xiang</t>
  </si>
  <si>
    <t>Luhua Xiang</t>
  </si>
  <si>
    <t>Lusha'er Zhen</t>
  </si>
  <si>
    <t>Machali Zhen</t>
  </si>
  <si>
    <t>Machang Xiang</t>
  </si>
  <si>
    <t>Machangyuan Xiang</t>
  </si>
  <si>
    <t>Maduo Xiang</t>
  </si>
  <si>
    <t>Mafang Jiedao</t>
  </si>
  <si>
    <t>Maixiu Zhen</t>
  </si>
  <si>
    <t>Makehe Xiang</t>
  </si>
  <si>
    <t>Maketang Zhen</t>
  </si>
  <si>
    <t>Malian Xiang</t>
  </si>
  <si>
    <t>Mangla Xiang</t>
  </si>
  <si>
    <t>Mangqu Zhen</t>
  </si>
  <si>
    <t>Mangya Zhen</t>
  </si>
  <si>
    <t>Manping Zhen</t>
  </si>
  <si>
    <t>Manzhang Xiang</t>
  </si>
  <si>
    <t>Maozhuang Xiang</t>
  </si>
  <si>
    <t>Maying Xiang</t>
  </si>
  <si>
    <t>Maying Zhen</t>
  </si>
  <si>
    <t>Mentang Xiang</t>
  </si>
  <si>
    <t>Menyuan Jianyu</t>
  </si>
  <si>
    <t>Menyuanzhong Machang</t>
  </si>
  <si>
    <t>Moba Xiang</t>
  </si>
  <si>
    <t>Mole Zhen</t>
  </si>
  <si>
    <t>Moyun Xiang</t>
  </si>
  <si>
    <t>Muli Zhen</t>
  </si>
  <si>
    <t>Nanchuan Donglu Jiedao</t>
  </si>
  <si>
    <t>Nanchuan Xilu Jiedao</t>
  </si>
  <si>
    <t>Nanmenxia Zhen</t>
  </si>
  <si>
    <t>Nantan Jiedao</t>
  </si>
  <si>
    <t>Nengke Xiang</t>
  </si>
  <si>
    <t>Nianbo Zhen</t>
  </si>
  <si>
    <t>Niandi Xiang</t>
  </si>
  <si>
    <t>Nianduhu Xiang</t>
  </si>
  <si>
    <t>Niangla Xiang</t>
  </si>
  <si>
    <t>Nianlipu Zhen</t>
  </si>
  <si>
    <t>Ningmute Zhen</t>
  </si>
  <si>
    <t>Ningxiu Zhen</t>
  </si>
  <si>
    <t>Pengjiazhai Zhen</t>
  </si>
  <si>
    <t>Ping'an Zhen</t>
  </si>
  <si>
    <t>Putai Xiang</t>
  </si>
  <si>
    <t>Qiabuqia Zhen</t>
  </si>
  <si>
    <t>Qianhe Xiang</t>
  </si>
  <si>
    <t>Qiaotou Zhen</t>
  </si>
  <si>
    <t>Qieji Xiang</t>
  </si>
  <si>
    <t>Qinghaihu Nongchang</t>
  </si>
  <si>
    <t>Qinghaihu Xiang</t>
  </si>
  <si>
    <t>Qinglin Xiang</t>
  </si>
  <si>
    <t>Qingshan Xiang</t>
  </si>
  <si>
    <t>Qingshiju Zhen</t>
  </si>
  <si>
    <t>Qingshui Xiang</t>
  </si>
  <si>
    <t>Qingshuihe Zhen</t>
  </si>
  <si>
    <t>Qingzhen Xiang</t>
  </si>
  <si>
    <t>Qingzhenxiang Jiedao</t>
  </si>
  <si>
    <t>Qiuzhi Xiang</t>
  </si>
  <si>
    <t>Quanji Xiang</t>
  </si>
  <si>
    <t>Quankou Zhen</t>
  </si>
  <si>
    <t>Qukuhu Xiang</t>
  </si>
  <si>
    <t>Qumahe Xiang</t>
  </si>
  <si>
    <t>Qunjia Zangzu Xiang</t>
  </si>
  <si>
    <t>Qunke Zhen</t>
  </si>
  <si>
    <t>Qushi'an Zhen</t>
  </si>
  <si>
    <t>Renminjie Jiedao</t>
  </si>
  <si>
    <t>Reshui Xiang</t>
  </si>
  <si>
    <t>Riyue Xiang</t>
  </si>
  <si>
    <t>Sahuteng Zhen</t>
  </si>
  <si>
    <t>Sai'erlong Xiang</t>
  </si>
  <si>
    <t>Sailaitang Zhen</t>
  </si>
  <si>
    <t>Sangrima Xiang</t>
  </si>
  <si>
    <t>Sanhe Zhen</t>
  </si>
  <si>
    <t>Sanjiaocheng Zhen</t>
  </si>
  <si>
    <t>Sanjiaocheng Zhongyangchang</t>
  </si>
  <si>
    <t>Senduo Zhen</t>
  </si>
  <si>
    <t>Shagou Xiang (Haidong Shi)</t>
  </si>
  <si>
    <t>Shagou Xiang (Hainan Zangzu Zizhizhou)</t>
  </si>
  <si>
    <t>Shalianbao Xiang</t>
  </si>
  <si>
    <t>Shaliuhe Zhen</t>
  </si>
  <si>
    <t>Shanggongma Xiang</t>
  </si>
  <si>
    <t>Shanghongke Xiang</t>
  </si>
  <si>
    <t>Shanglaxiu Xiang</t>
  </si>
  <si>
    <t>Shangwuzhuang Zhen</t>
  </si>
  <si>
    <t>Shangxinzhuang Zhen</t>
  </si>
  <si>
    <t>Shazhuyu Xiang</t>
  </si>
  <si>
    <t>Sheng Mucao Liangzhong Fanzhi Chang</t>
  </si>
  <si>
    <t>Shengge Xiang</t>
  </si>
  <si>
    <t>Shenglilu Jiedao</t>
  </si>
  <si>
    <t>Shenzhong Xiang</t>
  </si>
  <si>
    <t>Shidacang Xiang</t>
  </si>
  <si>
    <t>Shihuiyao Xiang</t>
  </si>
  <si>
    <t>Shinaihai Zhen</t>
  </si>
  <si>
    <t>Shishan Xiang</t>
  </si>
  <si>
    <t>Shoule Zhen</t>
  </si>
  <si>
    <t>Shuangpengxi Xiang</t>
  </si>
  <si>
    <t>Shuobei Zangzu Xiang</t>
  </si>
  <si>
    <t>Sizhai Xiang</t>
  </si>
  <si>
    <t>Songduo Zangzu Xiang</t>
  </si>
  <si>
    <t>Songshu Xiang</t>
  </si>
  <si>
    <t>Sujitan Xiang</t>
  </si>
  <si>
    <t>Suli Xiang</t>
  </si>
  <si>
    <t>Sulu Xiang</t>
  </si>
  <si>
    <t>Suohu Rima Xiang</t>
  </si>
  <si>
    <t>Suojia Xiang</t>
  </si>
  <si>
    <t>Ta'er Zhen</t>
  </si>
  <si>
    <t>Taizi Xiang</t>
  </si>
  <si>
    <t>Tajia Zangzu Xiang</t>
  </si>
  <si>
    <t>Tangchuan Zhen</t>
  </si>
  <si>
    <t>Tanggemu Zhen</t>
  </si>
  <si>
    <t>Tanggu Zhen</t>
  </si>
  <si>
    <t>Tanggula Zhen</t>
  </si>
  <si>
    <t>Tangnaihai Xiang</t>
  </si>
  <si>
    <t>Taxiu Xiang</t>
  </si>
  <si>
    <t>Tehetu Xiang</t>
  </si>
  <si>
    <t>Tianjiazhai Zhen</t>
  </si>
  <si>
    <t>Tiebujiacao Gaizhan</t>
  </si>
  <si>
    <t>Tiegai Xiang</t>
  </si>
  <si>
    <t>Tongpu Zhen</t>
  </si>
  <si>
    <t>Tumenguan Xiang</t>
  </si>
  <si>
    <t>Wa'eryi Xiang</t>
  </si>
  <si>
    <t>Wangjia Xiang</t>
  </si>
  <si>
    <t>Wasai Xiang</t>
  </si>
  <si>
    <t>Weiyuan Zhen</t>
  </si>
  <si>
    <t>Wendu Zangzu Xiang</t>
  </si>
  <si>
    <t>Wenquan Xiang</t>
  </si>
  <si>
    <t>Wosai Xiang</t>
  </si>
  <si>
    <t>Wufeng Zhen</t>
  </si>
  <si>
    <t>Wushi Zhen</t>
  </si>
  <si>
    <t>Wutu Meiren Xiang</t>
  </si>
  <si>
    <t>Xiadawu Xiang</t>
  </si>
  <si>
    <t>Xiagongma Xiang</t>
  </si>
  <si>
    <t>Xiahongke Xiang</t>
  </si>
  <si>
    <t>Xialaxiu Zhen</t>
  </si>
  <si>
    <t>Xiamen Zhen</t>
  </si>
  <si>
    <t>Xiangda Zhen</t>
  </si>
  <si>
    <t>Xianghua Zangzu Xiang</t>
  </si>
  <si>
    <t>Xiangjia Xiang</t>
  </si>
  <si>
    <t>Xiangride Zhen</t>
  </si>
  <si>
    <t>Xianmi Xiang</t>
  </si>
  <si>
    <t>Xiaoqiao Dajie Jiedao</t>
  </si>
  <si>
    <t>Xiaosumang Xiang</t>
  </si>
  <si>
    <t>Xiaoxia Zhen</t>
  </si>
  <si>
    <t>Xiariha Zhen</t>
  </si>
  <si>
    <t>Xiaying Xiang</t>
  </si>
  <si>
    <t>Xiazangke Xiang</t>
  </si>
  <si>
    <t>Xibao Zhen</t>
  </si>
  <si>
    <t>Xibusha Xiang</t>
  </si>
  <si>
    <t>Xiegou Xiang</t>
  </si>
  <si>
    <t>Xiejiatan Xiang</t>
  </si>
  <si>
    <t>Xiewu Zhen</t>
  </si>
  <si>
    <t>Xigou Xiang</t>
  </si>
  <si>
    <t>Xiguan Dajie Jiedao</t>
  </si>
  <si>
    <t>Xihai Zhen</t>
  </si>
  <si>
    <t>Xiligou Zhen</t>
  </si>
  <si>
    <t>Xing'er Xiang</t>
  </si>
  <si>
    <t>Xinghailu Jiedao</t>
  </si>
  <si>
    <t>Xinjie Huizu Xiang</t>
  </si>
  <si>
    <t>Xinmin Xiang</t>
  </si>
  <si>
    <t>Xinyuan Zhen</t>
  </si>
  <si>
    <t>Xinzhuang Zhen</t>
  </si>
  <si>
    <t>Xiongxian Zangzu Xiang</t>
  </si>
  <si>
    <t>Xishan Xiang</t>
  </si>
  <si>
    <t>Xitan Xiang</t>
  </si>
  <si>
    <t>Xitieshan Zhen</t>
  </si>
  <si>
    <t>Xiuma Xiang</t>
  </si>
  <si>
    <t>Xizanglu Jiedao</t>
  </si>
  <si>
    <t>Xueshan Xiang</t>
  </si>
  <si>
    <t>Xuji Xiang</t>
  </si>
  <si>
    <t>Xunrang Xiang</t>
  </si>
  <si>
    <t>Ya'ertang Xiang</t>
  </si>
  <si>
    <t>Yangkang Xiang</t>
  </si>
  <si>
    <t>Yanglong Xiang</t>
  </si>
  <si>
    <t>Yashiga Zhen</t>
  </si>
  <si>
    <t>Yege Xiang</t>
  </si>
  <si>
    <t>Yeniugou Xiang</t>
  </si>
  <si>
    <t>Yikewulan Xiang</t>
  </si>
  <si>
    <t>Yinmajie Jiedao</t>
  </si>
  <si>
    <t>Yintian Xiang</t>
  </si>
  <si>
    <t>Youganning Zhen</t>
  </si>
  <si>
    <t>Youyun Xiang</t>
  </si>
  <si>
    <t>Yuegai Zhen</t>
  </si>
  <si>
    <t>Yunjiakou Zhen</t>
  </si>
  <si>
    <t>Yurun Zhen</t>
  </si>
  <si>
    <t>Zequ Zhen</t>
  </si>
  <si>
    <t>Zhaba Zhen</t>
  </si>
  <si>
    <t>Zhaduo Zhen</t>
  </si>
  <si>
    <t>Zhahe Xiang</t>
  </si>
  <si>
    <t>Zhalinghu Xiang</t>
  </si>
  <si>
    <t>Zhamao Xiang</t>
  </si>
  <si>
    <t>Zhamashi Xiang</t>
  </si>
  <si>
    <t>Zhaqing Xiang</t>
  </si>
  <si>
    <t>Zhenqin Zhen</t>
  </si>
  <si>
    <t>Zhexiao Xiang</t>
  </si>
  <si>
    <t>Zhihema Xiang</t>
  </si>
  <si>
    <t>Zhiqin Xiang</t>
  </si>
  <si>
    <t>Zhiqing Songduo Zhen</t>
  </si>
  <si>
    <t>Zhiqu Xiang</t>
  </si>
  <si>
    <t>Zhongba Xiang</t>
  </si>
  <si>
    <t>Zhongchuan Xiang</t>
  </si>
  <si>
    <t>Zhongda Xiang</t>
  </si>
  <si>
    <t>Zhongling Xiang</t>
  </si>
  <si>
    <t>Zhongtie Xiang</t>
  </si>
  <si>
    <t>Zhoujiaquan Jiedao</t>
  </si>
  <si>
    <t>Zhouqun Xiang</t>
  </si>
  <si>
    <t>Zhuandao Xiang</t>
  </si>
  <si>
    <t>Zhugu Xiang</t>
  </si>
  <si>
    <t>Ziketan Zhen</t>
  </si>
  <si>
    <t>Zongbao Xiang</t>
  </si>
  <si>
    <t>Zongjia Zhen</t>
  </si>
  <si>
    <t>Zongzhai Zhen</t>
  </si>
  <si>
    <t>Column113</t>
  </si>
  <si>
    <t>Column114</t>
  </si>
  <si>
    <t>Chéngguān (Dàtōng)</t>
  </si>
  <si>
    <t>Chéngguān (Huángyuán)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</si>
</sst>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2" fillId="3" borderId="1" xfId="0" applyFont="1" applyFill="1" applyBorder="1" applyAlignment="1">
      <alignment horizontal="left" vertical="top"/>
    </xf>
    <xf numFmtId="3" fontId="2" fillId="3" borderId="1" xfId="0" applyNumberFormat="1" applyFont="1" applyFill="1" applyBorder="1" applyAlignment="1">
      <alignment horizontal="right" vertical="top"/>
    </xf>
    <xf numFmtId="0" fontId="2" fillId="4" borderId="2" xfId="0" applyFont="1" applyFill="1" applyBorder="1" applyAlignment="1">
      <alignment horizontal="left" vertical="top"/>
    </xf>
    <xf numFmtId="3" fontId="2" fillId="4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D092D0-E5D8-4913-8E3A-A0FE442435B5}" name="Table1" displayName="Table1" ref="A1:G45" totalsRowShown="0" headerRowDxfId="121" dataDxfId="120">
  <autoFilter ref="A1:G45" xr:uid="{6DD092D0-E5D8-4913-8E3A-A0FE442435B5}"/>
  <tableColumns count="7">
    <tableColumn id="1" xr3:uid="{1774FE3D-548C-4DCC-89A0-07DBAF8505B4}" name="Name" dataDxfId="119"/>
    <tableColumn id="2" xr3:uid="{5C81C7E6-4942-4AD1-96BF-EE809DBBC441}" name="Native" dataDxfId="118"/>
    <tableColumn id="3" xr3:uid="{E76930E7-AAD2-48C6-A143-64E757EC702A}" name="Status" dataDxfId="117"/>
    <tableColumn id="4" xr3:uid="{4A966DB3-800D-4F6A-AE94-BBC67044966C}" name="City / District / County" dataDxfId="116"/>
    <tableColumn id="5" xr3:uid="{4329F6AE-5746-4D7C-B8E2-A0C927A3A35B}" name="Population" dataDxfId="115"/>
    <tableColumn id="6" xr3:uid="{1A58211B-8B48-40C5-B5CC-47FFEC5FFE6A}" name="Column1" dataDxfId="114">
      <calculatedColumnFormula>VLOOKUP(D2,Table9[[Name]:[Native]],3,FALSE)</calculatedColumnFormula>
    </tableColumn>
    <tableColumn id="7" xr3:uid="{434456DA-7CEB-4C89-89CC-2FD3C3F9E453}" name="Column2" dataDxfId="113">
      <calculatedColumnFormula>VLOOKUP(F2,Table9[[Native]:[Population4]],5,FALSE)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9FCC6-1D4A-4BC3-AD75-4705E50892FD}" name="Table2" displayName="Table2" ref="A1:G35" totalsRowShown="0" headerRowDxfId="112" dataDxfId="111">
  <autoFilter ref="A1:G35" xr:uid="{9569FCC6-1D4A-4BC3-AD75-4705E50892FD}"/>
  <tableColumns count="7">
    <tableColumn id="1" xr3:uid="{886620EE-F3B5-4A78-8909-741A8DA4F1AB}" name="Name" dataDxfId="110"/>
    <tableColumn id="2" xr3:uid="{2184C424-66E1-4EA8-9F23-409F0CAADB1C}" name="Native" dataDxfId="109"/>
    <tableColumn id="3" xr3:uid="{BC171A79-B300-440D-ACF9-75DAA3774D96}" name="Status" dataDxfId="108"/>
    <tableColumn id="4" xr3:uid="{37BCEF08-CB52-4C38-A382-BF65BA130BB3}" name="City / District / County" dataDxfId="107"/>
    <tableColumn id="5" xr3:uid="{93464985-E2A0-4925-9856-009E06EA0D8E}" name="Population" dataDxfId="106"/>
    <tableColumn id="6" xr3:uid="{7C357AD7-B2E9-46F5-A328-0DB2F06684B7}" name="Column1" dataDxfId="105">
      <calculatedColumnFormula>VLOOKUP(D2,Table9[[Name]:[Native]],3,FALSE)</calculatedColumnFormula>
    </tableColumn>
    <tableColumn id="7" xr3:uid="{962A52E8-4BCD-40AF-A46F-69930C5074FE}" name="Column2" dataDxfId="104">
      <calculatedColumnFormula>VLOOKUP(F2,Table9[[Native]:[Population4]],5,FALSE)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885BFE-ABB9-4BB8-85CE-916D61B5D646}" name="Table3" displayName="Table3" ref="A1:G97" totalsRowShown="0" headerRowDxfId="103" dataDxfId="102">
  <autoFilter ref="A1:G97" xr:uid="{68885BFE-ABB9-4BB8-85CE-916D61B5D646}"/>
  <tableColumns count="7">
    <tableColumn id="1" xr3:uid="{2BD316F9-7033-438A-A311-CB068611B891}" name="Name" dataDxfId="101"/>
    <tableColumn id="2" xr3:uid="{5919DCED-1CC6-4AAD-8EDB-D1DA8F4E9CE8}" name="Native" dataDxfId="100"/>
    <tableColumn id="3" xr3:uid="{48F38E37-DBA0-4E8F-9111-3AA0D01A9D27}" name="Status" dataDxfId="99"/>
    <tableColumn id="4" xr3:uid="{3673AB85-7DE6-440C-B02D-A664F3891716}" name="City / District / County" dataDxfId="98"/>
    <tableColumn id="5" xr3:uid="{1FA922F5-98A8-481F-BD54-9D8502A4EC58}" name="Population" dataDxfId="97"/>
    <tableColumn id="6" xr3:uid="{1B5E38F7-5458-4580-9C0B-196297A6B874}" name="Column1" dataDxfId="96">
      <calculatedColumnFormula>VLOOKUP(D2,Table9[[Name]:[Native]],3,FALSE)</calculatedColumnFormula>
    </tableColumn>
    <tableColumn id="7" xr3:uid="{5177E6B6-D3F7-4662-B957-E34F19B87901}" name="Column2" dataDxfId="95">
      <calculatedColumnFormula>VLOOKUP(F2,Table9[[Native]:[Population4]],5,FALSE)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60437C-61CA-48F8-80AA-D88DBD77914E}" name="Table4" displayName="Table4" ref="A1:G44" totalsRowShown="0" headerRowDxfId="94" dataDxfId="93">
  <autoFilter ref="A1:G44" xr:uid="{6D60437C-61CA-48F8-80AA-D88DBD77914E}"/>
  <tableColumns count="7">
    <tableColumn id="1" xr3:uid="{AA404D01-8800-418B-8E36-F82D9DDD0CC0}" name="Name" dataDxfId="92"/>
    <tableColumn id="2" xr3:uid="{2BD59336-2011-4098-81CD-E3476F516D72}" name="Native" dataDxfId="91"/>
    <tableColumn id="3" xr3:uid="{0700EF92-C14F-4600-AF52-102D22827C48}" name="Status" dataDxfId="90"/>
    <tableColumn id="4" xr3:uid="{E62212A8-850A-44BF-BB5B-8A0B1695C2E0}" name="City / District / County" dataDxfId="89"/>
    <tableColumn id="5" xr3:uid="{708E1688-9229-4AD8-B19A-3E3D6767DEA8}" name="Population" dataDxfId="88"/>
    <tableColumn id="6" xr3:uid="{3FAE0777-E494-4E1D-B293-202FB7F36DC5}" name="Column1" dataDxfId="87">
      <calculatedColumnFormula>VLOOKUP(D2,Table9[[Name]:[Native]],3,FALSE)</calculatedColumnFormula>
    </tableColumn>
    <tableColumn id="7" xr3:uid="{E1B7AFCB-80CF-41C3-81B7-5A742A1671AF}" name="Column2" dataDxfId="86">
      <calculatedColumnFormula>VLOOKUP(F2,Table9[[Native]:[Population4]],5,FALSE)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CD0AA0-2D26-4A47-AF42-D87A5E8EF274}" name="Table5" displayName="Table5" ref="A1:G47" totalsRowShown="0" headerRowDxfId="85" dataDxfId="84">
  <autoFilter ref="A1:G47" xr:uid="{0DCD0AA0-2D26-4A47-AF42-D87A5E8EF274}"/>
  <tableColumns count="7">
    <tableColumn id="1" xr3:uid="{1E0C8D06-6945-41A8-A8B9-21A5016C1B68}" name="Name" dataDxfId="83"/>
    <tableColumn id="2" xr3:uid="{02F21D52-6515-4A00-AD7B-7E5709E1A201}" name="Native" dataDxfId="82"/>
    <tableColumn id="3" xr3:uid="{116101F6-B734-4047-9B72-D2EC8D5B912C}" name="Status" dataDxfId="81"/>
    <tableColumn id="4" xr3:uid="{18EBB25C-58EF-45DD-8F5F-6407610422AC}" name="City / District / County" dataDxfId="80"/>
    <tableColumn id="5" xr3:uid="{E4535F63-7199-4493-A1AB-08C26C087D63}" name="Population" dataDxfId="79"/>
    <tableColumn id="6" xr3:uid="{C373AE3D-3A89-4EC4-B3C5-42B08D5D23B8}" name="Column1" dataDxfId="78">
      <calculatedColumnFormula>VLOOKUP(D2,Table9[[Name]:[Native]],3,FALSE)</calculatedColumnFormula>
    </tableColumn>
    <tableColumn id="7" xr3:uid="{F0E6BBF2-B8B2-4FF7-857F-BC5F5A9D295F}" name="Column2" dataDxfId="77">
      <calculatedColumnFormula>VLOOKUP(F2,Table9[[Native]:[Population4]],5,FALSE)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4F63AFE-635C-40C8-9A32-2BEE25F362BD}" name="Table6" displayName="Table6" ref="A1:G33" totalsRowShown="0" headerRowDxfId="76" dataDxfId="75">
  <autoFilter ref="A1:G33" xr:uid="{A4F63AFE-635C-40C8-9A32-2BEE25F362BD}"/>
  <tableColumns count="7">
    <tableColumn id="1" xr3:uid="{0F1A2186-6064-4323-814C-4BABB292301D}" name="Name" dataDxfId="74"/>
    <tableColumn id="2" xr3:uid="{349B9892-A5C4-43AD-89D3-68986F8F3B3A}" name="Native" dataDxfId="73"/>
    <tableColumn id="3" xr3:uid="{6826FBF2-D25E-40FE-A89D-64507C0F7BF9}" name="Status" dataDxfId="72"/>
    <tableColumn id="4" xr3:uid="{BA96F0C7-B64D-49A0-88A3-6F6FCCABDA32}" name="City / District / County" dataDxfId="71"/>
    <tableColumn id="5" xr3:uid="{F3C3B786-1A67-440B-A639-C135B298F373}" name="Population" dataDxfId="70"/>
    <tableColumn id="6" xr3:uid="{6BA2EAA1-ABCD-4433-99E1-E35EF84A24F1}" name="Column1" dataDxfId="69">
      <calculatedColumnFormula>VLOOKUP(D2,Table9[[Name]:[Native]],3,FALSE)</calculatedColumnFormula>
    </tableColumn>
    <tableColumn id="7" xr3:uid="{E4DC9C9D-EE1C-4932-AC55-951F9546BE23}" name="Column2" dataDxfId="68">
      <calculatedColumnFormula>VLOOKUP(F2,Table9[[Native]:[Population4]],5,FALSE)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18D6E2-67AF-4585-94F9-70CA12458018}" name="Table7" displayName="Table7" ref="A1:G73" totalsRowShown="0" headerRowDxfId="67" dataDxfId="66">
  <autoFilter ref="A1:G73" xr:uid="{3118D6E2-67AF-4585-94F9-70CA12458018}"/>
  <tableColumns count="7">
    <tableColumn id="1" xr3:uid="{B1C7276A-70DE-4DAA-B2D9-61A923880E54}" name="Name" dataDxfId="65"/>
    <tableColumn id="2" xr3:uid="{47640D91-764D-4EFE-92B3-AD8AA1BFFB9E}" name="Native" dataDxfId="64"/>
    <tableColumn id="3" xr3:uid="{2C07FB82-0276-4EE9-AFDD-E2C0CD1D7CDA}" name="Status" dataDxfId="63"/>
    <tableColumn id="4" xr3:uid="{2030318E-352D-4C0B-9AA4-3C68776C8EFD}" name="City / District / County" dataDxfId="62"/>
    <tableColumn id="5" xr3:uid="{F086A3C6-6039-4906-B248-598C7FBBC102}" name="Population" dataDxfId="61"/>
    <tableColumn id="6" xr3:uid="{CC54A825-79B1-489D-8377-B276D0388A1C}" name="Column1" dataDxfId="60">
      <calculatedColumnFormula>VLOOKUP(D2,Table9[[Name]:[Native]],3,FALSE)</calculatedColumnFormula>
    </tableColumn>
    <tableColumn id="7" xr3:uid="{6BD0F438-9C08-4B28-AA1E-FEDBC30E4A12}" name="Column2" dataDxfId="59">
      <calculatedColumnFormula>VLOOKUP(F2,Table9[[Native]:[Population4]],5,FALSE)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2676B9-DAFE-4817-970E-8ACB20EC36ED}" name="Table8" displayName="Table8" ref="A1:G47" totalsRowShown="0" headerRowDxfId="58" dataDxfId="57">
  <autoFilter ref="A1:G47" xr:uid="{2D2676B9-DAFE-4817-970E-8ACB20EC36ED}"/>
  <tableColumns count="7">
    <tableColumn id="1" xr3:uid="{9A08467B-FEAA-4047-BB9C-383BEC7E680A}" name="Name" dataDxfId="56"/>
    <tableColumn id="2" xr3:uid="{0A595505-34D5-4351-8A90-97B5C2241377}" name="Native" dataDxfId="55"/>
    <tableColumn id="3" xr3:uid="{320AE83C-C2D7-4397-B7BF-BECF65FFF649}" name="Status" dataDxfId="54"/>
    <tableColumn id="4" xr3:uid="{B51A167D-30BC-44E4-933F-A8D620A7CD44}" name="City / District / County" dataDxfId="53"/>
    <tableColumn id="5" xr3:uid="{F83F6500-3E03-4A63-AD95-B6C3FE099E7E}" name="Population" dataDxfId="52"/>
    <tableColumn id="6" xr3:uid="{CADC1107-FB31-4460-814C-12D5C0DB10D4}" name="Column1" dataDxfId="51">
      <calculatedColumnFormula>VLOOKUP(D2,Table9[[Name]:[Native]],3,FALSE)</calculatedColumnFormula>
    </tableColumn>
    <tableColumn id="7" xr3:uid="{68D813FE-761B-4EF0-8C6A-CD9895EE1EDC}" name="Column2" dataDxfId="50">
      <calculatedColumnFormula>VLOOKUP(F2,Table9[[Native]:[Population4]],5,FALSE)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DB2CFB5-1200-49F0-8EA8-F7F0BA4E9A5A}" name="Table10" displayName="Table10" ref="A1:P414" totalsRowShown="0">
  <autoFilter ref="A1:P414" xr:uid="{9DB2CFB5-1200-49F0-8EA8-F7F0BA4E9A5A}">
    <filterColumn colId="4">
      <filters>
        <filter val="Town"/>
      </filters>
    </filterColumn>
  </autoFilter>
  <sortState xmlns:xlrd2="http://schemas.microsoft.com/office/spreadsheetml/2017/richdata2" ref="A2:K414">
    <sortCondition ref="A1:A414"/>
  </sortState>
  <tableColumns count="16">
    <tableColumn id="1" xr3:uid="{DFAA037D-FFDF-4DA4-9DD0-FB7CF12626BE}" name="Column1"/>
    <tableColumn id="10" xr3:uid="{385EFAB4-0F5E-45B7-A01A-353DE829ACC6}" name="Column12" dataDxfId="31">
      <calculatedColumnFormula>IF(COUNTIF(A:A,A2)&gt;1,_xlfn.CONCAT(A2," (",N2,")"),A2)</calculatedColumnFormula>
    </tableColumn>
    <tableColumn id="11" xr3:uid="{EFEEF2A5-BCA5-4263-8094-764DEBB12356}" name="Column13" dataDxfId="30">
      <calculatedColumnFormula>IF(COUNTIF(B:B,B2)&gt;1,_xlfn.CONCAT(A2," (",M2,")"),B2)</calculatedColumnFormula>
    </tableColumn>
    <tableColumn id="2" xr3:uid="{28B6A83A-1211-44E9-A2CD-7CA579EF86F2}" name="Column2"/>
    <tableColumn id="3" xr3:uid="{71CF45CD-B54B-4D70-BED5-3A897A93A8E0}" name="Column3"/>
    <tableColumn id="4" xr3:uid="{2C19DD36-A897-42BC-8CF3-39090C385CC0}" name="Column4" dataDxfId="49">
      <calculatedColumnFormula>_xlfn.CONCAT(D2,", ",H2,", ",I2,", ","青海省")</calculatedColumnFormula>
    </tableColumn>
    <tableColumn id="5" xr3:uid="{FC7A6065-DBA5-4997-9613-06A7C57B6977}" name="Column5"/>
    <tableColumn id="6" xr3:uid="{BED1E732-E75A-4C34-8265-64943AEA22E6}" name="Column6"/>
    <tableColumn id="7" xr3:uid="{FC52BE17-CF82-42B5-ACDE-C42E2F8403E1}" name="Column7"/>
    <tableColumn id="8" xr3:uid="{16E67323-6D2C-471E-8E05-43B113634CD5}" name="Column8" dataDxfId="48">
      <calculatedColumnFormula>VLOOKUP(F2,[1]!china_towns_second__2[[Column1]:[Y]],3,FALSE)</calculatedColumnFormula>
    </tableColumn>
    <tableColumn id="9" xr3:uid="{E0966D66-5FA7-4E92-BE81-7D7E034A1C96}" name="Column9" dataDxfId="47">
      <calculatedColumnFormula>VLOOKUP(F2,[1]!china_towns_second__2[[Column1]:[Y]],2,FALSE)</calculatedColumnFormula>
    </tableColumn>
    <tableColumn id="12" xr3:uid="{E15358D4-01EE-4D6E-9BB5-023B551CADFB}" name="Column10"/>
    <tableColumn id="13" xr3:uid="{86DCC61B-16AF-4FFF-A02B-8C29DCA53F79}" name="Column11" dataDxfId="33">
      <calculatedColumnFormula>VLOOKUP(H2,CHOOSE({1,2},Table9[Native],Table9[Name]),2,0)</calculatedColumnFormula>
    </tableColumn>
    <tableColumn id="14" xr3:uid="{BC4175F3-5D45-42EB-AC52-E1E2D919B051}" name="Column112" dataDxfId="32">
      <calculatedColumnFormula>VLOOKUP(I2,CHOOSE({1,2},Table9[Native],Table9[Name]),2,0)</calculatedColumnFormula>
    </tableColumn>
    <tableColumn id="15" xr3:uid="{B77A0F22-27C5-45C6-9A9B-C0F950E6357F}" name="Column113" dataDxfId="23">
      <calculatedColumnFormula>_xlfn.CONCAT(L2," (",N2,")")</calculatedColumnFormula>
    </tableColumn>
    <tableColumn id="16" xr3:uid="{1F60197A-7EE4-44CB-B177-48E7371BB67E}" name="Column114" dataDxfId="22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CB08356-DEAB-4EC4-82FD-882B273FF072}" name="Table11" displayName="Table11" ref="A1:E6" totalsRowShown="0">
  <autoFilter ref="A1:E6" xr:uid="{8CB08356-DEAB-4EC4-82FD-882B273FF072}"/>
  <tableColumns count="5">
    <tableColumn id="1" xr3:uid="{1E7D9B2F-96CC-4B2E-9558-BC0CB83FAACE}" name="Column1"/>
    <tableColumn id="3" xr3:uid="{16D294F5-363D-4EF3-AFB1-20320D3550D0}" name="Column12" dataDxfId="46">
      <calculatedColumnFormula>VLOOKUP(A2,CHOOSE({1,2},Table9[Native],Table9[Name]),2,0)</calculatedColumnFormula>
    </tableColumn>
    <tableColumn id="2" xr3:uid="{2DB41F6D-F4F2-4931-861E-C1753B317881}" name="Column2"/>
    <tableColumn id="4" xr3:uid="{EE0898E6-BEAC-44AE-BB95-B88FE5C3F84A}" name="Column3" dataDxfId="45">
      <calculatedColumnFormula>VLOOKUP(A2,[1]!Table1[[name]:[@lon]],5,0)</calculatedColumnFormula>
    </tableColumn>
    <tableColumn id="5" xr3:uid="{7B302A5B-A9DB-4178-878F-4F9AF013626B}" name="Column4" dataDxfId="44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D3AE55-6528-478F-A79A-FAE47AA3F765}" name="Table9" displayName="Table9" ref="A1:G55" totalsRowShown="0" headerRowDxfId="43" dataDxfId="42" tableBorderDxfId="41">
  <autoFilter ref="A1:G55" xr:uid="{C4D3AE55-6528-478F-A79A-FAE47AA3F765}"/>
  <tableColumns count="7">
    <tableColumn id="1" xr3:uid="{A03D514A-7065-41F5-AD70-274A3860B61F}" name="Name" dataDxfId="40"/>
    <tableColumn id="2" xr3:uid="{B982A304-319B-49AC-BB5B-09F79F28758D}" name="Status" dataDxfId="39"/>
    <tableColumn id="3" xr3:uid="{2220E7F7-1F0B-46F8-AA92-3756571DE64D}" name="Native" dataDxfId="38"/>
    <tableColumn id="4" xr3:uid="{398EF780-AB57-41F5-ABE6-DDB0EA8EF6FE}" name="Population" dataDxfId="37"/>
    <tableColumn id="5" xr3:uid="{A973A352-8F0D-4E30-A013-AF0A7814C930}" name="Population2" dataDxfId="36"/>
    <tableColumn id="6" xr3:uid="{102FAEE1-28AC-43B0-AD09-568A9FCE08F9}" name="Population3" dataDxfId="35"/>
    <tableColumn id="7" xr3:uid="{AA399807-7A4B-43F5-9000-B41F289B07F4}" name="Population4" dataDxfId="34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D4BD1-C73E-4058-B23A-99ED58E4F1FE}">
  <dimension ref="A1:G45"/>
  <sheetViews>
    <sheetView workbookViewId="0">
      <selection activeCell="A2" sqref="A2:G4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945</v>
      </c>
      <c r="G1" t="s">
        <v>947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3">
        <v>5323</v>
      </c>
      <c r="F2" s="8" t="str">
        <f>VLOOKUP(D2,Table9[[Name]:[Native]],3,FALSE)</f>
        <v>久治县</v>
      </c>
      <c r="G2" s="12" t="str">
        <f ca="1">VLOOKUP(F2,Table9[[Native]:[Population4]],5,FALSE)</f>
        <v>果洛藏族自治州</v>
      </c>
    </row>
    <row r="3" spans="1:7" ht="15.75" thickBot="1" x14ac:dyDescent="0.3">
      <c r="A3" t="s">
        <v>9</v>
      </c>
      <c r="B3" s="1" t="s">
        <v>10</v>
      </c>
      <c r="C3" s="1" t="s">
        <v>7</v>
      </c>
      <c r="D3" s="1" t="s">
        <v>11</v>
      </c>
      <c r="E3" s="3">
        <v>2755</v>
      </c>
      <c r="F3" s="1" t="str">
        <f>VLOOKUP(D3,Table9[[Name]:[Native]],3,FALSE)</f>
        <v>班玛县</v>
      </c>
      <c r="G3" s="12" t="str">
        <f ca="1">VLOOKUP(F3,Table9[[Native]:[Population4]],5,FALSE)</f>
        <v>果洛藏族自治州</v>
      </c>
    </row>
    <row r="4" spans="1:7" ht="15.75" thickBot="1" x14ac:dyDescent="0.3">
      <c r="A4" t="s">
        <v>12</v>
      </c>
      <c r="B4" s="1" t="s">
        <v>13</v>
      </c>
      <c r="C4" s="1" t="s">
        <v>7</v>
      </c>
      <c r="D4" s="1" t="s">
        <v>14</v>
      </c>
      <c r="E4" s="3">
        <v>3890</v>
      </c>
      <c r="F4" s="1" t="str">
        <f>VLOOKUP(D4,Table9[[Name]:[Native]],3,FALSE)</f>
        <v>玛沁县</v>
      </c>
      <c r="G4" s="12" t="str">
        <f ca="1">VLOOKUP(F4,Table9[[Native]:[Population4]],5,FALSE)</f>
        <v>果洛藏族自治州</v>
      </c>
    </row>
    <row r="5" spans="1:7" ht="15.75" thickBot="1" x14ac:dyDescent="0.3">
      <c r="A5" t="s">
        <v>15</v>
      </c>
      <c r="B5" s="1" t="s">
        <v>16</v>
      </c>
      <c r="C5" s="1" t="s">
        <v>7</v>
      </c>
      <c r="D5" s="1" t="s">
        <v>14</v>
      </c>
      <c r="E5" s="3">
        <v>5148</v>
      </c>
      <c r="F5" s="1" t="str">
        <f>VLOOKUP(D5,Table9[[Name]:[Native]],3,FALSE)</f>
        <v>玛沁县</v>
      </c>
      <c r="G5" s="12" t="str">
        <f ca="1">VLOOKUP(F5,Table9[[Native]:[Population4]],5,FALSE)</f>
        <v>果洛藏族自治州</v>
      </c>
    </row>
    <row r="6" spans="1:7" ht="15.75" thickBot="1" x14ac:dyDescent="0.3">
      <c r="A6" t="s">
        <v>17</v>
      </c>
      <c r="B6" s="1" t="s">
        <v>18</v>
      </c>
      <c r="C6" s="1" t="s">
        <v>19</v>
      </c>
      <c r="D6" s="1" t="s">
        <v>14</v>
      </c>
      <c r="E6" s="3">
        <v>21612</v>
      </c>
      <c r="F6" s="1" t="str">
        <f>VLOOKUP(D6,Table9[[Name]:[Native]],3,FALSE)</f>
        <v>玛沁县</v>
      </c>
      <c r="G6" s="12" t="str">
        <f ca="1">VLOOKUP(F6,Table9[[Native]:[Population4]],5,FALSE)</f>
        <v>果洛藏族自治州</v>
      </c>
    </row>
    <row r="7" spans="1:7" ht="15.75" thickBot="1" x14ac:dyDescent="0.3">
      <c r="A7" t="s">
        <v>20</v>
      </c>
      <c r="B7" s="1" t="s">
        <v>21</v>
      </c>
      <c r="C7" s="1" t="s">
        <v>7</v>
      </c>
      <c r="D7" s="1" t="s">
        <v>22</v>
      </c>
      <c r="E7" s="3">
        <v>2720</v>
      </c>
      <c r="F7" s="1" t="str">
        <f>VLOOKUP(D7,Table9[[Name]:[Native]],3,FALSE)</f>
        <v>达日县</v>
      </c>
      <c r="G7" s="12" t="str">
        <f ca="1">VLOOKUP(F7,Table9[[Native]:[Population4]],5,FALSE)</f>
        <v>果洛藏族自治州</v>
      </c>
    </row>
    <row r="8" spans="1:7" ht="15.75" thickBot="1" x14ac:dyDescent="0.3">
      <c r="A8" t="s">
        <v>23</v>
      </c>
      <c r="B8" s="1" t="s">
        <v>24</v>
      </c>
      <c r="C8" s="1" t="s">
        <v>7</v>
      </c>
      <c r="D8" s="1" t="s">
        <v>11</v>
      </c>
      <c r="E8" s="3">
        <v>3537</v>
      </c>
      <c r="F8" s="1" t="str">
        <f>VLOOKUP(D8,Table9[[Name]:[Native]],3,FALSE)</f>
        <v>班玛县</v>
      </c>
      <c r="G8" s="12" t="str">
        <f ca="1">VLOOKUP(F8,Table9[[Native]:[Population4]],5,FALSE)</f>
        <v>果洛藏族自治州</v>
      </c>
    </row>
    <row r="9" spans="1:7" ht="15.75" thickBot="1" x14ac:dyDescent="0.3">
      <c r="A9" t="s">
        <v>25</v>
      </c>
      <c r="B9" s="1" t="s">
        <v>26</v>
      </c>
      <c r="C9" s="1" t="s">
        <v>7</v>
      </c>
      <c r="D9" s="1" t="s">
        <v>14</v>
      </c>
      <c r="E9" s="3">
        <v>2172</v>
      </c>
      <c r="F9" s="1" t="str">
        <f>VLOOKUP(D9,Table9[[Name]:[Native]],3,FALSE)</f>
        <v>玛沁县</v>
      </c>
      <c r="G9" s="12" t="str">
        <f ca="1">VLOOKUP(F9,Table9[[Native]:[Population4]],5,FALSE)</f>
        <v>果洛藏族自治州</v>
      </c>
    </row>
    <row r="10" spans="1:7" ht="15.75" thickBot="1" x14ac:dyDescent="0.3">
      <c r="A10" t="s">
        <v>27</v>
      </c>
      <c r="B10" s="1" t="s">
        <v>28</v>
      </c>
      <c r="C10" s="1" t="s">
        <v>7</v>
      </c>
      <c r="D10" s="1" t="s">
        <v>11</v>
      </c>
      <c r="E10" s="3">
        <v>2142</v>
      </c>
      <c r="F10" s="1" t="str">
        <f>VLOOKUP(D10,Table9[[Name]:[Native]],3,FALSE)</f>
        <v>班玛县</v>
      </c>
      <c r="G10" s="12" t="str">
        <f ca="1">VLOOKUP(F10,Table9[[Native]:[Population4]],5,FALSE)</f>
        <v>果洛藏族自治州</v>
      </c>
    </row>
    <row r="11" spans="1:7" ht="15.75" thickBot="1" x14ac:dyDescent="0.3">
      <c r="A11" t="s">
        <v>29</v>
      </c>
      <c r="B11" s="1" t="s">
        <v>30</v>
      </c>
      <c r="C11" s="1" t="s">
        <v>7</v>
      </c>
      <c r="D11" s="1" t="s">
        <v>31</v>
      </c>
      <c r="E11" s="3">
        <v>3971</v>
      </c>
      <c r="F11" s="1" t="str">
        <f>VLOOKUP(D11,Table9[[Name]:[Native]],3,FALSE)</f>
        <v>甘德县</v>
      </c>
      <c r="G11" s="12" t="str">
        <f ca="1">VLOOKUP(F11,Table9[[Native]:[Population4]],5,FALSE)</f>
        <v>果洛藏族自治州</v>
      </c>
    </row>
    <row r="12" spans="1:7" ht="15.75" thickBot="1" x14ac:dyDescent="0.3">
      <c r="A12" t="s">
        <v>32</v>
      </c>
      <c r="B12" s="1" t="s">
        <v>33</v>
      </c>
      <c r="C12" s="1" t="s">
        <v>7</v>
      </c>
      <c r="D12" s="1" t="s">
        <v>34</v>
      </c>
      <c r="E12" s="3">
        <v>1585</v>
      </c>
      <c r="F12" s="1" t="str">
        <f>VLOOKUP(D12,Table9[[Name]:[Native]],3,FALSE)</f>
        <v>玛多县</v>
      </c>
      <c r="G12" s="12" t="str">
        <f ca="1">VLOOKUP(F12,Table9[[Native]:[Population4]],5,FALSE)</f>
        <v>果洛藏族自治州</v>
      </c>
    </row>
    <row r="13" spans="1:7" ht="15.75" thickBot="1" x14ac:dyDescent="0.3">
      <c r="A13" t="s">
        <v>35</v>
      </c>
      <c r="B13" s="1" t="s">
        <v>36</v>
      </c>
      <c r="C13" s="1" t="s">
        <v>19</v>
      </c>
      <c r="D13" s="1" t="s">
        <v>34</v>
      </c>
      <c r="E13" s="3">
        <v>4190</v>
      </c>
      <c r="F13" s="1" t="str">
        <f>VLOOKUP(D13,Table9[[Name]:[Native]],3,FALSE)</f>
        <v>玛多县</v>
      </c>
      <c r="G13" s="12" t="str">
        <f ca="1">VLOOKUP(F13,Table9[[Native]:[Population4]],5,FALSE)</f>
        <v>果洛藏族自治州</v>
      </c>
    </row>
    <row r="14" spans="1:7" ht="15.75" thickBot="1" x14ac:dyDescent="0.3">
      <c r="A14" t="s">
        <v>37</v>
      </c>
      <c r="B14" s="1" t="s">
        <v>38</v>
      </c>
      <c r="C14" s="1" t="s">
        <v>7</v>
      </c>
      <c r="D14" s="1" t="s">
        <v>31</v>
      </c>
      <c r="E14" s="3">
        <v>3462</v>
      </c>
      <c r="F14" s="1" t="str">
        <f>VLOOKUP(D14,Table9[[Name]:[Native]],3,FALSE)</f>
        <v>甘德县</v>
      </c>
      <c r="G14" s="12" t="str">
        <f ca="1">VLOOKUP(F14,Table9[[Native]:[Population4]],5,FALSE)</f>
        <v>果洛藏族自治州</v>
      </c>
    </row>
    <row r="15" spans="1:7" ht="15.75" thickBot="1" x14ac:dyDescent="0.3">
      <c r="A15" t="s">
        <v>39</v>
      </c>
      <c r="B15" s="1" t="s">
        <v>40</v>
      </c>
      <c r="C15" s="1" t="s">
        <v>7</v>
      </c>
      <c r="D15" s="1" t="s">
        <v>11</v>
      </c>
      <c r="E15" s="3">
        <v>3103</v>
      </c>
      <c r="F15" s="1" t="str">
        <f>VLOOKUP(D15,Table9[[Name]:[Native]],3,FALSE)</f>
        <v>班玛县</v>
      </c>
      <c r="G15" s="12" t="str">
        <f ca="1">VLOOKUP(F15,Table9[[Native]:[Population4]],5,FALSE)</f>
        <v>果洛藏族自治州</v>
      </c>
    </row>
    <row r="16" spans="1:7" ht="15.75" thickBot="1" x14ac:dyDescent="0.3">
      <c r="A16" t="s">
        <v>41</v>
      </c>
      <c r="B16" s="1" t="s">
        <v>42</v>
      </c>
      <c r="C16" s="1" t="s">
        <v>7</v>
      </c>
      <c r="D16" s="1" t="s">
        <v>22</v>
      </c>
      <c r="E16" s="3">
        <v>3427</v>
      </c>
      <c r="F16" s="1" t="str">
        <f>VLOOKUP(D16,Table9[[Name]:[Native]],3,FALSE)</f>
        <v>达日县</v>
      </c>
      <c r="G16" s="12" t="str">
        <f ca="1">VLOOKUP(F16,Table9[[Native]:[Population4]],5,FALSE)</f>
        <v>果洛藏族自治州</v>
      </c>
    </row>
    <row r="17" spans="1:7" ht="15.75" thickBot="1" x14ac:dyDescent="0.3">
      <c r="A17" t="s">
        <v>43</v>
      </c>
      <c r="B17" s="1" t="s">
        <v>44</v>
      </c>
      <c r="C17" s="1" t="s">
        <v>7</v>
      </c>
      <c r="D17" s="1" t="s">
        <v>11</v>
      </c>
      <c r="E17" s="3">
        <v>2211</v>
      </c>
      <c r="F17" s="1" t="str">
        <f>VLOOKUP(D17,Table9[[Name]:[Native]],3,FALSE)</f>
        <v>班玛县</v>
      </c>
      <c r="G17" s="12" t="str">
        <f ca="1">VLOOKUP(F17,Table9[[Native]:[Population4]],5,FALSE)</f>
        <v>果洛藏族自治州</v>
      </c>
    </row>
    <row r="18" spans="1:7" ht="15.75" thickBot="1" x14ac:dyDescent="0.3">
      <c r="A18" t="s">
        <v>45</v>
      </c>
      <c r="B18" s="1" t="s">
        <v>46</v>
      </c>
      <c r="C18" s="1" t="s">
        <v>19</v>
      </c>
      <c r="D18" s="1" t="s">
        <v>22</v>
      </c>
      <c r="E18" s="3">
        <v>8706</v>
      </c>
      <c r="F18" s="1" t="str">
        <f>VLOOKUP(D18,Table9[[Name]:[Native]],3,FALSE)</f>
        <v>达日县</v>
      </c>
      <c r="G18" s="12" t="str">
        <f ca="1">VLOOKUP(F18,Table9[[Native]:[Population4]],5,FALSE)</f>
        <v>果洛藏族自治州</v>
      </c>
    </row>
    <row r="19" spans="1:7" ht="15.75" thickBot="1" x14ac:dyDescent="0.3">
      <c r="A19" t="s">
        <v>47</v>
      </c>
      <c r="B19" s="1" t="s">
        <v>48</v>
      </c>
      <c r="C19" s="1" t="s">
        <v>19</v>
      </c>
      <c r="D19" s="1" t="s">
        <v>31</v>
      </c>
      <c r="E19" s="3">
        <v>9530</v>
      </c>
      <c r="F19" s="1" t="str">
        <f>VLOOKUP(D19,Table9[[Name]:[Native]],3,FALSE)</f>
        <v>甘德县</v>
      </c>
      <c r="G19" s="12" t="str">
        <f ca="1">VLOOKUP(F19,Table9[[Native]:[Population4]],5,FALSE)</f>
        <v>果洛藏族自治州</v>
      </c>
    </row>
    <row r="20" spans="1:7" ht="15.75" thickBot="1" x14ac:dyDescent="0.3">
      <c r="A20" t="s">
        <v>49</v>
      </c>
      <c r="B20" s="1" t="s">
        <v>50</v>
      </c>
      <c r="C20" s="1" t="s">
        <v>19</v>
      </c>
      <c r="D20" s="1" t="s">
        <v>14</v>
      </c>
      <c r="E20" s="3">
        <v>12045</v>
      </c>
      <c r="F20" s="1" t="str">
        <f>VLOOKUP(D20,Table9[[Name]:[Native]],3,FALSE)</f>
        <v>玛沁县</v>
      </c>
      <c r="G20" s="12" t="str">
        <f ca="1">VLOOKUP(F20,Table9[[Native]:[Population4]],5,FALSE)</f>
        <v>果洛藏族自治州</v>
      </c>
    </row>
    <row r="21" spans="1:7" ht="15.75" thickBot="1" x14ac:dyDescent="0.3">
      <c r="A21" t="s">
        <v>51</v>
      </c>
      <c r="B21" s="1" t="s">
        <v>52</v>
      </c>
      <c r="C21" s="1" t="s">
        <v>19</v>
      </c>
      <c r="D21" s="1" t="s">
        <v>34</v>
      </c>
      <c r="E21" s="3">
        <v>4316</v>
      </c>
      <c r="F21" s="1" t="str">
        <f>VLOOKUP(D21,Table9[[Name]:[Native]],3,FALSE)</f>
        <v>玛多县</v>
      </c>
      <c r="G21" s="12" t="str">
        <f ca="1">VLOOKUP(F21,Table9[[Native]:[Population4]],5,FALSE)</f>
        <v>果洛藏族自治州</v>
      </c>
    </row>
    <row r="22" spans="1:7" ht="15.75" thickBot="1" x14ac:dyDescent="0.3">
      <c r="A22" t="s">
        <v>53</v>
      </c>
      <c r="B22" s="1" t="s">
        <v>54</v>
      </c>
      <c r="C22" s="1" t="s">
        <v>7</v>
      </c>
      <c r="D22" s="1" t="s">
        <v>11</v>
      </c>
      <c r="E22" s="3">
        <v>1685</v>
      </c>
      <c r="F22" s="1" t="str">
        <f>VLOOKUP(D22,Table9[[Name]:[Native]],3,FALSE)</f>
        <v>班玛县</v>
      </c>
      <c r="G22" s="12" t="str">
        <f ca="1">VLOOKUP(F22,Table9[[Native]:[Population4]],5,FALSE)</f>
        <v>果洛藏族自治州</v>
      </c>
    </row>
    <row r="23" spans="1:7" ht="15.75" thickBot="1" x14ac:dyDescent="0.3">
      <c r="A23" t="s">
        <v>55</v>
      </c>
      <c r="B23" s="1" t="s">
        <v>56</v>
      </c>
      <c r="C23" s="1" t="s">
        <v>7</v>
      </c>
      <c r="D23" s="1" t="s">
        <v>22</v>
      </c>
      <c r="E23" s="3">
        <v>2655</v>
      </c>
      <c r="F23" s="1" t="str">
        <f>VLOOKUP(D23,Table9[[Name]:[Native]],3,FALSE)</f>
        <v>达日县</v>
      </c>
      <c r="G23" s="12" t="str">
        <f ca="1">VLOOKUP(F23,Table9[[Native]:[Population4]],5,FALSE)</f>
        <v>果洛藏族自治州</v>
      </c>
    </row>
    <row r="24" spans="1:7" ht="15.75" thickBot="1" x14ac:dyDescent="0.3">
      <c r="A24" t="s">
        <v>57</v>
      </c>
      <c r="B24" s="1" t="s">
        <v>58</v>
      </c>
      <c r="C24" s="1" t="s">
        <v>7</v>
      </c>
      <c r="D24" s="1" t="s">
        <v>8</v>
      </c>
      <c r="E24" s="3">
        <v>2680</v>
      </c>
      <c r="F24" s="1" t="str">
        <f>VLOOKUP(D24,Table9[[Name]:[Native]],3,FALSE)</f>
        <v>久治县</v>
      </c>
      <c r="G24" s="12" t="str">
        <f ca="1">VLOOKUP(F24,Table9[[Native]:[Population4]],5,FALSE)</f>
        <v>果洛藏族自治州</v>
      </c>
    </row>
    <row r="25" spans="1:7" ht="15.75" thickBot="1" x14ac:dyDescent="0.3">
      <c r="A25" t="s">
        <v>59</v>
      </c>
      <c r="B25" s="1" t="s">
        <v>60</v>
      </c>
      <c r="C25" s="1" t="s">
        <v>7</v>
      </c>
      <c r="D25" s="1" t="s">
        <v>22</v>
      </c>
      <c r="E25" s="3">
        <v>2151</v>
      </c>
      <c r="F25" s="1" t="str">
        <f>VLOOKUP(D25,Table9[[Name]:[Native]],3,FALSE)</f>
        <v>达日县</v>
      </c>
      <c r="G25" s="12" t="str">
        <f ca="1">VLOOKUP(F25,Table9[[Native]:[Population4]],5,FALSE)</f>
        <v>果洛藏族自治州</v>
      </c>
    </row>
    <row r="26" spans="1:7" ht="15.75" thickBot="1" x14ac:dyDescent="0.3">
      <c r="A26" t="s">
        <v>61</v>
      </c>
      <c r="B26" s="1" t="s">
        <v>62</v>
      </c>
      <c r="C26" s="1" t="s">
        <v>7</v>
      </c>
      <c r="D26" s="1" t="s">
        <v>31</v>
      </c>
      <c r="E26" s="3">
        <v>5704</v>
      </c>
      <c r="F26" s="1" t="str">
        <f>VLOOKUP(D26,Table9[[Name]:[Native]],3,FALSE)</f>
        <v>甘德县</v>
      </c>
      <c r="G26" s="12" t="str">
        <f ca="1">VLOOKUP(F26,Table9[[Native]:[Population4]],5,FALSE)</f>
        <v>果洛藏族自治州</v>
      </c>
    </row>
    <row r="27" spans="1:7" ht="15.75" thickBot="1" x14ac:dyDescent="0.3">
      <c r="A27" t="s">
        <v>63</v>
      </c>
      <c r="B27" s="1" t="s">
        <v>64</v>
      </c>
      <c r="C27" s="1" t="s">
        <v>19</v>
      </c>
      <c r="D27" s="1" t="s">
        <v>11</v>
      </c>
      <c r="E27" s="3">
        <v>6907</v>
      </c>
      <c r="F27" s="1" t="str">
        <f>VLOOKUP(D27,Table9[[Name]:[Native]],3,FALSE)</f>
        <v>班玛县</v>
      </c>
      <c r="G27" s="12" t="str">
        <f ca="1">VLOOKUP(F27,Table9[[Native]:[Population4]],5,FALSE)</f>
        <v>果洛藏族自治州</v>
      </c>
    </row>
    <row r="28" spans="1:7" ht="15.75" thickBot="1" x14ac:dyDescent="0.3">
      <c r="A28" t="s">
        <v>65</v>
      </c>
      <c r="B28" s="1" t="s">
        <v>66</v>
      </c>
      <c r="C28" s="1" t="s">
        <v>7</v>
      </c>
      <c r="D28" s="1" t="s">
        <v>22</v>
      </c>
      <c r="E28" s="3">
        <v>2383</v>
      </c>
      <c r="F28" s="1" t="str">
        <f>VLOOKUP(D28,Table9[[Name]:[Native]],3,FALSE)</f>
        <v>达日县</v>
      </c>
      <c r="G28" s="12" t="str">
        <f ca="1">VLOOKUP(F28,Table9[[Native]:[Population4]],5,FALSE)</f>
        <v>果洛藏族自治州</v>
      </c>
    </row>
    <row r="29" spans="1:7" ht="15.75" thickBot="1" x14ac:dyDescent="0.3">
      <c r="A29" t="s">
        <v>67</v>
      </c>
      <c r="B29" s="1" t="s">
        <v>68</v>
      </c>
      <c r="C29" s="1" t="s">
        <v>7</v>
      </c>
      <c r="D29" s="1" t="s">
        <v>31</v>
      </c>
      <c r="E29" s="3">
        <v>2957</v>
      </c>
      <c r="F29" s="1" t="str">
        <f>VLOOKUP(D29,Table9[[Name]:[Native]],3,FALSE)</f>
        <v>甘德县</v>
      </c>
      <c r="G29" s="12" t="str">
        <f ca="1">VLOOKUP(F29,Table9[[Native]:[Population4]],5,FALSE)</f>
        <v>果洛藏族自治州</v>
      </c>
    </row>
    <row r="30" spans="1:7" ht="15.75" thickBot="1" x14ac:dyDescent="0.3">
      <c r="A30" t="s">
        <v>69</v>
      </c>
      <c r="B30" s="1" t="s">
        <v>70</v>
      </c>
      <c r="C30" s="1" t="s">
        <v>7</v>
      </c>
      <c r="D30" s="1" t="s">
        <v>22</v>
      </c>
      <c r="E30" s="3">
        <v>3258</v>
      </c>
      <c r="F30" s="1" t="str">
        <f>VLOOKUP(D30,Table9[[Name]:[Native]],3,FALSE)</f>
        <v>达日县</v>
      </c>
      <c r="G30" s="12" t="str">
        <f ca="1">VLOOKUP(F30,Table9[[Native]:[Population4]],5,FALSE)</f>
        <v>果洛藏族自治州</v>
      </c>
    </row>
    <row r="31" spans="1:7" ht="15.75" thickBot="1" x14ac:dyDescent="0.3">
      <c r="A31" t="s">
        <v>71</v>
      </c>
      <c r="B31" s="1" t="s">
        <v>72</v>
      </c>
      <c r="C31" s="1" t="s">
        <v>7</v>
      </c>
      <c r="D31" s="1" t="s">
        <v>8</v>
      </c>
      <c r="E31" s="3">
        <v>4545</v>
      </c>
      <c r="F31" s="1" t="str">
        <f>VLOOKUP(D31,Table9[[Name]:[Native]],3,FALSE)</f>
        <v>久治县</v>
      </c>
      <c r="G31" s="12" t="str">
        <f ca="1">VLOOKUP(F31,Table9[[Native]:[Population4]],5,FALSE)</f>
        <v>果洛藏族自治州</v>
      </c>
    </row>
    <row r="32" spans="1:7" ht="15.75" thickBot="1" x14ac:dyDescent="0.3">
      <c r="A32" t="s">
        <v>73</v>
      </c>
      <c r="B32" s="1" t="s">
        <v>74</v>
      </c>
      <c r="C32" s="1" t="s">
        <v>7</v>
      </c>
      <c r="D32" s="1" t="s">
        <v>22</v>
      </c>
      <c r="E32" s="3">
        <v>1600</v>
      </c>
      <c r="F32" s="1" t="str">
        <f>VLOOKUP(D32,Table9[[Name]:[Native]],3,FALSE)</f>
        <v>达日县</v>
      </c>
      <c r="G32" s="12" t="str">
        <f ca="1">VLOOKUP(F32,Table9[[Native]:[Population4]],5,FALSE)</f>
        <v>果洛藏族自治州</v>
      </c>
    </row>
    <row r="33" spans="1:7" ht="15.75" thickBot="1" x14ac:dyDescent="0.3">
      <c r="A33" t="s">
        <v>75</v>
      </c>
      <c r="B33" s="1" t="s">
        <v>76</v>
      </c>
      <c r="C33" s="1" t="s">
        <v>7</v>
      </c>
      <c r="D33" s="1" t="s">
        <v>8</v>
      </c>
      <c r="E33" s="3">
        <v>3455</v>
      </c>
      <c r="F33" s="1" t="str">
        <f>VLOOKUP(D33,Table9[[Name]:[Native]],3,FALSE)</f>
        <v>久治县</v>
      </c>
      <c r="G33" s="12" t="str">
        <f ca="1">VLOOKUP(F33,Table9[[Native]:[Population4]],5,FALSE)</f>
        <v>果洛藏族自治州</v>
      </c>
    </row>
    <row r="34" spans="1:7" ht="15.75" thickBot="1" x14ac:dyDescent="0.3">
      <c r="A34" t="s">
        <v>77</v>
      </c>
      <c r="B34" s="1" t="s">
        <v>78</v>
      </c>
      <c r="C34" s="1" t="s">
        <v>7</v>
      </c>
      <c r="D34" s="1" t="s">
        <v>8</v>
      </c>
      <c r="E34" s="3">
        <v>3244</v>
      </c>
      <c r="F34" s="1" t="str">
        <f>VLOOKUP(D34,Table9[[Name]:[Native]],3,FALSE)</f>
        <v>久治县</v>
      </c>
      <c r="G34" s="12" t="str">
        <f ca="1">VLOOKUP(F34,Table9[[Native]:[Population4]],5,FALSE)</f>
        <v>果洛藏族自治州</v>
      </c>
    </row>
    <row r="35" spans="1:7" ht="15.75" thickBot="1" x14ac:dyDescent="0.3">
      <c r="A35" t="s">
        <v>79</v>
      </c>
      <c r="B35" s="1" t="s">
        <v>80</v>
      </c>
      <c r="C35" s="1" t="s">
        <v>7</v>
      </c>
      <c r="D35" s="1" t="s">
        <v>22</v>
      </c>
      <c r="E35" s="3">
        <v>1708</v>
      </c>
      <c r="F35" s="1" t="str">
        <f>VLOOKUP(D35,Table9[[Name]:[Native]],3,FALSE)</f>
        <v>达日县</v>
      </c>
      <c r="G35" s="12" t="str">
        <f ca="1">VLOOKUP(F35,Table9[[Native]:[Population4]],5,FALSE)</f>
        <v>果洛藏族自治州</v>
      </c>
    </row>
    <row r="36" spans="1:7" ht="15.75" thickBot="1" x14ac:dyDescent="0.3">
      <c r="A36" t="s">
        <v>81</v>
      </c>
      <c r="B36" s="1" t="s">
        <v>82</v>
      </c>
      <c r="C36" s="1" t="s">
        <v>7</v>
      </c>
      <c r="D36" s="1" t="s">
        <v>14</v>
      </c>
      <c r="E36" s="3">
        <v>1663</v>
      </c>
      <c r="F36" s="1" t="str">
        <f>VLOOKUP(D36,Table9[[Name]:[Native]],3,FALSE)</f>
        <v>玛沁县</v>
      </c>
      <c r="G36" s="12" t="str">
        <f ca="1">VLOOKUP(F36,Table9[[Native]:[Population4]],5,FALSE)</f>
        <v>果洛藏族自治州</v>
      </c>
    </row>
    <row r="37" spans="1:7" ht="15.75" thickBot="1" x14ac:dyDescent="0.3">
      <c r="A37" t="s">
        <v>83</v>
      </c>
      <c r="B37" s="1" t="s">
        <v>84</v>
      </c>
      <c r="C37" s="1" t="s">
        <v>7</v>
      </c>
      <c r="D37" s="1" t="s">
        <v>31</v>
      </c>
      <c r="E37" s="3">
        <v>4084</v>
      </c>
      <c r="F37" s="1" t="str">
        <f>VLOOKUP(D37,Table9[[Name]:[Native]],3,FALSE)</f>
        <v>甘德县</v>
      </c>
      <c r="G37" s="12" t="str">
        <f ca="1">VLOOKUP(F37,Table9[[Native]:[Population4]],5,FALSE)</f>
        <v>果洛藏族自治州</v>
      </c>
    </row>
    <row r="38" spans="1:7" ht="15.75" thickBot="1" x14ac:dyDescent="0.3">
      <c r="A38" t="s">
        <v>85</v>
      </c>
      <c r="B38" s="1" t="s">
        <v>86</v>
      </c>
      <c r="C38" s="1" t="s">
        <v>7</v>
      </c>
      <c r="D38" s="1" t="s">
        <v>22</v>
      </c>
      <c r="E38" s="3">
        <v>2387</v>
      </c>
      <c r="F38" s="1" t="str">
        <f>VLOOKUP(D38,Table9[[Name]:[Native]],3,FALSE)</f>
        <v>达日县</v>
      </c>
      <c r="G38" s="12" t="str">
        <f ca="1">VLOOKUP(F38,Table9[[Native]:[Population4]],5,FALSE)</f>
        <v>果洛藏族自治州</v>
      </c>
    </row>
    <row r="39" spans="1:7" ht="15.75" thickBot="1" x14ac:dyDescent="0.3">
      <c r="A39" t="s">
        <v>87</v>
      </c>
      <c r="B39" s="1" t="s">
        <v>88</v>
      </c>
      <c r="C39" s="1" t="s">
        <v>7</v>
      </c>
      <c r="D39" s="1" t="s">
        <v>31</v>
      </c>
      <c r="E39" s="3">
        <v>5132</v>
      </c>
      <c r="F39" s="1" t="str">
        <f>VLOOKUP(D39,Table9[[Name]:[Native]],3,FALSE)</f>
        <v>甘德县</v>
      </c>
      <c r="G39" s="12" t="str">
        <f ca="1">VLOOKUP(F39,Table9[[Native]:[Population4]],5,FALSE)</f>
        <v>果洛藏族自治州</v>
      </c>
    </row>
    <row r="40" spans="1:7" ht="15.75" thickBot="1" x14ac:dyDescent="0.3">
      <c r="A40" t="s">
        <v>89</v>
      </c>
      <c r="B40" s="1" t="s">
        <v>90</v>
      </c>
      <c r="C40" s="1" t="s">
        <v>7</v>
      </c>
      <c r="D40" s="1" t="s">
        <v>14</v>
      </c>
      <c r="E40" s="3">
        <v>1850</v>
      </c>
      <c r="F40" s="1" t="str">
        <f>VLOOKUP(D40,Table9[[Name]:[Native]],3,FALSE)</f>
        <v>玛沁县</v>
      </c>
      <c r="G40" s="12" t="str">
        <f ca="1">VLOOKUP(F40,Table9[[Native]:[Population4]],5,FALSE)</f>
        <v>果洛藏族自治州</v>
      </c>
    </row>
    <row r="41" spans="1:7" ht="15.75" thickBot="1" x14ac:dyDescent="0.3">
      <c r="A41" t="s">
        <v>91</v>
      </c>
      <c r="B41" s="1" t="s">
        <v>92</v>
      </c>
      <c r="C41" s="1" t="s">
        <v>7</v>
      </c>
      <c r="D41" s="1" t="s">
        <v>11</v>
      </c>
      <c r="E41" s="3">
        <v>2496</v>
      </c>
      <c r="F41" s="1" t="str">
        <f>VLOOKUP(D41,Table9[[Name]:[Native]],3,FALSE)</f>
        <v>班玛县</v>
      </c>
      <c r="G41" s="12" t="str">
        <f ca="1">VLOOKUP(F41,Table9[[Native]:[Population4]],5,FALSE)</f>
        <v>果洛藏族自治州</v>
      </c>
    </row>
    <row r="42" spans="1:7" ht="15.75" thickBot="1" x14ac:dyDescent="0.3">
      <c r="A42" t="s">
        <v>93</v>
      </c>
      <c r="B42" s="1" t="s">
        <v>94</v>
      </c>
      <c r="C42" s="1" t="s">
        <v>7</v>
      </c>
      <c r="D42" s="1" t="s">
        <v>14</v>
      </c>
      <c r="E42" s="3">
        <v>2865</v>
      </c>
      <c r="F42" s="1" t="str">
        <f>VLOOKUP(D42,Table9[[Name]:[Native]],3,FALSE)</f>
        <v>玛沁县</v>
      </c>
      <c r="G42" s="12" t="str">
        <f ca="1">VLOOKUP(F42,Table9[[Native]:[Population4]],5,FALSE)</f>
        <v>果洛藏族自治州</v>
      </c>
    </row>
    <row r="43" spans="1:7" ht="15.75" thickBot="1" x14ac:dyDescent="0.3">
      <c r="A43" t="s">
        <v>95</v>
      </c>
      <c r="B43" s="1" t="s">
        <v>96</v>
      </c>
      <c r="C43" s="1" t="s">
        <v>7</v>
      </c>
      <c r="D43" s="1" t="s">
        <v>34</v>
      </c>
      <c r="E43" s="3">
        <v>1245</v>
      </c>
      <c r="F43" s="1" t="str">
        <f>VLOOKUP(D43,Table9[[Name]:[Native]],3,FALSE)</f>
        <v>玛多县</v>
      </c>
      <c r="G43" s="12" t="str">
        <f ca="1">VLOOKUP(F43,Table9[[Native]:[Population4]],5,FALSE)</f>
        <v>果洛藏族自治州</v>
      </c>
    </row>
    <row r="44" spans="1:7" ht="15.75" thickBot="1" x14ac:dyDescent="0.3">
      <c r="A44" t="s">
        <v>97</v>
      </c>
      <c r="B44" s="1" t="s">
        <v>98</v>
      </c>
      <c r="C44" s="1" t="s">
        <v>19</v>
      </c>
      <c r="D44" s="1" t="s">
        <v>8</v>
      </c>
      <c r="E44" s="3">
        <v>6834</v>
      </c>
      <c r="F44" s="1" t="str">
        <f>VLOOKUP(D44,Table9[[Name]:[Native]],3,FALSE)</f>
        <v>久治县</v>
      </c>
      <c r="G44" s="12" t="str">
        <f ca="1">VLOOKUP(F44,Table9[[Native]:[Population4]],5,FALSE)</f>
        <v>果洛藏族自治州</v>
      </c>
    </row>
    <row r="45" spans="1:7" ht="15.75" thickBot="1" x14ac:dyDescent="0.3">
      <c r="A45" t="s">
        <v>99</v>
      </c>
      <c r="B45" s="1" t="s">
        <v>100</v>
      </c>
      <c r="C45" s="1" t="s">
        <v>7</v>
      </c>
      <c r="D45" s="1" t="s">
        <v>11</v>
      </c>
      <c r="E45" s="3">
        <v>2349</v>
      </c>
      <c r="F45" s="9" t="str">
        <f>VLOOKUP(D45,Table9[[Name]:[Native]],3,FALSE)</f>
        <v>班玛县</v>
      </c>
      <c r="G45" s="12" t="str">
        <f ca="1">VLOOKUP(F45,Table9[[Native]:[Population4]],5,FALSE)</f>
        <v>果洛藏族自治州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CCBA2-4DFB-4AA3-BA08-3FC58E00AF6E}">
  <dimension ref="A1:G35"/>
  <sheetViews>
    <sheetView workbookViewId="0">
      <selection activeCell="A2" sqref="A2:G3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945</v>
      </c>
      <c r="G1" t="s">
        <v>947</v>
      </c>
    </row>
    <row r="2" spans="1:7" ht="15.75" thickBot="1" x14ac:dyDescent="0.3">
      <c r="A2" t="s">
        <v>101</v>
      </c>
      <c r="B2" s="1" t="s">
        <v>102</v>
      </c>
      <c r="C2" s="1" t="s">
        <v>7</v>
      </c>
      <c r="D2" s="1" t="s">
        <v>103</v>
      </c>
      <c r="E2" s="3">
        <v>2799</v>
      </c>
      <c r="F2" s="8" t="str">
        <f>VLOOKUP(D2,Table9[[Name]:[Native]],3,FALSE)</f>
        <v>祁连县</v>
      </c>
      <c r="G2" s="12" t="str">
        <f ca="1">VLOOKUP(F2,Table9[[Native]:[Population4]],5,FALSE)</f>
        <v>海北藏族自治州</v>
      </c>
    </row>
    <row r="3" spans="1:7" ht="15.75" thickBot="1" x14ac:dyDescent="0.3">
      <c r="A3" t="s">
        <v>104</v>
      </c>
      <c r="B3" s="1" t="s">
        <v>105</v>
      </c>
      <c r="C3" s="1" t="s">
        <v>19</v>
      </c>
      <c r="D3" s="1" t="s">
        <v>103</v>
      </c>
      <c r="E3" s="3">
        <v>25603</v>
      </c>
      <c r="F3" s="1" t="str">
        <f>VLOOKUP(D3,Table9[[Name]:[Native]],3,FALSE)</f>
        <v>祁连县</v>
      </c>
      <c r="G3" s="12" t="str">
        <f ca="1">VLOOKUP(F3,Table9[[Native]:[Population4]],5,FALSE)</f>
        <v>海北藏族自治州</v>
      </c>
    </row>
    <row r="4" spans="1:7" ht="15.75" thickBot="1" x14ac:dyDescent="0.3">
      <c r="A4" t="s">
        <v>106</v>
      </c>
      <c r="B4" s="1" t="s">
        <v>107</v>
      </c>
      <c r="C4" s="1" t="s">
        <v>7</v>
      </c>
      <c r="D4" s="1" t="s">
        <v>108</v>
      </c>
      <c r="E4" s="3">
        <v>6219</v>
      </c>
      <c r="F4" s="1" t="str">
        <f>VLOOKUP(D4,Table9[[Name]:[Native]],3,FALSE)</f>
        <v>门源回族自治县</v>
      </c>
      <c r="G4" s="12" t="str">
        <f ca="1">VLOOKUP(F4,Table9[[Native]:[Population4]],5,FALSE)</f>
        <v>海北藏族自治州</v>
      </c>
    </row>
    <row r="5" spans="1:7" ht="15.75" thickBot="1" x14ac:dyDescent="0.3">
      <c r="A5" t="s">
        <v>109</v>
      </c>
      <c r="B5" s="1" t="s">
        <v>110</v>
      </c>
      <c r="C5" s="1" t="s">
        <v>19</v>
      </c>
      <c r="D5" s="1" t="s">
        <v>108</v>
      </c>
      <c r="E5" s="3">
        <v>17982</v>
      </c>
      <c r="F5" s="1" t="str">
        <f>VLOOKUP(D5,Table9[[Name]:[Native]],3,FALSE)</f>
        <v>门源回族自治县</v>
      </c>
      <c r="G5" s="12" t="str">
        <f ca="1">VLOOKUP(F5,Table9[[Native]:[Population4]],5,FALSE)</f>
        <v>海北藏族自治州</v>
      </c>
    </row>
    <row r="6" spans="1:7" ht="15.75" thickBot="1" x14ac:dyDescent="0.3">
      <c r="A6" t="s">
        <v>111</v>
      </c>
      <c r="B6" s="1" t="s">
        <v>112</v>
      </c>
      <c r="C6" s="1" t="s">
        <v>19</v>
      </c>
      <c r="D6" s="1" t="s">
        <v>103</v>
      </c>
      <c r="E6" s="3">
        <v>2755</v>
      </c>
      <c r="F6" s="1" t="str">
        <f>VLOOKUP(D6,Table9[[Name]:[Native]],3,FALSE)</f>
        <v>祁连县</v>
      </c>
      <c r="G6" s="12" t="str">
        <f ca="1">VLOOKUP(F6,Table9[[Native]:[Population4]],5,FALSE)</f>
        <v>海北藏族自治州</v>
      </c>
    </row>
    <row r="7" spans="1:7" ht="15.75" thickBot="1" x14ac:dyDescent="0.3">
      <c r="A7" t="s">
        <v>113</v>
      </c>
      <c r="B7" s="1" t="s">
        <v>114</v>
      </c>
      <c r="C7" s="1" t="s">
        <v>7</v>
      </c>
      <c r="D7" s="1" t="s">
        <v>115</v>
      </c>
      <c r="E7" s="3">
        <v>4571</v>
      </c>
      <c r="F7" s="1" t="str">
        <f>VLOOKUP(D7,Table9[[Name]:[Native]],3,FALSE)</f>
        <v>海晏县</v>
      </c>
      <c r="G7" s="12" t="str">
        <f ca="1">VLOOKUP(F7,Table9[[Native]:[Population4]],5,FALSE)</f>
        <v>海北藏族自治州</v>
      </c>
    </row>
    <row r="8" spans="1:7" ht="15.75" thickBot="1" x14ac:dyDescent="0.3">
      <c r="A8" t="s">
        <v>116</v>
      </c>
      <c r="B8" s="1" t="s">
        <v>117</v>
      </c>
      <c r="C8" s="1" t="s">
        <v>19</v>
      </c>
      <c r="D8" s="1" t="s">
        <v>118</v>
      </c>
      <c r="E8" s="3">
        <v>11128</v>
      </c>
      <c r="F8" s="1" t="str">
        <f>VLOOKUP(D8,Table9[[Name]:[Native]],3,FALSE)</f>
        <v>刚察县</v>
      </c>
      <c r="G8" s="12" t="str">
        <f ca="1">VLOOKUP(F8,Table9[[Native]:[Population4]],5,FALSE)</f>
        <v>海北藏族自治州</v>
      </c>
    </row>
    <row r="9" spans="1:7" ht="15.75" thickBot="1" x14ac:dyDescent="0.3">
      <c r="A9" t="s">
        <v>119</v>
      </c>
      <c r="B9" s="1" t="s">
        <v>120</v>
      </c>
      <c r="C9" s="1" t="s">
        <v>7</v>
      </c>
      <c r="D9" s="1" t="s">
        <v>115</v>
      </c>
      <c r="E9" s="3">
        <v>1318</v>
      </c>
      <c r="F9" s="1" t="str">
        <f>VLOOKUP(D9,Table9[[Name]:[Native]],3,FALSE)</f>
        <v>海晏县</v>
      </c>
      <c r="G9" s="12" t="str">
        <f ca="1">VLOOKUP(F9,Table9[[Native]:[Population4]],5,FALSE)</f>
        <v>海北藏族自治州</v>
      </c>
    </row>
    <row r="10" spans="1:7" ht="15.75" thickBot="1" x14ac:dyDescent="0.3">
      <c r="A10" t="s">
        <v>121</v>
      </c>
      <c r="B10" s="1" t="s">
        <v>122</v>
      </c>
      <c r="C10" s="1" t="s">
        <v>19</v>
      </c>
      <c r="D10" s="1" t="s">
        <v>108</v>
      </c>
      <c r="E10" s="3">
        <v>36515</v>
      </c>
      <c r="F10" s="1" t="str">
        <f>VLOOKUP(D10,Table9[[Name]:[Native]],3,FALSE)</f>
        <v>门源回族自治县</v>
      </c>
      <c r="G10" s="12" t="str">
        <f ca="1">VLOOKUP(F10,Table9[[Native]:[Population4]],5,FALSE)</f>
        <v>海北藏族自治州</v>
      </c>
    </row>
    <row r="11" spans="1:7" ht="15.75" thickBot="1" x14ac:dyDescent="0.3">
      <c r="A11" t="s">
        <v>123</v>
      </c>
      <c r="B11" s="1" t="s">
        <v>124</v>
      </c>
      <c r="C11" s="1" t="s">
        <v>7</v>
      </c>
      <c r="D11" s="1" t="s">
        <v>108</v>
      </c>
      <c r="E11" s="3">
        <v>1921</v>
      </c>
      <c r="F11" s="1" t="str">
        <f>VLOOKUP(D11,Table9[[Name]:[Native]],3,FALSE)</f>
        <v>门源回族自治县</v>
      </c>
      <c r="G11" s="12" t="str">
        <f ca="1">VLOOKUP(F11,Table9[[Native]:[Population4]],5,FALSE)</f>
        <v>海北藏族自治州</v>
      </c>
    </row>
    <row r="12" spans="1:7" ht="15.75" thickBot="1" x14ac:dyDescent="0.3">
      <c r="A12" t="s">
        <v>125</v>
      </c>
      <c r="B12" s="1" t="s">
        <v>126</v>
      </c>
      <c r="C12" s="1" t="s">
        <v>7</v>
      </c>
      <c r="D12" s="1" t="s">
        <v>118</v>
      </c>
      <c r="E12" s="3">
        <v>3307</v>
      </c>
      <c r="F12" s="1" t="str">
        <f>VLOOKUP(D12,Table9[[Name]:[Native]],3,FALSE)</f>
        <v>刚察县</v>
      </c>
      <c r="G12" s="12" t="str">
        <f ca="1">VLOOKUP(F12,Table9[[Native]:[Population4]],5,FALSE)</f>
        <v>海北藏族自治州</v>
      </c>
    </row>
    <row r="13" spans="1:7" ht="15.75" thickBot="1" x14ac:dyDescent="0.3">
      <c r="A13" t="s">
        <v>127</v>
      </c>
      <c r="B13" s="1" t="s">
        <v>128</v>
      </c>
      <c r="C13" s="1" t="s">
        <v>7</v>
      </c>
      <c r="D13" s="1" t="s">
        <v>115</v>
      </c>
      <c r="E13" s="3">
        <v>5100</v>
      </c>
      <c r="F13" s="1" t="str">
        <f>VLOOKUP(D13,Table9[[Name]:[Native]],3,FALSE)</f>
        <v>海晏县</v>
      </c>
      <c r="G13" s="12" t="str">
        <f ca="1">VLOOKUP(F13,Table9[[Native]:[Population4]],5,FALSE)</f>
        <v>海北藏族自治州</v>
      </c>
    </row>
    <row r="14" spans="1:7" ht="15.75" thickBot="1" x14ac:dyDescent="0.3">
      <c r="A14" t="s">
        <v>129</v>
      </c>
      <c r="B14" s="1" t="s">
        <v>130</v>
      </c>
      <c r="C14" s="1" t="s">
        <v>7</v>
      </c>
      <c r="D14" s="1" t="s">
        <v>108</v>
      </c>
      <c r="E14" s="3">
        <v>6050</v>
      </c>
      <c r="F14" s="1" t="str">
        <f>VLOOKUP(D14,Table9[[Name]:[Native]],3,FALSE)</f>
        <v>门源回族自治县</v>
      </c>
      <c r="G14" s="12" t="str">
        <f ca="1">VLOOKUP(F14,Table9[[Native]:[Population4]],5,FALSE)</f>
        <v>海北藏族自治州</v>
      </c>
    </row>
    <row r="15" spans="1:7" ht="15.75" thickBot="1" x14ac:dyDescent="0.3">
      <c r="A15" t="s">
        <v>131</v>
      </c>
      <c r="B15" s="1" t="s">
        <v>132</v>
      </c>
      <c r="C15" s="1" t="s">
        <v>133</v>
      </c>
      <c r="D15" s="1" t="s">
        <v>108</v>
      </c>
      <c r="E15" s="3">
        <v>1633</v>
      </c>
      <c r="F15" s="1" t="str">
        <f>VLOOKUP(D15,Table9[[Name]:[Native]],3,FALSE)</f>
        <v>门源回族自治县</v>
      </c>
      <c r="G15" s="12" t="str">
        <f ca="1">VLOOKUP(F15,Table9[[Native]:[Population4]],5,FALSE)</f>
        <v>海北藏族自治州</v>
      </c>
    </row>
    <row r="16" spans="1:7" ht="15.75" thickBot="1" x14ac:dyDescent="0.3">
      <c r="A16" t="s">
        <v>134</v>
      </c>
      <c r="B16" s="1" t="s">
        <v>135</v>
      </c>
      <c r="C16" s="1" t="s">
        <v>133</v>
      </c>
      <c r="D16" s="1" t="s">
        <v>108</v>
      </c>
      <c r="E16" s="3">
        <v>1701</v>
      </c>
      <c r="F16" s="1" t="str">
        <f>VLOOKUP(D16,Table9[[Name]:[Native]],3,FALSE)</f>
        <v>门源回族自治县</v>
      </c>
      <c r="G16" s="12" t="str">
        <f ca="1">VLOOKUP(F16,Table9[[Native]:[Population4]],5,FALSE)</f>
        <v>海北藏族自治州</v>
      </c>
    </row>
    <row r="17" spans="1:7" ht="15.75" thickBot="1" x14ac:dyDescent="0.3">
      <c r="A17" t="s">
        <v>136</v>
      </c>
      <c r="B17" s="1" t="s">
        <v>137</v>
      </c>
      <c r="C17" s="1" t="s">
        <v>19</v>
      </c>
      <c r="D17" s="1" t="s">
        <v>103</v>
      </c>
      <c r="E17" s="3">
        <v>6843</v>
      </c>
      <c r="F17" s="1" t="str">
        <f>VLOOKUP(D17,Table9[[Name]:[Native]],3,FALSE)</f>
        <v>祁连县</v>
      </c>
      <c r="G17" s="12" t="str">
        <f ca="1">VLOOKUP(F17,Table9[[Native]:[Population4]],5,FALSE)</f>
        <v>海北藏族自治州</v>
      </c>
    </row>
    <row r="18" spans="1:7" ht="15.75" thickBot="1" x14ac:dyDescent="0.3">
      <c r="A18" t="s">
        <v>138</v>
      </c>
      <c r="B18" s="1" t="s">
        <v>139</v>
      </c>
      <c r="C18" s="1" t="s">
        <v>133</v>
      </c>
      <c r="D18" s="1" t="s">
        <v>118</v>
      </c>
      <c r="E18" s="3">
        <v>1011</v>
      </c>
      <c r="F18" s="1" t="str">
        <f>VLOOKUP(D18,Table9[[Name]:[Native]],3,FALSE)</f>
        <v>刚察县</v>
      </c>
      <c r="G18" s="12" t="str">
        <f ca="1">VLOOKUP(F18,Table9[[Native]:[Population4]],5,FALSE)</f>
        <v>海北藏族自治州</v>
      </c>
    </row>
    <row r="19" spans="1:7" ht="15.75" thickBot="1" x14ac:dyDescent="0.3">
      <c r="A19" t="s">
        <v>140</v>
      </c>
      <c r="B19" s="1" t="s">
        <v>141</v>
      </c>
      <c r="C19" s="1" t="s">
        <v>7</v>
      </c>
      <c r="D19" s="1" t="s">
        <v>115</v>
      </c>
      <c r="E19" s="3">
        <v>2442</v>
      </c>
      <c r="F19" s="1" t="str">
        <f>VLOOKUP(D19,Table9[[Name]:[Native]],3,FALSE)</f>
        <v>海晏县</v>
      </c>
      <c r="G19" s="12" t="str">
        <f ca="1">VLOOKUP(F19,Table9[[Native]:[Population4]],5,FALSE)</f>
        <v>海北藏族自治州</v>
      </c>
    </row>
    <row r="20" spans="1:7" ht="15.75" thickBot="1" x14ac:dyDescent="0.3">
      <c r="A20" t="s">
        <v>142</v>
      </c>
      <c r="B20" s="1" t="s">
        <v>143</v>
      </c>
      <c r="C20" s="1" t="s">
        <v>19</v>
      </c>
      <c r="D20" s="1" t="s">
        <v>108</v>
      </c>
      <c r="E20" s="3">
        <v>28561</v>
      </c>
      <c r="F20" s="1" t="str">
        <f>VLOOKUP(D20,Table9[[Name]:[Native]],3,FALSE)</f>
        <v>门源回族自治县</v>
      </c>
      <c r="G20" s="12" t="str">
        <f ca="1">VLOOKUP(F20,Table9[[Native]:[Population4]],5,FALSE)</f>
        <v>海北藏族自治州</v>
      </c>
    </row>
    <row r="21" spans="1:7" ht="15.75" thickBot="1" x14ac:dyDescent="0.3">
      <c r="A21" t="s">
        <v>144</v>
      </c>
      <c r="B21" s="1" t="s">
        <v>145</v>
      </c>
      <c r="C21" s="1" t="s">
        <v>7</v>
      </c>
      <c r="D21" s="1" t="s">
        <v>118</v>
      </c>
      <c r="E21" s="3">
        <v>5309</v>
      </c>
      <c r="F21" s="1" t="str">
        <f>VLOOKUP(D21,Table9[[Name]:[Native]],3,FALSE)</f>
        <v>刚察县</v>
      </c>
      <c r="G21" s="12" t="str">
        <f ca="1">VLOOKUP(F21,Table9[[Native]:[Population4]],5,FALSE)</f>
        <v>海北藏族自治州</v>
      </c>
    </row>
    <row r="22" spans="1:7" ht="15.75" thickBot="1" x14ac:dyDescent="0.3">
      <c r="A22" t="s">
        <v>146</v>
      </c>
      <c r="B22" s="1" t="s">
        <v>147</v>
      </c>
      <c r="C22" s="1" t="s">
        <v>19</v>
      </c>
      <c r="D22" s="1" t="s">
        <v>108</v>
      </c>
      <c r="E22" s="3">
        <v>18308</v>
      </c>
      <c r="F22" s="1" t="str">
        <f>VLOOKUP(D22,Table9[[Name]:[Native]],3,FALSE)</f>
        <v>门源回族自治县</v>
      </c>
      <c r="G22" s="12" t="str">
        <f ca="1">VLOOKUP(F22,Table9[[Native]:[Population4]],5,FALSE)</f>
        <v>海北藏族自治州</v>
      </c>
    </row>
    <row r="23" spans="1:7" ht="15.75" thickBot="1" x14ac:dyDescent="0.3">
      <c r="A23" t="s">
        <v>148</v>
      </c>
      <c r="B23" s="1" t="s">
        <v>149</v>
      </c>
      <c r="C23" s="1" t="s">
        <v>19</v>
      </c>
      <c r="D23" s="1" t="s">
        <v>115</v>
      </c>
      <c r="E23" s="3">
        <v>11196</v>
      </c>
      <c r="F23" s="1" t="str">
        <f>VLOOKUP(D23,Table9[[Name]:[Native]],3,FALSE)</f>
        <v>海晏县</v>
      </c>
      <c r="G23" s="12" t="str">
        <f ca="1">VLOOKUP(F23,Table9[[Native]:[Population4]],5,FALSE)</f>
        <v>海北藏族自治州</v>
      </c>
    </row>
    <row r="24" spans="1:7" ht="15.75" thickBot="1" x14ac:dyDescent="0.3">
      <c r="A24" t="s">
        <v>150</v>
      </c>
      <c r="B24" s="1" t="s">
        <v>151</v>
      </c>
      <c r="C24" s="1" t="s">
        <v>133</v>
      </c>
      <c r="D24" s="1" t="s">
        <v>118</v>
      </c>
      <c r="E24" s="3">
        <v>1963</v>
      </c>
      <c r="F24" s="1" t="str">
        <f>VLOOKUP(D24,Table9[[Name]:[Native]],3,FALSE)</f>
        <v>刚察县</v>
      </c>
      <c r="G24" s="12" t="str">
        <f ca="1">VLOOKUP(F24,Table9[[Native]:[Population4]],5,FALSE)</f>
        <v>海北藏族自治州</v>
      </c>
    </row>
    <row r="25" spans="1:7" ht="15.75" thickBot="1" x14ac:dyDescent="0.3">
      <c r="A25" t="s">
        <v>152</v>
      </c>
      <c r="B25" s="1" t="s">
        <v>153</v>
      </c>
      <c r="C25" s="1" t="s">
        <v>19</v>
      </c>
      <c r="D25" s="1" t="s">
        <v>118</v>
      </c>
      <c r="E25" s="3">
        <v>12964</v>
      </c>
      <c r="F25" s="1" t="str">
        <f>VLOOKUP(D25,Table9[[Name]:[Native]],3,FALSE)</f>
        <v>刚察县</v>
      </c>
      <c r="G25" s="12" t="str">
        <f ca="1">VLOOKUP(F25,Table9[[Native]:[Population4]],5,FALSE)</f>
        <v>海北藏族自治州</v>
      </c>
    </row>
    <row r="26" spans="1:7" ht="15.75" thickBot="1" x14ac:dyDescent="0.3">
      <c r="A26" t="s">
        <v>154</v>
      </c>
      <c r="B26" s="1" t="s">
        <v>155</v>
      </c>
      <c r="C26" s="1" t="s">
        <v>7</v>
      </c>
      <c r="D26" s="1" t="s">
        <v>108</v>
      </c>
      <c r="E26" s="3">
        <v>1519</v>
      </c>
      <c r="F26" s="1" t="str">
        <f>VLOOKUP(D26,Table9[[Name]:[Native]],3,FALSE)</f>
        <v>门源回族自治县</v>
      </c>
      <c r="G26" s="12" t="str">
        <f ca="1">VLOOKUP(F26,Table9[[Native]:[Population4]],5,FALSE)</f>
        <v>海北藏族自治州</v>
      </c>
    </row>
    <row r="27" spans="1:7" ht="15.75" thickBot="1" x14ac:dyDescent="0.3">
      <c r="A27" t="s">
        <v>156</v>
      </c>
      <c r="B27" s="1" t="s">
        <v>157</v>
      </c>
      <c r="C27" s="1" t="s">
        <v>7</v>
      </c>
      <c r="D27" s="1" t="s">
        <v>108</v>
      </c>
      <c r="E27" s="3">
        <v>5586</v>
      </c>
      <c r="F27" s="1" t="str">
        <f>VLOOKUP(D27,Table9[[Name]:[Native]],3,FALSE)</f>
        <v>门源回族自治县</v>
      </c>
      <c r="G27" s="12" t="str">
        <f ca="1">VLOOKUP(F27,Table9[[Native]:[Population4]],5,FALSE)</f>
        <v>海北藏族自治州</v>
      </c>
    </row>
    <row r="28" spans="1:7" ht="15.75" thickBot="1" x14ac:dyDescent="0.3">
      <c r="A28" t="s">
        <v>158</v>
      </c>
      <c r="B28" s="1" t="s">
        <v>159</v>
      </c>
      <c r="C28" s="1" t="s">
        <v>19</v>
      </c>
      <c r="D28" s="1" t="s">
        <v>115</v>
      </c>
      <c r="E28" s="3">
        <v>13161</v>
      </c>
      <c r="F28" s="1" t="str">
        <f>VLOOKUP(D28,Table9[[Name]:[Native]],3,FALSE)</f>
        <v>海晏县</v>
      </c>
      <c r="G28" s="12" t="str">
        <f ca="1">VLOOKUP(F28,Table9[[Native]:[Population4]],5,FALSE)</f>
        <v>海北藏族自治州</v>
      </c>
    </row>
    <row r="29" spans="1:7" ht="15.75" thickBot="1" x14ac:dyDescent="0.3">
      <c r="A29" t="s">
        <v>160</v>
      </c>
      <c r="B29" s="1" t="s">
        <v>161</v>
      </c>
      <c r="C29" s="1" t="s">
        <v>7</v>
      </c>
      <c r="D29" s="1" t="s">
        <v>108</v>
      </c>
      <c r="E29" s="3">
        <v>9326</v>
      </c>
      <c r="F29" s="1" t="str">
        <f>VLOOKUP(D29,Table9[[Name]:[Native]],3,FALSE)</f>
        <v>门源回族自治县</v>
      </c>
      <c r="G29" s="12" t="str">
        <f ca="1">VLOOKUP(F29,Table9[[Native]:[Population4]],5,FALSE)</f>
        <v>海北藏族自治州</v>
      </c>
    </row>
    <row r="30" spans="1:7" ht="15.75" thickBot="1" x14ac:dyDescent="0.3">
      <c r="A30" t="s">
        <v>162</v>
      </c>
      <c r="B30" s="1" t="s">
        <v>163</v>
      </c>
      <c r="C30" s="1" t="s">
        <v>7</v>
      </c>
      <c r="D30" s="1" t="s">
        <v>103</v>
      </c>
      <c r="E30" s="3">
        <v>2404</v>
      </c>
      <c r="F30" s="1" t="str">
        <f>VLOOKUP(D30,Table9[[Name]:[Native]],3,FALSE)</f>
        <v>祁连县</v>
      </c>
      <c r="G30" s="12" t="str">
        <f ca="1">VLOOKUP(F30,Table9[[Native]:[Population4]],5,FALSE)</f>
        <v>海北藏族自治州</v>
      </c>
    </row>
    <row r="31" spans="1:7" ht="15.75" thickBot="1" x14ac:dyDescent="0.3">
      <c r="A31" t="s">
        <v>164</v>
      </c>
      <c r="B31" s="1" t="s">
        <v>165</v>
      </c>
      <c r="C31" s="1" t="s">
        <v>7</v>
      </c>
      <c r="D31" s="1" t="s">
        <v>103</v>
      </c>
      <c r="E31" s="3">
        <v>2747</v>
      </c>
      <c r="F31" s="1" t="str">
        <f>VLOOKUP(D31,Table9[[Name]:[Native]],3,FALSE)</f>
        <v>祁连县</v>
      </c>
      <c r="G31" s="12" t="str">
        <f ca="1">VLOOKUP(F31,Table9[[Native]:[Population4]],5,FALSE)</f>
        <v>海北藏族自治州</v>
      </c>
    </row>
    <row r="32" spans="1:7" ht="15.75" thickBot="1" x14ac:dyDescent="0.3">
      <c r="A32" t="s">
        <v>166</v>
      </c>
      <c r="B32" s="1" t="s">
        <v>167</v>
      </c>
      <c r="C32" s="1" t="s">
        <v>7</v>
      </c>
      <c r="D32" s="1" t="s">
        <v>118</v>
      </c>
      <c r="E32" s="3">
        <v>5651</v>
      </c>
      <c r="F32" s="1" t="str">
        <f>VLOOKUP(D32,Table9[[Name]:[Native]],3,FALSE)</f>
        <v>刚察县</v>
      </c>
      <c r="G32" s="12" t="str">
        <f ca="1">VLOOKUP(F32,Table9[[Native]:[Population4]],5,FALSE)</f>
        <v>海北藏族自治州</v>
      </c>
    </row>
    <row r="33" spans="1:7" ht="15.75" thickBot="1" x14ac:dyDescent="0.3">
      <c r="A33" t="s">
        <v>168</v>
      </c>
      <c r="B33" s="1" t="s">
        <v>169</v>
      </c>
      <c r="C33" s="1" t="s">
        <v>7</v>
      </c>
      <c r="D33" s="1" t="s">
        <v>108</v>
      </c>
      <c r="E33" s="3">
        <v>7662</v>
      </c>
      <c r="F33" s="1" t="str">
        <f>VLOOKUP(D33,Table9[[Name]:[Native]],3,FALSE)</f>
        <v>门源回族自治县</v>
      </c>
      <c r="G33" s="12" t="str">
        <f ca="1">VLOOKUP(F33,Table9[[Native]:[Population4]],5,FALSE)</f>
        <v>海北藏族自治州</v>
      </c>
    </row>
    <row r="34" spans="1:7" ht="15.75" thickBot="1" x14ac:dyDescent="0.3">
      <c r="A34" t="s">
        <v>170</v>
      </c>
      <c r="B34" s="1" t="s">
        <v>171</v>
      </c>
      <c r="C34" s="1" t="s">
        <v>7</v>
      </c>
      <c r="D34" s="1" t="s">
        <v>103</v>
      </c>
      <c r="E34" s="3">
        <v>3322</v>
      </c>
      <c r="F34" s="1" t="str">
        <f>VLOOKUP(D34,Table9[[Name]:[Native]],3,FALSE)</f>
        <v>祁连县</v>
      </c>
      <c r="G34" s="12" t="str">
        <f ca="1">VLOOKUP(F34,Table9[[Native]:[Population4]],5,FALSE)</f>
        <v>海北藏族自治州</v>
      </c>
    </row>
    <row r="35" spans="1:7" ht="15.75" thickBot="1" x14ac:dyDescent="0.3">
      <c r="A35" t="s">
        <v>172</v>
      </c>
      <c r="B35" s="1" t="s">
        <v>173</v>
      </c>
      <c r="C35" s="1" t="s">
        <v>7</v>
      </c>
      <c r="D35" s="1" t="s">
        <v>108</v>
      </c>
      <c r="E35" s="3">
        <v>4727</v>
      </c>
      <c r="F35" s="9" t="str">
        <f>VLOOKUP(D35,Table9[[Name]:[Native]],3,FALSE)</f>
        <v>门源回族自治县</v>
      </c>
      <c r="G35" s="12" t="str">
        <f ca="1">VLOOKUP(F35,Table9[[Native]:[Population4]],5,FALSE)</f>
        <v>海北藏族自治州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90DB0-B043-4B21-96F0-B088B2C5DE29}">
  <dimension ref="A1:G97"/>
  <sheetViews>
    <sheetView workbookViewId="0">
      <selection activeCell="A2" sqref="A2:G9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945</v>
      </c>
      <c r="G1" t="s">
        <v>947</v>
      </c>
    </row>
    <row r="2" spans="1:7" ht="15.75" thickBot="1" x14ac:dyDescent="0.3">
      <c r="A2" t="s">
        <v>174</v>
      </c>
      <c r="B2" s="1" t="s">
        <v>175</v>
      </c>
      <c r="C2" s="1" t="s">
        <v>19</v>
      </c>
      <c r="D2" s="1" t="s">
        <v>176</v>
      </c>
      <c r="E2" s="3">
        <v>16739</v>
      </c>
      <c r="F2" s="8" t="str">
        <f>VLOOKUP(D2,Table9[[Name]:[Native]],3,FALSE)</f>
        <v>化隆回族自治县</v>
      </c>
      <c r="G2" s="12" t="str">
        <f ca="1">VLOOKUP(F2,Table9[[Native]:[Population4]],5,FALSE)</f>
        <v>海东市</v>
      </c>
    </row>
    <row r="3" spans="1:7" ht="15.75" thickBot="1" x14ac:dyDescent="0.3">
      <c r="A3" t="s">
        <v>177</v>
      </c>
      <c r="B3" s="1" t="s">
        <v>178</v>
      </c>
      <c r="C3" s="1" t="s">
        <v>7</v>
      </c>
      <c r="D3" s="1" t="s">
        <v>176</v>
      </c>
      <c r="E3" s="3">
        <v>3881</v>
      </c>
      <c r="F3" s="1" t="str">
        <f>VLOOKUP(D3,Table9[[Name]:[Native]],3,FALSE)</f>
        <v>化隆回族自治县</v>
      </c>
      <c r="G3" s="12" t="str">
        <f ca="1">VLOOKUP(F3,Table9[[Native]:[Population4]],5,FALSE)</f>
        <v>海东市</v>
      </c>
    </row>
    <row r="4" spans="1:7" ht="15.75" thickBot="1" x14ac:dyDescent="0.3">
      <c r="A4" t="s">
        <v>179</v>
      </c>
      <c r="B4" s="1" t="s">
        <v>180</v>
      </c>
      <c r="C4" s="1" t="s">
        <v>19</v>
      </c>
      <c r="D4" s="1" t="s">
        <v>181</v>
      </c>
      <c r="E4" s="3">
        <v>20919</v>
      </c>
      <c r="F4" s="1" t="str">
        <f>VLOOKUP(D4,Table9[[Name]:[Native]],3,FALSE)</f>
        <v>循化撒拉族自治县</v>
      </c>
      <c r="G4" s="12" t="str">
        <f ca="1">VLOOKUP(F4,Table9[[Native]:[Population4]],5,FALSE)</f>
        <v>海东市</v>
      </c>
    </row>
    <row r="5" spans="1:7" ht="15.75" thickBot="1" x14ac:dyDescent="0.3">
      <c r="A5" t="s">
        <v>182</v>
      </c>
      <c r="B5" s="1" t="s">
        <v>183</v>
      </c>
      <c r="C5" s="1" t="s">
        <v>19</v>
      </c>
      <c r="D5" s="1" t="s">
        <v>176</v>
      </c>
      <c r="E5" s="3">
        <v>38315</v>
      </c>
      <c r="F5" s="1" t="str">
        <f>VLOOKUP(D5,Table9[[Name]:[Native]],3,FALSE)</f>
        <v>化隆回族自治县</v>
      </c>
      <c r="G5" s="12" t="str">
        <f ca="1">VLOOKUP(F5,Table9[[Native]:[Population4]],5,FALSE)</f>
        <v>海东市</v>
      </c>
    </row>
    <row r="6" spans="1:7" ht="15.75" thickBot="1" x14ac:dyDescent="0.3">
      <c r="A6" t="s">
        <v>184</v>
      </c>
      <c r="B6" s="1" t="s">
        <v>185</v>
      </c>
      <c r="C6" s="1" t="s">
        <v>7</v>
      </c>
      <c r="D6" s="1" t="s">
        <v>186</v>
      </c>
      <c r="E6" s="3">
        <v>3034</v>
      </c>
      <c r="F6" s="1" t="str">
        <f>VLOOKUP(D6,Table9[[Name]:[Native]],3,FALSE)</f>
        <v>平安区</v>
      </c>
      <c r="G6" s="12" t="str">
        <f ca="1">VLOOKUP(F6,Table9[[Native]:[Population4]],5,FALSE)</f>
        <v>海东市</v>
      </c>
    </row>
    <row r="7" spans="1:7" ht="15.75" thickBot="1" x14ac:dyDescent="0.3">
      <c r="A7" t="s">
        <v>187</v>
      </c>
      <c r="B7" s="1" t="s">
        <v>188</v>
      </c>
      <c r="C7" s="1" t="s">
        <v>7</v>
      </c>
      <c r="D7" s="1" t="s">
        <v>189</v>
      </c>
      <c r="E7" s="3">
        <v>4430</v>
      </c>
      <c r="F7" s="1" t="str">
        <f>VLOOKUP(D7,Table9[[Name]:[Native]],3,FALSE)</f>
        <v>互助土族自治县</v>
      </c>
      <c r="G7" s="12" t="str">
        <f ca="1">VLOOKUP(F7,Table9[[Native]:[Population4]],5,FALSE)</f>
        <v>海东市</v>
      </c>
    </row>
    <row r="8" spans="1:7" ht="15.75" thickBot="1" x14ac:dyDescent="0.3">
      <c r="A8" t="s">
        <v>190</v>
      </c>
      <c r="B8" s="1" t="s">
        <v>191</v>
      </c>
      <c r="C8" s="1" t="s">
        <v>19</v>
      </c>
      <c r="D8" s="1" t="s">
        <v>192</v>
      </c>
      <c r="E8" s="3">
        <v>18110</v>
      </c>
      <c r="F8" s="1" t="str">
        <f>VLOOKUP(D8,Table9[[Name]:[Native]],3,FALSE)</f>
        <v>民和回族土族自治县</v>
      </c>
      <c r="G8" s="12" t="str">
        <f ca="1">VLOOKUP(F8,Table9[[Native]:[Population4]],5,FALSE)</f>
        <v>海东市</v>
      </c>
    </row>
    <row r="9" spans="1:7" ht="15.75" thickBot="1" x14ac:dyDescent="0.3">
      <c r="A9" t="s">
        <v>106</v>
      </c>
      <c r="B9" s="1" t="s">
        <v>107</v>
      </c>
      <c r="C9" s="1" t="s">
        <v>7</v>
      </c>
      <c r="D9" s="1" t="s">
        <v>192</v>
      </c>
      <c r="E9" s="3">
        <v>3408</v>
      </c>
      <c r="F9" s="1" t="str">
        <f>VLOOKUP(D9,Table9[[Name]:[Native]],3,FALSE)</f>
        <v>民和回族土族自治县</v>
      </c>
      <c r="G9" s="12" t="str">
        <f ca="1">VLOOKUP(F9,Table9[[Native]:[Population4]],5,FALSE)</f>
        <v>海东市</v>
      </c>
    </row>
    <row r="10" spans="1:7" ht="15.75" thickBot="1" x14ac:dyDescent="0.3">
      <c r="A10" t="s">
        <v>193</v>
      </c>
      <c r="B10" s="1" t="s">
        <v>194</v>
      </c>
      <c r="C10" s="1" t="s">
        <v>7</v>
      </c>
      <c r="D10" s="1" t="s">
        <v>189</v>
      </c>
      <c r="E10" s="3">
        <v>6688</v>
      </c>
      <c r="F10" s="1" t="str">
        <f>VLOOKUP(D10,Table9[[Name]:[Native]],3,FALSE)</f>
        <v>互助土族自治县</v>
      </c>
      <c r="G10" s="12" t="str">
        <f ca="1">VLOOKUP(F10,Table9[[Native]:[Population4]],5,FALSE)</f>
        <v>海东市</v>
      </c>
    </row>
    <row r="11" spans="1:7" ht="15.75" thickBot="1" x14ac:dyDescent="0.3">
      <c r="A11" t="s">
        <v>195</v>
      </c>
      <c r="B11" s="1" t="s">
        <v>196</v>
      </c>
      <c r="C11" s="1" t="s">
        <v>7</v>
      </c>
      <c r="D11" s="1" t="s">
        <v>176</v>
      </c>
      <c r="E11" s="3">
        <v>5555</v>
      </c>
      <c r="F11" s="1" t="str">
        <f>VLOOKUP(D11,Table9[[Name]:[Native]],3,FALSE)</f>
        <v>化隆回族自治县</v>
      </c>
      <c r="G11" s="12" t="str">
        <f ca="1">VLOOKUP(F11,Table9[[Native]:[Population4]],5,FALSE)</f>
        <v>海东市</v>
      </c>
    </row>
    <row r="12" spans="1:7" ht="15.75" thickBot="1" x14ac:dyDescent="0.3">
      <c r="A12" t="s">
        <v>197</v>
      </c>
      <c r="B12" s="1" t="s">
        <v>198</v>
      </c>
      <c r="C12" s="1" t="s">
        <v>7</v>
      </c>
      <c r="D12" s="1" t="s">
        <v>181</v>
      </c>
      <c r="E12" s="3">
        <v>11679</v>
      </c>
      <c r="F12" s="1" t="str">
        <f>VLOOKUP(D12,Table9[[Name]:[Native]],3,FALSE)</f>
        <v>循化撒拉族自治县</v>
      </c>
      <c r="G12" s="12" t="str">
        <f ca="1">VLOOKUP(F12,Table9[[Native]:[Population4]],5,FALSE)</f>
        <v>海东市</v>
      </c>
    </row>
    <row r="13" spans="1:7" ht="15.75" thickBot="1" x14ac:dyDescent="0.3">
      <c r="A13" t="s">
        <v>199</v>
      </c>
      <c r="B13" s="1" t="s">
        <v>200</v>
      </c>
      <c r="C13" s="1" t="s">
        <v>7</v>
      </c>
      <c r="D13" s="1" t="s">
        <v>201</v>
      </c>
      <c r="E13" s="3">
        <v>3656</v>
      </c>
      <c r="F13" s="1" t="str">
        <f>VLOOKUP(D13,Table9[[Name]:[Native]],3,FALSE)</f>
        <v>乐都区</v>
      </c>
      <c r="G13" s="12" t="str">
        <f ca="1">VLOOKUP(F13,Table9[[Native]:[Population4]],5,FALSE)</f>
        <v>海东市</v>
      </c>
    </row>
    <row r="14" spans="1:7" ht="15.75" thickBot="1" x14ac:dyDescent="0.3">
      <c r="A14" t="s">
        <v>202</v>
      </c>
      <c r="B14" s="1" t="s">
        <v>203</v>
      </c>
      <c r="C14" s="1" t="s">
        <v>19</v>
      </c>
      <c r="D14" s="1" t="s">
        <v>192</v>
      </c>
      <c r="E14" s="3">
        <v>69252</v>
      </c>
      <c r="F14" s="1" t="str">
        <f>VLOOKUP(D14,Table9[[Name]:[Native]],3,FALSE)</f>
        <v>民和回族土族自治县</v>
      </c>
      <c r="G14" s="12" t="str">
        <f ca="1">VLOOKUP(F14,Table9[[Native]:[Population4]],5,FALSE)</f>
        <v>海东市</v>
      </c>
    </row>
    <row r="15" spans="1:7" ht="15.75" thickBot="1" x14ac:dyDescent="0.3">
      <c r="A15" t="s">
        <v>204</v>
      </c>
      <c r="B15" s="1" t="s">
        <v>205</v>
      </c>
      <c r="C15" s="1" t="s">
        <v>7</v>
      </c>
      <c r="D15" s="1" t="s">
        <v>176</v>
      </c>
      <c r="E15" s="3">
        <v>5841</v>
      </c>
      <c r="F15" s="1" t="str">
        <f>VLOOKUP(D15,Table9[[Name]:[Native]],3,FALSE)</f>
        <v>化隆回族自治县</v>
      </c>
      <c r="G15" s="12" t="str">
        <f ca="1">VLOOKUP(F15,Table9[[Native]:[Population4]],5,FALSE)</f>
        <v>海东市</v>
      </c>
    </row>
    <row r="16" spans="1:7" ht="15.75" thickBot="1" x14ac:dyDescent="0.3">
      <c r="A16" t="s">
        <v>206</v>
      </c>
      <c r="B16" s="1" t="s">
        <v>207</v>
      </c>
      <c r="C16" s="1" t="s">
        <v>7</v>
      </c>
      <c r="D16" s="1" t="s">
        <v>201</v>
      </c>
      <c r="E16" s="3">
        <v>7309</v>
      </c>
      <c r="F16" s="1" t="str">
        <f>VLOOKUP(D16,Table9[[Name]:[Native]],3,FALSE)</f>
        <v>乐都区</v>
      </c>
      <c r="G16" s="12" t="str">
        <f ca="1">VLOOKUP(F16,Table9[[Native]:[Population4]],5,FALSE)</f>
        <v>海东市</v>
      </c>
    </row>
    <row r="17" spans="1:7" ht="15.75" thickBot="1" x14ac:dyDescent="0.3">
      <c r="A17" t="s">
        <v>208</v>
      </c>
      <c r="B17" s="1" t="s">
        <v>209</v>
      </c>
      <c r="C17" s="1" t="s">
        <v>19</v>
      </c>
      <c r="D17" s="1" t="s">
        <v>189</v>
      </c>
      <c r="E17" s="3">
        <v>19174</v>
      </c>
      <c r="F17" s="1" t="str">
        <f>VLOOKUP(D17,Table9[[Name]:[Native]],3,FALSE)</f>
        <v>互助土族自治县</v>
      </c>
      <c r="G17" s="12" t="str">
        <f ca="1">VLOOKUP(F17,Table9[[Native]:[Population4]],5,FALSE)</f>
        <v>海东市</v>
      </c>
    </row>
    <row r="18" spans="1:7" ht="15.75" thickBot="1" x14ac:dyDescent="0.3">
      <c r="A18" t="s">
        <v>210</v>
      </c>
      <c r="B18" s="1" t="s">
        <v>211</v>
      </c>
      <c r="C18" s="1" t="s">
        <v>7</v>
      </c>
      <c r="D18" s="1" t="s">
        <v>181</v>
      </c>
      <c r="E18" s="3">
        <v>11635</v>
      </c>
      <c r="F18" s="1" t="str">
        <f>VLOOKUP(D18,Table9[[Name]:[Native]],3,FALSE)</f>
        <v>循化撒拉族自治县</v>
      </c>
      <c r="G18" s="12" t="str">
        <f ca="1">VLOOKUP(F18,Table9[[Native]:[Population4]],5,FALSE)</f>
        <v>海东市</v>
      </c>
    </row>
    <row r="19" spans="1:7" ht="15.75" thickBot="1" x14ac:dyDescent="0.3">
      <c r="A19" t="s">
        <v>212</v>
      </c>
      <c r="B19" s="1" t="s">
        <v>213</v>
      </c>
      <c r="C19" s="1" t="s">
        <v>7</v>
      </c>
      <c r="D19" s="1" t="s">
        <v>192</v>
      </c>
      <c r="E19" s="3">
        <v>10404</v>
      </c>
      <c r="F19" s="1" t="str">
        <f>VLOOKUP(D19,Table9[[Name]:[Native]],3,FALSE)</f>
        <v>民和回族土族自治县</v>
      </c>
      <c r="G19" s="12" t="str">
        <f ca="1">VLOOKUP(F19,Table9[[Native]:[Population4]],5,FALSE)</f>
        <v>海东市</v>
      </c>
    </row>
    <row r="20" spans="1:7" ht="15.75" thickBot="1" x14ac:dyDescent="0.3">
      <c r="A20" t="s">
        <v>214</v>
      </c>
      <c r="B20" s="1" t="s">
        <v>215</v>
      </c>
      <c r="C20" s="1" t="s">
        <v>7</v>
      </c>
      <c r="D20" s="1" t="s">
        <v>176</v>
      </c>
      <c r="E20" s="3">
        <v>9699</v>
      </c>
      <c r="F20" s="1" t="str">
        <f>VLOOKUP(D20,Table9[[Name]:[Native]],3,FALSE)</f>
        <v>化隆回族自治县</v>
      </c>
      <c r="G20" s="12" t="str">
        <f ca="1">VLOOKUP(F20,Table9[[Native]:[Population4]],5,FALSE)</f>
        <v>海东市</v>
      </c>
    </row>
    <row r="21" spans="1:7" ht="15.75" thickBot="1" x14ac:dyDescent="0.3">
      <c r="A21" t="s">
        <v>216</v>
      </c>
      <c r="B21" s="1" t="s">
        <v>217</v>
      </c>
      <c r="C21" s="1" t="s">
        <v>7</v>
      </c>
      <c r="D21" s="1" t="s">
        <v>189</v>
      </c>
      <c r="E21" s="3">
        <v>20075</v>
      </c>
      <c r="F21" s="1" t="str">
        <f>VLOOKUP(D21,Table9[[Name]:[Native]],3,FALSE)</f>
        <v>互助土族自治县</v>
      </c>
      <c r="G21" s="12" t="str">
        <f ca="1">VLOOKUP(F21,Table9[[Native]:[Population4]],5,FALSE)</f>
        <v>海东市</v>
      </c>
    </row>
    <row r="22" spans="1:7" ht="15.75" thickBot="1" x14ac:dyDescent="0.3">
      <c r="A22" t="s">
        <v>218</v>
      </c>
      <c r="B22" s="1" t="s">
        <v>219</v>
      </c>
      <c r="C22" s="1" t="s">
        <v>7</v>
      </c>
      <c r="D22" s="1" t="s">
        <v>189</v>
      </c>
      <c r="E22" s="3">
        <v>16337</v>
      </c>
      <c r="F22" s="1" t="str">
        <f>VLOOKUP(D22,Table9[[Name]:[Native]],3,FALSE)</f>
        <v>互助土族自治县</v>
      </c>
      <c r="G22" s="12" t="str">
        <f ca="1">VLOOKUP(F22,Table9[[Native]:[Population4]],5,FALSE)</f>
        <v>海东市</v>
      </c>
    </row>
    <row r="23" spans="1:7" ht="15.75" thickBot="1" x14ac:dyDescent="0.3">
      <c r="A23" t="s">
        <v>220</v>
      </c>
      <c r="B23" s="1" t="s">
        <v>221</v>
      </c>
      <c r="C23" s="1" t="s">
        <v>7</v>
      </c>
      <c r="D23" s="1" t="s">
        <v>189</v>
      </c>
      <c r="E23" s="3">
        <v>9715</v>
      </c>
      <c r="F23" s="1" t="str">
        <f>VLOOKUP(D23,Table9[[Name]:[Native]],3,FALSE)</f>
        <v>互助土族自治县</v>
      </c>
      <c r="G23" s="12" t="str">
        <f ca="1">VLOOKUP(F23,Table9[[Native]:[Population4]],5,FALSE)</f>
        <v>海东市</v>
      </c>
    </row>
    <row r="24" spans="1:7" ht="15.75" thickBot="1" x14ac:dyDescent="0.3">
      <c r="A24" t="s">
        <v>222</v>
      </c>
      <c r="B24" s="1" t="s">
        <v>223</v>
      </c>
      <c r="C24" s="1" t="s">
        <v>7</v>
      </c>
      <c r="D24" s="1" t="s">
        <v>176</v>
      </c>
      <c r="E24" s="3">
        <v>8244</v>
      </c>
      <c r="F24" s="1" t="str">
        <f>VLOOKUP(D24,Table9[[Name]:[Native]],3,FALSE)</f>
        <v>化隆回族自治县</v>
      </c>
      <c r="G24" s="12" t="str">
        <f ca="1">VLOOKUP(F24,Table9[[Native]:[Population4]],5,FALSE)</f>
        <v>海东市</v>
      </c>
    </row>
    <row r="25" spans="1:7" ht="15.75" thickBot="1" x14ac:dyDescent="0.3">
      <c r="A25" t="s">
        <v>224</v>
      </c>
      <c r="B25" s="1" t="s">
        <v>225</v>
      </c>
      <c r="C25" s="1" t="s">
        <v>7</v>
      </c>
      <c r="D25" s="1" t="s">
        <v>201</v>
      </c>
      <c r="E25" s="3">
        <v>5102</v>
      </c>
      <c r="F25" s="1" t="str">
        <f>VLOOKUP(D25,Table9[[Name]:[Native]],3,FALSE)</f>
        <v>乐都区</v>
      </c>
      <c r="G25" s="12" t="str">
        <f ca="1">VLOOKUP(F25,Table9[[Native]:[Population4]],5,FALSE)</f>
        <v>海东市</v>
      </c>
    </row>
    <row r="26" spans="1:7" ht="15.75" thickBot="1" x14ac:dyDescent="0.3">
      <c r="A26" t="s">
        <v>226</v>
      </c>
      <c r="B26" s="1" t="s">
        <v>227</v>
      </c>
      <c r="C26" s="1" t="s">
        <v>7</v>
      </c>
      <c r="D26" s="1" t="s">
        <v>181</v>
      </c>
      <c r="E26" s="3">
        <v>5169</v>
      </c>
      <c r="F26" s="1" t="str">
        <f>VLOOKUP(D26,Table9[[Name]:[Native]],3,FALSE)</f>
        <v>循化撒拉族自治县</v>
      </c>
      <c r="G26" s="12" t="str">
        <f ca="1">VLOOKUP(F26,Table9[[Native]:[Population4]],5,FALSE)</f>
        <v>海东市</v>
      </c>
    </row>
    <row r="27" spans="1:7" ht="15.75" thickBot="1" x14ac:dyDescent="0.3">
      <c r="A27" t="s">
        <v>228</v>
      </c>
      <c r="B27" s="1" t="s">
        <v>229</v>
      </c>
      <c r="C27" s="1" t="s">
        <v>19</v>
      </c>
      <c r="D27" s="1" t="s">
        <v>176</v>
      </c>
      <c r="E27" s="3">
        <v>20536</v>
      </c>
      <c r="F27" s="1" t="str">
        <f>VLOOKUP(D27,Table9[[Name]:[Native]],3,FALSE)</f>
        <v>化隆回族自治县</v>
      </c>
      <c r="G27" s="12" t="str">
        <f ca="1">VLOOKUP(F27,Table9[[Native]:[Population4]],5,FALSE)</f>
        <v>海东市</v>
      </c>
    </row>
    <row r="28" spans="1:7" ht="15.75" thickBot="1" x14ac:dyDescent="0.3">
      <c r="A28" t="s">
        <v>230</v>
      </c>
      <c r="B28" s="1" t="s">
        <v>231</v>
      </c>
      <c r="C28" s="1" t="s">
        <v>7</v>
      </c>
      <c r="D28" s="1" t="s">
        <v>181</v>
      </c>
      <c r="E28" s="3">
        <v>1912</v>
      </c>
      <c r="F28" s="1" t="str">
        <f>VLOOKUP(D28,Table9[[Name]:[Native]],3,FALSE)</f>
        <v>循化撒拉族自治县</v>
      </c>
      <c r="G28" s="12" t="str">
        <f ca="1">VLOOKUP(F28,Table9[[Native]:[Population4]],5,FALSE)</f>
        <v>海东市</v>
      </c>
    </row>
    <row r="29" spans="1:7" ht="15.75" thickBot="1" x14ac:dyDescent="0.3">
      <c r="A29" t="s">
        <v>232</v>
      </c>
      <c r="B29" s="1" t="s">
        <v>233</v>
      </c>
      <c r="C29" s="1" t="s">
        <v>7</v>
      </c>
      <c r="D29" s="1" t="s">
        <v>192</v>
      </c>
      <c r="E29" s="3">
        <v>11444</v>
      </c>
      <c r="F29" s="1" t="str">
        <f>VLOOKUP(D29,Table9[[Name]:[Native]],3,FALSE)</f>
        <v>民和回族土族自治县</v>
      </c>
      <c r="G29" s="12" t="str">
        <f ca="1">VLOOKUP(F29,Table9[[Native]:[Population4]],5,FALSE)</f>
        <v>海东市</v>
      </c>
    </row>
    <row r="30" spans="1:7" ht="15.75" thickBot="1" x14ac:dyDescent="0.3">
      <c r="A30" t="s">
        <v>234</v>
      </c>
      <c r="B30" s="1" t="s">
        <v>235</v>
      </c>
      <c r="C30" s="1" t="s">
        <v>19</v>
      </c>
      <c r="D30" s="1" t="s">
        <v>201</v>
      </c>
      <c r="E30" s="3">
        <v>8388</v>
      </c>
      <c r="F30" s="1" t="str">
        <f>VLOOKUP(D30,Table9[[Name]:[Native]],3,FALSE)</f>
        <v>乐都区</v>
      </c>
      <c r="G30" s="12" t="str">
        <f ca="1">VLOOKUP(F30,Table9[[Native]:[Population4]],5,FALSE)</f>
        <v>海东市</v>
      </c>
    </row>
    <row r="31" spans="1:7" ht="15.75" thickBot="1" x14ac:dyDescent="0.3">
      <c r="A31" t="s">
        <v>236</v>
      </c>
      <c r="B31" s="1" t="s">
        <v>237</v>
      </c>
      <c r="C31" s="1" t="s">
        <v>19</v>
      </c>
      <c r="D31" s="1" t="s">
        <v>201</v>
      </c>
      <c r="E31" s="3">
        <v>23398</v>
      </c>
      <c r="F31" s="1" t="str">
        <f>VLOOKUP(D31,Table9[[Name]:[Native]],3,FALSE)</f>
        <v>乐都区</v>
      </c>
      <c r="G31" s="12" t="str">
        <f ca="1">VLOOKUP(F31,Table9[[Native]:[Population4]],5,FALSE)</f>
        <v>海东市</v>
      </c>
    </row>
    <row r="32" spans="1:7" ht="15.75" thickBot="1" x14ac:dyDescent="0.3">
      <c r="A32" t="s">
        <v>238</v>
      </c>
      <c r="B32" s="1" t="s">
        <v>239</v>
      </c>
      <c r="C32" s="1" t="s">
        <v>19</v>
      </c>
      <c r="D32" s="1" t="s">
        <v>189</v>
      </c>
      <c r="E32" s="3">
        <v>12903</v>
      </c>
      <c r="F32" s="1" t="str">
        <f>VLOOKUP(D32,Table9[[Name]:[Native]],3,FALSE)</f>
        <v>互助土族自治县</v>
      </c>
      <c r="G32" s="12" t="str">
        <f ca="1">VLOOKUP(F32,Table9[[Native]:[Population4]],5,FALSE)</f>
        <v>海东市</v>
      </c>
    </row>
    <row r="33" spans="1:7" ht="15.75" thickBot="1" x14ac:dyDescent="0.3">
      <c r="A33" t="s">
        <v>240</v>
      </c>
      <c r="B33" s="1" t="s">
        <v>241</v>
      </c>
      <c r="C33" s="1" t="s">
        <v>133</v>
      </c>
      <c r="D33" s="1" t="s">
        <v>176</v>
      </c>
      <c r="E33" s="3">
        <v>3097</v>
      </c>
      <c r="F33" s="1" t="str">
        <f>VLOOKUP(D33,Table9[[Name]:[Native]],3,FALSE)</f>
        <v>化隆回族自治县</v>
      </c>
      <c r="G33" s="12" t="str">
        <f ca="1">VLOOKUP(F33,Table9[[Native]:[Population4]],5,FALSE)</f>
        <v>海东市</v>
      </c>
    </row>
    <row r="34" spans="1:7" ht="15.75" thickBot="1" x14ac:dyDescent="0.3">
      <c r="A34" t="s">
        <v>242</v>
      </c>
      <c r="B34" s="1" t="s">
        <v>243</v>
      </c>
      <c r="C34" s="1" t="s">
        <v>7</v>
      </c>
      <c r="D34" s="1" t="s">
        <v>201</v>
      </c>
      <c r="E34" s="3">
        <v>7473</v>
      </c>
      <c r="F34" s="1" t="str">
        <f>VLOOKUP(D34,Table9[[Name]:[Native]],3,FALSE)</f>
        <v>乐都区</v>
      </c>
      <c r="G34" s="12" t="str">
        <f ca="1">VLOOKUP(F34,Table9[[Native]:[Population4]],5,FALSE)</f>
        <v>海东市</v>
      </c>
    </row>
    <row r="35" spans="1:7" ht="15.75" thickBot="1" x14ac:dyDescent="0.3">
      <c r="A35" t="s">
        <v>244</v>
      </c>
      <c r="B35" s="1" t="s">
        <v>245</v>
      </c>
      <c r="C35" s="1" t="s">
        <v>19</v>
      </c>
      <c r="D35" s="1" t="s">
        <v>192</v>
      </c>
      <c r="E35" s="3">
        <v>15778</v>
      </c>
      <c r="F35" s="1" t="str">
        <f>VLOOKUP(D35,Table9[[Name]:[Native]],3,FALSE)</f>
        <v>民和回族土族自治县</v>
      </c>
      <c r="G35" s="12" t="str">
        <f ca="1">VLOOKUP(F35,Table9[[Native]:[Population4]],5,FALSE)</f>
        <v>海东市</v>
      </c>
    </row>
    <row r="36" spans="1:7" ht="15.75" thickBot="1" x14ac:dyDescent="0.3">
      <c r="A36" t="s">
        <v>246</v>
      </c>
      <c r="B36" s="1" t="s">
        <v>247</v>
      </c>
      <c r="C36" s="1" t="s">
        <v>7</v>
      </c>
      <c r="D36" s="1" t="s">
        <v>186</v>
      </c>
      <c r="E36" s="3">
        <v>8650</v>
      </c>
      <c r="F36" s="1" t="str">
        <f>VLOOKUP(D36,Table9[[Name]:[Native]],3,FALSE)</f>
        <v>平安区</v>
      </c>
      <c r="G36" s="12" t="str">
        <f ca="1">VLOOKUP(F36,Table9[[Native]:[Population4]],5,FALSE)</f>
        <v>海东市</v>
      </c>
    </row>
    <row r="37" spans="1:7" ht="15.75" thickBot="1" x14ac:dyDescent="0.3">
      <c r="A37" t="s">
        <v>248</v>
      </c>
      <c r="B37" s="1" t="s">
        <v>249</v>
      </c>
      <c r="C37" s="1" t="s">
        <v>19</v>
      </c>
      <c r="D37" s="1" t="s">
        <v>192</v>
      </c>
      <c r="E37" s="3">
        <v>21856</v>
      </c>
      <c r="F37" s="1" t="str">
        <f>VLOOKUP(D37,Table9[[Name]:[Native]],3,FALSE)</f>
        <v>民和回族土族自治县</v>
      </c>
      <c r="G37" s="12" t="str">
        <f ca="1">VLOOKUP(F37,Table9[[Native]:[Population4]],5,FALSE)</f>
        <v>海东市</v>
      </c>
    </row>
    <row r="38" spans="1:7" ht="15.75" thickBot="1" x14ac:dyDescent="0.3">
      <c r="A38" t="s">
        <v>250</v>
      </c>
      <c r="B38" s="1" t="s">
        <v>251</v>
      </c>
      <c r="C38" s="1" t="s">
        <v>7</v>
      </c>
      <c r="D38" s="1" t="s">
        <v>189</v>
      </c>
      <c r="E38" s="3">
        <v>13686</v>
      </c>
      <c r="F38" s="1" t="str">
        <f>VLOOKUP(D38,Table9[[Name]:[Native]],3,FALSE)</f>
        <v>互助土族自治县</v>
      </c>
      <c r="G38" s="12" t="str">
        <f ca="1">VLOOKUP(F38,Table9[[Native]:[Population4]],5,FALSE)</f>
        <v>海东市</v>
      </c>
    </row>
    <row r="39" spans="1:7" ht="15.75" thickBot="1" x14ac:dyDescent="0.3">
      <c r="A39" t="s">
        <v>252</v>
      </c>
      <c r="B39" s="1" t="s">
        <v>253</v>
      </c>
      <c r="C39" s="1" t="s">
        <v>7</v>
      </c>
      <c r="D39" s="1" t="s">
        <v>192</v>
      </c>
      <c r="E39" s="3">
        <v>9346</v>
      </c>
      <c r="F39" s="1" t="str">
        <f>VLOOKUP(D39,Table9[[Name]:[Native]],3,FALSE)</f>
        <v>民和回族土族自治县</v>
      </c>
      <c r="G39" s="12" t="str">
        <f ca="1">VLOOKUP(F39,Table9[[Native]:[Population4]],5,FALSE)</f>
        <v>海东市</v>
      </c>
    </row>
    <row r="40" spans="1:7" ht="15.75" thickBot="1" x14ac:dyDescent="0.3">
      <c r="A40" t="s">
        <v>254</v>
      </c>
      <c r="B40" s="1" t="s">
        <v>255</v>
      </c>
      <c r="C40" s="1" t="s">
        <v>7</v>
      </c>
      <c r="D40" s="1" t="s">
        <v>186</v>
      </c>
      <c r="E40" s="3">
        <v>2760</v>
      </c>
      <c r="F40" s="1" t="str">
        <f>VLOOKUP(D40,Table9[[Name]:[Native]],3,FALSE)</f>
        <v>平安区</v>
      </c>
      <c r="G40" s="12" t="str">
        <f ca="1">VLOOKUP(F40,Table9[[Native]:[Population4]],5,FALSE)</f>
        <v>海东市</v>
      </c>
    </row>
    <row r="41" spans="1:7" ht="15.75" thickBot="1" x14ac:dyDescent="0.3">
      <c r="A41" t="s">
        <v>256</v>
      </c>
      <c r="B41" s="1" t="s">
        <v>257</v>
      </c>
      <c r="C41" s="1" t="s">
        <v>19</v>
      </c>
      <c r="D41" s="1" t="s">
        <v>201</v>
      </c>
      <c r="E41" s="3">
        <v>16095</v>
      </c>
      <c r="F41" s="1" t="str">
        <f>VLOOKUP(D41,Table9[[Name]:[Native]],3,FALSE)</f>
        <v>乐都区</v>
      </c>
      <c r="G41" s="12" t="str">
        <f ca="1">VLOOKUP(F41,Table9[[Native]:[Population4]],5,FALSE)</f>
        <v>海东市</v>
      </c>
    </row>
    <row r="42" spans="1:7" ht="15.75" thickBot="1" x14ac:dyDescent="0.3">
      <c r="A42" t="s">
        <v>258</v>
      </c>
      <c r="B42" s="1" t="s">
        <v>259</v>
      </c>
      <c r="C42" s="1" t="s">
        <v>7</v>
      </c>
      <c r="D42" s="1" t="s">
        <v>189</v>
      </c>
      <c r="E42" s="3">
        <v>16650</v>
      </c>
      <c r="F42" s="1" t="str">
        <f>VLOOKUP(D42,Table9[[Name]:[Native]],3,FALSE)</f>
        <v>互助土族自治县</v>
      </c>
      <c r="G42" s="12" t="str">
        <f ca="1">VLOOKUP(F42,Table9[[Native]:[Population4]],5,FALSE)</f>
        <v>海东市</v>
      </c>
    </row>
    <row r="43" spans="1:7" ht="15.75" thickBot="1" x14ac:dyDescent="0.3">
      <c r="A43" t="s">
        <v>260</v>
      </c>
      <c r="B43" s="1" t="s">
        <v>261</v>
      </c>
      <c r="C43" s="1" t="s">
        <v>19</v>
      </c>
      <c r="D43" s="1" t="s">
        <v>189</v>
      </c>
      <c r="E43" s="3">
        <v>7079</v>
      </c>
      <c r="F43" s="1" t="str">
        <f>VLOOKUP(D43,Table9[[Name]:[Native]],3,FALSE)</f>
        <v>互助土族自治县</v>
      </c>
      <c r="G43" s="12" t="str">
        <f ca="1">VLOOKUP(F43,Table9[[Native]:[Population4]],5,FALSE)</f>
        <v>海东市</v>
      </c>
    </row>
    <row r="44" spans="1:7" ht="15.75" thickBot="1" x14ac:dyDescent="0.3">
      <c r="A44" t="s">
        <v>262</v>
      </c>
      <c r="B44" s="1" t="s">
        <v>263</v>
      </c>
      <c r="C44" s="1" t="s">
        <v>19</v>
      </c>
      <c r="D44" s="1" t="s">
        <v>181</v>
      </c>
      <c r="E44" s="3">
        <v>17256</v>
      </c>
      <c r="F44" s="1" t="str">
        <f>VLOOKUP(D44,Table9[[Name]:[Native]],3,FALSE)</f>
        <v>循化撒拉族自治县</v>
      </c>
      <c r="G44" s="12" t="str">
        <f ca="1">VLOOKUP(F44,Table9[[Native]:[Population4]],5,FALSE)</f>
        <v>海东市</v>
      </c>
    </row>
    <row r="45" spans="1:7" ht="15.75" thickBot="1" x14ac:dyDescent="0.3">
      <c r="A45" t="s">
        <v>264</v>
      </c>
      <c r="B45" s="1" t="s">
        <v>265</v>
      </c>
      <c r="C45" s="1" t="s">
        <v>7</v>
      </c>
      <c r="D45" s="1" t="s">
        <v>176</v>
      </c>
      <c r="E45" s="3">
        <v>6551</v>
      </c>
      <c r="F45" s="1" t="str">
        <f>VLOOKUP(D45,Table9[[Name]:[Native]],3,FALSE)</f>
        <v>化隆回族自治县</v>
      </c>
      <c r="G45" s="12" t="str">
        <f ca="1">VLOOKUP(F45,Table9[[Native]:[Population4]],5,FALSE)</f>
        <v>海东市</v>
      </c>
    </row>
    <row r="46" spans="1:7" ht="15.75" thickBot="1" x14ac:dyDescent="0.3">
      <c r="A46" t="s">
        <v>266</v>
      </c>
      <c r="B46" s="1" t="s">
        <v>267</v>
      </c>
      <c r="C46" s="1" t="s">
        <v>19</v>
      </c>
      <c r="D46" s="1" t="s">
        <v>181</v>
      </c>
      <c r="E46" s="3">
        <v>33022</v>
      </c>
      <c r="F46" s="1" t="str">
        <f>VLOOKUP(D46,Table9[[Name]:[Native]],3,FALSE)</f>
        <v>循化撒拉族自治县</v>
      </c>
      <c r="G46" s="12" t="str">
        <f ca="1">VLOOKUP(F46,Table9[[Native]:[Population4]],5,FALSE)</f>
        <v>海东市</v>
      </c>
    </row>
    <row r="47" spans="1:7" ht="15.75" thickBot="1" x14ac:dyDescent="0.3">
      <c r="A47" t="s">
        <v>268</v>
      </c>
      <c r="B47" s="1" t="s">
        <v>269</v>
      </c>
      <c r="C47" s="1" t="s">
        <v>19</v>
      </c>
      <c r="D47" s="1" t="s">
        <v>201</v>
      </c>
      <c r="E47" s="3">
        <v>18601</v>
      </c>
      <c r="F47" s="1" t="str">
        <f>VLOOKUP(D47,Table9[[Name]:[Native]],3,FALSE)</f>
        <v>乐都区</v>
      </c>
      <c r="G47" s="12" t="str">
        <f ca="1">VLOOKUP(F47,Table9[[Native]:[Population4]],5,FALSE)</f>
        <v>海东市</v>
      </c>
    </row>
    <row r="48" spans="1:7" ht="15.75" thickBot="1" x14ac:dyDescent="0.3">
      <c r="A48" t="s">
        <v>270</v>
      </c>
      <c r="B48" s="1" t="s">
        <v>271</v>
      </c>
      <c r="C48" s="1" t="s">
        <v>19</v>
      </c>
      <c r="D48" s="1" t="s">
        <v>192</v>
      </c>
      <c r="E48" s="3">
        <v>16331</v>
      </c>
      <c r="F48" s="1" t="str">
        <f>VLOOKUP(D48,Table9[[Name]:[Native]],3,FALSE)</f>
        <v>民和回族土族自治县</v>
      </c>
      <c r="G48" s="12" t="str">
        <f ca="1">VLOOKUP(F48,Table9[[Native]:[Population4]],5,FALSE)</f>
        <v>海东市</v>
      </c>
    </row>
    <row r="49" spans="1:7" ht="15.75" thickBot="1" x14ac:dyDescent="0.3">
      <c r="A49" t="s">
        <v>272</v>
      </c>
      <c r="B49" s="1" t="s">
        <v>273</v>
      </c>
      <c r="C49" s="1" t="s">
        <v>133</v>
      </c>
      <c r="D49" s="1" t="s">
        <v>176</v>
      </c>
      <c r="E49" s="3">
        <v>178</v>
      </c>
      <c r="F49" s="1" t="str">
        <f>VLOOKUP(D49,Table9[[Name]:[Native]],3,FALSE)</f>
        <v>化隆回族自治县</v>
      </c>
      <c r="G49" s="12" t="str">
        <f ca="1">VLOOKUP(F49,Table9[[Native]:[Population4]],5,FALSE)</f>
        <v>海东市</v>
      </c>
    </row>
    <row r="50" spans="1:7" ht="15.75" thickBot="1" x14ac:dyDescent="0.3">
      <c r="A50" t="s">
        <v>274</v>
      </c>
      <c r="B50" s="1" t="s">
        <v>275</v>
      </c>
      <c r="C50" s="1" t="s">
        <v>7</v>
      </c>
      <c r="D50" s="1" t="s">
        <v>201</v>
      </c>
      <c r="E50" s="3">
        <v>8132</v>
      </c>
      <c r="F50" s="1" t="str">
        <f>VLOOKUP(D50,Table9[[Name]:[Native]],3,FALSE)</f>
        <v>乐都区</v>
      </c>
      <c r="G50" s="12" t="str">
        <f ca="1">VLOOKUP(F50,Table9[[Native]:[Population4]],5,FALSE)</f>
        <v>海东市</v>
      </c>
    </row>
    <row r="51" spans="1:7" ht="15.75" thickBot="1" x14ac:dyDescent="0.3">
      <c r="A51" t="s">
        <v>276</v>
      </c>
      <c r="B51" s="1" t="s">
        <v>277</v>
      </c>
      <c r="C51" s="1" t="s">
        <v>7</v>
      </c>
      <c r="D51" s="1" t="s">
        <v>189</v>
      </c>
      <c r="E51" s="3">
        <v>22921</v>
      </c>
      <c r="F51" s="1" t="str">
        <f>VLOOKUP(D51,Table9[[Name]:[Native]],3,FALSE)</f>
        <v>互助土族自治县</v>
      </c>
      <c r="G51" s="12" t="str">
        <f ca="1">VLOOKUP(F51,Table9[[Native]:[Population4]],5,FALSE)</f>
        <v>海东市</v>
      </c>
    </row>
    <row r="52" spans="1:7" ht="15.75" thickBot="1" x14ac:dyDescent="0.3">
      <c r="A52" t="s">
        <v>278</v>
      </c>
      <c r="B52" s="1" t="s">
        <v>279</v>
      </c>
      <c r="C52" s="1" t="s">
        <v>7</v>
      </c>
      <c r="D52" s="1" t="s">
        <v>192</v>
      </c>
      <c r="E52" s="3">
        <v>7636</v>
      </c>
      <c r="F52" s="1" t="str">
        <f>VLOOKUP(D52,Table9[[Name]:[Native]],3,FALSE)</f>
        <v>民和回族土族自治县</v>
      </c>
      <c r="G52" s="12" t="str">
        <f ca="1">VLOOKUP(F52,Table9[[Native]:[Population4]],5,FALSE)</f>
        <v>海东市</v>
      </c>
    </row>
    <row r="53" spans="1:7" ht="15.75" thickBot="1" x14ac:dyDescent="0.3">
      <c r="A53" t="s">
        <v>280</v>
      </c>
      <c r="B53" s="1" t="s">
        <v>281</v>
      </c>
      <c r="C53" s="1" t="s">
        <v>7</v>
      </c>
      <c r="D53" s="1" t="s">
        <v>201</v>
      </c>
      <c r="E53" s="3">
        <v>7516</v>
      </c>
      <c r="F53" s="1" t="str">
        <f>VLOOKUP(D53,Table9[[Name]:[Native]],3,FALSE)</f>
        <v>乐都区</v>
      </c>
      <c r="G53" s="12" t="str">
        <f ca="1">VLOOKUP(F53,Table9[[Native]:[Population4]],5,FALSE)</f>
        <v>海东市</v>
      </c>
    </row>
    <row r="54" spans="1:7" ht="15.75" thickBot="1" x14ac:dyDescent="0.3">
      <c r="A54" t="s">
        <v>282</v>
      </c>
      <c r="B54" s="1" t="s">
        <v>283</v>
      </c>
      <c r="C54" s="1" t="s">
        <v>7</v>
      </c>
      <c r="D54" s="1" t="s">
        <v>201</v>
      </c>
      <c r="E54" s="3">
        <v>3699</v>
      </c>
      <c r="F54" s="1" t="str">
        <f>VLOOKUP(D54,Table9[[Name]:[Native]],3,FALSE)</f>
        <v>乐都区</v>
      </c>
      <c r="G54" s="12" t="str">
        <f ca="1">VLOOKUP(F54,Table9[[Native]:[Population4]],5,FALSE)</f>
        <v>海东市</v>
      </c>
    </row>
    <row r="55" spans="1:7" ht="15.75" thickBot="1" x14ac:dyDescent="0.3">
      <c r="A55" t="s">
        <v>284</v>
      </c>
      <c r="B55" s="1" t="s">
        <v>285</v>
      </c>
      <c r="C55" s="1" t="s">
        <v>7</v>
      </c>
      <c r="D55" s="1" t="s">
        <v>192</v>
      </c>
      <c r="E55" s="3">
        <v>19855</v>
      </c>
      <c r="F55" s="1" t="str">
        <f>VLOOKUP(D55,Table9[[Name]:[Native]],3,FALSE)</f>
        <v>民和回族土族自治县</v>
      </c>
      <c r="G55" s="12" t="str">
        <f ca="1">VLOOKUP(F55,Table9[[Native]:[Population4]],5,FALSE)</f>
        <v>海东市</v>
      </c>
    </row>
    <row r="56" spans="1:7" ht="15.75" thickBot="1" x14ac:dyDescent="0.3">
      <c r="A56" t="s">
        <v>286</v>
      </c>
      <c r="B56" s="1" t="s">
        <v>287</v>
      </c>
      <c r="C56" s="1" t="s">
        <v>19</v>
      </c>
      <c r="D56" s="1" t="s">
        <v>192</v>
      </c>
      <c r="E56" s="3">
        <v>14362</v>
      </c>
      <c r="F56" s="1" t="str">
        <f>VLOOKUP(D56,Table9[[Name]:[Native]],3,FALSE)</f>
        <v>民和回族土族自治县</v>
      </c>
      <c r="G56" s="12" t="str">
        <f ca="1">VLOOKUP(F56,Table9[[Native]:[Population4]],5,FALSE)</f>
        <v>海东市</v>
      </c>
    </row>
    <row r="57" spans="1:7" ht="15.75" thickBot="1" x14ac:dyDescent="0.3">
      <c r="A57" t="s">
        <v>288</v>
      </c>
      <c r="B57" s="1" t="s">
        <v>289</v>
      </c>
      <c r="C57" s="1" t="s">
        <v>7</v>
      </c>
      <c r="D57" s="1" t="s">
        <v>201</v>
      </c>
      <c r="E57" s="3">
        <v>10189</v>
      </c>
      <c r="F57" s="1" t="str">
        <f>VLOOKUP(D57,Table9[[Name]:[Native]],3,FALSE)</f>
        <v>乐都区</v>
      </c>
      <c r="G57" s="12" t="str">
        <f ca="1">VLOOKUP(F57,Table9[[Native]:[Population4]],5,FALSE)</f>
        <v>海东市</v>
      </c>
    </row>
    <row r="58" spans="1:7" ht="15.75" thickBot="1" x14ac:dyDescent="0.3">
      <c r="A58" t="s">
        <v>290</v>
      </c>
      <c r="B58" s="1" t="s">
        <v>291</v>
      </c>
      <c r="C58" s="1" t="s">
        <v>19</v>
      </c>
      <c r="D58" s="1" t="s">
        <v>192</v>
      </c>
      <c r="E58" s="3">
        <v>22415</v>
      </c>
      <c r="F58" s="1" t="str">
        <f>VLOOKUP(D58,Table9[[Name]:[Native]],3,FALSE)</f>
        <v>民和回族土族自治县</v>
      </c>
      <c r="G58" s="12" t="str">
        <f ca="1">VLOOKUP(F58,Table9[[Native]:[Population4]],5,FALSE)</f>
        <v>海东市</v>
      </c>
    </row>
    <row r="59" spans="1:7" ht="15.75" thickBot="1" x14ac:dyDescent="0.3">
      <c r="A59" t="s">
        <v>292</v>
      </c>
      <c r="B59" s="1" t="s">
        <v>293</v>
      </c>
      <c r="C59" s="1" t="s">
        <v>19</v>
      </c>
      <c r="D59" s="1" t="s">
        <v>189</v>
      </c>
      <c r="E59" s="3">
        <v>17280</v>
      </c>
      <c r="F59" s="1" t="str">
        <f>VLOOKUP(D59,Table9[[Name]:[Native]],3,FALSE)</f>
        <v>互助土族自治县</v>
      </c>
      <c r="G59" s="12" t="str">
        <f ca="1">VLOOKUP(F59,Table9[[Native]:[Population4]],5,FALSE)</f>
        <v>海东市</v>
      </c>
    </row>
    <row r="60" spans="1:7" ht="15.75" thickBot="1" x14ac:dyDescent="0.3">
      <c r="A60" t="s">
        <v>294</v>
      </c>
      <c r="B60" s="1" t="s">
        <v>295</v>
      </c>
      <c r="C60" s="1" t="s">
        <v>19</v>
      </c>
      <c r="D60" s="1" t="s">
        <v>201</v>
      </c>
      <c r="E60" s="3">
        <v>75934</v>
      </c>
      <c r="F60" s="1" t="str">
        <f>VLOOKUP(D60,Table9[[Name]:[Native]],3,FALSE)</f>
        <v>乐都区</v>
      </c>
      <c r="G60" s="12" t="str">
        <f ca="1">VLOOKUP(F60,Table9[[Native]:[Population4]],5,FALSE)</f>
        <v>海东市</v>
      </c>
    </row>
    <row r="61" spans="1:7" ht="15.75" thickBot="1" x14ac:dyDescent="0.3">
      <c r="A61" t="s">
        <v>296</v>
      </c>
      <c r="B61" s="1" t="s">
        <v>297</v>
      </c>
      <c r="C61" s="1" t="s">
        <v>19</v>
      </c>
      <c r="D61" s="1" t="s">
        <v>186</v>
      </c>
      <c r="E61" s="3">
        <v>57152</v>
      </c>
      <c r="F61" s="1" t="str">
        <f>VLOOKUP(D61,Table9[[Name]:[Native]],3,FALSE)</f>
        <v>平安区</v>
      </c>
      <c r="G61" s="12" t="str">
        <f ca="1">VLOOKUP(F61,Table9[[Native]:[Population4]],5,FALSE)</f>
        <v>海东市</v>
      </c>
    </row>
    <row r="62" spans="1:7" ht="15.75" thickBot="1" x14ac:dyDescent="0.3">
      <c r="A62" t="s">
        <v>298</v>
      </c>
      <c r="B62" s="1" t="s">
        <v>299</v>
      </c>
      <c r="C62" s="1" t="s">
        <v>7</v>
      </c>
      <c r="D62" s="1" t="s">
        <v>201</v>
      </c>
      <c r="E62" s="3">
        <v>11803</v>
      </c>
      <c r="F62" s="1" t="str">
        <f>VLOOKUP(D62,Table9[[Name]:[Native]],3,FALSE)</f>
        <v>乐都区</v>
      </c>
      <c r="G62" s="12" t="str">
        <f ca="1">VLOOKUP(F62,Table9[[Native]:[Population4]],5,FALSE)</f>
        <v>海东市</v>
      </c>
    </row>
    <row r="63" spans="1:7" ht="15.75" thickBot="1" x14ac:dyDescent="0.3">
      <c r="A63" t="s">
        <v>300</v>
      </c>
      <c r="B63" s="1" t="s">
        <v>301</v>
      </c>
      <c r="C63" s="1" t="s">
        <v>7</v>
      </c>
      <c r="D63" s="1" t="s">
        <v>192</v>
      </c>
      <c r="E63" s="3">
        <v>8797</v>
      </c>
      <c r="F63" s="1" t="str">
        <f>VLOOKUP(D63,Table9[[Name]:[Native]],3,FALSE)</f>
        <v>民和回族土族自治县</v>
      </c>
      <c r="G63" s="12" t="str">
        <f ca="1">VLOOKUP(F63,Table9[[Native]:[Population4]],5,FALSE)</f>
        <v>海东市</v>
      </c>
    </row>
    <row r="64" spans="1:7" ht="15.75" thickBot="1" x14ac:dyDescent="0.3">
      <c r="A64" t="s">
        <v>302</v>
      </c>
      <c r="B64" s="1" t="s">
        <v>303</v>
      </c>
      <c r="C64" s="1" t="s">
        <v>7</v>
      </c>
      <c r="D64" s="1" t="s">
        <v>181</v>
      </c>
      <c r="E64" s="3">
        <v>13545</v>
      </c>
      <c r="F64" s="1" t="str">
        <f>VLOOKUP(D64,Table9[[Name]:[Native]],3,FALSE)</f>
        <v>循化撒拉族自治县</v>
      </c>
      <c r="G64" s="12" t="str">
        <f ca="1">VLOOKUP(F64,Table9[[Native]:[Population4]],5,FALSE)</f>
        <v>海东市</v>
      </c>
    </row>
    <row r="65" spans="1:7" ht="15.75" thickBot="1" x14ac:dyDescent="0.3">
      <c r="A65" t="s">
        <v>304</v>
      </c>
      <c r="B65" s="1" t="s">
        <v>305</v>
      </c>
      <c r="C65" s="1" t="s">
        <v>19</v>
      </c>
      <c r="D65" s="1" t="s">
        <v>176</v>
      </c>
      <c r="E65" s="3">
        <v>23400</v>
      </c>
      <c r="F65" s="1" t="str">
        <f>VLOOKUP(D65,Table9[[Name]:[Native]],3,FALSE)</f>
        <v>化隆回族自治县</v>
      </c>
      <c r="G65" s="12" t="str">
        <f ca="1">VLOOKUP(F65,Table9[[Native]:[Population4]],5,FALSE)</f>
        <v>海东市</v>
      </c>
    </row>
    <row r="66" spans="1:7" ht="15.75" thickBot="1" x14ac:dyDescent="0.3">
      <c r="A66" t="s">
        <v>306</v>
      </c>
      <c r="B66" s="1" t="s">
        <v>307</v>
      </c>
      <c r="C66" s="1" t="s">
        <v>19</v>
      </c>
      <c r="D66" s="1" t="s">
        <v>186</v>
      </c>
      <c r="E66" s="3">
        <v>8411</v>
      </c>
      <c r="F66" s="1" t="str">
        <f>VLOOKUP(D66,Table9[[Name]:[Native]],3,FALSE)</f>
        <v>平安区</v>
      </c>
      <c r="G66" s="12" t="str">
        <f ca="1">VLOOKUP(F66,Table9[[Native]:[Population4]],5,FALSE)</f>
        <v>海东市</v>
      </c>
    </row>
    <row r="67" spans="1:7" ht="15.75" thickBot="1" x14ac:dyDescent="0.3">
      <c r="A67" t="s">
        <v>308</v>
      </c>
      <c r="B67" s="1" t="s">
        <v>309</v>
      </c>
      <c r="C67" s="1" t="s">
        <v>7</v>
      </c>
      <c r="D67" s="1" t="s">
        <v>186</v>
      </c>
      <c r="E67" s="3">
        <v>7496</v>
      </c>
      <c r="F67" s="1" t="str">
        <f>VLOOKUP(D67,Table9[[Name]:[Native]],3,FALSE)</f>
        <v>平安区</v>
      </c>
      <c r="G67" s="12" t="str">
        <f ca="1">VLOOKUP(F67,Table9[[Native]:[Population4]],5,FALSE)</f>
        <v>海东市</v>
      </c>
    </row>
    <row r="68" spans="1:7" ht="15.75" thickBot="1" x14ac:dyDescent="0.3">
      <c r="A68" t="s">
        <v>310</v>
      </c>
      <c r="B68" s="1" t="s">
        <v>311</v>
      </c>
      <c r="C68" s="1" t="s">
        <v>7</v>
      </c>
      <c r="D68" s="1" t="s">
        <v>176</v>
      </c>
      <c r="E68" s="3">
        <v>4106</v>
      </c>
      <c r="F68" s="1" t="str">
        <f>VLOOKUP(D68,Table9[[Name]:[Native]],3,FALSE)</f>
        <v>化隆回族自治县</v>
      </c>
      <c r="G68" s="12" t="str">
        <f ca="1">VLOOKUP(F68,Table9[[Native]:[Population4]],5,FALSE)</f>
        <v>海东市</v>
      </c>
    </row>
    <row r="69" spans="1:7" ht="15.75" thickBot="1" x14ac:dyDescent="0.3">
      <c r="A69" t="s">
        <v>312</v>
      </c>
      <c r="B69" s="1" t="s">
        <v>313</v>
      </c>
      <c r="C69" s="1" t="s">
        <v>7</v>
      </c>
      <c r="D69" s="1" t="s">
        <v>176</v>
      </c>
      <c r="E69" s="3">
        <v>5721</v>
      </c>
      <c r="F69" s="1" t="str">
        <f>VLOOKUP(D69,Table9[[Name]:[Native]],3,FALSE)</f>
        <v>化隆回族自治县</v>
      </c>
      <c r="G69" s="12" t="str">
        <f ca="1">VLOOKUP(F69,Table9[[Native]:[Population4]],5,FALSE)</f>
        <v>海东市</v>
      </c>
    </row>
    <row r="70" spans="1:7" ht="15.75" thickBot="1" x14ac:dyDescent="0.3">
      <c r="A70" t="s">
        <v>314</v>
      </c>
      <c r="B70" s="1" t="s">
        <v>315</v>
      </c>
      <c r="C70" s="1" t="s">
        <v>7</v>
      </c>
      <c r="D70" s="1" t="s">
        <v>186</v>
      </c>
      <c r="E70" s="3">
        <v>4849</v>
      </c>
      <c r="F70" s="1" t="str">
        <f>VLOOKUP(D70,Table9[[Name]:[Native]],3,FALSE)</f>
        <v>平安区</v>
      </c>
      <c r="G70" s="12" t="str">
        <f ca="1">VLOOKUP(F70,Table9[[Native]:[Population4]],5,FALSE)</f>
        <v>海东市</v>
      </c>
    </row>
    <row r="71" spans="1:7" ht="15.75" thickBot="1" x14ac:dyDescent="0.3">
      <c r="A71" t="s">
        <v>316</v>
      </c>
      <c r="B71" s="1" t="s">
        <v>317</v>
      </c>
      <c r="C71" s="1" t="s">
        <v>19</v>
      </c>
      <c r="D71" s="1" t="s">
        <v>201</v>
      </c>
      <c r="E71" s="3">
        <v>22227</v>
      </c>
      <c r="F71" s="1" t="str">
        <f>VLOOKUP(D71,Table9[[Name]:[Native]],3,FALSE)</f>
        <v>乐都区</v>
      </c>
      <c r="G71" s="12" t="str">
        <f ca="1">VLOOKUP(F71,Table9[[Native]:[Population4]],5,FALSE)</f>
        <v>海东市</v>
      </c>
    </row>
    <row r="72" spans="1:7" ht="15.75" thickBot="1" x14ac:dyDescent="0.3">
      <c r="A72" t="s">
        <v>318</v>
      </c>
      <c r="B72" s="1" t="s">
        <v>319</v>
      </c>
      <c r="C72" s="1" t="s">
        <v>7</v>
      </c>
      <c r="D72" s="1" t="s">
        <v>189</v>
      </c>
      <c r="E72" s="3">
        <v>5821</v>
      </c>
      <c r="F72" s="1" t="str">
        <f>VLOOKUP(D72,Table9[[Name]:[Native]],3,FALSE)</f>
        <v>互助土族自治县</v>
      </c>
      <c r="G72" s="12" t="str">
        <f ca="1">VLOOKUP(F72,Table9[[Native]:[Population4]],5,FALSE)</f>
        <v>海东市</v>
      </c>
    </row>
    <row r="73" spans="1:7" ht="15.75" thickBot="1" x14ac:dyDescent="0.3">
      <c r="A73" t="s">
        <v>320</v>
      </c>
      <c r="B73" s="1" t="s">
        <v>321</v>
      </c>
      <c r="C73" s="1" t="s">
        <v>7</v>
      </c>
      <c r="D73" s="1" t="s">
        <v>192</v>
      </c>
      <c r="E73" s="3">
        <v>6709</v>
      </c>
      <c r="F73" s="1" t="str">
        <f>VLOOKUP(D73,Table9[[Name]:[Native]],3,FALSE)</f>
        <v>民和回族土族自治县</v>
      </c>
      <c r="G73" s="12" t="str">
        <f ca="1">VLOOKUP(F73,Table9[[Native]:[Population4]],5,FALSE)</f>
        <v>海东市</v>
      </c>
    </row>
    <row r="74" spans="1:7" ht="15.75" thickBot="1" x14ac:dyDescent="0.3">
      <c r="A74" t="s">
        <v>322</v>
      </c>
      <c r="B74" s="1" t="s">
        <v>323</v>
      </c>
      <c r="C74" s="1" t="s">
        <v>7</v>
      </c>
      <c r="D74" s="1" t="s">
        <v>189</v>
      </c>
      <c r="E74" s="3">
        <v>20425</v>
      </c>
      <c r="F74" s="1" t="str">
        <f>VLOOKUP(D74,Table9[[Name]:[Native]],3,FALSE)</f>
        <v>互助土族自治县</v>
      </c>
      <c r="G74" s="12" t="str">
        <f ca="1">VLOOKUP(F74,Table9[[Native]:[Population4]],5,FALSE)</f>
        <v>海东市</v>
      </c>
    </row>
    <row r="75" spans="1:7" ht="15.75" thickBot="1" x14ac:dyDescent="0.3">
      <c r="A75" t="s">
        <v>324</v>
      </c>
      <c r="B75" s="1" t="s">
        <v>325</v>
      </c>
      <c r="C75" s="1" t="s">
        <v>7</v>
      </c>
      <c r="D75" s="1" t="s">
        <v>176</v>
      </c>
      <c r="E75" s="3">
        <v>3938</v>
      </c>
      <c r="F75" s="1" t="str">
        <f>VLOOKUP(D75,Table9[[Name]:[Native]],3,FALSE)</f>
        <v>化隆回族自治县</v>
      </c>
      <c r="G75" s="12" t="str">
        <f ca="1">VLOOKUP(F75,Table9[[Native]:[Population4]],5,FALSE)</f>
        <v>海东市</v>
      </c>
    </row>
    <row r="76" spans="1:7" ht="15.75" thickBot="1" x14ac:dyDescent="0.3">
      <c r="A76" t="s">
        <v>326</v>
      </c>
      <c r="B76" s="1" t="s">
        <v>327</v>
      </c>
      <c r="C76" s="1" t="s">
        <v>19</v>
      </c>
      <c r="D76" s="1" t="s">
        <v>189</v>
      </c>
      <c r="E76" s="3">
        <v>38407</v>
      </c>
      <c r="F76" s="1" t="str">
        <f>VLOOKUP(D76,Table9[[Name]:[Native]],3,FALSE)</f>
        <v>互助土族自治县</v>
      </c>
      <c r="G76" s="12" t="str">
        <f ca="1">VLOOKUP(F76,Table9[[Native]:[Population4]],5,FALSE)</f>
        <v>海东市</v>
      </c>
    </row>
    <row r="77" spans="1:7" ht="15.75" thickBot="1" x14ac:dyDescent="0.3">
      <c r="A77" t="s">
        <v>328</v>
      </c>
      <c r="B77" s="1" t="s">
        <v>329</v>
      </c>
      <c r="C77" s="1" t="s">
        <v>19</v>
      </c>
      <c r="D77" s="1" t="s">
        <v>189</v>
      </c>
      <c r="E77" s="3">
        <v>66490</v>
      </c>
      <c r="F77" s="1" t="str">
        <f>VLOOKUP(D77,Table9[[Name]:[Native]],3,FALSE)</f>
        <v>互助土族自治县</v>
      </c>
      <c r="G77" s="12" t="str">
        <f ca="1">VLOOKUP(F77,Table9[[Native]:[Population4]],5,FALSE)</f>
        <v>海东市</v>
      </c>
    </row>
    <row r="78" spans="1:7" ht="15.75" thickBot="1" x14ac:dyDescent="0.3">
      <c r="A78" t="s">
        <v>330</v>
      </c>
      <c r="B78" s="1" t="s">
        <v>331</v>
      </c>
      <c r="C78" s="1" t="s">
        <v>7</v>
      </c>
      <c r="D78" s="1" t="s">
        <v>181</v>
      </c>
      <c r="E78" s="3">
        <v>8677</v>
      </c>
      <c r="F78" s="1" t="str">
        <f>VLOOKUP(D78,Table9[[Name]:[Native]],3,FALSE)</f>
        <v>循化撒拉族自治县</v>
      </c>
      <c r="G78" s="12" t="str">
        <f ca="1">VLOOKUP(F78,Table9[[Native]:[Population4]],5,FALSE)</f>
        <v>海东市</v>
      </c>
    </row>
    <row r="79" spans="1:7" ht="15.75" thickBot="1" x14ac:dyDescent="0.3">
      <c r="A79" t="s">
        <v>332</v>
      </c>
      <c r="B79" s="1" t="s">
        <v>333</v>
      </c>
      <c r="C79" s="1" t="s">
        <v>19</v>
      </c>
      <c r="D79" s="1" t="s">
        <v>189</v>
      </c>
      <c r="E79" s="3">
        <v>22775</v>
      </c>
      <c r="F79" s="1" t="str">
        <f>VLOOKUP(D79,Table9[[Name]:[Native]],3,FALSE)</f>
        <v>互助土族自治县</v>
      </c>
      <c r="G79" s="12" t="str">
        <f ca="1">VLOOKUP(F79,Table9[[Native]:[Population4]],5,FALSE)</f>
        <v>海东市</v>
      </c>
    </row>
    <row r="80" spans="1:7" ht="15.75" thickBot="1" x14ac:dyDescent="0.3">
      <c r="A80" t="s">
        <v>334</v>
      </c>
      <c r="B80" s="1" t="s">
        <v>335</v>
      </c>
      <c r="C80" s="1" t="s">
        <v>19</v>
      </c>
      <c r="D80" s="1" t="s">
        <v>189</v>
      </c>
      <c r="E80" s="3">
        <v>18067</v>
      </c>
      <c r="F80" s="1" t="str">
        <f>VLOOKUP(D80,Table9[[Name]:[Native]],3,FALSE)</f>
        <v>互助土族自治县</v>
      </c>
      <c r="G80" s="12" t="str">
        <f ca="1">VLOOKUP(F80,Table9[[Native]:[Population4]],5,FALSE)</f>
        <v>海东市</v>
      </c>
    </row>
    <row r="81" spans="1:7" ht="15.75" thickBot="1" x14ac:dyDescent="0.3">
      <c r="A81" t="s">
        <v>336</v>
      </c>
      <c r="B81" s="1" t="s">
        <v>337</v>
      </c>
      <c r="C81" s="1" t="s">
        <v>19</v>
      </c>
      <c r="D81" s="1" t="s">
        <v>192</v>
      </c>
      <c r="E81" s="3">
        <v>12483</v>
      </c>
      <c r="F81" s="1" t="str">
        <f>VLOOKUP(D81,Table9[[Name]:[Native]],3,FALSE)</f>
        <v>民和回族土族自治县</v>
      </c>
      <c r="G81" s="12" t="str">
        <f ca="1">VLOOKUP(F81,Table9[[Native]:[Population4]],5,FALSE)</f>
        <v>海东市</v>
      </c>
    </row>
    <row r="82" spans="1:7" ht="15.75" thickBot="1" x14ac:dyDescent="0.3">
      <c r="A82" t="s">
        <v>338</v>
      </c>
      <c r="B82" s="1" t="s">
        <v>339</v>
      </c>
      <c r="C82" s="1" t="s">
        <v>19</v>
      </c>
      <c r="D82" s="1" t="s">
        <v>186</v>
      </c>
      <c r="E82" s="3">
        <v>10623</v>
      </c>
      <c r="F82" s="1" t="str">
        <f>VLOOKUP(D82,Table9[[Name]:[Native]],3,FALSE)</f>
        <v>平安区</v>
      </c>
      <c r="G82" s="12" t="str">
        <f ca="1">VLOOKUP(F82,Table9[[Native]:[Population4]],5,FALSE)</f>
        <v>海东市</v>
      </c>
    </row>
    <row r="83" spans="1:7" ht="15.75" thickBot="1" x14ac:dyDescent="0.3">
      <c r="A83" t="s">
        <v>340</v>
      </c>
      <c r="B83" s="1" t="s">
        <v>341</v>
      </c>
      <c r="C83" s="1" t="s">
        <v>7</v>
      </c>
      <c r="D83" s="1" t="s">
        <v>201</v>
      </c>
      <c r="E83" s="3">
        <v>3635</v>
      </c>
      <c r="F83" s="1" t="str">
        <f>VLOOKUP(D83,Table9[[Name]:[Native]],3,FALSE)</f>
        <v>乐都区</v>
      </c>
      <c r="G83" s="12" t="str">
        <f ca="1">VLOOKUP(F83,Table9[[Native]:[Population4]],5,FALSE)</f>
        <v>海东市</v>
      </c>
    </row>
    <row r="84" spans="1:7" ht="15.75" thickBot="1" x14ac:dyDescent="0.3">
      <c r="A84" t="s">
        <v>342</v>
      </c>
      <c r="B84" s="1" t="s">
        <v>343</v>
      </c>
      <c r="C84" s="1" t="s">
        <v>7</v>
      </c>
      <c r="D84" s="1" t="s">
        <v>176</v>
      </c>
      <c r="E84" s="3">
        <v>6671</v>
      </c>
      <c r="F84" s="1" t="str">
        <f>VLOOKUP(D84,Table9[[Name]:[Native]],3,FALSE)</f>
        <v>化隆回族自治县</v>
      </c>
      <c r="G84" s="12" t="str">
        <f ca="1">VLOOKUP(F84,Table9[[Native]:[Population4]],5,FALSE)</f>
        <v>海东市</v>
      </c>
    </row>
    <row r="85" spans="1:7" ht="15.75" thickBot="1" x14ac:dyDescent="0.3">
      <c r="A85" t="s">
        <v>344</v>
      </c>
      <c r="B85" s="1" t="s">
        <v>345</v>
      </c>
      <c r="C85" s="1" t="s">
        <v>7</v>
      </c>
      <c r="D85" s="1" t="s">
        <v>192</v>
      </c>
      <c r="E85" s="3">
        <v>19442</v>
      </c>
      <c r="F85" s="1" t="str">
        <f>VLOOKUP(D85,Table9[[Name]:[Native]],3,FALSE)</f>
        <v>民和回族土族自治县</v>
      </c>
      <c r="G85" s="12" t="str">
        <f ca="1">VLOOKUP(F85,Table9[[Native]:[Population4]],5,FALSE)</f>
        <v>海东市</v>
      </c>
    </row>
    <row r="86" spans="1:7" ht="15.75" thickBot="1" x14ac:dyDescent="0.3">
      <c r="A86" t="s">
        <v>346</v>
      </c>
      <c r="B86" s="1" t="s">
        <v>347</v>
      </c>
      <c r="C86" s="1" t="s">
        <v>7</v>
      </c>
      <c r="D86" s="1" t="s">
        <v>192</v>
      </c>
      <c r="E86" s="3">
        <v>4088</v>
      </c>
      <c r="F86" s="1" t="str">
        <f>VLOOKUP(D86,Table9[[Name]:[Native]],3,FALSE)</f>
        <v>民和回族土族自治县</v>
      </c>
      <c r="G86" s="12" t="str">
        <f ca="1">VLOOKUP(F86,Table9[[Native]:[Population4]],5,FALSE)</f>
        <v>海东市</v>
      </c>
    </row>
    <row r="87" spans="1:7" ht="15.75" thickBot="1" x14ac:dyDescent="0.3">
      <c r="A87" t="s">
        <v>348</v>
      </c>
      <c r="B87" s="1" t="s">
        <v>349</v>
      </c>
      <c r="C87" s="1" t="s">
        <v>7</v>
      </c>
      <c r="D87" s="1" t="s">
        <v>192</v>
      </c>
      <c r="E87" s="3">
        <v>7022</v>
      </c>
      <c r="F87" s="1" t="str">
        <f>VLOOKUP(D87,Table9[[Name]:[Native]],3,FALSE)</f>
        <v>民和回族土族自治县</v>
      </c>
      <c r="G87" s="12" t="str">
        <f ca="1">VLOOKUP(F87,Table9[[Native]:[Population4]],5,FALSE)</f>
        <v>海东市</v>
      </c>
    </row>
    <row r="88" spans="1:7" ht="15.75" thickBot="1" x14ac:dyDescent="0.3">
      <c r="A88" t="s">
        <v>350</v>
      </c>
      <c r="B88" s="1" t="s">
        <v>351</v>
      </c>
      <c r="C88" s="1" t="s">
        <v>7</v>
      </c>
      <c r="D88" s="1" t="s">
        <v>176</v>
      </c>
      <c r="E88" s="3">
        <v>8233</v>
      </c>
      <c r="F88" s="1" t="str">
        <f>VLOOKUP(D88,Table9[[Name]:[Native]],3,FALSE)</f>
        <v>化隆回族自治县</v>
      </c>
      <c r="G88" s="12" t="str">
        <f ca="1">VLOOKUP(F88,Table9[[Native]:[Population4]],5,FALSE)</f>
        <v>海东市</v>
      </c>
    </row>
    <row r="89" spans="1:7" ht="15.75" thickBot="1" x14ac:dyDescent="0.3">
      <c r="A89" t="s">
        <v>352</v>
      </c>
      <c r="B89" s="1" t="s">
        <v>353</v>
      </c>
      <c r="C89" s="1" t="s">
        <v>7</v>
      </c>
      <c r="D89" s="1" t="s">
        <v>189</v>
      </c>
      <c r="E89" s="3">
        <v>17514</v>
      </c>
      <c r="F89" s="1" t="str">
        <f>VLOOKUP(D89,Table9[[Name]:[Native]],3,FALSE)</f>
        <v>互助土族自治县</v>
      </c>
      <c r="G89" s="12" t="str">
        <f ca="1">VLOOKUP(F89,Table9[[Native]:[Population4]],5,FALSE)</f>
        <v>海东市</v>
      </c>
    </row>
    <row r="90" spans="1:7" ht="15.75" thickBot="1" x14ac:dyDescent="0.3">
      <c r="A90" t="s">
        <v>354</v>
      </c>
      <c r="B90" s="1" t="s">
        <v>355</v>
      </c>
      <c r="C90" s="1" t="s">
        <v>19</v>
      </c>
      <c r="D90" s="1" t="s">
        <v>176</v>
      </c>
      <c r="E90" s="3">
        <v>13580</v>
      </c>
      <c r="F90" s="1" t="str">
        <f>VLOOKUP(D90,Table9[[Name]:[Native]],3,FALSE)</f>
        <v>化隆回族自治县</v>
      </c>
      <c r="G90" s="12" t="str">
        <f ca="1">VLOOKUP(F90,Table9[[Native]:[Population4]],5,FALSE)</f>
        <v>海东市</v>
      </c>
    </row>
    <row r="91" spans="1:7" ht="15.75" thickBot="1" x14ac:dyDescent="0.3">
      <c r="A91" t="s">
        <v>356</v>
      </c>
      <c r="B91" s="1" t="s">
        <v>357</v>
      </c>
      <c r="C91" s="1" t="s">
        <v>19</v>
      </c>
      <c r="D91" s="1" t="s">
        <v>201</v>
      </c>
      <c r="E91" s="3">
        <v>14515</v>
      </c>
      <c r="F91" s="1" t="str">
        <f>VLOOKUP(D91,Table9[[Name]:[Native]],3,FALSE)</f>
        <v>乐都区</v>
      </c>
      <c r="G91" s="12" t="str">
        <f ca="1">VLOOKUP(F91,Table9[[Native]:[Population4]],5,FALSE)</f>
        <v>海东市</v>
      </c>
    </row>
    <row r="92" spans="1:7" ht="15.75" thickBot="1" x14ac:dyDescent="0.3">
      <c r="A92" t="s">
        <v>358</v>
      </c>
      <c r="B92" s="1" t="s">
        <v>359</v>
      </c>
      <c r="C92" s="1" t="s">
        <v>19</v>
      </c>
      <c r="D92" s="1" t="s">
        <v>176</v>
      </c>
      <c r="E92" s="3">
        <v>19032</v>
      </c>
      <c r="F92" s="1" t="str">
        <f>VLOOKUP(D92,Table9[[Name]:[Native]],3,FALSE)</f>
        <v>化隆回族自治县</v>
      </c>
      <c r="G92" s="12" t="str">
        <f ca="1">VLOOKUP(F92,Table9[[Native]:[Population4]],5,FALSE)</f>
        <v>海东市</v>
      </c>
    </row>
    <row r="93" spans="1:7" ht="15.75" thickBot="1" x14ac:dyDescent="0.3">
      <c r="A93" t="s">
        <v>360</v>
      </c>
      <c r="B93" s="1" t="s">
        <v>361</v>
      </c>
      <c r="C93" s="1" t="s">
        <v>7</v>
      </c>
      <c r="D93" s="1" t="s">
        <v>201</v>
      </c>
      <c r="E93" s="3">
        <v>6689</v>
      </c>
      <c r="F93" s="1" t="str">
        <f>VLOOKUP(D93,Table9[[Name]:[Native]],3,FALSE)</f>
        <v>乐都区</v>
      </c>
      <c r="G93" s="12" t="str">
        <f ca="1">VLOOKUP(F93,Table9[[Native]:[Population4]],5,FALSE)</f>
        <v>海东市</v>
      </c>
    </row>
    <row r="94" spans="1:7" ht="15.75" thickBot="1" x14ac:dyDescent="0.3">
      <c r="A94" t="s">
        <v>362</v>
      </c>
      <c r="B94" s="1" t="s">
        <v>363</v>
      </c>
      <c r="C94" s="1" t="s">
        <v>7</v>
      </c>
      <c r="D94" s="1" t="s">
        <v>192</v>
      </c>
      <c r="E94" s="3">
        <v>24130</v>
      </c>
      <c r="F94" s="1" t="str">
        <f>VLOOKUP(D94,Table9[[Name]:[Native]],3,FALSE)</f>
        <v>民和回族土族自治县</v>
      </c>
      <c r="G94" s="12" t="str">
        <f ca="1">VLOOKUP(F94,Table9[[Native]:[Population4]],5,FALSE)</f>
        <v>海东市</v>
      </c>
    </row>
    <row r="95" spans="1:7" ht="15.75" thickBot="1" x14ac:dyDescent="0.3">
      <c r="A95" t="s">
        <v>364</v>
      </c>
      <c r="B95" s="1" t="s">
        <v>365</v>
      </c>
      <c r="C95" s="1" t="s">
        <v>7</v>
      </c>
      <c r="D95" s="1" t="s">
        <v>201</v>
      </c>
      <c r="E95" s="3">
        <v>5823</v>
      </c>
      <c r="F95" s="1" t="str">
        <f>VLOOKUP(D95,Table9[[Name]:[Native]],3,FALSE)</f>
        <v>乐都区</v>
      </c>
      <c r="G95" s="12" t="str">
        <f ca="1">VLOOKUP(F95,Table9[[Native]:[Population4]],5,FALSE)</f>
        <v>海东市</v>
      </c>
    </row>
    <row r="96" spans="1:7" ht="15.75" thickBot="1" x14ac:dyDescent="0.3">
      <c r="A96" t="s">
        <v>366</v>
      </c>
      <c r="B96" s="1" t="s">
        <v>367</v>
      </c>
      <c r="C96" s="1" t="s">
        <v>7</v>
      </c>
      <c r="D96" s="1" t="s">
        <v>192</v>
      </c>
      <c r="E96" s="3">
        <v>15074</v>
      </c>
      <c r="F96" s="1" t="str">
        <f>VLOOKUP(D96,Table9[[Name]:[Native]],3,FALSE)</f>
        <v>民和回族土族自治县</v>
      </c>
      <c r="G96" s="12" t="str">
        <f ca="1">VLOOKUP(F96,Table9[[Native]:[Population4]],5,FALSE)</f>
        <v>海东市</v>
      </c>
    </row>
    <row r="97" spans="1:7" ht="15.75" thickBot="1" x14ac:dyDescent="0.3">
      <c r="A97" t="s">
        <v>368</v>
      </c>
      <c r="B97" s="1" t="s">
        <v>369</v>
      </c>
      <c r="C97" s="1" t="s">
        <v>7</v>
      </c>
      <c r="D97" s="1" t="s">
        <v>192</v>
      </c>
      <c r="E97" s="3">
        <v>12176</v>
      </c>
      <c r="F97" s="9" t="str">
        <f>VLOOKUP(D97,Table9[[Name]:[Native]],3,FALSE)</f>
        <v>民和回族土族自治县</v>
      </c>
      <c r="G97" s="12" t="str">
        <f ca="1">VLOOKUP(F97,Table9[[Native]:[Population4]],5,FALSE)</f>
        <v>海东市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D2999-639B-43FA-A006-6D142C435590}">
  <dimension ref="A1:G44"/>
  <sheetViews>
    <sheetView workbookViewId="0">
      <selection activeCell="A2" sqref="A2:G4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945</v>
      </c>
      <c r="G1" t="s">
        <v>947</v>
      </c>
    </row>
    <row r="2" spans="1:7" ht="15.75" thickBot="1" x14ac:dyDescent="0.3">
      <c r="A2" t="s">
        <v>370</v>
      </c>
      <c r="B2" s="1" t="s">
        <v>371</v>
      </c>
      <c r="C2" s="1" t="s">
        <v>133</v>
      </c>
      <c r="D2" s="1" t="s">
        <v>372</v>
      </c>
      <c r="E2" s="3">
        <v>29</v>
      </c>
      <c r="F2" s="8" t="str">
        <f>VLOOKUP(D2,Table9[[Name]:[Native]],3,FALSE)</f>
        <v>共和县</v>
      </c>
      <c r="G2" s="12" t="str">
        <f ca="1">VLOOKUP(F2,Table9[[Native]:[Population4]],5,FALSE)</f>
        <v>海南藏族自治州</v>
      </c>
    </row>
    <row r="3" spans="1:7" ht="15.75" thickBot="1" x14ac:dyDescent="0.3">
      <c r="A3" t="s">
        <v>373</v>
      </c>
      <c r="B3" s="1" t="s">
        <v>374</v>
      </c>
      <c r="C3" s="1" t="s">
        <v>7</v>
      </c>
      <c r="D3" s="1" t="s">
        <v>375</v>
      </c>
      <c r="E3" s="3">
        <v>8140</v>
      </c>
      <c r="F3" s="1" t="str">
        <f>VLOOKUP(D3,Table9[[Name]:[Native]],3,FALSE)</f>
        <v>同德县</v>
      </c>
      <c r="G3" s="12" t="str">
        <f ca="1">VLOOKUP(F3,Table9[[Native]:[Population4]],5,FALSE)</f>
        <v>海南藏族自治州</v>
      </c>
    </row>
    <row r="4" spans="1:7" ht="15.75" thickBot="1" x14ac:dyDescent="0.3">
      <c r="A4" t="s">
        <v>376</v>
      </c>
      <c r="B4" s="1" t="s">
        <v>377</v>
      </c>
      <c r="C4" s="1" t="s">
        <v>133</v>
      </c>
      <c r="D4" s="1" t="s">
        <v>372</v>
      </c>
      <c r="E4" s="3">
        <v>246</v>
      </c>
      <c r="F4" s="1" t="str">
        <f>VLOOKUP(D4,Table9[[Name]:[Native]],3,FALSE)</f>
        <v>共和县</v>
      </c>
      <c r="G4" s="12" t="str">
        <f ca="1">VLOOKUP(F4,Table9[[Native]:[Population4]],5,FALSE)</f>
        <v>海南藏族自治州</v>
      </c>
    </row>
    <row r="5" spans="1:7" ht="15.75" thickBot="1" x14ac:dyDescent="0.3">
      <c r="A5" t="s">
        <v>378</v>
      </c>
      <c r="B5" s="1" t="s">
        <v>379</v>
      </c>
      <c r="C5" s="1" t="s">
        <v>19</v>
      </c>
      <c r="D5" s="1" t="s">
        <v>380</v>
      </c>
      <c r="E5" s="3">
        <v>16703</v>
      </c>
      <c r="F5" s="1" t="str">
        <f>VLOOKUP(D5,Table9[[Name]:[Native]],3,FALSE)</f>
        <v>贵德县</v>
      </c>
      <c r="G5" s="12" t="str">
        <f ca="1">VLOOKUP(F5,Table9[[Native]:[Population4]],5,FALSE)</f>
        <v>海南藏族自治州</v>
      </c>
    </row>
    <row r="6" spans="1:7" ht="15.75" thickBot="1" x14ac:dyDescent="0.3">
      <c r="A6" t="s">
        <v>381</v>
      </c>
      <c r="B6" s="1" t="s">
        <v>382</v>
      </c>
      <c r="C6" s="1" t="s">
        <v>19</v>
      </c>
      <c r="D6" s="1" t="s">
        <v>372</v>
      </c>
      <c r="E6" s="3">
        <v>10437</v>
      </c>
      <c r="F6" s="1" t="str">
        <f>VLOOKUP(D6,Table9[[Name]:[Native]],3,FALSE)</f>
        <v>共和县</v>
      </c>
      <c r="G6" s="12" t="str">
        <f ca="1">VLOOKUP(F6,Table9[[Native]:[Population4]],5,FALSE)</f>
        <v>海南藏族自治州</v>
      </c>
    </row>
    <row r="7" spans="1:7" ht="15.75" thickBot="1" x14ac:dyDescent="0.3">
      <c r="A7" t="s">
        <v>383</v>
      </c>
      <c r="B7" s="1" t="s">
        <v>384</v>
      </c>
      <c r="C7" s="1" t="s">
        <v>19</v>
      </c>
      <c r="D7" s="1" t="s">
        <v>375</v>
      </c>
      <c r="E7" s="3">
        <v>27742</v>
      </c>
      <c r="F7" s="1" t="str">
        <f>VLOOKUP(D7,Table9[[Name]:[Native]],3,FALSE)</f>
        <v>同德县</v>
      </c>
      <c r="G7" s="12" t="str">
        <f ca="1">VLOOKUP(F7,Table9[[Native]:[Population4]],5,FALSE)</f>
        <v>海南藏族自治州</v>
      </c>
    </row>
    <row r="8" spans="1:7" ht="15.75" thickBot="1" x14ac:dyDescent="0.3">
      <c r="A8" t="s">
        <v>385</v>
      </c>
      <c r="B8" s="1" t="s">
        <v>386</v>
      </c>
      <c r="C8" s="1" t="s">
        <v>7</v>
      </c>
      <c r="D8" s="1" t="s">
        <v>380</v>
      </c>
      <c r="E8" s="3">
        <v>12789</v>
      </c>
      <c r="F8" s="1" t="str">
        <f>VLOOKUP(D8,Table9[[Name]:[Native]],3,FALSE)</f>
        <v>贵德县</v>
      </c>
      <c r="G8" s="12" t="str">
        <f ca="1">VLOOKUP(F8,Table9[[Native]:[Population4]],5,FALSE)</f>
        <v>海南藏族自治州</v>
      </c>
    </row>
    <row r="9" spans="1:7" ht="15.75" thickBot="1" x14ac:dyDescent="0.3">
      <c r="A9" t="s">
        <v>387</v>
      </c>
      <c r="B9" s="1" t="s">
        <v>388</v>
      </c>
      <c r="C9" s="1" t="s">
        <v>133</v>
      </c>
      <c r="D9" s="1" t="s">
        <v>389</v>
      </c>
      <c r="E9" s="3">
        <v>8314</v>
      </c>
      <c r="F9" s="1" t="str">
        <f>VLOOKUP(D9,Table9[[Name]:[Native]],3,FALSE)</f>
        <v>贵南县</v>
      </c>
      <c r="G9" s="12" t="str">
        <f ca="1">VLOOKUP(F9,Table9[[Native]:[Population4]],5,FALSE)</f>
        <v>海南藏族自治州</v>
      </c>
    </row>
    <row r="10" spans="1:7" ht="15.75" thickBot="1" x14ac:dyDescent="0.3">
      <c r="A10" t="s">
        <v>390</v>
      </c>
      <c r="B10" s="1" t="s">
        <v>391</v>
      </c>
      <c r="C10" s="1" t="s">
        <v>19</v>
      </c>
      <c r="D10" s="1" t="s">
        <v>389</v>
      </c>
      <c r="E10" s="3">
        <v>14078</v>
      </c>
      <c r="F10" s="1" t="str">
        <f>VLOOKUP(D10,Table9[[Name]:[Native]],3,FALSE)</f>
        <v>贵南县</v>
      </c>
      <c r="G10" s="12" t="str">
        <f ca="1">VLOOKUP(F10,Table9[[Native]:[Population4]],5,FALSE)</f>
        <v>海南藏族自治州</v>
      </c>
    </row>
    <row r="11" spans="1:7" ht="15.75" thickBot="1" x14ac:dyDescent="0.3">
      <c r="A11" t="s">
        <v>392</v>
      </c>
      <c r="B11" s="1" t="s">
        <v>393</v>
      </c>
      <c r="C11" s="1" t="s">
        <v>7</v>
      </c>
      <c r="D11" s="1" t="s">
        <v>375</v>
      </c>
      <c r="E11" s="3">
        <v>7619</v>
      </c>
      <c r="F11" s="1" t="str">
        <f>VLOOKUP(D11,Table9[[Name]:[Native]],3,FALSE)</f>
        <v>同德县</v>
      </c>
      <c r="G11" s="12" t="str">
        <f ca="1">VLOOKUP(F11,Table9[[Native]:[Population4]],5,FALSE)</f>
        <v>海南藏族自治州</v>
      </c>
    </row>
    <row r="12" spans="1:7" ht="15.75" thickBot="1" x14ac:dyDescent="0.3">
      <c r="A12" t="s">
        <v>394</v>
      </c>
      <c r="B12" s="1" t="s">
        <v>395</v>
      </c>
      <c r="C12" s="1" t="s">
        <v>7</v>
      </c>
      <c r="D12" s="1" t="s">
        <v>380</v>
      </c>
      <c r="E12" s="3">
        <v>13323</v>
      </c>
      <c r="F12" s="1" t="str">
        <f>VLOOKUP(D12,Table9[[Name]:[Native]],3,FALSE)</f>
        <v>贵德县</v>
      </c>
      <c r="G12" s="12" t="str">
        <f ca="1">VLOOKUP(F12,Table9[[Native]:[Population4]],5,FALSE)</f>
        <v>海南藏族自治州</v>
      </c>
    </row>
    <row r="13" spans="1:7" ht="15.75" thickBot="1" x14ac:dyDescent="0.3">
      <c r="A13" t="s">
        <v>396</v>
      </c>
      <c r="B13" s="1" t="s">
        <v>397</v>
      </c>
      <c r="C13" s="1" t="s">
        <v>19</v>
      </c>
      <c r="D13" s="1" t="s">
        <v>372</v>
      </c>
      <c r="E13" s="3">
        <v>5163</v>
      </c>
      <c r="F13" s="1" t="str">
        <f>VLOOKUP(D13,Table9[[Name]:[Native]],3,FALSE)</f>
        <v>共和县</v>
      </c>
      <c r="G13" s="12" t="str">
        <f ca="1">VLOOKUP(F13,Table9[[Native]:[Population4]],5,FALSE)</f>
        <v>海南藏族自治州</v>
      </c>
    </row>
    <row r="14" spans="1:7" ht="15.75" thickBot="1" x14ac:dyDescent="0.3">
      <c r="A14" t="s">
        <v>398</v>
      </c>
      <c r="B14" s="1" t="s">
        <v>399</v>
      </c>
      <c r="C14" s="1" t="s">
        <v>19</v>
      </c>
      <c r="D14" s="1" t="s">
        <v>400</v>
      </c>
      <c r="E14" s="3">
        <v>14233</v>
      </c>
      <c r="F14" s="1" t="str">
        <f>VLOOKUP(D14,Table9[[Name]:[Native]],3,FALSE)</f>
        <v>兴海县</v>
      </c>
      <c r="G14" s="12" t="str">
        <f ca="1">VLOOKUP(F14,Table9[[Native]:[Population4]],5,FALSE)</f>
        <v>海南藏族自治州</v>
      </c>
    </row>
    <row r="15" spans="1:7" ht="15.75" thickBot="1" x14ac:dyDescent="0.3">
      <c r="A15" t="s">
        <v>401</v>
      </c>
      <c r="B15" s="1" t="s">
        <v>402</v>
      </c>
      <c r="C15" s="1" t="s">
        <v>133</v>
      </c>
      <c r="D15" s="1" t="s">
        <v>400</v>
      </c>
      <c r="E15" s="3">
        <v>1324</v>
      </c>
      <c r="F15" s="1" t="str">
        <f>VLOOKUP(D15,Table9[[Name]:[Native]],3,FALSE)</f>
        <v>兴海县</v>
      </c>
      <c r="G15" s="12" t="str">
        <f ca="1">VLOOKUP(F15,Table9[[Native]:[Population4]],5,FALSE)</f>
        <v>海南藏族自治州</v>
      </c>
    </row>
    <row r="16" spans="1:7" ht="15.75" thickBot="1" x14ac:dyDescent="0.3">
      <c r="A16" t="s">
        <v>403</v>
      </c>
      <c r="B16" s="1" t="s">
        <v>404</v>
      </c>
      <c r="C16" s="1" t="s">
        <v>19</v>
      </c>
      <c r="D16" s="1" t="s">
        <v>380</v>
      </c>
      <c r="E16" s="3">
        <v>21607</v>
      </c>
      <c r="F16" s="1" t="str">
        <f>VLOOKUP(D16,Table9[[Name]:[Native]],3,FALSE)</f>
        <v>贵德县</v>
      </c>
      <c r="G16" s="12" t="str">
        <f ca="1">VLOOKUP(F16,Table9[[Native]:[Population4]],5,FALSE)</f>
        <v>海南藏族自治州</v>
      </c>
    </row>
    <row r="17" spans="1:7" ht="15.75" thickBot="1" x14ac:dyDescent="0.3">
      <c r="A17" t="s">
        <v>405</v>
      </c>
      <c r="B17" s="1" t="s">
        <v>406</v>
      </c>
      <c r="C17" s="1" t="s">
        <v>19</v>
      </c>
      <c r="D17" s="1" t="s">
        <v>380</v>
      </c>
      <c r="E17" s="3">
        <v>25028</v>
      </c>
      <c r="F17" s="1" t="str">
        <f>VLOOKUP(D17,Table9[[Name]:[Native]],3,FALSE)</f>
        <v>贵德县</v>
      </c>
      <c r="G17" s="12" t="str">
        <f ca="1">VLOOKUP(F17,Table9[[Native]:[Population4]],5,FALSE)</f>
        <v>海南藏族自治州</v>
      </c>
    </row>
    <row r="18" spans="1:7" ht="15.75" thickBot="1" x14ac:dyDescent="0.3">
      <c r="A18" t="s">
        <v>407</v>
      </c>
      <c r="B18" s="1" t="s">
        <v>408</v>
      </c>
      <c r="C18" s="1" t="s">
        <v>133</v>
      </c>
      <c r="D18" s="1" t="s">
        <v>372</v>
      </c>
      <c r="E18" s="3">
        <v>2007</v>
      </c>
      <c r="F18" s="1" t="str">
        <f>VLOOKUP(D18,Table9[[Name]:[Native]],3,FALSE)</f>
        <v>共和县</v>
      </c>
      <c r="G18" s="12" t="str">
        <f ca="1">VLOOKUP(F18,Table9[[Native]:[Population4]],5,FALSE)</f>
        <v>海南藏族自治州</v>
      </c>
    </row>
    <row r="19" spans="1:7" ht="15.75" thickBot="1" x14ac:dyDescent="0.3">
      <c r="A19" t="s">
        <v>409</v>
      </c>
      <c r="B19" s="1" t="s">
        <v>410</v>
      </c>
      <c r="C19" s="1" t="s">
        <v>19</v>
      </c>
      <c r="D19" s="1" t="s">
        <v>372</v>
      </c>
      <c r="E19" s="3">
        <v>6116</v>
      </c>
      <c r="F19" s="1" t="str">
        <f>VLOOKUP(D19,Table9[[Name]:[Native]],3,FALSE)</f>
        <v>共和县</v>
      </c>
      <c r="G19" s="12" t="str">
        <f ca="1">VLOOKUP(F19,Table9[[Native]:[Population4]],5,FALSE)</f>
        <v>海南藏族自治州</v>
      </c>
    </row>
    <row r="20" spans="1:7" ht="15.75" thickBot="1" x14ac:dyDescent="0.3">
      <c r="A20" t="s">
        <v>411</v>
      </c>
      <c r="B20" s="1" t="s">
        <v>412</v>
      </c>
      <c r="C20" s="1" t="s">
        <v>19</v>
      </c>
      <c r="D20" s="1" t="s">
        <v>380</v>
      </c>
      <c r="E20" s="3">
        <v>7591</v>
      </c>
      <c r="F20" s="1" t="str">
        <f>VLOOKUP(D20,Table9[[Name]:[Native]],3,FALSE)</f>
        <v>贵德县</v>
      </c>
      <c r="G20" s="12" t="str">
        <f ca="1">VLOOKUP(F20,Table9[[Native]:[Population4]],5,FALSE)</f>
        <v>海南藏族自治州</v>
      </c>
    </row>
    <row r="21" spans="1:7" ht="15.75" thickBot="1" x14ac:dyDescent="0.3">
      <c r="A21" t="s">
        <v>413</v>
      </c>
      <c r="B21" s="1" t="s">
        <v>414</v>
      </c>
      <c r="C21" s="1" t="s">
        <v>19</v>
      </c>
      <c r="D21" s="1" t="s">
        <v>372</v>
      </c>
      <c r="E21" s="3">
        <v>6578</v>
      </c>
      <c r="F21" s="1" t="str">
        <f>VLOOKUP(D21,Table9[[Name]:[Native]],3,FALSE)</f>
        <v>共和县</v>
      </c>
      <c r="G21" s="12" t="str">
        <f ca="1">VLOOKUP(F21,Table9[[Native]:[Population4]],5,FALSE)</f>
        <v>海南藏族自治州</v>
      </c>
    </row>
    <row r="22" spans="1:7" ht="15.75" thickBot="1" x14ac:dyDescent="0.3">
      <c r="A22" t="s">
        <v>415</v>
      </c>
      <c r="B22" s="1" t="s">
        <v>416</v>
      </c>
      <c r="C22" s="1" t="s">
        <v>7</v>
      </c>
      <c r="D22" s="1" t="s">
        <v>400</v>
      </c>
      <c r="E22" s="3">
        <v>5916</v>
      </c>
      <c r="F22" s="1" t="str">
        <f>VLOOKUP(D22,Table9[[Name]:[Native]],3,FALSE)</f>
        <v>兴海县</v>
      </c>
      <c r="G22" s="12" t="str">
        <f ca="1">VLOOKUP(F22,Table9[[Native]:[Population4]],5,FALSE)</f>
        <v>海南藏族自治州</v>
      </c>
    </row>
    <row r="23" spans="1:7" ht="15.75" thickBot="1" x14ac:dyDescent="0.3">
      <c r="A23" t="s">
        <v>417</v>
      </c>
      <c r="B23" s="1" t="s">
        <v>418</v>
      </c>
      <c r="C23" s="1" t="s">
        <v>7</v>
      </c>
      <c r="D23" s="1" t="s">
        <v>389</v>
      </c>
      <c r="E23" s="3">
        <v>6708</v>
      </c>
      <c r="F23" s="1" t="str">
        <f>VLOOKUP(D23,Table9[[Name]:[Native]],3,FALSE)</f>
        <v>贵南县</v>
      </c>
      <c r="G23" s="12" t="str">
        <f ca="1">VLOOKUP(F23,Table9[[Native]:[Population4]],5,FALSE)</f>
        <v>海南藏族自治州</v>
      </c>
    </row>
    <row r="24" spans="1:7" ht="15.75" thickBot="1" x14ac:dyDescent="0.3">
      <c r="A24" t="s">
        <v>419</v>
      </c>
      <c r="B24" s="1" t="s">
        <v>420</v>
      </c>
      <c r="C24" s="1" t="s">
        <v>19</v>
      </c>
      <c r="D24" s="1" t="s">
        <v>389</v>
      </c>
      <c r="E24" s="3">
        <v>15609</v>
      </c>
      <c r="F24" s="1" t="str">
        <f>VLOOKUP(D24,Table9[[Name]:[Native]],3,FALSE)</f>
        <v>贵南县</v>
      </c>
      <c r="G24" s="12" t="str">
        <f ca="1">VLOOKUP(F24,Table9[[Native]:[Population4]],5,FALSE)</f>
        <v>海南藏族自治州</v>
      </c>
    </row>
    <row r="25" spans="1:7" ht="15.75" thickBot="1" x14ac:dyDescent="0.3">
      <c r="A25" t="s">
        <v>421</v>
      </c>
      <c r="B25" s="1" t="s">
        <v>422</v>
      </c>
      <c r="C25" s="1" t="s">
        <v>7</v>
      </c>
      <c r="D25" s="1" t="s">
        <v>372</v>
      </c>
      <c r="E25" s="3">
        <v>4072</v>
      </c>
      <c r="F25" s="1" t="str">
        <f>VLOOKUP(D25,Table9[[Name]:[Native]],3,FALSE)</f>
        <v>共和县</v>
      </c>
      <c r="G25" s="12" t="str">
        <f ca="1">VLOOKUP(F25,Table9[[Native]:[Population4]],5,FALSE)</f>
        <v>海南藏族自治州</v>
      </c>
    </row>
    <row r="26" spans="1:7" ht="15.75" thickBot="1" x14ac:dyDescent="0.3">
      <c r="A26" t="s">
        <v>423</v>
      </c>
      <c r="B26" s="1" t="s">
        <v>424</v>
      </c>
      <c r="C26" s="1" t="s">
        <v>19</v>
      </c>
      <c r="D26" s="1" t="s">
        <v>372</v>
      </c>
      <c r="E26" s="3">
        <v>52500</v>
      </c>
      <c r="F26" s="1" t="str">
        <f>VLOOKUP(D26,Table9[[Name]:[Native]],3,FALSE)</f>
        <v>共和县</v>
      </c>
      <c r="G26" s="12" t="str">
        <f ca="1">VLOOKUP(F26,Table9[[Native]:[Population4]],5,FALSE)</f>
        <v>海南藏族自治州</v>
      </c>
    </row>
    <row r="27" spans="1:7" ht="15.75" thickBot="1" x14ac:dyDescent="0.3">
      <c r="A27" t="s">
        <v>425</v>
      </c>
      <c r="B27" s="1" t="s">
        <v>426</v>
      </c>
      <c r="C27" s="1" t="s">
        <v>7</v>
      </c>
      <c r="D27" s="1" t="s">
        <v>372</v>
      </c>
      <c r="E27" s="3">
        <v>8948</v>
      </c>
      <c r="F27" s="1" t="str">
        <f>VLOOKUP(D27,Table9[[Name]:[Native]],3,FALSE)</f>
        <v>共和县</v>
      </c>
      <c r="G27" s="12" t="str">
        <f ca="1">VLOOKUP(F27,Table9[[Native]:[Population4]],5,FALSE)</f>
        <v>海南藏族自治州</v>
      </c>
    </row>
    <row r="28" spans="1:7" ht="15.75" thickBot="1" x14ac:dyDescent="0.3">
      <c r="A28" t="s">
        <v>427</v>
      </c>
      <c r="B28" s="1" t="s">
        <v>428</v>
      </c>
      <c r="C28" s="1" t="s">
        <v>19</v>
      </c>
      <c r="D28" s="1" t="s">
        <v>400</v>
      </c>
      <c r="E28" s="3">
        <v>5389</v>
      </c>
      <c r="F28" s="1" t="str">
        <f>VLOOKUP(D28,Table9[[Name]:[Native]],3,FALSE)</f>
        <v>兴海县</v>
      </c>
      <c r="G28" s="12" t="str">
        <f ca="1">VLOOKUP(F28,Table9[[Native]:[Population4]],5,FALSE)</f>
        <v>海南藏族自治州</v>
      </c>
    </row>
    <row r="29" spans="1:7" ht="15.75" thickBot="1" x14ac:dyDescent="0.3">
      <c r="A29" t="s">
        <v>429</v>
      </c>
      <c r="B29" s="1" t="s">
        <v>430</v>
      </c>
      <c r="C29" s="1" t="s">
        <v>19</v>
      </c>
      <c r="D29" s="1" t="s">
        <v>389</v>
      </c>
      <c r="E29" s="3">
        <v>14346</v>
      </c>
      <c r="F29" s="1" t="str">
        <f>VLOOKUP(D29,Table9[[Name]:[Native]],3,FALSE)</f>
        <v>贵南县</v>
      </c>
      <c r="G29" s="12" t="str">
        <f ca="1">VLOOKUP(F29,Table9[[Native]:[Population4]],5,FALSE)</f>
        <v>海南藏族自治州</v>
      </c>
    </row>
    <row r="30" spans="1:7" ht="15.75" thickBot="1" x14ac:dyDescent="0.3">
      <c r="A30" t="s">
        <v>308</v>
      </c>
      <c r="B30" s="1" t="s">
        <v>309</v>
      </c>
      <c r="C30" s="1" t="s">
        <v>7</v>
      </c>
      <c r="D30" s="1" t="s">
        <v>389</v>
      </c>
      <c r="E30" s="3">
        <v>7786</v>
      </c>
      <c r="F30" s="1" t="str">
        <f>VLOOKUP(D30,Table9[[Name]:[Native]],3,FALSE)</f>
        <v>贵南县</v>
      </c>
      <c r="G30" s="12" t="str">
        <f ca="1">VLOOKUP(F30,Table9[[Native]:[Population4]],5,FALSE)</f>
        <v>海南藏族自治州</v>
      </c>
    </row>
    <row r="31" spans="1:7" ht="15.75" thickBot="1" x14ac:dyDescent="0.3">
      <c r="A31" t="s">
        <v>431</v>
      </c>
      <c r="B31" s="1" t="s">
        <v>432</v>
      </c>
      <c r="C31" s="1" t="s">
        <v>7</v>
      </c>
      <c r="D31" s="1" t="s">
        <v>372</v>
      </c>
      <c r="E31" s="3">
        <v>5153</v>
      </c>
      <c r="F31" s="1" t="str">
        <f>VLOOKUP(D31,Table9[[Name]:[Native]],3,FALSE)</f>
        <v>共和县</v>
      </c>
      <c r="G31" s="12" t="str">
        <f ca="1">VLOOKUP(F31,Table9[[Native]:[Population4]],5,FALSE)</f>
        <v>海南藏族自治州</v>
      </c>
    </row>
    <row r="32" spans="1:7" ht="15.75" thickBot="1" x14ac:dyDescent="0.3">
      <c r="A32" t="s">
        <v>433</v>
      </c>
      <c r="B32" s="1" t="s">
        <v>434</v>
      </c>
      <c r="C32" s="1" t="s">
        <v>133</v>
      </c>
      <c r="D32" s="1" t="s">
        <v>375</v>
      </c>
      <c r="E32" s="3">
        <v>2323</v>
      </c>
      <c r="F32" s="1" t="str">
        <f>VLOOKUP(D32,Table9[[Name]:[Native]],3,FALSE)</f>
        <v>同德县</v>
      </c>
      <c r="G32" s="12" t="str">
        <f ca="1">VLOOKUP(F32,Table9[[Native]:[Population4]],5,FALSE)</f>
        <v>海南藏族自治州</v>
      </c>
    </row>
    <row r="33" spans="1:7" ht="15.75" thickBot="1" x14ac:dyDescent="0.3">
      <c r="A33" t="s">
        <v>435</v>
      </c>
      <c r="B33" s="1" t="s">
        <v>436</v>
      </c>
      <c r="C33" s="1" t="s">
        <v>19</v>
      </c>
      <c r="D33" s="1" t="s">
        <v>372</v>
      </c>
      <c r="E33" s="3">
        <v>6571</v>
      </c>
      <c r="F33" s="1" t="str">
        <f>VLOOKUP(D33,Table9[[Name]:[Native]],3,FALSE)</f>
        <v>共和县</v>
      </c>
      <c r="G33" s="12" t="str">
        <f ca="1">VLOOKUP(F33,Table9[[Native]:[Population4]],5,FALSE)</f>
        <v>海南藏族自治州</v>
      </c>
    </row>
    <row r="34" spans="1:7" ht="15.75" thickBot="1" x14ac:dyDescent="0.3">
      <c r="A34" t="s">
        <v>437</v>
      </c>
      <c r="B34" s="1" t="s">
        <v>438</v>
      </c>
      <c r="C34" s="1" t="s">
        <v>19</v>
      </c>
      <c r="D34" s="1" t="s">
        <v>372</v>
      </c>
      <c r="E34" s="3">
        <v>10214</v>
      </c>
      <c r="F34" s="1" t="str">
        <f>VLOOKUP(D34,Table9[[Name]:[Native]],3,FALSE)</f>
        <v>共和县</v>
      </c>
      <c r="G34" s="12" t="str">
        <f ca="1">VLOOKUP(F34,Table9[[Native]:[Population4]],5,FALSE)</f>
        <v>海南藏族自治州</v>
      </c>
    </row>
    <row r="35" spans="1:7" ht="15.75" thickBot="1" x14ac:dyDescent="0.3">
      <c r="A35" t="s">
        <v>439</v>
      </c>
      <c r="B35" s="1" t="s">
        <v>440</v>
      </c>
      <c r="C35" s="1" t="s">
        <v>19</v>
      </c>
      <c r="D35" s="1" t="s">
        <v>375</v>
      </c>
      <c r="E35" s="3">
        <v>11259</v>
      </c>
      <c r="F35" s="1" t="str">
        <f>VLOOKUP(D35,Table9[[Name]:[Native]],3,FALSE)</f>
        <v>同德县</v>
      </c>
      <c r="G35" s="12" t="str">
        <f ca="1">VLOOKUP(F35,Table9[[Native]:[Population4]],5,FALSE)</f>
        <v>海南藏族自治州</v>
      </c>
    </row>
    <row r="36" spans="1:7" ht="15.75" thickBot="1" x14ac:dyDescent="0.3">
      <c r="A36" t="s">
        <v>441</v>
      </c>
      <c r="B36" s="1" t="s">
        <v>442</v>
      </c>
      <c r="C36" s="1" t="s">
        <v>7</v>
      </c>
      <c r="D36" s="1" t="s">
        <v>400</v>
      </c>
      <c r="E36" s="3">
        <v>8678</v>
      </c>
      <c r="F36" s="1" t="str">
        <f>VLOOKUP(D36,Table9[[Name]:[Native]],3,FALSE)</f>
        <v>兴海县</v>
      </c>
      <c r="G36" s="12" t="str">
        <f ca="1">VLOOKUP(F36,Table9[[Native]:[Population4]],5,FALSE)</f>
        <v>海南藏族自治州</v>
      </c>
    </row>
    <row r="37" spans="1:7" ht="15.75" thickBot="1" x14ac:dyDescent="0.3">
      <c r="A37" t="s">
        <v>443</v>
      </c>
      <c r="B37" s="1" t="s">
        <v>444</v>
      </c>
      <c r="C37" s="1" t="s">
        <v>7</v>
      </c>
      <c r="D37" s="1" t="s">
        <v>389</v>
      </c>
      <c r="E37" s="3">
        <v>9719</v>
      </c>
      <c r="F37" s="1" t="str">
        <f>VLOOKUP(D37,Table9[[Name]:[Native]],3,FALSE)</f>
        <v>贵南县</v>
      </c>
      <c r="G37" s="12" t="str">
        <f ca="1">VLOOKUP(F37,Table9[[Native]:[Population4]],5,FALSE)</f>
        <v>海南藏族自治州</v>
      </c>
    </row>
    <row r="38" spans="1:7" ht="15.75" thickBot="1" x14ac:dyDescent="0.3">
      <c r="A38" t="s">
        <v>445</v>
      </c>
      <c r="B38" s="1" t="s">
        <v>446</v>
      </c>
      <c r="C38" s="1" t="s">
        <v>133</v>
      </c>
      <c r="D38" s="1" t="s">
        <v>372</v>
      </c>
      <c r="E38" s="3">
        <v>25</v>
      </c>
      <c r="F38" s="1" t="str">
        <f>VLOOKUP(D38,Table9[[Name]:[Native]],3,FALSE)</f>
        <v>共和县</v>
      </c>
      <c r="G38" s="12" t="str">
        <f ca="1">VLOOKUP(F38,Table9[[Native]:[Population4]],5,FALSE)</f>
        <v>海南藏族自治州</v>
      </c>
    </row>
    <row r="39" spans="1:7" ht="15.75" thickBot="1" x14ac:dyDescent="0.3">
      <c r="A39" t="s">
        <v>447</v>
      </c>
      <c r="B39" s="1" t="s">
        <v>448</v>
      </c>
      <c r="C39" s="1" t="s">
        <v>7</v>
      </c>
      <c r="D39" s="1" t="s">
        <v>372</v>
      </c>
      <c r="E39" s="3">
        <v>4907</v>
      </c>
      <c r="F39" s="1" t="str">
        <f>VLOOKUP(D39,Table9[[Name]:[Native]],3,FALSE)</f>
        <v>共和县</v>
      </c>
      <c r="G39" s="12" t="str">
        <f ca="1">VLOOKUP(F39,Table9[[Native]:[Population4]],5,FALSE)</f>
        <v>海南藏族自治州</v>
      </c>
    </row>
    <row r="40" spans="1:7" ht="15.75" thickBot="1" x14ac:dyDescent="0.3">
      <c r="A40" t="s">
        <v>449</v>
      </c>
      <c r="B40" s="1" t="s">
        <v>450</v>
      </c>
      <c r="C40" s="1" t="s">
        <v>7</v>
      </c>
      <c r="D40" s="1" t="s">
        <v>400</v>
      </c>
      <c r="E40" s="3">
        <v>9179</v>
      </c>
      <c r="F40" s="1" t="str">
        <f>VLOOKUP(D40,Table9[[Name]:[Native]],3,FALSE)</f>
        <v>兴海县</v>
      </c>
      <c r="G40" s="12" t="str">
        <f ca="1">VLOOKUP(F40,Table9[[Native]:[Population4]],5,FALSE)</f>
        <v>海南藏族自治州</v>
      </c>
    </row>
    <row r="41" spans="1:7" ht="15.75" thickBot="1" x14ac:dyDescent="0.3">
      <c r="A41" t="s">
        <v>451</v>
      </c>
      <c r="B41" s="1" t="s">
        <v>452</v>
      </c>
      <c r="C41" s="1" t="s">
        <v>7</v>
      </c>
      <c r="D41" s="1" t="s">
        <v>380</v>
      </c>
      <c r="E41" s="3">
        <v>4730</v>
      </c>
      <c r="F41" s="1" t="str">
        <f>VLOOKUP(D41,Table9[[Name]:[Native]],3,FALSE)</f>
        <v>贵德县</v>
      </c>
      <c r="G41" s="12" t="str">
        <f ca="1">VLOOKUP(F41,Table9[[Native]:[Population4]],5,FALSE)</f>
        <v>海南藏族自治州</v>
      </c>
    </row>
    <row r="42" spans="1:7" ht="15.75" thickBot="1" x14ac:dyDescent="0.3">
      <c r="A42" t="s">
        <v>453</v>
      </c>
      <c r="B42" s="1" t="s">
        <v>454</v>
      </c>
      <c r="C42" s="1" t="s">
        <v>7</v>
      </c>
      <c r="D42" s="1" t="s">
        <v>375</v>
      </c>
      <c r="E42" s="3">
        <v>7286</v>
      </c>
      <c r="F42" s="1" t="str">
        <f>VLOOKUP(D42,Table9[[Name]:[Native]],3,FALSE)</f>
        <v>同德县</v>
      </c>
      <c r="G42" s="12" t="str">
        <f ca="1">VLOOKUP(F42,Table9[[Native]:[Population4]],5,FALSE)</f>
        <v>海南藏族自治州</v>
      </c>
    </row>
    <row r="43" spans="1:7" ht="15.75" thickBot="1" x14ac:dyDescent="0.3">
      <c r="A43" t="s">
        <v>455</v>
      </c>
      <c r="B43" s="1" t="s">
        <v>456</v>
      </c>
      <c r="C43" s="1" t="s">
        <v>7</v>
      </c>
      <c r="D43" s="1" t="s">
        <v>400</v>
      </c>
      <c r="E43" s="3">
        <v>6548</v>
      </c>
      <c r="F43" s="1" t="str">
        <f>VLOOKUP(D43,Table9[[Name]:[Native]],3,FALSE)</f>
        <v>兴海县</v>
      </c>
      <c r="G43" s="12" t="str">
        <f ca="1">VLOOKUP(F43,Table9[[Native]:[Population4]],5,FALSE)</f>
        <v>海南藏族自治州</v>
      </c>
    </row>
    <row r="44" spans="1:7" ht="15.75" thickBot="1" x14ac:dyDescent="0.3">
      <c r="A44" t="s">
        <v>457</v>
      </c>
      <c r="B44" s="1" t="s">
        <v>458</v>
      </c>
      <c r="C44" s="1" t="s">
        <v>19</v>
      </c>
      <c r="D44" s="1" t="s">
        <v>400</v>
      </c>
      <c r="E44" s="3">
        <v>24758</v>
      </c>
      <c r="F44" s="9" t="str">
        <f>VLOOKUP(D44,Table9[[Name]:[Native]],3,FALSE)</f>
        <v>兴海县</v>
      </c>
      <c r="G44" s="12" t="str">
        <f ca="1">VLOOKUP(F44,Table9[[Native]:[Population4]],5,FALSE)</f>
        <v>海南藏族自治州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94755-306B-4F78-9EF9-3D0BE293543F}">
  <dimension ref="A1:G47"/>
  <sheetViews>
    <sheetView workbookViewId="0">
      <selection activeCell="A2" sqref="A2:G4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945</v>
      </c>
      <c r="G1" t="s">
        <v>947</v>
      </c>
    </row>
    <row r="2" spans="1:7" ht="15.75" thickBot="1" x14ac:dyDescent="0.3">
      <c r="A2" t="s">
        <v>459</v>
      </c>
      <c r="B2" s="1" t="s">
        <v>460</v>
      </c>
      <c r="C2" s="1" t="s">
        <v>7</v>
      </c>
      <c r="D2" s="1" t="s">
        <v>461</v>
      </c>
      <c r="E2" s="3">
        <v>5285</v>
      </c>
      <c r="F2" s="8" t="str">
        <f>VLOOKUP(D2,Table9[[Name]:[Native]],3,FALSE)</f>
        <v>都兰县</v>
      </c>
      <c r="G2" s="12" t="str">
        <f ca="1">VLOOKUP(F2,Table9[[Native]:[Population4]],5,FALSE)</f>
        <v>海西蒙古族藏族自治州</v>
      </c>
    </row>
    <row r="3" spans="1:7" ht="15.75" thickBot="1" x14ac:dyDescent="0.3">
      <c r="A3" t="s">
        <v>462</v>
      </c>
      <c r="B3" s="1" t="s">
        <v>463</v>
      </c>
      <c r="C3" s="1" t="s">
        <v>133</v>
      </c>
      <c r="D3" s="1" t="s">
        <v>464</v>
      </c>
      <c r="E3" s="3">
        <v>7109</v>
      </c>
      <c r="F3" s="1" t="str">
        <f>VLOOKUP(D3,Table9[[Name]:[Native]],3,FALSE)</f>
        <v>格尔木市</v>
      </c>
      <c r="G3" s="12" t="str">
        <f ca="1">VLOOKUP(F3,Table9[[Native]:[Population4]],5,FALSE)</f>
        <v>海西蒙古族藏族自治州</v>
      </c>
    </row>
    <row r="4" spans="1:7" ht="15.75" thickBot="1" x14ac:dyDescent="0.3">
      <c r="A4" t="s">
        <v>465</v>
      </c>
      <c r="B4" s="1" t="s">
        <v>466</v>
      </c>
      <c r="C4" s="1" t="s">
        <v>19</v>
      </c>
      <c r="D4" s="1" t="s">
        <v>461</v>
      </c>
      <c r="E4" s="3">
        <v>20570</v>
      </c>
      <c r="F4" s="1" t="str">
        <f>VLOOKUP(D4,Table9[[Name]:[Native]],3,FALSE)</f>
        <v>都兰县</v>
      </c>
      <c r="G4" s="12" t="str">
        <f ca="1">VLOOKUP(F4,Table9[[Native]:[Population4]],5,FALSE)</f>
        <v>海西蒙古族藏族自治州</v>
      </c>
    </row>
    <row r="5" spans="1:7" ht="15.75" thickBot="1" x14ac:dyDescent="0.3">
      <c r="A5" t="s">
        <v>467</v>
      </c>
      <c r="B5" s="1" t="s">
        <v>468</v>
      </c>
      <c r="C5" s="1" t="s">
        <v>19</v>
      </c>
      <c r="D5" s="1" t="s">
        <v>469</v>
      </c>
      <c r="E5" s="3">
        <v>9750</v>
      </c>
      <c r="F5" s="1" t="str">
        <f>VLOOKUP(D5,Table9[[Name]:[Native]],3,FALSE)</f>
        <v>大柴旦行委</v>
      </c>
      <c r="G5" s="12" t="str">
        <f ca="1">VLOOKUP(F5,Table9[[Native]:[Population4]],5,FALSE)</f>
        <v>海西蒙古族藏族自治州</v>
      </c>
    </row>
    <row r="6" spans="1:7" ht="15.75" thickBot="1" x14ac:dyDescent="0.3">
      <c r="A6" t="s">
        <v>470</v>
      </c>
      <c r="B6" s="1" t="s">
        <v>471</v>
      </c>
      <c r="C6" s="1" t="s">
        <v>19</v>
      </c>
      <c r="D6" s="1" t="s">
        <v>472</v>
      </c>
      <c r="E6" s="3">
        <v>4123</v>
      </c>
      <c r="F6" s="1" t="str">
        <f>VLOOKUP(D6,Table9[[Name]:[Native]],3,FALSE)</f>
        <v>乌兰县</v>
      </c>
      <c r="G6" s="12" t="str">
        <f ca="1">VLOOKUP(F6,Table9[[Native]:[Population4]],5,FALSE)</f>
        <v>海西蒙古族藏族自治州</v>
      </c>
    </row>
    <row r="7" spans="1:7" ht="15.75" thickBot="1" x14ac:dyDescent="0.3">
      <c r="A7" t="s">
        <v>473</v>
      </c>
      <c r="B7" s="1" t="s">
        <v>474</v>
      </c>
      <c r="C7" s="1" t="s">
        <v>7</v>
      </c>
      <c r="D7" s="1" t="s">
        <v>464</v>
      </c>
      <c r="E7" s="3">
        <v>2178</v>
      </c>
      <c r="F7" s="1" t="str">
        <f>VLOOKUP(D7,Table9[[Name]:[Native]],3,FALSE)</f>
        <v>格尔木市</v>
      </c>
      <c r="G7" s="12" t="str">
        <f ca="1">VLOOKUP(F7,Table9[[Native]:[Population4]],5,FALSE)</f>
        <v>海西蒙古族藏族自治州</v>
      </c>
    </row>
    <row r="8" spans="1:7" ht="15.75" thickBot="1" x14ac:dyDescent="0.3">
      <c r="A8" t="s">
        <v>475</v>
      </c>
      <c r="B8" s="1" t="s">
        <v>476</v>
      </c>
      <c r="C8" s="1" t="s">
        <v>19</v>
      </c>
      <c r="D8" s="1" t="s">
        <v>477</v>
      </c>
      <c r="E8" s="3">
        <v>5965</v>
      </c>
      <c r="F8" s="1" t="str">
        <f>VLOOKUP(D8,Table9[[Name]:[Native]],3,FALSE)</f>
        <v>德令哈市</v>
      </c>
      <c r="G8" s="12" t="str">
        <f ca="1">VLOOKUP(F8,Table9[[Native]:[Population4]],5,FALSE)</f>
        <v>海西蒙古族藏族自治州</v>
      </c>
    </row>
    <row r="9" spans="1:7" ht="15.75" thickBot="1" x14ac:dyDescent="0.3">
      <c r="A9" t="s">
        <v>478</v>
      </c>
      <c r="B9" s="1" t="s">
        <v>479</v>
      </c>
      <c r="C9" s="1" t="s">
        <v>133</v>
      </c>
      <c r="D9" s="1" t="s">
        <v>464</v>
      </c>
      <c r="E9" s="3">
        <v>11771</v>
      </c>
      <c r="F9" s="1" t="str">
        <f>VLOOKUP(D9,Table9[[Name]:[Native]],3,FALSE)</f>
        <v>格尔木市</v>
      </c>
      <c r="G9" s="12" t="str">
        <f ca="1">VLOOKUP(F9,Table9[[Native]:[Population4]],5,FALSE)</f>
        <v>海西蒙古族藏族自治州</v>
      </c>
    </row>
    <row r="10" spans="1:7" ht="15.75" thickBot="1" x14ac:dyDescent="0.3">
      <c r="A10" t="s">
        <v>480</v>
      </c>
      <c r="B10" s="1" t="s">
        <v>481</v>
      </c>
      <c r="C10" s="1" t="s">
        <v>7</v>
      </c>
      <c r="D10" s="1" t="s">
        <v>461</v>
      </c>
      <c r="E10" s="3">
        <v>1989</v>
      </c>
      <c r="F10" s="1" t="str">
        <f>VLOOKUP(D10,Table9[[Name]:[Native]],3,FALSE)</f>
        <v>都兰县</v>
      </c>
      <c r="G10" s="12" t="str">
        <f ca="1">VLOOKUP(F10,Table9[[Native]:[Population4]],5,FALSE)</f>
        <v>海西蒙古族藏族自治州</v>
      </c>
    </row>
    <row r="11" spans="1:7" ht="15.75" thickBot="1" x14ac:dyDescent="0.3">
      <c r="A11" t="s">
        <v>482</v>
      </c>
      <c r="B11" s="1" t="s">
        <v>483</v>
      </c>
      <c r="C11" s="1" t="s">
        <v>19</v>
      </c>
      <c r="D11" s="1" t="s">
        <v>464</v>
      </c>
      <c r="E11" s="3">
        <v>31941</v>
      </c>
      <c r="F11" s="1" t="str">
        <f>VLOOKUP(D11,Table9[[Name]:[Native]],3,FALSE)</f>
        <v>格尔木市</v>
      </c>
      <c r="G11" s="12" t="str">
        <f ca="1">VLOOKUP(F11,Table9[[Native]:[Population4]],5,FALSE)</f>
        <v>海西蒙古族藏族自治州</v>
      </c>
    </row>
    <row r="12" spans="1:7" ht="15.75" thickBot="1" x14ac:dyDescent="0.3">
      <c r="A12" t="s">
        <v>484</v>
      </c>
      <c r="B12" s="1" t="s">
        <v>485</v>
      </c>
      <c r="C12" s="1" t="s">
        <v>133</v>
      </c>
      <c r="D12" s="1" t="s">
        <v>472</v>
      </c>
      <c r="E12" s="3">
        <v>493</v>
      </c>
      <c r="F12" s="1" t="str">
        <f>VLOOKUP(D12,Table9[[Name]:[Native]],3,FALSE)</f>
        <v>乌兰县</v>
      </c>
      <c r="G12" s="12" t="str">
        <f ca="1">VLOOKUP(F12,Table9[[Native]:[Population4]],5,FALSE)</f>
        <v>海西蒙古族藏族自治州</v>
      </c>
    </row>
    <row r="13" spans="1:7" ht="15.75" thickBot="1" x14ac:dyDescent="0.3">
      <c r="A13" t="s">
        <v>486</v>
      </c>
      <c r="B13" s="1" t="s">
        <v>487</v>
      </c>
      <c r="C13" s="1" t="s">
        <v>488</v>
      </c>
      <c r="D13" s="1" t="s">
        <v>477</v>
      </c>
      <c r="E13" s="3">
        <v>21967</v>
      </c>
      <c r="F13" s="1" t="str">
        <f>VLOOKUP(D13,Table9[[Name]:[Native]],3,FALSE)</f>
        <v>德令哈市</v>
      </c>
      <c r="G13" s="12" t="str">
        <f ca="1">VLOOKUP(F13,Table9[[Native]:[Population4]],5,FALSE)</f>
        <v>海西蒙古族藏族自治州</v>
      </c>
    </row>
    <row r="14" spans="1:7" ht="15.75" thickBot="1" x14ac:dyDescent="0.3">
      <c r="A14" t="s">
        <v>489</v>
      </c>
      <c r="B14" s="1" t="s">
        <v>490</v>
      </c>
      <c r="C14" s="1" t="s">
        <v>488</v>
      </c>
      <c r="D14" s="1" t="s">
        <v>464</v>
      </c>
      <c r="E14" s="3">
        <v>23958</v>
      </c>
      <c r="F14" s="1" t="str">
        <f>VLOOKUP(D14,Table9[[Name]:[Native]],3,FALSE)</f>
        <v>格尔木市</v>
      </c>
      <c r="G14" s="12" t="str">
        <f ca="1">VLOOKUP(F14,Table9[[Native]:[Population4]],5,FALSE)</f>
        <v>海西蒙古族藏族自治州</v>
      </c>
    </row>
    <row r="15" spans="1:7" ht="15.75" thickBot="1" x14ac:dyDescent="0.3">
      <c r="A15" t="s">
        <v>489</v>
      </c>
      <c r="B15" s="1" t="s">
        <v>490</v>
      </c>
      <c r="C15" s="1" t="s">
        <v>488</v>
      </c>
      <c r="D15" s="1" t="s">
        <v>477</v>
      </c>
      <c r="E15" s="3">
        <v>24961</v>
      </c>
      <c r="F15" s="1" t="str">
        <f>VLOOKUP(D15,Table9[[Name]:[Native]],3,FALSE)</f>
        <v>德令哈市</v>
      </c>
      <c r="G15" s="12" t="str">
        <f ca="1">VLOOKUP(F15,Table9[[Native]:[Population4]],5,FALSE)</f>
        <v>海西蒙古族藏族自治州</v>
      </c>
    </row>
    <row r="16" spans="1:7" ht="15.75" thickBot="1" x14ac:dyDescent="0.3">
      <c r="A16" t="s">
        <v>491</v>
      </c>
      <c r="B16" s="1" t="s">
        <v>492</v>
      </c>
      <c r="C16" s="1" t="s">
        <v>19</v>
      </c>
      <c r="D16" s="1" t="s">
        <v>477</v>
      </c>
      <c r="E16" s="3">
        <v>2898</v>
      </c>
      <c r="F16" s="1" t="str">
        <f>VLOOKUP(D16,Table9[[Name]:[Native]],3,FALSE)</f>
        <v>德令哈市</v>
      </c>
      <c r="G16" s="12" t="str">
        <f ca="1">VLOOKUP(F16,Table9[[Native]:[Population4]],5,FALSE)</f>
        <v>海西蒙古族藏族自治州</v>
      </c>
    </row>
    <row r="17" spans="1:7" ht="15.75" thickBot="1" x14ac:dyDescent="0.3">
      <c r="A17" t="s">
        <v>493</v>
      </c>
      <c r="B17" s="1" t="s">
        <v>494</v>
      </c>
      <c r="C17" s="1" t="s">
        <v>488</v>
      </c>
      <c r="D17" s="1" t="s">
        <v>464</v>
      </c>
      <c r="E17" s="3">
        <v>26863</v>
      </c>
      <c r="F17" s="1" t="str">
        <f>VLOOKUP(D17,Table9[[Name]:[Native]],3,FALSE)</f>
        <v>格尔木市</v>
      </c>
      <c r="G17" s="12" t="str">
        <f ca="1">VLOOKUP(F17,Table9[[Native]:[Population4]],5,FALSE)</f>
        <v>海西蒙古族藏族自治州</v>
      </c>
    </row>
    <row r="18" spans="1:7" ht="15.75" thickBot="1" x14ac:dyDescent="0.3">
      <c r="A18" t="s">
        <v>495</v>
      </c>
      <c r="B18" s="1" t="s">
        <v>496</v>
      </c>
      <c r="C18" s="1" t="s">
        <v>19</v>
      </c>
      <c r="D18" s="1" t="s">
        <v>497</v>
      </c>
      <c r="E18" s="3">
        <v>27825</v>
      </c>
      <c r="F18" s="1" t="str">
        <f>VLOOKUP(D18,Table9[[Name]:[Native]],3,FALSE)</f>
        <v>茫崖市</v>
      </c>
      <c r="G18" s="12" t="str">
        <f ca="1">VLOOKUP(F18,Table9[[Native]:[Population4]],5,FALSE)</f>
        <v>海西蒙古族藏族自治州</v>
      </c>
    </row>
    <row r="19" spans="1:7" ht="15.75" thickBot="1" x14ac:dyDescent="0.3">
      <c r="A19" t="s">
        <v>498</v>
      </c>
      <c r="B19" s="1" t="s">
        <v>499</v>
      </c>
      <c r="C19" s="1" t="s">
        <v>488</v>
      </c>
      <c r="D19" s="1" t="s">
        <v>477</v>
      </c>
      <c r="E19" s="3">
        <v>8366</v>
      </c>
      <c r="F19" s="1" t="str">
        <f>VLOOKUP(D19,Table9[[Name]:[Native]],3,FALSE)</f>
        <v>德令哈市</v>
      </c>
      <c r="G19" s="12" t="str">
        <f ca="1">VLOOKUP(F19,Table9[[Native]:[Population4]],5,FALSE)</f>
        <v>海西蒙古族藏族自治州</v>
      </c>
    </row>
    <row r="20" spans="1:7" ht="15.75" thickBot="1" x14ac:dyDescent="0.3">
      <c r="A20" t="s">
        <v>500</v>
      </c>
      <c r="B20" s="1" t="s">
        <v>501</v>
      </c>
      <c r="C20" s="1" t="s">
        <v>19</v>
      </c>
      <c r="D20" s="1" t="s">
        <v>502</v>
      </c>
      <c r="E20" s="3">
        <v>1905</v>
      </c>
      <c r="F20" s="1" t="str">
        <f>VLOOKUP(D20,Table9[[Name]:[Native]],3,FALSE)</f>
        <v>天峻县</v>
      </c>
      <c r="G20" s="12" t="str">
        <f ca="1">VLOOKUP(F20,Table9[[Native]:[Population4]],5,FALSE)</f>
        <v>海西蒙古族藏族自治州</v>
      </c>
    </row>
    <row r="21" spans="1:7" ht="15.75" thickBot="1" x14ac:dyDescent="0.3">
      <c r="A21" t="s">
        <v>503</v>
      </c>
      <c r="B21" s="1" t="s">
        <v>504</v>
      </c>
      <c r="C21" s="1" t="s">
        <v>488</v>
      </c>
      <c r="D21" s="1" t="s">
        <v>464</v>
      </c>
      <c r="E21" s="3">
        <v>39531</v>
      </c>
      <c r="F21" s="1" t="str">
        <f>VLOOKUP(D21,Table9[[Name]:[Native]],3,FALSE)</f>
        <v>格尔木市</v>
      </c>
      <c r="G21" s="12" t="str">
        <f ca="1">VLOOKUP(F21,Table9[[Native]:[Population4]],5,FALSE)</f>
        <v>海西蒙古族藏族自治州</v>
      </c>
    </row>
    <row r="22" spans="1:7" ht="15.75" thickBot="1" x14ac:dyDescent="0.3">
      <c r="A22" t="s">
        <v>505</v>
      </c>
      <c r="B22" s="1" t="s">
        <v>506</v>
      </c>
      <c r="C22" s="1" t="s">
        <v>19</v>
      </c>
      <c r="D22" s="1" t="s">
        <v>472</v>
      </c>
      <c r="E22" s="3">
        <v>12719</v>
      </c>
      <c r="F22" s="1" t="str">
        <f>VLOOKUP(D22,Table9[[Name]:[Native]],3,FALSE)</f>
        <v>乌兰县</v>
      </c>
      <c r="G22" s="12" t="str">
        <f ca="1">VLOOKUP(F22,Table9[[Native]:[Population4]],5,FALSE)</f>
        <v>海西蒙古族藏族自治州</v>
      </c>
    </row>
    <row r="23" spans="1:7" ht="15.75" thickBot="1" x14ac:dyDescent="0.3">
      <c r="A23" t="s">
        <v>507</v>
      </c>
      <c r="B23" s="1" t="s">
        <v>508</v>
      </c>
      <c r="C23" s="1" t="s">
        <v>19</v>
      </c>
      <c r="D23" s="1" t="s">
        <v>477</v>
      </c>
      <c r="E23" s="3">
        <v>12193</v>
      </c>
      <c r="F23" s="1" t="str">
        <f>VLOOKUP(D23,Table9[[Name]:[Native]],3,FALSE)</f>
        <v>德令哈市</v>
      </c>
      <c r="G23" s="12" t="str">
        <f ca="1">VLOOKUP(F23,Table9[[Native]:[Population4]],5,FALSE)</f>
        <v>海西蒙古族藏族自治州</v>
      </c>
    </row>
    <row r="24" spans="1:7" ht="15.75" thickBot="1" x14ac:dyDescent="0.3">
      <c r="A24" t="s">
        <v>509</v>
      </c>
      <c r="B24" s="1" t="s">
        <v>510</v>
      </c>
      <c r="C24" s="1" t="s">
        <v>7</v>
      </c>
      <c r="D24" s="1" t="s">
        <v>502</v>
      </c>
      <c r="E24" s="3">
        <v>1879</v>
      </c>
      <c r="F24" s="1" t="str">
        <f>VLOOKUP(D24,Table9[[Name]:[Native]],3,FALSE)</f>
        <v>天峻县</v>
      </c>
      <c r="G24" s="12" t="str">
        <f ca="1">VLOOKUP(F24,Table9[[Native]:[Population4]],5,FALSE)</f>
        <v>海西蒙古族藏族自治州</v>
      </c>
    </row>
    <row r="25" spans="1:7" ht="15.75" thickBot="1" x14ac:dyDescent="0.3">
      <c r="A25" t="s">
        <v>511</v>
      </c>
      <c r="B25" s="1" t="s">
        <v>512</v>
      </c>
      <c r="C25" s="1" t="s">
        <v>488</v>
      </c>
      <c r="D25" s="1" t="s">
        <v>464</v>
      </c>
      <c r="E25" s="3">
        <v>54330</v>
      </c>
      <c r="F25" s="1" t="str">
        <f>VLOOKUP(D25,Table9[[Name]:[Native]],3,FALSE)</f>
        <v>格尔木市</v>
      </c>
      <c r="G25" s="12" t="str">
        <f ca="1">VLOOKUP(F25,Table9[[Native]:[Population4]],5,FALSE)</f>
        <v>海西蒙古族藏族自治州</v>
      </c>
    </row>
    <row r="26" spans="1:7" ht="15.75" thickBot="1" x14ac:dyDescent="0.3">
      <c r="A26" t="s">
        <v>513</v>
      </c>
      <c r="B26" s="1" t="s">
        <v>514</v>
      </c>
      <c r="C26" s="1" t="s">
        <v>19</v>
      </c>
      <c r="D26" s="1" t="s">
        <v>497</v>
      </c>
      <c r="E26" s="3">
        <v>2434</v>
      </c>
      <c r="F26" s="1" t="str">
        <f>VLOOKUP(D26,Table9[[Name]:[Native]],3,FALSE)</f>
        <v>茫崖市</v>
      </c>
      <c r="G26" s="12" t="str">
        <f ca="1">VLOOKUP(F26,Table9[[Native]:[Population4]],5,FALSE)</f>
        <v>海西蒙古族藏族自治州</v>
      </c>
    </row>
    <row r="27" spans="1:7" ht="15.75" thickBot="1" x14ac:dyDescent="0.3">
      <c r="A27" t="s">
        <v>515</v>
      </c>
      <c r="B27" s="1" t="s">
        <v>516</v>
      </c>
      <c r="C27" s="1" t="s">
        <v>7</v>
      </c>
      <c r="D27" s="1" t="s">
        <v>502</v>
      </c>
      <c r="E27" s="3">
        <v>1288</v>
      </c>
      <c r="F27" s="1" t="str">
        <f>VLOOKUP(D27,Table9[[Name]:[Native]],3,FALSE)</f>
        <v>天峻县</v>
      </c>
      <c r="G27" s="12" t="str">
        <f ca="1">VLOOKUP(F27,Table9[[Native]:[Population4]],5,FALSE)</f>
        <v>海西蒙古族藏族自治州</v>
      </c>
    </row>
    <row r="28" spans="1:7" ht="15.75" thickBot="1" x14ac:dyDescent="0.3">
      <c r="A28" t="s">
        <v>517</v>
      </c>
      <c r="B28" s="1" t="s">
        <v>518</v>
      </c>
      <c r="C28" s="1" t="s">
        <v>19</v>
      </c>
      <c r="D28" s="1" t="s">
        <v>497</v>
      </c>
      <c r="E28" s="3">
        <v>3192</v>
      </c>
      <c r="F28" s="1" t="str">
        <f>VLOOKUP(D28,Table9[[Name]:[Native]],3,FALSE)</f>
        <v>茫崖市</v>
      </c>
      <c r="G28" s="12" t="str">
        <f ca="1">VLOOKUP(F28,Table9[[Native]:[Population4]],5,FALSE)</f>
        <v>海西蒙古族藏族自治州</v>
      </c>
    </row>
    <row r="29" spans="1:7" ht="15.75" thickBot="1" x14ac:dyDescent="0.3">
      <c r="A29" t="s">
        <v>519</v>
      </c>
      <c r="B29" s="1" t="s">
        <v>520</v>
      </c>
      <c r="C29" s="1" t="s">
        <v>19</v>
      </c>
      <c r="D29" s="1" t="s">
        <v>502</v>
      </c>
      <c r="E29" s="3">
        <v>6329</v>
      </c>
      <c r="F29" s="1" t="str">
        <f>VLOOKUP(D29,Table9[[Name]:[Native]],3,FALSE)</f>
        <v>天峻县</v>
      </c>
      <c r="G29" s="12" t="str">
        <f ca="1">VLOOKUP(F29,Table9[[Native]:[Population4]],5,FALSE)</f>
        <v>海西蒙古族藏族自治州</v>
      </c>
    </row>
    <row r="30" spans="1:7" ht="15.75" thickBot="1" x14ac:dyDescent="0.3">
      <c r="A30" t="s">
        <v>521</v>
      </c>
      <c r="B30" s="1" t="s">
        <v>522</v>
      </c>
      <c r="C30" s="1" t="s">
        <v>7</v>
      </c>
      <c r="D30" s="1" t="s">
        <v>461</v>
      </c>
      <c r="E30" s="3">
        <v>3731</v>
      </c>
      <c r="F30" s="1" t="str">
        <f>VLOOKUP(D30,Table9[[Name]:[Native]],3,FALSE)</f>
        <v>都兰县</v>
      </c>
      <c r="G30" s="12" t="str">
        <f ca="1">VLOOKUP(F30,Table9[[Native]:[Population4]],5,FALSE)</f>
        <v>海西蒙古族藏族自治州</v>
      </c>
    </row>
    <row r="31" spans="1:7" ht="15.75" thickBot="1" x14ac:dyDescent="0.3">
      <c r="A31" t="s">
        <v>523</v>
      </c>
      <c r="B31" s="1" t="s">
        <v>524</v>
      </c>
      <c r="C31" s="1" t="s">
        <v>7</v>
      </c>
      <c r="D31" s="1" t="s">
        <v>502</v>
      </c>
      <c r="E31" s="3">
        <v>962</v>
      </c>
      <c r="F31" s="1" t="str">
        <f>VLOOKUP(D31,Table9[[Name]:[Native]],3,FALSE)</f>
        <v>天峻县</v>
      </c>
      <c r="G31" s="12" t="str">
        <f ca="1">VLOOKUP(F31,Table9[[Native]:[Population4]],5,FALSE)</f>
        <v>海西蒙古族藏族自治州</v>
      </c>
    </row>
    <row r="32" spans="1:7" ht="15.75" thickBot="1" x14ac:dyDescent="0.3">
      <c r="A32" t="s">
        <v>525</v>
      </c>
      <c r="B32" s="1" t="s">
        <v>526</v>
      </c>
      <c r="C32" s="1" t="s">
        <v>7</v>
      </c>
      <c r="D32" s="1" t="s">
        <v>502</v>
      </c>
      <c r="E32" s="3">
        <v>1275</v>
      </c>
      <c r="F32" s="1" t="str">
        <f>VLOOKUP(D32,Table9[[Name]:[Native]],3,FALSE)</f>
        <v>天峻县</v>
      </c>
      <c r="G32" s="12" t="str">
        <f ca="1">VLOOKUP(F32,Table9[[Native]:[Population4]],5,FALSE)</f>
        <v>海西蒙古族藏族自治州</v>
      </c>
    </row>
    <row r="33" spans="1:7" ht="15.75" thickBot="1" x14ac:dyDescent="0.3">
      <c r="A33" t="s">
        <v>527</v>
      </c>
      <c r="B33" s="1" t="s">
        <v>528</v>
      </c>
      <c r="C33" s="1" t="s">
        <v>19</v>
      </c>
      <c r="D33" s="1" t="s">
        <v>464</v>
      </c>
      <c r="E33" s="3">
        <v>1605</v>
      </c>
      <c r="F33" s="1" t="str">
        <f>VLOOKUP(D33,Table9[[Name]:[Native]],3,FALSE)</f>
        <v>格尔木市</v>
      </c>
      <c r="G33" s="12" t="str">
        <f ca="1">VLOOKUP(F33,Table9[[Native]:[Population4]],5,FALSE)</f>
        <v>海西蒙古族藏族自治州</v>
      </c>
    </row>
    <row r="34" spans="1:7" ht="15.75" thickBot="1" x14ac:dyDescent="0.3">
      <c r="A34" t="s">
        <v>529</v>
      </c>
      <c r="B34" s="1" t="s">
        <v>530</v>
      </c>
      <c r="C34" s="1" t="s">
        <v>19</v>
      </c>
      <c r="D34" s="1" t="s">
        <v>472</v>
      </c>
      <c r="E34" s="3">
        <v>7214</v>
      </c>
      <c r="F34" s="1" t="str">
        <f>VLOOKUP(D34,Table9[[Name]:[Native]],3,FALSE)</f>
        <v>乌兰县</v>
      </c>
      <c r="G34" s="12" t="str">
        <f ca="1">VLOOKUP(F34,Table9[[Native]:[Population4]],5,FALSE)</f>
        <v>海西蒙古族藏族自治州</v>
      </c>
    </row>
    <row r="35" spans="1:7" ht="15.75" thickBot="1" x14ac:dyDescent="0.3">
      <c r="A35" t="s">
        <v>531</v>
      </c>
      <c r="B35" s="1" t="s">
        <v>532</v>
      </c>
      <c r="C35" s="1" t="s">
        <v>7</v>
      </c>
      <c r="D35" s="1" t="s">
        <v>464</v>
      </c>
      <c r="E35" s="3">
        <v>3831</v>
      </c>
      <c r="F35" s="1" t="str">
        <f>VLOOKUP(D35,Table9[[Name]:[Native]],3,FALSE)</f>
        <v>格尔木市</v>
      </c>
      <c r="G35" s="12" t="str">
        <f ca="1">VLOOKUP(F35,Table9[[Native]:[Population4]],5,FALSE)</f>
        <v>海西蒙古族藏族自治州</v>
      </c>
    </row>
    <row r="36" spans="1:7" ht="15.75" thickBot="1" x14ac:dyDescent="0.3">
      <c r="A36" t="s">
        <v>533</v>
      </c>
      <c r="B36" s="1" t="s">
        <v>534</v>
      </c>
      <c r="C36" s="1" t="s">
        <v>7</v>
      </c>
      <c r="D36" s="1" t="s">
        <v>461</v>
      </c>
      <c r="E36" s="3">
        <v>4042</v>
      </c>
      <c r="F36" s="1" t="str">
        <f>VLOOKUP(D36,Table9[[Name]:[Native]],3,FALSE)</f>
        <v>都兰县</v>
      </c>
      <c r="G36" s="12" t="str">
        <f ca="1">VLOOKUP(F36,Table9[[Native]:[Population4]],5,FALSE)</f>
        <v>海西蒙古族藏族自治州</v>
      </c>
    </row>
    <row r="37" spans="1:7" ht="15.75" thickBot="1" x14ac:dyDescent="0.3">
      <c r="A37" t="s">
        <v>535</v>
      </c>
      <c r="B37" s="1" t="s">
        <v>536</v>
      </c>
      <c r="C37" s="1" t="s">
        <v>19</v>
      </c>
      <c r="D37" s="1" t="s">
        <v>461</v>
      </c>
      <c r="E37" s="3">
        <v>25247</v>
      </c>
      <c r="F37" s="1" t="str">
        <f>VLOOKUP(D37,Table9[[Name]:[Native]],3,FALSE)</f>
        <v>都兰县</v>
      </c>
      <c r="G37" s="12" t="str">
        <f ca="1">VLOOKUP(F37,Table9[[Native]:[Population4]],5,FALSE)</f>
        <v>海西蒙古族藏族自治州</v>
      </c>
    </row>
    <row r="38" spans="1:7" ht="15.75" thickBot="1" x14ac:dyDescent="0.3">
      <c r="A38" t="s">
        <v>537</v>
      </c>
      <c r="B38" s="1" t="s">
        <v>538</v>
      </c>
      <c r="C38" s="1" t="s">
        <v>19</v>
      </c>
      <c r="D38" s="1" t="s">
        <v>461</v>
      </c>
      <c r="E38" s="3">
        <v>5387</v>
      </c>
      <c r="F38" s="1" t="str">
        <f>VLOOKUP(D38,Table9[[Name]:[Native]],3,FALSE)</f>
        <v>都兰县</v>
      </c>
      <c r="G38" s="12" t="str">
        <f ca="1">VLOOKUP(F38,Table9[[Native]:[Population4]],5,FALSE)</f>
        <v>海西蒙古族藏族自治州</v>
      </c>
    </row>
    <row r="39" spans="1:7" ht="15.75" thickBot="1" x14ac:dyDescent="0.3">
      <c r="A39" t="s">
        <v>539</v>
      </c>
      <c r="B39" s="1" t="s">
        <v>540</v>
      </c>
      <c r="C39" s="1" t="s">
        <v>19</v>
      </c>
      <c r="D39" s="1" t="s">
        <v>472</v>
      </c>
      <c r="E39" s="3">
        <v>13723</v>
      </c>
      <c r="F39" s="1" t="str">
        <f>VLOOKUP(D39,Table9[[Name]:[Native]],3,FALSE)</f>
        <v>乌兰县</v>
      </c>
      <c r="G39" s="12" t="str">
        <f ca="1">VLOOKUP(F39,Table9[[Native]:[Population4]],5,FALSE)</f>
        <v>海西蒙古族藏族自治州</v>
      </c>
    </row>
    <row r="40" spans="1:7" ht="15.75" thickBot="1" x14ac:dyDescent="0.3">
      <c r="A40" t="s">
        <v>541</v>
      </c>
      <c r="B40" s="1" t="s">
        <v>542</v>
      </c>
      <c r="C40" s="1" t="s">
        <v>19</v>
      </c>
      <c r="D40" s="1" t="s">
        <v>502</v>
      </c>
      <c r="E40" s="3">
        <v>16585</v>
      </c>
      <c r="F40" s="1" t="str">
        <f>VLOOKUP(D40,Table9[[Name]:[Native]],3,FALSE)</f>
        <v>天峻县</v>
      </c>
      <c r="G40" s="12" t="str">
        <f ca="1">VLOOKUP(F40,Table9[[Native]:[Population4]],5,FALSE)</f>
        <v>海西蒙古族藏族自治州</v>
      </c>
    </row>
    <row r="41" spans="1:7" ht="15.75" thickBot="1" x14ac:dyDescent="0.3">
      <c r="A41" t="s">
        <v>543</v>
      </c>
      <c r="B41" s="1" t="s">
        <v>544</v>
      </c>
      <c r="C41" s="1" t="s">
        <v>19</v>
      </c>
      <c r="D41" s="1" t="s">
        <v>469</v>
      </c>
      <c r="E41" s="3">
        <v>3921</v>
      </c>
      <c r="F41" s="1" t="str">
        <f>VLOOKUP(D41,Table9[[Name]:[Native]],3,FALSE)</f>
        <v>大柴旦行委</v>
      </c>
      <c r="G41" s="12" t="str">
        <f ca="1">VLOOKUP(F41,Table9[[Native]:[Population4]],5,FALSE)</f>
        <v>海西蒙古族藏族自治州</v>
      </c>
    </row>
    <row r="42" spans="1:7" ht="15.75" thickBot="1" x14ac:dyDescent="0.3">
      <c r="A42" t="s">
        <v>545</v>
      </c>
      <c r="B42" s="1" t="s">
        <v>546</v>
      </c>
      <c r="C42" s="1" t="s">
        <v>488</v>
      </c>
      <c r="D42" s="1" t="s">
        <v>464</v>
      </c>
      <c r="E42" s="3">
        <v>12097</v>
      </c>
      <c r="F42" s="1" t="str">
        <f>VLOOKUP(D42,Table9[[Name]:[Native]],3,FALSE)</f>
        <v>格尔木市</v>
      </c>
      <c r="G42" s="12" t="str">
        <f ca="1">VLOOKUP(F42,Table9[[Native]:[Population4]],5,FALSE)</f>
        <v>海西蒙古族藏族自治州</v>
      </c>
    </row>
    <row r="43" spans="1:7" ht="15.75" thickBot="1" x14ac:dyDescent="0.3">
      <c r="A43" t="s">
        <v>547</v>
      </c>
      <c r="B43" s="1" t="s">
        <v>548</v>
      </c>
      <c r="C43" s="1" t="s">
        <v>7</v>
      </c>
      <c r="D43" s="1" t="s">
        <v>477</v>
      </c>
      <c r="E43" s="3">
        <v>1834</v>
      </c>
      <c r="F43" s="1" t="str">
        <f>VLOOKUP(D43,Table9[[Name]:[Native]],3,FALSE)</f>
        <v>德令哈市</v>
      </c>
      <c r="G43" s="12" t="str">
        <f ca="1">VLOOKUP(F43,Table9[[Native]:[Population4]],5,FALSE)</f>
        <v>海西蒙古族藏族自治州</v>
      </c>
    </row>
    <row r="44" spans="1:7" ht="15.75" thickBot="1" x14ac:dyDescent="0.3">
      <c r="A44" t="s">
        <v>549</v>
      </c>
      <c r="B44" s="1" t="s">
        <v>550</v>
      </c>
      <c r="C44" s="1" t="s">
        <v>7</v>
      </c>
      <c r="D44" s="1" t="s">
        <v>502</v>
      </c>
      <c r="E44" s="3">
        <v>1105</v>
      </c>
      <c r="F44" s="1" t="str">
        <f>VLOOKUP(D44,Table9[[Name]:[Native]],3,FALSE)</f>
        <v>天峻县</v>
      </c>
      <c r="G44" s="12" t="str">
        <f ca="1">VLOOKUP(F44,Table9[[Native]:[Population4]],5,FALSE)</f>
        <v>海西蒙古族藏族自治州</v>
      </c>
    </row>
    <row r="45" spans="1:7" ht="15.75" thickBot="1" x14ac:dyDescent="0.3">
      <c r="A45" t="s">
        <v>551</v>
      </c>
      <c r="B45" s="1" t="s">
        <v>552</v>
      </c>
      <c r="C45" s="1" t="s">
        <v>7</v>
      </c>
      <c r="D45" s="1" t="s">
        <v>502</v>
      </c>
      <c r="E45" s="3">
        <v>1551</v>
      </c>
      <c r="F45" s="1" t="str">
        <f>VLOOKUP(D45,Table9[[Name]:[Native]],3,FALSE)</f>
        <v>天峻县</v>
      </c>
      <c r="G45" s="12" t="str">
        <f ca="1">VLOOKUP(F45,Table9[[Native]:[Population4]],5,FALSE)</f>
        <v>海西蒙古族藏族自治州</v>
      </c>
    </row>
    <row r="46" spans="1:7" ht="15.75" thickBot="1" x14ac:dyDescent="0.3">
      <c r="A46" t="s">
        <v>553</v>
      </c>
      <c r="B46" s="1" t="s">
        <v>554</v>
      </c>
      <c r="C46" s="1" t="s">
        <v>7</v>
      </c>
      <c r="D46" s="1" t="s">
        <v>502</v>
      </c>
      <c r="E46" s="3">
        <v>1044</v>
      </c>
      <c r="F46" s="1" t="str">
        <f>VLOOKUP(D46,Table9[[Name]:[Native]],3,FALSE)</f>
        <v>天峻县</v>
      </c>
      <c r="G46" s="12" t="str">
        <f ca="1">VLOOKUP(F46,Table9[[Native]:[Population4]],5,FALSE)</f>
        <v>海西蒙古族藏族自治州</v>
      </c>
    </row>
    <row r="47" spans="1:7" ht="15.75" thickBot="1" x14ac:dyDescent="0.3">
      <c r="A47" t="s">
        <v>555</v>
      </c>
      <c r="B47" s="1" t="s">
        <v>556</v>
      </c>
      <c r="C47" s="1" t="s">
        <v>19</v>
      </c>
      <c r="D47" s="1" t="s">
        <v>461</v>
      </c>
      <c r="E47" s="3">
        <v>10372</v>
      </c>
      <c r="F47" s="9" t="str">
        <f>VLOOKUP(D47,Table9[[Name]:[Native]],3,FALSE)</f>
        <v>都兰县</v>
      </c>
      <c r="G47" s="12" t="str">
        <f ca="1">VLOOKUP(F47,Table9[[Native]:[Population4]],5,FALSE)</f>
        <v>海西蒙古族藏族自治州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18D42-FE80-414D-B407-C92D33B0DB0A}">
  <dimension ref="A1:G33"/>
  <sheetViews>
    <sheetView workbookViewId="0">
      <selection activeCell="A2" sqref="A2:G3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945</v>
      </c>
      <c r="G1" t="s">
        <v>947</v>
      </c>
    </row>
    <row r="2" spans="1:7" ht="15.75" thickBot="1" x14ac:dyDescent="0.3">
      <c r="A2" t="s">
        <v>557</v>
      </c>
      <c r="B2" s="1" t="s">
        <v>558</v>
      </c>
      <c r="C2" s="1" t="s">
        <v>7</v>
      </c>
      <c r="D2" s="1" t="s">
        <v>559</v>
      </c>
      <c r="E2" s="3">
        <v>2449</v>
      </c>
      <c r="F2" s="8" t="str">
        <f>VLOOKUP(D2,Table9[[Name]:[Native]],3,FALSE)</f>
        <v>尖扎县</v>
      </c>
      <c r="G2" s="12" t="str">
        <f ca="1">VLOOKUP(F2,Table9[[Native]:[Population4]],5,FALSE)</f>
        <v>黄南藏族自治州</v>
      </c>
    </row>
    <row r="3" spans="1:7" ht="15.75" thickBot="1" x14ac:dyDescent="0.3">
      <c r="A3" t="s">
        <v>560</v>
      </c>
      <c r="B3" s="1" t="s">
        <v>561</v>
      </c>
      <c r="C3" s="1" t="s">
        <v>19</v>
      </c>
      <c r="D3" s="1" t="s">
        <v>562</v>
      </c>
      <c r="E3" s="3">
        <v>10771</v>
      </c>
      <c r="F3" s="1" t="str">
        <f>VLOOKUP(D3,Table9[[Name]:[Native]],3,FALSE)</f>
        <v>同仁市</v>
      </c>
      <c r="G3" s="12" t="str">
        <f ca="1">VLOOKUP(F3,Table9[[Native]:[Population4]],5,FALSE)</f>
        <v>黄南藏族自治州</v>
      </c>
    </row>
    <row r="4" spans="1:7" ht="15.75" thickBot="1" x14ac:dyDescent="0.3">
      <c r="A4" t="s">
        <v>563</v>
      </c>
      <c r="B4" s="1" t="s">
        <v>564</v>
      </c>
      <c r="C4" s="1" t="s">
        <v>7</v>
      </c>
      <c r="D4" s="1" t="s">
        <v>559</v>
      </c>
      <c r="E4" s="3">
        <v>4415</v>
      </c>
      <c r="F4" s="1" t="str">
        <f>VLOOKUP(D4,Table9[[Name]:[Native]],3,FALSE)</f>
        <v>尖扎县</v>
      </c>
      <c r="G4" s="12" t="str">
        <f ca="1">VLOOKUP(F4,Table9[[Native]:[Population4]],5,FALSE)</f>
        <v>黄南藏族自治州</v>
      </c>
    </row>
    <row r="5" spans="1:7" ht="15.75" thickBot="1" x14ac:dyDescent="0.3">
      <c r="A5" t="s">
        <v>565</v>
      </c>
      <c r="B5" s="1" t="s">
        <v>566</v>
      </c>
      <c r="C5" s="1" t="s">
        <v>7</v>
      </c>
      <c r="D5" s="1" t="s">
        <v>559</v>
      </c>
      <c r="E5" s="3">
        <v>1878</v>
      </c>
      <c r="F5" s="1" t="str">
        <f>VLOOKUP(D5,Table9[[Name]:[Native]],3,FALSE)</f>
        <v>尖扎县</v>
      </c>
      <c r="G5" s="12" t="str">
        <f ca="1">VLOOKUP(F5,Table9[[Native]:[Population4]],5,FALSE)</f>
        <v>黄南藏族自治州</v>
      </c>
    </row>
    <row r="6" spans="1:7" ht="15.75" thickBot="1" x14ac:dyDescent="0.3">
      <c r="A6" t="s">
        <v>567</v>
      </c>
      <c r="B6" s="1" t="s">
        <v>568</v>
      </c>
      <c r="C6" s="1" t="s">
        <v>7</v>
      </c>
      <c r="D6" s="1" t="s">
        <v>569</v>
      </c>
      <c r="E6" s="3">
        <v>8912</v>
      </c>
      <c r="F6" s="1" t="str">
        <f>VLOOKUP(D6,Table9[[Name]:[Native]],3,FALSE)</f>
        <v>泽库县</v>
      </c>
      <c r="G6" s="12" t="str">
        <f ca="1">VLOOKUP(F6,Table9[[Native]:[Population4]],5,FALSE)</f>
        <v>黄南藏族自治州</v>
      </c>
    </row>
    <row r="7" spans="1:7" ht="15.75" thickBot="1" x14ac:dyDescent="0.3">
      <c r="A7" t="s">
        <v>570</v>
      </c>
      <c r="B7" s="1" t="s">
        <v>571</v>
      </c>
      <c r="C7" s="1" t="s">
        <v>7</v>
      </c>
      <c r="D7" s="1" t="s">
        <v>572</v>
      </c>
      <c r="E7" s="3">
        <v>2319</v>
      </c>
      <c r="F7" s="1" t="str">
        <f>VLOOKUP(D7,Table9[[Name]:[Native]],3,FALSE)</f>
        <v>河南蒙古族自治县</v>
      </c>
      <c r="G7" s="12" t="str">
        <f ca="1">VLOOKUP(F7,Table9[[Native]:[Population4]],5,FALSE)</f>
        <v>黄南藏族自治州</v>
      </c>
    </row>
    <row r="8" spans="1:7" ht="15.75" thickBot="1" x14ac:dyDescent="0.3">
      <c r="A8" t="s">
        <v>573</v>
      </c>
      <c r="B8" s="1" t="s">
        <v>574</v>
      </c>
      <c r="C8" s="1" t="s">
        <v>19</v>
      </c>
      <c r="D8" s="1" t="s">
        <v>562</v>
      </c>
      <c r="E8" s="3">
        <v>6540</v>
      </c>
      <c r="F8" s="1" t="str">
        <f>VLOOKUP(D8,Table9[[Name]:[Native]],3,FALSE)</f>
        <v>同仁市</v>
      </c>
      <c r="G8" s="12" t="str">
        <f ca="1">VLOOKUP(F8,Table9[[Native]:[Population4]],5,FALSE)</f>
        <v>黄南藏族自治州</v>
      </c>
    </row>
    <row r="9" spans="1:7" ht="15.75" thickBot="1" x14ac:dyDescent="0.3">
      <c r="A9" t="s">
        <v>575</v>
      </c>
      <c r="B9" s="1" t="s">
        <v>576</v>
      </c>
      <c r="C9" s="1" t="s">
        <v>7</v>
      </c>
      <c r="D9" s="1" t="s">
        <v>562</v>
      </c>
      <c r="E9" s="3">
        <v>4355</v>
      </c>
      <c r="F9" s="1" t="str">
        <f>VLOOKUP(D9,Table9[[Name]:[Native]],3,FALSE)</f>
        <v>同仁市</v>
      </c>
      <c r="G9" s="12" t="str">
        <f ca="1">VLOOKUP(F9,Table9[[Native]:[Population4]],5,FALSE)</f>
        <v>黄南藏族自治州</v>
      </c>
    </row>
    <row r="10" spans="1:7" ht="15.75" thickBot="1" x14ac:dyDescent="0.3">
      <c r="A10" t="s">
        <v>577</v>
      </c>
      <c r="B10" s="1" t="s">
        <v>578</v>
      </c>
      <c r="C10" s="1" t="s">
        <v>19</v>
      </c>
      <c r="D10" s="1" t="s">
        <v>569</v>
      </c>
      <c r="E10" s="3">
        <v>10881</v>
      </c>
      <c r="F10" s="1" t="str">
        <f>VLOOKUP(D10,Table9[[Name]:[Native]],3,FALSE)</f>
        <v>泽库县</v>
      </c>
      <c r="G10" s="12" t="str">
        <f ca="1">VLOOKUP(F10,Table9[[Native]:[Population4]],5,FALSE)</f>
        <v>黄南藏族自治州</v>
      </c>
    </row>
    <row r="11" spans="1:7" ht="15.75" thickBot="1" x14ac:dyDescent="0.3">
      <c r="A11" t="s">
        <v>579</v>
      </c>
      <c r="B11" s="1" t="s">
        <v>580</v>
      </c>
      <c r="C11" s="1" t="s">
        <v>7</v>
      </c>
      <c r="D11" s="1" t="s">
        <v>562</v>
      </c>
      <c r="E11" s="3">
        <v>3152</v>
      </c>
      <c r="F11" s="1" t="str">
        <f>VLOOKUP(D11,Table9[[Name]:[Native]],3,FALSE)</f>
        <v>同仁市</v>
      </c>
      <c r="G11" s="12" t="str">
        <f ca="1">VLOOKUP(F11,Table9[[Native]:[Population4]],5,FALSE)</f>
        <v>黄南藏族自治州</v>
      </c>
    </row>
    <row r="12" spans="1:7" ht="15.75" thickBot="1" x14ac:dyDescent="0.3">
      <c r="A12" t="s">
        <v>581</v>
      </c>
      <c r="B12" s="1" t="s">
        <v>582</v>
      </c>
      <c r="C12" s="1" t="s">
        <v>7</v>
      </c>
      <c r="D12" s="1" t="s">
        <v>559</v>
      </c>
      <c r="E12" s="3">
        <v>1612</v>
      </c>
      <c r="F12" s="1" t="str">
        <f>VLOOKUP(D12,Table9[[Name]:[Native]],3,FALSE)</f>
        <v>尖扎县</v>
      </c>
      <c r="G12" s="12" t="str">
        <f ca="1">VLOOKUP(F12,Table9[[Native]:[Population4]],5,FALSE)</f>
        <v>黄南藏族自治州</v>
      </c>
    </row>
    <row r="13" spans="1:7" ht="15.75" thickBot="1" x14ac:dyDescent="0.3">
      <c r="A13" t="s">
        <v>583</v>
      </c>
      <c r="B13" s="1" t="s">
        <v>584</v>
      </c>
      <c r="C13" s="1" t="s">
        <v>7</v>
      </c>
      <c r="D13" s="1" t="s">
        <v>559</v>
      </c>
      <c r="E13" s="3">
        <v>4871</v>
      </c>
      <c r="F13" s="1" t="str">
        <f>VLOOKUP(D13,Table9[[Name]:[Native]],3,FALSE)</f>
        <v>尖扎县</v>
      </c>
      <c r="G13" s="12" t="str">
        <f ca="1">VLOOKUP(F13,Table9[[Native]:[Population4]],5,FALSE)</f>
        <v>黄南藏族自治州</v>
      </c>
    </row>
    <row r="14" spans="1:7" ht="15.75" thickBot="1" x14ac:dyDescent="0.3">
      <c r="A14" t="s">
        <v>585</v>
      </c>
      <c r="B14" s="1" t="s">
        <v>586</v>
      </c>
      <c r="C14" s="1" t="s">
        <v>7</v>
      </c>
      <c r="D14" s="1" t="s">
        <v>562</v>
      </c>
      <c r="E14" s="3">
        <v>4481</v>
      </c>
      <c r="F14" s="1" t="str">
        <f>VLOOKUP(D14,Table9[[Name]:[Native]],3,FALSE)</f>
        <v>同仁市</v>
      </c>
      <c r="G14" s="12" t="str">
        <f ca="1">VLOOKUP(F14,Table9[[Native]:[Population4]],5,FALSE)</f>
        <v>黄南藏族自治州</v>
      </c>
    </row>
    <row r="15" spans="1:7" ht="15.75" thickBot="1" x14ac:dyDescent="0.3">
      <c r="A15" t="s">
        <v>587</v>
      </c>
      <c r="B15" s="1" t="s">
        <v>588</v>
      </c>
      <c r="C15" s="1" t="s">
        <v>19</v>
      </c>
      <c r="D15" s="1" t="s">
        <v>559</v>
      </c>
      <c r="E15" s="3">
        <v>10716</v>
      </c>
      <c r="F15" s="1" t="str">
        <f>VLOOKUP(D15,Table9[[Name]:[Native]],3,FALSE)</f>
        <v>尖扎县</v>
      </c>
      <c r="G15" s="12" t="str">
        <f ca="1">VLOOKUP(F15,Table9[[Native]:[Population4]],5,FALSE)</f>
        <v>黄南藏族自治州</v>
      </c>
    </row>
    <row r="16" spans="1:7" ht="15.75" thickBot="1" x14ac:dyDescent="0.3">
      <c r="A16" t="s">
        <v>589</v>
      </c>
      <c r="B16" s="1" t="s">
        <v>590</v>
      </c>
      <c r="C16" s="1" t="s">
        <v>19</v>
      </c>
      <c r="D16" s="1" t="s">
        <v>559</v>
      </c>
      <c r="E16" s="3">
        <v>8182</v>
      </c>
      <c r="F16" s="1" t="str">
        <f>VLOOKUP(D16,Table9[[Name]:[Native]],3,FALSE)</f>
        <v>尖扎县</v>
      </c>
      <c r="G16" s="12" t="str">
        <f ca="1">VLOOKUP(F16,Table9[[Native]:[Population4]],5,FALSE)</f>
        <v>黄南藏族自治州</v>
      </c>
    </row>
    <row r="17" spans="1:7" ht="15.75" thickBot="1" x14ac:dyDescent="0.3">
      <c r="A17" t="s">
        <v>591</v>
      </c>
      <c r="B17" s="1" t="s">
        <v>592</v>
      </c>
      <c r="C17" s="1" t="s">
        <v>7</v>
      </c>
      <c r="D17" s="1" t="s">
        <v>572</v>
      </c>
      <c r="E17" s="3">
        <v>3017</v>
      </c>
      <c r="F17" s="1" t="str">
        <f>VLOOKUP(D17,Table9[[Name]:[Native]],3,FALSE)</f>
        <v>河南蒙古族自治县</v>
      </c>
      <c r="G17" s="12" t="str">
        <f ca="1">VLOOKUP(F17,Table9[[Native]:[Population4]],5,FALSE)</f>
        <v>黄南藏族自治州</v>
      </c>
    </row>
    <row r="18" spans="1:7" ht="15.75" thickBot="1" x14ac:dyDescent="0.3">
      <c r="A18" t="s">
        <v>593</v>
      </c>
      <c r="B18" s="1" t="s">
        <v>594</v>
      </c>
      <c r="C18" s="1" t="s">
        <v>7</v>
      </c>
      <c r="D18" s="1" t="s">
        <v>562</v>
      </c>
      <c r="E18" s="3">
        <v>4207</v>
      </c>
      <c r="F18" s="1" t="str">
        <f>VLOOKUP(D18,Table9[[Name]:[Native]],3,FALSE)</f>
        <v>同仁市</v>
      </c>
      <c r="G18" s="12" t="str">
        <f ca="1">VLOOKUP(F18,Table9[[Native]:[Population4]],5,FALSE)</f>
        <v>黄南藏族自治州</v>
      </c>
    </row>
    <row r="19" spans="1:7" ht="15.75" thickBot="1" x14ac:dyDescent="0.3">
      <c r="A19" t="s">
        <v>595</v>
      </c>
      <c r="B19" s="1" t="s">
        <v>596</v>
      </c>
      <c r="C19" s="1" t="s">
        <v>19</v>
      </c>
      <c r="D19" s="1" t="s">
        <v>562</v>
      </c>
      <c r="E19" s="3">
        <v>35612</v>
      </c>
      <c r="F19" s="1" t="str">
        <f>VLOOKUP(D19,Table9[[Name]:[Native]],3,FALSE)</f>
        <v>同仁市</v>
      </c>
      <c r="G19" s="12" t="str">
        <f ca="1">VLOOKUP(F19,Table9[[Native]:[Population4]],5,FALSE)</f>
        <v>黄南藏族自治州</v>
      </c>
    </row>
    <row r="20" spans="1:7" ht="15.75" thickBot="1" x14ac:dyDescent="0.3">
      <c r="A20" t="s">
        <v>597</v>
      </c>
      <c r="B20" s="1" t="s">
        <v>598</v>
      </c>
      <c r="C20" s="1" t="s">
        <v>19</v>
      </c>
      <c r="D20" s="1" t="s">
        <v>569</v>
      </c>
      <c r="E20" s="3">
        <v>11139</v>
      </c>
      <c r="F20" s="1" t="str">
        <f>VLOOKUP(D20,Table9[[Name]:[Native]],3,FALSE)</f>
        <v>泽库县</v>
      </c>
      <c r="G20" s="12" t="str">
        <f ca="1">VLOOKUP(F20,Table9[[Native]:[Population4]],5,FALSE)</f>
        <v>黄南藏族自治州</v>
      </c>
    </row>
    <row r="21" spans="1:7" ht="15.75" thickBot="1" x14ac:dyDescent="0.3">
      <c r="A21" t="s">
        <v>599</v>
      </c>
      <c r="B21" s="1" t="s">
        <v>600</v>
      </c>
      <c r="C21" s="1" t="s">
        <v>19</v>
      </c>
      <c r="D21" s="1" t="s">
        <v>559</v>
      </c>
      <c r="E21" s="3">
        <v>19226</v>
      </c>
      <c r="F21" s="1" t="str">
        <f>VLOOKUP(D21,Table9[[Name]:[Native]],3,FALSE)</f>
        <v>尖扎县</v>
      </c>
      <c r="G21" s="12" t="str">
        <f ca="1">VLOOKUP(F21,Table9[[Native]:[Population4]],5,FALSE)</f>
        <v>黄南藏族自治州</v>
      </c>
    </row>
    <row r="22" spans="1:7" ht="15.75" thickBot="1" x14ac:dyDescent="0.3">
      <c r="A22" t="s">
        <v>601</v>
      </c>
      <c r="B22" s="1" t="s">
        <v>602</v>
      </c>
      <c r="C22" s="1" t="s">
        <v>7</v>
      </c>
      <c r="D22" s="1" t="s">
        <v>559</v>
      </c>
      <c r="E22" s="3">
        <v>1976</v>
      </c>
      <c r="F22" s="1" t="str">
        <f>VLOOKUP(D22,Table9[[Name]:[Native]],3,FALSE)</f>
        <v>尖扎县</v>
      </c>
      <c r="G22" s="12" t="str">
        <f ca="1">VLOOKUP(F22,Table9[[Native]:[Population4]],5,FALSE)</f>
        <v>黄南藏族自治州</v>
      </c>
    </row>
    <row r="23" spans="1:7" ht="15.75" thickBot="1" x14ac:dyDescent="0.3">
      <c r="A23" t="s">
        <v>603</v>
      </c>
      <c r="B23" s="1" t="s">
        <v>604</v>
      </c>
      <c r="C23" s="1" t="s">
        <v>7</v>
      </c>
      <c r="D23" s="1" t="s">
        <v>562</v>
      </c>
      <c r="E23" s="3">
        <v>8620</v>
      </c>
      <c r="F23" s="1" t="str">
        <f>VLOOKUP(D23,Table9[[Name]:[Native]],3,FALSE)</f>
        <v>同仁市</v>
      </c>
      <c r="G23" s="12" t="str">
        <f ca="1">VLOOKUP(F23,Table9[[Native]:[Population4]],5,FALSE)</f>
        <v>黄南藏族自治州</v>
      </c>
    </row>
    <row r="24" spans="1:7" ht="15.75" thickBot="1" x14ac:dyDescent="0.3">
      <c r="A24" t="s">
        <v>605</v>
      </c>
      <c r="B24" s="1" t="s">
        <v>606</v>
      </c>
      <c r="C24" s="1" t="s">
        <v>19</v>
      </c>
      <c r="D24" s="1" t="s">
        <v>572</v>
      </c>
      <c r="E24" s="3">
        <v>9677</v>
      </c>
      <c r="F24" s="1" t="str">
        <f>VLOOKUP(D24,Table9[[Name]:[Native]],3,FALSE)</f>
        <v>河南蒙古族自治县</v>
      </c>
      <c r="G24" s="12" t="str">
        <f ca="1">VLOOKUP(F24,Table9[[Native]:[Population4]],5,FALSE)</f>
        <v>黄南藏族自治州</v>
      </c>
    </row>
    <row r="25" spans="1:7" ht="15.75" thickBot="1" x14ac:dyDescent="0.3">
      <c r="A25" t="s">
        <v>607</v>
      </c>
      <c r="B25" s="1" t="s">
        <v>608</v>
      </c>
      <c r="C25" s="1" t="s">
        <v>19</v>
      </c>
      <c r="D25" s="1" t="s">
        <v>569</v>
      </c>
      <c r="E25" s="3">
        <v>14620</v>
      </c>
      <c r="F25" s="1" t="str">
        <f>VLOOKUP(D25,Table9[[Name]:[Native]],3,FALSE)</f>
        <v>泽库县</v>
      </c>
      <c r="G25" s="12" t="str">
        <f ca="1">VLOOKUP(F25,Table9[[Native]:[Population4]],5,FALSE)</f>
        <v>黄南藏族自治州</v>
      </c>
    </row>
    <row r="26" spans="1:7" ht="15.75" thickBot="1" x14ac:dyDescent="0.3">
      <c r="A26" t="s">
        <v>609</v>
      </c>
      <c r="B26" s="1" t="s">
        <v>610</v>
      </c>
      <c r="C26" s="1" t="s">
        <v>7</v>
      </c>
      <c r="D26" s="1" t="s">
        <v>562</v>
      </c>
      <c r="E26" s="3">
        <v>7223</v>
      </c>
      <c r="F26" s="1" t="str">
        <f>VLOOKUP(D26,Table9[[Name]:[Native]],3,FALSE)</f>
        <v>同仁市</v>
      </c>
      <c r="G26" s="12" t="str">
        <f ca="1">VLOOKUP(F26,Table9[[Native]:[Population4]],5,FALSE)</f>
        <v>黄南藏族自治州</v>
      </c>
    </row>
    <row r="27" spans="1:7" ht="15.75" thickBot="1" x14ac:dyDescent="0.3">
      <c r="A27" t="s">
        <v>611</v>
      </c>
      <c r="B27" s="1" t="s">
        <v>612</v>
      </c>
      <c r="C27" s="1" t="s">
        <v>7</v>
      </c>
      <c r="D27" s="1" t="s">
        <v>572</v>
      </c>
      <c r="E27" s="3">
        <v>3038</v>
      </c>
      <c r="F27" s="1" t="str">
        <f>VLOOKUP(D27,Table9[[Name]:[Native]],3,FALSE)</f>
        <v>河南蒙古族自治县</v>
      </c>
      <c r="G27" s="12" t="str">
        <f ca="1">VLOOKUP(F27,Table9[[Native]:[Population4]],5,FALSE)</f>
        <v>黄南藏族自治州</v>
      </c>
    </row>
    <row r="28" spans="1:7" ht="15.75" thickBot="1" x14ac:dyDescent="0.3">
      <c r="A28" t="s">
        <v>613</v>
      </c>
      <c r="B28" s="1" t="s">
        <v>614</v>
      </c>
      <c r="C28" s="1" t="s">
        <v>7</v>
      </c>
      <c r="D28" s="1" t="s">
        <v>562</v>
      </c>
      <c r="E28" s="3">
        <v>3276</v>
      </c>
      <c r="F28" s="1" t="str">
        <f>VLOOKUP(D28,Table9[[Name]:[Native]],3,FALSE)</f>
        <v>同仁市</v>
      </c>
      <c r="G28" s="12" t="str">
        <f ca="1">VLOOKUP(F28,Table9[[Native]:[Population4]],5,FALSE)</f>
        <v>黄南藏族自治州</v>
      </c>
    </row>
    <row r="29" spans="1:7" ht="15.75" thickBot="1" x14ac:dyDescent="0.3">
      <c r="A29" t="s">
        <v>615</v>
      </c>
      <c r="B29" s="1" t="s">
        <v>616</v>
      </c>
      <c r="C29" s="1" t="s">
        <v>7</v>
      </c>
      <c r="D29" s="1" t="s">
        <v>569</v>
      </c>
      <c r="E29" s="3">
        <v>4371</v>
      </c>
      <c r="F29" s="1" t="str">
        <f>VLOOKUP(D29,Table9[[Name]:[Native]],3,FALSE)</f>
        <v>泽库县</v>
      </c>
      <c r="G29" s="12" t="str">
        <f ca="1">VLOOKUP(F29,Table9[[Native]:[Population4]],5,FALSE)</f>
        <v>黄南藏族自治州</v>
      </c>
    </row>
    <row r="30" spans="1:7" ht="15.75" thickBot="1" x14ac:dyDescent="0.3">
      <c r="A30" t="s">
        <v>617</v>
      </c>
      <c r="B30" s="1" t="s">
        <v>618</v>
      </c>
      <c r="C30" s="1" t="s">
        <v>7</v>
      </c>
      <c r="D30" s="1" t="s">
        <v>569</v>
      </c>
      <c r="E30" s="3">
        <v>2827</v>
      </c>
      <c r="F30" s="1" t="str">
        <f>VLOOKUP(D30,Table9[[Name]:[Native]],3,FALSE)</f>
        <v>泽库县</v>
      </c>
      <c r="G30" s="12" t="str">
        <f ca="1">VLOOKUP(F30,Table9[[Native]:[Population4]],5,FALSE)</f>
        <v>黄南藏族自治州</v>
      </c>
    </row>
    <row r="31" spans="1:7" ht="15.75" thickBot="1" x14ac:dyDescent="0.3">
      <c r="A31" t="s">
        <v>619</v>
      </c>
      <c r="B31" s="1" t="s">
        <v>620</v>
      </c>
      <c r="C31" s="1" t="s">
        <v>19</v>
      </c>
      <c r="D31" s="1" t="s">
        <v>572</v>
      </c>
      <c r="E31" s="3">
        <v>21323</v>
      </c>
      <c r="F31" s="1" t="str">
        <f>VLOOKUP(D31,Table9[[Name]:[Native]],3,FALSE)</f>
        <v>河南蒙古族自治县</v>
      </c>
      <c r="G31" s="12" t="str">
        <f ca="1">VLOOKUP(F31,Table9[[Native]:[Population4]],5,FALSE)</f>
        <v>黄南藏族自治州</v>
      </c>
    </row>
    <row r="32" spans="1:7" ht="15.75" thickBot="1" x14ac:dyDescent="0.3">
      <c r="A32" t="s">
        <v>621</v>
      </c>
      <c r="B32" s="1" t="s">
        <v>622</v>
      </c>
      <c r="C32" s="1" t="s">
        <v>19</v>
      </c>
      <c r="D32" s="1" t="s">
        <v>569</v>
      </c>
      <c r="E32" s="3">
        <v>16666</v>
      </c>
      <c r="F32" s="1" t="str">
        <f>VLOOKUP(D32,Table9[[Name]:[Native]],3,FALSE)</f>
        <v>泽库县</v>
      </c>
      <c r="G32" s="12" t="str">
        <f ca="1">VLOOKUP(F32,Table9[[Native]:[Population4]],5,FALSE)</f>
        <v>黄南藏族自治州</v>
      </c>
    </row>
    <row r="33" spans="1:7" ht="15.75" thickBot="1" x14ac:dyDescent="0.3">
      <c r="A33" t="s">
        <v>623</v>
      </c>
      <c r="B33" s="1" t="s">
        <v>624</v>
      </c>
      <c r="C33" s="1" t="s">
        <v>7</v>
      </c>
      <c r="D33" s="1" t="s">
        <v>562</v>
      </c>
      <c r="E33" s="3">
        <v>4364</v>
      </c>
      <c r="F33" s="9" t="str">
        <f>VLOOKUP(D33,Table9[[Name]:[Native]],3,FALSE)</f>
        <v>同仁市</v>
      </c>
      <c r="G33" s="12" t="str">
        <f ca="1">VLOOKUP(F33,Table9[[Native]:[Population4]],5,FALSE)</f>
        <v>黄南藏族自治州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9EE08-D339-4196-916F-CBDA744C95CE}">
  <dimension ref="A1:G73"/>
  <sheetViews>
    <sheetView workbookViewId="0">
      <selection activeCell="A2" sqref="A2:G7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945</v>
      </c>
      <c r="G1" t="s">
        <v>947</v>
      </c>
    </row>
    <row r="2" spans="1:7" ht="15.75" thickBot="1" x14ac:dyDescent="0.3">
      <c r="A2" t="s">
        <v>625</v>
      </c>
      <c r="B2" s="1" t="s">
        <v>626</v>
      </c>
      <c r="C2" s="1" t="s">
        <v>7</v>
      </c>
      <c r="D2" s="1" t="s">
        <v>627</v>
      </c>
      <c r="E2" s="3">
        <v>9196</v>
      </c>
      <c r="F2" s="8" t="str">
        <f>VLOOKUP(D2,Table9[[Name]:[Native]],3,FALSE)</f>
        <v>大通回族土族自治县</v>
      </c>
      <c r="G2" s="12" t="str">
        <f ca="1">VLOOKUP(F2,Table9[[Native]:[Population4]],5,FALSE)</f>
        <v>西宁市</v>
      </c>
    </row>
    <row r="3" spans="1:7" ht="15.75" thickBot="1" x14ac:dyDescent="0.3">
      <c r="A3" t="s">
        <v>628</v>
      </c>
      <c r="B3" s="1" t="s">
        <v>629</v>
      </c>
      <c r="C3" s="1" t="s">
        <v>7</v>
      </c>
      <c r="D3" s="1" t="s">
        <v>630</v>
      </c>
      <c r="E3" s="3">
        <v>9569</v>
      </c>
      <c r="F3" s="1" t="str">
        <f>VLOOKUP(D3,Table9[[Name]:[Native]],3,FALSE)</f>
        <v>湟源县</v>
      </c>
      <c r="G3" s="12" t="str">
        <f ca="1">VLOOKUP(F3,Table9[[Native]:[Population4]],5,FALSE)</f>
        <v>西宁市</v>
      </c>
    </row>
    <row r="4" spans="1:7" ht="15.75" thickBot="1" x14ac:dyDescent="0.3">
      <c r="A4" t="s">
        <v>631</v>
      </c>
      <c r="B4" s="1" t="s">
        <v>632</v>
      </c>
      <c r="C4" s="1" t="s">
        <v>488</v>
      </c>
      <c r="D4" s="1" t="s">
        <v>633</v>
      </c>
      <c r="E4" s="3">
        <v>69891</v>
      </c>
      <c r="F4" s="1" t="str">
        <f>VLOOKUP(D4,Table9[[Name]:[Native]],3,FALSE)</f>
        <v>城东区</v>
      </c>
      <c r="G4" s="12" t="str">
        <f ca="1">VLOOKUP(F4,Table9[[Native]:[Population4]],5,FALSE)</f>
        <v>西宁市</v>
      </c>
    </row>
    <row r="5" spans="1:7" ht="15.75" thickBot="1" x14ac:dyDescent="0.3">
      <c r="A5" t="s">
        <v>634</v>
      </c>
      <c r="B5" s="1" t="s">
        <v>635</v>
      </c>
      <c r="C5" s="1" t="s">
        <v>7</v>
      </c>
      <c r="D5" s="1" t="s">
        <v>630</v>
      </c>
      <c r="E5" s="3">
        <v>8478</v>
      </c>
      <c r="F5" s="1" t="str">
        <f>VLOOKUP(D5,Table9[[Name]:[Native]],3,FALSE)</f>
        <v>湟源县</v>
      </c>
      <c r="G5" s="12" t="str">
        <f ca="1">VLOOKUP(F5,Table9[[Native]:[Population4]],5,FALSE)</f>
        <v>西宁市</v>
      </c>
    </row>
    <row r="6" spans="1:7" ht="15.75" thickBot="1" x14ac:dyDescent="0.3">
      <c r="A6" t="s">
        <v>636</v>
      </c>
      <c r="B6" s="1" t="s">
        <v>637</v>
      </c>
      <c r="C6" s="1" t="s">
        <v>488</v>
      </c>
      <c r="D6" s="1" t="s">
        <v>638</v>
      </c>
      <c r="E6" s="3">
        <v>22008</v>
      </c>
      <c r="F6" s="1" t="str">
        <f>VLOOKUP(D6,Table9[[Name]:[Native]],3,FALSE)</f>
        <v>城中区</v>
      </c>
      <c r="G6" s="12" t="str">
        <f ca="1">VLOOKUP(F6,Table9[[Native]:[Population4]],5,FALSE)</f>
        <v>西宁市</v>
      </c>
    </row>
    <row r="7" spans="1:7" ht="15.75" thickBot="1" x14ac:dyDescent="0.3">
      <c r="A7" t="s">
        <v>639</v>
      </c>
      <c r="B7" s="1" t="s">
        <v>640</v>
      </c>
      <c r="C7" s="1" t="s">
        <v>19</v>
      </c>
      <c r="D7" s="1" t="s">
        <v>627</v>
      </c>
      <c r="E7" s="3">
        <v>39237</v>
      </c>
      <c r="F7" s="1" t="str">
        <f>VLOOKUP(D7,Table9[[Name]:[Native]],3,FALSE)</f>
        <v>大通回族土族自治县</v>
      </c>
      <c r="G7" s="12" t="str">
        <f ca="1">VLOOKUP(F7,Table9[[Native]:[Population4]],5,FALSE)</f>
        <v>西宁市</v>
      </c>
    </row>
    <row r="8" spans="1:7" ht="15.75" thickBot="1" x14ac:dyDescent="0.3">
      <c r="A8" t="s">
        <v>641</v>
      </c>
      <c r="B8" s="1" t="s">
        <v>642</v>
      </c>
      <c r="C8" s="1" t="s">
        <v>488</v>
      </c>
      <c r="D8" s="1" t="s">
        <v>643</v>
      </c>
      <c r="E8" s="3">
        <v>72089</v>
      </c>
      <c r="F8" s="1" t="str">
        <f>VLOOKUP(D8,Table9[[Name]:[Native]],3,FALSE)</f>
        <v>城北区</v>
      </c>
      <c r="G8" s="12" t="str">
        <f ca="1">VLOOKUP(F8,Table9[[Native]:[Population4]],5,FALSE)</f>
        <v>西宁市</v>
      </c>
    </row>
    <row r="9" spans="1:7" ht="15.75" thickBot="1" x14ac:dyDescent="0.3">
      <c r="A9" t="s">
        <v>644</v>
      </c>
      <c r="B9" s="1" t="s">
        <v>645</v>
      </c>
      <c r="C9" s="1" t="s">
        <v>19</v>
      </c>
      <c r="D9" s="1" t="s">
        <v>627</v>
      </c>
      <c r="E9" s="3">
        <v>24410</v>
      </c>
      <c r="F9" s="1" t="str">
        <f>VLOOKUP(D9,Table9[[Name]:[Native]],3,FALSE)</f>
        <v>大通回族土族自治县</v>
      </c>
      <c r="G9" s="12" t="str">
        <f ca="1">VLOOKUP(F9,Table9[[Native]:[Population4]],5,FALSE)</f>
        <v>西宁市</v>
      </c>
    </row>
    <row r="10" spans="1:7" ht="15.75" thickBot="1" x14ac:dyDescent="0.3">
      <c r="A10" t="s">
        <v>644</v>
      </c>
      <c r="B10" s="1" t="s">
        <v>645</v>
      </c>
      <c r="C10" s="1" t="s">
        <v>19</v>
      </c>
      <c r="D10" s="1" t="s">
        <v>630</v>
      </c>
      <c r="E10" s="3">
        <v>43871</v>
      </c>
      <c r="F10" s="1" t="str">
        <f>VLOOKUP(D10,Table9[[Name]:[Native]],3,FALSE)</f>
        <v>湟源县</v>
      </c>
      <c r="G10" s="12" t="str">
        <f ca="1">VLOOKUP(F10,Table9[[Native]:[Population4]],5,FALSE)</f>
        <v>西宁市</v>
      </c>
    </row>
    <row r="11" spans="1:7" ht="15.75" thickBot="1" x14ac:dyDescent="0.3">
      <c r="A11" t="s">
        <v>646</v>
      </c>
      <c r="B11" s="1" t="s">
        <v>647</v>
      </c>
      <c r="C11" s="1" t="s">
        <v>19</v>
      </c>
      <c r="D11" s="1" t="s">
        <v>643</v>
      </c>
      <c r="E11" s="3">
        <v>26049</v>
      </c>
      <c r="F11" s="1" t="str">
        <f>VLOOKUP(D11,Table9[[Name]:[Native]],3,FALSE)</f>
        <v>城北区</v>
      </c>
      <c r="G11" s="12" t="str">
        <f ca="1">VLOOKUP(F11,Table9[[Native]:[Population4]],5,FALSE)</f>
        <v>西宁市</v>
      </c>
    </row>
    <row r="12" spans="1:7" ht="15.75" thickBot="1" x14ac:dyDescent="0.3">
      <c r="A12" t="s">
        <v>648</v>
      </c>
      <c r="B12" s="1" t="s">
        <v>649</v>
      </c>
      <c r="C12" s="1" t="s">
        <v>7</v>
      </c>
      <c r="D12" s="1" t="s">
        <v>650</v>
      </c>
      <c r="E12" s="3">
        <v>23577</v>
      </c>
      <c r="F12" s="1" t="str">
        <f>VLOOKUP(D12,Table9[[Name]:[Native]],3,FALSE)</f>
        <v>湟中区</v>
      </c>
      <c r="G12" s="12" t="str">
        <f ca="1">VLOOKUP(F12,Table9[[Native]:[Population4]],5,FALSE)</f>
        <v>西宁市</v>
      </c>
    </row>
    <row r="13" spans="1:7" ht="15.75" thickBot="1" x14ac:dyDescent="0.3">
      <c r="A13" t="s">
        <v>651</v>
      </c>
      <c r="B13" s="1" t="s">
        <v>652</v>
      </c>
      <c r="C13" s="1" t="s">
        <v>19</v>
      </c>
      <c r="D13" s="1" t="s">
        <v>630</v>
      </c>
      <c r="E13" s="3">
        <v>20888</v>
      </c>
      <c r="F13" s="1" t="str">
        <f>VLOOKUP(D13,Table9[[Name]:[Native]],3,FALSE)</f>
        <v>湟源县</v>
      </c>
      <c r="G13" s="12" t="str">
        <f ca="1">VLOOKUP(F13,Table9[[Native]:[Population4]],5,FALSE)</f>
        <v>西宁市</v>
      </c>
    </row>
    <row r="14" spans="1:7" ht="15.75" thickBot="1" x14ac:dyDescent="0.3">
      <c r="A14" t="s">
        <v>653</v>
      </c>
      <c r="B14" s="1" t="s">
        <v>654</v>
      </c>
      <c r="C14" s="1" t="s">
        <v>488</v>
      </c>
      <c r="D14" s="1" t="s">
        <v>633</v>
      </c>
      <c r="E14" s="3">
        <v>46179</v>
      </c>
      <c r="F14" s="1" t="str">
        <f>VLOOKUP(D14,Table9[[Name]:[Native]],3,FALSE)</f>
        <v>城东区</v>
      </c>
      <c r="G14" s="12" t="str">
        <f ca="1">VLOOKUP(F14,Table9[[Native]:[Population4]],5,FALSE)</f>
        <v>西宁市</v>
      </c>
    </row>
    <row r="15" spans="1:7" ht="15.75" thickBot="1" x14ac:dyDescent="0.3">
      <c r="A15" t="s">
        <v>655</v>
      </c>
      <c r="B15" s="1" t="s">
        <v>656</v>
      </c>
      <c r="C15" s="1" t="s">
        <v>488</v>
      </c>
      <c r="D15" s="1" t="s">
        <v>633</v>
      </c>
      <c r="E15" s="3">
        <v>31894</v>
      </c>
      <c r="F15" s="1" t="str">
        <f>VLOOKUP(D15,Table9[[Name]:[Native]],3,FALSE)</f>
        <v>城东区</v>
      </c>
      <c r="G15" s="12" t="str">
        <f ca="1">VLOOKUP(F15,Table9[[Native]:[Population4]],5,FALSE)</f>
        <v>西宁市</v>
      </c>
    </row>
    <row r="16" spans="1:7" ht="15.75" thickBot="1" x14ac:dyDescent="0.3">
      <c r="A16" t="s">
        <v>657</v>
      </c>
      <c r="B16" s="1" t="s">
        <v>658</v>
      </c>
      <c r="C16" s="1" t="s">
        <v>7</v>
      </c>
      <c r="D16" s="1" t="s">
        <v>630</v>
      </c>
      <c r="E16" s="3">
        <v>5931</v>
      </c>
      <c r="F16" s="1" t="str">
        <f>VLOOKUP(D16,Table9[[Name]:[Native]],3,FALSE)</f>
        <v>湟源县</v>
      </c>
      <c r="G16" s="12" t="str">
        <f ca="1">VLOOKUP(F16,Table9[[Native]:[Population4]],5,FALSE)</f>
        <v>西宁市</v>
      </c>
    </row>
    <row r="17" spans="1:7" ht="15.75" thickBot="1" x14ac:dyDescent="0.3">
      <c r="A17" t="s">
        <v>659</v>
      </c>
      <c r="B17" s="1" t="s">
        <v>660</v>
      </c>
      <c r="C17" s="1" t="s">
        <v>19</v>
      </c>
      <c r="D17" s="1" t="s">
        <v>627</v>
      </c>
      <c r="E17" s="3">
        <v>14262</v>
      </c>
      <c r="F17" s="1" t="str">
        <f>VLOOKUP(D17,Table9[[Name]:[Native]],3,FALSE)</f>
        <v>大通回族土族自治县</v>
      </c>
      <c r="G17" s="12" t="str">
        <f ca="1">VLOOKUP(F17,Table9[[Native]:[Population4]],5,FALSE)</f>
        <v>西宁市</v>
      </c>
    </row>
    <row r="18" spans="1:7" ht="15.75" thickBot="1" x14ac:dyDescent="0.3">
      <c r="A18" t="s">
        <v>661</v>
      </c>
      <c r="B18" s="1" t="s">
        <v>662</v>
      </c>
      <c r="C18" s="1" t="s">
        <v>19</v>
      </c>
      <c r="D18" s="1" t="s">
        <v>650</v>
      </c>
      <c r="E18" s="3">
        <v>66767</v>
      </c>
      <c r="F18" s="1" t="str">
        <f>VLOOKUP(D18,Table9[[Name]:[Native]],3,FALSE)</f>
        <v>湟中区</v>
      </c>
      <c r="G18" s="12" t="str">
        <f ca="1">VLOOKUP(F18,Table9[[Native]:[Population4]],5,FALSE)</f>
        <v>西宁市</v>
      </c>
    </row>
    <row r="19" spans="1:7" ht="15.75" thickBot="1" x14ac:dyDescent="0.3">
      <c r="A19" t="s">
        <v>663</v>
      </c>
      <c r="B19" s="1" t="s">
        <v>664</v>
      </c>
      <c r="C19" s="1" t="s">
        <v>19</v>
      </c>
      <c r="D19" s="1" t="s">
        <v>627</v>
      </c>
      <c r="E19" s="3">
        <v>9546</v>
      </c>
      <c r="F19" s="1" t="str">
        <f>VLOOKUP(D19,Table9[[Name]:[Native]],3,FALSE)</f>
        <v>大通回族土族自治县</v>
      </c>
      <c r="G19" s="12" t="str">
        <f ca="1">VLOOKUP(F19,Table9[[Native]:[Population4]],5,FALSE)</f>
        <v>西宁市</v>
      </c>
    </row>
    <row r="20" spans="1:7" ht="15.75" thickBot="1" x14ac:dyDescent="0.3">
      <c r="A20" t="s">
        <v>665</v>
      </c>
      <c r="B20" s="1" t="s">
        <v>666</v>
      </c>
      <c r="C20" s="1" t="s">
        <v>19</v>
      </c>
      <c r="D20" s="1" t="s">
        <v>650</v>
      </c>
      <c r="E20" s="3">
        <v>24252</v>
      </c>
      <c r="F20" s="1" t="str">
        <f>VLOOKUP(D20,Table9[[Name]:[Native]],3,FALSE)</f>
        <v>湟中区</v>
      </c>
      <c r="G20" s="12" t="str">
        <f ca="1">VLOOKUP(F20,Table9[[Native]:[Population4]],5,FALSE)</f>
        <v>西宁市</v>
      </c>
    </row>
    <row r="21" spans="1:7" ht="15.75" thickBot="1" x14ac:dyDescent="0.3">
      <c r="A21" t="s">
        <v>667</v>
      </c>
      <c r="B21" s="1" t="s">
        <v>668</v>
      </c>
      <c r="C21" s="1" t="s">
        <v>19</v>
      </c>
      <c r="D21" s="1" t="s">
        <v>650</v>
      </c>
      <c r="E21" s="3">
        <v>29323</v>
      </c>
      <c r="F21" s="1" t="str">
        <f>VLOOKUP(D21,Table9[[Name]:[Native]],3,FALSE)</f>
        <v>湟中区</v>
      </c>
      <c r="G21" s="12" t="str">
        <f ca="1">VLOOKUP(F21,Table9[[Native]:[Population4]],5,FALSE)</f>
        <v>西宁市</v>
      </c>
    </row>
    <row r="22" spans="1:7" ht="15.75" thickBot="1" x14ac:dyDescent="0.3">
      <c r="A22" t="s">
        <v>669</v>
      </c>
      <c r="B22" s="1" t="s">
        <v>670</v>
      </c>
      <c r="C22" s="1" t="s">
        <v>488</v>
      </c>
      <c r="D22" s="1" t="s">
        <v>671</v>
      </c>
      <c r="E22" s="3">
        <v>38045</v>
      </c>
      <c r="F22" s="1" t="str">
        <f>VLOOKUP(D22,Table9[[Name]:[Native]],3,FALSE)</f>
        <v>城西区</v>
      </c>
      <c r="G22" s="12" t="str">
        <f ca="1">VLOOKUP(F22,Table9[[Native]:[Population4]],5,FALSE)</f>
        <v>西宁市</v>
      </c>
    </row>
    <row r="23" spans="1:7" ht="15.75" thickBot="1" x14ac:dyDescent="0.3">
      <c r="A23" t="s">
        <v>672</v>
      </c>
      <c r="B23" s="1" t="s">
        <v>673</v>
      </c>
      <c r="C23" s="1" t="s">
        <v>7</v>
      </c>
      <c r="D23" s="1" t="s">
        <v>650</v>
      </c>
      <c r="E23" s="3">
        <v>13189</v>
      </c>
      <c r="F23" s="1" t="str">
        <f>VLOOKUP(D23,Table9[[Name]:[Native]],3,FALSE)</f>
        <v>湟中区</v>
      </c>
      <c r="G23" s="12" t="str">
        <f ca="1">VLOOKUP(F23,Table9[[Native]:[Population4]],5,FALSE)</f>
        <v>西宁市</v>
      </c>
    </row>
    <row r="24" spans="1:7" ht="15.75" thickBot="1" x14ac:dyDescent="0.3">
      <c r="A24" t="s">
        <v>674</v>
      </c>
      <c r="B24" s="1" t="s">
        <v>675</v>
      </c>
      <c r="C24" s="1" t="s">
        <v>7</v>
      </c>
      <c r="D24" s="1" t="s">
        <v>650</v>
      </c>
      <c r="E24" s="3">
        <v>13916</v>
      </c>
      <c r="F24" s="1" t="str">
        <f>VLOOKUP(D24,Table9[[Name]:[Native]],3,FALSE)</f>
        <v>湟中区</v>
      </c>
      <c r="G24" s="12" t="str">
        <f ca="1">VLOOKUP(F24,Table9[[Native]:[Population4]],5,FALSE)</f>
        <v>西宁市</v>
      </c>
    </row>
    <row r="25" spans="1:7" ht="15.75" thickBot="1" x14ac:dyDescent="0.3">
      <c r="A25" t="s">
        <v>676</v>
      </c>
      <c r="B25" s="1" t="s">
        <v>677</v>
      </c>
      <c r="C25" s="1" t="s">
        <v>7</v>
      </c>
      <c r="D25" s="1" t="s">
        <v>630</v>
      </c>
      <c r="E25" s="3">
        <v>13628</v>
      </c>
      <c r="F25" s="1" t="str">
        <f>VLOOKUP(D25,Table9[[Name]:[Native]],3,FALSE)</f>
        <v>湟源县</v>
      </c>
      <c r="G25" s="12" t="str">
        <f ca="1">VLOOKUP(F25,Table9[[Native]:[Population4]],5,FALSE)</f>
        <v>西宁市</v>
      </c>
    </row>
    <row r="26" spans="1:7" ht="15.75" thickBot="1" x14ac:dyDescent="0.3">
      <c r="A26" t="s">
        <v>678</v>
      </c>
      <c r="B26" s="1" t="s">
        <v>679</v>
      </c>
      <c r="C26" s="1" t="s">
        <v>7</v>
      </c>
      <c r="D26" s="1" t="s">
        <v>627</v>
      </c>
      <c r="E26" s="3">
        <v>13049</v>
      </c>
      <c r="F26" s="1" t="str">
        <f>VLOOKUP(D26,Table9[[Name]:[Native]],3,FALSE)</f>
        <v>大通回族土族自治县</v>
      </c>
      <c r="G26" s="12" t="str">
        <f ca="1">VLOOKUP(F26,Table9[[Native]:[Population4]],5,FALSE)</f>
        <v>西宁市</v>
      </c>
    </row>
    <row r="27" spans="1:7" ht="15.75" thickBot="1" x14ac:dyDescent="0.3">
      <c r="A27" t="s">
        <v>680</v>
      </c>
      <c r="B27" s="1" t="s">
        <v>681</v>
      </c>
      <c r="C27" s="1" t="s">
        <v>19</v>
      </c>
      <c r="D27" s="1" t="s">
        <v>627</v>
      </c>
      <c r="E27" s="3">
        <v>34888</v>
      </c>
      <c r="F27" s="1" t="str">
        <f>VLOOKUP(D27,Table9[[Name]:[Native]],3,FALSE)</f>
        <v>大通回族土族自治县</v>
      </c>
      <c r="G27" s="12" t="str">
        <f ca="1">VLOOKUP(F27,Table9[[Native]:[Population4]],5,FALSE)</f>
        <v>西宁市</v>
      </c>
    </row>
    <row r="28" spans="1:7" ht="15.75" thickBot="1" x14ac:dyDescent="0.3">
      <c r="A28" t="s">
        <v>498</v>
      </c>
      <c r="B28" s="1" t="s">
        <v>499</v>
      </c>
      <c r="C28" s="1" t="s">
        <v>488</v>
      </c>
      <c r="D28" s="1" t="s">
        <v>633</v>
      </c>
      <c r="E28" s="3">
        <v>31477</v>
      </c>
      <c r="F28" s="1" t="str">
        <f>VLOOKUP(D28,Table9[[Name]:[Native]],3,FALSE)</f>
        <v>城东区</v>
      </c>
      <c r="G28" s="12" t="str">
        <f ca="1">VLOOKUP(F28,Table9[[Native]:[Population4]],5,FALSE)</f>
        <v>西宁市</v>
      </c>
    </row>
    <row r="29" spans="1:7" ht="15.75" thickBot="1" x14ac:dyDescent="0.3">
      <c r="A29" t="s">
        <v>682</v>
      </c>
      <c r="B29" s="1" t="s">
        <v>683</v>
      </c>
      <c r="C29" s="1" t="s">
        <v>488</v>
      </c>
      <c r="D29" s="1" t="s">
        <v>671</v>
      </c>
      <c r="E29" s="3">
        <v>83573</v>
      </c>
      <c r="F29" s="1" t="str">
        <f>VLOOKUP(D29,Table9[[Name]:[Native]],3,FALSE)</f>
        <v>城西区</v>
      </c>
      <c r="G29" s="12" t="str">
        <f ca="1">VLOOKUP(F29,Table9[[Native]:[Population4]],5,FALSE)</f>
        <v>西宁市</v>
      </c>
    </row>
    <row r="30" spans="1:7" ht="15.75" thickBot="1" x14ac:dyDescent="0.3">
      <c r="A30" t="s">
        <v>684</v>
      </c>
      <c r="B30" s="1" t="s">
        <v>685</v>
      </c>
      <c r="C30" s="1" t="s">
        <v>7</v>
      </c>
      <c r="D30" s="1" t="s">
        <v>627</v>
      </c>
      <c r="E30" s="3">
        <v>11908</v>
      </c>
      <c r="F30" s="1" t="str">
        <f>VLOOKUP(D30,Table9[[Name]:[Native]],3,FALSE)</f>
        <v>大通回族土族自治县</v>
      </c>
      <c r="G30" s="12" t="str">
        <f ca="1">VLOOKUP(F30,Table9[[Native]:[Population4]],5,FALSE)</f>
        <v>西宁市</v>
      </c>
    </row>
    <row r="31" spans="1:7" ht="15.75" thickBot="1" x14ac:dyDescent="0.3">
      <c r="A31" t="s">
        <v>686</v>
      </c>
      <c r="B31" s="1" t="s">
        <v>687</v>
      </c>
      <c r="C31" s="1" t="s">
        <v>19</v>
      </c>
      <c r="D31" s="1" t="s">
        <v>627</v>
      </c>
      <c r="E31" s="3">
        <v>24492</v>
      </c>
      <c r="F31" s="1" t="str">
        <f>VLOOKUP(D31,Table9[[Name]:[Native]],3,FALSE)</f>
        <v>大通回族土族自治县</v>
      </c>
      <c r="G31" s="12" t="str">
        <f ca="1">VLOOKUP(F31,Table9[[Native]:[Population4]],5,FALSE)</f>
        <v>西宁市</v>
      </c>
    </row>
    <row r="32" spans="1:7" ht="15.75" thickBot="1" x14ac:dyDescent="0.3">
      <c r="A32" t="s">
        <v>688</v>
      </c>
      <c r="B32" s="1" t="s">
        <v>689</v>
      </c>
      <c r="C32" s="1" t="s">
        <v>19</v>
      </c>
      <c r="D32" s="1" t="s">
        <v>650</v>
      </c>
      <c r="E32" s="3">
        <v>36601</v>
      </c>
      <c r="F32" s="1" t="str">
        <f>VLOOKUP(D32,Table9[[Name]:[Native]],3,FALSE)</f>
        <v>湟中区</v>
      </c>
      <c r="G32" s="12" t="str">
        <f ca="1">VLOOKUP(F32,Table9[[Native]:[Population4]],5,FALSE)</f>
        <v>西宁市</v>
      </c>
    </row>
    <row r="33" spans="1:7" ht="15.75" thickBot="1" x14ac:dyDescent="0.3">
      <c r="A33" t="s">
        <v>690</v>
      </c>
      <c r="B33" s="1" t="s">
        <v>691</v>
      </c>
      <c r="C33" s="1" t="s">
        <v>19</v>
      </c>
      <c r="D33" s="1" t="s">
        <v>633</v>
      </c>
      <c r="E33" s="3">
        <v>35640</v>
      </c>
      <c r="F33" s="1" t="str">
        <f>VLOOKUP(D33,Table9[[Name]:[Native]],3,FALSE)</f>
        <v>城东区</v>
      </c>
      <c r="G33" s="12" t="str">
        <f ca="1">VLOOKUP(F33,Table9[[Native]:[Population4]],5,FALSE)</f>
        <v>西宁市</v>
      </c>
    </row>
    <row r="34" spans="1:7" ht="15.75" thickBot="1" x14ac:dyDescent="0.3">
      <c r="A34" t="s">
        <v>692</v>
      </c>
      <c r="B34" s="1" t="s">
        <v>693</v>
      </c>
      <c r="C34" s="1" t="s">
        <v>7</v>
      </c>
      <c r="D34" s="1" t="s">
        <v>627</v>
      </c>
      <c r="E34" s="3">
        <v>17040</v>
      </c>
      <c r="F34" s="1" t="str">
        <f>VLOOKUP(D34,Table9[[Name]:[Native]],3,FALSE)</f>
        <v>大通回族土族自治县</v>
      </c>
      <c r="G34" s="12" t="str">
        <f ca="1">VLOOKUP(F34,Table9[[Native]:[Population4]],5,FALSE)</f>
        <v>西宁市</v>
      </c>
    </row>
    <row r="35" spans="1:7" ht="15.75" thickBot="1" x14ac:dyDescent="0.3">
      <c r="A35" t="s">
        <v>694</v>
      </c>
      <c r="B35" s="1" t="s">
        <v>695</v>
      </c>
      <c r="C35" s="1" t="s">
        <v>19</v>
      </c>
      <c r="D35" s="1" t="s">
        <v>650</v>
      </c>
      <c r="E35" s="3">
        <v>24112</v>
      </c>
      <c r="F35" s="1" t="str">
        <f>VLOOKUP(D35,Table9[[Name]:[Native]],3,FALSE)</f>
        <v>湟中区</v>
      </c>
      <c r="G35" s="12" t="str">
        <f ca="1">VLOOKUP(F35,Table9[[Native]:[Population4]],5,FALSE)</f>
        <v>西宁市</v>
      </c>
    </row>
    <row r="36" spans="1:7" ht="15.75" thickBot="1" x14ac:dyDescent="0.3">
      <c r="A36" t="s">
        <v>696</v>
      </c>
      <c r="B36" s="1" t="s">
        <v>697</v>
      </c>
      <c r="C36" s="1" t="s">
        <v>488</v>
      </c>
      <c r="D36" s="1" t="s">
        <v>633</v>
      </c>
      <c r="E36" s="3">
        <v>27283</v>
      </c>
      <c r="F36" s="1" t="str">
        <f>VLOOKUP(D36,Table9[[Name]:[Native]],3,FALSE)</f>
        <v>城东区</v>
      </c>
      <c r="G36" s="12" t="str">
        <f ca="1">VLOOKUP(F36,Table9[[Native]:[Population4]],5,FALSE)</f>
        <v>西宁市</v>
      </c>
    </row>
    <row r="37" spans="1:7" ht="15.75" thickBot="1" x14ac:dyDescent="0.3">
      <c r="A37" t="s">
        <v>698</v>
      </c>
      <c r="B37" s="1" t="s">
        <v>699</v>
      </c>
      <c r="C37" s="1" t="s">
        <v>488</v>
      </c>
      <c r="D37" s="1" t="s">
        <v>638</v>
      </c>
      <c r="E37" s="3">
        <v>24127</v>
      </c>
      <c r="F37" s="1" t="str">
        <f>VLOOKUP(D37,Table9[[Name]:[Native]],3,FALSE)</f>
        <v>城中区</v>
      </c>
      <c r="G37" s="12" t="str">
        <f ca="1">VLOOKUP(F37,Table9[[Native]:[Population4]],5,FALSE)</f>
        <v>西宁市</v>
      </c>
    </row>
    <row r="38" spans="1:7" ht="15.75" thickBot="1" x14ac:dyDescent="0.3">
      <c r="A38" t="s">
        <v>700</v>
      </c>
      <c r="B38" s="1" t="s">
        <v>701</v>
      </c>
      <c r="C38" s="1" t="s">
        <v>19</v>
      </c>
      <c r="D38" s="1" t="s">
        <v>650</v>
      </c>
      <c r="E38" s="3">
        <v>67153</v>
      </c>
      <c r="F38" s="1" t="str">
        <f>VLOOKUP(D38,Table9[[Name]:[Native]],3,FALSE)</f>
        <v>湟中区</v>
      </c>
      <c r="G38" s="12" t="str">
        <f ca="1">VLOOKUP(F38,Table9[[Native]:[Population4]],5,FALSE)</f>
        <v>西宁市</v>
      </c>
    </row>
    <row r="39" spans="1:7" ht="15.75" thickBot="1" x14ac:dyDescent="0.3">
      <c r="A39" t="s">
        <v>702</v>
      </c>
      <c r="B39" s="1" t="s">
        <v>703</v>
      </c>
      <c r="C39" s="1" t="s">
        <v>488</v>
      </c>
      <c r="D39" s="1" t="s">
        <v>643</v>
      </c>
      <c r="E39" s="3">
        <v>61229</v>
      </c>
      <c r="F39" s="1" t="str">
        <f>VLOOKUP(D39,Table9[[Name]:[Native]],3,FALSE)</f>
        <v>城北区</v>
      </c>
      <c r="G39" s="12" t="str">
        <f ca="1">VLOOKUP(F39,Table9[[Native]:[Population4]],5,FALSE)</f>
        <v>西宁市</v>
      </c>
    </row>
    <row r="40" spans="1:7" ht="15.75" thickBot="1" x14ac:dyDescent="0.3">
      <c r="A40" t="s">
        <v>704</v>
      </c>
      <c r="B40" s="1" t="s">
        <v>705</v>
      </c>
      <c r="C40" s="1" t="s">
        <v>488</v>
      </c>
      <c r="D40" s="1" t="s">
        <v>638</v>
      </c>
      <c r="E40" s="3">
        <v>32175</v>
      </c>
      <c r="F40" s="1" t="str">
        <f>VLOOKUP(D40,Table9[[Name]:[Native]],3,FALSE)</f>
        <v>城中区</v>
      </c>
      <c r="G40" s="12" t="str">
        <f ca="1">VLOOKUP(F40,Table9[[Native]:[Population4]],5,FALSE)</f>
        <v>西宁市</v>
      </c>
    </row>
    <row r="41" spans="1:7" ht="15.75" thickBot="1" x14ac:dyDescent="0.3">
      <c r="A41" t="s">
        <v>706</v>
      </c>
      <c r="B41" s="1" t="s">
        <v>707</v>
      </c>
      <c r="C41" s="1" t="s">
        <v>488</v>
      </c>
      <c r="D41" s="1" t="s">
        <v>638</v>
      </c>
      <c r="E41" s="3">
        <v>70175</v>
      </c>
      <c r="F41" s="1" t="str">
        <f>VLOOKUP(D41,Table9[[Name]:[Native]],3,FALSE)</f>
        <v>城中区</v>
      </c>
      <c r="G41" s="12" t="str">
        <f ca="1">VLOOKUP(F41,Table9[[Native]:[Population4]],5,FALSE)</f>
        <v>西宁市</v>
      </c>
    </row>
    <row r="42" spans="1:7" ht="15.75" thickBot="1" x14ac:dyDescent="0.3">
      <c r="A42" t="s">
        <v>708</v>
      </c>
      <c r="B42" s="1" t="s">
        <v>709</v>
      </c>
      <c r="C42" s="1" t="s">
        <v>488</v>
      </c>
      <c r="D42" s="1" t="s">
        <v>638</v>
      </c>
      <c r="E42" s="3">
        <v>50569</v>
      </c>
      <c r="F42" s="1" t="str">
        <f>VLOOKUP(D42,Table9[[Name]:[Native]],3,FALSE)</f>
        <v>城中区</v>
      </c>
      <c r="G42" s="12" t="str">
        <f ca="1">VLOOKUP(F42,Table9[[Native]:[Population4]],5,FALSE)</f>
        <v>西宁市</v>
      </c>
    </row>
    <row r="43" spans="1:7" ht="15.75" thickBot="1" x14ac:dyDescent="0.3">
      <c r="A43" t="s">
        <v>710</v>
      </c>
      <c r="B43" s="1" t="s">
        <v>711</v>
      </c>
      <c r="C43" s="1" t="s">
        <v>19</v>
      </c>
      <c r="D43" s="1" t="s">
        <v>643</v>
      </c>
      <c r="E43" s="3">
        <v>41134</v>
      </c>
      <c r="F43" s="1" t="str">
        <f>VLOOKUP(D43,Table9[[Name]:[Native]],3,FALSE)</f>
        <v>城北区</v>
      </c>
      <c r="G43" s="12" t="str">
        <f ca="1">VLOOKUP(F43,Table9[[Native]:[Population4]],5,FALSE)</f>
        <v>西宁市</v>
      </c>
    </row>
    <row r="44" spans="1:7" ht="15.75" thickBot="1" x14ac:dyDescent="0.3">
      <c r="A44" t="s">
        <v>712</v>
      </c>
      <c r="B44" s="1" t="s">
        <v>713</v>
      </c>
      <c r="C44" s="1" t="s">
        <v>19</v>
      </c>
      <c r="D44" s="1" t="s">
        <v>671</v>
      </c>
      <c r="E44" s="3">
        <v>25206</v>
      </c>
      <c r="F44" s="1" t="str">
        <f>VLOOKUP(D44,Table9[[Name]:[Native]],3,FALSE)</f>
        <v>城西区</v>
      </c>
      <c r="G44" s="12" t="str">
        <f ca="1">VLOOKUP(F44,Table9[[Native]:[Population4]],5,FALSE)</f>
        <v>西宁市</v>
      </c>
    </row>
    <row r="45" spans="1:7" ht="15.75" thickBot="1" x14ac:dyDescent="0.3">
      <c r="A45" t="s">
        <v>714</v>
      </c>
      <c r="B45" s="1" t="s">
        <v>715</v>
      </c>
      <c r="C45" s="1" t="s">
        <v>19</v>
      </c>
      <c r="D45" s="1" t="s">
        <v>627</v>
      </c>
      <c r="E45" s="3">
        <v>114712</v>
      </c>
      <c r="F45" s="1" t="str">
        <f>VLOOKUP(D45,Table9[[Name]:[Native]],3,FALSE)</f>
        <v>大通回族土族自治县</v>
      </c>
      <c r="G45" s="12" t="str">
        <f ca="1">VLOOKUP(F45,Table9[[Native]:[Population4]],5,FALSE)</f>
        <v>西宁市</v>
      </c>
    </row>
    <row r="46" spans="1:7" ht="15.75" thickBot="1" x14ac:dyDescent="0.3">
      <c r="A46" t="s">
        <v>716</v>
      </c>
      <c r="B46" s="1" t="s">
        <v>717</v>
      </c>
      <c r="C46" s="1" t="s">
        <v>7</v>
      </c>
      <c r="D46" s="1" t="s">
        <v>627</v>
      </c>
      <c r="E46" s="3">
        <v>9721</v>
      </c>
      <c r="F46" s="1" t="str">
        <f>VLOOKUP(D46,Table9[[Name]:[Native]],3,FALSE)</f>
        <v>大通回族土族自治县</v>
      </c>
      <c r="G46" s="12" t="str">
        <f ca="1">VLOOKUP(F46,Table9[[Native]:[Population4]],5,FALSE)</f>
        <v>西宁市</v>
      </c>
    </row>
    <row r="47" spans="1:7" ht="15.75" thickBot="1" x14ac:dyDescent="0.3">
      <c r="A47" t="s">
        <v>718</v>
      </c>
      <c r="B47" s="1" t="s">
        <v>719</v>
      </c>
      <c r="C47" s="1" t="s">
        <v>7</v>
      </c>
      <c r="D47" s="1" t="s">
        <v>627</v>
      </c>
      <c r="E47" s="3">
        <v>15583</v>
      </c>
      <c r="F47" s="1" t="str">
        <f>VLOOKUP(D47,Table9[[Name]:[Native]],3,FALSE)</f>
        <v>大通回族土族自治县</v>
      </c>
      <c r="G47" s="12" t="str">
        <f ca="1">VLOOKUP(F47,Table9[[Native]:[Population4]],5,FALSE)</f>
        <v>西宁市</v>
      </c>
    </row>
    <row r="48" spans="1:7" ht="15.75" thickBot="1" x14ac:dyDescent="0.3">
      <c r="A48" t="s">
        <v>720</v>
      </c>
      <c r="B48" s="1" t="s">
        <v>721</v>
      </c>
      <c r="C48" s="1" t="s">
        <v>488</v>
      </c>
      <c r="D48" s="1" t="s">
        <v>633</v>
      </c>
      <c r="E48" s="3">
        <v>45320</v>
      </c>
      <c r="F48" s="1" t="str">
        <f>VLOOKUP(D48,Table9[[Name]:[Native]],3,FALSE)</f>
        <v>城东区</v>
      </c>
      <c r="G48" s="12" t="str">
        <f ca="1">VLOOKUP(F48,Table9[[Native]:[Population4]],5,FALSE)</f>
        <v>西宁市</v>
      </c>
    </row>
    <row r="49" spans="1:7" ht="15.75" thickBot="1" x14ac:dyDescent="0.3">
      <c r="A49" t="s">
        <v>722</v>
      </c>
      <c r="B49" s="1" t="s">
        <v>723</v>
      </c>
      <c r="C49" s="1" t="s">
        <v>7</v>
      </c>
      <c r="D49" s="1" t="s">
        <v>650</v>
      </c>
      <c r="E49" s="3">
        <v>2151</v>
      </c>
      <c r="F49" s="1" t="str">
        <f>VLOOKUP(D49,Table9[[Name]:[Native]],3,FALSE)</f>
        <v>湟中区</v>
      </c>
      <c r="G49" s="12" t="str">
        <f ca="1">VLOOKUP(F49,Table9[[Native]:[Population4]],5,FALSE)</f>
        <v>西宁市</v>
      </c>
    </row>
    <row r="50" spans="1:7" ht="15.75" thickBot="1" x14ac:dyDescent="0.3">
      <c r="A50" t="s">
        <v>724</v>
      </c>
      <c r="B50" s="1" t="s">
        <v>725</v>
      </c>
      <c r="C50" s="1" t="s">
        <v>488</v>
      </c>
      <c r="D50" s="1" t="s">
        <v>638</v>
      </c>
      <c r="E50" s="3">
        <v>18856</v>
      </c>
      <c r="F50" s="1" t="str">
        <f>VLOOKUP(D50,Table9[[Name]:[Native]],3,FALSE)</f>
        <v>城中区</v>
      </c>
      <c r="G50" s="12" t="str">
        <f ca="1">VLOOKUP(F50,Table9[[Native]:[Population4]],5,FALSE)</f>
        <v>西宁市</v>
      </c>
    </row>
    <row r="51" spans="1:7" ht="15.75" thickBot="1" x14ac:dyDescent="0.3">
      <c r="A51" t="s">
        <v>726</v>
      </c>
      <c r="B51" s="1" t="s">
        <v>727</v>
      </c>
      <c r="C51" s="1" t="s">
        <v>7</v>
      </c>
      <c r="D51" s="1" t="s">
        <v>630</v>
      </c>
      <c r="E51" s="3">
        <v>13315</v>
      </c>
      <c r="F51" s="1" t="str">
        <f>VLOOKUP(D51,Table9[[Name]:[Native]],3,FALSE)</f>
        <v>湟源县</v>
      </c>
      <c r="G51" s="12" t="str">
        <f ca="1">VLOOKUP(F51,Table9[[Native]:[Population4]],5,FALSE)</f>
        <v>西宁市</v>
      </c>
    </row>
    <row r="52" spans="1:7" ht="15.75" thickBot="1" x14ac:dyDescent="0.3">
      <c r="A52" t="s">
        <v>728</v>
      </c>
      <c r="B52" s="1" t="s">
        <v>729</v>
      </c>
      <c r="C52" s="1" t="s">
        <v>19</v>
      </c>
      <c r="D52" s="1" t="s">
        <v>650</v>
      </c>
      <c r="E52" s="3">
        <v>27669</v>
      </c>
      <c r="F52" s="1" t="str">
        <f>VLOOKUP(D52,Table9[[Name]:[Native]],3,FALSE)</f>
        <v>湟中区</v>
      </c>
      <c r="G52" s="12" t="str">
        <f ca="1">VLOOKUP(F52,Table9[[Native]:[Population4]],5,FALSE)</f>
        <v>西宁市</v>
      </c>
    </row>
    <row r="53" spans="1:7" ht="15.75" thickBot="1" x14ac:dyDescent="0.3">
      <c r="A53" t="s">
        <v>730</v>
      </c>
      <c r="B53" s="1" t="s">
        <v>731</v>
      </c>
      <c r="C53" s="1" t="s">
        <v>19</v>
      </c>
      <c r="D53" s="1" t="s">
        <v>650</v>
      </c>
      <c r="E53" s="3">
        <v>32437</v>
      </c>
      <c r="F53" s="1" t="str">
        <f>VLOOKUP(D53,Table9[[Name]:[Native]],3,FALSE)</f>
        <v>湟中区</v>
      </c>
      <c r="G53" s="12" t="str">
        <f ca="1">VLOOKUP(F53,Table9[[Native]:[Population4]],5,FALSE)</f>
        <v>西宁市</v>
      </c>
    </row>
    <row r="54" spans="1:7" ht="15.75" thickBot="1" x14ac:dyDescent="0.3">
      <c r="A54" t="s">
        <v>732</v>
      </c>
      <c r="B54" s="1" t="s">
        <v>733</v>
      </c>
      <c r="C54" s="1" t="s">
        <v>488</v>
      </c>
      <c r="D54" s="1" t="s">
        <v>671</v>
      </c>
      <c r="E54" s="3">
        <v>28600</v>
      </c>
      <c r="F54" s="1" t="str">
        <f>VLOOKUP(D54,Table9[[Name]:[Native]],3,FALSE)</f>
        <v>城西区</v>
      </c>
      <c r="G54" s="12" t="str">
        <f ca="1">VLOOKUP(F54,Table9[[Native]:[Population4]],5,FALSE)</f>
        <v>西宁市</v>
      </c>
    </row>
    <row r="55" spans="1:7" ht="15.75" thickBot="1" x14ac:dyDescent="0.3">
      <c r="A55" t="s">
        <v>734</v>
      </c>
      <c r="B55" s="1" t="s">
        <v>735</v>
      </c>
      <c r="C55" s="1" t="s">
        <v>7</v>
      </c>
      <c r="D55" s="1" t="s">
        <v>630</v>
      </c>
      <c r="E55" s="3">
        <v>14594</v>
      </c>
      <c r="F55" s="1" t="str">
        <f>VLOOKUP(D55,Table9[[Name]:[Native]],3,FALSE)</f>
        <v>湟源县</v>
      </c>
      <c r="G55" s="12" t="str">
        <f ca="1">VLOOKUP(F55,Table9[[Native]:[Population4]],5,FALSE)</f>
        <v>西宁市</v>
      </c>
    </row>
    <row r="56" spans="1:7" ht="15.75" thickBot="1" x14ac:dyDescent="0.3">
      <c r="A56" t="s">
        <v>736</v>
      </c>
      <c r="B56" s="1" t="s">
        <v>737</v>
      </c>
      <c r="C56" s="1" t="s">
        <v>7</v>
      </c>
      <c r="D56" s="1" t="s">
        <v>627</v>
      </c>
      <c r="E56" s="3">
        <v>7116</v>
      </c>
      <c r="F56" s="1" t="str">
        <f>VLOOKUP(D56,Table9[[Name]:[Native]],3,FALSE)</f>
        <v>大通回族土族自治县</v>
      </c>
      <c r="G56" s="12" t="str">
        <f ca="1">VLOOKUP(F56,Table9[[Native]:[Population4]],5,FALSE)</f>
        <v>西宁市</v>
      </c>
    </row>
    <row r="57" spans="1:7" ht="15.75" thickBot="1" x14ac:dyDescent="0.3">
      <c r="A57" t="s">
        <v>738</v>
      </c>
      <c r="B57" s="1" t="s">
        <v>739</v>
      </c>
      <c r="C57" s="1" t="s">
        <v>7</v>
      </c>
      <c r="D57" s="1" t="s">
        <v>627</v>
      </c>
      <c r="E57" s="3">
        <v>17098</v>
      </c>
      <c r="F57" s="1" t="str">
        <f>VLOOKUP(D57,Table9[[Name]:[Native]],3,FALSE)</f>
        <v>大通回族土族自治县</v>
      </c>
      <c r="G57" s="12" t="str">
        <f ca="1">VLOOKUP(F57,Table9[[Native]:[Population4]],5,FALSE)</f>
        <v>西宁市</v>
      </c>
    </row>
    <row r="58" spans="1:7" ht="15.75" thickBot="1" x14ac:dyDescent="0.3">
      <c r="A58" t="s">
        <v>740</v>
      </c>
      <c r="B58" s="1" t="s">
        <v>741</v>
      </c>
      <c r="C58" s="1" t="s">
        <v>7</v>
      </c>
      <c r="D58" s="1" t="s">
        <v>630</v>
      </c>
      <c r="E58" s="3">
        <v>6358</v>
      </c>
      <c r="F58" s="1" t="str">
        <f>VLOOKUP(D58,Table9[[Name]:[Native]],3,FALSE)</f>
        <v>湟源县</v>
      </c>
      <c r="G58" s="12" t="str">
        <f ca="1">VLOOKUP(F58,Table9[[Native]:[Population4]],5,FALSE)</f>
        <v>西宁市</v>
      </c>
    </row>
    <row r="59" spans="1:7" ht="15.75" thickBot="1" x14ac:dyDescent="0.3">
      <c r="A59" t="s">
        <v>742</v>
      </c>
      <c r="B59" s="1" t="s">
        <v>743</v>
      </c>
      <c r="C59" s="1" t="s">
        <v>19</v>
      </c>
      <c r="D59" s="1" t="s">
        <v>627</v>
      </c>
      <c r="E59" s="3">
        <v>31453</v>
      </c>
      <c r="F59" s="1" t="str">
        <f>VLOOKUP(D59,Table9[[Name]:[Native]],3,FALSE)</f>
        <v>大通回族土族自治县</v>
      </c>
      <c r="G59" s="12" t="str">
        <f ca="1">VLOOKUP(F59,Table9[[Native]:[Population4]],5,FALSE)</f>
        <v>西宁市</v>
      </c>
    </row>
    <row r="60" spans="1:7" ht="15.75" thickBot="1" x14ac:dyDescent="0.3">
      <c r="A60" t="s">
        <v>744</v>
      </c>
      <c r="B60" s="1" t="s">
        <v>745</v>
      </c>
      <c r="C60" s="1" t="s">
        <v>19</v>
      </c>
      <c r="D60" s="1" t="s">
        <v>650</v>
      </c>
      <c r="E60" s="3">
        <v>38229</v>
      </c>
      <c r="F60" s="1" t="str">
        <f>VLOOKUP(D60,Table9[[Name]:[Native]],3,FALSE)</f>
        <v>湟中区</v>
      </c>
      <c r="G60" s="12" t="str">
        <f ca="1">VLOOKUP(F60,Table9[[Native]:[Population4]],5,FALSE)</f>
        <v>西宁市</v>
      </c>
    </row>
    <row r="61" spans="1:7" ht="15.75" thickBot="1" x14ac:dyDescent="0.3">
      <c r="A61" t="s">
        <v>746</v>
      </c>
      <c r="B61" s="1" t="s">
        <v>747</v>
      </c>
      <c r="C61" s="1" t="s">
        <v>7</v>
      </c>
      <c r="D61" s="1" t="s">
        <v>650</v>
      </c>
      <c r="E61" s="3">
        <v>15328</v>
      </c>
      <c r="F61" s="1" t="str">
        <f>VLOOKUP(D61,Table9[[Name]:[Native]],3,FALSE)</f>
        <v>湟中区</v>
      </c>
      <c r="G61" s="12" t="str">
        <f ca="1">VLOOKUP(F61,Table9[[Native]:[Population4]],5,FALSE)</f>
        <v>西宁市</v>
      </c>
    </row>
    <row r="62" spans="1:7" ht="15.75" thickBot="1" x14ac:dyDescent="0.3">
      <c r="A62" t="s">
        <v>748</v>
      </c>
      <c r="B62" s="1" t="s">
        <v>749</v>
      </c>
      <c r="C62" s="1" t="s">
        <v>7</v>
      </c>
      <c r="D62" s="1" t="s">
        <v>627</v>
      </c>
      <c r="E62" s="3">
        <v>6809</v>
      </c>
      <c r="F62" s="1" t="str">
        <f>VLOOKUP(D62,Table9[[Name]:[Native]],3,FALSE)</f>
        <v>大通回族土族自治县</v>
      </c>
      <c r="G62" s="12" t="str">
        <f ca="1">VLOOKUP(F62,Table9[[Native]:[Population4]],5,FALSE)</f>
        <v>西宁市</v>
      </c>
    </row>
    <row r="63" spans="1:7" ht="15.75" thickBot="1" x14ac:dyDescent="0.3">
      <c r="A63" t="s">
        <v>750</v>
      </c>
      <c r="B63" s="1" t="s">
        <v>751</v>
      </c>
      <c r="C63" s="1" t="s">
        <v>488</v>
      </c>
      <c r="D63" s="1" t="s">
        <v>643</v>
      </c>
      <c r="E63" s="3">
        <v>98501</v>
      </c>
      <c r="F63" s="1" t="str">
        <f>VLOOKUP(D63,Table9[[Name]:[Native]],3,FALSE)</f>
        <v>城北区</v>
      </c>
      <c r="G63" s="12" t="str">
        <f ca="1">VLOOKUP(F63,Table9[[Native]:[Population4]],5,FALSE)</f>
        <v>西宁市</v>
      </c>
    </row>
    <row r="64" spans="1:7" ht="15.75" thickBot="1" x14ac:dyDescent="0.3">
      <c r="A64" t="s">
        <v>752</v>
      </c>
      <c r="B64" s="1" t="s">
        <v>753</v>
      </c>
      <c r="C64" s="1" t="s">
        <v>19</v>
      </c>
      <c r="D64" s="1" t="s">
        <v>650</v>
      </c>
      <c r="E64" s="3">
        <v>23131</v>
      </c>
      <c r="F64" s="1" t="str">
        <f>VLOOKUP(D64,Table9[[Name]:[Native]],3,FALSE)</f>
        <v>湟中区</v>
      </c>
      <c r="G64" s="12" t="str">
        <f ca="1">VLOOKUP(F64,Table9[[Native]:[Population4]],5,FALSE)</f>
        <v>西宁市</v>
      </c>
    </row>
    <row r="65" spans="1:7" ht="15.75" thickBot="1" x14ac:dyDescent="0.3">
      <c r="A65" t="s">
        <v>754</v>
      </c>
      <c r="B65" s="1" t="s">
        <v>755</v>
      </c>
      <c r="C65" s="1" t="s">
        <v>7</v>
      </c>
      <c r="D65" s="1" t="s">
        <v>627</v>
      </c>
      <c r="E65" s="3">
        <v>7634</v>
      </c>
      <c r="F65" s="1" t="str">
        <f>VLOOKUP(D65,Table9[[Name]:[Native]],3,FALSE)</f>
        <v>大通回族土族自治县</v>
      </c>
      <c r="G65" s="12" t="str">
        <f ca="1">VLOOKUP(F65,Table9[[Native]:[Population4]],5,FALSE)</f>
        <v>西宁市</v>
      </c>
    </row>
    <row r="66" spans="1:7" ht="15.75" thickBot="1" x14ac:dyDescent="0.3">
      <c r="A66" t="s">
        <v>756</v>
      </c>
      <c r="B66" s="1" t="s">
        <v>757</v>
      </c>
      <c r="C66" s="1" t="s">
        <v>488</v>
      </c>
      <c r="D66" s="1" t="s">
        <v>671</v>
      </c>
      <c r="E66" s="3">
        <v>36241</v>
      </c>
      <c r="F66" s="1" t="str">
        <f>VLOOKUP(D66,Table9[[Name]:[Native]],3,FALSE)</f>
        <v>城西区</v>
      </c>
      <c r="G66" s="12" t="str">
        <f ca="1">VLOOKUP(F66,Table9[[Native]:[Population4]],5,FALSE)</f>
        <v>西宁市</v>
      </c>
    </row>
    <row r="67" spans="1:7" ht="15.75" thickBot="1" x14ac:dyDescent="0.3">
      <c r="A67" t="s">
        <v>758</v>
      </c>
      <c r="B67" s="1" t="s">
        <v>759</v>
      </c>
      <c r="C67" s="1" t="s">
        <v>488</v>
      </c>
      <c r="D67" s="1" t="s">
        <v>671</v>
      </c>
      <c r="E67" s="3">
        <v>30962</v>
      </c>
      <c r="F67" s="1" t="str">
        <f>VLOOKUP(D67,Table9[[Name]:[Native]],3,FALSE)</f>
        <v>城西区</v>
      </c>
      <c r="G67" s="12" t="str">
        <f ca="1">VLOOKUP(F67,Table9[[Native]:[Population4]],5,FALSE)</f>
        <v>西宁市</v>
      </c>
    </row>
    <row r="68" spans="1:7" ht="15.75" thickBot="1" x14ac:dyDescent="0.3">
      <c r="A68" t="s">
        <v>760</v>
      </c>
      <c r="B68" s="1" t="s">
        <v>761</v>
      </c>
      <c r="C68" s="1" t="s">
        <v>19</v>
      </c>
      <c r="D68" s="1" t="s">
        <v>627</v>
      </c>
      <c r="E68" s="3">
        <v>15785</v>
      </c>
      <c r="F68" s="1" t="str">
        <f>VLOOKUP(D68,Table9[[Name]:[Native]],3,FALSE)</f>
        <v>大通回族土族自治县</v>
      </c>
      <c r="G68" s="12" t="str">
        <f ca="1">VLOOKUP(F68,Table9[[Native]:[Population4]],5,FALSE)</f>
        <v>西宁市</v>
      </c>
    </row>
    <row r="69" spans="1:7" ht="15.75" thickBot="1" x14ac:dyDescent="0.3">
      <c r="A69" t="s">
        <v>762</v>
      </c>
      <c r="B69" s="1" t="s">
        <v>763</v>
      </c>
      <c r="C69" s="1" t="s">
        <v>7</v>
      </c>
      <c r="D69" s="1" t="s">
        <v>627</v>
      </c>
      <c r="E69" s="3">
        <v>11998</v>
      </c>
      <c r="F69" s="1" t="str">
        <f>VLOOKUP(D69,Table9[[Name]:[Native]],3,FALSE)</f>
        <v>大通回族土族自治县</v>
      </c>
      <c r="G69" s="12" t="str">
        <f ca="1">VLOOKUP(F69,Table9[[Native]:[Population4]],5,FALSE)</f>
        <v>西宁市</v>
      </c>
    </row>
    <row r="70" spans="1:7" ht="15.75" thickBot="1" x14ac:dyDescent="0.3">
      <c r="A70" t="s">
        <v>764</v>
      </c>
      <c r="B70" s="1" t="s">
        <v>765</v>
      </c>
      <c r="C70" s="1" t="s">
        <v>488</v>
      </c>
      <c r="D70" s="1" t="s">
        <v>638</v>
      </c>
      <c r="E70" s="3">
        <v>29702</v>
      </c>
      <c r="F70" s="1" t="str">
        <f>VLOOKUP(D70,Table9[[Name]:[Native]],3,FALSE)</f>
        <v>城中区</v>
      </c>
      <c r="G70" s="12" t="str">
        <f ca="1">VLOOKUP(F70,Table9[[Native]:[Population4]],5,FALSE)</f>
        <v>西宁市</v>
      </c>
    </row>
    <row r="71" spans="1:7" ht="15.75" thickBot="1" x14ac:dyDescent="0.3">
      <c r="A71" t="s">
        <v>766</v>
      </c>
      <c r="B71" s="1" t="s">
        <v>767</v>
      </c>
      <c r="C71" s="1" t="s">
        <v>19</v>
      </c>
      <c r="D71" s="1" t="s">
        <v>633</v>
      </c>
      <c r="E71" s="3">
        <v>42133</v>
      </c>
      <c r="F71" s="1" t="str">
        <f>VLOOKUP(D71,Table9[[Name]:[Native]],3,FALSE)</f>
        <v>城东区</v>
      </c>
      <c r="G71" s="12" t="str">
        <f ca="1">VLOOKUP(F71,Table9[[Native]:[Population4]],5,FALSE)</f>
        <v>西宁市</v>
      </c>
    </row>
    <row r="72" spans="1:7" ht="15.75" thickBot="1" x14ac:dyDescent="0.3">
      <c r="A72" t="s">
        <v>768</v>
      </c>
      <c r="B72" s="1" t="s">
        <v>769</v>
      </c>
      <c r="C72" s="1" t="s">
        <v>488</v>
      </c>
      <c r="D72" s="1" t="s">
        <v>633</v>
      </c>
      <c r="E72" s="3">
        <v>29871</v>
      </c>
      <c r="F72" s="1" t="str">
        <f>VLOOKUP(D72,Table9[[Name]:[Native]],3,FALSE)</f>
        <v>城东区</v>
      </c>
      <c r="G72" s="12" t="str">
        <f ca="1">VLOOKUP(F72,Table9[[Native]:[Population4]],5,FALSE)</f>
        <v>西宁市</v>
      </c>
    </row>
    <row r="73" spans="1:7" ht="15.75" thickBot="1" x14ac:dyDescent="0.3">
      <c r="A73" t="s">
        <v>770</v>
      </c>
      <c r="B73" s="1" t="s">
        <v>771</v>
      </c>
      <c r="C73" s="1" t="s">
        <v>19</v>
      </c>
      <c r="D73" s="1" t="s">
        <v>638</v>
      </c>
      <c r="E73" s="3">
        <v>49375</v>
      </c>
      <c r="F73" s="9" t="str">
        <f>VLOOKUP(D73,Table9[[Name]:[Native]],3,FALSE)</f>
        <v>城中区</v>
      </c>
      <c r="G73" s="12" t="str">
        <f ca="1">VLOOKUP(F73,Table9[[Native]:[Population4]],5,FALSE)</f>
        <v>西宁市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C06C8-AAC4-497A-A1FE-143F2DE17F15}">
  <dimension ref="A1:G47"/>
  <sheetViews>
    <sheetView workbookViewId="0">
      <selection activeCell="A2" sqref="A2:G4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945</v>
      </c>
      <c r="G1" t="s">
        <v>947</v>
      </c>
    </row>
    <row r="2" spans="1:7" ht="15.75" thickBot="1" x14ac:dyDescent="0.3">
      <c r="A2" t="s">
        <v>772</v>
      </c>
      <c r="B2" s="1" t="s">
        <v>773</v>
      </c>
      <c r="C2" s="1" t="s">
        <v>7</v>
      </c>
      <c r="D2" s="1" t="s">
        <v>774</v>
      </c>
      <c r="E2" s="3">
        <v>4804</v>
      </c>
      <c r="F2" s="8" t="str">
        <f>VLOOKUP(D2,Table9[[Name]:[Native]],3,FALSE)</f>
        <v>杂多县</v>
      </c>
      <c r="G2" s="12" t="str">
        <f ca="1">VLOOKUP(F2,Table9[[Native]:[Population4]],5,FALSE)</f>
        <v>玉树藏族自治州</v>
      </c>
    </row>
    <row r="3" spans="1:7" ht="15.75" thickBot="1" x14ac:dyDescent="0.3">
      <c r="A3" t="s">
        <v>775</v>
      </c>
      <c r="B3" s="1" t="s">
        <v>776</v>
      </c>
      <c r="C3" s="1" t="s">
        <v>7</v>
      </c>
      <c r="D3" s="1" t="s">
        <v>777</v>
      </c>
      <c r="E3" s="3">
        <v>2745</v>
      </c>
      <c r="F3" s="1" t="str">
        <f>VLOOKUP(D3,Table9[[Name]:[Native]],3,FALSE)</f>
        <v>玉树市</v>
      </c>
      <c r="G3" s="12" t="str">
        <f ca="1">VLOOKUP(F3,Table9[[Native]:[Population4]],5,FALSE)</f>
        <v>玉树藏族自治州</v>
      </c>
    </row>
    <row r="4" spans="1:7" ht="15.75" thickBot="1" x14ac:dyDescent="0.3">
      <c r="A4" t="s">
        <v>778</v>
      </c>
      <c r="B4" s="1" t="s">
        <v>779</v>
      </c>
      <c r="C4" s="1" t="s">
        <v>7</v>
      </c>
      <c r="D4" s="1" t="s">
        <v>774</v>
      </c>
      <c r="E4" s="3">
        <v>4451</v>
      </c>
      <c r="F4" s="1" t="str">
        <f>VLOOKUP(D4,Table9[[Name]:[Native]],3,FALSE)</f>
        <v>杂多县</v>
      </c>
      <c r="G4" s="12" t="str">
        <f ca="1">VLOOKUP(F4,Table9[[Native]:[Population4]],5,FALSE)</f>
        <v>玉树藏族自治州</v>
      </c>
    </row>
    <row r="5" spans="1:7" ht="15.75" thickBot="1" x14ac:dyDescent="0.3">
      <c r="A5" t="s">
        <v>780</v>
      </c>
      <c r="B5" s="1" t="s">
        <v>781</v>
      </c>
      <c r="C5" s="1" t="s">
        <v>7</v>
      </c>
      <c r="D5" s="1" t="s">
        <v>782</v>
      </c>
      <c r="E5" s="3">
        <v>4076</v>
      </c>
      <c r="F5" s="1" t="str">
        <f>VLOOKUP(D5,Table9[[Name]:[Native]],3,FALSE)</f>
        <v>曲麻莱县</v>
      </c>
      <c r="G5" s="12" t="str">
        <f ca="1">VLOOKUP(F5,Table9[[Native]:[Population4]],5,FALSE)</f>
        <v>玉树藏族自治州</v>
      </c>
    </row>
    <row r="6" spans="1:7" ht="15.75" thickBot="1" x14ac:dyDescent="0.3">
      <c r="A6" t="s">
        <v>783</v>
      </c>
      <c r="B6" s="1" t="s">
        <v>784</v>
      </c>
      <c r="C6" s="1" t="s">
        <v>7</v>
      </c>
      <c r="D6" s="1" t="s">
        <v>785</v>
      </c>
      <c r="E6" s="3">
        <v>8015</v>
      </c>
      <c r="F6" s="1" t="str">
        <f>VLOOKUP(D6,Table9[[Name]:[Native]],3,FALSE)</f>
        <v>囊谦县</v>
      </c>
      <c r="G6" s="12" t="str">
        <f ca="1">VLOOKUP(F6,Table9[[Native]:[Population4]],5,FALSE)</f>
        <v>玉树藏族自治州</v>
      </c>
    </row>
    <row r="7" spans="1:7" ht="15.75" thickBot="1" x14ac:dyDescent="0.3">
      <c r="A7" t="s">
        <v>786</v>
      </c>
      <c r="B7" s="1" t="s">
        <v>787</v>
      </c>
      <c r="C7" s="1" t="s">
        <v>7</v>
      </c>
      <c r="D7" s="1" t="s">
        <v>777</v>
      </c>
      <c r="E7" s="3">
        <v>5377</v>
      </c>
      <c r="F7" s="1" t="str">
        <f>VLOOKUP(D7,Table9[[Name]:[Native]],3,FALSE)</f>
        <v>玉树市</v>
      </c>
      <c r="G7" s="12" t="str">
        <f ca="1">VLOOKUP(F7,Table9[[Native]:[Population4]],5,FALSE)</f>
        <v>玉树藏族自治州</v>
      </c>
    </row>
    <row r="8" spans="1:7" ht="15.75" thickBot="1" x14ac:dyDescent="0.3">
      <c r="A8" t="s">
        <v>788</v>
      </c>
      <c r="B8" s="1" t="s">
        <v>789</v>
      </c>
      <c r="C8" s="1" t="s">
        <v>7</v>
      </c>
      <c r="D8" s="1" t="s">
        <v>774</v>
      </c>
      <c r="E8" s="3">
        <v>4004</v>
      </c>
      <c r="F8" s="1" t="str">
        <f>VLOOKUP(D8,Table9[[Name]:[Native]],3,FALSE)</f>
        <v>杂多县</v>
      </c>
      <c r="G8" s="12" t="str">
        <f ca="1">VLOOKUP(F8,Table9[[Native]:[Population4]],5,FALSE)</f>
        <v>玉树藏族自治州</v>
      </c>
    </row>
    <row r="9" spans="1:7" ht="15.75" thickBot="1" x14ac:dyDescent="0.3">
      <c r="A9" t="s">
        <v>790</v>
      </c>
      <c r="B9" s="1" t="s">
        <v>791</v>
      </c>
      <c r="C9" s="1" t="s">
        <v>19</v>
      </c>
      <c r="D9" s="1" t="s">
        <v>792</v>
      </c>
      <c r="E9" s="3">
        <v>10659</v>
      </c>
      <c r="F9" s="1" t="str">
        <f>VLOOKUP(D9,Table9[[Name]:[Native]],3,FALSE)</f>
        <v>称多县</v>
      </c>
      <c r="G9" s="12" t="str">
        <f ca="1">VLOOKUP(F9,Table9[[Native]:[Population4]],5,FALSE)</f>
        <v>玉树藏族自治州</v>
      </c>
    </row>
    <row r="10" spans="1:7" ht="15.75" thickBot="1" x14ac:dyDescent="0.3">
      <c r="A10" t="s">
        <v>793</v>
      </c>
      <c r="B10" s="1" t="s">
        <v>794</v>
      </c>
      <c r="C10" s="1" t="s">
        <v>7</v>
      </c>
      <c r="D10" s="1" t="s">
        <v>785</v>
      </c>
      <c r="E10" s="3">
        <v>6852</v>
      </c>
      <c r="F10" s="1" t="str">
        <f>VLOOKUP(D10,Table9[[Name]:[Native]],3,FALSE)</f>
        <v>囊谦县</v>
      </c>
      <c r="G10" s="12" t="str">
        <f ca="1">VLOOKUP(F10,Table9[[Native]:[Population4]],5,FALSE)</f>
        <v>玉树藏族自治州</v>
      </c>
    </row>
    <row r="11" spans="1:7" ht="15.75" thickBot="1" x14ac:dyDescent="0.3">
      <c r="A11" t="s">
        <v>795</v>
      </c>
      <c r="B11" s="1" t="s">
        <v>796</v>
      </c>
      <c r="C11" s="1" t="s">
        <v>7</v>
      </c>
      <c r="D11" s="1" t="s">
        <v>797</v>
      </c>
      <c r="E11" s="3">
        <v>3881</v>
      </c>
      <c r="F11" s="1" t="str">
        <f>VLOOKUP(D11,Table9[[Name]:[Native]],3,FALSE)</f>
        <v>治多县</v>
      </c>
      <c r="G11" s="12" t="str">
        <f ca="1">VLOOKUP(F11,Table9[[Native]:[Population4]],5,FALSE)</f>
        <v>玉树藏族自治州</v>
      </c>
    </row>
    <row r="12" spans="1:7" ht="15.75" thickBot="1" x14ac:dyDescent="0.3">
      <c r="A12" t="s">
        <v>798</v>
      </c>
      <c r="B12" s="1" t="s">
        <v>799</v>
      </c>
      <c r="C12" s="1" t="s">
        <v>7</v>
      </c>
      <c r="D12" s="1" t="s">
        <v>792</v>
      </c>
      <c r="E12" s="3">
        <v>7426</v>
      </c>
      <c r="F12" s="1" t="str">
        <f>VLOOKUP(D12,Table9[[Name]:[Native]],3,FALSE)</f>
        <v>称多县</v>
      </c>
      <c r="G12" s="12" t="str">
        <f ca="1">VLOOKUP(F12,Table9[[Native]:[Population4]],5,FALSE)</f>
        <v>玉树藏族自治州</v>
      </c>
    </row>
    <row r="13" spans="1:7" ht="15.75" thickBot="1" x14ac:dyDescent="0.3">
      <c r="A13" t="s">
        <v>800</v>
      </c>
      <c r="B13" s="1" t="s">
        <v>801</v>
      </c>
      <c r="C13" s="1" t="s">
        <v>7</v>
      </c>
      <c r="D13" s="1" t="s">
        <v>785</v>
      </c>
      <c r="E13" s="3">
        <v>2917</v>
      </c>
      <c r="F13" s="1" t="str">
        <f>VLOOKUP(D13,Table9[[Name]:[Native]],3,FALSE)</f>
        <v>囊谦县</v>
      </c>
      <c r="G13" s="12" t="str">
        <f ca="1">VLOOKUP(F13,Table9[[Native]:[Population4]],5,FALSE)</f>
        <v>玉树藏族自治州</v>
      </c>
    </row>
    <row r="14" spans="1:7" ht="15.75" thickBot="1" x14ac:dyDescent="0.3">
      <c r="A14" t="s">
        <v>802</v>
      </c>
      <c r="B14" s="1" t="s">
        <v>803</v>
      </c>
      <c r="C14" s="1" t="s">
        <v>7</v>
      </c>
      <c r="D14" s="1" t="s">
        <v>777</v>
      </c>
      <c r="E14" s="3">
        <v>4566</v>
      </c>
      <c r="F14" s="1" t="str">
        <f>VLOOKUP(D14,Table9[[Name]:[Native]],3,FALSE)</f>
        <v>玉树市</v>
      </c>
      <c r="G14" s="12" t="str">
        <f ca="1">VLOOKUP(F14,Table9[[Native]:[Population4]],5,FALSE)</f>
        <v>玉树藏族自治州</v>
      </c>
    </row>
    <row r="15" spans="1:7" ht="15.75" thickBot="1" x14ac:dyDescent="0.3">
      <c r="A15" t="s">
        <v>804</v>
      </c>
      <c r="B15" s="1" t="s">
        <v>805</v>
      </c>
      <c r="C15" s="1" t="s">
        <v>19</v>
      </c>
      <c r="D15" s="1" t="s">
        <v>797</v>
      </c>
      <c r="E15" s="3">
        <v>12773</v>
      </c>
      <c r="F15" s="1" t="str">
        <f>VLOOKUP(D15,Table9[[Name]:[Native]],3,FALSE)</f>
        <v>治多县</v>
      </c>
      <c r="G15" s="12" t="str">
        <f ca="1">VLOOKUP(F15,Table9[[Native]:[Population4]],5,FALSE)</f>
        <v>玉树藏族自治州</v>
      </c>
    </row>
    <row r="16" spans="1:7" ht="15.75" thickBot="1" x14ac:dyDescent="0.3">
      <c r="A16" t="s">
        <v>806</v>
      </c>
      <c r="B16" s="1" t="s">
        <v>807</v>
      </c>
      <c r="C16" s="1" t="s">
        <v>7</v>
      </c>
      <c r="D16" s="1" t="s">
        <v>774</v>
      </c>
      <c r="E16" s="3">
        <v>5743</v>
      </c>
      <c r="F16" s="1" t="str">
        <f>VLOOKUP(D16,Table9[[Name]:[Native]],3,FALSE)</f>
        <v>杂多县</v>
      </c>
      <c r="G16" s="12" t="str">
        <f ca="1">VLOOKUP(F16,Table9[[Native]:[Population4]],5,FALSE)</f>
        <v>玉树藏族自治州</v>
      </c>
    </row>
    <row r="17" spans="1:7" ht="15.75" thickBot="1" x14ac:dyDescent="0.3">
      <c r="A17" t="s">
        <v>808</v>
      </c>
      <c r="B17" s="1" t="s">
        <v>809</v>
      </c>
      <c r="C17" s="1" t="s">
        <v>488</v>
      </c>
      <c r="D17" s="1" t="s">
        <v>777</v>
      </c>
      <c r="E17" s="3">
        <v>63280</v>
      </c>
      <c r="F17" s="1" t="str">
        <f>VLOOKUP(D17,Table9[[Name]:[Native]],3,FALSE)</f>
        <v>玉树市</v>
      </c>
      <c r="G17" s="12" t="str">
        <f ca="1">VLOOKUP(F17,Table9[[Native]:[Population4]],5,FALSE)</f>
        <v>玉树藏族自治州</v>
      </c>
    </row>
    <row r="18" spans="1:7" ht="15.75" thickBot="1" x14ac:dyDescent="0.3">
      <c r="A18" t="s">
        <v>810</v>
      </c>
      <c r="B18" s="1" t="s">
        <v>811</v>
      </c>
      <c r="C18" s="1" t="s">
        <v>7</v>
      </c>
      <c r="D18" s="1" t="s">
        <v>785</v>
      </c>
      <c r="E18" s="3">
        <v>4718</v>
      </c>
      <c r="F18" s="1" t="str">
        <f>VLOOKUP(D18,Table9[[Name]:[Native]],3,FALSE)</f>
        <v>囊谦县</v>
      </c>
      <c r="G18" s="12" t="str">
        <f ca="1">VLOOKUP(F18,Table9[[Native]:[Population4]],5,FALSE)</f>
        <v>玉树藏族自治州</v>
      </c>
    </row>
    <row r="19" spans="1:7" ht="15.75" thickBot="1" x14ac:dyDescent="0.3">
      <c r="A19" t="s">
        <v>812</v>
      </c>
      <c r="B19" s="1" t="s">
        <v>813</v>
      </c>
      <c r="C19" s="1" t="s">
        <v>7</v>
      </c>
      <c r="D19" s="1" t="s">
        <v>785</v>
      </c>
      <c r="E19" s="3">
        <v>10159</v>
      </c>
      <c r="F19" s="1" t="str">
        <f>VLOOKUP(D19,Table9[[Name]:[Native]],3,FALSE)</f>
        <v>囊谦县</v>
      </c>
      <c r="G19" s="12" t="str">
        <f ca="1">VLOOKUP(F19,Table9[[Native]:[Population4]],5,FALSE)</f>
        <v>玉树藏族自治州</v>
      </c>
    </row>
    <row r="20" spans="1:7" ht="15.75" thickBot="1" x14ac:dyDescent="0.3">
      <c r="A20" t="s">
        <v>814</v>
      </c>
      <c r="B20" s="1" t="s">
        <v>815</v>
      </c>
      <c r="C20" s="1" t="s">
        <v>7</v>
      </c>
      <c r="D20" s="1" t="s">
        <v>785</v>
      </c>
      <c r="E20" s="3">
        <v>5676</v>
      </c>
      <c r="F20" s="1" t="str">
        <f>VLOOKUP(D20,Table9[[Name]:[Native]],3,FALSE)</f>
        <v>囊谦县</v>
      </c>
      <c r="G20" s="12" t="str">
        <f ca="1">VLOOKUP(F20,Table9[[Native]:[Population4]],5,FALSE)</f>
        <v>玉树藏族自治州</v>
      </c>
    </row>
    <row r="21" spans="1:7" ht="15.75" thickBot="1" x14ac:dyDescent="0.3">
      <c r="A21" t="s">
        <v>816</v>
      </c>
      <c r="B21" s="1" t="s">
        <v>817</v>
      </c>
      <c r="C21" s="1" t="s">
        <v>7</v>
      </c>
      <c r="D21" s="1" t="s">
        <v>792</v>
      </c>
      <c r="E21" s="3">
        <v>4519</v>
      </c>
      <c r="F21" s="1" t="str">
        <f>VLOOKUP(D21,Table9[[Name]:[Native]],3,FALSE)</f>
        <v>称多县</v>
      </c>
      <c r="G21" s="12" t="str">
        <f ca="1">VLOOKUP(F21,Table9[[Native]:[Population4]],5,FALSE)</f>
        <v>玉树藏族自治州</v>
      </c>
    </row>
    <row r="22" spans="1:7" ht="15.75" thickBot="1" x14ac:dyDescent="0.3">
      <c r="A22" t="s">
        <v>818</v>
      </c>
      <c r="B22" s="1" t="s">
        <v>819</v>
      </c>
      <c r="C22" s="1" t="s">
        <v>7</v>
      </c>
      <c r="D22" s="1" t="s">
        <v>797</v>
      </c>
      <c r="E22" s="3">
        <v>1864</v>
      </c>
      <c r="F22" s="1" t="str">
        <f>VLOOKUP(D22,Table9[[Name]:[Native]],3,FALSE)</f>
        <v>治多县</v>
      </c>
      <c r="G22" s="12" t="str">
        <f ca="1">VLOOKUP(F22,Table9[[Native]:[Population4]],5,FALSE)</f>
        <v>玉树藏族自治州</v>
      </c>
    </row>
    <row r="23" spans="1:7" ht="15.75" thickBot="1" x14ac:dyDescent="0.3">
      <c r="A23" t="s">
        <v>820</v>
      </c>
      <c r="B23" s="1" t="s">
        <v>821</v>
      </c>
      <c r="C23" s="1" t="s">
        <v>19</v>
      </c>
      <c r="D23" s="1" t="s">
        <v>777</v>
      </c>
      <c r="E23" s="3">
        <v>7313</v>
      </c>
      <c r="F23" s="1" t="str">
        <f>VLOOKUP(D23,Table9[[Name]:[Native]],3,FALSE)</f>
        <v>玉树市</v>
      </c>
      <c r="G23" s="12" t="str">
        <f ca="1">VLOOKUP(F23,Table9[[Native]:[Population4]],5,FALSE)</f>
        <v>玉树藏族自治州</v>
      </c>
    </row>
    <row r="24" spans="1:7" ht="15.75" thickBot="1" x14ac:dyDescent="0.3">
      <c r="A24" t="s">
        <v>822</v>
      </c>
      <c r="B24" s="1" t="s">
        <v>823</v>
      </c>
      <c r="C24" s="1" t="s">
        <v>7</v>
      </c>
      <c r="D24" s="1" t="s">
        <v>782</v>
      </c>
      <c r="E24" s="3">
        <v>4353</v>
      </c>
      <c r="F24" s="1" t="str">
        <f>VLOOKUP(D24,Table9[[Name]:[Native]],3,FALSE)</f>
        <v>曲麻莱县</v>
      </c>
      <c r="G24" s="12" t="str">
        <f ca="1">VLOOKUP(F24,Table9[[Native]:[Population4]],5,FALSE)</f>
        <v>玉树藏族自治州</v>
      </c>
    </row>
    <row r="25" spans="1:7" ht="15.75" thickBot="1" x14ac:dyDescent="0.3">
      <c r="A25" t="s">
        <v>824</v>
      </c>
      <c r="B25" s="1" t="s">
        <v>825</v>
      </c>
      <c r="C25" s="1" t="s">
        <v>7</v>
      </c>
      <c r="D25" s="1" t="s">
        <v>785</v>
      </c>
      <c r="E25" s="3">
        <v>5763</v>
      </c>
      <c r="F25" s="1" t="str">
        <f>VLOOKUP(D25,Table9[[Name]:[Native]],3,FALSE)</f>
        <v>囊谦县</v>
      </c>
      <c r="G25" s="12" t="str">
        <f ca="1">VLOOKUP(F25,Table9[[Native]:[Population4]],5,FALSE)</f>
        <v>玉树藏族自治州</v>
      </c>
    </row>
    <row r="26" spans="1:7" ht="15.75" thickBot="1" x14ac:dyDescent="0.3">
      <c r="A26" t="s">
        <v>826</v>
      </c>
      <c r="B26" s="1" t="s">
        <v>827</v>
      </c>
      <c r="C26" s="1" t="s">
        <v>7</v>
      </c>
      <c r="D26" s="1" t="s">
        <v>774</v>
      </c>
      <c r="E26" s="3">
        <v>3736</v>
      </c>
      <c r="F26" s="1" t="str">
        <f>VLOOKUP(D26,Table9[[Name]:[Native]],3,FALSE)</f>
        <v>杂多县</v>
      </c>
      <c r="G26" s="12" t="str">
        <f ca="1">VLOOKUP(F26,Table9[[Native]:[Population4]],5,FALSE)</f>
        <v>玉树藏族自治州</v>
      </c>
    </row>
    <row r="27" spans="1:7" ht="15.75" thickBot="1" x14ac:dyDescent="0.3">
      <c r="A27" t="s">
        <v>828</v>
      </c>
      <c r="B27" s="1" t="s">
        <v>829</v>
      </c>
      <c r="C27" s="1" t="s">
        <v>7</v>
      </c>
      <c r="D27" s="1" t="s">
        <v>785</v>
      </c>
      <c r="E27" s="3">
        <v>3404</v>
      </c>
      <c r="F27" s="1" t="str">
        <f>VLOOKUP(D27,Table9[[Name]:[Native]],3,FALSE)</f>
        <v>囊谦县</v>
      </c>
      <c r="G27" s="12" t="str">
        <f ca="1">VLOOKUP(F27,Table9[[Native]:[Population4]],5,FALSE)</f>
        <v>玉树藏族自治州</v>
      </c>
    </row>
    <row r="28" spans="1:7" ht="15.75" thickBot="1" x14ac:dyDescent="0.3">
      <c r="A28" t="s">
        <v>830</v>
      </c>
      <c r="B28" s="1" t="s">
        <v>831</v>
      </c>
      <c r="C28" s="1" t="s">
        <v>19</v>
      </c>
      <c r="D28" s="1" t="s">
        <v>792</v>
      </c>
      <c r="E28" s="3">
        <v>7883</v>
      </c>
      <c r="F28" s="1" t="str">
        <f>VLOOKUP(D28,Table9[[Name]:[Native]],3,FALSE)</f>
        <v>称多县</v>
      </c>
      <c r="G28" s="12" t="str">
        <f ca="1">VLOOKUP(F28,Table9[[Native]:[Population4]],5,FALSE)</f>
        <v>玉树藏族自治州</v>
      </c>
    </row>
    <row r="29" spans="1:7" ht="15.75" thickBot="1" x14ac:dyDescent="0.3">
      <c r="A29" t="s">
        <v>832</v>
      </c>
      <c r="B29" s="1" t="s">
        <v>833</v>
      </c>
      <c r="C29" s="1" t="s">
        <v>7</v>
      </c>
      <c r="D29" s="1" t="s">
        <v>782</v>
      </c>
      <c r="E29" s="3">
        <v>3343</v>
      </c>
      <c r="F29" s="1" t="str">
        <f>VLOOKUP(D29,Table9[[Name]:[Native]],3,FALSE)</f>
        <v>曲麻莱县</v>
      </c>
      <c r="G29" s="12" t="str">
        <f ca="1">VLOOKUP(F29,Table9[[Native]:[Population4]],5,FALSE)</f>
        <v>玉树藏族自治州</v>
      </c>
    </row>
    <row r="30" spans="1:7" ht="15.75" thickBot="1" x14ac:dyDescent="0.3">
      <c r="A30" t="s">
        <v>834</v>
      </c>
      <c r="B30" s="1" t="s">
        <v>835</v>
      </c>
      <c r="C30" s="1" t="s">
        <v>7</v>
      </c>
      <c r="D30" s="1" t="s">
        <v>782</v>
      </c>
      <c r="E30" s="3">
        <v>3516</v>
      </c>
      <c r="F30" s="1" t="str">
        <f>VLOOKUP(D30,Table9[[Name]:[Native]],3,FALSE)</f>
        <v>曲麻莱县</v>
      </c>
      <c r="G30" s="12" t="str">
        <f ca="1">VLOOKUP(F30,Table9[[Native]:[Population4]],5,FALSE)</f>
        <v>玉树藏族自治州</v>
      </c>
    </row>
    <row r="31" spans="1:7" ht="15.75" thickBot="1" x14ac:dyDescent="0.3">
      <c r="A31" t="s">
        <v>836</v>
      </c>
      <c r="B31" s="1" t="s">
        <v>837</v>
      </c>
      <c r="C31" s="1" t="s">
        <v>19</v>
      </c>
      <c r="D31" s="1" t="s">
        <v>774</v>
      </c>
      <c r="E31" s="3">
        <v>25869</v>
      </c>
      <c r="F31" s="1" t="str">
        <f>VLOOKUP(D31,Table9[[Name]:[Native]],3,FALSE)</f>
        <v>杂多县</v>
      </c>
      <c r="G31" s="12" t="str">
        <f ca="1">VLOOKUP(F31,Table9[[Native]:[Population4]],5,FALSE)</f>
        <v>玉树藏族自治州</v>
      </c>
    </row>
    <row r="32" spans="1:7" ht="15.75" thickBot="1" x14ac:dyDescent="0.3">
      <c r="A32" t="s">
        <v>838</v>
      </c>
      <c r="B32" s="1" t="s">
        <v>839</v>
      </c>
      <c r="C32" s="1" t="s">
        <v>7</v>
      </c>
      <c r="D32" s="1" t="s">
        <v>777</v>
      </c>
      <c r="E32" s="3">
        <v>8028</v>
      </c>
      <c r="F32" s="1" t="str">
        <f>VLOOKUP(D32,Table9[[Name]:[Native]],3,FALSE)</f>
        <v>玉树市</v>
      </c>
      <c r="G32" s="12" t="str">
        <f ca="1">VLOOKUP(F32,Table9[[Native]:[Population4]],5,FALSE)</f>
        <v>玉树藏族自治州</v>
      </c>
    </row>
    <row r="33" spans="1:7" ht="15.75" thickBot="1" x14ac:dyDescent="0.3">
      <c r="A33" t="s">
        <v>840</v>
      </c>
      <c r="B33" s="1" t="s">
        <v>841</v>
      </c>
      <c r="C33" s="1" t="s">
        <v>7</v>
      </c>
      <c r="D33" s="1" t="s">
        <v>774</v>
      </c>
      <c r="E33" s="3">
        <v>4891</v>
      </c>
      <c r="F33" s="1" t="str">
        <f>VLOOKUP(D33,Table9[[Name]:[Native]],3,FALSE)</f>
        <v>杂多县</v>
      </c>
      <c r="G33" s="12" t="str">
        <f ca="1">VLOOKUP(F33,Table9[[Native]:[Population4]],5,FALSE)</f>
        <v>玉树藏族自治州</v>
      </c>
    </row>
    <row r="34" spans="1:7" ht="15.75" thickBot="1" x14ac:dyDescent="0.3">
      <c r="A34" t="s">
        <v>842</v>
      </c>
      <c r="B34" s="1" t="s">
        <v>843</v>
      </c>
      <c r="C34" s="1" t="s">
        <v>7</v>
      </c>
      <c r="D34" s="1" t="s">
        <v>797</v>
      </c>
      <c r="E34" s="3">
        <v>3585</v>
      </c>
      <c r="F34" s="1" t="str">
        <f>VLOOKUP(D34,Table9[[Name]:[Native]],3,FALSE)</f>
        <v>治多县</v>
      </c>
      <c r="G34" s="12" t="str">
        <f ca="1">VLOOKUP(F34,Table9[[Native]:[Population4]],5,FALSE)</f>
        <v>玉树藏族自治州</v>
      </c>
    </row>
    <row r="35" spans="1:7" ht="15.75" thickBot="1" x14ac:dyDescent="0.3">
      <c r="A35" t="s">
        <v>844</v>
      </c>
      <c r="B35" s="1" t="s">
        <v>845</v>
      </c>
      <c r="C35" s="1" t="s">
        <v>19</v>
      </c>
      <c r="D35" s="1" t="s">
        <v>777</v>
      </c>
      <c r="E35" s="3">
        <v>13494</v>
      </c>
      <c r="F35" s="1" t="str">
        <f>VLOOKUP(D35,Table9[[Name]:[Native]],3,FALSE)</f>
        <v>玉树市</v>
      </c>
      <c r="G35" s="12" t="str">
        <f ca="1">VLOOKUP(F35,Table9[[Native]:[Population4]],5,FALSE)</f>
        <v>玉树藏族自治州</v>
      </c>
    </row>
    <row r="36" spans="1:7" ht="15.75" thickBot="1" x14ac:dyDescent="0.3">
      <c r="A36" t="s">
        <v>846</v>
      </c>
      <c r="B36" s="1" t="s">
        <v>847</v>
      </c>
      <c r="C36" s="1" t="s">
        <v>19</v>
      </c>
      <c r="D36" s="1" t="s">
        <v>785</v>
      </c>
      <c r="E36" s="3">
        <v>32175</v>
      </c>
      <c r="F36" s="1" t="str">
        <f>VLOOKUP(D36,Table9[[Name]:[Native]],3,FALSE)</f>
        <v>囊谦县</v>
      </c>
      <c r="G36" s="12" t="str">
        <f ca="1">VLOOKUP(F36,Table9[[Native]:[Population4]],5,FALSE)</f>
        <v>玉树藏族自治州</v>
      </c>
    </row>
    <row r="37" spans="1:7" ht="15.75" thickBot="1" x14ac:dyDescent="0.3">
      <c r="A37" t="s">
        <v>848</v>
      </c>
      <c r="B37" s="1" t="s">
        <v>849</v>
      </c>
      <c r="C37" s="1" t="s">
        <v>7</v>
      </c>
      <c r="D37" s="1" t="s">
        <v>777</v>
      </c>
      <c r="E37" s="3">
        <v>12047</v>
      </c>
      <c r="F37" s="1" t="str">
        <f>VLOOKUP(D37,Table9[[Name]:[Native]],3,FALSE)</f>
        <v>玉树市</v>
      </c>
      <c r="G37" s="12" t="str">
        <f ca="1">VLOOKUP(F37,Table9[[Native]:[Population4]],5,FALSE)</f>
        <v>玉树藏族自治州</v>
      </c>
    </row>
    <row r="38" spans="1:7" ht="15.75" thickBot="1" x14ac:dyDescent="0.3">
      <c r="A38" t="s">
        <v>850</v>
      </c>
      <c r="B38" s="1" t="s">
        <v>851</v>
      </c>
      <c r="C38" s="1" t="s">
        <v>19</v>
      </c>
      <c r="D38" s="1" t="s">
        <v>792</v>
      </c>
      <c r="E38" s="3">
        <v>5372</v>
      </c>
      <c r="F38" s="1" t="str">
        <f>VLOOKUP(D38,Table9[[Name]:[Native]],3,FALSE)</f>
        <v>称多县</v>
      </c>
      <c r="G38" s="12" t="str">
        <f ca="1">VLOOKUP(F38,Table9[[Native]:[Population4]],5,FALSE)</f>
        <v>玉树藏族自治州</v>
      </c>
    </row>
    <row r="39" spans="1:7" ht="15.75" thickBot="1" x14ac:dyDescent="0.3">
      <c r="A39" t="s">
        <v>852</v>
      </c>
      <c r="B39" s="1" t="s">
        <v>853</v>
      </c>
      <c r="C39" s="1" t="s">
        <v>7</v>
      </c>
      <c r="D39" s="1" t="s">
        <v>782</v>
      </c>
      <c r="E39" s="3">
        <v>2664</v>
      </c>
      <c r="F39" s="1" t="str">
        <f>VLOOKUP(D39,Table9[[Name]:[Native]],3,FALSE)</f>
        <v>曲麻莱县</v>
      </c>
      <c r="G39" s="12" t="str">
        <f ca="1">VLOOKUP(F39,Table9[[Native]:[Population4]],5,FALSE)</f>
        <v>玉树藏族自治州</v>
      </c>
    </row>
    <row r="40" spans="1:7" ht="15.75" thickBot="1" x14ac:dyDescent="0.3">
      <c r="A40" t="s">
        <v>854</v>
      </c>
      <c r="B40" s="1" t="s">
        <v>855</v>
      </c>
      <c r="C40" s="1" t="s">
        <v>19</v>
      </c>
      <c r="D40" s="1" t="s">
        <v>782</v>
      </c>
      <c r="E40" s="3">
        <v>10291</v>
      </c>
      <c r="F40" s="1" t="str">
        <f>VLOOKUP(D40,Table9[[Name]:[Native]],3,FALSE)</f>
        <v>曲麻莱县</v>
      </c>
      <c r="G40" s="12" t="str">
        <f ca="1">VLOOKUP(F40,Table9[[Native]:[Population4]],5,FALSE)</f>
        <v>玉树藏族自治州</v>
      </c>
    </row>
    <row r="41" spans="1:7" ht="15.75" thickBot="1" x14ac:dyDescent="0.3">
      <c r="A41" t="s">
        <v>856</v>
      </c>
      <c r="B41" s="1" t="s">
        <v>857</v>
      </c>
      <c r="C41" s="1" t="s">
        <v>19</v>
      </c>
      <c r="D41" s="1" t="s">
        <v>792</v>
      </c>
      <c r="E41" s="3">
        <v>8456</v>
      </c>
      <c r="F41" s="1" t="str">
        <f>VLOOKUP(D41,Table9[[Name]:[Native]],3,FALSE)</f>
        <v>称多县</v>
      </c>
      <c r="G41" s="12" t="str">
        <f ca="1">VLOOKUP(F41,Table9[[Native]:[Population4]],5,FALSE)</f>
        <v>玉树藏族自治州</v>
      </c>
    </row>
    <row r="42" spans="1:7" ht="15.75" thickBot="1" x14ac:dyDescent="0.3">
      <c r="A42" t="s">
        <v>858</v>
      </c>
      <c r="B42" s="1" t="s">
        <v>859</v>
      </c>
      <c r="C42" s="1" t="s">
        <v>7</v>
      </c>
      <c r="D42" s="1" t="s">
        <v>797</v>
      </c>
      <c r="E42" s="3">
        <v>5204</v>
      </c>
      <c r="F42" s="1" t="str">
        <f>VLOOKUP(D42,Table9[[Name]:[Native]],3,FALSE)</f>
        <v>治多县</v>
      </c>
      <c r="G42" s="12" t="str">
        <f ca="1">VLOOKUP(F42,Table9[[Native]:[Population4]],5,FALSE)</f>
        <v>玉树藏族自治州</v>
      </c>
    </row>
    <row r="43" spans="1:7" ht="15.75" thickBot="1" x14ac:dyDescent="0.3">
      <c r="A43" t="s">
        <v>860</v>
      </c>
      <c r="B43" s="1" t="s">
        <v>861</v>
      </c>
      <c r="C43" s="1" t="s">
        <v>7</v>
      </c>
      <c r="D43" s="1" t="s">
        <v>774</v>
      </c>
      <c r="E43" s="3">
        <v>4770</v>
      </c>
      <c r="F43" s="1" t="str">
        <f>VLOOKUP(D43,Table9[[Name]:[Native]],3,FALSE)</f>
        <v>杂多县</v>
      </c>
      <c r="G43" s="12" t="str">
        <f ca="1">VLOOKUP(F43,Table9[[Native]:[Population4]],5,FALSE)</f>
        <v>玉树藏族自治州</v>
      </c>
    </row>
    <row r="44" spans="1:7" ht="15.75" thickBot="1" x14ac:dyDescent="0.3">
      <c r="A44" t="s">
        <v>862</v>
      </c>
      <c r="B44" s="1" t="s">
        <v>863</v>
      </c>
      <c r="C44" s="1" t="s">
        <v>19</v>
      </c>
      <c r="D44" s="1" t="s">
        <v>792</v>
      </c>
      <c r="E44" s="3">
        <v>11304</v>
      </c>
      <c r="F44" s="1" t="str">
        <f>VLOOKUP(D44,Table9[[Name]:[Native]],3,FALSE)</f>
        <v>称多县</v>
      </c>
      <c r="G44" s="12" t="str">
        <f ca="1">VLOOKUP(F44,Table9[[Native]:[Population4]],5,FALSE)</f>
        <v>玉树藏族自治州</v>
      </c>
    </row>
    <row r="45" spans="1:7" ht="15.75" thickBot="1" x14ac:dyDescent="0.3">
      <c r="A45" t="s">
        <v>864</v>
      </c>
      <c r="B45" s="1" t="s">
        <v>865</v>
      </c>
      <c r="C45" s="1" t="s">
        <v>7</v>
      </c>
      <c r="D45" s="1" t="s">
        <v>785</v>
      </c>
      <c r="E45" s="3">
        <v>6146</v>
      </c>
      <c r="F45" s="1" t="str">
        <f>VLOOKUP(D45,Table9[[Name]:[Native]],3,FALSE)</f>
        <v>囊谦县</v>
      </c>
      <c r="G45" s="12" t="str">
        <f ca="1">VLOOKUP(F45,Table9[[Native]:[Population4]],5,FALSE)</f>
        <v>玉树藏族自治州</v>
      </c>
    </row>
    <row r="46" spans="1:7" ht="15.75" thickBot="1" x14ac:dyDescent="0.3">
      <c r="A46" t="s">
        <v>866</v>
      </c>
      <c r="B46" s="1" t="s">
        <v>867</v>
      </c>
      <c r="C46" s="1" t="s">
        <v>7</v>
      </c>
      <c r="D46" s="1" t="s">
        <v>797</v>
      </c>
      <c r="E46" s="3">
        <v>2730</v>
      </c>
      <c r="F46" s="1" t="str">
        <f>VLOOKUP(D46,Table9[[Name]:[Native]],3,FALSE)</f>
        <v>治多县</v>
      </c>
      <c r="G46" s="12" t="str">
        <f ca="1">VLOOKUP(F46,Table9[[Native]:[Population4]],5,FALSE)</f>
        <v>玉树藏族自治州</v>
      </c>
    </row>
    <row r="47" spans="1:7" ht="15.75" thickBot="1" x14ac:dyDescent="0.3">
      <c r="A47" t="s">
        <v>868</v>
      </c>
      <c r="B47" s="1" t="s">
        <v>869</v>
      </c>
      <c r="C47" s="1" t="s">
        <v>7</v>
      </c>
      <c r="D47" s="1" t="s">
        <v>777</v>
      </c>
      <c r="E47" s="3">
        <v>3597</v>
      </c>
      <c r="F47" s="9" t="str">
        <f>VLOOKUP(D47,Table9[[Name]:[Native]],3,FALSE)</f>
        <v>玉树市</v>
      </c>
      <c r="G47" s="12" t="str">
        <f ca="1">VLOOKUP(F47,Table9[[Native]:[Population4]],5,FALSE)</f>
        <v>玉树藏族自治州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5C8F8-B47C-4D06-A1B8-5FC0AF0EF2F6}">
  <dimension ref="A1:P414"/>
  <sheetViews>
    <sheetView tabSelected="1" workbookViewId="0">
      <selection activeCell="H10" sqref="H10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945</v>
      </c>
      <c r="B1" t="s">
        <v>955</v>
      </c>
      <c r="C1" t="s">
        <v>1109</v>
      </c>
      <c r="D1" t="s">
        <v>947</v>
      </c>
      <c r="E1" t="s">
        <v>948</v>
      </c>
      <c r="F1" t="s">
        <v>949</v>
      </c>
      <c r="G1" t="s">
        <v>950</v>
      </c>
      <c r="H1" t="s">
        <v>951</v>
      </c>
      <c r="I1" t="s">
        <v>952</v>
      </c>
      <c r="J1" t="s">
        <v>953</v>
      </c>
      <c r="K1" t="s">
        <v>954</v>
      </c>
      <c r="L1" t="s">
        <v>1110</v>
      </c>
      <c r="M1" t="s">
        <v>1111</v>
      </c>
      <c r="N1" t="s">
        <v>1112</v>
      </c>
      <c r="O1" t="s">
        <v>1526</v>
      </c>
      <c r="P1" t="s">
        <v>1527</v>
      </c>
    </row>
    <row r="2" spans="1:16" hidden="1" x14ac:dyDescent="0.25">
      <c r="A2" t="s">
        <v>772</v>
      </c>
      <c r="B2" t="str">
        <f t="shared" ref="B2:B65" si="0">IF(COUNTIF(A:A,A2)&gt;1,_xlfn.CONCAT(A2," (",N2,")"),A2)</f>
        <v>Āduō Xiāng</v>
      </c>
      <c r="C2" t="str">
        <f t="shared" ref="C2:C65" si="1">IF(COUNTIF(B:B,B2)&gt;1,_xlfn.CONCAT(A2," (",M2,")"),B2)</f>
        <v>Āduō Xiāng</v>
      </c>
      <c r="D2" t="s">
        <v>773</v>
      </c>
      <c r="E2" t="s">
        <v>7</v>
      </c>
      <c r="F2" t="str">
        <f>_xlfn.CONCAT(D2,", ",H2,", ",I2,", ","青海省")</f>
        <v>阿多乡, 杂多县, 玉树藏族自治州, 青海省</v>
      </c>
      <c r="G2">
        <v>4804</v>
      </c>
      <c r="H2" t="s">
        <v>937</v>
      </c>
      <c r="I2" t="s">
        <v>932</v>
      </c>
      <c r="J2" t="e">
        <f>VLOOKUP(F2,[1]!china_towns_second__2[[Column1]:[Y]],3,FALSE)</f>
        <v>#N/A</v>
      </c>
      <c r="K2" t="e">
        <f>VLOOKUP(F2,[1]!china_towns_second__2[[Column1]:[Y]],2,FALSE)</f>
        <v>#N/A</v>
      </c>
      <c r="L2" t="s">
        <v>1113</v>
      </c>
      <c r="M2" t="str">
        <f>VLOOKUP(H2,CHOOSE({1,2},Table9[Native],Table9[Name]),2,0)</f>
        <v>Záduō Xiàn</v>
      </c>
      <c r="N2" s="13" t="str">
        <f>VLOOKUP(I2,CHOOSE({1,2},Table9[Native],Table9[Name]),2,0)</f>
        <v>Yùshù Zàngzú Zìzhìzhōu</v>
      </c>
      <c r="O2" s="13" t="str">
        <f t="shared" ref="O2:O65" si="2">_xlfn.CONCAT(L2," (",N2,")")</f>
        <v>Aduo Xiang (Yùshù Zàngzú Zìzhìzhōu)</v>
      </c>
      <c r="P2" s="13" t="str">
        <f t="shared" ref="P2:P65" si="3">IF(COUNTIF(O:O,O2)&gt;1,_xlfn.CONCAT(L2," (",M2,")"),O2)</f>
        <v>Aduo Xiang (Yùshù Zàngzú Zìzhìzhōu)</v>
      </c>
    </row>
    <row r="3" spans="1:16" hidden="1" x14ac:dyDescent="0.25">
      <c r="A3" t="s">
        <v>775</v>
      </c>
      <c r="B3" t="str">
        <f t="shared" si="0"/>
        <v>Ānchōng Xiāng</v>
      </c>
      <c r="C3" t="str">
        <f t="shared" si="1"/>
        <v>Ānchōng Xiāng</v>
      </c>
      <c r="D3" t="s">
        <v>776</v>
      </c>
      <c r="E3" t="s">
        <v>7</v>
      </c>
      <c r="F3" t="str">
        <f>_xlfn.CONCAT(D3,", ",H3,", ",I3,", ","青海省")</f>
        <v>安冲乡, 玉树市, 玉树藏族自治州, 青海省</v>
      </c>
      <c r="G3">
        <v>2745</v>
      </c>
      <c r="H3" t="s">
        <v>936</v>
      </c>
      <c r="I3" t="s">
        <v>932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1114</v>
      </c>
      <c r="M3" t="str">
        <f>VLOOKUP(H3,CHOOSE({1,2},Table9[Native],Table9[Name]),2,0)</f>
        <v>Yùshù Shì</v>
      </c>
      <c r="N3" s="13" t="str">
        <f>VLOOKUP(I3,CHOOSE({1,2},Table9[Native],Table9[Name]),2,0)</f>
        <v>Yùshù Zàngzú Zìzhìzhōu</v>
      </c>
      <c r="O3" s="13" t="str">
        <f t="shared" si="2"/>
        <v>Anchong Xiang (Yùshù Zàngzú Zìzhìzhōu)</v>
      </c>
      <c r="P3" s="13" t="str">
        <f t="shared" si="3"/>
        <v>Anchong Xiang (Yùshù Zàngzú Zìzhìzhōu)</v>
      </c>
    </row>
    <row r="4" spans="1:16" hidden="1" x14ac:dyDescent="0.25">
      <c r="A4" t="s">
        <v>557</v>
      </c>
      <c r="B4" t="str">
        <f t="shared" si="0"/>
        <v>Ánglā Xiāng</v>
      </c>
      <c r="C4" t="str">
        <f t="shared" si="1"/>
        <v>Ánglā Xiāng</v>
      </c>
      <c r="D4" t="s">
        <v>558</v>
      </c>
      <c r="E4" t="s">
        <v>7</v>
      </c>
      <c r="F4" t="str">
        <f>_xlfn.CONCAT(D4,", ",H4,", ",I4,", ","青海省")</f>
        <v>昂拉乡, 尖扎县, 黄南藏族自治州, 青海省</v>
      </c>
      <c r="G4">
        <v>2449</v>
      </c>
      <c r="H4" t="s">
        <v>919</v>
      </c>
      <c r="I4" t="s">
        <v>917</v>
      </c>
      <c r="J4" t="e">
        <f>VLOOKUP(F4,[1]!china_towns_second__2[[Column1]:[Y]],3,FALSE)</f>
        <v>#N/A</v>
      </c>
      <c r="K4" t="e">
        <f>VLOOKUP(F4,[1]!china_towns_second__2[[Column1]:[Y]],2,FALSE)</f>
        <v>#N/A</v>
      </c>
      <c r="L4" t="s">
        <v>1115</v>
      </c>
      <c r="M4" t="str">
        <f>VLOOKUP(H4,CHOOSE({1,2},Table9[Native],Table9[Name]),2,0)</f>
        <v>Jiānzhā Xiàn</v>
      </c>
      <c r="N4" s="13" t="str">
        <f>VLOOKUP(I4,CHOOSE({1,2},Table9[Native],Table9[Name]),2,0)</f>
        <v>Huángnán Zàngzú Zìzhìzhōu</v>
      </c>
      <c r="O4" s="13" t="str">
        <f t="shared" si="2"/>
        <v>Angla Xiang (Huángnán Zàngzú Zìzhìzhōu)</v>
      </c>
      <c r="P4" s="13" t="str">
        <f t="shared" si="3"/>
        <v>Angla Xiang (Huángnán Zàngzú Zìzhìzhōu)</v>
      </c>
    </row>
    <row r="5" spans="1:16" hidden="1" x14ac:dyDescent="0.25">
      <c r="A5" t="s">
        <v>778</v>
      </c>
      <c r="B5" t="str">
        <f t="shared" si="0"/>
        <v>Ángsài Xiāng</v>
      </c>
      <c r="C5" t="str">
        <f t="shared" si="1"/>
        <v>Ángsài Xiāng</v>
      </c>
      <c r="D5" t="s">
        <v>779</v>
      </c>
      <c r="E5" t="s">
        <v>7</v>
      </c>
      <c r="F5" t="str">
        <f>_xlfn.CONCAT(D5,", ",H5,", ",I5,", ","青海省")</f>
        <v>昂赛乡, 杂多县, 玉树藏族自治州, 青海省</v>
      </c>
      <c r="G5">
        <v>4451</v>
      </c>
      <c r="H5" t="s">
        <v>937</v>
      </c>
      <c r="I5" t="s">
        <v>932</v>
      </c>
      <c r="J5" t="e">
        <f>VLOOKUP(F5,[1]!china_towns_second__2[[Column1]:[Y]],3,FALSE)</f>
        <v>#N/A</v>
      </c>
      <c r="K5" t="e">
        <f>VLOOKUP(F5,[1]!china_towns_second__2[[Column1]:[Y]],2,FALSE)</f>
        <v>#N/A</v>
      </c>
      <c r="L5" t="s">
        <v>1116</v>
      </c>
      <c r="M5" t="str">
        <f>VLOOKUP(H5,CHOOSE({1,2},Table9[Native],Table9[Name]),2,0)</f>
        <v>Záduō Xiàn</v>
      </c>
      <c r="N5" s="13" t="str">
        <f>VLOOKUP(I5,CHOOSE({1,2},Table9[Native],Table9[Name]),2,0)</f>
        <v>Yùshù Zàngzú Zìzhìzhōu</v>
      </c>
      <c r="O5" s="13" t="str">
        <f t="shared" si="2"/>
        <v>Angsai Xiang (Yùshù Zàngzú Zìzhìzhōu)</v>
      </c>
      <c r="P5" s="13" t="str">
        <f t="shared" si="3"/>
        <v>Angsai Xiang (Yùshù Zàngzú Zìzhìzhōu)</v>
      </c>
    </row>
    <row r="6" spans="1:16" x14ac:dyDescent="0.25">
      <c r="A6" t="s">
        <v>174</v>
      </c>
      <c r="B6" t="str">
        <f t="shared" si="0"/>
        <v>Ángsīduō Zhèn</v>
      </c>
      <c r="C6" t="str">
        <f t="shared" si="1"/>
        <v>Ángsīduō Zhèn</v>
      </c>
      <c r="D6" t="s">
        <v>175</v>
      </c>
      <c r="E6" t="s">
        <v>19</v>
      </c>
      <c r="F6" t="str">
        <f>_xlfn.CONCAT(D6,", ",H6,", ",I6,", ","青海省")</f>
        <v>昂思多镇, 化隆回族自治县, 海东市, 青海省</v>
      </c>
      <c r="G6">
        <v>16739</v>
      </c>
      <c r="H6" t="s">
        <v>889</v>
      </c>
      <c r="I6" t="s">
        <v>888</v>
      </c>
      <c r="J6">
        <f>VLOOKUP(F6,[1]!china_towns_second__2[[Column1]:[Y]],3,FALSE)</f>
        <v>36.173951934576998</v>
      </c>
      <c r="K6">
        <f>VLOOKUP(F6,[1]!china_towns_second__2[[Column1]:[Y]],2,FALSE)</f>
        <v>102.089806</v>
      </c>
      <c r="L6" t="s">
        <v>1117</v>
      </c>
      <c r="M6" t="str">
        <f>VLOOKUP(H6,CHOOSE({1,2},Table9[Native],Table9[Name]),2,0)</f>
        <v>Huàlóng Huízú Zìzhìxiàn</v>
      </c>
      <c r="N6" s="13" t="str">
        <f>VLOOKUP(I6,CHOOSE({1,2},Table9[Native],Table9[Name]),2,0)</f>
        <v>Hăidōng Shì</v>
      </c>
      <c r="O6" s="13" t="str">
        <f t="shared" si="2"/>
        <v>Angsiduo Zhen (Hăidōng Shì)</v>
      </c>
      <c r="P6" s="13" t="str">
        <f t="shared" si="3"/>
        <v>Angsiduo Zhen (Hăidōng Shì)</v>
      </c>
    </row>
    <row r="7" spans="1:16" hidden="1" x14ac:dyDescent="0.25">
      <c r="A7" t="s">
        <v>370</v>
      </c>
      <c r="B7" t="str">
        <f t="shared" si="0"/>
        <v>Ānzhì Nóngchăng</v>
      </c>
      <c r="C7" t="str">
        <f t="shared" si="1"/>
        <v>Ānzhì Nóngchăng</v>
      </c>
      <c r="D7" t="s">
        <v>371</v>
      </c>
      <c r="E7" t="s">
        <v>133</v>
      </c>
      <c r="F7" t="str">
        <f>_xlfn.CONCAT(D7,", ",H7,", ",I7,", ","青海省")</f>
        <v>安置农场, 共和县, 海南藏族自治州, 青海省</v>
      </c>
      <c r="G7">
        <v>29</v>
      </c>
      <c r="H7" t="s">
        <v>898</v>
      </c>
      <c r="I7" t="s">
        <v>897</v>
      </c>
      <c r="J7">
        <f>VLOOKUP(F7,[1]!china_towns_second__2[[Column1]:[Y]],3,FALSE)</f>
        <v>36.553595798966803</v>
      </c>
      <c r="K7">
        <f>VLOOKUP(F7,[1]!china_towns_second__2[[Column1]:[Y]],2,FALSE)</f>
        <v>100.55677559999999</v>
      </c>
      <c r="L7" t="s">
        <v>1118</v>
      </c>
      <c r="M7" t="str">
        <f>VLOOKUP(H7,CHOOSE({1,2},Table9[Native],Table9[Name]),2,0)</f>
        <v>Gònghé Xiàn</v>
      </c>
      <c r="N7" s="13" t="str">
        <f>VLOOKUP(I7,CHOOSE({1,2},Table9[Native],Table9[Name]),2,0)</f>
        <v>Hăinán Zàngzú Zìzhìzhōu</v>
      </c>
      <c r="O7" s="13" t="str">
        <f t="shared" si="2"/>
        <v>Anzhi Nongchang (Hăinán Zàngzú Zìzhìzhōu)</v>
      </c>
      <c r="P7" s="13" t="str">
        <f t="shared" si="3"/>
        <v>Anzhi Nongchang (Hăinán Zàngzú Zìzhìzhōu)</v>
      </c>
    </row>
    <row r="8" spans="1:16" hidden="1" x14ac:dyDescent="0.25">
      <c r="A8" t="s">
        <v>101</v>
      </c>
      <c r="B8" t="str">
        <f t="shared" si="0"/>
        <v>Āróu Xiāng</v>
      </c>
      <c r="C8" t="str">
        <f t="shared" si="1"/>
        <v>Āróu Xiāng</v>
      </c>
      <c r="D8" t="s">
        <v>102</v>
      </c>
      <c r="E8" t="s">
        <v>7</v>
      </c>
      <c r="F8" t="str">
        <f>_xlfn.CONCAT(D8,", ",H8,", ",I8,", ","青海省")</f>
        <v>阿柔乡, 祁连县, 海北藏族自治州, 青海省</v>
      </c>
      <c r="G8">
        <v>2799</v>
      </c>
      <c r="H8" t="s">
        <v>885</v>
      </c>
      <c r="I8" t="s">
        <v>880</v>
      </c>
      <c r="J8" t="e">
        <f>VLOOKUP(F8,[1]!china_towns_second__2[[Column1]:[Y]],3,FALSE)</f>
        <v>#N/A</v>
      </c>
      <c r="K8" t="e">
        <f>VLOOKUP(F8,[1]!china_towns_second__2[[Column1]:[Y]],2,FALSE)</f>
        <v>#N/A</v>
      </c>
      <c r="L8" t="s">
        <v>1119</v>
      </c>
      <c r="M8" t="str">
        <f>VLOOKUP(H8,CHOOSE({1,2},Table9[Native],Table9[Name]),2,0)</f>
        <v>Qílián Xiàn</v>
      </c>
      <c r="N8" s="13" t="str">
        <f>VLOOKUP(I8,CHOOSE({1,2},Table9[Native],Table9[Name]),2,0)</f>
        <v>Hăibĕi Zàngzú Zìzhìzhōu</v>
      </c>
      <c r="O8" s="13" t="str">
        <f t="shared" si="2"/>
        <v>Arou Xiang (Hăibĕi Zàngzú Zìzhìzhōu)</v>
      </c>
      <c r="P8" s="13" t="str">
        <f t="shared" si="3"/>
        <v>Arou Xiang (Hăibĕi Zàngzú Zìzhìzhōu)</v>
      </c>
    </row>
    <row r="9" spans="1:16" hidden="1" x14ac:dyDescent="0.25">
      <c r="A9" t="s">
        <v>177</v>
      </c>
      <c r="B9" t="str">
        <f t="shared" si="0"/>
        <v>Āshínú Xiāng</v>
      </c>
      <c r="C9" t="str">
        <f t="shared" si="1"/>
        <v>Āshínú Xiāng</v>
      </c>
      <c r="D9" t="s">
        <v>178</v>
      </c>
      <c r="E9" t="s">
        <v>7</v>
      </c>
      <c r="F9" t="str">
        <f>_xlfn.CONCAT(D9,", ",H9,", ",I9,", ","青海省")</f>
        <v>阿什奴乡, 化隆回族自治县, 海东市, 青海省</v>
      </c>
      <c r="G9">
        <v>3881</v>
      </c>
      <c r="H9" t="s">
        <v>889</v>
      </c>
      <c r="I9" t="s">
        <v>888</v>
      </c>
      <c r="J9" t="e">
        <f>VLOOKUP(F9,[1]!china_towns_second__2[[Column1]:[Y]],3,FALSE)</f>
        <v>#N/A</v>
      </c>
      <c r="K9" t="e">
        <f>VLOOKUP(F9,[1]!china_towns_second__2[[Column1]:[Y]],2,FALSE)</f>
        <v>#N/A</v>
      </c>
      <c r="L9" t="s">
        <v>1120</v>
      </c>
      <c r="M9" t="str">
        <f>VLOOKUP(H9,CHOOSE({1,2},Table9[Native],Table9[Name]),2,0)</f>
        <v>Huàlóng Huízú Zìzhìxiàn</v>
      </c>
      <c r="N9" s="13" t="str">
        <f>VLOOKUP(I9,CHOOSE({1,2},Table9[Native],Table9[Name]),2,0)</f>
        <v>Hăidōng Shì</v>
      </c>
      <c r="O9" s="13" t="str">
        <f t="shared" si="2"/>
        <v>Ashinu Xiang (Hăidōng Shì)</v>
      </c>
      <c r="P9" s="13" t="str">
        <f t="shared" si="3"/>
        <v>Ashinu Xiang (Hăidōng Shì)</v>
      </c>
    </row>
    <row r="10" spans="1:16" x14ac:dyDescent="0.25">
      <c r="A10" t="s">
        <v>104</v>
      </c>
      <c r="B10" t="str">
        <f t="shared" si="0"/>
        <v>Bābăo Zhèn</v>
      </c>
      <c r="C10" t="str">
        <f t="shared" si="1"/>
        <v>Bābăo Zhèn</v>
      </c>
      <c r="D10" t="s">
        <v>105</v>
      </c>
      <c r="E10" t="s">
        <v>19</v>
      </c>
      <c r="F10" t="str">
        <f>_xlfn.CONCAT(D10,", ",H10,", ",I10,", ","青海省")</f>
        <v>八宝镇, 祁连县, 海北藏族自治州, 青海省</v>
      </c>
      <c r="G10">
        <v>25603</v>
      </c>
      <c r="H10" t="s">
        <v>885</v>
      </c>
      <c r="I10" t="s">
        <v>880</v>
      </c>
      <c r="J10">
        <f>VLOOKUP(F10,[1]!china_towns_second__2[[Column1]:[Y]],3,FALSE)</f>
        <v>38.271590650175</v>
      </c>
      <c r="K10">
        <f>VLOOKUP(F10,[1]!china_towns_second__2[[Column1]:[Y]],2,FALSE)</f>
        <v>100.2050213</v>
      </c>
      <c r="L10" t="s">
        <v>1121</v>
      </c>
      <c r="M10" t="str">
        <f>VLOOKUP(H10,CHOOSE({1,2},Table9[Native],Table9[Name]),2,0)</f>
        <v>Qílián Xiàn</v>
      </c>
      <c r="N10" s="13" t="str">
        <f>VLOOKUP(I10,CHOOSE({1,2},Table9[Native],Table9[Name]),2,0)</f>
        <v>Hăibĕi Zàngzú Zìzhìzhōu</v>
      </c>
      <c r="O10" s="13" t="str">
        <f t="shared" si="2"/>
        <v>Babao Zhen (Hăibĕi Zàngzú Zìzhìzhōu)</v>
      </c>
      <c r="P10" s="13" t="str">
        <f t="shared" si="3"/>
        <v>Babao Zhen (Hăibĕi Zàngzú Zìzhìzhōu)</v>
      </c>
    </row>
    <row r="11" spans="1:16" hidden="1" x14ac:dyDescent="0.25">
      <c r="A11" t="s">
        <v>780</v>
      </c>
      <c r="B11" t="str">
        <f t="shared" si="0"/>
        <v>Bāgān Xiāng</v>
      </c>
      <c r="C11" t="str">
        <f t="shared" si="1"/>
        <v>Bāgān Xiāng</v>
      </c>
      <c r="D11" t="s">
        <v>781</v>
      </c>
      <c r="E11" t="s">
        <v>7</v>
      </c>
      <c r="F11" t="str">
        <f>_xlfn.CONCAT(D11,", ",H11,", ",I11,", ","青海省")</f>
        <v>巴干乡, 曲麻莱县, 玉树藏族自治州, 青海省</v>
      </c>
      <c r="G11">
        <v>4076</v>
      </c>
      <c r="H11" t="s">
        <v>935</v>
      </c>
      <c r="I11" t="s">
        <v>932</v>
      </c>
      <c r="J11" t="e">
        <f>VLOOKUP(F11,[1]!china_towns_second__2[[Column1]:[Y]],3,FALSE)</f>
        <v>#N/A</v>
      </c>
      <c r="K11" t="e">
        <f>VLOOKUP(F11,[1]!china_towns_second__2[[Column1]:[Y]],2,FALSE)</f>
        <v>#N/A</v>
      </c>
      <c r="L11" t="s">
        <v>1122</v>
      </c>
      <c r="M11" t="str">
        <f>VLOOKUP(H11,CHOOSE({1,2},Table9[Native],Table9[Name]),2,0)</f>
        <v>Qŭmálái Xiàn</v>
      </c>
      <c r="N11" s="13" t="str">
        <f>VLOOKUP(I11,CHOOSE({1,2},Table9[Native],Table9[Name]),2,0)</f>
        <v>Yùshù Zàngzú Zìzhìzhōu</v>
      </c>
      <c r="O11" s="13" t="str">
        <f t="shared" si="2"/>
        <v>Bagan Xiang (Yùshù Zàngzú Zìzhìzhōu)</v>
      </c>
      <c r="P11" s="13" t="str">
        <f t="shared" si="3"/>
        <v>Bagan Xiang (Yùshù Zàngzú Zìzhìzhōu)</v>
      </c>
    </row>
    <row r="12" spans="1:16" hidden="1" x14ac:dyDescent="0.25">
      <c r="A12" t="s">
        <v>373</v>
      </c>
      <c r="B12" t="str">
        <f t="shared" si="0"/>
        <v>Bāgōu Xiāng</v>
      </c>
      <c r="C12" t="str">
        <f t="shared" si="1"/>
        <v>Bāgōu Xiāng</v>
      </c>
      <c r="D12" t="s">
        <v>374</v>
      </c>
      <c r="E12" t="s">
        <v>7</v>
      </c>
      <c r="F12" t="str">
        <f>_xlfn.CONCAT(D12,", ",H12,", ",I12,", ","青海省")</f>
        <v>巴沟乡, 同德县, 海南藏族自治州, 青海省</v>
      </c>
      <c r="G12">
        <v>8140</v>
      </c>
      <c r="H12" t="s">
        <v>901</v>
      </c>
      <c r="I12" t="s">
        <v>897</v>
      </c>
      <c r="J12" t="e">
        <f>VLOOKUP(F12,[1]!china_towns_second__2[[Column1]:[Y]],3,FALSE)</f>
        <v>#N/A</v>
      </c>
      <c r="K12" t="e">
        <f>VLOOKUP(F12,[1]!china_towns_second__2[[Column1]:[Y]],2,FALSE)</f>
        <v>#N/A</v>
      </c>
      <c r="L12" t="s">
        <v>1123</v>
      </c>
      <c r="M12" t="str">
        <f>VLOOKUP(H12,CHOOSE({1,2},Table9[Native],Table9[Name]),2,0)</f>
        <v>Tóngdé Xiàn</v>
      </c>
      <c r="N12" s="13" t="str">
        <f>VLOOKUP(I12,CHOOSE({1,2},Table9[Native],Table9[Name]),2,0)</f>
        <v>Hăinán Zàngzú Zìzhìzhōu</v>
      </c>
      <c r="O12" s="13" t="str">
        <f t="shared" si="2"/>
        <v>Bagou Xiang (Hăinán Zàngzú Zìzhìzhōu)</v>
      </c>
      <c r="P12" s="13" t="str">
        <f t="shared" si="3"/>
        <v>Bagou Xiang (Hăinán Zàngzú Zìzhìzhōu)</v>
      </c>
    </row>
    <row r="13" spans="1:16" hidden="1" x14ac:dyDescent="0.25">
      <c r="A13" t="s">
        <v>5</v>
      </c>
      <c r="B13" t="str">
        <f t="shared" si="0"/>
        <v>Báiyù Xiāng</v>
      </c>
      <c r="C13" t="str">
        <f t="shared" si="1"/>
        <v>Báiyù Xiāng</v>
      </c>
      <c r="D13" t="s">
        <v>6</v>
      </c>
      <c r="E13" t="s">
        <v>7</v>
      </c>
      <c r="F13" t="str">
        <f>_xlfn.CONCAT(D13,", ",H13,", ",I13,", ","青海省")</f>
        <v>白玉乡, 久治县, 果洛藏族自治州, 青海省</v>
      </c>
      <c r="G13">
        <v>5323</v>
      </c>
      <c r="H13" t="s">
        <v>876</v>
      </c>
      <c r="I13" t="s">
        <v>871</v>
      </c>
      <c r="J13" t="e">
        <f>VLOOKUP(F13,[1]!china_towns_second__2[[Column1]:[Y]],3,FALSE)</f>
        <v>#N/A</v>
      </c>
      <c r="K13" t="e">
        <f>VLOOKUP(F13,[1]!china_towns_second__2[[Column1]:[Y]],2,FALSE)</f>
        <v>#N/A</v>
      </c>
      <c r="L13" t="s">
        <v>1124</v>
      </c>
      <c r="M13" t="str">
        <f>VLOOKUP(H13,CHOOSE({1,2},Table9[Native],Table9[Name]),2,0)</f>
        <v>Jiŭzhì Xiàn</v>
      </c>
      <c r="N13" s="13" t="str">
        <f>VLOOKUP(I13,CHOOSE({1,2},Table9[Native],Table9[Name]),2,0)</f>
        <v>Guŏluò Zàngzú Zìzhìzhōu</v>
      </c>
      <c r="O13" s="13" t="str">
        <f t="shared" si="2"/>
        <v>Baiyu Xiang (Guŏluò Zàngzú Zìzhìzhōu)</v>
      </c>
      <c r="P13" s="13" t="str">
        <f t="shared" si="3"/>
        <v>Baiyu Xiang (Guŏluò Zàngzú Zìzhìzhōu)</v>
      </c>
    </row>
    <row r="14" spans="1:16" hidden="1" x14ac:dyDescent="0.25">
      <c r="A14" t="s">
        <v>783</v>
      </c>
      <c r="B14" t="str">
        <f t="shared" si="0"/>
        <v>Báizhā Xiāng</v>
      </c>
      <c r="C14" t="str">
        <f t="shared" si="1"/>
        <v>Báizhā Xiāng</v>
      </c>
      <c r="D14" t="s">
        <v>784</v>
      </c>
      <c r="E14" t="s">
        <v>7</v>
      </c>
      <c r="F14" t="str">
        <f>_xlfn.CONCAT(D14,", ",H14,", ",I14,", ","青海省")</f>
        <v>白扎乡, 囊谦县, 玉树藏族自治州, 青海省</v>
      </c>
      <c r="G14">
        <v>8015</v>
      </c>
      <c r="H14" t="s">
        <v>934</v>
      </c>
      <c r="I14" t="s">
        <v>932</v>
      </c>
      <c r="J14" t="e">
        <f>VLOOKUP(F14,[1]!china_towns_second__2[[Column1]:[Y]],3,FALSE)</f>
        <v>#N/A</v>
      </c>
      <c r="K14" t="e">
        <f>VLOOKUP(F14,[1]!china_towns_second__2[[Column1]:[Y]],2,FALSE)</f>
        <v>#N/A</v>
      </c>
      <c r="L14" t="s">
        <v>1125</v>
      </c>
      <c r="M14" t="str">
        <f>VLOOKUP(H14,CHOOSE({1,2},Table9[Native],Table9[Name]),2,0)</f>
        <v>Nángqiān Xiàn</v>
      </c>
      <c r="N14" s="13" t="str">
        <f>VLOOKUP(I14,CHOOSE({1,2},Table9[Native],Table9[Name]),2,0)</f>
        <v>Yùshù Zàngzú Zìzhìzhōu</v>
      </c>
      <c r="O14" s="13" t="str">
        <f t="shared" si="2"/>
        <v>Baizha Xiang (Yùshù Zàngzú Zìzhìzhōu)</v>
      </c>
      <c r="P14" s="13" t="str">
        <f t="shared" si="3"/>
        <v>Baizha Xiang (Yùshù Zàngzú Zìzhìzhōu)</v>
      </c>
    </row>
    <row r="15" spans="1:16" x14ac:dyDescent="0.25">
      <c r="A15" t="s">
        <v>179</v>
      </c>
      <c r="B15" t="str">
        <f t="shared" si="0"/>
        <v>Báizhuāng Zhèn</v>
      </c>
      <c r="C15" t="str">
        <f t="shared" si="1"/>
        <v>Báizhuāng Zhèn</v>
      </c>
      <c r="D15" t="s">
        <v>180</v>
      </c>
      <c r="E15" t="s">
        <v>19</v>
      </c>
      <c r="F15" t="str">
        <f>_xlfn.CONCAT(D15,", ",H15,", ",I15,", ","青海省")</f>
        <v>白庄镇, 循化撒拉族自治县, 海东市, 青海省</v>
      </c>
      <c r="G15">
        <v>20919</v>
      </c>
      <c r="H15" t="s">
        <v>895</v>
      </c>
      <c r="I15" t="s">
        <v>888</v>
      </c>
      <c r="J15">
        <f>VLOOKUP(F15,[1]!china_towns_second__2[[Column1]:[Y]],3,FALSE)</f>
        <v>35.703664577297303</v>
      </c>
      <c r="K15">
        <f>VLOOKUP(F15,[1]!china_towns_second__2[[Column1]:[Y]],2,FALSE)</f>
        <v>102.53514300000001</v>
      </c>
      <c r="L15" t="s">
        <v>1126</v>
      </c>
      <c r="M15" t="str">
        <f>VLOOKUP(H15,CHOOSE({1,2},Table9[Native],Table9[Name]),2,0)</f>
        <v>Xúnhuà Sālāzú Zìzhìxiàn</v>
      </c>
      <c r="N15" s="13" t="str">
        <f>VLOOKUP(I15,CHOOSE({1,2},Table9[Native],Table9[Name]),2,0)</f>
        <v>Hăidōng Shì</v>
      </c>
      <c r="O15" s="13" t="str">
        <f t="shared" si="2"/>
        <v>Baizhuang Zhen (Hăidōng Shì)</v>
      </c>
      <c r="P15" s="13" t="str">
        <f t="shared" si="3"/>
        <v>Baizhuang Zhen (Hăidōng Shì)</v>
      </c>
    </row>
    <row r="16" spans="1:16" hidden="1" x14ac:dyDescent="0.25">
      <c r="A16" t="s">
        <v>376</v>
      </c>
      <c r="B16" t="str">
        <f t="shared" si="0"/>
        <v>Bākătái Nóngchăng</v>
      </c>
      <c r="C16" t="str">
        <f t="shared" si="1"/>
        <v>Bākătái Nóngchăng</v>
      </c>
      <c r="D16" t="s">
        <v>377</v>
      </c>
      <c r="E16" t="s">
        <v>133</v>
      </c>
      <c r="F16" t="str">
        <f>_xlfn.CONCAT(D16,", ",H16,", ",I16,", ","青海省")</f>
        <v>巴卡台农场, 共和县, 海南藏族自治州, 青海省</v>
      </c>
      <c r="G16">
        <v>246</v>
      </c>
      <c r="H16" t="s">
        <v>898</v>
      </c>
      <c r="I16" t="s">
        <v>897</v>
      </c>
      <c r="J16">
        <f>VLOOKUP(F16,[1]!china_towns_second__2[[Column1]:[Y]],3,FALSE)</f>
        <v>36.3333296141654</v>
      </c>
      <c r="K16">
        <f>VLOOKUP(F16,[1]!china_towns_second__2[[Column1]:[Y]],2,FALSE)</f>
        <v>101.0486913</v>
      </c>
      <c r="L16" t="s">
        <v>1127</v>
      </c>
      <c r="M16" t="str">
        <f>VLOOKUP(H16,CHOOSE({1,2},Table9[Native],Table9[Name]),2,0)</f>
        <v>Gònghé Xiàn</v>
      </c>
      <c r="N16" s="13" t="str">
        <f>VLOOKUP(I16,CHOOSE({1,2},Table9[Native],Table9[Name]),2,0)</f>
        <v>Hăinán Zàngzú Zìzhìzhōu</v>
      </c>
      <c r="O16" s="13" t="str">
        <f t="shared" si="2"/>
        <v>Bakatai Nongchang (Hăinán Zàngzú Zìzhìzhōu)</v>
      </c>
      <c r="P16" s="13" t="str">
        <f t="shared" si="3"/>
        <v>Bakatai Nongchang (Hăinán Zàngzú Zìzhìzhōu)</v>
      </c>
    </row>
    <row r="17" spans="1:16" hidden="1" x14ac:dyDescent="0.25">
      <c r="A17" t="s">
        <v>459</v>
      </c>
      <c r="B17" t="str">
        <f t="shared" si="0"/>
        <v>Bālóng Xiāng</v>
      </c>
      <c r="C17" t="str">
        <f t="shared" si="1"/>
        <v>Bālóng Xiāng</v>
      </c>
      <c r="D17" t="s">
        <v>460</v>
      </c>
      <c r="E17" t="s">
        <v>7</v>
      </c>
      <c r="F17" t="str">
        <f>_xlfn.CONCAT(D17,", ",H17,", ",I17,", ","青海省")</f>
        <v>巴隆乡, 都兰县, 海西蒙古族藏族自治州, 青海省</v>
      </c>
      <c r="G17">
        <v>5285</v>
      </c>
      <c r="H17" t="s">
        <v>911</v>
      </c>
      <c r="I17" t="s">
        <v>905</v>
      </c>
      <c r="J17" t="e">
        <f>VLOOKUP(F17,[1]!china_towns_second__2[[Column1]:[Y]],3,FALSE)</f>
        <v>#N/A</v>
      </c>
      <c r="K17" t="e">
        <f>VLOOKUP(F17,[1]!china_towns_second__2[[Column1]:[Y]],2,FALSE)</f>
        <v>#N/A</v>
      </c>
      <c r="L17" t="s">
        <v>1128</v>
      </c>
      <c r="M17" t="str">
        <f>VLOOKUP(H17,CHOOSE({1,2},Table9[Native],Table9[Name]),2,0)</f>
        <v>Dūlán Xiàn</v>
      </c>
      <c r="N17" s="13" t="str">
        <f>VLOOKUP(I17,CHOOSE({1,2},Table9[Native],Table9[Name]),2,0)</f>
        <v>Hăixī Mĕnggŭzú Zàngzú Zìzhìzhōu</v>
      </c>
      <c r="O17" s="13" t="str">
        <f t="shared" si="2"/>
        <v>Balong Xiang (Hăixī Mĕnggŭzú Zàngzú Zìzhìzhōu)</v>
      </c>
      <c r="P17" s="13" t="str">
        <f t="shared" si="3"/>
        <v>Balong Xiang (Hăixī Mĕnggŭzú Zàngzú Zìzhìzhōu)</v>
      </c>
    </row>
    <row r="18" spans="1:16" x14ac:dyDescent="0.25">
      <c r="A18" t="s">
        <v>560</v>
      </c>
      <c r="B18" t="str">
        <f t="shared" si="0"/>
        <v>Băo'ān Zhèn</v>
      </c>
      <c r="C18" t="str">
        <f t="shared" si="1"/>
        <v>Băo'ān Zhèn</v>
      </c>
      <c r="D18" t="s">
        <v>561</v>
      </c>
      <c r="E18" t="s">
        <v>19</v>
      </c>
      <c r="F18" t="str">
        <f>_xlfn.CONCAT(D18,", ",H18,", ",I18,", ","青海省")</f>
        <v>保安镇, 同仁市, 黄南藏族自治州, 青海省</v>
      </c>
      <c r="G18">
        <v>10771</v>
      </c>
      <c r="H18" t="s">
        <v>920</v>
      </c>
      <c r="I18" t="s">
        <v>917</v>
      </c>
      <c r="J18">
        <f>VLOOKUP(F18,[1]!china_towns_second__2[[Column1]:[Y]],3,FALSE)</f>
        <v>35.629421378488303</v>
      </c>
      <c r="K18">
        <f>VLOOKUP(F18,[1]!china_towns_second__2[[Column1]:[Y]],2,FALSE)</f>
        <v>102.12515</v>
      </c>
      <c r="L18" t="s">
        <v>1129</v>
      </c>
      <c r="M18" t="str">
        <f>VLOOKUP(H18,CHOOSE({1,2},Table9[Native],Table9[Name]),2,0)</f>
        <v>Tóngrén Shì</v>
      </c>
      <c r="N18" s="13" t="str">
        <f>VLOOKUP(I18,CHOOSE({1,2},Table9[Native],Table9[Name]),2,0)</f>
        <v>Huángnán Zàngzú Zìzhìzhōu</v>
      </c>
      <c r="O18" s="13" t="str">
        <f t="shared" si="2"/>
        <v>Bao'an Zhen (Huángnán Zàngzú Zìzhìzhōu)</v>
      </c>
      <c r="P18" s="13" t="str">
        <f t="shared" si="3"/>
        <v>Bao'an Zhen (Huángnán Zàngzú Zìzhìzhōu)</v>
      </c>
    </row>
    <row r="19" spans="1:16" hidden="1" x14ac:dyDescent="0.25">
      <c r="A19" t="s">
        <v>625</v>
      </c>
      <c r="B19" t="str">
        <f t="shared" si="0"/>
        <v>Băokù Xiāng</v>
      </c>
      <c r="C19" t="str">
        <f t="shared" si="1"/>
        <v>Băokù Xiāng</v>
      </c>
      <c r="D19" t="s">
        <v>626</v>
      </c>
      <c r="E19" t="s">
        <v>7</v>
      </c>
      <c r="F19" t="str">
        <f>_xlfn.CONCAT(D19,", ",H19,", ",I19,", ","青海省")</f>
        <v>宝库乡, 大通回族土族自治县, 西宁市, 青海省</v>
      </c>
      <c r="G19">
        <v>9196</v>
      </c>
      <c r="H19" t="s">
        <v>928</v>
      </c>
      <c r="I19" t="s">
        <v>923</v>
      </c>
      <c r="J19" t="e">
        <f>VLOOKUP(F19,[1]!china_towns_second__2[[Column1]:[Y]],3,FALSE)</f>
        <v>#N/A</v>
      </c>
      <c r="K19" t="e">
        <f>VLOOKUP(F19,[1]!china_towns_second__2[[Column1]:[Y]],2,FALSE)</f>
        <v>#N/A</v>
      </c>
      <c r="L19" t="s">
        <v>1130</v>
      </c>
      <c r="M19" t="str">
        <f>VLOOKUP(H19,CHOOSE({1,2},Table9[Native],Table9[Name]),2,0)</f>
        <v>Dàtōng Huízú Tŭzú Zìzhìxiàn</v>
      </c>
      <c r="N19" s="13" t="str">
        <f>VLOOKUP(I19,CHOOSE({1,2},Table9[Native],Table9[Name]),2,0)</f>
        <v>Xīníng Shì</v>
      </c>
      <c r="O19" s="13" t="str">
        <f t="shared" si="2"/>
        <v>Baoku Xiang (Xīníng Shì)</v>
      </c>
      <c r="P19" s="13" t="str">
        <f t="shared" si="3"/>
        <v>Baoku Xiang (Xīníng Shì)</v>
      </c>
    </row>
    <row r="20" spans="1:16" hidden="1" x14ac:dyDescent="0.25">
      <c r="A20" t="s">
        <v>786</v>
      </c>
      <c r="B20" t="str">
        <f t="shared" si="0"/>
        <v>Bātáng Xiāng</v>
      </c>
      <c r="C20" t="str">
        <f t="shared" si="1"/>
        <v>Bātáng Xiāng</v>
      </c>
      <c r="D20" t="s">
        <v>787</v>
      </c>
      <c r="E20" t="s">
        <v>7</v>
      </c>
      <c r="F20" t="str">
        <f>_xlfn.CONCAT(D20,", ",H20,", ",I20,", ","青海省")</f>
        <v>巴塘乡, 玉树市, 玉树藏族自治州, 青海省</v>
      </c>
      <c r="G20">
        <v>5377</v>
      </c>
      <c r="H20" t="s">
        <v>936</v>
      </c>
      <c r="I20" t="s">
        <v>932</v>
      </c>
      <c r="J20" t="e">
        <f>VLOOKUP(F20,[1]!china_towns_second__2[[Column1]:[Y]],3,FALSE)</f>
        <v>#N/A</v>
      </c>
      <c r="K20" t="e">
        <f>VLOOKUP(F20,[1]!china_towns_second__2[[Column1]:[Y]],2,FALSE)</f>
        <v>#N/A</v>
      </c>
      <c r="L20" t="s">
        <v>1131</v>
      </c>
      <c r="M20" t="str">
        <f>VLOOKUP(H20,CHOOSE({1,2},Table9[Native],Table9[Name]),2,0)</f>
        <v>Yùshù Shì</v>
      </c>
      <c r="N20" s="13" t="str">
        <f>VLOOKUP(I20,CHOOSE({1,2},Table9[Native],Table9[Name]),2,0)</f>
        <v>Yùshù Zàngzú Zìzhìzhōu</v>
      </c>
      <c r="O20" s="13" t="str">
        <f t="shared" si="2"/>
        <v>Batang Xiang (Yùshù Zàngzú Zìzhìzhōu)</v>
      </c>
      <c r="P20" s="13" t="str">
        <f t="shared" si="3"/>
        <v>Batang Xiang (Yùshù Zàngzú Zìzhìzhōu)</v>
      </c>
    </row>
    <row r="21" spans="1:16" hidden="1" x14ac:dyDescent="0.25">
      <c r="A21" t="s">
        <v>628</v>
      </c>
      <c r="B21" t="str">
        <f t="shared" si="0"/>
        <v>Bāyàn Xiāng</v>
      </c>
      <c r="C21" t="str">
        <f t="shared" si="1"/>
        <v>Bāyàn Xiāng</v>
      </c>
      <c r="D21" t="s">
        <v>629</v>
      </c>
      <c r="E21" t="s">
        <v>7</v>
      </c>
      <c r="F21" t="str">
        <f>_xlfn.CONCAT(D21,", ",H21,", ",I21,", ","青海省")</f>
        <v>巴燕乡, 湟源县, 西宁市, 青海省</v>
      </c>
      <c r="G21">
        <v>9569</v>
      </c>
      <c r="H21" t="s">
        <v>929</v>
      </c>
      <c r="I21" t="s">
        <v>923</v>
      </c>
      <c r="J21" t="e">
        <f>VLOOKUP(F21,[1]!china_towns_second__2[[Column1]:[Y]],3,FALSE)</f>
        <v>#N/A</v>
      </c>
      <c r="K21" t="e">
        <f>VLOOKUP(F21,[1]!china_towns_second__2[[Column1]:[Y]],2,FALSE)</f>
        <v>#N/A</v>
      </c>
      <c r="L21" t="s">
        <v>1132</v>
      </c>
      <c r="M21" t="str">
        <f>VLOOKUP(H21,CHOOSE({1,2},Table9[Native],Table9[Name]),2,0)</f>
        <v>Huángyuán Xiàn</v>
      </c>
      <c r="N21" s="13" t="str">
        <f>VLOOKUP(I21,CHOOSE({1,2},Table9[Native],Table9[Name]),2,0)</f>
        <v>Xīníng Shì</v>
      </c>
      <c r="O21" s="13" t="str">
        <f t="shared" si="2"/>
        <v>Bayan Xiang (Xīníng Shì)</v>
      </c>
      <c r="P21" s="13" t="str">
        <f t="shared" si="3"/>
        <v>Bayan Xiang (Xīníng Shì)</v>
      </c>
    </row>
    <row r="22" spans="1:16" x14ac:dyDescent="0.25">
      <c r="A22" t="s">
        <v>182</v>
      </c>
      <c r="B22" t="str">
        <f t="shared" si="0"/>
        <v>Bāyàn Zhèn</v>
      </c>
      <c r="C22" t="str">
        <f t="shared" si="1"/>
        <v>Bāyàn Zhèn</v>
      </c>
      <c r="D22" t="s">
        <v>183</v>
      </c>
      <c r="E22" t="s">
        <v>19</v>
      </c>
      <c r="F22" t="str">
        <f>_xlfn.CONCAT(D22,", ",H22,", ",I22,", ","青海省")</f>
        <v>巴燕镇, 化隆回族自治县, 海东市, 青海省</v>
      </c>
      <c r="G22">
        <v>38315</v>
      </c>
      <c r="H22" t="s">
        <v>889</v>
      </c>
      <c r="I22" t="s">
        <v>888</v>
      </c>
      <c r="J22">
        <f>VLOOKUP(F22,[1]!china_towns_second__2[[Column1]:[Y]],3,FALSE)</f>
        <v>36.165847872893899</v>
      </c>
      <c r="K22">
        <f>VLOOKUP(F22,[1]!china_towns_second__2[[Column1]:[Y]],2,FALSE)</f>
        <v>102.2668338</v>
      </c>
      <c r="L22" t="s">
        <v>1133</v>
      </c>
      <c r="M22" t="str">
        <f>VLOOKUP(H22,CHOOSE({1,2},Table9[Native],Table9[Name]),2,0)</f>
        <v>Huàlóng Huízú Zìzhìxiàn</v>
      </c>
      <c r="N22" s="13" t="str">
        <f>VLOOKUP(I22,CHOOSE({1,2},Table9[Native],Table9[Name]),2,0)</f>
        <v>Hăidōng Shì</v>
      </c>
      <c r="O22" s="13" t="str">
        <f t="shared" si="2"/>
        <v>Bayan Zhen (Hăidōng Shì)</v>
      </c>
      <c r="P22" s="13" t="str">
        <f t="shared" si="3"/>
        <v>Bayan Zhen (Hăidōng Shì)</v>
      </c>
    </row>
    <row r="23" spans="1:16" hidden="1" x14ac:dyDescent="0.25">
      <c r="A23" t="s">
        <v>631</v>
      </c>
      <c r="B23" t="str">
        <f t="shared" si="0"/>
        <v>Bāyīlù Jiēdào</v>
      </c>
      <c r="C23" t="str">
        <f t="shared" si="1"/>
        <v>Bāyīlù Jiēdào</v>
      </c>
      <c r="D23" t="s">
        <v>632</v>
      </c>
      <c r="E23" t="s">
        <v>488</v>
      </c>
      <c r="F23" t="str">
        <f>_xlfn.CONCAT(D23,", ",H23,", ",I23,", ","青海省")</f>
        <v>八一路街道, 城东区, 西宁市, 青海省</v>
      </c>
      <c r="G23">
        <v>69891</v>
      </c>
      <c r="H23" t="s">
        <v>925</v>
      </c>
      <c r="I23" t="s">
        <v>923</v>
      </c>
      <c r="J23">
        <f>VLOOKUP(F23,[1]!china_towns_second__2[[Column1]:[Y]],3,FALSE)</f>
        <v>36.575583653744403</v>
      </c>
      <c r="K23">
        <f>VLOOKUP(F23,[1]!china_towns_second__2[[Column1]:[Y]],2,FALSE)</f>
        <v>101.80088790000001</v>
      </c>
      <c r="L23" t="s">
        <v>1134</v>
      </c>
      <c r="M23" t="str">
        <f>VLOOKUP(H23,CHOOSE({1,2},Table9[Native],Table9[Name]),2,0)</f>
        <v>Chéngdōng Qū</v>
      </c>
      <c r="N23" s="13" t="str">
        <f>VLOOKUP(I23,CHOOSE({1,2},Table9[Native],Table9[Name]),2,0)</f>
        <v>Xīníng Shì</v>
      </c>
      <c r="O23" s="13" t="str">
        <f t="shared" si="2"/>
        <v>Bayilu Jiedao (Xīníng Shì)</v>
      </c>
      <c r="P23" s="13" t="str">
        <f t="shared" si="3"/>
        <v>Bayilu Jiedao (Xīníng Shì)</v>
      </c>
    </row>
    <row r="24" spans="1:16" hidden="1" x14ac:dyDescent="0.25">
      <c r="A24" t="s">
        <v>184</v>
      </c>
      <c r="B24" t="str">
        <f t="shared" si="0"/>
        <v>Bāzànggōu Xiāng</v>
      </c>
      <c r="C24" t="str">
        <f t="shared" si="1"/>
        <v>Bāzànggōu Xiāng</v>
      </c>
      <c r="D24" t="s">
        <v>185</v>
      </c>
      <c r="E24" t="s">
        <v>7</v>
      </c>
      <c r="F24" t="str">
        <f>_xlfn.CONCAT(D24,", ",H24,", ",I24,", ","青海省")</f>
        <v>巴藏沟乡, 平安区, 海东市, 青海省</v>
      </c>
      <c r="G24">
        <v>3034</v>
      </c>
      <c r="H24" t="s">
        <v>894</v>
      </c>
      <c r="I24" t="s">
        <v>888</v>
      </c>
      <c r="J24" t="e">
        <f>VLOOKUP(F24,[1]!china_towns_second__2[[Column1]:[Y]],3,FALSE)</f>
        <v>#N/A</v>
      </c>
      <c r="K24" t="e">
        <f>VLOOKUP(F24,[1]!china_towns_second__2[[Column1]:[Y]],2,FALSE)</f>
        <v>#N/A</v>
      </c>
      <c r="L24" t="s">
        <v>1135</v>
      </c>
      <c r="M24" t="str">
        <f>VLOOKUP(H24,CHOOSE({1,2},Table9[Native],Table9[Name]),2,0)</f>
        <v>Píng'ān Qū</v>
      </c>
      <c r="N24" s="13" t="str">
        <f>VLOOKUP(I24,CHOOSE({1,2},Table9[Native],Table9[Name]),2,0)</f>
        <v>Hăidōng Shì</v>
      </c>
      <c r="O24" s="13" t="str">
        <f t="shared" si="2"/>
        <v>Bazanggou Xiang (Hăidōng Shì)</v>
      </c>
      <c r="P24" s="13" t="str">
        <f t="shared" si="3"/>
        <v>Bazanggou Xiang (Hăidōng Shì)</v>
      </c>
    </row>
    <row r="25" spans="1:16" hidden="1" x14ac:dyDescent="0.25">
      <c r="A25" t="s">
        <v>187</v>
      </c>
      <c r="B25" t="str">
        <f t="shared" si="0"/>
        <v>Bāzhā Zàngzú Xiāng</v>
      </c>
      <c r="C25" t="str">
        <f t="shared" si="1"/>
        <v>Bāzhā Zàngzú Xiāng</v>
      </c>
      <c r="D25" t="s">
        <v>188</v>
      </c>
      <c r="E25" t="s">
        <v>7</v>
      </c>
      <c r="F25" t="str">
        <f>_xlfn.CONCAT(D25,", ",H25,", ",I25,", ","青海省")</f>
        <v>巴扎藏族乡, 互助土族自治县, 海东市, 青海省</v>
      </c>
      <c r="G25">
        <v>4430</v>
      </c>
      <c r="H25" t="s">
        <v>890</v>
      </c>
      <c r="I25" t="s">
        <v>888</v>
      </c>
      <c r="J25" t="e">
        <f>VLOOKUP(F25,[1]!china_towns_second__2[[Column1]:[Y]],3,FALSE)</f>
        <v>#N/A</v>
      </c>
      <c r="K25" t="e">
        <f>VLOOKUP(F25,[1]!china_towns_second__2[[Column1]:[Y]],2,FALSE)</f>
        <v>#N/A</v>
      </c>
      <c r="L25" t="s">
        <v>1136</v>
      </c>
      <c r="M25" t="str">
        <f>VLOOKUP(H25,CHOOSE({1,2},Table9[Native],Table9[Name]),2,0)</f>
        <v>Hùzhù Tŭzú Zìzhìxiàn</v>
      </c>
      <c r="N25" s="13" t="str">
        <f>VLOOKUP(I25,CHOOSE({1,2},Table9[Native],Table9[Name]),2,0)</f>
        <v>Hăidōng Shì</v>
      </c>
      <c r="O25" s="13" t="str">
        <f t="shared" si="2"/>
        <v>Bazha Zangzu Xiang (Hăidōng Shì)</v>
      </c>
      <c r="P25" s="13" t="str">
        <f t="shared" si="3"/>
        <v>Bazha Zangzu Xiang (Hăidōng Shì)</v>
      </c>
    </row>
    <row r="26" spans="1:16" x14ac:dyDescent="0.25">
      <c r="A26" t="s">
        <v>190</v>
      </c>
      <c r="B26" t="str">
        <f t="shared" si="0"/>
        <v>Bāzhōu Zhèn</v>
      </c>
      <c r="C26" t="str">
        <f t="shared" si="1"/>
        <v>Bāzhōu Zhèn</v>
      </c>
      <c r="D26" t="s">
        <v>191</v>
      </c>
      <c r="E26" t="s">
        <v>19</v>
      </c>
      <c r="F26" t="str">
        <f>_xlfn.CONCAT(D26,", ",H26,", ",I26,", ","青海省")</f>
        <v>巴州镇, 民和回族土族自治县, 海东市, 青海省</v>
      </c>
      <c r="G26">
        <v>18110</v>
      </c>
      <c r="H26" t="s">
        <v>893</v>
      </c>
      <c r="I26" t="s">
        <v>888</v>
      </c>
      <c r="J26">
        <f>VLOOKUP(F26,[1]!china_towns_second__2[[Column1]:[Y]],3,FALSE)</f>
        <v>36.221578752213198</v>
      </c>
      <c r="K26">
        <f>VLOOKUP(F26,[1]!china_towns_second__2[[Column1]:[Y]],2,FALSE)</f>
        <v>102.7930083</v>
      </c>
      <c r="L26" t="s">
        <v>1137</v>
      </c>
      <c r="M26" t="str">
        <f>VLOOKUP(H26,CHOOSE({1,2},Table9[Native],Table9[Name]),2,0)</f>
        <v>Mínhé Huízú Tŭzú Zìzhìxiàn</v>
      </c>
      <c r="N26" s="13" t="str">
        <f>VLOOKUP(I26,CHOOSE({1,2},Table9[Native],Table9[Name]),2,0)</f>
        <v>Hăidōng Shì</v>
      </c>
      <c r="O26" s="13" t="str">
        <f t="shared" si="2"/>
        <v>Bazhou Zhen (Hăidōng Shì)</v>
      </c>
      <c r="P26" s="13" t="str">
        <f t="shared" si="3"/>
        <v>Bazhou Zhen (Hăidōng Shì)</v>
      </c>
    </row>
    <row r="27" spans="1:16" hidden="1" x14ac:dyDescent="0.25">
      <c r="A27" t="s">
        <v>106</v>
      </c>
      <c r="B27" t="str">
        <f t="shared" si="0"/>
        <v>Bĕishān Xiāng (Hăibĕi Zàngzú Zìzhìzhōu)</v>
      </c>
      <c r="C27" t="str">
        <f t="shared" si="1"/>
        <v>Bĕishān Xiāng (Hăibĕi Zàngzú Zìzhìzhōu)</v>
      </c>
      <c r="D27" t="s">
        <v>107</v>
      </c>
      <c r="E27" t="s">
        <v>7</v>
      </c>
      <c r="F27" t="str">
        <f>_xlfn.CONCAT(D27,", ",H27,", ",I27,", ","青海省")</f>
        <v>北山乡, 门源回族自治县, 海北藏族自治州, 青海省</v>
      </c>
      <c r="G27">
        <v>6219</v>
      </c>
      <c r="H27" t="s">
        <v>884</v>
      </c>
      <c r="I27" t="s">
        <v>880</v>
      </c>
      <c r="J27" t="e">
        <f>VLOOKUP(F27,[1]!china_towns_second__2[[Column1]:[Y]],3,FALSE)</f>
        <v>#N/A</v>
      </c>
      <c r="K27" t="e">
        <f>VLOOKUP(F27,[1]!china_towns_second__2[[Column1]:[Y]],2,FALSE)</f>
        <v>#N/A</v>
      </c>
      <c r="L27" t="s">
        <v>1138</v>
      </c>
      <c r="M27" t="str">
        <f>VLOOKUP(H27,CHOOSE({1,2},Table9[Native],Table9[Name]),2,0)</f>
        <v>Ményuán Huízú Zìzhìxiàn</v>
      </c>
      <c r="N27" s="13" t="str">
        <f>VLOOKUP(I27,CHOOSE({1,2},Table9[Native],Table9[Name]),2,0)</f>
        <v>Hăibĕi Zàngzú Zìzhìzhōu</v>
      </c>
      <c r="O27" s="13" t="str">
        <f t="shared" si="2"/>
        <v>Beishan Xiang (Haibei Zangzu Zizhizhou) (Hăibĕi Zàngzú Zìzhìzhōu)</v>
      </c>
      <c r="P27" s="13" t="str">
        <f t="shared" si="3"/>
        <v>Beishan Xiang (Haibei Zangzu Zizhizhou) (Hăibĕi Zàngzú Zìzhìzhōu)</v>
      </c>
    </row>
    <row r="28" spans="1:16" hidden="1" x14ac:dyDescent="0.25">
      <c r="A28" t="s">
        <v>106</v>
      </c>
      <c r="B28" t="str">
        <f t="shared" si="0"/>
        <v>Bĕishān Xiāng (Hăidōng Shì)</v>
      </c>
      <c r="C28" t="str">
        <f t="shared" si="1"/>
        <v>Bĕishān Xiāng (Hăidōng Shì)</v>
      </c>
      <c r="D28" t="s">
        <v>107</v>
      </c>
      <c r="E28" t="s">
        <v>7</v>
      </c>
      <c r="F28" t="str">
        <f>_xlfn.CONCAT(D28,", ",H28,", ",I28,", ","青海省")</f>
        <v>北山乡, 民和回族土族自治县, 海东市, 青海省</v>
      </c>
      <c r="G28">
        <v>3408</v>
      </c>
      <c r="H28" t="s">
        <v>893</v>
      </c>
      <c r="I28" t="s">
        <v>888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1139</v>
      </c>
      <c r="M28" t="str">
        <f>VLOOKUP(H28,CHOOSE({1,2},Table9[Native],Table9[Name]),2,0)</f>
        <v>Mínhé Huízú Tŭzú Zìzhìxiàn</v>
      </c>
      <c r="N28" s="13" t="str">
        <f>VLOOKUP(I28,CHOOSE({1,2},Table9[Native],Table9[Name]),2,0)</f>
        <v>Hăidōng Shì</v>
      </c>
      <c r="O28" s="13" t="str">
        <f t="shared" si="2"/>
        <v>Beishan Xiang (Haidong Shi) (Hăidōng Shì)</v>
      </c>
      <c r="P28" s="13" t="str">
        <f t="shared" si="3"/>
        <v>Beishan Xiang (Haidong Shi) (Hăidōng Shì)</v>
      </c>
    </row>
    <row r="29" spans="1:16" hidden="1" x14ac:dyDescent="0.25">
      <c r="A29" t="s">
        <v>634</v>
      </c>
      <c r="B29" t="str">
        <f t="shared" si="0"/>
        <v>Bōháng Xiāng</v>
      </c>
      <c r="C29" t="str">
        <f t="shared" si="1"/>
        <v>Bōháng Xiāng</v>
      </c>
      <c r="D29" t="s">
        <v>635</v>
      </c>
      <c r="E29" t="s">
        <v>7</v>
      </c>
      <c r="F29" t="str">
        <f>_xlfn.CONCAT(D29,", ",H29,", ",I29,", ","青海省")</f>
        <v>波航乡, 湟源县, 西宁市, 青海省</v>
      </c>
      <c r="G29">
        <v>8478</v>
      </c>
      <c r="H29" t="s">
        <v>929</v>
      </c>
      <c r="I29" t="s">
        <v>923</v>
      </c>
      <c r="J29" t="e">
        <f>VLOOKUP(F29,[1]!china_towns_second__2[[Column1]:[Y]],3,FALSE)</f>
        <v>#N/A</v>
      </c>
      <c r="K29" t="e">
        <f>VLOOKUP(F29,[1]!china_towns_second__2[[Column1]:[Y]],2,FALSE)</f>
        <v>#N/A</v>
      </c>
      <c r="L29" t="s">
        <v>1140</v>
      </c>
      <c r="M29" t="str">
        <f>VLOOKUP(H29,CHOOSE({1,2},Table9[Native],Table9[Name]),2,0)</f>
        <v>Huángyuán Xiàn</v>
      </c>
      <c r="N29" s="13" t="str">
        <f>VLOOKUP(I29,CHOOSE({1,2},Table9[Native],Table9[Name]),2,0)</f>
        <v>Xīníng Shì</v>
      </c>
      <c r="O29" s="13" t="str">
        <f t="shared" si="2"/>
        <v>Bohang Xiang (Xīníng Shì)</v>
      </c>
      <c r="P29" s="13" t="str">
        <f t="shared" si="3"/>
        <v>Bohang Xiang (Xīníng Shì)</v>
      </c>
    </row>
    <row r="30" spans="1:16" hidden="1" x14ac:dyDescent="0.25">
      <c r="A30" t="s">
        <v>193</v>
      </c>
      <c r="B30" t="str">
        <f t="shared" si="0"/>
        <v>Càijiābăo Xiāng</v>
      </c>
      <c r="C30" t="str">
        <f t="shared" si="1"/>
        <v>Càijiābăo Xiāng</v>
      </c>
      <c r="D30" t="s">
        <v>194</v>
      </c>
      <c r="E30" t="s">
        <v>7</v>
      </c>
      <c r="F30" t="str">
        <f>_xlfn.CONCAT(D30,", ",H30,", ",I30,", ","青海省")</f>
        <v>蔡家堡乡, 互助土族自治县, 海东市, 青海省</v>
      </c>
      <c r="G30">
        <v>6688</v>
      </c>
      <c r="H30" t="s">
        <v>890</v>
      </c>
      <c r="I30" t="s">
        <v>888</v>
      </c>
      <c r="J30" t="e">
        <f>VLOOKUP(F30,[1]!china_towns_second__2[[Column1]:[Y]],3,FALSE)</f>
        <v>#N/A</v>
      </c>
      <c r="K30" t="e">
        <f>VLOOKUP(F30,[1]!china_towns_second__2[[Column1]:[Y]],2,FALSE)</f>
        <v>#N/A</v>
      </c>
      <c r="L30" t="s">
        <v>1141</v>
      </c>
      <c r="M30" t="str">
        <f>VLOOKUP(H30,CHOOSE({1,2},Table9[Native],Table9[Name]),2,0)</f>
        <v>Hùzhù Tŭzú Zìzhìxiàn</v>
      </c>
      <c r="N30" s="13" t="str">
        <f>VLOOKUP(I30,CHOOSE({1,2},Table9[Native],Table9[Name]),2,0)</f>
        <v>Hăidōng Shì</v>
      </c>
      <c r="O30" s="13" t="str">
        <f t="shared" si="2"/>
        <v>Caijiabao Xiang (Hăidōng Shì)</v>
      </c>
      <c r="P30" s="13" t="str">
        <f t="shared" si="3"/>
        <v>Caijiabao Xiang (Hăidōng Shì)</v>
      </c>
    </row>
    <row r="31" spans="1:16" hidden="1" x14ac:dyDescent="0.25">
      <c r="A31" t="s">
        <v>636</v>
      </c>
      <c r="B31" t="str">
        <f t="shared" si="0"/>
        <v>Cāngménjiē Jiēdào</v>
      </c>
      <c r="C31" t="str">
        <f t="shared" si="1"/>
        <v>Cāngménjiē Jiēdào</v>
      </c>
      <c r="D31" t="s">
        <v>637</v>
      </c>
      <c r="E31" t="s">
        <v>488</v>
      </c>
      <c r="F31" t="str">
        <f>_xlfn.CONCAT(D31,", ",H31,", ",I31,", ","青海省")</f>
        <v>仓门街街道, 城中区, 西宁市, 青海省</v>
      </c>
      <c r="G31">
        <v>22008</v>
      </c>
      <c r="H31" t="s">
        <v>927</v>
      </c>
      <c r="I31" t="s">
        <v>923</v>
      </c>
      <c r="J31">
        <f>VLOOKUP(F31,[1]!china_towns_second__2[[Column1]:[Y]],3,FALSE)</f>
        <v>36.617552763618903</v>
      </c>
      <c r="K31">
        <f>VLOOKUP(F31,[1]!china_towns_second__2[[Column1]:[Y]],2,FALSE)</f>
        <v>101.7845786</v>
      </c>
      <c r="L31" t="s">
        <v>1142</v>
      </c>
      <c r="M31" t="str">
        <f>VLOOKUP(H31,CHOOSE({1,2},Table9[Native],Table9[Name]),2,0)</f>
        <v>Chéngzhōng Qū</v>
      </c>
      <c r="N31" s="13" t="str">
        <f>VLOOKUP(I31,CHOOSE({1,2},Table9[Native],Table9[Name]),2,0)</f>
        <v>Xīníng Shì</v>
      </c>
      <c r="O31" s="13" t="str">
        <f t="shared" si="2"/>
        <v>Cangmenjie Jiedao (Xīníng Shì)</v>
      </c>
      <c r="P31" s="13" t="str">
        <f t="shared" si="3"/>
        <v>Cangmenjie Jiedao (Xīníng Shì)</v>
      </c>
    </row>
    <row r="32" spans="1:16" hidden="1" x14ac:dyDescent="0.25">
      <c r="A32" t="s">
        <v>788</v>
      </c>
      <c r="B32" t="str">
        <f t="shared" si="0"/>
        <v>Chádàn Xiāng</v>
      </c>
      <c r="C32" t="str">
        <f t="shared" si="1"/>
        <v>Chádàn Xiāng</v>
      </c>
      <c r="D32" t="s">
        <v>789</v>
      </c>
      <c r="E32" t="s">
        <v>7</v>
      </c>
      <c r="F32" t="str">
        <f>_xlfn.CONCAT(D32,", ",H32,", ",I32,", ","青海省")</f>
        <v>查旦乡, 杂多县, 玉树藏族自治州, 青海省</v>
      </c>
      <c r="G32">
        <v>4004</v>
      </c>
      <c r="H32" t="s">
        <v>937</v>
      </c>
      <c r="I32" t="s">
        <v>932</v>
      </c>
      <c r="J32" t="e">
        <f>VLOOKUP(F32,[1]!china_towns_second__2[[Column1]:[Y]],3,FALSE)</f>
        <v>#N/A</v>
      </c>
      <c r="K32" t="e">
        <f>VLOOKUP(F32,[1]!china_towns_second__2[[Column1]:[Y]],2,FALSE)</f>
        <v>#N/A</v>
      </c>
      <c r="L32" t="s">
        <v>1143</v>
      </c>
      <c r="M32" t="str">
        <f>VLOOKUP(H32,CHOOSE({1,2},Table9[Native],Table9[Name]),2,0)</f>
        <v>Záduō Xiàn</v>
      </c>
      <c r="N32" s="13" t="str">
        <f>VLOOKUP(I32,CHOOSE({1,2},Table9[Native],Table9[Name]),2,0)</f>
        <v>Yùshù Zàngzú Zìzhìzhōu</v>
      </c>
      <c r="O32" s="13" t="str">
        <f t="shared" si="2"/>
        <v>Chadan Xiang (Yùshù Zàngzú Zìzhìzhōu)</v>
      </c>
      <c r="P32" s="13" t="str">
        <f t="shared" si="3"/>
        <v>Chadan Xiang (Yùshù Zàngzú Zìzhìzhōu)</v>
      </c>
    </row>
    <row r="33" spans="1:16" hidden="1" x14ac:dyDescent="0.25">
      <c r="A33" t="s">
        <v>462</v>
      </c>
      <c r="B33" t="str">
        <f t="shared" si="0"/>
        <v>Chá'ĕrhàn Gōngxíngwĕi</v>
      </c>
      <c r="C33" t="str">
        <f t="shared" si="1"/>
        <v>Chá'ĕrhàn Gōngxíngwĕi</v>
      </c>
      <c r="D33" t="s">
        <v>463</v>
      </c>
      <c r="E33" t="s">
        <v>133</v>
      </c>
      <c r="F33" t="str">
        <f>_xlfn.CONCAT(D33,", ",H33,", ",I33,", ","青海省")</f>
        <v>察尔汗工行委, 格尔木市, 海西蒙古族藏族自治州, 青海省</v>
      </c>
      <c r="G33">
        <v>7109</v>
      </c>
      <c r="H33" t="s">
        <v>912</v>
      </c>
      <c r="I33" t="s">
        <v>905</v>
      </c>
      <c r="J33">
        <f>VLOOKUP(F33,[1]!china_towns_second__2[[Column1]:[Y]],3,FALSE)</f>
        <v>37.157087250379298</v>
      </c>
      <c r="K33">
        <f>VLOOKUP(F33,[1]!china_towns_second__2[[Column1]:[Y]],2,FALSE)</f>
        <v>94.625649969999998</v>
      </c>
      <c r="L33" t="s">
        <v>1144</v>
      </c>
      <c r="M33" t="str">
        <f>VLOOKUP(H33,CHOOSE({1,2},Table9[Native],Table9[Name]),2,0)</f>
        <v>Gé'ĕrmù Shì</v>
      </c>
      <c r="N33" s="13" t="str">
        <f>VLOOKUP(I33,CHOOSE({1,2},Table9[Native],Table9[Name]),2,0)</f>
        <v>Hăixī Mĕnggŭzú Zàngzú Zìzhìzhōu</v>
      </c>
      <c r="O33" s="13" t="str">
        <f t="shared" si="2"/>
        <v>Cha'erhan Gongxingwei (Hăixī Mĕnggŭzú Zàngzú Zìzhìzhōu)</v>
      </c>
      <c r="P33" s="13" t="str">
        <f t="shared" si="3"/>
        <v>Cha'erhan Gongxingwei (Hăixī Mĕnggŭzú Zàngzú Zìzhìzhōu)</v>
      </c>
    </row>
    <row r="34" spans="1:16" hidden="1" x14ac:dyDescent="0.25">
      <c r="A34" t="s">
        <v>195</v>
      </c>
      <c r="B34" t="str">
        <f t="shared" si="0"/>
        <v>Cháfŭ Zàngzú Xiāng</v>
      </c>
      <c r="C34" t="str">
        <f t="shared" si="1"/>
        <v>Cháfŭ Zàngzú Xiāng</v>
      </c>
      <c r="D34" t="s">
        <v>196</v>
      </c>
      <c r="E34" t="s">
        <v>7</v>
      </c>
      <c r="F34" t="str">
        <f>_xlfn.CONCAT(D34,", ",H34,", ",I34,", ","青海省")</f>
        <v>查甫藏族乡, 化隆回族自治县, 海东市, 青海省</v>
      </c>
      <c r="G34">
        <v>5555</v>
      </c>
      <c r="H34" t="s">
        <v>889</v>
      </c>
      <c r="I34" t="s">
        <v>888</v>
      </c>
      <c r="J34" t="e">
        <f>VLOOKUP(F34,[1]!china_towns_second__2[[Column1]:[Y]],3,FALSE)</f>
        <v>#N/A</v>
      </c>
      <c r="K34" t="e">
        <f>VLOOKUP(F34,[1]!china_towns_second__2[[Column1]:[Y]],2,FALSE)</f>
        <v>#N/A</v>
      </c>
      <c r="L34" t="s">
        <v>1145</v>
      </c>
      <c r="M34" t="str">
        <f>VLOOKUP(H34,CHOOSE({1,2},Table9[Native],Table9[Name]),2,0)</f>
        <v>Huàlóng Huízú Zìzhìxiàn</v>
      </c>
      <c r="N34" s="13" t="str">
        <f>VLOOKUP(I34,CHOOSE({1,2},Table9[Native],Table9[Name]),2,0)</f>
        <v>Hăidōng Shì</v>
      </c>
      <c r="O34" s="13" t="str">
        <f t="shared" si="2"/>
        <v>Chafu Zangzu Xiang (Hăidōng Shì)</v>
      </c>
      <c r="P34" s="13" t="str">
        <f t="shared" si="3"/>
        <v>Chafu Zangzu Xiang (Hăidōng Shì)</v>
      </c>
    </row>
    <row r="35" spans="1:16" hidden="1" x14ac:dyDescent="0.25">
      <c r="A35" t="s">
        <v>197</v>
      </c>
      <c r="B35" t="str">
        <f t="shared" si="0"/>
        <v>Cháhàndūsī Xiāng</v>
      </c>
      <c r="C35" t="str">
        <f t="shared" si="1"/>
        <v>Cháhàndūsī Xiāng</v>
      </c>
      <c r="D35" t="s">
        <v>198</v>
      </c>
      <c r="E35" t="s">
        <v>7</v>
      </c>
      <c r="F35" t="str">
        <f>_xlfn.CONCAT(D35,", ",H35,", ",I35,", ","青海省")</f>
        <v>查汗都斯乡, 循化撒拉族自治县, 海东市, 青海省</v>
      </c>
      <c r="G35">
        <v>11679</v>
      </c>
      <c r="H35" t="s">
        <v>895</v>
      </c>
      <c r="I35" t="s">
        <v>888</v>
      </c>
      <c r="J35" t="e">
        <f>VLOOKUP(F35,[1]!china_towns_second__2[[Column1]:[Y]],3,FALSE)</f>
        <v>#N/A</v>
      </c>
      <c r="K35" t="e">
        <f>VLOOKUP(F35,[1]!china_towns_second__2[[Column1]:[Y]],2,FALSE)</f>
        <v>#N/A</v>
      </c>
      <c r="L35" t="s">
        <v>1146</v>
      </c>
      <c r="M35" t="str">
        <f>VLOOKUP(H35,CHOOSE({1,2},Table9[Native],Table9[Name]),2,0)</f>
        <v>Xúnhuà Sālāzú Zìzhìxiàn</v>
      </c>
      <c r="N35" s="13" t="str">
        <f>VLOOKUP(I35,CHOOSE({1,2},Table9[Native],Table9[Name]),2,0)</f>
        <v>Hăidōng Shì</v>
      </c>
      <c r="O35" s="13" t="str">
        <f t="shared" si="2"/>
        <v>Chahandusi Xiang (Hăidōng Shì)</v>
      </c>
      <c r="P35" s="13" t="str">
        <f t="shared" si="3"/>
        <v>Chahandusi Xiang (Hăidōng Shì)</v>
      </c>
    </row>
    <row r="36" spans="1:16" x14ac:dyDescent="0.25">
      <c r="A36" t="s">
        <v>465</v>
      </c>
      <c r="B36" t="str">
        <f t="shared" si="0"/>
        <v>Cháhànwūsū Zhèn</v>
      </c>
      <c r="C36" t="str">
        <f t="shared" si="1"/>
        <v>Cháhànwūsū Zhèn</v>
      </c>
      <c r="D36" t="s">
        <v>466</v>
      </c>
      <c r="E36" t="s">
        <v>19</v>
      </c>
      <c r="F36" t="str">
        <f>_xlfn.CONCAT(D36,", ",H36,", ",I36,", ","青海省")</f>
        <v>察汉乌苏镇, 都兰县, 海西蒙古族藏族自治州, 青海省</v>
      </c>
      <c r="G36">
        <v>20570</v>
      </c>
      <c r="H36" t="s">
        <v>911</v>
      </c>
      <c r="I36" t="s">
        <v>905</v>
      </c>
      <c r="J36">
        <f>VLOOKUP(F36,[1]!china_towns_second__2[[Column1]:[Y]],3,FALSE)</f>
        <v>36.277585628860699</v>
      </c>
      <c r="K36">
        <f>VLOOKUP(F36,[1]!china_towns_second__2[[Column1]:[Y]],2,FALSE)</f>
        <v>98.259007929999996</v>
      </c>
      <c r="L36" t="s">
        <v>1147</v>
      </c>
      <c r="M36" t="str">
        <f>VLOOKUP(H36,CHOOSE({1,2},Table9[Native],Table9[Name]),2,0)</f>
        <v>Dūlán Xiàn</v>
      </c>
      <c r="N36" s="13" t="str">
        <f>VLOOKUP(I36,CHOOSE({1,2},Table9[Native],Table9[Name]),2,0)</f>
        <v>Hăixī Mĕnggŭzú Zàngzú Zìzhìzhōu</v>
      </c>
      <c r="O36" s="13" t="str">
        <f t="shared" si="2"/>
        <v>Chahanwusu Zhen (Hăixī Mĕnggŭzú Zàngzú Zìzhìzhōu)</v>
      </c>
      <c r="P36" s="13" t="str">
        <f t="shared" si="3"/>
        <v>Chahanwusu Zhen (Hăixī Mĕnggŭzú Zàngzú Zìzhìzhōu)</v>
      </c>
    </row>
    <row r="37" spans="1:16" x14ac:dyDescent="0.25">
      <c r="A37" t="s">
        <v>467</v>
      </c>
      <c r="B37" t="str">
        <f t="shared" si="0"/>
        <v>Cháidàn Zhèn [Dàcháidàn Zhèn]</v>
      </c>
      <c r="C37" t="str">
        <f t="shared" si="1"/>
        <v>Cháidàn Zhèn [Dàcháidàn Zhèn]</v>
      </c>
      <c r="D37" t="s">
        <v>468</v>
      </c>
      <c r="E37" t="s">
        <v>19</v>
      </c>
      <c r="F37" t="str">
        <f>_xlfn.CONCAT(D37,", ",H37,", ",I37,", ","青海省")</f>
        <v>柴旦镇, 大柴旦行委, 海西蒙古族藏族自治州, 青海省</v>
      </c>
      <c r="G37">
        <v>9750</v>
      </c>
      <c r="H37" t="s">
        <v>907</v>
      </c>
      <c r="I37" t="s">
        <v>905</v>
      </c>
      <c r="J37">
        <f>VLOOKUP(F37,[1]!china_towns_second__2[[Column1]:[Y]],3,FALSE)</f>
        <v>37.930299077153798</v>
      </c>
      <c r="K37">
        <f>VLOOKUP(F37,[1]!china_towns_second__2[[Column1]:[Y]],2,FALSE)</f>
        <v>94.75924234</v>
      </c>
      <c r="L37" t="s">
        <v>1148</v>
      </c>
      <c r="M37" t="str">
        <f>VLOOKUP(H37,CHOOSE({1,2},Table9[Native],Table9[Name]),2,0)</f>
        <v>Dàcháidàn Xíngwĕi</v>
      </c>
      <c r="N37" s="13" t="str">
        <f>VLOOKUP(I37,CHOOSE({1,2},Table9[Native],Table9[Name]),2,0)</f>
        <v>Hăixī Mĕnggŭzú Zàngzú Zìzhìzhōu</v>
      </c>
      <c r="O37" s="13" t="str">
        <f t="shared" si="2"/>
        <v>Chaidan Zhen [Dachaidan Zhen] (Hăixī Mĕnggŭzú Zàngzú Zìzhìzhōu)</v>
      </c>
      <c r="P37" s="13" t="str">
        <f t="shared" si="3"/>
        <v>Chaidan Zhen [Dachaidan Zhen] (Hăixī Mĕnggŭzú Zàngzú Zìzhìzhōu)</v>
      </c>
    </row>
    <row r="38" spans="1:16" x14ac:dyDescent="0.25">
      <c r="A38" t="s">
        <v>470</v>
      </c>
      <c r="B38" t="str">
        <f t="shared" si="0"/>
        <v>Chákă Zhèn</v>
      </c>
      <c r="C38" t="str">
        <f t="shared" si="1"/>
        <v>Chákă Zhèn</v>
      </c>
      <c r="D38" t="s">
        <v>471</v>
      </c>
      <c r="E38" t="s">
        <v>19</v>
      </c>
      <c r="F38" t="str">
        <f>_xlfn.CONCAT(D38,", ",H38,", ",I38,", ","青海省")</f>
        <v>茶卡镇, 乌兰县, 海西蒙古族藏族自治州, 青海省</v>
      </c>
      <c r="G38">
        <v>4123</v>
      </c>
      <c r="H38" t="s">
        <v>915</v>
      </c>
      <c r="I38" t="s">
        <v>905</v>
      </c>
      <c r="J38">
        <f>VLOOKUP(F38,[1]!china_towns_second__2[[Column1]:[Y]],3,FALSE)</f>
        <v>36.741591902542801</v>
      </c>
      <c r="K38">
        <f>VLOOKUP(F38,[1]!china_towns_second__2[[Column1]:[Y]],2,FALSE)</f>
        <v>99.134956779999996</v>
      </c>
      <c r="L38" t="s">
        <v>1149</v>
      </c>
      <c r="M38" t="str">
        <f>VLOOKUP(H38,CHOOSE({1,2},Table9[Native],Table9[Name]),2,0)</f>
        <v>Wūlán Xiàn</v>
      </c>
      <c r="N38" s="13" t="str">
        <f>VLOOKUP(I38,CHOOSE({1,2},Table9[Native],Table9[Name]),2,0)</f>
        <v>Hăixī Mĕnggŭzú Zàngzú Zìzhìzhōu</v>
      </c>
      <c r="O38" s="13" t="str">
        <f t="shared" si="2"/>
        <v>Chaka Zhen (Hăixī Mĕnggŭzú Zàngzú Zìzhìzhōu)</v>
      </c>
      <c r="P38" s="13" t="str">
        <f t="shared" si="3"/>
        <v>Chaka Zhen (Hăixī Mĕnggŭzú Zàngzú Zìzhìzhōu)</v>
      </c>
    </row>
    <row r="39" spans="1:16" x14ac:dyDescent="0.25">
      <c r="A39" t="s">
        <v>378</v>
      </c>
      <c r="B39" t="str">
        <f t="shared" si="0"/>
        <v>Chángmù Zhèn</v>
      </c>
      <c r="C39" t="str">
        <f t="shared" si="1"/>
        <v>Chángmù Zhèn</v>
      </c>
      <c r="D39" t="s">
        <v>379</v>
      </c>
      <c r="E39" t="s">
        <v>19</v>
      </c>
      <c r="F39" t="str">
        <f>_xlfn.CONCAT(D39,", ",H39,", ",I39,", ","青海省")</f>
        <v>常牧镇, 贵德县, 海南藏族自治州, 青海省</v>
      </c>
      <c r="G39">
        <v>16703</v>
      </c>
      <c r="H39" t="s">
        <v>899</v>
      </c>
      <c r="I39" t="s">
        <v>897</v>
      </c>
      <c r="J39">
        <f>VLOOKUP(F39,[1]!china_towns_second__2[[Column1]:[Y]],3,FALSE)</f>
        <v>35.755972955798804</v>
      </c>
      <c r="K39">
        <f>VLOOKUP(F39,[1]!china_towns_second__2[[Column1]:[Y]],2,FALSE)</f>
        <v>101.573156</v>
      </c>
      <c r="L39" t="s">
        <v>1150</v>
      </c>
      <c r="M39" t="str">
        <f>VLOOKUP(H39,CHOOSE({1,2},Table9[Native],Table9[Name]),2,0)</f>
        <v>Guìdé Xiàn</v>
      </c>
      <c r="N39" s="13" t="str">
        <f>VLOOKUP(I39,CHOOSE({1,2},Table9[Native],Table9[Name]),2,0)</f>
        <v>Hăinán Zàngzú Zìzhìzhōu</v>
      </c>
      <c r="O39" s="13" t="str">
        <f t="shared" si="2"/>
        <v>Changmu Zhen (Hăinán Zàngzú Zìzhìzhōu)</v>
      </c>
      <c r="P39" s="13" t="str">
        <f t="shared" si="3"/>
        <v>Changmu Zhen (Hăinán Zàngzú Zìzhìzhōu)</v>
      </c>
    </row>
    <row r="40" spans="1:16" x14ac:dyDescent="0.25">
      <c r="A40" t="s">
        <v>639</v>
      </c>
      <c r="B40" t="str">
        <f t="shared" si="0"/>
        <v>Chángníng Zhèn</v>
      </c>
      <c r="C40" t="str">
        <f t="shared" si="1"/>
        <v>Chángníng Zhèn</v>
      </c>
      <c r="D40" t="s">
        <v>640</v>
      </c>
      <c r="E40" t="s">
        <v>19</v>
      </c>
      <c r="F40" t="str">
        <f>_xlfn.CONCAT(D40,", ",H40,", ",I40,", ","青海省")</f>
        <v>长宁镇, 大通回族土族自治县, 西宁市, 青海省</v>
      </c>
      <c r="G40">
        <v>39237</v>
      </c>
      <c r="H40" t="s">
        <v>928</v>
      </c>
      <c r="I40" t="s">
        <v>923</v>
      </c>
      <c r="J40">
        <f>VLOOKUP(F40,[1]!china_towns_second__2[[Column1]:[Y]],3,FALSE)</f>
        <v>36.803336470717397</v>
      </c>
      <c r="K40">
        <f>VLOOKUP(F40,[1]!china_towns_second__2[[Column1]:[Y]],2,FALSE)</f>
        <v>101.7609569</v>
      </c>
      <c r="L40" t="s">
        <v>1151</v>
      </c>
      <c r="M40" t="str">
        <f>VLOOKUP(H40,CHOOSE({1,2},Table9[Native],Table9[Name]),2,0)</f>
        <v>Dàtōng Huízú Tŭzú Zìzhìxiàn</v>
      </c>
      <c r="N40" s="13" t="str">
        <f>VLOOKUP(I40,CHOOSE({1,2},Table9[Native],Table9[Name]),2,0)</f>
        <v>Xīníng Shì</v>
      </c>
      <c r="O40" s="13" t="str">
        <f t="shared" si="2"/>
        <v>Changning Zhen (Xīníng Shì)</v>
      </c>
      <c r="P40" s="13" t="str">
        <f t="shared" si="3"/>
        <v>Changning Zhen (Xīníng Shì)</v>
      </c>
    </row>
    <row r="41" spans="1:16" hidden="1" x14ac:dyDescent="0.25">
      <c r="A41" t="s">
        <v>641</v>
      </c>
      <c r="B41" t="str">
        <f t="shared" si="0"/>
        <v>Cháoyáng Jiēdào</v>
      </c>
      <c r="C41" t="str">
        <f t="shared" si="1"/>
        <v>Cháoyáng Jiēdào</v>
      </c>
      <c r="D41" t="s">
        <v>642</v>
      </c>
      <c r="E41" t="s">
        <v>488</v>
      </c>
      <c r="F41" t="str">
        <f>_xlfn.CONCAT(D41,", ",H41,", ",I41,", ","青海省")</f>
        <v>朝阳街道, 城北区, 西宁市, 青海省</v>
      </c>
      <c r="G41">
        <v>72089</v>
      </c>
      <c r="H41" t="s">
        <v>924</v>
      </c>
      <c r="I41" t="s">
        <v>923</v>
      </c>
      <c r="J41">
        <f>VLOOKUP(F41,[1]!china_towns_second__2[[Column1]:[Y]],3,FALSE)</f>
        <v>36.6527131943648</v>
      </c>
      <c r="K41">
        <f>VLOOKUP(F41,[1]!china_towns_second__2[[Column1]:[Y]],2,FALSE)</f>
        <v>101.780478</v>
      </c>
      <c r="L41" t="s">
        <v>1152</v>
      </c>
      <c r="M41" t="str">
        <f>VLOOKUP(H41,CHOOSE({1,2},Table9[Native],Table9[Name]),2,0)</f>
        <v>Chéngbĕi Qū</v>
      </c>
      <c r="N41" s="13" t="str">
        <f>VLOOKUP(I41,CHOOSE({1,2},Table9[Native],Table9[Name]),2,0)</f>
        <v>Xīníng Shì</v>
      </c>
      <c r="O41" s="13" t="str">
        <f t="shared" si="2"/>
        <v>Chaoyang Jiedao (Xīníng Shì)</v>
      </c>
      <c r="P41" s="13" t="str">
        <f t="shared" si="3"/>
        <v>Chaoyang Jiedao (Xīníng Shì)</v>
      </c>
    </row>
    <row r="42" spans="1:16" x14ac:dyDescent="0.25">
      <c r="A42" t="s">
        <v>644</v>
      </c>
      <c r="B42" t="str">
        <f t="shared" si="0"/>
        <v>Chéngguān Zhèn (Xīníng Shì)</v>
      </c>
      <c r="C42" t="str">
        <f t="shared" si="1"/>
        <v>Chéngguān Zhèn (Dàtōng Huízú Tŭzú Zìzhìxiàn)</v>
      </c>
      <c r="D42" t="s">
        <v>645</v>
      </c>
      <c r="E42" t="s">
        <v>19</v>
      </c>
      <c r="F42" t="str">
        <f>_xlfn.CONCAT(D42,", ",H42,", ",I42,", ","青海省")</f>
        <v>城关镇, 大通回族土族自治县, 西宁市, 青海省</v>
      </c>
      <c r="G42">
        <v>24410</v>
      </c>
      <c r="H42" t="s">
        <v>928</v>
      </c>
      <c r="I42" t="s">
        <v>923</v>
      </c>
      <c r="J42">
        <f>VLOOKUP(F42,[1]!china_towns_second__2[[Column1]:[Y]],3,FALSE)</f>
        <v>37.041565063179</v>
      </c>
      <c r="K42">
        <f>VLOOKUP(F42,[1]!china_towns_second__2[[Column1]:[Y]],2,FALSE)</f>
        <v>101.5374423</v>
      </c>
      <c r="L42" t="s">
        <v>1153</v>
      </c>
      <c r="M42" t="str">
        <f>VLOOKUP(H42,CHOOSE({1,2},Table9[Native],Table9[Name]),2,0)</f>
        <v>Dàtōng Huízú Tŭzú Zìzhìxiàn</v>
      </c>
      <c r="N42" s="13" t="str">
        <f>VLOOKUP(I42,CHOOSE({1,2},Table9[Native],Table9[Name]),2,0)</f>
        <v>Xīníng Shì</v>
      </c>
      <c r="O42" s="13" t="str">
        <f t="shared" si="2"/>
        <v>Chengguan Zhen (Datong Huizu Tuzu Zizhixian) (Xīníng Shì)</v>
      </c>
      <c r="P42" s="13" t="str">
        <f t="shared" si="3"/>
        <v>Chengguan Zhen (Datong Huizu Tuzu Zizhixian) (Xīníng Shì)</v>
      </c>
    </row>
    <row r="43" spans="1:16" x14ac:dyDescent="0.25">
      <c r="A43" t="s">
        <v>644</v>
      </c>
      <c r="B43" t="str">
        <f t="shared" si="0"/>
        <v>Chéngguān Zhèn (Xīníng Shì)</v>
      </c>
      <c r="C43" t="str">
        <f t="shared" si="1"/>
        <v>Chéngguān Zhèn (Huángyuán Xiàn)</v>
      </c>
      <c r="D43" t="s">
        <v>645</v>
      </c>
      <c r="E43" t="s">
        <v>19</v>
      </c>
      <c r="F43" t="str">
        <f>_xlfn.CONCAT(D43,", ",H43,", ",I43,", ","青海省")</f>
        <v>城关镇, 湟源县, 西宁市, 青海省</v>
      </c>
      <c r="G43">
        <v>43871</v>
      </c>
      <c r="H43" t="s">
        <v>929</v>
      </c>
      <c r="I43" t="s">
        <v>923</v>
      </c>
      <c r="J43">
        <f>VLOOKUP(F43,[1]!china_towns_second__2[[Column1]:[Y]],3,FALSE)</f>
        <v>36.689277299985697</v>
      </c>
      <c r="K43">
        <f>VLOOKUP(F43,[1]!china_towns_second__2[[Column1]:[Y]],2,FALSE)</f>
        <v>101.2761381</v>
      </c>
      <c r="L43" t="s">
        <v>1154</v>
      </c>
      <c r="M43" t="str">
        <f>VLOOKUP(H43,CHOOSE({1,2},Table9[Native],Table9[Name]),2,0)</f>
        <v>Huángyuán Xiàn</v>
      </c>
      <c r="N43" s="13" t="str">
        <f>VLOOKUP(I43,CHOOSE({1,2},Table9[Native],Table9[Name]),2,0)</f>
        <v>Xīníng Shì</v>
      </c>
      <c r="O43" s="13" t="str">
        <f t="shared" si="2"/>
        <v>Chengguan Zhen (Huangyuan Xian) (Xīníng Shì)</v>
      </c>
      <c r="P43" s="13" t="str">
        <f t="shared" si="3"/>
        <v>Chengguan Zhen (Huangyuan Xian) (Xīníng Shì)</v>
      </c>
    </row>
    <row r="44" spans="1:16" hidden="1" x14ac:dyDescent="0.25">
      <c r="A44" t="s">
        <v>199</v>
      </c>
      <c r="B44" t="str">
        <f t="shared" si="0"/>
        <v>Chéngtái Xiāng</v>
      </c>
      <c r="C44" t="str">
        <f t="shared" si="1"/>
        <v>Chéngtái Xiāng</v>
      </c>
      <c r="D44" t="s">
        <v>200</v>
      </c>
      <c r="E44" t="s">
        <v>7</v>
      </c>
      <c r="F44" t="str">
        <f>_xlfn.CONCAT(D44,", ",H44,", ",I44,", ","青海省")</f>
        <v>城台乡, 乐都区, 海东市, 青海省</v>
      </c>
      <c r="G44">
        <v>3656</v>
      </c>
      <c r="H44" t="s">
        <v>892</v>
      </c>
      <c r="I44" t="s">
        <v>888</v>
      </c>
      <c r="J44" t="e">
        <f>VLOOKUP(F44,[1]!china_towns_second__2[[Column1]:[Y]],3,FALSE)</f>
        <v>#N/A</v>
      </c>
      <c r="K44" t="e">
        <f>VLOOKUP(F44,[1]!china_towns_second__2[[Column1]:[Y]],2,FALSE)</f>
        <v>#N/A</v>
      </c>
      <c r="L44" t="s">
        <v>1155</v>
      </c>
      <c r="M44" t="str">
        <f>VLOOKUP(H44,CHOOSE({1,2},Table9[Native],Table9[Name]),2,0)</f>
        <v>Lèdū Qū</v>
      </c>
      <c r="N44" s="13" t="str">
        <f>VLOOKUP(I44,CHOOSE({1,2},Table9[Native],Table9[Name]),2,0)</f>
        <v>Hăidōng Shì</v>
      </c>
      <c r="O44" s="13" t="str">
        <f t="shared" si="2"/>
        <v>Chengtai Xiang (Hăidōng Shì)</v>
      </c>
      <c r="P44" s="13" t="str">
        <f t="shared" si="3"/>
        <v>Chengtai Xiang (Hăidōng Shì)</v>
      </c>
    </row>
    <row r="45" spans="1:16" x14ac:dyDescent="0.25">
      <c r="A45" t="s">
        <v>790</v>
      </c>
      <c r="B45" t="str">
        <f t="shared" si="0"/>
        <v>Chēngwén Zhèn</v>
      </c>
      <c r="C45" t="str">
        <f t="shared" si="1"/>
        <v>Chēngwén Zhèn</v>
      </c>
      <c r="D45" t="s">
        <v>791</v>
      </c>
      <c r="E45" t="s">
        <v>19</v>
      </c>
      <c r="F45" t="str">
        <f>_xlfn.CONCAT(D45,", ",H45,", ",I45,", ","青海省")</f>
        <v>称文镇, 称多县, 玉树藏族自治州, 青海省</v>
      </c>
      <c r="G45">
        <v>10659</v>
      </c>
      <c r="H45" t="s">
        <v>933</v>
      </c>
      <c r="I45" t="s">
        <v>932</v>
      </c>
      <c r="J45">
        <f>VLOOKUP(F45,[1]!china_towns_second__2[[Column1]:[Y]],3,FALSE)</f>
        <v>33.397155479458299</v>
      </c>
      <c r="K45">
        <f>VLOOKUP(F45,[1]!china_towns_second__2[[Column1]:[Y]],2,FALSE)</f>
        <v>97.031823180000004</v>
      </c>
      <c r="L45" t="s">
        <v>1156</v>
      </c>
      <c r="M45" t="str">
        <f>VLOOKUP(H45,CHOOSE({1,2},Table9[Native],Table9[Name]),2,0)</f>
        <v>Chēngduō Xiàn</v>
      </c>
      <c r="N45" s="13" t="str">
        <f>VLOOKUP(I45,CHOOSE({1,2},Table9[Native],Table9[Name]),2,0)</f>
        <v>Yùshù Zàngzú Zìzhìzhōu</v>
      </c>
      <c r="O45" s="13" t="str">
        <f t="shared" si="2"/>
        <v>Chengwen Zhen (Yùshù Zàngzú Zìzhìzhōu)</v>
      </c>
      <c r="P45" s="13" t="str">
        <f t="shared" si="3"/>
        <v>Chengwen Zhen (Yùshù Zàngzú Zìzhìzhōu)</v>
      </c>
    </row>
    <row r="46" spans="1:16" x14ac:dyDescent="0.25">
      <c r="A46" t="s">
        <v>202</v>
      </c>
      <c r="B46" t="str">
        <f t="shared" si="0"/>
        <v>Chuānkŏu Zhèn</v>
      </c>
      <c r="C46" t="str">
        <f t="shared" si="1"/>
        <v>Chuānkŏu Zhèn</v>
      </c>
      <c r="D46" t="s">
        <v>203</v>
      </c>
      <c r="E46" t="s">
        <v>19</v>
      </c>
      <c r="F46" t="str">
        <f>_xlfn.CONCAT(D46,", ",H46,", ",I46,", ","青海省")</f>
        <v>川口镇, 民和回族土族自治县, 海东市, 青海省</v>
      </c>
      <c r="G46">
        <v>69252</v>
      </c>
      <c r="H46" t="s">
        <v>893</v>
      </c>
      <c r="I46" t="s">
        <v>888</v>
      </c>
      <c r="J46">
        <f>VLOOKUP(F46,[1]!china_towns_second__2[[Column1]:[Y]],3,FALSE)</f>
        <v>36.3077291574089</v>
      </c>
      <c r="K46">
        <f>VLOOKUP(F46,[1]!china_towns_second__2[[Column1]:[Y]],2,FALSE)</f>
        <v>102.8194464</v>
      </c>
      <c r="L46" t="s">
        <v>1157</v>
      </c>
      <c r="M46" t="str">
        <f>VLOOKUP(H46,CHOOSE({1,2},Table9[Native],Table9[Name]),2,0)</f>
        <v>Mínhé Huízú Tŭzú Zìzhìxiàn</v>
      </c>
      <c r="N46" s="13" t="str">
        <f>VLOOKUP(I46,CHOOSE({1,2},Table9[Native],Table9[Name]),2,0)</f>
        <v>Hăidōng Shì</v>
      </c>
      <c r="O46" s="13" t="str">
        <f t="shared" si="2"/>
        <v>Chuankou Zhen (Hăidōng Shì)</v>
      </c>
      <c r="P46" s="13" t="str">
        <f t="shared" si="3"/>
        <v>Chuankou Zhen (Hăidōng Shì)</v>
      </c>
    </row>
    <row r="47" spans="1:16" hidden="1" x14ac:dyDescent="0.25">
      <c r="A47" t="s">
        <v>204</v>
      </c>
      <c r="B47" t="str">
        <f t="shared" si="0"/>
        <v>Chūmá Xiāng</v>
      </c>
      <c r="C47" t="str">
        <f t="shared" si="1"/>
        <v>Chūmá Xiāng</v>
      </c>
      <c r="D47" t="s">
        <v>205</v>
      </c>
      <c r="E47" t="s">
        <v>7</v>
      </c>
      <c r="F47" t="str">
        <f>_xlfn.CONCAT(D47,", ",H47,", ",I47,", ","青海省")</f>
        <v>初麻乡, 化隆回族自治县, 海东市, 青海省</v>
      </c>
      <c r="G47">
        <v>5841</v>
      </c>
      <c r="H47" t="s">
        <v>889</v>
      </c>
      <c r="I47" t="s">
        <v>888</v>
      </c>
      <c r="J47" t="e">
        <f>VLOOKUP(F47,[1]!china_towns_second__2[[Column1]:[Y]],3,FALSE)</f>
        <v>#N/A</v>
      </c>
      <c r="K47" t="e">
        <f>VLOOKUP(F47,[1]!china_towns_second__2[[Column1]:[Y]],2,FALSE)</f>
        <v>#N/A</v>
      </c>
      <c r="L47" t="s">
        <v>1158</v>
      </c>
      <c r="M47" t="str">
        <f>VLOOKUP(H47,CHOOSE({1,2},Table9[Native],Table9[Name]),2,0)</f>
        <v>Huàlóng Huízú Zìzhìxiàn</v>
      </c>
      <c r="N47" s="13" t="str">
        <f>VLOOKUP(I47,CHOOSE({1,2},Table9[Native],Table9[Name]),2,0)</f>
        <v>Hăidōng Shì</v>
      </c>
      <c r="O47" s="13" t="str">
        <f t="shared" si="2"/>
        <v>Chuma Xiang (Hăidōng Shì)</v>
      </c>
      <c r="P47" s="13" t="str">
        <f t="shared" si="3"/>
        <v>Chuma Xiang (Hăidōng Shì)</v>
      </c>
    </row>
    <row r="48" spans="1:16" hidden="1" x14ac:dyDescent="0.25">
      <c r="A48" t="s">
        <v>563</v>
      </c>
      <c r="B48" t="str">
        <f t="shared" si="0"/>
        <v>Cuòzhōu Xiāng</v>
      </c>
      <c r="C48" t="str">
        <f t="shared" si="1"/>
        <v>Cuòzhōu Xiāng</v>
      </c>
      <c r="D48" t="s">
        <v>564</v>
      </c>
      <c r="E48" t="s">
        <v>7</v>
      </c>
      <c r="F48" t="str">
        <f>_xlfn.CONCAT(D48,", ",H48,", ",I48,", ","青海省")</f>
        <v>措周乡, 尖扎县, 黄南藏族自治州, 青海省</v>
      </c>
      <c r="G48">
        <v>4415</v>
      </c>
      <c r="H48" t="s">
        <v>919</v>
      </c>
      <c r="I48" t="s">
        <v>917</v>
      </c>
      <c r="J48" t="e">
        <f>VLOOKUP(F48,[1]!china_towns_second__2[[Column1]:[Y]],3,FALSE)</f>
        <v>#N/A</v>
      </c>
      <c r="K48" t="e">
        <f>VLOOKUP(F48,[1]!china_towns_second__2[[Column1]:[Y]],2,FALSE)</f>
        <v>#N/A</v>
      </c>
      <c r="L48" t="s">
        <v>1159</v>
      </c>
      <c r="M48" t="str">
        <f>VLOOKUP(H48,CHOOSE({1,2},Table9[Native],Table9[Name]),2,0)</f>
        <v>Jiānzhā Xiàn</v>
      </c>
      <c r="N48" s="13" t="str">
        <f>VLOOKUP(I48,CHOOSE({1,2},Table9[Native],Table9[Name]),2,0)</f>
        <v>Huángnán Zàngzú Zìzhìzhōu</v>
      </c>
      <c r="O48" s="13" t="str">
        <f t="shared" si="2"/>
        <v>Cuozhou Xiang (Huángnán Zàngzú Zìzhìzhōu)</v>
      </c>
      <c r="P48" s="13" t="str">
        <f t="shared" si="3"/>
        <v>Cuozhou Xiang (Huángnán Zàngzú Zìzhìzhōu)</v>
      </c>
    </row>
    <row r="49" spans="1:16" x14ac:dyDescent="0.25">
      <c r="A49" t="s">
        <v>646</v>
      </c>
      <c r="B49" t="str">
        <f t="shared" si="0"/>
        <v>Dàbăozi Zhèn</v>
      </c>
      <c r="C49" t="str">
        <f t="shared" si="1"/>
        <v>Dàbăozi Zhèn</v>
      </c>
      <c r="D49" t="s">
        <v>647</v>
      </c>
      <c r="E49" t="s">
        <v>19</v>
      </c>
      <c r="F49" t="str">
        <f>_xlfn.CONCAT(D49,", ",H49,", ",I49,", ","青海省")</f>
        <v>大堡子镇, 城北区, 西宁市, 青海省</v>
      </c>
      <c r="G49">
        <v>26049</v>
      </c>
      <c r="H49" t="s">
        <v>924</v>
      </c>
      <c r="I49" t="s">
        <v>923</v>
      </c>
      <c r="J49">
        <f>VLOOKUP(F49,[1]!china_towns_second__2[[Column1]:[Y]],3,FALSE)</f>
        <v>36.6726119327177</v>
      </c>
      <c r="K49">
        <f>VLOOKUP(F49,[1]!china_towns_second__2[[Column1]:[Y]],2,FALSE)</f>
        <v>101.6111827</v>
      </c>
      <c r="L49" t="s">
        <v>1160</v>
      </c>
      <c r="M49" t="str">
        <f>VLOOKUP(H49,CHOOSE({1,2},Table9[Native],Table9[Name]),2,0)</f>
        <v>Chéngbĕi Qū</v>
      </c>
      <c r="N49" s="13" t="str">
        <f>VLOOKUP(I49,CHOOSE({1,2},Table9[Native],Table9[Name]),2,0)</f>
        <v>Xīníng Shì</v>
      </c>
      <c r="O49" s="13" t="str">
        <f t="shared" si="2"/>
        <v>Dabaozi Zhen (Xīníng Shì)</v>
      </c>
      <c r="P49" s="13" t="str">
        <f t="shared" si="3"/>
        <v>Dabaozi Zhen (Xīníng Shì)</v>
      </c>
    </row>
    <row r="50" spans="1:16" hidden="1" x14ac:dyDescent="0.25">
      <c r="A50" t="s">
        <v>648</v>
      </c>
      <c r="B50" t="str">
        <f t="shared" si="0"/>
        <v>Dàcái Huízú Xiāng</v>
      </c>
      <c r="C50" t="str">
        <f t="shared" si="1"/>
        <v>Dàcái Huízú Xiāng</v>
      </c>
      <c r="D50" t="s">
        <v>649</v>
      </c>
      <c r="E50" t="s">
        <v>7</v>
      </c>
      <c r="F50" t="str">
        <f>_xlfn.CONCAT(D50,", ",H50,", ",I50,", ","青海省")</f>
        <v>大才回族乡, 湟中区, 西宁市, 青海省</v>
      </c>
      <c r="G50">
        <v>23577</v>
      </c>
      <c r="H50" t="s">
        <v>930</v>
      </c>
      <c r="I50" t="s">
        <v>923</v>
      </c>
      <c r="J50" t="e">
        <f>VLOOKUP(F50,[1]!china_towns_second__2[[Column1]:[Y]],3,FALSE)</f>
        <v>#N/A</v>
      </c>
      <c r="K50" t="e">
        <f>VLOOKUP(F50,[1]!china_towns_second__2[[Column1]:[Y]],2,FALSE)</f>
        <v>#N/A</v>
      </c>
      <c r="L50" t="s">
        <v>1161</v>
      </c>
      <c r="M50" t="str">
        <f>VLOOKUP(H50,CHOOSE({1,2},Table9[Native],Table9[Name]),2,0)</f>
        <v>Huángzhōng Qū</v>
      </c>
      <c r="N50" s="13" t="str">
        <f>VLOOKUP(I50,CHOOSE({1,2},Table9[Native],Table9[Name]),2,0)</f>
        <v>Xīníng Shì</v>
      </c>
      <c r="O50" s="13" t="str">
        <f t="shared" si="2"/>
        <v>Dacai Huizu Xiang (Xīníng Shì)</v>
      </c>
      <c r="P50" s="13" t="str">
        <f t="shared" si="3"/>
        <v>Dacai Huizu Xiang (Xīníng Shì)</v>
      </c>
    </row>
    <row r="51" spans="1:16" hidden="1" x14ac:dyDescent="0.25">
      <c r="A51" t="s">
        <v>473</v>
      </c>
      <c r="B51" t="str">
        <f t="shared" si="0"/>
        <v>Dàgélè Xiāng</v>
      </c>
      <c r="C51" t="str">
        <f t="shared" si="1"/>
        <v>Dàgélè Xiāng</v>
      </c>
      <c r="D51" t="s">
        <v>474</v>
      </c>
      <c r="E51" t="s">
        <v>7</v>
      </c>
      <c r="F51" t="str">
        <f>_xlfn.CONCAT(D51,", ",H51,", ",I51,", ","青海省")</f>
        <v>大格勒乡, 格尔木市, 海西蒙古族藏族自治州, 青海省</v>
      </c>
      <c r="G51">
        <v>2178</v>
      </c>
      <c r="H51" t="s">
        <v>912</v>
      </c>
      <c r="I51" t="s">
        <v>905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1162</v>
      </c>
      <c r="M51" t="str">
        <f>VLOOKUP(H51,CHOOSE({1,2},Table9[Native],Table9[Name]),2,0)</f>
        <v>Gé'ĕrmù Shì</v>
      </c>
      <c r="N51" s="13" t="str">
        <f>VLOOKUP(I51,CHOOSE({1,2},Table9[Native],Table9[Name]),2,0)</f>
        <v>Hăixī Mĕnggŭzú Zàngzú Zìzhìzhōu</v>
      </c>
      <c r="O51" s="13" t="str">
        <f t="shared" si="2"/>
        <v>Dagele Xiang (Hăixī Mĕnggŭzú Zàngzú Zìzhìzhōu)</v>
      </c>
      <c r="P51" s="13" t="str">
        <f t="shared" si="3"/>
        <v>Dagele Xiang (Hăixī Mĕnggŭzú Zàngzú Zìzhìzhōu)</v>
      </c>
    </row>
    <row r="52" spans="1:16" x14ac:dyDescent="0.25">
      <c r="A52" t="s">
        <v>651</v>
      </c>
      <c r="B52" t="str">
        <f t="shared" si="0"/>
        <v>Dàhuá Zhèn</v>
      </c>
      <c r="C52" t="str">
        <f t="shared" si="1"/>
        <v>Dàhuá Zhèn</v>
      </c>
      <c r="D52" t="s">
        <v>652</v>
      </c>
      <c r="E52" t="s">
        <v>19</v>
      </c>
      <c r="F52" t="str">
        <f>_xlfn.CONCAT(D52,", ",H52,", ",I52,", ","青海省")</f>
        <v>大华镇, 湟源县, 西宁市, 青海省</v>
      </c>
      <c r="G52">
        <v>20888</v>
      </c>
      <c r="H52" t="s">
        <v>929</v>
      </c>
      <c r="I52" t="s">
        <v>923</v>
      </c>
      <c r="J52">
        <f>VLOOKUP(F52,[1]!china_towns_second__2[[Column1]:[Y]],3,FALSE)</f>
        <v>36.6733577376583</v>
      </c>
      <c r="K52">
        <f>VLOOKUP(F52,[1]!china_towns_second__2[[Column1]:[Y]],2,FALSE)</f>
        <v>101.0730794</v>
      </c>
      <c r="L52" t="s">
        <v>1163</v>
      </c>
      <c r="M52" t="str">
        <f>VLOOKUP(H52,CHOOSE({1,2},Table9[Native],Table9[Name]),2,0)</f>
        <v>Huángyuán Xiàn</v>
      </c>
      <c r="N52" s="13" t="str">
        <f>VLOOKUP(I52,CHOOSE({1,2},Table9[Native],Table9[Name]),2,0)</f>
        <v>Xīníng Shì</v>
      </c>
      <c r="O52" s="13" t="str">
        <f t="shared" si="2"/>
        <v>Dahua Zhen (Xīníng Shì)</v>
      </c>
      <c r="P52" s="13" t="str">
        <f t="shared" si="3"/>
        <v>Dahua Zhen (Xīníng Shì)</v>
      </c>
    </row>
    <row r="53" spans="1:16" hidden="1" x14ac:dyDescent="0.25">
      <c r="A53" t="s">
        <v>9</v>
      </c>
      <c r="B53" t="str">
        <f t="shared" si="0"/>
        <v>Dákă Xiāng</v>
      </c>
      <c r="C53" t="str">
        <f t="shared" si="1"/>
        <v>Dákă Xiāng</v>
      </c>
      <c r="D53" t="s">
        <v>10</v>
      </c>
      <c r="E53" t="s">
        <v>7</v>
      </c>
      <c r="F53" t="str">
        <f>_xlfn.CONCAT(D53,", ",H53,", ",I53,", ","青海省")</f>
        <v>达卡乡, 班玛县, 果洛藏族自治州, 青海省</v>
      </c>
      <c r="G53">
        <v>2755</v>
      </c>
      <c r="H53" t="s">
        <v>873</v>
      </c>
      <c r="I53" t="s">
        <v>871</v>
      </c>
      <c r="J53" t="e">
        <f>VLOOKUP(F53,[1]!china_towns_second__2[[Column1]:[Y]],3,FALSE)</f>
        <v>#N/A</v>
      </c>
      <c r="K53" t="e">
        <f>VLOOKUP(F53,[1]!china_towns_second__2[[Column1]:[Y]],2,FALSE)</f>
        <v>#N/A</v>
      </c>
      <c r="L53" t="s">
        <v>1164</v>
      </c>
      <c r="M53" t="str">
        <f>VLOOKUP(H53,CHOOSE({1,2},Table9[Native],Table9[Name]),2,0)</f>
        <v>Bānmă Xiàn</v>
      </c>
      <c r="N53" s="13" t="str">
        <f>VLOOKUP(I53,CHOOSE({1,2},Table9[Native],Table9[Name]),2,0)</f>
        <v>Guŏluò Zàngzú Zìzhìzhōu</v>
      </c>
      <c r="O53" s="13" t="str">
        <f t="shared" si="2"/>
        <v>Daka Xiang (Guŏluò Zàngzú Zìzhìzhōu)</v>
      </c>
      <c r="P53" s="13" t="str">
        <f t="shared" si="3"/>
        <v>Daka Xiang (Guŏluò Zàngzú Zìzhìzhōu)</v>
      </c>
    </row>
    <row r="54" spans="1:16" hidden="1" x14ac:dyDescent="0.25">
      <c r="A54" t="s">
        <v>206</v>
      </c>
      <c r="B54" t="str">
        <f t="shared" si="0"/>
        <v>Dálā Xiāng</v>
      </c>
      <c r="C54" t="str">
        <f t="shared" si="1"/>
        <v>Dálā Xiāng</v>
      </c>
      <c r="D54" t="s">
        <v>207</v>
      </c>
      <c r="E54" t="s">
        <v>7</v>
      </c>
      <c r="F54" t="str">
        <f>_xlfn.CONCAT(D54,", ",H54,", ",I54,", ","青海省")</f>
        <v>达拉乡, 乐都区, 海东市, 青海省</v>
      </c>
      <c r="G54">
        <v>7309</v>
      </c>
      <c r="H54" t="s">
        <v>892</v>
      </c>
      <c r="I54" t="s">
        <v>888</v>
      </c>
      <c r="J54" t="e">
        <f>VLOOKUP(F54,[1]!china_towns_second__2[[Column1]:[Y]],3,FALSE)</f>
        <v>#N/A</v>
      </c>
      <c r="K54" t="e">
        <f>VLOOKUP(F54,[1]!china_towns_second__2[[Column1]:[Y]],2,FALSE)</f>
        <v>#N/A</v>
      </c>
      <c r="L54" t="s">
        <v>1165</v>
      </c>
      <c r="M54" t="str">
        <f>VLOOKUP(H54,CHOOSE({1,2},Table9[Native],Table9[Name]),2,0)</f>
        <v>Lèdū Qū</v>
      </c>
      <c r="N54" s="13" t="str">
        <f>VLOOKUP(I54,CHOOSE({1,2},Table9[Native],Table9[Name]),2,0)</f>
        <v>Hăidōng Shì</v>
      </c>
      <c r="O54" s="13" t="str">
        <f t="shared" si="2"/>
        <v>Dala Xiang (Hăidōng Shì)</v>
      </c>
      <c r="P54" s="13" t="str">
        <f t="shared" si="3"/>
        <v>Dala Xiang (Hăidōng Shì)</v>
      </c>
    </row>
    <row r="55" spans="1:16" hidden="1" x14ac:dyDescent="0.25">
      <c r="A55" t="s">
        <v>12</v>
      </c>
      <c r="B55" t="str">
        <f t="shared" si="0"/>
        <v>Dāngluò Xiāng</v>
      </c>
      <c r="C55" t="str">
        <f t="shared" si="1"/>
        <v>Dāngluò Xiāng</v>
      </c>
      <c r="D55" t="s">
        <v>13</v>
      </c>
      <c r="E55" t="s">
        <v>7</v>
      </c>
      <c r="F55" t="str">
        <f>_xlfn.CONCAT(D55,", ",H55,", ",I55,", ","青海省")</f>
        <v>当洛乡, 玛沁县, 果洛藏族自治州, 青海省</v>
      </c>
      <c r="G55">
        <v>3890</v>
      </c>
      <c r="H55" t="s">
        <v>878</v>
      </c>
      <c r="I55" t="s">
        <v>871</v>
      </c>
      <c r="J55" t="e">
        <f>VLOOKUP(F55,[1]!china_towns_second__2[[Column1]:[Y]],3,FALSE)</f>
        <v>#N/A</v>
      </c>
      <c r="K55" t="e">
        <f>VLOOKUP(F55,[1]!china_towns_second__2[[Column1]:[Y]],2,FALSE)</f>
        <v>#N/A</v>
      </c>
      <c r="L55" t="s">
        <v>1166</v>
      </c>
      <c r="M55" t="str">
        <f>VLOOKUP(H55,CHOOSE({1,2},Table9[Native],Table9[Name]),2,0)</f>
        <v>Măqìn Xiàn</v>
      </c>
      <c r="N55" s="13" t="str">
        <f>VLOOKUP(I55,CHOOSE({1,2},Table9[Native],Table9[Name]),2,0)</f>
        <v>Guŏluò Zàngzú Zìzhìzhōu</v>
      </c>
      <c r="O55" s="13" t="str">
        <f t="shared" si="2"/>
        <v>Dangluo Xiang (Guŏluò Zàngzú Zìzhìzhōu)</v>
      </c>
      <c r="P55" s="13" t="str">
        <f t="shared" si="3"/>
        <v>Dangluo Xiang (Guŏluò Zàngzú Zìzhìzhōu)</v>
      </c>
    </row>
    <row r="56" spans="1:16" hidden="1" x14ac:dyDescent="0.25">
      <c r="A56" t="s">
        <v>565</v>
      </c>
      <c r="B56" t="str">
        <f t="shared" si="0"/>
        <v>Dāngshùn Xiāng</v>
      </c>
      <c r="C56" t="str">
        <f t="shared" si="1"/>
        <v>Dāngshùn Xiāng</v>
      </c>
      <c r="D56" t="s">
        <v>566</v>
      </c>
      <c r="E56" t="s">
        <v>7</v>
      </c>
      <c r="F56" t="str">
        <f>_xlfn.CONCAT(D56,", ",H56,", ",I56,", ","青海省")</f>
        <v>当顺乡, 尖扎县, 黄南藏族自治州, 青海省</v>
      </c>
      <c r="G56">
        <v>1878</v>
      </c>
      <c r="H56" t="s">
        <v>919</v>
      </c>
      <c r="I56" t="s">
        <v>917</v>
      </c>
      <c r="J56" t="e">
        <f>VLOOKUP(F56,[1]!china_towns_second__2[[Column1]:[Y]],3,FALSE)</f>
        <v>#N/A</v>
      </c>
      <c r="K56" t="e">
        <f>VLOOKUP(F56,[1]!china_towns_second__2[[Column1]:[Y]],2,FALSE)</f>
        <v>#N/A</v>
      </c>
      <c r="L56" t="s">
        <v>1167</v>
      </c>
      <c r="M56" t="str">
        <f>VLOOKUP(H56,CHOOSE({1,2},Table9[Native],Table9[Name]),2,0)</f>
        <v>Jiānzhā Xiàn</v>
      </c>
      <c r="N56" s="13" t="str">
        <f>VLOOKUP(I56,CHOOSE({1,2},Table9[Native],Table9[Name]),2,0)</f>
        <v>Huángnán Zàngzú Zìzhìzhōu</v>
      </c>
      <c r="O56" s="13" t="str">
        <f t="shared" si="2"/>
        <v>Dangshun Xiang (Huángnán Zàngzú Zìzhìzhōu)</v>
      </c>
      <c r="P56" s="13" t="str">
        <f t="shared" si="3"/>
        <v>Dangshun Xiang (Huángnán Zàngzú Zìzhìzhōu)</v>
      </c>
    </row>
    <row r="57" spans="1:16" x14ac:dyDescent="0.25">
      <c r="A57" t="s">
        <v>208</v>
      </c>
      <c r="B57" t="str">
        <f t="shared" si="0"/>
        <v>Dānmá Zhèn</v>
      </c>
      <c r="C57" t="str">
        <f t="shared" si="1"/>
        <v>Dānmá Zhèn</v>
      </c>
      <c r="D57" t="s">
        <v>209</v>
      </c>
      <c r="E57" t="s">
        <v>19</v>
      </c>
      <c r="F57" t="str">
        <f>_xlfn.CONCAT(D57,", ",H57,", ",I57,", ","青海省")</f>
        <v>丹麻镇, 互助土族自治县, 海东市, 青海省</v>
      </c>
      <c r="G57">
        <v>19174</v>
      </c>
      <c r="H57" t="s">
        <v>890</v>
      </c>
      <c r="I57" t="s">
        <v>888</v>
      </c>
      <c r="J57">
        <f>VLOOKUP(F57,[1]!china_towns_second__2[[Column1]:[Y]],3,FALSE)</f>
        <v>36.809516861377602</v>
      </c>
      <c r="K57">
        <f>VLOOKUP(F57,[1]!china_towns_second__2[[Column1]:[Y]],2,FALSE)</f>
        <v>102.1202833</v>
      </c>
      <c r="L57" t="s">
        <v>1168</v>
      </c>
      <c r="M57" t="str">
        <f>VLOOKUP(H57,CHOOSE({1,2},Table9[Native],Table9[Name]),2,0)</f>
        <v>Hùzhù Tŭzú Zìzhìxiàn</v>
      </c>
      <c r="N57" s="13" t="str">
        <f>VLOOKUP(I57,CHOOSE({1,2},Table9[Native],Table9[Name]),2,0)</f>
        <v>Hăidōng Shì</v>
      </c>
      <c r="O57" s="13" t="str">
        <f t="shared" si="2"/>
        <v>Danma Zhen (Hăidōng Shì)</v>
      </c>
      <c r="P57" s="13" t="str">
        <f t="shared" si="3"/>
        <v>Danma Zhen (Hăidōng Shì)</v>
      </c>
    </row>
    <row r="58" spans="1:16" x14ac:dyDescent="0.25">
      <c r="A58" t="s">
        <v>381</v>
      </c>
      <c r="B58" t="str">
        <f t="shared" si="0"/>
        <v>Dăotănghé Zhèn</v>
      </c>
      <c r="C58" t="str">
        <f t="shared" si="1"/>
        <v>Dăotănghé Zhèn</v>
      </c>
      <c r="D58" t="s">
        <v>382</v>
      </c>
      <c r="E58" t="s">
        <v>19</v>
      </c>
      <c r="F58" t="str">
        <f>_xlfn.CONCAT(D58,", ",H58,", ",I58,", ","青海省")</f>
        <v>倒淌河镇, 共和县, 海南藏族自治州, 青海省</v>
      </c>
      <c r="G58">
        <v>10437</v>
      </c>
      <c r="H58" t="s">
        <v>898</v>
      </c>
      <c r="I58" t="s">
        <v>897</v>
      </c>
      <c r="J58">
        <f>VLOOKUP(F58,[1]!china_towns_second__2[[Column1]:[Y]],3,FALSE)</f>
        <v>36.440972879698798</v>
      </c>
      <c r="K58">
        <f>VLOOKUP(F58,[1]!china_towns_second__2[[Column1]:[Y]],2,FALSE)</f>
        <v>100.8959207</v>
      </c>
      <c r="L58" t="s">
        <v>1169</v>
      </c>
      <c r="M58" t="str">
        <f>VLOOKUP(H58,CHOOSE({1,2},Table9[Native],Table9[Name]),2,0)</f>
        <v>Gònghé Xiàn</v>
      </c>
      <c r="N58" s="13" t="str">
        <f>VLOOKUP(I58,CHOOSE({1,2},Table9[Native],Table9[Name]),2,0)</f>
        <v>Hăinán Zàngzú Zìzhìzhōu</v>
      </c>
      <c r="O58" s="13" t="str">
        <f t="shared" si="2"/>
        <v>Daotanghe Zhen (Hăinán Zàngzú Zìzhìzhōu)</v>
      </c>
      <c r="P58" s="13" t="str">
        <f t="shared" si="3"/>
        <v>Daotanghe Zhen (Hăinán Zàngzú Zìzhìzhōu)</v>
      </c>
    </row>
    <row r="59" spans="1:16" hidden="1" x14ac:dyDescent="0.25">
      <c r="A59" t="s">
        <v>210</v>
      </c>
      <c r="B59" t="str">
        <f t="shared" si="0"/>
        <v>Dàowéi Zàngzú Xiāng</v>
      </c>
      <c r="C59" t="str">
        <f t="shared" si="1"/>
        <v>Dàowéi Zàngzú Xiāng</v>
      </c>
      <c r="D59" t="s">
        <v>211</v>
      </c>
      <c r="E59" t="s">
        <v>7</v>
      </c>
      <c r="F59" t="str">
        <f>_xlfn.CONCAT(D59,", ",H59,", ",I59,", ","青海省")</f>
        <v>道帏藏族乡, 循化撒拉族自治县, 海东市, 青海省</v>
      </c>
      <c r="G59">
        <v>11635</v>
      </c>
      <c r="H59" t="s">
        <v>895</v>
      </c>
      <c r="I59" t="s">
        <v>888</v>
      </c>
      <c r="J59" t="e">
        <f>VLOOKUP(F59,[1]!china_towns_second__2[[Column1]:[Y]],3,FALSE)</f>
        <v>#N/A</v>
      </c>
      <c r="K59" t="e">
        <f>VLOOKUP(F59,[1]!china_towns_second__2[[Column1]:[Y]],2,FALSE)</f>
        <v>#N/A</v>
      </c>
      <c r="L59" t="s">
        <v>1170</v>
      </c>
      <c r="M59" t="str">
        <f>VLOOKUP(H59,CHOOSE({1,2},Table9[Native],Table9[Name]),2,0)</f>
        <v>Xúnhuà Sālāzú Zìzhìxiàn</v>
      </c>
      <c r="N59" s="13" t="str">
        <f>VLOOKUP(I59,CHOOSE({1,2},Table9[Native],Table9[Name]),2,0)</f>
        <v>Hăidōng Shì</v>
      </c>
      <c r="O59" s="13" t="str">
        <f t="shared" si="2"/>
        <v>Daowei Zangzu Xiang (Hăidōng Shì)</v>
      </c>
      <c r="P59" s="13" t="str">
        <f t="shared" si="3"/>
        <v>Daowei Zangzu Xiang (Hăidōng Shì)</v>
      </c>
    </row>
    <row r="60" spans="1:16" hidden="1" x14ac:dyDescent="0.25">
      <c r="A60" t="s">
        <v>15</v>
      </c>
      <c r="B60" t="str">
        <f t="shared" si="0"/>
        <v>Dàwŭ Xiāng</v>
      </c>
      <c r="C60" t="str">
        <f t="shared" si="1"/>
        <v>Dàwŭ Xiāng</v>
      </c>
      <c r="D60" t="s">
        <v>16</v>
      </c>
      <c r="E60" t="s">
        <v>7</v>
      </c>
      <c r="F60" t="str">
        <f>_xlfn.CONCAT(D60,", ",H60,", ",I60,", ","青海省")</f>
        <v>大武乡, 玛沁县, 果洛藏族自治州, 青海省</v>
      </c>
      <c r="G60">
        <v>5148</v>
      </c>
      <c r="H60" t="s">
        <v>878</v>
      </c>
      <c r="I60" t="s">
        <v>871</v>
      </c>
      <c r="J60" t="e">
        <f>VLOOKUP(F60,[1]!china_towns_second__2[[Column1]:[Y]],3,FALSE)</f>
        <v>#N/A</v>
      </c>
      <c r="K60" t="e">
        <f>VLOOKUP(F60,[1]!china_towns_second__2[[Column1]:[Y]],2,FALSE)</f>
        <v>#N/A</v>
      </c>
      <c r="L60" t="s">
        <v>1171</v>
      </c>
      <c r="M60" t="str">
        <f>VLOOKUP(H60,CHOOSE({1,2},Table9[Native],Table9[Name]),2,0)</f>
        <v>Măqìn Xiàn</v>
      </c>
      <c r="N60" s="13" t="str">
        <f>VLOOKUP(I60,CHOOSE({1,2},Table9[Native],Table9[Name]),2,0)</f>
        <v>Guŏluò Zàngzú Zìzhìzhōu</v>
      </c>
      <c r="O60" s="13" t="str">
        <f t="shared" si="2"/>
        <v>Dawu Xiang (Guŏluò Zàngzú Zìzhìzhōu)</v>
      </c>
      <c r="P60" s="13" t="str">
        <f t="shared" si="3"/>
        <v>Dawu Xiang (Guŏluò Zàngzú Zìzhìzhōu)</v>
      </c>
    </row>
    <row r="61" spans="1:16" x14ac:dyDescent="0.25">
      <c r="A61" t="s">
        <v>17</v>
      </c>
      <c r="B61" t="str">
        <f t="shared" si="0"/>
        <v>Dàwŭ Zhèn</v>
      </c>
      <c r="C61" t="str">
        <f t="shared" si="1"/>
        <v>Dàwŭ Zhèn</v>
      </c>
      <c r="D61" t="s">
        <v>18</v>
      </c>
      <c r="E61" t="s">
        <v>19</v>
      </c>
      <c r="F61" t="str">
        <f>_xlfn.CONCAT(D61,", ",H61,", ",I61,", ","青海省")</f>
        <v>大武镇, 玛沁县, 果洛藏族自治州, 青海省</v>
      </c>
      <c r="G61">
        <v>21612</v>
      </c>
      <c r="H61" t="s">
        <v>878</v>
      </c>
      <c r="I61" t="s">
        <v>871</v>
      </c>
      <c r="J61">
        <f>VLOOKUP(F61,[1]!china_towns_second__2[[Column1]:[Y]],3,FALSE)</f>
        <v>34.500988924974301</v>
      </c>
      <c r="K61">
        <f>VLOOKUP(F61,[1]!china_towns_second__2[[Column1]:[Y]],2,FALSE)</f>
        <v>99.961918960000006</v>
      </c>
      <c r="L61" t="s">
        <v>1172</v>
      </c>
      <c r="M61" t="str">
        <f>VLOOKUP(H61,CHOOSE({1,2},Table9[Native],Table9[Name]),2,0)</f>
        <v>Măqìn Xiàn</v>
      </c>
      <c r="N61" s="13" t="str">
        <f>VLOOKUP(I61,CHOOSE({1,2},Table9[Native],Table9[Name]),2,0)</f>
        <v>Guŏluò Zàngzú Zìzhìzhōu</v>
      </c>
      <c r="O61" s="13" t="str">
        <f t="shared" si="2"/>
        <v>Dawu Zhen (Guŏluò Zàngzú Zìzhìzhōu)</v>
      </c>
      <c r="P61" s="13" t="str">
        <f t="shared" si="3"/>
        <v>Dawu Zhen (Guŏluò Zàngzú Zìzhìzhōu)</v>
      </c>
    </row>
    <row r="62" spans="1:16" hidden="1" x14ac:dyDescent="0.25">
      <c r="A62" t="s">
        <v>653</v>
      </c>
      <c r="B62" t="str">
        <f t="shared" si="0"/>
        <v>Dàzhòngjiē Jiēdào</v>
      </c>
      <c r="C62" t="str">
        <f t="shared" si="1"/>
        <v>Dàzhòngjiē Jiēdào</v>
      </c>
      <c r="D62" t="s">
        <v>654</v>
      </c>
      <c r="E62" t="s">
        <v>488</v>
      </c>
      <c r="F62" t="str">
        <f>_xlfn.CONCAT(D62,", ",H62,", ",I62,", ","青海省")</f>
        <v>大众街街道, 城东区, 西宁市, 青海省</v>
      </c>
      <c r="G62">
        <v>46179</v>
      </c>
      <c r="H62" t="s">
        <v>925</v>
      </c>
      <c r="I62" t="s">
        <v>923</v>
      </c>
      <c r="J62">
        <f>VLOOKUP(F62,[1]!china_towns_second__2[[Column1]:[Y]],3,FALSE)</f>
        <v>36.596797913185902</v>
      </c>
      <c r="K62">
        <f>VLOOKUP(F62,[1]!china_towns_second__2[[Column1]:[Y]],2,FALSE)</f>
        <v>101.79567729999999</v>
      </c>
      <c r="L62" t="s">
        <v>1173</v>
      </c>
      <c r="M62" t="str">
        <f>VLOOKUP(H62,CHOOSE({1,2},Table9[Native],Table9[Name]),2,0)</f>
        <v>Chéngdōng Qū</v>
      </c>
      <c r="N62" s="13" t="str">
        <f>VLOOKUP(I62,CHOOSE({1,2},Table9[Native],Table9[Name]),2,0)</f>
        <v>Xīníng Shì</v>
      </c>
      <c r="O62" s="13" t="str">
        <f t="shared" si="2"/>
        <v>Dazhongjie Jiedao (Xīníng Shì)</v>
      </c>
      <c r="P62" s="13" t="str">
        <f t="shared" si="3"/>
        <v>Dazhongjie Jiedao (Xīníng Shì)</v>
      </c>
    </row>
    <row r="63" spans="1:16" hidden="1" x14ac:dyDescent="0.25">
      <c r="A63" t="s">
        <v>212</v>
      </c>
      <c r="B63" t="str">
        <f t="shared" si="0"/>
        <v>Dàzhuāng Xiāng</v>
      </c>
      <c r="C63" t="str">
        <f t="shared" si="1"/>
        <v>Dàzhuāng Xiāng</v>
      </c>
      <c r="D63" t="s">
        <v>213</v>
      </c>
      <c r="E63" t="s">
        <v>7</v>
      </c>
      <c r="F63" t="str">
        <f>_xlfn.CONCAT(D63,", ",H63,", ",I63,", ","青海省")</f>
        <v>大庄乡, 民和回族土族自治县, 海东市, 青海省</v>
      </c>
      <c r="G63">
        <v>10404</v>
      </c>
      <c r="H63" t="s">
        <v>893</v>
      </c>
      <c r="I63" t="s">
        <v>888</v>
      </c>
      <c r="J63" t="e">
        <f>VLOOKUP(F63,[1]!china_towns_second__2[[Column1]:[Y]],3,FALSE)</f>
        <v>#N/A</v>
      </c>
      <c r="K63" t="e">
        <f>VLOOKUP(F63,[1]!china_towns_second__2[[Column1]:[Y]],2,FALSE)</f>
        <v>#N/A</v>
      </c>
      <c r="L63" t="s">
        <v>1174</v>
      </c>
      <c r="M63" t="str">
        <f>VLOOKUP(H63,CHOOSE({1,2},Table9[Native],Table9[Name]),2,0)</f>
        <v>Mínhé Huízú Tŭzú Zìzhìxiàn</v>
      </c>
      <c r="N63" s="13" t="str">
        <f>VLOOKUP(I63,CHOOSE({1,2},Table9[Native],Table9[Name]),2,0)</f>
        <v>Hăidōng Shì</v>
      </c>
      <c r="O63" s="13" t="str">
        <f t="shared" si="2"/>
        <v>Dazhuang Xiang (Hăidōng Shì)</v>
      </c>
      <c r="P63" s="13" t="str">
        <f t="shared" si="3"/>
        <v>Dazhuang Xiang (Hăidōng Shì)</v>
      </c>
    </row>
    <row r="64" spans="1:16" hidden="1" x14ac:dyDescent="0.25">
      <c r="A64" t="s">
        <v>20</v>
      </c>
      <c r="B64" t="str">
        <f t="shared" si="0"/>
        <v>Dé'áng Xiāng</v>
      </c>
      <c r="C64" t="str">
        <f t="shared" si="1"/>
        <v>Dé'áng Xiāng</v>
      </c>
      <c r="D64" t="s">
        <v>21</v>
      </c>
      <c r="E64" t="s">
        <v>7</v>
      </c>
      <c r="F64" t="str">
        <f>_xlfn.CONCAT(D64,", ",H64,", ",I64,", ","青海省")</f>
        <v>德昂乡, 达日县, 果洛藏族自治州, 青海省</v>
      </c>
      <c r="G64">
        <v>2720</v>
      </c>
      <c r="H64" t="s">
        <v>874</v>
      </c>
      <c r="I64" t="s">
        <v>871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1175</v>
      </c>
      <c r="M64" t="str">
        <f>VLOOKUP(H64,CHOOSE({1,2},Table9[Native],Table9[Name]),2,0)</f>
        <v>Dárì Xiàn</v>
      </c>
      <c r="N64" s="13" t="str">
        <f>VLOOKUP(I64,CHOOSE({1,2},Table9[Native],Table9[Name]),2,0)</f>
        <v>Guŏluò Zàngzú Zìzhìzhōu</v>
      </c>
      <c r="O64" s="13" t="str">
        <f t="shared" si="2"/>
        <v>De'ang Xiang (Guŏluò Zàngzú Zìzhìzhōu)</v>
      </c>
      <c r="P64" s="13" t="str">
        <f t="shared" si="3"/>
        <v>De'ang Xiang (Guŏluò Zàngzú Zìzhìzhōu)</v>
      </c>
    </row>
    <row r="65" spans="1:16" hidden="1" x14ac:dyDescent="0.25">
      <c r="A65" t="s">
        <v>214</v>
      </c>
      <c r="B65" t="str">
        <f t="shared" si="0"/>
        <v>Déhénglóng Xiāng</v>
      </c>
      <c r="C65" t="str">
        <f t="shared" si="1"/>
        <v>Déhénglóng Xiāng</v>
      </c>
      <c r="D65" t="s">
        <v>215</v>
      </c>
      <c r="E65" t="s">
        <v>7</v>
      </c>
      <c r="F65" t="str">
        <f>_xlfn.CONCAT(D65,", ",H65,", ",I65,", ","青海省")</f>
        <v>德恒隆乡, 化隆回族自治县, 海东市, 青海省</v>
      </c>
      <c r="G65">
        <v>9699</v>
      </c>
      <c r="H65" t="s">
        <v>889</v>
      </c>
      <c r="I65" t="s">
        <v>888</v>
      </c>
      <c r="J65" t="e">
        <f>VLOOKUP(F65,[1]!china_towns_second__2[[Column1]:[Y]],3,FALSE)</f>
        <v>#N/A</v>
      </c>
      <c r="K65" t="e">
        <f>VLOOKUP(F65,[1]!china_towns_second__2[[Column1]:[Y]],2,FALSE)</f>
        <v>#N/A</v>
      </c>
      <c r="L65" t="s">
        <v>1176</v>
      </c>
      <c r="M65" t="str">
        <f>VLOOKUP(H65,CHOOSE({1,2},Table9[Native],Table9[Name]),2,0)</f>
        <v>Huàlóng Huízú Zìzhìxiàn</v>
      </c>
      <c r="N65" s="13" t="str">
        <f>VLOOKUP(I65,CHOOSE({1,2},Table9[Native],Table9[Name]),2,0)</f>
        <v>Hăidōng Shì</v>
      </c>
      <c r="O65" s="13" t="str">
        <f t="shared" si="2"/>
        <v>Dehenglong Xiang (Hăidōng Shì)</v>
      </c>
      <c r="P65" s="13" t="str">
        <f t="shared" si="3"/>
        <v>Dehenglong Xiang (Hăidōng Shì)</v>
      </c>
    </row>
    <row r="66" spans="1:16" hidden="1" x14ac:dyDescent="0.25">
      <c r="A66" t="s">
        <v>23</v>
      </c>
      <c r="B66" t="str">
        <f t="shared" ref="B66:B129" si="4">IF(COUNTIF(A:A,A66)&gt;1,_xlfn.CONCAT(A66," (",N66,")"),A66)</f>
        <v>Dēngtă Xiāng</v>
      </c>
      <c r="C66" t="str">
        <f t="shared" ref="C66:C129" si="5">IF(COUNTIF(B:B,B66)&gt;1,_xlfn.CONCAT(A66," (",M66,")"),B66)</f>
        <v>Dēngtă Xiāng</v>
      </c>
      <c r="D66" t="s">
        <v>24</v>
      </c>
      <c r="E66" t="s">
        <v>7</v>
      </c>
      <c r="F66" t="str">
        <f>_xlfn.CONCAT(D66,", ",H66,", ",I66,", ","青海省")</f>
        <v>灯塔乡, 班玛县, 果洛藏族自治州, 青海省</v>
      </c>
      <c r="G66">
        <v>3537</v>
      </c>
      <c r="H66" t="s">
        <v>873</v>
      </c>
      <c r="I66" t="s">
        <v>871</v>
      </c>
      <c r="J66" t="e">
        <f>VLOOKUP(F66,[1]!china_towns_second__2[[Column1]:[Y]],3,FALSE)</f>
        <v>#N/A</v>
      </c>
      <c r="K66" t="e">
        <f>VLOOKUP(F66,[1]!china_towns_second__2[[Column1]:[Y]],2,FALSE)</f>
        <v>#N/A</v>
      </c>
      <c r="L66" t="s">
        <v>1177</v>
      </c>
      <c r="M66" t="str">
        <f>VLOOKUP(H66,CHOOSE({1,2},Table9[Native],Table9[Name]),2,0)</f>
        <v>Bānmă Xiàn</v>
      </c>
      <c r="N66" s="13" t="str">
        <f>VLOOKUP(I66,CHOOSE({1,2},Table9[Native],Table9[Name]),2,0)</f>
        <v>Guŏluò Zàngzú Zìzhìzhōu</v>
      </c>
      <c r="O66" s="13" t="str">
        <f t="shared" ref="O66:O129" si="6">_xlfn.CONCAT(L66," (",N66,")")</f>
        <v>Dengta Xiang (Guŏluò Zàngzú Zìzhìzhōu)</v>
      </c>
      <c r="P66" s="13" t="str">
        <f t="shared" ref="P66:P129" si="7">IF(COUNTIF(O:O,O66)&gt;1,_xlfn.CONCAT(L66," (",M66,")"),O66)</f>
        <v>Dengta Xiang (Guŏluò Zàngzú Zìzhìzhōu)</v>
      </c>
    </row>
    <row r="67" spans="1:16" hidden="1" x14ac:dyDescent="0.25">
      <c r="A67" t="s">
        <v>793</v>
      </c>
      <c r="B67" t="str">
        <f t="shared" si="4"/>
        <v>Dōngbà Xiāng</v>
      </c>
      <c r="C67" t="str">
        <f t="shared" si="5"/>
        <v>Dōngbà Xiāng</v>
      </c>
      <c r="D67" t="s">
        <v>794</v>
      </c>
      <c r="E67" t="s">
        <v>7</v>
      </c>
      <c r="F67" t="str">
        <f>_xlfn.CONCAT(D67,", ",H67,", ",I67,", ","青海省")</f>
        <v>东坝乡, 囊谦县, 玉树藏族自治州, 青海省</v>
      </c>
      <c r="G67">
        <v>6852</v>
      </c>
      <c r="H67" t="s">
        <v>934</v>
      </c>
      <c r="I67" t="s">
        <v>932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1178</v>
      </c>
      <c r="M67" t="str">
        <f>VLOOKUP(H67,CHOOSE({1,2},Table9[Native],Table9[Name]),2,0)</f>
        <v>Nángqiān Xiàn</v>
      </c>
      <c r="N67" s="13" t="str">
        <f>VLOOKUP(I67,CHOOSE({1,2},Table9[Native],Table9[Name]),2,0)</f>
        <v>Yùshù Zàngzú Zìzhìzhōu</v>
      </c>
      <c r="O67" s="13" t="str">
        <f t="shared" si="6"/>
        <v>Dongba Xiang (Yùshù Zàngzú Zìzhìzhōu)</v>
      </c>
      <c r="P67" s="13" t="str">
        <f t="shared" si="7"/>
        <v>Dongba Xiang (Yùshù Zàngzú Zìzhìzhōu)</v>
      </c>
    </row>
    <row r="68" spans="1:16" x14ac:dyDescent="0.25">
      <c r="A68" t="s">
        <v>109</v>
      </c>
      <c r="B68" t="str">
        <f t="shared" si="4"/>
        <v>Dōngchuān Zhèn</v>
      </c>
      <c r="C68" t="str">
        <f t="shared" si="5"/>
        <v>Dōngchuān Zhèn</v>
      </c>
      <c r="D68" t="s">
        <v>110</v>
      </c>
      <c r="E68" t="s">
        <v>19</v>
      </c>
      <c r="F68" t="str">
        <f>_xlfn.CONCAT(D68,", ",H68,", ",I68,", ","青海省")</f>
        <v>东川镇, 门源回族自治县, 海北藏族自治州, 青海省</v>
      </c>
      <c r="G68">
        <v>17982</v>
      </c>
      <c r="H68" t="s">
        <v>884</v>
      </c>
      <c r="I68" t="s">
        <v>880</v>
      </c>
      <c r="J68">
        <f>VLOOKUP(F68,[1]!china_towns_second__2[[Column1]:[Y]],3,FALSE)</f>
        <v>37.293918138181198</v>
      </c>
      <c r="K68">
        <f>VLOOKUP(F68,[1]!china_towns_second__2[[Column1]:[Y]],2,FALSE)</f>
        <v>101.9018698</v>
      </c>
      <c r="L68" t="s">
        <v>1179</v>
      </c>
      <c r="M68" t="str">
        <f>VLOOKUP(H68,CHOOSE({1,2},Table9[Native],Table9[Name]),2,0)</f>
        <v>Ményuán Huízú Zìzhìxiàn</v>
      </c>
      <c r="N68" s="13" t="str">
        <f>VLOOKUP(I68,CHOOSE({1,2},Table9[Native],Table9[Name]),2,0)</f>
        <v>Hăibĕi Zàngzú Zìzhìzhōu</v>
      </c>
      <c r="O68" s="13" t="str">
        <f t="shared" si="6"/>
        <v>Dongchuan Zhen (Hăibĕi Zàngzú Zìzhìzhōu)</v>
      </c>
      <c r="P68" s="13" t="str">
        <f t="shared" si="7"/>
        <v>Dongchuan Zhen (Hăibĕi Zàngzú Zìzhìzhōu)</v>
      </c>
    </row>
    <row r="69" spans="1:16" hidden="1" x14ac:dyDescent="0.25">
      <c r="A69" t="s">
        <v>216</v>
      </c>
      <c r="B69" t="str">
        <f t="shared" si="4"/>
        <v>Dōnggōu Xiāng</v>
      </c>
      <c r="C69" t="str">
        <f t="shared" si="5"/>
        <v>Dōnggōu Xiāng</v>
      </c>
      <c r="D69" t="s">
        <v>217</v>
      </c>
      <c r="E69" t="s">
        <v>7</v>
      </c>
      <c r="F69" t="str">
        <f>_xlfn.CONCAT(D69,", ",H69,", ",I69,", ","青海省")</f>
        <v>东沟乡, 互助土族自治县, 海东市, 青海省</v>
      </c>
      <c r="G69">
        <v>20075</v>
      </c>
      <c r="H69" t="s">
        <v>890</v>
      </c>
      <c r="I69" t="s">
        <v>888</v>
      </c>
      <c r="J69" t="e">
        <f>VLOOKUP(F69,[1]!china_towns_second__2[[Column1]:[Y]],3,FALSE)</f>
        <v>#N/A</v>
      </c>
      <c r="K69" t="e">
        <f>VLOOKUP(F69,[1]!china_towns_second__2[[Column1]:[Y]],2,FALSE)</f>
        <v>#N/A</v>
      </c>
      <c r="L69" t="s">
        <v>1180</v>
      </c>
      <c r="M69" t="str">
        <f>VLOOKUP(H69,CHOOSE({1,2},Table9[Native],Table9[Name]),2,0)</f>
        <v>Hùzhù Tŭzú Zìzhìxiàn</v>
      </c>
      <c r="N69" s="13" t="str">
        <f>VLOOKUP(I69,CHOOSE({1,2},Table9[Native],Table9[Name]),2,0)</f>
        <v>Hăidōng Shì</v>
      </c>
      <c r="O69" s="13" t="str">
        <f t="shared" si="6"/>
        <v>Donggou Xiang (Hăidōng Shì)</v>
      </c>
      <c r="P69" s="13" t="str">
        <f t="shared" si="7"/>
        <v>Donggou Xiang (Hăidōng Shì)</v>
      </c>
    </row>
    <row r="70" spans="1:16" hidden="1" x14ac:dyDescent="0.25">
      <c r="A70" t="s">
        <v>655</v>
      </c>
      <c r="B70" t="str">
        <f t="shared" si="4"/>
        <v>Dōngguān Dàjiē Jiēdào</v>
      </c>
      <c r="C70" t="str">
        <f t="shared" si="5"/>
        <v>Dōngguān Dàjiē Jiēdào</v>
      </c>
      <c r="D70" t="s">
        <v>656</v>
      </c>
      <c r="E70" t="s">
        <v>488</v>
      </c>
      <c r="F70" t="str">
        <f>_xlfn.CONCAT(D70,", ",H70,", ",I70,", ","青海省")</f>
        <v>东关大街街道, 城东区, 西宁市, 青海省</v>
      </c>
      <c r="G70">
        <v>31894</v>
      </c>
      <c r="H70" t="s">
        <v>925</v>
      </c>
      <c r="I70" t="s">
        <v>923</v>
      </c>
      <c r="J70">
        <f>VLOOKUP(F70,[1]!china_towns_second__2[[Column1]:[Y]],3,FALSE)</f>
        <v>36.6210561645455</v>
      </c>
      <c r="K70">
        <f>VLOOKUP(F70,[1]!china_towns_second__2[[Column1]:[Y]],2,FALSE)</f>
        <v>101.79731990000001</v>
      </c>
      <c r="L70" t="s">
        <v>1181</v>
      </c>
      <c r="M70" t="str">
        <f>VLOOKUP(H70,CHOOSE({1,2},Table9[Native],Table9[Name]),2,0)</f>
        <v>Chéngdōng Qū</v>
      </c>
      <c r="N70" s="13" t="str">
        <f>VLOOKUP(I70,CHOOSE({1,2},Table9[Native],Table9[Name]),2,0)</f>
        <v>Xīníng Shì</v>
      </c>
      <c r="O70" s="13" t="str">
        <f t="shared" si="6"/>
        <v>Dongguan Dajie Jiedao (Xīníng Shì)</v>
      </c>
      <c r="P70" s="13" t="str">
        <f t="shared" si="7"/>
        <v>Dongguan Dajie Jiedao (Xīníng Shì)</v>
      </c>
    </row>
    <row r="71" spans="1:16" hidden="1" x14ac:dyDescent="0.25">
      <c r="A71" t="s">
        <v>218</v>
      </c>
      <c r="B71" t="str">
        <f t="shared" si="4"/>
        <v>Dōnghé Xiāng</v>
      </c>
      <c r="C71" t="str">
        <f t="shared" si="5"/>
        <v>Dōnghé Xiāng</v>
      </c>
      <c r="D71" t="s">
        <v>219</v>
      </c>
      <c r="E71" t="s">
        <v>7</v>
      </c>
      <c r="F71" t="str">
        <f>_xlfn.CONCAT(D71,", ",H71,", ",I71,", ","青海省")</f>
        <v>东和乡, 互助土族自治县, 海东市, 青海省</v>
      </c>
      <c r="G71">
        <v>16337</v>
      </c>
      <c r="H71" t="s">
        <v>890</v>
      </c>
      <c r="I71" t="s">
        <v>888</v>
      </c>
      <c r="J71" t="e">
        <f>VLOOKUP(F71,[1]!china_towns_second__2[[Column1]:[Y]],3,FALSE)</f>
        <v>#N/A</v>
      </c>
      <c r="K71" t="e">
        <f>VLOOKUP(F71,[1]!china_towns_second__2[[Column1]:[Y]],2,FALSE)</f>
        <v>#N/A</v>
      </c>
      <c r="L71" t="s">
        <v>1182</v>
      </c>
      <c r="M71" t="str">
        <f>VLOOKUP(H71,CHOOSE({1,2},Table9[Native],Table9[Name]),2,0)</f>
        <v>Hùzhù Tŭzú Zìzhìxiàn</v>
      </c>
      <c r="N71" s="13" t="str">
        <f>VLOOKUP(I71,CHOOSE({1,2},Table9[Native],Table9[Name]),2,0)</f>
        <v>Hăidōng Shì</v>
      </c>
      <c r="O71" s="13" t="str">
        <f t="shared" si="6"/>
        <v>Donghe Xiang (Hăidōng Shì)</v>
      </c>
      <c r="P71" s="13" t="str">
        <f t="shared" si="7"/>
        <v>Donghe Xiang (Hăidōng Shì)</v>
      </c>
    </row>
    <row r="72" spans="1:16" hidden="1" x14ac:dyDescent="0.25">
      <c r="A72" t="s">
        <v>25</v>
      </c>
      <c r="B72" t="str">
        <f t="shared" si="4"/>
        <v>Dōngqīnggōu Xiāng</v>
      </c>
      <c r="C72" t="str">
        <f t="shared" si="5"/>
        <v>Dōngqīnggōu Xiāng</v>
      </c>
      <c r="D72" t="s">
        <v>26</v>
      </c>
      <c r="E72" t="s">
        <v>7</v>
      </c>
      <c r="F72" t="str">
        <f>_xlfn.CONCAT(D72,", ",H72,", ",I72,", ","青海省")</f>
        <v>东倾沟乡, 玛沁县, 果洛藏族自治州, 青海省</v>
      </c>
      <c r="G72">
        <v>2172</v>
      </c>
      <c r="H72" t="s">
        <v>878</v>
      </c>
      <c r="I72" t="s">
        <v>871</v>
      </c>
      <c r="J72" t="e">
        <f>VLOOKUP(F72,[1]!china_towns_second__2[[Column1]:[Y]],3,FALSE)</f>
        <v>#N/A</v>
      </c>
      <c r="K72" t="e">
        <f>VLOOKUP(F72,[1]!china_towns_second__2[[Column1]:[Y]],2,FALSE)</f>
        <v>#N/A</v>
      </c>
      <c r="L72" t="s">
        <v>1183</v>
      </c>
      <c r="M72" t="str">
        <f>VLOOKUP(H72,CHOOSE({1,2},Table9[Native],Table9[Name]),2,0)</f>
        <v>Măqìn Xiàn</v>
      </c>
      <c r="N72" s="13" t="str">
        <f>VLOOKUP(I72,CHOOSE({1,2},Table9[Native],Table9[Name]),2,0)</f>
        <v>Guŏluò Zàngzú Zìzhìzhōu</v>
      </c>
      <c r="O72" s="13" t="str">
        <f t="shared" si="6"/>
        <v>Dongqinggou Xiang (Guŏluò Zàngzú Zìzhìzhōu)</v>
      </c>
      <c r="P72" s="13" t="str">
        <f t="shared" si="7"/>
        <v>Dongqinggou Xiang (Guŏluò Zàngzú Zìzhìzhōu)</v>
      </c>
    </row>
    <row r="73" spans="1:16" hidden="1" x14ac:dyDescent="0.25">
      <c r="A73" t="s">
        <v>220</v>
      </c>
      <c r="B73" t="str">
        <f t="shared" si="4"/>
        <v>Dōngshān Xiāng</v>
      </c>
      <c r="C73" t="str">
        <f t="shared" si="5"/>
        <v>Dōngshān Xiāng</v>
      </c>
      <c r="D73" t="s">
        <v>221</v>
      </c>
      <c r="E73" t="s">
        <v>7</v>
      </c>
      <c r="F73" t="str">
        <f>_xlfn.CONCAT(D73,", ",H73,", ",I73,", ","青海省")</f>
        <v>东山乡, 互助土族自治县, 海东市, 青海省</v>
      </c>
      <c r="G73">
        <v>9715</v>
      </c>
      <c r="H73" t="s">
        <v>890</v>
      </c>
      <c r="I73" t="s">
        <v>888</v>
      </c>
      <c r="J73" t="e">
        <f>VLOOKUP(F73,[1]!china_towns_second__2[[Column1]:[Y]],3,FALSE)</f>
        <v>#N/A</v>
      </c>
      <c r="K73" t="e">
        <f>VLOOKUP(F73,[1]!china_towns_second__2[[Column1]:[Y]],2,FALSE)</f>
        <v>#N/A</v>
      </c>
      <c r="L73" t="s">
        <v>1184</v>
      </c>
      <c r="M73" t="str">
        <f>VLOOKUP(H73,CHOOSE({1,2},Table9[Native],Table9[Name]),2,0)</f>
        <v>Hùzhù Tŭzú Zìzhìxiàn</v>
      </c>
      <c r="N73" s="13" t="str">
        <f>VLOOKUP(I73,CHOOSE({1,2},Table9[Native],Table9[Name]),2,0)</f>
        <v>Hăidōng Shì</v>
      </c>
      <c r="O73" s="13" t="str">
        <f t="shared" si="6"/>
        <v>Dongshan Xiang (Hăidōng Shì)</v>
      </c>
      <c r="P73" s="13" t="str">
        <f t="shared" si="7"/>
        <v>Dongshan Xiang (Hăidōng Shì)</v>
      </c>
    </row>
    <row r="74" spans="1:16" hidden="1" x14ac:dyDescent="0.25">
      <c r="A74" t="s">
        <v>657</v>
      </c>
      <c r="B74" t="str">
        <f t="shared" si="4"/>
        <v>Dōngxiá Xiāng</v>
      </c>
      <c r="C74" t="str">
        <f t="shared" si="5"/>
        <v>Dōngxiá Xiāng</v>
      </c>
      <c r="D74" t="s">
        <v>658</v>
      </c>
      <c r="E74" t="s">
        <v>7</v>
      </c>
      <c r="F74" t="str">
        <f>_xlfn.CONCAT(D74,", ",H74,", ",I74,", ","青海省")</f>
        <v>东峡乡, 湟源县, 西宁市, 青海省</v>
      </c>
      <c r="G74">
        <v>5931</v>
      </c>
      <c r="H74" t="s">
        <v>929</v>
      </c>
      <c r="I74" t="s">
        <v>923</v>
      </c>
      <c r="J74" t="e">
        <f>VLOOKUP(F74,[1]!china_towns_second__2[[Column1]:[Y]],3,FALSE)</f>
        <v>#N/A</v>
      </c>
      <c r="K74" t="e">
        <f>VLOOKUP(F74,[1]!china_towns_second__2[[Column1]:[Y]],2,FALSE)</f>
        <v>#N/A</v>
      </c>
      <c r="L74" t="s">
        <v>1185</v>
      </c>
      <c r="M74" t="str">
        <f>VLOOKUP(H74,CHOOSE({1,2},Table9[Native],Table9[Name]),2,0)</f>
        <v>Huángyuán Xiàn</v>
      </c>
      <c r="N74" s="13" t="str">
        <f>VLOOKUP(I74,CHOOSE({1,2},Table9[Native],Table9[Name]),2,0)</f>
        <v>Xīníng Shì</v>
      </c>
      <c r="O74" s="13" t="str">
        <f t="shared" si="6"/>
        <v>Dongxia Xiang (Xīníng Shì)</v>
      </c>
      <c r="P74" s="13" t="str">
        <f t="shared" si="7"/>
        <v>Dongxia Xiang (Xīníng Shì)</v>
      </c>
    </row>
    <row r="75" spans="1:16" x14ac:dyDescent="0.25">
      <c r="A75" t="s">
        <v>659</v>
      </c>
      <c r="B75" t="str">
        <f t="shared" si="4"/>
        <v>Dōngxiá Zhèn</v>
      </c>
      <c r="C75" t="str">
        <f t="shared" si="5"/>
        <v>Dōngxiá Zhèn</v>
      </c>
      <c r="D75" t="s">
        <v>660</v>
      </c>
      <c r="E75" t="s">
        <v>19</v>
      </c>
      <c r="F75" t="str">
        <f>_xlfn.CONCAT(D75,", ",H75,", ",I75,", ","青海省")</f>
        <v>东峡镇, 大通回族土族自治县, 西宁市, 青海省</v>
      </c>
      <c r="G75">
        <v>14262</v>
      </c>
      <c r="H75" t="s">
        <v>928</v>
      </c>
      <c r="I75" t="s">
        <v>923</v>
      </c>
      <c r="J75">
        <f>VLOOKUP(F75,[1]!china_towns_second__2[[Column1]:[Y]],3,FALSE)</f>
        <v>37.042368346855199</v>
      </c>
      <c r="K75">
        <f>VLOOKUP(F75,[1]!china_towns_second__2[[Column1]:[Y]],2,FALSE)</f>
        <v>101.8200755</v>
      </c>
      <c r="L75" t="s">
        <v>1186</v>
      </c>
      <c r="M75" t="str">
        <f>VLOOKUP(H75,CHOOSE({1,2},Table9[Native],Table9[Name]),2,0)</f>
        <v>Dàtōng Huízú Tŭzú Zìzhìxiàn</v>
      </c>
      <c r="N75" s="13" t="str">
        <f>VLOOKUP(I75,CHOOSE({1,2},Table9[Native],Table9[Name]),2,0)</f>
        <v>Xīníng Shì</v>
      </c>
      <c r="O75" s="13" t="str">
        <f t="shared" si="6"/>
        <v>Dongxia Zhen (Xīníng Shì)</v>
      </c>
      <c r="P75" s="13" t="str">
        <f t="shared" si="7"/>
        <v>Dongxia Zhen (Xīníng Shì)</v>
      </c>
    </row>
    <row r="76" spans="1:16" x14ac:dyDescent="0.25">
      <c r="A76" t="s">
        <v>661</v>
      </c>
      <c r="B76" t="str">
        <f t="shared" si="4"/>
        <v>Duōbā Zhèn [incl. Kāngchuān Jiēdào]</v>
      </c>
      <c r="C76" t="str">
        <f t="shared" si="5"/>
        <v>Duōbā Zhèn [incl. Kāngchuān Jiēdào]</v>
      </c>
      <c r="D76" t="s">
        <v>662</v>
      </c>
      <c r="E76" t="s">
        <v>19</v>
      </c>
      <c r="F76" t="str">
        <f>_xlfn.CONCAT(D76,", ",H76,", ",I76,", ","青海省")</f>
        <v>多巴镇, 湟中区, 西宁市, 青海省</v>
      </c>
      <c r="G76">
        <v>66767</v>
      </c>
      <c r="H76" t="s">
        <v>930</v>
      </c>
      <c r="I76" t="s">
        <v>923</v>
      </c>
      <c r="J76">
        <f>VLOOKUP(F76,[1]!china_towns_second__2[[Column1]:[Y]],3,FALSE)</f>
        <v>36.674757533809</v>
      </c>
      <c r="K76">
        <f>VLOOKUP(F76,[1]!china_towns_second__2[[Column1]:[Y]],2,FALSE)</f>
        <v>101.4891887</v>
      </c>
      <c r="L76" t="s">
        <v>1187</v>
      </c>
      <c r="M76" t="str">
        <f>VLOOKUP(H76,CHOOSE({1,2},Table9[Native],Table9[Name]),2,0)</f>
        <v>Huángzhōng Qū</v>
      </c>
      <c r="N76" s="13" t="str">
        <f>VLOOKUP(I76,CHOOSE({1,2},Table9[Native],Table9[Name]),2,0)</f>
        <v>Xīníng Shì</v>
      </c>
      <c r="O76" s="13" t="str">
        <f t="shared" si="6"/>
        <v>Duoba Zhen [incl. Kangchuan Jiedao] (Xīníng Shì)</v>
      </c>
      <c r="P76" s="13" t="str">
        <f t="shared" si="7"/>
        <v>Duoba Zhen [incl. Kangchuan Jiedao] (Xīníng Shì)</v>
      </c>
    </row>
    <row r="77" spans="1:16" hidden="1" x14ac:dyDescent="0.25">
      <c r="A77" t="s">
        <v>795</v>
      </c>
      <c r="B77" t="str">
        <f t="shared" si="4"/>
        <v>Duōcăi Xiāng</v>
      </c>
      <c r="C77" t="str">
        <f t="shared" si="5"/>
        <v>Duōcăi Xiāng</v>
      </c>
      <c r="D77" t="s">
        <v>796</v>
      </c>
      <c r="E77" t="s">
        <v>7</v>
      </c>
      <c r="F77" t="str">
        <f>_xlfn.CONCAT(D77,", ",H77,", ",I77,", ","青海省")</f>
        <v>多彩乡, 治多县, 玉树藏族自治州, 青海省</v>
      </c>
      <c r="G77">
        <v>3881</v>
      </c>
      <c r="H77" t="s">
        <v>938</v>
      </c>
      <c r="I77" t="s">
        <v>932</v>
      </c>
      <c r="J77" t="e">
        <f>VLOOKUP(F77,[1]!china_towns_second__2[[Column1]:[Y]],3,FALSE)</f>
        <v>#N/A</v>
      </c>
      <c r="K77" t="e">
        <f>VLOOKUP(F77,[1]!china_towns_second__2[[Column1]:[Y]],2,FALSE)</f>
        <v>#N/A</v>
      </c>
      <c r="L77" t="s">
        <v>1188</v>
      </c>
      <c r="M77" t="str">
        <f>VLOOKUP(H77,CHOOSE({1,2},Table9[Native],Table9[Name]),2,0)</f>
        <v>Zhìduō Xiàn</v>
      </c>
      <c r="N77" s="13" t="str">
        <f>VLOOKUP(I77,CHOOSE({1,2},Table9[Native],Table9[Name]),2,0)</f>
        <v>Yùshù Zàngzú Zìzhìzhōu</v>
      </c>
      <c r="O77" s="13" t="str">
        <f t="shared" si="6"/>
        <v>Duocai Xiang (Yùshù Zàngzú Zìzhìzhōu)</v>
      </c>
      <c r="P77" s="13" t="str">
        <f t="shared" si="7"/>
        <v>Duocai Xiang (Yùshù Zàngzú Zìzhìzhōu)</v>
      </c>
    </row>
    <row r="78" spans="1:16" hidden="1" x14ac:dyDescent="0.25">
      <c r="A78" t="s">
        <v>27</v>
      </c>
      <c r="B78" t="str">
        <f t="shared" si="4"/>
        <v>Duōgòngmá Xiāng</v>
      </c>
      <c r="C78" t="str">
        <f t="shared" si="5"/>
        <v>Duōgòngmá Xiāng</v>
      </c>
      <c r="D78" t="s">
        <v>28</v>
      </c>
      <c r="E78" t="s">
        <v>7</v>
      </c>
      <c r="F78" t="str">
        <f>_xlfn.CONCAT(D78,", ",H78,", ",I78,", ","青海省")</f>
        <v>多贡麻乡, 班玛县, 果洛藏族自治州, 青海省</v>
      </c>
      <c r="G78">
        <v>2142</v>
      </c>
      <c r="H78" t="s">
        <v>873</v>
      </c>
      <c r="I78" t="s">
        <v>871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1189</v>
      </c>
      <c r="M78" t="str">
        <f>VLOOKUP(H78,CHOOSE({1,2},Table9[Native],Table9[Name]),2,0)</f>
        <v>Bānmă Xiàn</v>
      </c>
      <c r="N78" s="13" t="str">
        <f>VLOOKUP(I78,CHOOSE({1,2},Table9[Native],Table9[Name]),2,0)</f>
        <v>Guŏluò Zàngzú Zìzhìzhōu</v>
      </c>
      <c r="O78" s="13" t="str">
        <f t="shared" si="6"/>
        <v>Duogongma Xiang (Guŏluò Zàngzú Zìzhìzhōu)</v>
      </c>
      <c r="P78" s="13" t="str">
        <f t="shared" si="7"/>
        <v>Duogongma Xiang (Guŏluò Zàngzú Zìzhìzhōu)</v>
      </c>
    </row>
    <row r="79" spans="1:16" hidden="1" x14ac:dyDescent="0.25">
      <c r="A79" t="s">
        <v>567</v>
      </c>
      <c r="B79" t="str">
        <f t="shared" si="4"/>
        <v>Duōhémào Xiāng</v>
      </c>
      <c r="C79" t="str">
        <f t="shared" si="5"/>
        <v>Duōhémào Xiāng</v>
      </c>
      <c r="D79" t="s">
        <v>568</v>
      </c>
      <c r="E79" t="s">
        <v>7</v>
      </c>
      <c r="F79" t="str">
        <f>_xlfn.CONCAT(D79,", ",H79,", ",I79,", ","青海省")</f>
        <v>多禾茂乡, 泽库县, 黄南藏族自治州, 青海省</v>
      </c>
      <c r="G79">
        <v>8912</v>
      </c>
      <c r="H79" t="s">
        <v>921</v>
      </c>
      <c r="I79" t="s">
        <v>917</v>
      </c>
      <c r="J79" t="e">
        <f>VLOOKUP(F79,[1]!china_towns_second__2[[Column1]:[Y]],3,FALSE)</f>
        <v>#N/A</v>
      </c>
      <c r="K79" t="e">
        <f>VLOOKUP(F79,[1]!china_towns_second__2[[Column1]:[Y]],2,FALSE)</f>
        <v>#N/A</v>
      </c>
      <c r="L79" t="s">
        <v>1190</v>
      </c>
      <c r="M79" t="str">
        <f>VLOOKUP(H79,CHOOSE({1,2},Table9[Native],Table9[Name]),2,0)</f>
        <v>Zékù Xiàn</v>
      </c>
      <c r="N79" s="13" t="str">
        <f>VLOOKUP(I79,CHOOSE({1,2},Table9[Native],Table9[Name]),2,0)</f>
        <v>Huángnán Zàngzú Zìzhìzhōu</v>
      </c>
      <c r="O79" s="13" t="str">
        <f t="shared" si="6"/>
        <v>Duohemao Xiang (Huángnán Zàngzú Zìzhìzhōu)</v>
      </c>
      <c r="P79" s="13" t="str">
        <f t="shared" si="7"/>
        <v>Duohemao Xiang (Huángnán Zàngzú Zìzhìzhōu)</v>
      </c>
    </row>
    <row r="80" spans="1:16" x14ac:dyDescent="0.25">
      <c r="A80" t="s">
        <v>663</v>
      </c>
      <c r="B80" t="str">
        <f t="shared" si="4"/>
        <v>Duōlín Zhèn</v>
      </c>
      <c r="C80" t="str">
        <f t="shared" si="5"/>
        <v>Duōlín Zhèn</v>
      </c>
      <c r="D80" t="s">
        <v>664</v>
      </c>
      <c r="E80" t="s">
        <v>19</v>
      </c>
      <c r="F80" t="str">
        <f>_xlfn.CONCAT(D80,", ",H80,", ",I80,", ","青海省")</f>
        <v>多林镇, 大通回族土族自治县, 西宁市, 青海省</v>
      </c>
      <c r="G80">
        <v>9546</v>
      </c>
      <c r="H80" t="s">
        <v>928</v>
      </c>
      <c r="I80" t="s">
        <v>923</v>
      </c>
      <c r="J80">
        <f>VLOOKUP(F80,[1]!china_towns_second__2[[Column1]:[Y]],3,FALSE)</f>
        <v>37.044670150133598</v>
      </c>
      <c r="K80">
        <f>VLOOKUP(F80,[1]!china_towns_second__2[[Column1]:[Y]],2,FALSE)</f>
        <v>101.4180027</v>
      </c>
      <c r="L80" t="s">
        <v>1191</v>
      </c>
      <c r="M80" t="str">
        <f>VLOOKUP(H80,CHOOSE({1,2},Table9[Native],Table9[Name]),2,0)</f>
        <v>Dàtōng Huízú Tŭzú Zìzhìxiàn</v>
      </c>
      <c r="N80" s="13" t="str">
        <f>VLOOKUP(I80,CHOOSE({1,2},Table9[Native],Table9[Name]),2,0)</f>
        <v>Xīníng Shì</v>
      </c>
      <c r="O80" s="13" t="str">
        <f t="shared" si="6"/>
        <v>Duolin Zhen (Xīníng Shì)</v>
      </c>
      <c r="P80" s="13" t="str">
        <f t="shared" si="7"/>
        <v>Duolin Zhen (Xīníng Shì)</v>
      </c>
    </row>
    <row r="81" spans="1:16" hidden="1" x14ac:dyDescent="0.25">
      <c r="A81" t="s">
        <v>570</v>
      </c>
      <c r="B81" t="str">
        <f t="shared" si="4"/>
        <v>Duōsōng Xiāng</v>
      </c>
      <c r="C81" t="str">
        <f t="shared" si="5"/>
        <v>Duōsōng Xiāng</v>
      </c>
      <c r="D81" t="s">
        <v>571</v>
      </c>
      <c r="E81" t="s">
        <v>7</v>
      </c>
      <c r="F81" t="str">
        <f>_xlfn.CONCAT(D81,", ",H81,", ",I81,", ","青海省")</f>
        <v>多松乡, 河南蒙古族自治县, 黄南藏族自治州, 青海省</v>
      </c>
      <c r="G81">
        <v>2319</v>
      </c>
      <c r="H81" t="s">
        <v>918</v>
      </c>
      <c r="I81" t="s">
        <v>917</v>
      </c>
      <c r="J81" t="e">
        <f>VLOOKUP(F81,[1]!china_towns_second__2[[Column1]:[Y]],3,FALSE)</f>
        <v>#N/A</v>
      </c>
      <c r="K81" t="e">
        <f>VLOOKUP(F81,[1]!china_towns_second__2[[Column1]:[Y]],2,FALSE)</f>
        <v>#N/A</v>
      </c>
      <c r="L81" t="s">
        <v>1192</v>
      </c>
      <c r="M81" t="str">
        <f>VLOOKUP(H81,CHOOSE({1,2},Table9[Native],Table9[Name]),2,0)</f>
        <v>Hénán Mĕnggŭzú Zìzhìxiàn</v>
      </c>
      <c r="N81" s="13" t="str">
        <f>VLOOKUP(I81,CHOOSE({1,2},Table9[Native],Table9[Name]),2,0)</f>
        <v>Huángnán Zàngzú Zìzhìzhōu</v>
      </c>
      <c r="O81" s="13" t="str">
        <f t="shared" si="6"/>
        <v>Duosong Xiang (Huángnán Zàngzú Zìzhìzhōu)</v>
      </c>
      <c r="P81" s="13" t="str">
        <f t="shared" si="7"/>
        <v>Duosong Xiang (Huángnán Zàngzú Zìzhìzhōu)</v>
      </c>
    </row>
    <row r="82" spans="1:16" x14ac:dyDescent="0.25">
      <c r="A82" t="s">
        <v>573</v>
      </c>
      <c r="B82" t="str">
        <f t="shared" si="4"/>
        <v>Duōwā Zhèn</v>
      </c>
      <c r="C82" t="str">
        <f t="shared" si="5"/>
        <v>Duōwā Zhèn</v>
      </c>
      <c r="D82" t="s">
        <v>574</v>
      </c>
      <c r="E82" t="s">
        <v>19</v>
      </c>
      <c r="F82" t="str">
        <f>_xlfn.CONCAT(D82,", ",H82,", ",I82,", ","青海省")</f>
        <v>多哇镇, 同仁市, 黄南藏族自治州, 青海省</v>
      </c>
      <c r="G82">
        <v>6540</v>
      </c>
      <c r="H82" t="s">
        <v>920</v>
      </c>
      <c r="I82" t="s">
        <v>917</v>
      </c>
      <c r="J82">
        <f>VLOOKUP(F82,[1]!china_towns_second__2[[Column1]:[Y]],3,FALSE)</f>
        <v>35.199555742149698</v>
      </c>
      <c r="K82">
        <f>VLOOKUP(F82,[1]!china_towns_second__2[[Column1]:[Y]],2,FALSE)</f>
        <v>102.16969280000001</v>
      </c>
      <c r="L82" t="s">
        <v>1193</v>
      </c>
      <c r="M82" t="str">
        <f>VLOOKUP(H82,CHOOSE({1,2},Table9[Native],Table9[Name]),2,0)</f>
        <v>Tóngrén Shì</v>
      </c>
      <c r="N82" s="13" t="str">
        <f>VLOOKUP(I82,CHOOSE({1,2},Table9[Native],Table9[Name]),2,0)</f>
        <v>Huángnán Zàngzú Zìzhìzhōu</v>
      </c>
      <c r="O82" s="13" t="str">
        <f t="shared" si="6"/>
        <v>Duowa Zhen (Huángnán Zàngzú Zìzhìzhōu)</v>
      </c>
      <c r="P82" s="13" t="str">
        <f t="shared" si="7"/>
        <v>Duowa Zhen (Huángnán Zàngzú Zìzhìzhōu)</v>
      </c>
    </row>
    <row r="83" spans="1:16" x14ac:dyDescent="0.25">
      <c r="A83" t="s">
        <v>111</v>
      </c>
      <c r="B83" t="str">
        <f t="shared" si="4"/>
        <v>Ébăo Zhèn</v>
      </c>
      <c r="C83" t="str">
        <f t="shared" si="5"/>
        <v>Ébăo Zhèn</v>
      </c>
      <c r="D83" t="s">
        <v>112</v>
      </c>
      <c r="E83" t="s">
        <v>19</v>
      </c>
      <c r="F83" t="str">
        <f>_xlfn.CONCAT(D83,", ",H83,", ",I83,", ","青海省")</f>
        <v>峨堡镇, 祁连县, 海北藏族自治州, 青海省</v>
      </c>
      <c r="G83">
        <v>2755</v>
      </c>
      <c r="H83" t="s">
        <v>885</v>
      </c>
      <c r="I83" t="s">
        <v>880</v>
      </c>
      <c r="J83">
        <f>VLOOKUP(F83,[1]!china_towns_second__2[[Column1]:[Y]],3,FALSE)</f>
        <v>38.043251405640198</v>
      </c>
      <c r="K83">
        <f>VLOOKUP(F83,[1]!china_towns_second__2[[Column1]:[Y]],2,FALSE)</f>
        <v>100.7440476</v>
      </c>
      <c r="L83" t="s">
        <v>1194</v>
      </c>
      <c r="M83" t="str">
        <f>VLOOKUP(H83,CHOOSE({1,2},Table9[Native],Table9[Name]),2,0)</f>
        <v>Qílián Xiàn</v>
      </c>
      <c r="N83" s="13" t="str">
        <f>VLOOKUP(I83,CHOOSE({1,2},Table9[Native],Table9[Name]),2,0)</f>
        <v>Hăibĕi Zàngzú Zìzhìzhōu</v>
      </c>
      <c r="O83" s="13" t="str">
        <f t="shared" si="6"/>
        <v>Ebao Zhen (Hăibĕi Zàngzú Zìzhìzhōu)</v>
      </c>
      <c r="P83" s="13" t="str">
        <f t="shared" si="7"/>
        <v>Ebao Zhen (Hăibĕi Zàngzú Zìzhìzhōu)</v>
      </c>
    </row>
    <row r="84" spans="1:16" hidden="1" x14ac:dyDescent="0.25">
      <c r="A84" t="s">
        <v>222</v>
      </c>
      <c r="B84" t="str">
        <f t="shared" si="4"/>
        <v>Èrtáng Xiāng</v>
      </c>
      <c r="C84" t="str">
        <f t="shared" si="5"/>
        <v>Èrtáng Xiāng</v>
      </c>
      <c r="D84" t="s">
        <v>223</v>
      </c>
      <c r="E84" t="s">
        <v>7</v>
      </c>
      <c r="F84" t="str">
        <f>_xlfn.CONCAT(D84,", ",H84,", ",I84,", ","青海省")</f>
        <v>二塘乡, 化隆回族自治县, 海东市, 青海省</v>
      </c>
      <c r="G84">
        <v>8244</v>
      </c>
      <c r="H84" t="s">
        <v>889</v>
      </c>
      <c r="I84" t="s">
        <v>888</v>
      </c>
      <c r="J84" t="e">
        <f>VLOOKUP(F84,[1]!china_towns_second__2[[Column1]:[Y]],3,FALSE)</f>
        <v>#N/A</v>
      </c>
      <c r="K84" t="e">
        <f>VLOOKUP(F84,[1]!china_towns_second__2[[Column1]:[Y]],2,FALSE)</f>
        <v>#N/A</v>
      </c>
      <c r="L84" t="s">
        <v>1195</v>
      </c>
      <c r="M84" t="str">
        <f>VLOOKUP(H84,CHOOSE({1,2},Table9[Native],Table9[Name]),2,0)</f>
        <v>Huàlóng Huízú Zìzhìxiàn</v>
      </c>
      <c r="N84" s="13" t="str">
        <f>VLOOKUP(I84,CHOOSE({1,2},Table9[Native],Table9[Name]),2,0)</f>
        <v>Hăidōng Shì</v>
      </c>
      <c r="O84" s="13" t="str">
        <f t="shared" si="6"/>
        <v>Ertang Xiang (Hăidōng Shì)</v>
      </c>
      <c r="P84" s="13" t="str">
        <f t="shared" si="7"/>
        <v>Ertang Xiang (Hăidōng Shì)</v>
      </c>
    </row>
    <row r="85" spans="1:16" hidden="1" x14ac:dyDescent="0.25">
      <c r="A85" t="s">
        <v>224</v>
      </c>
      <c r="B85" t="str">
        <f t="shared" si="4"/>
        <v>Fēngduī Xiāng</v>
      </c>
      <c r="C85" t="str">
        <f t="shared" si="5"/>
        <v>Fēngduī Xiāng</v>
      </c>
      <c r="D85" t="s">
        <v>225</v>
      </c>
      <c r="E85" t="s">
        <v>7</v>
      </c>
      <c r="F85" t="str">
        <f>_xlfn.CONCAT(D85,", ",H85,", ",I85,", ","青海省")</f>
        <v>峰堆乡, 乐都区, 海东市, 青海省</v>
      </c>
      <c r="G85">
        <v>5102</v>
      </c>
      <c r="H85" t="s">
        <v>892</v>
      </c>
      <c r="I85" t="s">
        <v>888</v>
      </c>
      <c r="J85" t="e">
        <f>VLOOKUP(F85,[1]!china_towns_second__2[[Column1]:[Y]],3,FALSE)</f>
        <v>#N/A</v>
      </c>
      <c r="K85" t="e">
        <f>VLOOKUP(F85,[1]!china_towns_second__2[[Column1]:[Y]],2,FALSE)</f>
        <v>#N/A</v>
      </c>
      <c r="L85" t="s">
        <v>1196</v>
      </c>
      <c r="M85" t="str">
        <f>VLOOKUP(H85,CHOOSE({1,2},Table9[Native],Table9[Name]),2,0)</f>
        <v>Lèdū Qū</v>
      </c>
      <c r="N85" s="13" t="str">
        <f>VLOOKUP(I85,CHOOSE({1,2},Table9[Native],Table9[Name]),2,0)</f>
        <v>Hăidōng Shì</v>
      </c>
      <c r="O85" s="13" t="str">
        <f t="shared" si="6"/>
        <v>Fengdui Xiang (Hăidōng Shì)</v>
      </c>
      <c r="P85" s="13" t="str">
        <f t="shared" si="7"/>
        <v>Fengdui Xiang (Hăidōng Shì)</v>
      </c>
    </row>
    <row r="86" spans="1:16" x14ac:dyDescent="0.25">
      <c r="A86" t="s">
        <v>383</v>
      </c>
      <c r="B86" t="str">
        <f t="shared" si="4"/>
        <v>Găbāsōngduō Zhèn</v>
      </c>
      <c r="C86" t="str">
        <f t="shared" si="5"/>
        <v>Găbāsōngduō Zhèn</v>
      </c>
      <c r="D86" t="s">
        <v>384</v>
      </c>
      <c r="E86" t="s">
        <v>19</v>
      </c>
      <c r="F86" t="str">
        <f>_xlfn.CONCAT(D86,", ",H86,", ",I86,", ","青海省")</f>
        <v>尕巴松多镇, 同德县, 海南藏族自治州, 青海省</v>
      </c>
      <c r="G86">
        <v>27742</v>
      </c>
      <c r="H86" t="s">
        <v>901</v>
      </c>
      <c r="I86" t="s">
        <v>897</v>
      </c>
      <c r="J86">
        <f>VLOOKUP(F86,[1]!china_towns_second__2[[Column1]:[Y]],3,FALSE)</f>
        <v>35.2910044632603</v>
      </c>
      <c r="K86">
        <f>VLOOKUP(F86,[1]!china_towns_second__2[[Column1]:[Y]],2,FALSE)</f>
        <v>100.558864</v>
      </c>
      <c r="L86" t="s">
        <v>1197</v>
      </c>
      <c r="M86" t="str">
        <f>VLOOKUP(H86,CHOOSE({1,2},Table9[Native],Table9[Name]),2,0)</f>
        <v>Tóngdé Xiàn</v>
      </c>
      <c r="N86" s="13" t="str">
        <f>VLOOKUP(I86,CHOOSE({1,2},Table9[Native],Table9[Name]),2,0)</f>
        <v>Hăinán Zàngzú Zìzhìzhōu</v>
      </c>
      <c r="O86" s="13" t="str">
        <f t="shared" si="6"/>
        <v>Gabasongduo Zhen (Hăinán Zàngzú Zìzhìzhōu)</v>
      </c>
      <c r="P86" s="13" t="str">
        <f t="shared" si="7"/>
        <v>Gabasongduo Zhen (Hăinán Zàngzú Zìzhìzhōu)</v>
      </c>
    </row>
    <row r="87" spans="1:16" hidden="1" x14ac:dyDescent="0.25">
      <c r="A87" t="s">
        <v>798</v>
      </c>
      <c r="B87" t="str">
        <f t="shared" si="4"/>
        <v>Găduŏ Xiāng</v>
      </c>
      <c r="C87" t="str">
        <f t="shared" si="5"/>
        <v>Găduŏ Xiāng</v>
      </c>
      <c r="D87" t="s">
        <v>799</v>
      </c>
      <c r="E87" t="s">
        <v>7</v>
      </c>
      <c r="F87" t="str">
        <f>_xlfn.CONCAT(D87,", ",H87,", ",I87,", ","青海省")</f>
        <v>尕朵乡, 称多县, 玉树藏族自治州, 青海省</v>
      </c>
      <c r="G87">
        <v>7426</v>
      </c>
      <c r="H87" t="s">
        <v>933</v>
      </c>
      <c r="I87" t="s">
        <v>932</v>
      </c>
      <c r="J87" t="e">
        <f>VLOOKUP(F87,[1]!china_towns_second__2[[Column1]:[Y]],3,FALSE)</f>
        <v>#N/A</v>
      </c>
      <c r="K87" t="e">
        <f>VLOOKUP(F87,[1]!china_towns_second__2[[Column1]:[Y]],2,FALSE)</f>
        <v>#N/A</v>
      </c>
      <c r="L87" t="s">
        <v>1198</v>
      </c>
      <c r="M87" t="str">
        <f>VLOOKUP(H87,CHOOSE({1,2},Table9[Native],Table9[Name]),2,0)</f>
        <v>Chēngduō Xiàn</v>
      </c>
      <c r="N87" s="13" t="str">
        <f>VLOOKUP(I87,CHOOSE({1,2},Table9[Native],Table9[Name]),2,0)</f>
        <v>Yùshù Zàngzú Zìzhìzhōu</v>
      </c>
      <c r="O87" s="13" t="str">
        <f t="shared" si="6"/>
        <v>Gaduo Xiang (Yùshù Zàngzú Zìzhìzhōu)</v>
      </c>
      <c r="P87" s="13" t="str">
        <f t="shared" si="7"/>
        <v>Gaduo Xiang (Yùshù Zàngzú Zìzhìzhōu)</v>
      </c>
    </row>
    <row r="88" spans="1:16" x14ac:dyDescent="0.25">
      <c r="A88" t="s">
        <v>475</v>
      </c>
      <c r="B88" t="str">
        <f t="shared" si="4"/>
        <v>Găhăi Zhèn</v>
      </c>
      <c r="C88" t="str">
        <f t="shared" si="5"/>
        <v>Găhăi Zhèn</v>
      </c>
      <c r="D88" t="s">
        <v>476</v>
      </c>
      <c r="E88" t="s">
        <v>19</v>
      </c>
      <c r="F88" t="str">
        <f>_xlfn.CONCAT(D88,", ",H88,", ",I88,", ","青海省")</f>
        <v>尕海镇, 德令哈市, 海西蒙古族藏族自治州, 青海省</v>
      </c>
      <c r="G88">
        <v>5965</v>
      </c>
      <c r="H88" t="s">
        <v>910</v>
      </c>
      <c r="I88" t="s">
        <v>905</v>
      </c>
      <c r="J88">
        <f>VLOOKUP(F88,[1]!china_towns_second__2[[Column1]:[Y]],3,FALSE)</f>
        <v>37.153917011582401</v>
      </c>
      <c r="K88">
        <f>VLOOKUP(F88,[1]!china_towns_second__2[[Column1]:[Y]],2,FALSE)</f>
        <v>97.472019779999997</v>
      </c>
      <c r="L88" t="s">
        <v>1199</v>
      </c>
      <c r="M88" t="str">
        <f>VLOOKUP(H88,CHOOSE({1,2},Table9[Native],Table9[Name]),2,0)</f>
        <v>Délìnghā Shì</v>
      </c>
      <c r="N88" s="13" t="str">
        <f>VLOOKUP(I88,CHOOSE({1,2},Table9[Native],Table9[Name]),2,0)</f>
        <v>Hăixī Mĕnggŭzú Zàngzú Zìzhìzhōu</v>
      </c>
      <c r="O88" s="13" t="str">
        <f t="shared" si="6"/>
        <v>Gahai Zhen (Hăixī Mĕnggŭzú Zàngzú Zìzhìzhōu)</v>
      </c>
      <c r="P88" s="13" t="str">
        <f t="shared" si="7"/>
        <v>Gahai Zhen (Hăixī Mĕnggŭzú Zàngzú Zìzhìzhōu)</v>
      </c>
    </row>
    <row r="89" spans="1:16" hidden="1" x14ac:dyDescent="0.25">
      <c r="A89" t="s">
        <v>226</v>
      </c>
      <c r="B89" t="str">
        <f t="shared" si="4"/>
        <v>Găléng Zàngzú Xiāng</v>
      </c>
      <c r="C89" t="str">
        <f t="shared" si="5"/>
        <v>Găléng Zàngzú Xiāng</v>
      </c>
      <c r="D89" t="s">
        <v>227</v>
      </c>
      <c r="E89" t="s">
        <v>7</v>
      </c>
      <c r="F89" t="str">
        <f>_xlfn.CONCAT(D89,", ",H89,", ",I89,", ","青海省")</f>
        <v>尕楞藏族乡, 循化撒拉族自治县, 海东市, 青海省</v>
      </c>
      <c r="G89">
        <v>5169</v>
      </c>
      <c r="H89" t="s">
        <v>895</v>
      </c>
      <c r="I89" t="s">
        <v>888</v>
      </c>
      <c r="J89" t="e">
        <f>VLOOKUP(F89,[1]!china_towns_second__2[[Column1]:[Y]],3,FALSE)</f>
        <v>#N/A</v>
      </c>
      <c r="K89" t="e">
        <f>VLOOKUP(F89,[1]!china_towns_second__2[[Column1]:[Y]],2,FALSE)</f>
        <v>#N/A</v>
      </c>
      <c r="L89" t="s">
        <v>1200</v>
      </c>
      <c r="M89" t="str">
        <f>VLOOKUP(H89,CHOOSE({1,2},Table9[Native],Table9[Name]),2,0)</f>
        <v>Xúnhuà Sālāzú Zìzhìxiàn</v>
      </c>
      <c r="N89" s="13" t="str">
        <f>VLOOKUP(I89,CHOOSE({1,2},Table9[Native],Table9[Name]),2,0)</f>
        <v>Hăidōng Shì</v>
      </c>
      <c r="O89" s="13" t="str">
        <f t="shared" si="6"/>
        <v>Galeng Zangzu Xiang (Hăidōng Shì)</v>
      </c>
      <c r="P89" s="13" t="str">
        <f t="shared" si="7"/>
        <v>Galeng Zangzu Xiang (Hăidōng Shì)</v>
      </c>
    </row>
    <row r="90" spans="1:16" x14ac:dyDescent="0.25">
      <c r="A90" t="s">
        <v>228</v>
      </c>
      <c r="B90" t="str">
        <f t="shared" si="4"/>
        <v>Gāndū Zhèn</v>
      </c>
      <c r="C90" t="str">
        <f t="shared" si="5"/>
        <v>Gāndū Zhèn</v>
      </c>
      <c r="D90" t="s">
        <v>229</v>
      </c>
      <c r="E90" t="s">
        <v>19</v>
      </c>
      <c r="F90" t="str">
        <f>_xlfn.CONCAT(D90,", ",H90,", ",I90,", ","青海省")</f>
        <v>甘都镇, 化隆回族自治县, 海东市, 青海省</v>
      </c>
      <c r="G90">
        <v>20536</v>
      </c>
      <c r="H90" t="s">
        <v>889</v>
      </c>
      <c r="I90" t="s">
        <v>888</v>
      </c>
      <c r="J90">
        <f>VLOOKUP(F90,[1]!china_towns_second__2[[Column1]:[Y]],3,FALSE)</f>
        <v>35.934972293727199</v>
      </c>
      <c r="K90">
        <f>VLOOKUP(F90,[1]!china_towns_second__2[[Column1]:[Y]],2,FALSE)</f>
        <v>102.33019</v>
      </c>
      <c r="L90" t="s">
        <v>1201</v>
      </c>
      <c r="M90" t="str">
        <f>VLOOKUP(H90,CHOOSE({1,2},Table9[Native],Table9[Name]),2,0)</f>
        <v>Huàlóng Huízú Zìzhìxiàn</v>
      </c>
      <c r="N90" s="13" t="str">
        <f>VLOOKUP(I90,CHOOSE({1,2},Table9[Native],Table9[Name]),2,0)</f>
        <v>Hăidōng Shì</v>
      </c>
      <c r="O90" s="13" t="str">
        <f t="shared" si="6"/>
        <v>Gandu Zhen (Hăidōng Shì)</v>
      </c>
      <c r="P90" s="13" t="str">
        <f t="shared" si="7"/>
        <v>Gandu Zhen (Hăidōng Shì)</v>
      </c>
    </row>
    <row r="91" spans="1:16" hidden="1" x14ac:dyDescent="0.25">
      <c r="A91" t="s">
        <v>230</v>
      </c>
      <c r="B91" t="str">
        <f t="shared" si="4"/>
        <v>Găngchá Zàngzú Xiāng</v>
      </c>
      <c r="C91" t="str">
        <f t="shared" si="5"/>
        <v>Găngchá Zàngzú Xiāng</v>
      </c>
      <c r="D91" t="s">
        <v>231</v>
      </c>
      <c r="E91" t="s">
        <v>7</v>
      </c>
      <c r="F91" t="str">
        <f>_xlfn.CONCAT(D91,", ",H91,", ",I91,", ","青海省")</f>
        <v>岗察藏族乡, 循化撒拉族自治县, 海东市, 青海省</v>
      </c>
      <c r="G91">
        <v>1912</v>
      </c>
      <c r="H91" t="s">
        <v>895</v>
      </c>
      <c r="I91" t="s">
        <v>888</v>
      </c>
      <c r="J91" t="e">
        <f>VLOOKUP(F91,[1]!china_towns_second__2[[Column1]:[Y]],3,FALSE)</f>
        <v>#N/A</v>
      </c>
      <c r="K91" t="e">
        <f>VLOOKUP(F91,[1]!china_towns_second__2[[Column1]:[Y]],2,FALSE)</f>
        <v>#N/A</v>
      </c>
      <c r="L91" t="s">
        <v>1202</v>
      </c>
      <c r="M91" t="str">
        <f>VLOOKUP(H91,CHOOSE({1,2},Table9[Native],Table9[Name]),2,0)</f>
        <v>Xúnhuà Sālāzú Zìzhìxiàn</v>
      </c>
      <c r="N91" s="13" t="str">
        <f>VLOOKUP(I91,CHOOSE({1,2},Table9[Native],Table9[Name]),2,0)</f>
        <v>Hăidōng Shì</v>
      </c>
      <c r="O91" s="13" t="str">
        <f t="shared" si="6"/>
        <v>Gangcha Zangzu Xiang (Hăidōng Shì)</v>
      </c>
      <c r="P91" s="13" t="str">
        <f t="shared" si="7"/>
        <v>Gangcha Zangzu Xiang (Hăidōng Shì)</v>
      </c>
    </row>
    <row r="92" spans="1:16" hidden="1" x14ac:dyDescent="0.25">
      <c r="A92" t="s">
        <v>29</v>
      </c>
      <c r="B92" t="str">
        <f t="shared" si="4"/>
        <v>Gănglóng Xiāng</v>
      </c>
      <c r="C92" t="str">
        <f t="shared" si="5"/>
        <v>Gănglóng Xiāng</v>
      </c>
      <c r="D92" t="s">
        <v>30</v>
      </c>
      <c r="E92" t="s">
        <v>7</v>
      </c>
      <c r="F92" t="str">
        <f>_xlfn.CONCAT(D92,", ",H92,", ",I92,", ","青海省")</f>
        <v>岗龙乡, 甘德县, 果洛藏族自治州, 青海省</v>
      </c>
      <c r="G92">
        <v>3971</v>
      </c>
      <c r="H92" t="s">
        <v>875</v>
      </c>
      <c r="I92" t="s">
        <v>871</v>
      </c>
      <c r="J92" t="e">
        <f>VLOOKUP(F92,[1]!china_towns_second__2[[Column1]:[Y]],3,FALSE)</f>
        <v>#N/A</v>
      </c>
      <c r="K92" t="e">
        <f>VLOOKUP(F92,[1]!china_towns_second__2[[Column1]:[Y]],2,FALSE)</f>
        <v>#N/A</v>
      </c>
      <c r="L92" t="s">
        <v>1203</v>
      </c>
      <c r="M92" t="str">
        <f>VLOOKUP(H92,CHOOSE({1,2},Table9[Native],Table9[Name]),2,0)</f>
        <v>Gāndé Xiàn</v>
      </c>
      <c r="N92" s="13" t="str">
        <f>VLOOKUP(I92,CHOOSE({1,2},Table9[Native],Table9[Name]),2,0)</f>
        <v>Guŏluò Zàngzú Zìzhìzhōu</v>
      </c>
      <c r="O92" s="13" t="str">
        <f t="shared" si="6"/>
        <v>Ganglong Xiang (Guŏluò Zàngzú Zìzhìzhōu)</v>
      </c>
      <c r="P92" s="13" t="str">
        <f t="shared" si="7"/>
        <v>Ganglong Xiang (Guŏluò Zàngzú Zìzhìzhōu)</v>
      </c>
    </row>
    <row r="93" spans="1:16" hidden="1" x14ac:dyDescent="0.25">
      <c r="A93" t="s">
        <v>232</v>
      </c>
      <c r="B93" t="str">
        <f t="shared" si="4"/>
        <v>Gāngōu Xiāng</v>
      </c>
      <c r="C93" t="str">
        <f t="shared" si="5"/>
        <v>Gāngōu Xiāng</v>
      </c>
      <c r="D93" t="s">
        <v>233</v>
      </c>
      <c r="E93" t="s">
        <v>7</v>
      </c>
      <c r="F93" t="str">
        <f>_xlfn.CONCAT(D93,", ",H93,", ",I93,", ","青海省")</f>
        <v>甘沟乡, 民和回族土族自治县, 海东市, 青海省</v>
      </c>
      <c r="G93">
        <v>11444</v>
      </c>
      <c r="H93" t="s">
        <v>893</v>
      </c>
      <c r="I93" t="s">
        <v>888</v>
      </c>
      <c r="J93" t="e">
        <f>VLOOKUP(F93,[1]!china_towns_second__2[[Column1]:[Y]],3,FALSE)</f>
        <v>#N/A</v>
      </c>
      <c r="K93" t="e">
        <f>VLOOKUP(F93,[1]!china_towns_second__2[[Column1]:[Y]],2,FALSE)</f>
        <v>#N/A</v>
      </c>
      <c r="L93" t="s">
        <v>1204</v>
      </c>
      <c r="M93" t="str">
        <f>VLOOKUP(H93,CHOOSE({1,2},Table9[Native],Table9[Name]),2,0)</f>
        <v>Mínhé Huízú Tŭzú Zìzhìxiàn</v>
      </c>
      <c r="N93" s="13" t="str">
        <f>VLOOKUP(I93,CHOOSE({1,2},Table9[Native],Table9[Name]),2,0)</f>
        <v>Hăidōng Shì</v>
      </c>
      <c r="O93" s="13" t="str">
        <f t="shared" si="6"/>
        <v>Gangou Xiang (Hăidōng Shì)</v>
      </c>
      <c r="P93" s="13" t="str">
        <f t="shared" si="7"/>
        <v>Gangou Xiang (Hăidōng Shì)</v>
      </c>
    </row>
    <row r="94" spans="1:16" x14ac:dyDescent="0.25">
      <c r="A94" t="s">
        <v>665</v>
      </c>
      <c r="B94" t="str">
        <f t="shared" si="4"/>
        <v>Gānhétān Zhèn</v>
      </c>
      <c r="C94" t="str">
        <f t="shared" si="5"/>
        <v>Gānhétān Zhèn</v>
      </c>
      <c r="D94" t="s">
        <v>666</v>
      </c>
      <c r="E94" t="s">
        <v>19</v>
      </c>
      <c r="F94" t="str">
        <f>_xlfn.CONCAT(D94,", ",H94,", ",I94,", ","青海省")</f>
        <v>甘河滩镇, 湟中区, 西宁市, 青海省</v>
      </c>
      <c r="G94">
        <v>24252</v>
      </c>
      <c r="H94" t="s">
        <v>930</v>
      </c>
      <c r="I94" t="s">
        <v>923</v>
      </c>
      <c r="J94">
        <f>VLOOKUP(F94,[1]!china_towns_second__2[[Column1]:[Y]],3,FALSE)</f>
        <v>36.563574995332303</v>
      </c>
      <c r="K94">
        <f>VLOOKUP(F94,[1]!china_towns_second__2[[Column1]:[Y]],2,FALSE)</f>
        <v>101.5341643</v>
      </c>
      <c r="L94" t="s">
        <v>1205</v>
      </c>
      <c r="M94" t="str">
        <f>VLOOKUP(H94,CHOOSE({1,2},Table9[Native],Table9[Name]),2,0)</f>
        <v>Huángzhōng Qū</v>
      </c>
      <c r="N94" s="13" t="str">
        <f>VLOOKUP(I94,CHOOSE({1,2},Table9[Native],Table9[Name]),2,0)</f>
        <v>Xīníng Shì</v>
      </c>
      <c r="O94" s="13" t="str">
        <f t="shared" si="6"/>
        <v>Ganhetan Zhen (Xīníng Shì)</v>
      </c>
      <c r="P94" s="13" t="str">
        <f t="shared" si="7"/>
        <v>Ganhetan Zhen (Xīníng Shì)</v>
      </c>
    </row>
    <row r="95" spans="1:16" hidden="1" x14ac:dyDescent="0.25">
      <c r="A95" t="s">
        <v>113</v>
      </c>
      <c r="B95" t="str">
        <f t="shared" si="4"/>
        <v>Gānzihé Xiāng</v>
      </c>
      <c r="C95" t="str">
        <f t="shared" si="5"/>
        <v>Gānzihé Xiāng</v>
      </c>
      <c r="D95" t="s">
        <v>114</v>
      </c>
      <c r="E95" t="s">
        <v>7</v>
      </c>
      <c r="F95" t="str">
        <f>_xlfn.CONCAT(D95,", ",H95,", ",I95,", ","青海省")</f>
        <v>甘子河乡, 海晏县, 海北藏族自治州, 青海省</v>
      </c>
      <c r="G95">
        <v>4571</v>
      </c>
      <c r="H95" t="s">
        <v>882</v>
      </c>
      <c r="I95" t="s">
        <v>880</v>
      </c>
      <c r="J95" t="e">
        <f>VLOOKUP(F95,[1]!china_towns_second__2[[Column1]:[Y]],3,FALSE)</f>
        <v>#N/A</v>
      </c>
      <c r="K95" t="e">
        <f>VLOOKUP(F95,[1]!china_towns_second__2[[Column1]:[Y]],2,FALSE)</f>
        <v>#N/A</v>
      </c>
      <c r="L95" t="s">
        <v>1206</v>
      </c>
      <c r="M95" t="str">
        <f>VLOOKUP(H95,CHOOSE({1,2},Table9[Native],Table9[Name]),2,0)</f>
        <v>Hăiyàn Xiàn</v>
      </c>
      <c r="N95" s="13" t="str">
        <f>VLOOKUP(I95,CHOOSE({1,2},Table9[Native],Table9[Name]),2,0)</f>
        <v>Hăibĕi Zàngzú Zìzhìzhōu</v>
      </c>
      <c r="O95" s="13" t="str">
        <f t="shared" si="6"/>
        <v>Ganzihe Xiang (Hăibĕi Zàngzú Zìzhìzhōu)</v>
      </c>
      <c r="P95" s="13" t="str">
        <f t="shared" si="7"/>
        <v>Ganzihe Xiang (Hăibĕi Zàngzú Zìzhìzhōu)</v>
      </c>
    </row>
    <row r="96" spans="1:16" x14ac:dyDescent="0.25">
      <c r="A96" t="s">
        <v>234</v>
      </c>
      <c r="B96" t="str">
        <f t="shared" si="4"/>
        <v>Gāodiàn Zhèn</v>
      </c>
      <c r="C96" t="str">
        <f t="shared" si="5"/>
        <v>Gāodiàn Zhèn</v>
      </c>
      <c r="D96" t="s">
        <v>235</v>
      </c>
      <c r="E96" t="s">
        <v>19</v>
      </c>
      <c r="F96" t="str">
        <f>_xlfn.CONCAT(D96,", ",H96,", ",I96,", ","青海省")</f>
        <v>高店镇, 乐都区, 海东市, 青海省</v>
      </c>
      <c r="G96">
        <v>8388</v>
      </c>
      <c r="H96" t="s">
        <v>892</v>
      </c>
      <c r="I96" t="s">
        <v>888</v>
      </c>
      <c r="J96">
        <f>VLOOKUP(F96,[1]!china_towns_second__2[[Column1]:[Y]],3,FALSE)</f>
        <v>36.494422429322803</v>
      </c>
      <c r="K96">
        <f>VLOOKUP(F96,[1]!china_towns_second__2[[Column1]:[Y]],2,FALSE)</f>
        <v>102.2032868</v>
      </c>
      <c r="L96" t="s">
        <v>1207</v>
      </c>
      <c r="M96" t="str">
        <f>VLOOKUP(H96,CHOOSE({1,2},Table9[Native],Table9[Name]),2,0)</f>
        <v>Lèdū Qū</v>
      </c>
      <c r="N96" s="13" t="str">
        <f>VLOOKUP(I96,CHOOSE({1,2},Table9[Native],Table9[Name]),2,0)</f>
        <v>Hăidōng Shì</v>
      </c>
      <c r="O96" s="13" t="str">
        <f t="shared" si="6"/>
        <v>Gaodian Zhen (Hăidōng Shì)</v>
      </c>
      <c r="P96" s="13" t="str">
        <f t="shared" si="7"/>
        <v>Gaodian Zhen (Hăidōng Shì)</v>
      </c>
    </row>
    <row r="97" spans="1:16" x14ac:dyDescent="0.25">
      <c r="A97" t="s">
        <v>236</v>
      </c>
      <c r="B97" t="str">
        <f t="shared" si="4"/>
        <v>Gāomiào Zhèn</v>
      </c>
      <c r="C97" t="str">
        <f t="shared" si="5"/>
        <v>Gāomiào Zhèn</v>
      </c>
      <c r="D97" t="s">
        <v>237</v>
      </c>
      <c r="E97" t="s">
        <v>19</v>
      </c>
      <c r="F97" t="str">
        <f>_xlfn.CONCAT(D97,", ",H97,", ",I97,", ","青海省")</f>
        <v>高庙镇, 乐都区, 海东市, 青海省</v>
      </c>
      <c r="G97">
        <v>23398</v>
      </c>
      <c r="H97" t="s">
        <v>892</v>
      </c>
      <c r="I97" t="s">
        <v>888</v>
      </c>
      <c r="J97">
        <f>VLOOKUP(F97,[1]!china_towns_second__2[[Column1]:[Y]],3,FALSE)</f>
        <v>36.455866962927601</v>
      </c>
      <c r="K97">
        <f>VLOOKUP(F97,[1]!china_towns_second__2[[Column1]:[Y]],2,FALSE)</f>
        <v>102.564483</v>
      </c>
      <c r="L97" t="s">
        <v>1208</v>
      </c>
      <c r="M97" t="str">
        <f>VLOOKUP(H97,CHOOSE({1,2},Table9[Native],Table9[Name]),2,0)</f>
        <v>Lèdū Qū</v>
      </c>
      <c r="N97" s="13" t="str">
        <f>VLOOKUP(I97,CHOOSE({1,2},Table9[Native],Table9[Name]),2,0)</f>
        <v>Hăidōng Shì</v>
      </c>
      <c r="O97" s="13" t="str">
        <f t="shared" si="6"/>
        <v>Gaomiao Zhen (Hăidōng Shì)</v>
      </c>
      <c r="P97" s="13" t="str">
        <f t="shared" si="7"/>
        <v>Gaomiao Zhen (Hăidōng Shì)</v>
      </c>
    </row>
    <row r="98" spans="1:16" x14ac:dyDescent="0.25">
      <c r="A98" t="s">
        <v>238</v>
      </c>
      <c r="B98" t="str">
        <f t="shared" si="4"/>
        <v>Gāozhài Zhèn</v>
      </c>
      <c r="C98" t="str">
        <f t="shared" si="5"/>
        <v>Gāozhài Zhèn</v>
      </c>
      <c r="D98" t="s">
        <v>239</v>
      </c>
      <c r="E98" t="s">
        <v>19</v>
      </c>
      <c r="F98" t="str">
        <f>_xlfn.CONCAT(D98,", ",H98,", ",I98,", ","青海省")</f>
        <v>高寨镇, 互助土族自治县, 海东市, 青海省</v>
      </c>
      <c r="G98">
        <v>12903</v>
      </c>
      <c r="H98" t="s">
        <v>890</v>
      </c>
      <c r="I98" t="s">
        <v>888</v>
      </c>
      <c r="J98">
        <f>VLOOKUP(F98,[1]!china_towns_second__2[[Column1]:[Y]],3,FALSE)</f>
        <v>36.558555591368403</v>
      </c>
      <c r="K98">
        <f>VLOOKUP(F98,[1]!china_towns_second__2[[Column1]:[Y]],2,FALSE)</f>
        <v>102.00015139999999</v>
      </c>
      <c r="L98" t="s">
        <v>1209</v>
      </c>
      <c r="M98" t="str">
        <f>VLOOKUP(H98,CHOOSE({1,2},Table9[Native],Table9[Name]),2,0)</f>
        <v>Hùzhù Tŭzú Zìzhìxiàn</v>
      </c>
      <c r="N98" s="13" t="str">
        <f>VLOOKUP(I98,CHOOSE({1,2},Table9[Native],Table9[Name]),2,0)</f>
        <v>Hăidōng Shì</v>
      </c>
      <c r="O98" s="13" t="str">
        <f t="shared" si="6"/>
        <v>Gaozhai Zhen (Hăidōng Shì)</v>
      </c>
      <c r="P98" s="13" t="str">
        <f t="shared" si="7"/>
        <v>Gaozhai Zhen (Hăidōng Shì)</v>
      </c>
    </row>
    <row r="99" spans="1:16" hidden="1" x14ac:dyDescent="0.25">
      <c r="A99" t="s">
        <v>385</v>
      </c>
      <c r="B99" t="str">
        <f t="shared" si="4"/>
        <v>Găràng Xiāng</v>
      </c>
      <c r="C99" t="str">
        <f t="shared" si="5"/>
        <v>Găràng Xiāng</v>
      </c>
      <c r="D99" t="s">
        <v>386</v>
      </c>
      <c r="E99" t="s">
        <v>7</v>
      </c>
      <c r="F99" t="str">
        <f>_xlfn.CONCAT(D99,", ",H99,", ",I99,", ","青海省")</f>
        <v>尕让乡, 贵德县, 海南藏族自治州, 青海省</v>
      </c>
      <c r="G99">
        <v>12789</v>
      </c>
      <c r="H99" t="s">
        <v>899</v>
      </c>
      <c r="I99" t="s">
        <v>897</v>
      </c>
      <c r="J99" t="e">
        <f>VLOOKUP(F99,[1]!china_towns_second__2[[Column1]:[Y]],3,FALSE)</f>
        <v>#N/A</v>
      </c>
      <c r="K99" t="e">
        <f>VLOOKUP(F99,[1]!china_towns_second__2[[Column1]:[Y]],2,FALSE)</f>
        <v>#N/A</v>
      </c>
      <c r="L99" t="s">
        <v>1210</v>
      </c>
      <c r="M99" t="str">
        <f>VLOOKUP(H99,CHOOSE({1,2},Table9[Native],Table9[Name]),2,0)</f>
        <v>Guìdé Xiàn</v>
      </c>
      <c r="N99" s="13" t="str">
        <f>VLOOKUP(I99,CHOOSE({1,2},Table9[Native],Table9[Name]),2,0)</f>
        <v>Hăinán Zàngzú Zìzhìzhōu</v>
      </c>
      <c r="O99" s="13" t="str">
        <f t="shared" si="6"/>
        <v>Garang Xiang (Hăinán Zàngzú Zìzhìzhōu)</v>
      </c>
      <c r="P99" s="13" t="str">
        <f t="shared" si="7"/>
        <v>Garang Xiang (Hăinán Zàngzú Zìzhìzhōu)</v>
      </c>
    </row>
    <row r="100" spans="1:16" hidden="1" x14ac:dyDescent="0.25">
      <c r="A100" t="s">
        <v>800</v>
      </c>
      <c r="B100" t="str">
        <f t="shared" si="4"/>
        <v>Găyáng Xiāng</v>
      </c>
      <c r="C100" t="str">
        <f t="shared" si="5"/>
        <v>Găyáng Xiāng</v>
      </c>
      <c r="D100" t="s">
        <v>801</v>
      </c>
      <c r="E100" t="s">
        <v>7</v>
      </c>
      <c r="F100" t="str">
        <f>_xlfn.CONCAT(D100,", ",H100,", ",I100,", ","青海省")</f>
        <v>尕羊乡, 囊谦县, 玉树藏族自治州, 青海省</v>
      </c>
      <c r="G100">
        <v>2917</v>
      </c>
      <c r="H100" t="s">
        <v>934</v>
      </c>
      <c r="I100" t="s">
        <v>932</v>
      </c>
      <c r="J100" t="e">
        <f>VLOOKUP(F100,[1]!china_towns_second__2[[Column1]:[Y]],3,FALSE)</f>
        <v>#N/A</v>
      </c>
      <c r="K100" t="e">
        <f>VLOOKUP(F100,[1]!china_towns_second__2[[Column1]:[Y]],2,FALSE)</f>
        <v>#N/A</v>
      </c>
      <c r="L100" t="s">
        <v>1211</v>
      </c>
      <c r="M100" t="str">
        <f>VLOOKUP(H100,CHOOSE({1,2},Table9[Native],Table9[Name]),2,0)</f>
        <v>Nángqiān Xiàn</v>
      </c>
      <c r="N100" s="13" t="str">
        <f>VLOOKUP(I100,CHOOSE({1,2},Table9[Native],Table9[Name]),2,0)</f>
        <v>Yùshù Zàngzú Zìzhìzhōu</v>
      </c>
      <c r="O100" s="13" t="str">
        <f t="shared" si="6"/>
        <v>Gayang Xiang (Yùshù Zàngzú Zìzhìzhōu)</v>
      </c>
      <c r="P100" s="13" t="str">
        <f t="shared" si="7"/>
        <v>Gayang Xiang (Yùshù Zàngzú Zìzhìzhōu)</v>
      </c>
    </row>
    <row r="101" spans="1:16" hidden="1" x14ac:dyDescent="0.25">
      <c r="A101" t="s">
        <v>478</v>
      </c>
      <c r="B101" t="str">
        <f t="shared" si="4"/>
        <v>Gé'ĕrmù Nóngkĕn Yŏuxiàn Gōngsī</v>
      </c>
      <c r="C101" t="str">
        <f t="shared" si="5"/>
        <v>Gé'ĕrmù Nóngkĕn Yŏuxiàn Gōngsī</v>
      </c>
      <c r="D101" t="s">
        <v>479</v>
      </c>
      <c r="E101" t="s">
        <v>133</v>
      </c>
      <c r="F101" t="str">
        <f>_xlfn.CONCAT(D101,", ",H101,", ",I101,", ","青海省")</f>
        <v>格尔木农垦有限公司, 格尔木市, 海西蒙古族藏族自治州, 青海省</v>
      </c>
      <c r="G101">
        <v>11771</v>
      </c>
      <c r="H101" t="s">
        <v>912</v>
      </c>
      <c r="I101" t="s">
        <v>905</v>
      </c>
      <c r="J101">
        <f>VLOOKUP(F101,[1]!china_towns_second__2[[Column1]:[Y]],3,FALSE)</f>
        <v>36.446091789300503</v>
      </c>
      <c r="K101">
        <f>VLOOKUP(F101,[1]!china_towns_second__2[[Column1]:[Y]],2,FALSE)</f>
        <v>94.811847869999994</v>
      </c>
      <c r="L101" t="s">
        <v>1212</v>
      </c>
      <c r="M101" t="str">
        <f>VLOOKUP(H101,CHOOSE({1,2},Table9[Native],Table9[Name]),2,0)</f>
        <v>Gé'ĕrmù Shì</v>
      </c>
      <c r="N101" s="13" t="str">
        <f>VLOOKUP(I101,CHOOSE({1,2},Table9[Native],Table9[Name]),2,0)</f>
        <v>Hăixī Mĕnggŭzú Zàngzú Zìzhìzhōu</v>
      </c>
      <c r="O101" s="13" t="str">
        <f t="shared" si="6"/>
        <v>Ge'ermu Nongken Youxian Gongsi (Hăixī Mĕnggŭzú Zàngzú Zìzhìzhōu)</v>
      </c>
      <c r="P101" s="13" t="str">
        <f t="shared" si="7"/>
        <v>Ge'ermu Nongken Youxian Gongsi (Hăixī Mĕnggŭzú Zàngzú Zìzhìzhōu)</v>
      </c>
    </row>
    <row r="102" spans="1:16" hidden="1" x14ac:dyDescent="0.25">
      <c r="A102" t="s">
        <v>240</v>
      </c>
      <c r="B102" t="str">
        <f t="shared" si="4"/>
        <v>Gōngbóxiá Guănlĭ Wĕiyuánhuì</v>
      </c>
      <c r="C102" t="str">
        <f t="shared" si="5"/>
        <v>Gōngbóxiá Guănlĭ Wĕiyuánhuì</v>
      </c>
      <c r="D102" t="s">
        <v>241</v>
      </c>
      <c r="E102" t="s">
        <v>133</v>
      </c>
      <c r="F102" t="str">
        <f>_xlfn.CONCAT(D102,", ",H102,", ",I102,", ","青海省")</f>
        <v>公伯峡管理委员会, 化隆回族自治县, 海东市, 青海省</v>
      </c>
      <c r="G102">
        <v>3097</v>
      </c>
      <c r="H102" t="s">
        <v>889</v>
      </c>
      <c r="I102" t="s">
        <v>888</v>
      </c>
      <c r="J102">
        <f>VLOOKUP(F102,[1]!china_towns_second__2[[Column1]:[Y]],3,FALSE)</f>
        <v>35.893705478073599</v>
      </c>
      <c r="K102">
        <f>VLOOKUP(F102,[1]!china_towns_second__2[[Column1]:[Y]],2,FALSE)</f>
        <v>102.2639037</v>
      </c>
      <c r="L102" t="s">
        <v>1213</v>
      </c>
      <c r="M102" t="str">
        <f>VLOOKUP(H102,CHOOSE({1,2},Table9[Native],Table9[Name]),2,0)</f>
        <v>Huàlóng Huízú Zìzhìxiàn</v>
      </c>
      <c r="N102" s="13" t="str">
        <f>VLOOKUP(I102,CHOOSE({1,2},Table9[Native],Table9[Name]),2,0)</f>
        <v>Hăidōng Shì</v>
      </c>
      <c r="O102" s="13" t="str">
        <f t="shared" si="6"/>
        <v>Gongboxia Guanli Weiyuanhui (Hăidōng Shì)</v>
      </c>
      <c r="P102" s="13" t="str">
        <f t="shared" si="7"/>
        <v>Gongboxia Guanli Weiyuanhui (Hăidōng Shì)</v>
      </c>
    </row>
    <row r="103" spans="1:16" hidden="1" x14ac:dyDescent="0.25">
      <c r="A103" t="s">
        <v>242</v>
      </c>
      <c r="B103" t="str">
        <f t="shared" si="4"/>
        <v>Gònghé Xiāng</v>
      </c>
      <c r="C103" t="str">
        <f t="shared" si="5"/>
        <v>Gònghé Xiāng</v>
      </c>
      <c r="D103" t="s">
        <v>243</v>
      </c>
      <c r="E103" t="s">
        <v>7</v>
      </c>
      <c r="F103" t="str">
        <f>_xlfn.CONCAT(D103,", ",H103,", ",I103,", ","青海省")</f>
        <v>共和乡, 乐都区, 海东市, 青海省</v>
      </c>
      <c r="G103">
        <v>7473</v>
      </c>
      <c r="H103" t="s">
        <v>892</v>
      </c>
      <c r="I103" t="s">
        <v>888</v>
      </c>
      <c r="J103" t="e">
        <f>VLOOKUP(F103,[1]!china_towns_second__2[[Column1]:[Y]],3,FALSE)</f>
        <v>#N/A</v>
      </c>
      <c r="K103" t="e">
        <f>VLOOKUP(F103,[1]!china_towns_second__2[[Column1]:[Y]],2,FALSE)</f>
        <v>#N/A</v>
      </c>
      <c r="L103" t="s">
        <v>1214</v>
      </c>
      <c r="M103" t="str">
        <f>VLOOKUP(H103,CHOOSE({1,2},Table9[Native],Table9[Name]),2,0)</f>
        <v>Lèdū Qū</v>
      </c>
      <c r="N103" s="13" t="str">
        <f>VLOOKUP(I103,CHOOSE({1,2},Table9[Native],Table9[Name]),2,0)</f>
        <v>Hăidōng Shì</v>
      </c>
      <c r="O103" s="13" t="str">
        <f t="shared" si="6"/>
        <v>Gonghe Xiang (Hăidōng Shì)</v>
      </c>
      <c r="P103" s="13" t="str">
        <f t="shared" si="7"/>
        <v>Gonghe Xiang (Hăidōng Shì)</v>
      </c>
    </row>
    <row r="104" spans="1:16" x14ac:dyDescent="0.25">
      <c r="A104" t="s">
        <v>667</v>
      </c>
      <c r="B104" t="str">
        <f t="shared" si="4"/>
        <v>Gònghé Zhèn</v>
      </c>
      <c r="C104" t="str">
        <f t="shared" si="5"/>
        <v>Gònghé Zhèn</v>
      </c>
      <c r="D104" t="s">
        <v>668</v>
      </c>
      <c r="E104" t="s">
        <v>19</v>
      </c>
      <c r="F104" t="str">
        <f>_xlfn.CONCAT(D104,", ",H104,", ",I104,", ","青海省")</f>
        <v>共和镇, 湟中区, 西宁市, 青海省</v>
      </c>
      <c r="G104">
        <v>29323</v>
      </c>
      <c r="H104" t="s">
        <v>930</v>
      </c>
      <c r="I104" t="s">
        <v>923</v>
      </c>
      <c r="J104">
        <f>VLOOKUP(F104,[1]!china_towns_second__2[[Column1]:[Y]],3,FALSE)</f>
        <v>36.560502182274298</v>
      </c>
      <c r="K104">
        <f>VLOOKUP(F104,[1]!china_towns_second__2[[Column1]:[Y]],2,FALSE)</f>
        <v>101.37198669999999</v>
      </c>
      <c r="L104" t="s">
        <v>1215</v>
      </c>
      <c r="M104" t="str">
        <f>VLOOKUP(H104,CHOOSE({1,2},Table9[Native],Table9[Name]),2,0)</f>
        <v>Huángzhōng Qū</v>
      </c>
      <c r="N104" s="13" t="str">
        <f>VLOOKUP(I104,CHOOSE({1,2},Table9[Native],Table9[Name]),2,0)</f>
        <v>Xīníng Shì</v>
      </c>
      <c r="O104" s="13" t="str">
        <f t="shared" si="6"/>
        <v>Gonghe Zhen (Xīníng Shì)</v>
      </c>
      <c r="P104" s="13" t="str">
        <f t="shared" si="7"/>
        <v>Gonghe Zhen (Xīníng Shì)</v>
      </c>
    </row>
    <row r="105" spans="1:16" hidden="1" x14ac:dyDescent="0.25">
      <c r="A105" t="s">
        <v>480</v>
      </c>
      <c r="B105" t="str">
        <f t="shared" si="4"/>
        <v>Gōulĭ Xiāng</v>
      </c>
      <c r="C105" t="str">
        <f t="shared" si="5"/>
        <v>Gōulĭ Xiāng</v>
      </c>
      <c r="D105" t="s">
        <v>481</v>
      </c>
      <c r="E105" t="s">
        <v>7</v>
      </c>
      <c r="F105" t="str">
        <f>_xlfn.CONCAT(D105,", ",H105,", ",I105,", ","青海省")</f>
        <v>沟里乡, 都兰县, 海西蒙古族藏族自治州, 青海省</v>
      </c>
      <c r="G105">
        <v>1989</v>
      </c>
      <c r="H105" t="s">
        <v>911</v>
      </c>
      <c r="I105" t="s">
        <v>905</v>
      </c>
      <c r="J105" t="e">
        <f>VLOOKUP(F105,[1]!china_towns_second__2[[Column1]:[Y]],3,FALSE)</f>
        <v>#N/A</v>
      </c>
      <c r="K105" t="e">
        <f>VLOOKUP(F105,[1]!china_towns_second__2[[Column1]:[Y]],2,FALSE)</f>
        <v>#N/A</v>
      </c>
      <c r="L105" t="s">
        <v>1216</v>
      </c>
      <c r="M105" t="str">
        <f>VLOOKUP(H105,CHOOSE({1,2},Table9[Native],Table9[Name]),2,0)</f>
        <v>Dūlán Xiàn</v>
      </c>
      <c r="N105" s="13" t="str">
        <f>VLOOKUP(I105,CHOOSE({1,2},Table9[Native],Table9[Name]),2,0)</f>
        <v>Hăixī Mĕnggŭzú Zàngzú Zìzhìzhōu</v>
      </c>
      <c r="O105" s="13" t="str">
        <f t="shared" si="6"/>
        <v>Gouli Xiang (Hăixī Mĕnggŭzú Zàngzú Zìzhìzhōu)</v>
      </c>
      <c r="P105" s="13" t="str">
        <f t="shared" si="7"/>
        <v>Gouli Xiang (Hăixī Mĕnggŭzú Zàngzú Zìzhìzhōu)</v>
      </c>
    </row>
    <row r="106" spans="1:16" x14ac:dyDescent="0.25">
      <c r="A106" t="s">
        <v>244</v>
      </c>
      <c r="B106" t="str">
        <f t="shared" si="4"/>
        <v>Guāntíng Zhèn</v>
      </c>
      <c r="C106" t="str">
        <f t="shared" si="5"/>
        <v>Guāntíng Zhèn</v>
      </c>
      <c r="D106" t="s">
        <v>245</v>
      </c>
      <c r="E106" t="s">
        <v>19</v>
      </c>
      <c r="F106" t="str">
        <f>_xlfn.CONCAT(D106,", ",H106,", ",I106,", ","青海省")</f>
        <v>官亭镇, 民和回族土族自治县, 海东市, 青海省</v>
      </c>
      <c r="G106">
        <v>15778</v>
      </c>
      <c r="H106" t="s">
        <v>893</v>
      </c>
      <c r="I106" t="s">
        <v>888</v>
      </c>
      <c r="J106">
        <f>VLOOKUP(F106,[1]!china_towns_second__2[[Column1]:[Y]],3,FALSE)</f>
        <v>35.881533853430298</v>
      </c>
      <c r="K106">
        <f>VLOOKUP(F106,[1]!china_towns_second__2[[Column1]:[Y]],2,FALSE)</f>
        <v>102.7480049</v>
      </c>
      <c r="L106" t="s">
        <v>1217</v>
      </c>
      <c r="M106" t="str">
        <f>VLOOKUP(H106,CHOOSE({1,2},Table9[Native],Table9[Name]),2,0)</f>
        <v>Mínhé Huízú Tŭzú Zìzhìxiàn</v>
      </c>
      <c r="N106" s="13" t="str">
        <f>VLOOKUP(I106,CHOOSE({1,2},Table9[Native],Table9[Name]),2,0)</f>
        <v>Hăidōng Shì</v>
      </c>
      <c r="O106" s="13" t="str">
        <f t="shared" si="6"/>
        <v>Guanting Zhen (Hăidōng Shì)</v>
      </c>
      <c r="P106" s="13" t="str">
        <f t="shared" si="7"/>
        <v>Guanting Zhen (Hăidōng Shì)</v>
      </c>
    </row>
    <row r="107" spans="1:16" hidden="1" x14ac:dyDescent="0.25">
      <c r="A107" t="s">
        <v>575</v>
      </c>
      <c r="B107" t="str">
        <f t="shared" si="4"/>
        <v>Guāshízé Xiāng</v>
      </c>
      <c r="C107" t="str">
        <f t="shared" si="5"/>
        <v>Guāshízé Xiāng</v>
      </c>
      <c r="D107" t="s">
        <v>576</v>
      </c>
      <c r="E107" t="s">
        <v>7</v>
      </c>
      <c r="F107" t="str">
        <f>_xlfn.CONCAT(D107,", ",H107,", ",I107,", ","青海省")</f>
        <v>瓜什则乡, 同仁市, 黄南藏族自治州, 青海省</v>
      </c>
      <c r="G107">
        <v>4355</v>
      </c>
      <c r="H107" t="s">
        <v>920</v>
      </c>
      <c r="I107" t="s">
        <v>917</v>
      </c>
      <c r="J107" t="e">
        <f>VLOOKUP(F107,[1]!china_towns_second__2[[Column1]:[Y]],3,FALSE)</f>
        <v>#N/A</v>
      </c>
      <c r="K107" t="e">
        <f>VLOOKUP(F107,[1]!china_towns_second__2[[Column1]:[Y]],2,FALSE)</f>
        <v>#N/A</v>
      </c>
      <c r="L107" t="s">
        <v>1218</v>
      </c>
      <c r="M107" t="str">
        <f>VLOOKUP(H107,CHOOSE({1,2},Table9[Native],Table9[Name]),2,0)</f>
        <v>Tóngrén Shì</v>
      </c>
      <c r="N107" s="13" t="str">
        <f>VLOOKUP(I107,CHOOSE({1,2},Table9[Native],Table9[Name]),2,0)</f>
        <v>Huángnán Zàngzú Zìzhìzhōu</v>
      </c>
      <c r="O107" s="13" t="str">
        <f t="shared" si="6"/>
        <v>Guashize Xiang (Huángnán Zàngzú Zìzhìzhōu)</v>
      </c>
      <c r="P107" s="13" t="str">
        <f t="shared" si="7"/>
        <v>Guashize Xiang (Huángnán Zàngzú Zìzhìzhōu)</v>
      </c>
    </row>
    <row r="108" spans="1:16" hidden="1" x14ac:dyDescent="0.25">
      <c r="A108" t="s">
        <v>246</v>
      </c>
      <c r="B108" t="str">
        <f t="shared" si="4"/>
        <v>Gŭchéng Xiāng</v>
      </c>
      <c r="C108" t="str">
        <f t="shared" si="5"/>
        <v>Gŭchéng Xiāng</v>
      </c>
      <c r="D108" t="s">
        <v>247</v>
      </c>
      <c r="E108" t="s">
        <v>7</v>
      </c>
      <c r="F108" t="str">
        <f>_xlfn.CONCAT(D108,", ",H108,", ",I108,", ","青海省")</f>
        <v>古城乡, 平安区, 海东市, 青海省</v>
      </c>
      <c r="G108">
        <v>8650</v>
      </c>
      <c r="H108" t="s">
        <v>894</v>
      </c>
      <c r="I108" t="s">
        <v>888</v>
      </c>
      <c r="J108" t="e">
        <f>VLOOKUP(F108,[1]!china_towns_second__2[[Column1]:[Y]],3,FALSE)</f>
        <v>#N/A</v>
      </c>
      <c r="K108" t="e">
        <f>VLOOKUP(F108,[1]!china_towns_second__2[[Column1]:[Y]],2,FALSE)</f>
        <v>#N/A</v>
      </c>
      <c r="L108" t="s">
        <v>1219</v>
      </c>
      <c r="M108" t="str">
        <f>VLOOKUP(H108,CHOOSE({1,2},Table9[Native],Table9[Name]),2,0)</f>
        <v>Píng'ān Qū</v>
      </c>
      <c r="N108" s="13" t="str">
        <f>VLOOKUP(I108,CHOOSE({1,2},Table9[Native],Table9[Name]),2,0)</f>
        <v>Hăidōng Shì</v>
      </c>
      <c r="O108" s="13" t="str">
        <f t="shared" si="6"/>
        <v>Gucheng Xiang (Hăidōng Shì)</v>
      </c>
      <c r="P108" s="13" t="str">
        <f t="shared" si="7"/>
        <v>Gucheng Xiang (Hăidōng Shì)</v>
      </c>
    </row>
    <row r="109" spans="1:16" hidden="1" x14ac:dyDescent="0.25">
      <c r="A109" t="s">
        <v>669</v>
      </c>
      <c r="B109" t="str">
        <f t="shared" si="4"/>
        <v>Gŭchéngtái Jiēdào</v>
      </c>
      <c r="C109" t="str">
        <f t="shared" si="5"/>
        <v>Gŭchéngtái Jiēdào</v>
      </c>
      <c r="D109" t="s">
        <v>670</v>
      </c>
      <c r="E109" t="s">
        <v>488</v>
      </c>
      <c r="F109" t="str">
        <f>_xlfn.CONCAT(D109,", ",H109,", ",I109,", ","青海省")</f>
        <v>古城台街道, 城西区, 西宁市, 青海省</v>
      </c>
      <c r="G109">
        <v>38045</v>
      </c>
      <c r="H109" t="s">
        <v>926</v>
      </c>
      <c r="I109" t="s">
        <v>923</v>
      </c>
      <c r="J109">
        <f>VLOOKUP(F109,[1]!china_towns_second__2[[Column1]:[Y]],3,FALSE)</f>
        <v>36.6260063749571</v>
      </c>
      <c r="K109">
        <f>VLOOKUP(F109,[1]!china_towns_second__2[[Column1]:[Y]],2,FALSE)</f>
        <v>101.75485620000001</v>
      </c>
      <c r="L109" t="s">
        <v>1220</v>
      </c>
      <c r="M109" t="str">
        <f>VLOOKUP(H109,CHOOSE({1,2},Table9[Native],Table9[Name]),2,0)</f>
        <v>Chéngxī Qū</v>
      </c>
      <c r="N109" s="13" t="str">
        <f>VLOOKUP(I109,CHOOSE({1,2},Table9[Native],Table9[Name]),2,0)</f>
        <v>Xīníng Shì</v>
      </c>
      <c r="O109" s="13" t="str">
        <f t="shared" si="6"/>
        <v>Guchengtai Jiedao (Xīníng Shì)</v>
      </c>
      <c r="P109" s="13" t="str">
        <f t="shared" si="7"/>
        <v>Guchengtai Jiedao (Xīníng Shì)</v>
      </c>
    </row>
    <row r="110" spans="1:16" hidden="1" x14ac:dyDescent="0.25">
      <c r="A110" t="s">
        <v>387</v>
      </c>
      <c r="B110" t="str">
        <f t="shared" si="4"/>
        <v>Guìnán Căoyè Kāifā Yŏuxiàn Zérèn Gōngsī</v>
      </c>
      <c r="C110" t="str">
        <f t="shared" si="5"/>
        <v>Guìnán Căoyè Kāifā Yŏuxiàn Zérèn Gōngsī</v>
      </c>
      <c r="D110" t="s">
        <v>388</v>
      </c>
      <c r="E110" t="s">
        <v>133</v>
      </c>
      <c r="F110" t="str">
        <f>_xlfn.CONCAT(D110,", ",H110,", ",I110,", ","青海省")</f>
        <v>贵南草业开发有限责任公司, 贵南县, 海南藏族自治州, 青海省</v>
      </c>
      <c r="G110">
        <v>8314</v>
      </c>
      <c r="H110" t="s">
        <v>900</v>
      </c>
      <c r="I110" t="s">
        <v>897</v>
      </c>
      <c r="J110">
        <f>VLOOKUP(F110,[1]!china_towns_second__2[[Column1]:[Y]],3,FALSE)</f>
        <v>35.723071229638997</v>
      </c>
      <c r="K110">
        <f>VLOOKUP(F110,[1]!china_towns_second__2[[Column1]:[Y]],2,FALSE)</f>
        <v>100.83767520000001</v>
      </c>
      <c r="L110" t="s">
        <v>1221</v>
      </c>
      <c r="M110" t="str">
        <f>VLOOKUP(H110,CHOOSE({1,2},Table9[Native],Table9[Name]),2,0)</f>
        <v>Guìnán Xiàn</v>
      </c>
      <c r="N110" s="13" t="str">
        <f>VLOOKUP(I110,CHOOSE({1,2},Table9[Native],Table9[Name]),2,0)</f>
        <v>Hăinán Zàngzú Zìzhìzhōu</v>
      </c>
      <c r="O110" s="13" t="str">
        <f t="shared" si="6"/>
        <v>Guinan Caoye Kaifa Youxian Zeren Gongsi (Hăinán Zàngzú Zìzhìzhōu)</v>
      </c>
      <c r="P110" s="13" t="str">
        <f t="shared" si="7"/>
        <v>Guinan Caoye Kaifa Youxian Zeren Gongsi (Hăinán Zàngzú Zìzhìzhōu)</v>
      </c>
    </row>
    <row r="111" spans="1:16" x14ac:dyDescent="0.25">
      <c r="A111" t="s">
        <v>482</v>
      </c>
      <c r="B111" t="str">
        <f t="shared" si="4"/>
        <v>Guōlèmùdé Zhèn</v>
      </c>
      <c r="C111" t="str">
        <f t="shared" si="5"/>
        <v>Guōlèmùdé Zhèn</v>
      </c>
      <c r="D111" t="s">
        <v>483</v>
      </c>
      <c r="E111" t="s">
        <v>19</v>
      </c>
      <c r="F111" t="str">
        <f>_xlfn.CONCAT(D111,", ",H111,", ",I111,", ","青海省")</f>
        <v>郭勒木德镇, 格尔木市, 海西蒙古族藏族自治州, 青海省</v>
      </c>
      <c r="G111">
        <v>31941</v>
      </c>
      <c r="H111" t="s">
        <v>912</v>
      </c>
      <c r="I111" t="s">
        <v>905</v>
      </c>
      <c r="J111">
        <f>VLOOKUP(F111,[1]!china_towns_second__2[[Column1]:[Y]],3,FALSE)</f>
        <v>35.971011532464303</v>
      </c>
      <c r="K111">
        <f>VLOOKUP(F111,[1]!china_towns_second__2[[Column1]:[Y]],2,FALSE)</f>
        <v>93.712576279999993</v>
      </c>
      <c r="L111" t="s">
        <v>1222</v>
      </c>
      <c r="M111" t="str">
        <f>VLOOKUP(H111,CHOOSE({1,2},Table9[Native],Table9[Name]),2,0)</f>
        <v>Gé'ĕrmù Shì</v>
      </c>
      <c r="N111" s="13" t="str">
        <f>VLOOKUP(I111,CHOOSE({1,2},Table9[Native],Table9[Name]),2,0)</f>
        <v>Hăixī Mĕnggŭzú Zàngzú Zìzhìzhōu</v>
      </c>
      <c r="O111" s="13" t="str">
        <f t="shared" si="6"/>
        <v>Guolemude Zhen (Hăixī Mĕnggŭzú Zàngzú Zìzhìzhōu)</v>
      </c>
      <c r="P111" s="13" t="str">
        <f t="shared" si="7"/>
        <v>Guolemude Zhen (Hăixī Mĕnggŭzú Zàngzú Zìzhìzhōu)</v>
      </c>
    </row>
    <row r="112" spans="1:16" x14ac:dyDescent="0.25">
      <c r="A112" t="s">
        <v>390</v>
      </c>
      <c r="B112" t="str">
        <f t="shared" si="4"/>
        <v>Guòmăyíng Zhèn</v>
      </c>
      <c r="C112" t="str">
        <f t="shared" si="5"/>
        <v>Guòmăyíng Zhèn</v>
      </c>
      <c r="D112" t="s">
        <v>391</v>
      </c>
      <c r="E112" t="s">
        <v>19</v>
      </c>
      <c r="F112" t="str">
        <f>_xlfn.CONCAT(D112,", ",H112,", ",I112,", ","青海省")</f>
        <v>过马营镇, 贵南县, 海南藏族自治州, 青海省</v>
      </c>
      <c r="G112">
        <v>14078</v>
      </c>
      <c r="H112" t="s">
        <v>900</v>
      </c>
      <c r="I112" t="s">
        <v>897</v>
      </c>
      <c r="J112">
        <f>VLOOKUP(F112,[1]!china_towns_second__2[[Column1]:[Y]],3,FALSE)</f>
        <v>35.801544628359601</v>
      </c>
      <c r="K112">
        <f>VLOOKUP(F112,[1]!china_towns_second__2[[Column1]:[Y]],2,FALSE)</f>
        <v>101.19647190000001</v>
      </c>
      <c r="L112" t="s">
        <v>1223</v>
      </c>
      <c r="M112" t="str">
        <f>VLOOKUP(H112,CHOOSE({1,2},Table9[Native],Table9[Name]),2,0)</f>
        <v>Guìnán Xiàn</v>
      </c>
      <c r="N112" s="13" t="str">
        <f>VLOOKUP(I112,CHOOSE({1,2},Table9[Native],Table9[Name]),2,0)</f>
        <v>Hăinán Zàngzú Zìzhìzhōu</v>
      </c>
      <c r="O112" s="13" t="str">
        <f t="shared" si="6"/>
        <v>Guomaying Zhen (Hăinán Zàngzú Zìzhìzhōu)</v>
      </c>
      <c r="P112" s="13" t="str">
        <f t="shared" si="7"/>
        <v>Guomaying Zhen (Hăinán Zàngzú Zìzhìzhōu)</v>
      </c>
    </row>
    <row r="113" spans="1:16" x14ac:dyDescent="0.25">
      <c r="A113" t="s">
        <v>248</v>
      </c>
      <c r="B113" t="str">
        <f t="shared" si="4"/>
        <v>Gŭshàn Zhèn</v>
      </c>
      <c r="C113" t="str">
        <f t="shared" si="5"/>
        <v>Gŭshàn Zhèn</v>
      </c>
      <c r="D113" t="s">
        <v>249</v>
      </c>
      <c r="E113" t="s">
        <v>19</v>
      </c>
      <c r="F113" t="str">
        <f>_xlfn.CONCAT(D113,", ",H113,", ",I113,", ","青海省")</f>
        <v>古鄯镇, 民和回族土族自治县, 海东市, 青海省</v>
      </c>
      <c r="G113">
        <v>21856</v>
      </c>
      <c r="H113" t="s">
        <v>893</v>
      </c>
      <c r="I113" t="s">
        <v>888</v>
      </c>
      <c r="J113">
        <f>VLOOKUP(F113,[1]!china_towns_second__2[[Column1]:[Y]],3,FALSE)</f>
        <v>36.098339134497699</v>
      </c>
      <c r="K113">
        <f>VLOOKUP(F113,[1]!china_towns_second__2[[Column1]:[Y]],2,FALSE)</f>
        <v>102.72853310000001</v>
      </c>
      <c r="L113" t="s">
        <v>1224</v>
      </c>
      <c r="M113" t="str">
        <f>VLOOKUP(H113,CHOOSE({1,2},Table9[Native],Table9[Name]),2,0)</f>
        <v>Mínhé Huízú Tŭzú Zìzhìxiàn</v>
      </c>
      <c r="N113" s="13" t="str">
        <f>VLOOKUP(I113,CHOOSE({1,2},Table9[Native],Table9[Name]),2,0)</f>
        <v>Hăidōng Shì</v>
      </c>
      <c r="O113" s="13" t="str">
        <f t="shared" si="6"/>
        <v>Gushan Zhen (Hăidōng Shì)</v>
      </c>
      <c r="P113" s="13" t="str">
        <f t="shared" si="7"/>
        <v>Gushan Zhen (Hăidōng Shì)</v>
      </c>
    </row>
    <row r="114" spans="1:16" x14ac:dyDescent="0.25">
      <c r="A114" t="s">
        <v>116</v>
      </c>
      <c r="B114" t="str">
        <f t="shared" si="4"/>
        <v>Hā'ĕrgài Zhèn</v>
      </c>
      <c r="C114" t="str">
        <f t="shared" si="5"/>
        <v>Hā'ĕrgài Zhèn</v>
      </c>
      <c r="D114" t="s">
        <v>117</v>
      </c>
      <c r="E114" t="s">
        <v>19</v>
      </c>
      <c r="F114" t="str">
        <f>_xlfn.CONCAT(D114,", ",H114,", ",I114,", ","青海省")</f>
        <v>哈尔盖镇, 刚察县, 海北藏族自治州, 青海省</v>
      </c>
      <c r="G114">
        <v>11128</v>
      </c>
      <c r="H114" t="s">
        <v>881</v>
      </c>
      <c r="I114" t="s">
        <v>880</v>
      </c>
      <c r="J114">
        <f>VLOOKUP(F114,[1]!china_towns_second__2[[Column1]:[Y]],3,FALSE)</f>
        <v>37.361311015596499</v>
      </c>
      <c r="K114">
        <f>VLOOKUP(F114,[1]!china_towns_second__2[[Column1]:[Y]],2,FALSE)</f>
        <v>100.43485339999999</v>
      </c>
      <c r="L114" t="s">
        <v>1225</v>
      </c>
      <c r="M114" t="str">
        <f>VLOOKUP(H114,CHOOSE({1,2},Table9[Native],Table9[Name]),2,0)</f>
        <v>Gāngchá Xiàn</v>
      </c>
      <c r="N114" s="13" t="str">
        <f>VLOOKUP(I114,CHOOSE({1,2},Table9[Native],Table9[Name]),2,0)</f>
        <v>Hăibĕi Zàngzú Zìzhìzhōu</v>
      </c>
      <c r="O114" s="13" t="str">
        <f t="shared" si="6"/>
        <v>Ha'ergai Zhen (Hăibĕi Zàngzú Zìzhìzhōu)</v>
      </c>
      <c r="P114" s="13" t="str">
        <f t="shared" si="7"/>
        <v>Ha'ergai Zhen (Hăibĕi Zàngzú Zìzhìzhōu)</v>
      </c>
    </row>
    <row r="115" spans="1:16" hidden="1" x14ac:dyDescent="0.25">
      <c r="A115" t="s">
        <v>484</v>
      </c>
      <c r="B115" t="str">
        <f t="shared" si="4"/>
        <v>Hăixī Zhōumòhé Chùmù Chăng</v>
      </c>
      <c r="C115" t="str">
        <f t="shared" si="5"/>
        <v>Hăixī Zhōumòhé Chùmù Chăng</v>
      </c>
      <c r="D115" t="s">
        <v>485</v>
      </c>
      <c r="E115" t="s">
        <v>133</v>
      </c>
      <c r="F115" t="str">
        <f>_xlfn.CONCAT(D115,", ",H115,", ",I115,", ","青海省")</f>
        <v>海西州莫河畜牧场, 乌兰县, 海西蒙古族藏族自治州, 青海省</v>
      </c>
      <c r="G115">
        <v>493</v>
      </c>
      <c r="H115" t="s">
        <v>915</v>
      </c>
      <c r="I115" t="s">
        <v>905</v>
      </c>
      <c r="J115">
        <f>VLOOKUP(F115,[1]!china_towns_second__2[[Column1]:[Y]],3,FALSE)</f>
        <v>36.675250568237402</v>
      </c>
      <c r="K115">
        <f>VLOOKUP(F115,[1]!china_towns_second__2[[Column1]:[Y]],2,FALSE)</f>
        <v>98.900661389999996</v>
      </c>
      <c r="L115" t="s">
        <v>1226</v>
      </c>
      <c r="M115" t="str">
        <f>VLOOKUP(H115,CHOOSE({1,2},Table9[Native],Table9[Name]),2,0)</f>
        <v>Wūlán Xiàn</v>
      </c>
      <c r="N115" s="13" t="str">
        <f>VLOOKUP(I115,CHOOSE({1,2},Table9[Native],Table9[Name]),2,0)</f>
        <v>Hăixī Mĕnggŭzú Zàngzú Zìzhìzhōu</v>
      </c>
      <c r="O115" s="13" t="str">
        <f t="shared" si="6"/>
        <v>Haixi Zhoumohe Chumu Chang (Hăixī Mĕnggŭzú Zàngzú Zìzhìzhōu)</v>
      </c>
      <c r="P115" s="13" t="str">
        <f t="shared" si="7"/>
        <v>Haixi Zhoumohe Chumu Chang (Hăixī Mĕnggŭzú Zàngzú Zìzhìzhōu)</v>
      </c>
    </row>
    <row r="116" spans="1:16" hidden="1" x14ac:dyDescent="0.25">
      <c r="A116" t="s">
        <v>672</v>
      </c>
      <c r="B116" t="str">
        <f t="shared" si="4"/>
        <v>Hăizigōu Xiāng</v>
      </c>
      <c r="C116" t="str">
        <f t="shared" si="5"/>
        <v>Hăizigōu Xiāng</v>
      </c>
      <c r="D116" t="s">
        <v>673</v>
      </c>
      <c r="E116" t="s">
        <v>7</v>
      </c>
      <c r="F116" t="str">
        <f>_xlfn.CONCAT(D116,", ",H116,", ",I116,", ","青海省")</f>
        <v>海子沟乡, 湟中区, 西宁市, 青海省</v>
      </c>
      <c r="G116">
        <v>13189</v>
      </c>
      <c r="H116" t="s">
        <v>930</v>
      </c>
      <c r="I116" t="s">
        <v>923</v>
      </c>
      <c r="J116" t="e">
        <f>VLOOKUP(F116,[1]!china_towns_second__2[[Column1]:[Y]],3,FALSE)</f>
        <v>#N/A</v>
      </c>
      <c r="K116" t="e">
        <f>VLOOKUP(F116,[1]!china_towns_second__2[[Column1]:[Y]],2,FALSE)</f>
        <v>#N/A</v>
      </c>
      <c r="L116" t="s">
        <v>1227</v>
      </c>
      <c r="M116" t="str">
        <f>VLOOKUP(H116,CHOOSE({1,2},Table9[Native],Table9[Name]),2,0)</f>
        <v>Huángzhōng Qū</v>
      </c>
      <c r="N116" s="13" t="str">
        <f>VLOOKUP(I116,CHOOSE({1,2},Table9[Native],Table9[Name]),2,0)</f>
        <v>Xīníng Shì</v>
      </c>
      <c r="O116" s="13" t="str">
        <f t="shared" si="6"/>
        <v>Haizigou Xiang (Xīníng Shì)</v>
      </c>
      <c r="P116" s="13" t="str">
        <f t="shared" si="7"/>
        <v>Haizigou Xiang (Xīníng Shì)</v>
      </c>
    </row>
    <row r="117" spans="1:16" hidden="1" x14ac:dyDescent="0.25">
      <c r="A117" t="s">
        <v>250</v>
      </c>
      <c r="B117" t="str">
        <f t="shared" si="4"/>
        <v>Hālāzhígōu Xiāng</v>
      </c>
      <c r="C117" t="str">
        <f t="shared" si="5"/>
        <v>Hālāzhígōu Xiāng</v>
      </c>
      <c r="D117" t="s">
        <v>251</v>
      </c>
      <c r="E117" t="s">
        <v>7</v>
      </c>
      <c r="F117" t="str">
        <f>_xlfn.CONCAT(D117,", ",H117,", ",I117,", ","青海省")</f>
        <v>哈拉直沟乡, 互助土族自治县, 海东市, 青海省</v>
      </c>
      <c r="G117">
        <v>13686</v>
      </c>
      <c r="H117" t="s">
        <v>890</v>
      </c>
      <c r="I117" t="s">
        <v>888</v>
      </c>
      <c r="J117" t="e">
        <f>VLOOKUP(F117,[1]!china_towns_second__2[[Column1]:[Y]],3,FALSE)</f>
        <v>#N/A</v>
      </c>
      <c r="K117" t="e">
        <f>VLOOKUP(F117,[1]!china_towns_second__2[[Column1]:[Y]],2,FALSE)</f>
        <v>#N/A</v>
      </c>
      <c r="L117" t="s">
        <v>1228</v>
      </c>
      <c r="M117" t="str">
        <f>VLOOKUP(H117,CHOOSE({1,2},Table9[Native],Table9[Name]),2,0)</f>
        <v>Hùzhù Tŭzú Zìzhìxiàn</v>
      </c>
      <c r="N117" s="13" t="str">
        <f>VLOOKUP(I117,CHOOSE({1,2},Table9[Native],Table9[Name]),2,0)</f>
        <v>Hăidōng Shì</v>
      </c>
      <c r="O117" s="13" t="str">
        <f t="shared" si="6"/>
        <v>Halazhigou Xiang (Hăidōng Shì)</v>
      </c>
      <c r="P117" s="13" t="str">
        <f t="shared" si="7"/>
        <v>Halazhigou Xiang (Hăidōng Shì)</v>
      </c>
    </row>
    <row r="118" spans="1:16" hidden="1" x14ac:dyDescent="0.25">
      <c r="A118" t="s">
        <v>119</v>
      </c>
      <c r="B118" t="str">
        <f t="shared" si="4"/>
        <v>Hālèjĭng Mĕnggŭzú Xiāng</v>
      </c>
      <c r="C118" t="str">
        <f t="shared" si="5"/>
        <v>Hālèjĭng Mĕnggŭzú Xiāng</v>
      </c>
      <c r="D118" t="s">
        <v>120</v>
      </c>
      <c r="E118" t="s">
        <v>7</v>
      </c>
      <c r="F118" t="str">
        <f>_xlfn.CONCAT(D118,", ",H118,", ",I118,", ","青海省")</f>
        <v>哈勒景蒙古族乡, 海晏县, 海北藏族自治州, 青海省</v>
      </c>
      <c r="G118">
        <v>1318</v>
      </c>
      <c r="H118" t="s">
        <v>882</v>
      </c>
      <c r="I118" t="s">
        <v>880</v>
      </c>
      <c r="J118" t="e">
        <f>VLOOKUP(F118,[1]!china_towns_second__2[[Column1]:[Y]],3,FALSE)</f>
        <v>#N/A</v>
      </c>
      <c r="K118" t="e">
        <f>VLOOKUP(F118,[1]!china_towns_second__2[[Column1]:[Y]],2,FALSE)</f>
        <v>#N/A</v>
      </c>
      <c r="L118" t="s">
        <v>1229</v>
      </c>
      <c r="M118" t="str">
        <f>VLOOKUP(H118,CHOOSE({1,2},Table9[Native],Table9[Name]),2,0)</f>
        <v>Hăiyàn Xiàn</v>
      </c>
      <c r="N118" s="13" t="str">
        <f>VLOOKUP(I118,CHOOSE({1,2},Table9[Native],Table9[Name]),2,0)</f>
        <v>Hăibĕi Zàngzú Zìzhìzhōu</v>
      </c>
      <c r="O118" s="13" t="str">
        <f t="shared" si="6"/>
        <v>Halejing Mengguzu Xiang (Hăibĕi Zàngzú Zìzhìzhōu)</v>
      </c>
      <c r="P118" s="13" t="str">
        <f t="shared" si="7"/>
        <v>Halejing Mengguzu Xiang (Hăibĕi Zàngzú Zìzhìzhōu)</v>
      </c>
    </row>
    <row r="119" spans="1:16" hidden="1" x14ac:dyDescent="0.25">
      <c r="A119" t="s">
        <v>674</v>
      </c>
      <c r="B119" t="str">
        <f t="shared" si="4"/>
        <v>Hàndōng Huízú Xiāng</v>
      </c>
      <c r="C119" t="str">
        <f t="shared" si="5"/>
        <v>Hàndōng Huízú Xiāng</v>
      </c>
      <c r="D119" t="s">
        <v>675</v>
      </c>
      <c r="E119" t="s">
        <v>7</v>
      </c>
      <c r="F119" t="str">
        <f>_xlfn.CONCAT(D119,", ",H119,", ",I119,", ","青海省")</f>
        <v>汉东回族乡, 湟中区, 西宁市, 青海省</v>
      </c>
      <c r="G119">
        <v>13916</v>
      </c>
      <c r="H119" t="s">
        <v>930</v>
      </c>
      <c r="I119" t="s">
        <v>923</v>
      </c>
      <c r="J119" t="e">
        <f>VLOOKUP(F119,[1]!china_towns_second__2[[Column1]:[Y]],3,FALSE)</f>
        <v>#N/A</v>
      </c>
      <c r="K119" t="e">
        <f>VLOOKUP(F119,[1]!china_towns_second__2[[Column1]:[Y]],2,FALSE)</f>
        <v>#N/A</v>
      </c>
      <c r="L119" t="s">
        <v>1230</v>
      </c>
      <c r="M119" t="str">
        <f>VLOOKUP(H119,CHOOSE({1,2},Table9[Native],Table9[Name]),2,0)</f>
        <v>Huángzhōng Qū</v>
      </c>
      <c r="N119" s="13" t="str">
        <f>VLOOKUP(I119,CHOOSE({1,2},Table9[Native],Table9[Name]),2,0)</f>
        <v>Xīníng Shì</v>
      </c>
      <c r="O119" s="13" t="str">
        <f t="shared" si="6"/>
        <v>Handong Huizu Xiang (Xīníng Shì)</v>
      </c>
      <c r="P119" s="13" t="str">
        <f t="shared" si="7"/>
        <v>Handong Huizu Xiang (Xīníng Shì)</v>
      </c>
    </row>
    <row r="120" spans="1:16" x14ac:dyDescent="0.25">
      <c r="A120" t="s">
        <v>121</v>
      </c>
      <c r="B120" t="str">
        <f t="shared" si="4"/>
        <v>Hàomén Zhèn</v>
      </c>
      <c r="C120" t="str">
        <f t="shared" si="5"/>
        <v>Hàomén Zhèn</v>
      </c>
      <c r="D120" t="s">
        <v>122</v>
      </c>
      <c r="E120" t="s">
        <v>19</v>
      </c>
      <c r="F120" t="str">
        <f>_xlfn.CONCAT(D120,", ",H120,", ",I120,", ","青海省")</f>
        <v>浩门镇, 门源回族自治县, 海北藏族自治州, 青海省</v>
      </c>
      <c r="G120">
        <v>36515</v>
      </c>
      <c r="H120" t="s">
        <v>884</v>
      </c>
      <c r="I120" t="s">
        <v>880</v>
      </c>
      <c r="J120">
        <f>VLOOKUP(F120,[1]!china_towns_second__2[[Column1]:[Y]],3,FALSE)</f>
        <v>37.3447532644647</v>
      </c>
      <c r="K120">
        <f>VLOOKUP(F120,[1]!china_towns_second__2[[Column1]:[Y]],2,FALSE)</f>
        <v>101.5915377</v>
      </c>
      <c r="L120" t="s">
        <v>1231</v>
      </c>
      <c r="M120" t="str">
        <f>VLOOKUP(H120,CHOOSE({1,2},Table9[Native],Table9[Name]),2,0)</f>
        <v>Ményuán Huízú Zìzhìxiàn</v>
      </c>
      <c r="N120" s="13" t="str">
        <f>VLOOKUP(I120,CHOOSE({1,2},Table9[Native],Table9[Name]),2,0)</f>
        <v>Hăibĕi Zàngzú Zìzhìzhōu</v>
      </c>
      <c r="O120" s="13" t="str">
        <f t="shared" si="6"/>
        <v>Haomen Zhen (Hăibĕi Zàngzú Zìzhìzhōu)</v>
      </c>
      <c r="P120" s="13" t="str">
        <f t="shared" si="7"/>
        <v>Haomen Zhen (Hăibĕi Zàngzú Zìzhìzhōu)</v>
      </c>
    </row>
    <row r="121" spans="1:16" hidden="1" x14ac:dyDescent="0.25">
      <c r="A121" t="s">
        <v>802</v>
      </c>
      <c r="B121" t="str">
        <f t="shared" si="4"/>
        <v>Hāxiù Xiāng</v>
      </c>
      <c r="C121" t="str">
        <f t="shared" si="5"/>
        <v>Hāxiù Xiāng</v>
      </c>
      <c r="D121" t="s">
        <v>803</v>
      </c>
      <c r="E121" t="s">
        <v>7</v>
      </c>
      <c r="F121" t="str">
        <f>_xlfn.CONCAT(D121,", ",H121,", ",I121,", ","青海省")</f>
        <v>哈秀乡, 玉树市, 玉树藏族自治州, 青海省</v>
      </c>
      <c r="G121">
        <v>4566</v>
      </c>
      <c r="H121" t="s">
        <v>936</v>
      </c>
      <c r="I121" t="s">
        <v>932</v>
      </c>
      <c r="J121" t="e">
        <f>VLOOKUP(F121,[1]!china_towns_second__2[[Column1]:[Y]],3,FALSE)</f>
        <v>#N/A</v>
      </c>
      <c r="K121" t="e">
        <f>VLOOKUP(F121,[1]!china_towns_second__2[[Column1]:[Y]],2,FALSE)</f>
        <v>#N/A</v>
      </c>
      <c r="L121" t="s">
        <v>1232</v>
      </c>
      <c r="M121" t="str">
        <f>VLOOKUP(H121,CHOOSE({1,2},Table9[Native],Table9[Name]),2,0)</f>
        <v>Yùshù Shì</v>
      </c>
      <c r="N121" s="13" t="str">
        <f>VLOOKUP(I121,CHOOSE({1,2},Table9[Native],Table9[Name]),2,0)</f>
        <v>Yùshù Zàngzú Zìzhìzhōu</v>
      </c>
      <c r="O121" s="13" t="str">
        <f t="shared" si="6"/>
        <v>Haxiu Xiang (Yùshù Zàngzú Zìzhìzhōu)</v>
      </c>
      <c r="P121" s="13" t="str">
        <f t="shared" si="7"/>
        <v>Haxiu Xiang (Yùshù Zàngzú Zìzhìzhōu)</v>
      </c>
    </row>
    <row r="122" spans="1:16" hidden="1" x14ac:dyDescent="0.25">
      <c r="A122" t="s">
        <v>392</v>
      </c>
      <c r="B122" t="str">
        <f t="shared" si="4"/>
        <v>Hébĕi Xiāng</v>
      </c>
      <c r="C122" t="str">
        <f t="shared" si="5"/>
        <v>Hébĕi Xiāng</v>
      </c>
      <c r="D122" t="s">
        <v>393</v>
      </c>
      <c r="E122" t="s">
        <v>7</v>
      </c>
      <c r="F122" t="str">
        <f>_xlfn.CONCAT(D122,", ",H122,", ",I122,", ","青海省")</f>
        <v>河北乡, 同德县, 海南藏族自治州, 青海省</v>
      </c>
      <c r="G122">
        <v>7619</v>
      </c>
      <c r="H122" t="s">
        <v>901</v>
      </c>
      <c r="I122" t="s">
        <v>897</v>
      </c>
      <c r="J122" t="e">
        <f>VLOOKUP(F122,[1]!china_towns_second__2[[Column1]:[Y]],3,FALSE)</f>
        <v>#N/A</v>
      </c>
      <c r="K122" t="e">
        <f>VLOOKUP(F122,[1]!china_towns_second__2[[Column1]:[Y]],2,FALSE)</f>
        <v>#N/A</v>
      </c>
      <c r="L122" t="s">
        <v>1233</v>
      </c>
      <c r="M122" t="str">
        <f>VLOOKUP(H122,CHOOSE({1,2},Table9[Native],Table9[Name]),2,0)</f>
        <v>Tóngdé Xiàn</v>
      </c>
      <c r="N122" s="13" t="str">
        <f>VLOOKUP(I122,CHOOSE({1,2},Table9[Native],Table9[Name]),2,0)</f>
        <v>Hăinán Zàngzú Zìzhìzhōu</v>
      </c>
      <c r="O122" s="13" t="str">
        <f t="shared" si="6"/>
        <v>Hebei Xiang (Hăinán Zàngzú Zìzhìzhōu)</v>
      </c>
      <c r="P122" s="13" t="str">
        <f t="shared" si="7"/>
        <v>Hebei Xiang (Hăinán Zàngzú Zìzhìzhōu)</v>
      </c>
    </row>
    <row r="123" spans="1:16" hidden="1" x14ac:dyDescent="0.25">
      <c r="A123" t="s">
        <v>486</v>
      </c>
      <c r="B123" t="str">
        <f t="shared" si="4"/>
        <v>Hédōng Jiēdào</v>
      </c>
      <c r="C123" t="str">
        <f t="shared" si="5"/>
        <v>Hédōng Jiēdào</v>
      </c>
      <c r="D123" t="s">
        <v>487</v>
      </c>
      <c r="E123" t="s">
        <v>488</v>
      </c>
      <c r="F123" t="str">
        <f>_xlfn.CONCAT(D123,", ",H123,", ",I123,", ","青海省")</f>
        <v>河东街道, 德令哈市, 海西蒙古族藏族自治州, 青海省</v>
      </c>
      <c r="G123">
        <v>21967</v>
      </c>
      <c r="H123" t="s">
        <v>910</v>
      </c>
      <c r="I123" t="s">
        <v>905</v>
      </c>
      <c r="J123">
        <f>VLOOKUP(F123,[1]!china_towns_second__2[[Column1]:[Y]],3,FALSE)</f>
        <v>37.379237207409602</v>
      </c>
      <c r="K123">
        <f>VLOOKUP(F123,[1]!china_towns_second__2[[Column1]:[Y]],2,FALSE)</f>
        <v>97.392784149999997</v>
      </c>
      <c r="L123" t="s">
        <v>1234</v>
      </c>
      <c r="M123" t="str">
        <f>VLOOKUP(H123,CHOOSE({1,2},Table9[Native],Table9[Name]),2,0)</f>
        <v>Délìnghā Shì</v>
      </c>
      <c r="N123" s="13" t="str">
        <f>VLOOKUP(I123,CHOOSE({1,2},Table9[Native],Table9[Name]),2,0)</f>
        <v>Hăixī Mĕnggŭzú Zàngzú Zìzhìzhōu</v>
      </c>
      <c r="O123" s="13" t="str">
        <f t="shared" si="6"/>
        <v>Hedong Jiedao (Hăixī Mĕnggŭzú Zàngzú Zìzhìzhōu)</v>
      </c>
      <c r="P123" s="13" t="str">
        <f t="shared" si="7"/>
        <v>Hedong Jiedao (Hăixī Mĕnggŭzú Zàngzú Zìzhìzhōu)</v>
      </c>
    </row>
    <row r="124" spans="1:16" hidden="1" x14ac:dyDescent="0.25">
      <c r="A124" t="s">
        <v>394</v>
      </c>
      <c r="B124" t="str">
        <f t="shared" si="4"/>
        <v>Hédōng Xiāng</v>
      </c>
      <c r="C124" t="str">
        <f t="shared" si="5"/>
        <v>Hédōng Xiāng</v>
      </c>
      <c r="D124" t="s">
        <v>395</v>
      </c>
      <c r="E124" t="s">
        <v>7</v>
      </c>
      <c r="F124" t="str">
        <f>_xlfn.CONCAT(D124,", ",H124,", ",I124,", ","青海省")</f>
        <v>河东乡, 贵德县, 海南藏族自治州, 青海省</v>
      </c>
      <c r="G124">
        <v>13323</v>
      </c>
      <c r="H124" t="s">
        <v>899</v>
      </c>
      <c r="I124" t="s">
        <v>897</v>
      </c>
      <c r="J124" t="e">
        <f>VLOOKUP(F124,[1]!china_towns_second__2[[Column1]:[Y]],3,FALSE)</f>
        <v>#N/A</v>
      </c>
      <c r="K124" t="e">
        <f>VLOOKUP(F124,[1]!china_towns_second__2[[Column1]:[Y]],2,FALSE)</f>
        <v>#N/A</v>
      </c>
      <c r="L124" t="s">
        <v>1235</v>
      </c>
      <c r="M124" t="str">
        <f>VLOOKUP(H124,CHOOSE({1,2},Table9[Native],Table9[Name]),2,0)</f>
        <v>Guìdé Xiàn</v>
      </c>
      <c r="N124" s="13" t="str">
        <f>VLOOKUP(I124,CHOOSE({1,2},Table9[Native],Table9[Name]),2,0)</f>
        <v>Hăinán Zàngzú Zìzhìzhōu</v>
      </c>
      <c r="O124" s="13" t="str">
        <f t="shared" si="6"/>
        <v>Hedong Xiang (Hăinán Zàngzú Zìzhìzhōu)</v>
      </c>
      <c r="P124" s="13" t="str">
        <f t="shared" si="7"/>
        <v>Hedong Xiang (Hăinán Zàngzú Zìzhìzhōu)</v>
      </c>
    </row>
    <row r="125" spans="1:16" x14ac:dyDescent="0.25">
      <c r="A125" t="s">
        <v>396</v>
      </c>
      <c r="B125" t="str">
        <f t="shared" si="4"/>
        <v>Hēimăhé Zhèn</v>
      </c>
      <c r="C125" t="str">
        <f t="shared" si="5"/>
        <v>Hēimăhé Zhèn</v>
      </c>
      <c r="D125" t="s">
        <v>397</v>
      </c>
      <c r="E125" t="s">
        <v>19</v>
      </c>
      <c r="F125" t="str">
        <f>_xlfn.CONCAT(D125,", ",H125,", ",I125,", ","青海省")</f>
        <v>黑马河镇, 共和县, 海南藏族自治州, 青海省</v>
      </c>
      <c r="G125">
        <v>5163</v>
      </c>
      <c r="H125" t="s">
        <v>898</v>
      </c>
      <c r="I125" t="s">
        <v>897</v>
      </c>
      <c r="J125">
        <f>VLOOKUP(F125,[1]!china_towns_second__2[[Column1]:[Y]],3,FALSE)</f>
        <v>36.620174238939697</v>
      </c>
      <c r="K125">
        <f>VLOOKUP(F125,[1]!china_towns_second__2[[Column1]:[Y]],2,FALSE)</f>
        <v>99.729234910000002</v>
      </c>
      <c r="L125" t="s">
        <v>1236</v>
      </c>
      <c r="M125" t="str">
        <f>VLOOKUP(H125,CHOOSE({1,2},Table9[Native],Table9[Name]),2,0)</f>
        <v>Gònghé Xiàn</v>
      </c>
      <c r="N125" s="13" t="str">
        <f>VLOOKUP(I125,CHOOSE({1,2},Table9[Native],Table9[Name]),2,0)</f>
        <v>Hăinán Zàngzú Zìzhìzhōu</v>
      </c>
      <c r="O125" s="13" t="str">
        <f t="shared" si="6"/>
        <v>Heimahe Zhen (Hăinán Zàngzú Zìzhìzhōu)</v>
      </c>
      <c r="P125" s="13" t="str">
        <f t="shared" si="7"/>
        <v>Heimahe Zhen (Hăinán Zàngzú Zìzhìzhōu)</v>
      </c>
    </row>
    <row r="126" spans="1:16" x14ac:dyDescent="0.25">
      <c r="A126" t="s">
        <v>398</v>
      </c>
      <c r="B126" t="str">
        <f t="shared" si="4"/>
        <v>Hékă Zhèn</v>
      </c>
      <c r="C126" t="str">
        <f t="shared" si="5"/>
        <v>Hékă Zhèn</v>
      </c>
      <c r="D126" t="s">
        <v>399</v>
      </c>
      <c r="E126" t="s">
        <v>19</v>
      </c>
      <c r="F126" t="str">
        <f>_xlfn.CONCAT(D126,", ",H126,", ",I126,", ","青海省")</f>
        <v>河卡镇, 兴海县, 海南藏族自治州, 青海省</v>
      </c>
      <c r="G126">
        <v>14233</v>
      </c>
      <c r="H126" t="s">
        <v>902</v>
      </c>
      <c r="I126" t="s">
        <v>897</v>
      </c>
      <c r="J126">
        <f>VLOOKUP(F126,[1]!china_towns_second__2[[Column1]:[Y]],3,FALSE)</f>
        <v>35.931023293480997</v>
      </c>
      <c r="K126">
        <f>VLOOKUP(F126,[1]!china_towns_second__2[[Column1]:[Y]],2,FALSE)</f>
        <v>99.967463679999994</v>
      </c>
      <c r="L126" t="s">
        <v>1237</v>
      </c>
      <c r="M126" t="str">
        <f>VLOOKUP(H126,CHOOSE({1,2},Table9[Native],Table9[Name]),2,0)</f>
        <v>Xīnghăi Xiàn</v>
      </c>
      <c r="N126" s="13" t="str">
        <f>VLOOKUP(I126,CHOOSE({1,2},Table9[Native],Table9[Name]),2,0)</f>
        <v>Hăinán Zàngzú Zìzhìzhōu</v>
      </c>
      <c r="O126" s="13" t="str">
        <f t="shared" si="6"/>
        <v>Heka Zhen (Hăinán Zàngzú Zìzhìzhōu)</v>
      </c>
      <c r="P126" s="13" t="str">
        <f t="shared" si="7"/>
        <v>Heka Zhen (Hăinán Zàngzú Zìzhìzhōu)</v>
      </c>
    </row>
    <row r="127" spans="1:16" hidden="1" x14ac:dyDescent="0.25">
      <c r="A127" t="s">
        <v>401</v>
      </c>
      <c r="B127" t="str">
        <f t="shared" si="4"/>
        <v>Hékă Zhŏngyángchăng</v>
      </c>
      <c r="C127" t="str">
        <f t="shared" si="5"/>
        <v>Hékă Zhŏngyángchăng</v>
      </c>
      <c r="D127" t="s">
        <v>402</v>
      </c>
      <c r="E127" t="s">
        <v>133</v>
      </c>
      <c r="F127" t="str">
        <f>_xlfn.CONCAT(D127,", ",H127,", ",I127,", ","青海省")</f>
        <v>河卡种羊场, 兴海县, 海南藏族自治州, 青海省</v>
      </c>
      <c r="G127">
        <v>1324</v>
      </c>
      <c r="H127" t="s">
        <v>902</v>
      </c>
      <c r="I127" t="s">
        <v>897</v>
      </c>
      <c r="J127">
        <f>VLOOKUP(F127,[1]!china_towns_second__2[[Column1]:[Y]],3,FALSE)</f>
        <v>35.920754865747902</v>
      </c>
      <c r="K127">
        <f>VLOOKUP(F127,[1]!china_towns_second__2[[Column1]:[Y]],2,FALSE)</f>
        <v>99.959637990000004</v>
      </c>
      <c r="L127" t="s">
        <v>1238</v>
      </c>
      <c r="M127" t="str">
        <f>VLOOKUP(H127,CHOOSE({1,2},Table9[Native],Table9[Name]),2,0)</f>
        <v>Xīnghăi Xiàn</v>
      </c>
      <c r="N127" s="13" t="str">
        <f>VLOOKUP(I127,CHOOSE({1,2},Table9[Native],Table9[Name]),2,0)</f>
        <v>Hăinán Zàngzú Zìzhìzhōu</v>
      </c>
      <c r="O127" s="13" t="str">
        <f t="shared" si="6"/>
        <v>Heka Zhongyangchang (Hăinán Zàngzú Zìzhìzhōu)</v>
      </c>
      <c r="P127" s="13" t="str">
        <f t="shared" si="7"/>
        <v>Heka Zhongyangchang (Hăinán Zàngzú Zìzhìzhōu)</v>
      </c>
    </row>
    <row r="128" spans="1:16" hidden="1" x14ac:dyDescent="0.25">
      <c r="A128" t="s">
        <v>676</v>
      </c>
      <c r="B128" t="str">
        <f t="shared" si="4"/>
        <v>Hépíng Xiāng</v>
      </c>
      <c r="C128" t="str">
        <f t="shared" si="5"/>
        <v>Hépíng Xiāng</v>
      </c>
      <c r="D128" t="s">
        <v>677</v>
      </c>
      <c r="E128" t="s">
        <v>7</v>
      </c>
      <c r="F128" t="str">
        <f>_xlfn.CONCAT(D128,", ",H128,", ",I128,", ","青海省")</f>
        <v>和平乡, 湟源县, 西宁市, 青海省</v>
      </c>
      <c r="G128">
        <v>13628</v>
      </c>
      <c r="H128" t="s">
        <v>929</v>
      </c>
      <c r="I128" t="s">
        <v>923</v>
      </c>
      <c r="J128" t="e">
        <f>VLOOKUP(F128,[1]!china_towns_second__2[[Column1]:[Y]],3,FALSE)</f>
        <v>#N/A</v>
      </c>
      <c r="K128" t="e">
        <f>VLOOKUP(F128,[1]!china_towns_second__2[[Column1]:[Y]],2,FALSE)</f>
        <v>#N/A</v>
      </c>
      <c r="L128" t="s">
        <v>1239</v>
      </c>
      <c r="M128" t="str">
        <f>VLOOKUP(H128,CHOOSE({1,2},Table9[Native],Table9[Name]),2,0)</f>
        <v>Huángyuán Xiàn</v>
      </c>
      <c r="N128" s="13" t="str">
        <f>VLOOKUP(I128,CHOOSE({1,2},Table9[Native],Table9[Name]),2,0)</f>
        <v>Xīníng Shì</v>
      </c>
      <c r="O128" s="13" t="str">
        <f t="shared" si="6"/>
        <v>Heping Xiang (Xīníng Shì)</v>
      </c>
      <c r="P128" s="13" t="str">
        <f t="shared" si="7"/>
        <v>Heping Xiang (Xīníng Shì)</v>
      </c>
    </row>
    <row r="129" spans="1:16" x14ac:dyDescent="0.25">
      <c r="A129" t="s">
        <v>577</v>
      </c>
      <c r="B129" t="str">
        <f t="shared" si="4"/>
        <v>Hérì Zhèn</v>
      </c>
      <c r="C129" t="str">
        <f t="shared" si="5"/>
        <v>Hérì Zhèn</v>
      </c>
      <c r="D129" t="s">
        <v>578</v>
      </c>
      <c r="E129" t="s">
        <v>19</v>
      </c>
      <c r="F129" t="str">
        <f>_xlfn.CONCAT(D129,", ",H129,", ",I129,", ","青海省")</f>
        <v>和日镇, 泽库县, 黄南藏族自治州, 青海省</v>
      </c>
      <c r="G129">
        <v>10881</v>
      </c>
      <c r="H129" t="s">
        <v>921</v>
      </c>
      <c r="I129" t="s">
        <v>917</v>
      </c>
      <c r="J129">
        <f>VLOOKUP(F129,[1]!china_towns_second__2[[Column1]:[Y]],3,FALSE)</f>
        <v>35.193066463085998</v>
      </c>
      <c r="K129">
        <f>VLOOKUP(F129,[1]!china_towns_second__2[[Column1]:[Y]],2,FALSE)</f>
        <v>101.15665749999999</v>
      </c>
      <c r="L129" t="s">
        <v>1240</v>
      </c>
      <c r="M129" t="str">
        <f>VLOOKUP(H129,CHOOSE({1,2},Table9[Native],Table9[Name]),2,0)</f>
        <v>Zékù Xiàn</v>
      </c>
      <c r="N129" s="13" t="str">
        <f>VLOOKUP(I129,CHOOSE({1,2},Table9[Native],Table9[Name]),2,0)</f>
        <v>Huángnán Zàngzú Zìzhìzhōu</v>
      </c>
      <c r="O129" s="13" t="str">
        <f t="shared" si="6"/>
        <v>Heri Zhen (Huángnán Zàngzú Zìzhìzhōu)</v>
      </c>
      <c r="P129" s="13" t="str">
        <f t="shared" si="7"/>
        <v>Heri Zhen (Huángnán Zàngzú Zìzhìzhōu)</v>
      </c>
    </row>
    <row r="130" spans="1:16" hidden="1" x14ac:dyDescent="0.25">
      <c r="A130" t="s">
        <v>252</v>
      </c>
      <c r="B130" t="str">
        <f t="shared" ref="B130:B193" si="8">IF(COUNTIF(A:A,A130)&gt;1,_xlfn.CONCAT(A130," (",N130,")"),A130)</f>
        <v>Hétáozhuāng Xiāng</v>
      </c>
      <c r="C130" t="str">
        <f t="shared" ref="C130:C193" si="9">IF(COUNTIF(B:B,B130)&gt;1,_xlfn.CONCAT(A130," (",M130,")"),B130)</f>
        <v>Hétáozhuāng Xiāng</v>
      </c>
      <c r="D130" t="s">
        <v>253</v>
      </c>
      <c r="E130" t="s">
        <v>7</v>
      </c>
      <c r="F130" t="str">
        <f>_xlfn.CONCAT(D130,", ",H130,", ",I130,", ","青海省")</f>
        <v>核桃庄乡, 民和回族土族自治县, 海东市, 青海省</v>
      </c>
      <c r="G130">
        <v>9346</v>
      </c>
      <c r="H130" t="s">
        <v>893</v>
      </c>
      <c r="I130" t="s">
        <v>888</v>
      </c>
      <c r="J130" t="e">
        <f>VLOOKUP(F130,[1]!china_towns_second__2[[Column1]:[Y]],3,FALSE)</f>
        <v>#N/A</v>
      </c>
      <c r="K130" t="e">
        <f>VLOOKUP(F130,[1]!china_towns_second__2[[Column1]:[Y]],2,FALSE)</f>
        <v>#N/A</v>
      </c>
      <c r="L130" t="s">
        <v>1241</v>
      </c>
      <c r="M130" t="str">
        <f>VLOOKUP(H130,CHOOSE({1,2},Table9[Native],Table9[Name]),2,0)</f>
        <v>Mínhé Huízú Tŭzú Zìzhìxiàn</v>
      </c>
      <c r="N130" s="13" t="str">
        <f>VLOOKUP(I130,CHOOSE({1,2},Table9[Native],Table9[Name]),2,0)</f>
        <v>Hăidōng Shì</v>
      </c>
      <c r="O130" s="13" t="str">
        <f t="shared" ref="O130:O193" si="10">_xlfn.CONCAT(L130," (",N130,")")</f>
        <v>Hetaozhuang Xiang (Hăidōng Shì)</v>
      </c>
      <c r="P130" s="13" t="str">
        <f t="shared" ref="P130:P193" si="11">IF(COUNTIF(O:O,O130)&gt;1,_xlfn.CONCAT(L130," (",M130,")"),O130)</f>
        <v>Hetaozhuang Xiang (Hăidōng Shì)</v>
      </c>
    </row>
    <row r="131" spans="1:16" hidden="1" x14ac:dyDescent="0.25">
      <c r="A131" t="s">
        <v>489</v>
      </c>
      <c r="B131" t="str">
        <f t="shared" si="8"/>
        <v>Héxī Jiēdào (Hăixī Mĕnggŭzú Zàngzú Zìzhìzhōu)</v>
      </c>
      <c r="C131" t="str">
        <f t="shared" si="9"/>
        <v>Héxī Jiēdào (Gé'ĕrmù Shì)</v>
      </c>
      <c r="D131" t="s">
        <v>490</v>
      </c>
      <c r="E131" t="s">
        <v>488</v>
      </c>
      <c r="F131" t="str">
        <f>_xlfn.CONCAT(D131,", ",H131,", ",I131,", ","青海省")</f>
        <v>河西街道, 格尔木市, 海西蒙古族藏族自治州, 青海省</v>
      </c>
      <c r="G131">
        <v>23958</v>
      </c>
      <c r="H131" t="s">
        <v>912</v>
      </c>
      <c r="I131" t="s">
        <v>905</v>
      </c>
      <c r="J131">
        <f>VLOOKUP(F131,[1]!china_towns_second__2[[Column1]:[Y]],3,FALSE)</f>
        <v>36.427601864156998</v>
      </c>
      <c r="K131">
        <f>VLOOKUP(F131,[1]!china_towns_second__2[[Column1]:[Y]],2,FALSE)</f>
        <v>94.888004519999996</v>
      </c>
      <c r="L131" t="s">
        <v>1242</v>
      </c>
      <c r="M131" t="str">
        <f>VLOOKUP(H131,CHOOSE({1,2},Table9[Native],Table9[Name]),2,0)</f>
        <v>Gé'ĕrmù Shì</v>
      </c>
      <c r="N131" s="13" t="str">
        <f>VLOOKUP(I131,CHOOSE({1,2},Table9[Native],Table9[Name]),2,0)</f>
        <v>Hăixī Mĕnggŭzú Zàngzú Zìzhìzhōu</v>
      </c>
      <c r="O131" s="13" t="str">
        <f t="shared" si="10"/>
        <v>Hexi Jiedao (Ge'ermu Shi) (Hăixī Mĕnggŭzú Zàngzú Zìzhìzhōu)</v>
      </c>
      <c r="P131" s="13" t="str">
        <f t="shared" si="11"/>
        <v>Hexi Jiedao (Ge'ermu Shi) (Hăixī Mĕnggŭzú Zàngzú Zìzhìzhōu)</v>
      </c>
    </row>
    <row r="132" spans="1:16" hidden="1" x14ac:dyDescent="0.25">
      <c r="A132" t="s">
        <v>489</v>
      </c>
      <c r="B132" t="str">
        <f t="shared" si="8"/>
        <v>Héxī Jiēdào (Hăixī Mĕnggŭzú Zàngzú Zìzhìzhōu)</v>
      </c>
      <c r="C132" t="str">
        <f t="shared" si="9"/>
        <v>Héxī Jiēdào (Délìnghā Shì)</v>
      </c>
      <c r="D132" t="s">
        <v>490</v>
      </c>
      <c r="E132" t="s">
        <v>488</v>
      </c>
      <c r="F132" t="str">
        <f>_xlfn.CONCAT(D132,", ",H132,", ",I132,", ","青海省")</f>
        <v>河西街道, 德令哈市, 海西蒙古族藏族自治州, 青海省</v>
      </c>
      <c r="G132">
        <v>24961</v>
      </c>
      <c r="H132" t="s">
        <v>910</v>
      </c>
      <c r="I132" t="s">
        <v>905</v>
      </c>
      <c r="J132">
        <f>VLOOKUP(F132,[1]!china_towns_second__2[[Column1]:[Y]],3,FALSE)</f>
        <v>37.367435107562699</v>
      </c>
      <c r="K132">
        <f>VLOOKUP(F132,[1]!china_towns_second__2[[Column1]:[Y]],2,FALSE)</f>
        <v>97.346235109999995</v>
      </c>
      <c r="L132" t="s">
        <v>1243</v>
      </c>
      <c r="M132" t="str">
        <f>VLOOKUP(H132,CHOOSE({1,2},Table9[Native],Table9[Name]),2,0)</f>
        <v>Délìnghā Shì</v>
      </c>
      <c r="N132" s="13" t="str">
        <f>VLOOKUP(I132,CHOOSE({1,2},Table9[Native],Table9[Name]),2,0)</f>
        <v>Hăixī Mĕnggŭzú Zàngzú Zìzhìzhōu</v>
      </c>
      <c r="O132" s="13" t="str">
        <f t="shared" si="10"/>
        <v>Hexi Jiedao (Delingha Shi) (Hăixī Mĕnggŭzú Zàngzú Zìzhìzhōu)</v>
      </c>
      <c r="P132" s="13" t="str">
        <f t="shared" si="11"/>
        <v>Hexi Jiedao (Delingha Shi) (Hăixī Mĕnggŭzú Zàngzú Zìzhìzhōu)</v>
      </c>
    </row>
    <row r="133" spans="1:16" x14ac:dyDescent="0.25">
      <c r="A133" t="s">
        <v>403</v>
      </c>
      <c r="B133" t="str">
        <f t="shared" si="8"/>
        <v>Héxī Zhèn</v>
      </c>
      <c r="C133" t="str">
        <f t="shared" si="9"/>
        <v>Héxī Zhèn</v>
      </c>
      <c r="D133" t="s">
        <v>404</v>
      </c>
      <c r="E133" t="s">
        <v>19</v>
      </c>
      <c r="F133" t="str">
        <f>_xlfn.CONCAT(D133,", ",H133,", ",I133,", ","青海省")</f>
        <v>河西镇, 贵德县, 海南藏族自治州, 青海省</v>
      </c>
      <c r="G133">
        <v>21607</v>
      </c>
      <c r="H133" t="s">
        <v>899</v>
      </c>
      <c r="I133" t="s">
        <v>897</v>
      </c>
      <c r="J133">
        <f>VLOOKUP(F133,[1]!china_towns_second__2[[Column1]:[Y]],3,FALSE)</f>
        <v>36.019464123887502</v>
      </c>
      <c r="K133">
        <f>VLOOKUP(F133,[1]!china_towns_second__2[[Column1]:[Y]],2,FALSE)</f>
        <v>101.3693541</v>
      </c>
      <c r="L133" t="s">
        <v>1244</v>
      </c>
      <c r="M133" t="str">
        <f>VLOOKUP(H133,CHOOSE({1,2},Table9[Native],Table9[Name]),2,0)</f>
        <v>Guìdé Xiàn</v>
      </c>
      <c r="N133" s="13" t="str">
        <f>VLOOKUP(I133,CHOOSE({1,2},Table9[Native],Table9[Name]),2,0)</f>
        <v>Hăinán Zàngzú Zìzhìzhōu</v>
      </c>
      <c r="O133" s="13" t="str">
        <f t="shared" si="10"/>
        <v>Hexi Zhen (Hăinán Zàngzú Zìzhìzhōu)</v>
      </c>
      <c r="P133" s="13" t="str">
        <f t="shared" si="11"/>
        <v>Hexi Zhen (Hăinán Zàngzú Zìzhìzhōu)</v>
      </c>
    </row>
    <row r="134" spans="1:16" x14ac:dyDescent="0.25">
      <c r="A134" t="s">
        <v>405</v>
      </c>
      <c r="B134" t="str">
        <f t="shared" si="8"/>
        <v>Héyīn Zhèn</v>
      </c>
      <c r="C134" t="str">
        <f t="shared" si="9"/>
        <v>Héyīn Zhèn</v>
      </c>
      <c r="D134" t="s">
        <v>406</v>
      </c>
      <c r="E134" t="s">
        <v>19</v>
      </c>
      <c r="F134" t="str">
        <f>_xlfn.CONCAT(D134,", ",H134,", ",I134,", ","青海省")</f>
        <v>河阴镇, 贵德县, 海南藏族自治州, 青海省</v>
      </c>
      <c r="G134">
        <v>25028</v>
      </c>
      <c r="H134" t="s">
        <v>899</v>
      </c>
      <c r="I134" t="s">
        <v>897</v>
      </c>
      <c r="J134">
        <f>VLOOKUP(F134,[1]!china_towns_second__2[[Column1]:[Y]],3,FALSE)</f>
        <v>36.033270174820203</v>
      </c>
      <c r="K134">
        <f>VLOOKUP(F134,[1]!china_towns_second__2[[Column1]:[Y]],2,FALSE)</f>
        <v>101.41054099999999</v>
      </c>
      <c r="L134" t="s">
        <v>1245</v>
      </c>
      <c r="M134" t="str">
        <f>VLOOKUP(H134,CHOOSE({1,2},Table9[Native],Table9[Name]),2,0)</f>
        <v>Guìdé Xiàn</v>
      </c>
      <c r="N134" s="13" t="str">
        <f>VLOOKUP(I134,CHOOSE({1,2},Table9[Native],Table9[Name]),2,0)</f>
        <v>Hăinán Zàngzú Zìzhìzhōu</v>
      </c>
      <c r="O134" s="13" t="str">
        <f t="shared" si="10"/>
        <v>Heyin Zhen (Hăinán Zàngzú Zìzhìzhōu)</v>
      </c>
      <c r="P134" s="13" t="str">
        <f t="shared" si="11"/>
        <v>Heyin Zhen (Hăinán Zàngzú Zìzhìzhōu)</v>
      </c>
    </row>
    <row r="135" spans="1:16" x14ac:dyDescent="0.25">
      <c r="A135" t="s">
        <v>256</v>
      </c>
      <c r="B135" t="str">
        <f t="shared" si="8"/>
        <v>Hóngshuĭ Zhèn</v>
      </c>
      <c r="C135" t="str">
        <f t="shared" si="9"/>
        <v>Hóngshuĭ Zhèn</v>
      </c>
      <c r="D135" t="s">
        <v>257</v>
      </c>
      <c r="E135" t="s">
        <v>19</v>
      </c>
      <c r="F135" t="str">
        <f>_xlfn.CONCAT(D135,", ",H135,", ",I135,", ","青海省")</f>
        <v>洪水镇, 乐都区, 海东市, 青海省</v>
      </c>
      <c r="G135">
        <v>16095</v>
      </c>
      <c r="H135" t="s">
        <v>892</v>
      </c>
      <c r="I135" t="s">
        <v>888</v>
      </c>
      <c r="J135">
        <f>VLOOKUP(F135,[1]!china_towns_second__2[[Column1]:[Y]],3,FALSE)</f>
        <v>36.394548589864499</v>
      </c>
      <c r="K135">
        <f>VLOOKUP(F135,[1]!china_towns_second__2[[Column1]:[Y]],2,FALSE)</f>
        <v>102.56334219999999</v>
      </c>
      <c r="L135" t="s">
        <v>1246</v>
      </c>
      <c r="M135" t="str">
        <f>VLOOKUP(H135,CHOOSE({1,2},Table9[Native],Table9[Name]),2,0)</f>
        <v>Lèdū Qū</v>
      </c>
      <c r="N135" s="13" t="str">
        <f>VLOOKUP(I135,CHOOSE({1,2},Table9[Native],Table9[Name]),2,0)</f>
        <v>Hăidōng Shì</v>
      </c>
      <c r="O135" s="13" t="str">
        <f t="shared" si="10"/>
        <v>Hongshui Zhen (Hăidōng Shì)</v>
      </c>
      <c r="P135" s="13" t="str">
        <f t="shared" si="11"/>
        <v>Hongshui Zhen (Hăidōng Shì)</v>
      </c>
    </row>
    <row r="136" spans="1:16" hidden="1" x14ac:dyDescent="0.25">
      <c r="A136" t="s">
        <v>254</v>
      </c>
      <c r="B136" t="str">
        <f t="shared" si="8"/>
        <v>Hóngshuĭquán Xiāng</v>
      </c>
      <c r="C136" t="str">
        <f t="shared" si="9"/>
        <v>Hóngshuĭquán Xiāng</v>
      </c>
      <c r="D136" t="s">
        <v>255</v>
      </c>
      <c r="E136" t="s">
        <v>7</v>
      </c>
      <c r="F136" t="str">
        <f>_xlfn.CONCAT(D136,", ",H136,", ",I136,", ","青海省")</f>
        <v>洪水泉乡, 平安区, 海东市, 青海省</v>
      </c>
      <c r="G136">
        <v>2760</v>
      </c>
      <c r="H136" t="s">
        <v>894</v>
      </c>
      <c r="I136" t="s">
        <v>888</v>
      </c>
      <c r="J136" t="e">
        <f>VLOOKUP(F136,[1]!china_towns_second__2[[Column1]:[Y]],3,FALSE)</f>
        <v>#N/A</v>
      </c>
      <c r="K136" t="e">
        <f>VLOOKUP(F136,[1]!china_towns_second__2[[Column1]:[Y]],2,FALSE)</f>
        <v>#N/A</v>
      </c>
      <c r="L136" t="s">
        <v>1247</v>
      </c>
      <c r="M136" t="str">
        <f>VLOOKUP(H136,CHOOSE({1,2},Table9[Native],Table9[Name]),2,0)</f>
        <v>Píng'ān Qū</v>
      </c>
      <c r="N136" s="13" t="str">
        <f>VLOOKUP(I136,CHOOSE({1,2},Table9[Native],Table9[Name]),2,0)</f>
        <v>Hăidōng Shì</v>
      </c>
      <c r="O136" s="13" t="str">
        <f t="shared" si="10"/>
        <v>Hongshuiquan Xiang (Hăidōng Shì)</v>
      </c>
      <c r="P136" s="13" t="str">
        <f t="shared" si="11"/>
        <v>Hongshuiquan Xiang (Hăidōng Shì)</v>
      </c>
    </row>
    <row r="137" spans="1:16" hidden="1" x14ac:dyDescent="0.25">
      <c r="A137" t="s">
        <v>258</v>
      </c>
      <c r="B137" t="str">
        <f t="shared" si="8"/>
        <v>Hóngyázigōu Xiāng</v>
      </c>
      <c r="C137" t="str">
        <f t="shared" si="9"/>
        <v>Hóngyázigōu Xiāng</v>
      </c>
      <c r="D137" t="s">
        <v>259</v>
      </c>
      <c r="E137" t="s">
        <v>7</v>
      </c>
      <c r="F137" t="str">
        <f>_xlfn.CONCAT(D137,", ",H137,", ",I137,", ","青海省")</f>
        <v>红崖子沟乡, 互助土族自治县, 海东市, 青海省</v>
      </c>
      <c r="G137">
        <v>16650</v>
      </c>
      <c r="H137" t="s">
        <v>890</v>
      </c>
      <c r="I137" t="s">
        <v>888</v>
      </c>
      <c r="J137" t="e">
        <f>VLOOKUP(F137,[1]!china_towns_second__2[[Column1]:[Y]],3,FALSE)</f>
        <v>#N/A</v>
      </c>
      <c r="K137" t="e">
        <f>VLOOKUP(F137,[1]!china_towns_second__2[[Column1]:[Y]],2,FALSE)</f>
        <v>#N/A</v>
      </c>
      <c r="L137" t="s">
        <v>1248</v>
      </c>
      <c r="M137" t="str">
        <f>VLOOKUP(H137,CHOOSE({1,2},Table9[Native],Table9[Name]),2,0)</f>
        <v>Hùzhù Tŭzú Zìzhìxiàn</v>
      </c>
      <c r="N137" s="13" t="str">
        <f>VLOOKUP(I137,CHOOSE({1,2},Table9[Native],Table9[Name]),2,0)</f>
        <v>Hăidōng Shì</v>
      </c>
      <c r="O137" s="13" t="str">
        <f t="shared" si="10"/>
        <v>Hongyazigou Xiang (Hăidōng Shì)</v>
      </c>
      <c r="P137" s="13" t="str">
        <f t="shared" si="11"/>
        <v>Hongyazigou Xiang (Hăidōng Shì)</v>
      </c>
    </row>
    <row r="138" spans="1:16" x14ac:dyDescent="0.25">
      <c r="A138" t="s">
        <v>491</v>
      </c>
      <c r="B138" t="str">
        <f t="shared" si="8"/>
        <v>Huáitóu Tālā Zhèn</v>
      </c>
      <c r="C138" t="str">
        <f t="shared" si="9"/>
        <v>Huáitóu Tālā Zhèn</v>
      </c>
      <c r="D138" t="s">
        <v>492</v>
      </c>
      <c r="E138" t="s">
        <v>19</v>
      </c>
      <c r="F138" t="str">
        <f>_xlfn.CONCAT(D138,", ",H138,", ",I138,", ","青海省")</f>
        <v>怀头他拉镇, 德令哈市, 海西蒙古族藏族自治州, 青海省</v>
      </c>
      <c r="G138">
        <v>2898</v>
      </c>
      <c r="H138" t="s">
        <v>910</v>
      </c>
      <c r="I138" t="s">
        <v>905</v>
      </c>
      <c r="J138">
        <f>VLOOKUP(F138,[1]!china_towns_second__2[[Column1]:[Y]],3,FALSE)</f>
        <v>37.652986114453199</v>
      </c>
      <c r="K138">
        <f>VLOOKUP(F138,[1]!china_towns_second__2[[Column1]:[Y]],2,FALSE)</f>
        <v>96.411769190000001</v>
      </c>
      <c r="L138" t="s">
        <v>1249</v>
      </c>
      <c r="M138" t="str">
        <f>VLOOKUP(H138,CHOOSE({1,2},Table9[Native],Table9[Name]),2,0)</f>
        <v>Délìnghā Shì</v>
      </c>
      <c r="N138" s="13" t="str">
        <f>VLOOKUP(I138,CHOOSE({1,2},Table9[Native],Table9[Name]),2,0)</f>
        <v>Hăixī Mĕnggŭzú Zàngzú Zìzhìzhōu</v>
      </c>
      <c r="O138" s="13" t="str">
        <f t="shared" si="10"/>
        <v>Huaitou Tala Zhen (Hăixī Mĕnggŭzú Zàngzú Zìzhìzhōu)</v>
      </c>
      <c r="P138" s="13" t="str">
        <f t="shared" si="11"/>
        <v>Huaitou Tala Zhen (Hăixī Mĕnggŭzú Zàngzú Zìzhìzhōu)</v>
      </c>
    </row>
    <row r="139" spans="1:16" hidden="1" x14ac:dyDescent="0.25">
      <c r="A139" t="s">
        <v>678</v>
      </c>
      <c r="B139" t="str">
        <f t="shared" si="8"/>
        <v>Huàlín Xiāng</v>
      </c>
      <c r="C139" t="str">
        <f t="shared" si="9"/>
        <v>Huàlín Xiāng</v>
      </c>
      <c r="D139" t="s">
        <v>679</v>
      </c>
      <c r="E139" t="s">
        <v>7</v>
      </c>
      <c r="F139" t="str">
        <f>_xlfn.CONCAT(D139,", ",H139,", ",I139,", ","青海省")</f>
        <v>桦林乡, 大通回族土族自治县, 西宁市, 青海省</v>
      </c>
      <c r="G139">
        <v>13049</v>
      </c>
      <c r="H139" t="s">
        <v>928</v>
      </c>
      <c r="I139" t="s">
        <v>923</v>
      </c>
      <c r="J139" t="e">
        <f>VLOOKUP(F139,[1]!china_towns_second__2[[Column1]:[Y]],3,FALSE)</f>
        <v>#N/A</v>
      </c>
      <c r="K139" t="e">
        <f>VLOOKUP(F139,[1]!china_towns_second__2[[Column1]:[Y]],2,FALSE)</f>
        <v>#N/A</v>
      </c>
      <c r="L139" t="s">
        <v>1250</v>
      </c>
      <c r="M139" t="str">
        <f>VLOOKUP(H139,CHOOSE({1,2},Table9[Native],Table9[Name]),2,0)</f>
        <v>Dàtōng Huízú Tŭzú Zìzhìxiàn</v>
      </c>
      <c r="N139" s="13" t="str">
        <f>VLOOKUP(I139,CHOOSE({1,2},Table9[Native],Table9[Name]),2,0)</f>
        <v>Xīníng Shì</v>
      </c>
      <c r="O139" s="13" t="str">
        <f t="shared" si="10"/>
        <v>Hualin Xiang (Xīníng Shì)</v>
      </c>
      <c r="P139" s="13" t="str">
        <f t="shared" si="11"/>
        <v>Hualin Xiang (Xīníng Shì)</v>
      </c>
    </row>
    <row r="140" spans="1:16" hidden="1" x14ac:dyDescent="0.25">
      <c r="A140" t="s">
        <v>123</v>
      </c>
      <c r="B140" t="str">
        <f t="shared" si="8"/>
        <v>Huángchéng Mĕnggŭzú Xiāng</v>
      </c>
      <c r="C140" t="str">
        <f t="shared" si="9"/>
        <v>Huángchéng Mĕnggŭzú Xiāng</v>
      </c>
      <c r="D140" t="s">
        <v>124</v>
      </c>
      <c r="E140" t="s">
        <v>7</v>
      </c>
      <c r="F140" t="str">
        <f>_xlfn.CONCAT(D140,", ",H140,", ",I140,", ","青海省")</f>
        <v>皇城蒙古族乡, 门源回族自治县, 海北藏族自治州, 青海省</v>
      </c>
      <c r="G140">
        <v>1921</v>
      </c>
      <c r="H140" t="s">
        <v>884</v>
      </c>
      <c r="I140" t="s">
        <v>880</v>
      </c>
      <c r="J140" t="e">
        <f>VLOOKUP(F140,[1]!china_towns_second__2[[Column1]:[Y]],3,FALSE)</f>
        <v>#N/A</v>
      </c>
      <c r="K140" t="e">
        <f>VLOOKUP(F140,[1]!china_towns_second__2[[Column1]:[Y]],2,FALSE)</f>
        <v>#N/A</v>
      </c>
      <c r="L140" t="s">
        <v>1251</v>
      </c>
      <c r="M140" t="str">
        <f>VLOOKUP(H140,CHOOSE({1,2},Table9[Native],Table9[Name]),2,0)</f>
        <v>Ményuán Huízú Zìzhìxiàn</v>
      </c>
      <c r="N140" s="13" t="str">
        <f>VLOOKUP(I140,CHOOSE({1,2},Table9[Native],Table9[Name]),2,0)</f>
        <v>Hăibĕi Zàngzú Zìzhìzhōu</v>
      </c>
      <c r="O140" s="13" t="str">
        <f t="shared" si="10"/>
        <v>Huangcheng Mengguzu Xiang (Hăibĕi Zàngzú Zìzhìzhōu)</v>
      </c>
      <c r="P140" s="13" t="str">
        <f t="shared" si="11"/>
        <v>Huangcheng Mengguzu Xiang (Hăibĕi Zàngzú Zìzhìzhōu)</v>
      </c>
    </row>
    <row r="141" spans="1:16" hidden="1" x14ac:dyDescent="0.25">
      <c r="A141" t="s">
        <v>32</v>
      </c>
      <c r="B141" t="str">
        <f t="shared" si="8"/>
        <v>Huánghé Xiāng</v>
      </c>
      <c r="C141" t="str">
        <f t="shared" si="9"/>
        <v>Huánghé Xiāng</v>
      </c>
      <c r="D141" t="s">
        <v>33</v>
      </c>
      <c r="E141" t="s">
        <v>7</v>
      </c>
      <c r="F141" t="str">
        <f>_xlfn.CONCAT(D141,", ",H141,", ",I141,", ","青海省")</f>
        <v>黄河乡, 玛多县, 果洛藏族自治州, 青海省</v>
      </c>
      <c r="G141">
        <v>1585</v>
      </c>
      <c r="H141" t="s">
        <v>877</v>
      </c>
      <c r="I141" t="s">
        <v>871</v>
      </c>
      <c r="J141" t="e">
        <f>VLOOKUP(F141,[1]!china_towns_second__2[[Column1]:[Y]],3,FALSE)</f>
        <v>#N/A</v>
      </c>
      <c r="K141" t="e">
        <f>VLOOKUP(F141,[1]!china_towns_second__2[[Column1]:[Y]],2,FALSE)</f>
        <v>#N/A</v>
      </c>
      <c r="L141" t="s">
        <v>1252</v>
      </c>
      <c r="M141" t="str">
        <f>VLOOKUP(H141,CHOOSE({1,2},Table9[Native],Table9[Name]),2,0)</f>
        <v>Măduō Xiàn</v>
      </c>
      <c r="N141" s="13" t="str">
        <f>VLOOKUP(I141,CHOOSE({1,2},Table9[Native],Table9[Name]),2,0)</f>
        <v>Guŏluò Zàngzú Zìzhìzhōu</v>
      </c>
      <c r="O141" s="13" t="str">
        <f t="shared" si="10"/>
        <v>Huanghe Xiang (Guŏluò Zàngzú Zìzhìzhōu)</v>
      </c>
      <c r="P141" s="13" t="str">
        <f t="shared" si="11"/>
        <v>Huanghe Xiang (Guŏluò Zàngzú Zìzhìzhōu)</v>
      </c>
    </row>
    <row r="142" spans="1:16" hidden="1" x14ac:dyDescent="0.25">
      <c r="A142" t="s">
        <v>493</v>
      </c>
      <c r="B142" t="str">
        <f t="shared" si="8"/>
        <v>Huánghélù Jiēdào</v>
      </c>
      <c r="C142" t="str">
        <f t="shared" si="9"/>
        <v>Huánghélù Jiēdào</v>
      </c>
      <c r="D142" t="s">
        <v>494</v>
      </c>
      <c r="E142" t="s">
        <v>488</v>
      </c>
      <c r="F142" t="str">
        <f>_xlfn.CONCAT(D142,", ",H142,", ",I142,", ","青海省")</f>
        <v>黄河路街道, 格尔木市, 海西蒙古族藏族自治州, 青海省</v>
      </c>
      <c r="G142">
        <v>26863</v>
      </c>
      <c r="H142" t="s">
        <v>912</v>
      </c>
      <c r="I142" t="s">
        <v>905</v>
      </c>
      <c r="J142">
        <f>VLOOKUP(F142,[1]!china_towns_second__2[[Column1]:[Y]],3,FALSE)</f>
        <v>36.384822790744003</v>
      </c>
      <c r="K142">
        <f>VLOOKUP(F142,[1]!china_towns_second__2[[Column1]:[Y]],2,FALSE)</f>
        <v>94.930026400000003</v>
      </c>
      <c r="L142" t="s">
        <v>1253</v>
      </c>
      <c r="M142" t="str">
        <f>VLOOKUP(H142,CHOOSE({1,2},Table9[Native],Table9[Name]),2,0)</f>
        <v>Gé'ĕrmù Shì</v>
      </c>
      <c r="N142" s="13" t="str">
        <f>VLOOKUP(I142,CHOOSE({1,2},Table9[Native],Table9[Name]),2,0)</f>
        <v>Hăixī Mĕnggŭzú Zàngzú Zìzhìzhōu</v>
      </c>
      <c r="O142" s="13" t="str">
        <f t="shared" si="10"/>
        <v>Huanghelu Jiedao (Hăixī Mĕnggŭzú Zàngzú Zìzhìzhōu)</v>
      </c>
      <c r="P142" s="13" t="str">
        <f t="shared" si="11"/>
        <v>Huanghelu Jiedao (Hăixī Mĕnggŭzú Zàngzú Zìzhìzhōu)</v>
      </c>
    </row>
    <row r="143" spans="1:16" x14ac:dyDescent="0.25">
      <c r="A143" t="s">
        <v>680</v>
      </c>
      <c r="B143" t="str">
        <f t="shared" si="8"/>
        <v>Huángjiāzhài Zhèn</v>
      </c>
      <c r="C143" t="str">
        <f t="shared" si="9"/>
        <v>Huángjiāzhài Zhèn</v>
      </c>
      <c r="D143" t="s">
        <v>681</v>
      </c>
      <c r="E143" t="s">
        <v>19</v>
      </c>
      <c r="F143" t="str">
        <f>_xlfn.CONCAT(D143,", ",H143,", ",I143,", ","青海省")</f>
        <v>黄家寨镇, 大通回族土族自治县, 西宁市, 青海省</v>
      </c>
      <c r="G143">
        <v>34888</v>
      </c>
      <c r="H143" t="s">
        <v>928</v>
      </c>
      <c r="I143" t="s">
        <v>923</v>
      </c>
      <c r="J143">
        <f>VLOOKUP(F143,[1]!china_towns_second__2[[Column1]:[Y]],3,FALSE)</f>
        <v>36.856210519141499</v>
      </c>
      <c r="K143">
        <f>VLOOKUP(F143,[1]!china_towns_second__2[[Column1]:[Y]],2,FALSE)</f>
        <v>101.6858383</v>
      </c>
      <c r="L143" t="s">
        <v>1254</v>
      </c>
      <c r="M143" t="str">
        <f>VLOOKUP(H143,CHOOSE({1,2},Table9[Native],Table9[Name]),2,0)</f>
        <v>Dàtōng Huízú Tŭzú Zìzhìxiàn</v>
      </c>
      <c r="N143" s="13" t="str">
        <f>VLOOKUP(I143,CHOOSE({1,2},Table9[Native],Table9[Name]),2,0)</f>
        <v>Xīníng Shì</v>
      </c>
      <c r="O143" s="13" t="str">
        <f t="shared" si="10"/>
        <v>Huangjiazhai Zhen (Xīníng Shì)</v>
      </c>
      <c r="P143" s="13" t="str">
        <f t="shared" si="11"/>
        <v>Huangjiazhai Zhen (Xīníng Shì)</v>
      </c>
    </row>
    <row r="144" spans="1:16" hidden="1" x14ac:dyDescent="0.25">
      <c r="A144" t="s">
        <v>579</v>
      </c>
      <c r="B144" t="str">
        <f t="shared" si="8"/>
        <v>Huángnăihài Xiāng</v>
      </c>
      <c r="C144" t="str">
        <f t="shared" si="9"/>
        <v>Huángnăihài Xiāng</v>
      </c>
      <c r="D144" t="s">
        <v>580</v>
      </c>
      <c r="E144" t="s">
        <v>7</v>
      </c>
      <c r="F144" t="str">
        <f>_xlfn.CONCAT(D144,", ",H144,", ",I144,", ","青海省")</f>
        <v>黄乃亥乡, 同仁市, 黄南藏族自治州, 青海省</v>
      </c>
      <c r="G144">
        <v>3152</v>
      </c>
      <c r="H144" t="s">
        <v>920</v>
      </c>
      <c r="I144" t="s">
        <v>917</v>
      </c>
      <c r="J144" t="e">
        <f>VLOOKUP(F144,[1]!china_towns_second__2[[Column1]:[Y]],3,FALSE)</f>
        <v>#N/A</v>
      </c>
      <c r="K144" t="e">
        <f>VLOOKUP(F144,[1]!china_towns_second__2[[Column1]:[Y]],2,FALSE)</f>
        <v>#N/A</v>
      </c>
      <c r="L144" t="s">
        <v>1255</v>
      </c>
      <c r="M144" t="str">
        <f>VLOOKUP(H144,CHOOSE({1,2},Table9[Native],Table9[Name]),2,0)</f>
        <v>Tóngrén Shì</v>
      </c>
      <c r="N144" s="13" t="str">
        <f>VLOOKUP(I144,CHOOSE({1,2},Table9[Native],Table9[Name]),2,0)</f>
        <v>Huángnán Zàngzú Zìzhìzhōu</v>
      </c>
      <c r="O144" s="13" t="str">
        <f t="shared" si="10"/>
        <v>Huangnaihai Xiang (Huángnán Zàngzú Zìzhìzhōu)</v>
      </c>
      <c r="P144" s="13" t="str">
        <f t="shared" si="11"/>
        <v>Huangnaihai Xiang (Huángnán Zàngzú Zìzhìzhōu)</v>
      </c>
    </row>
    <row r="145" spans="1:16" x14ac:dyDescent="0.25">
      <c r="A145" t="s">
        <v>35</v>
      </c>
      <c r="B145" t="str">
        <f t="shared" si="8"/>
        <v>Huāshíxiá Zhèn</v>
      </c>
      <c r="C145" t="str">
        <f t="shared" si="9"/>
        <v>Huāshíxiá Zhèn</v>
      </c>
      <c r="D145" t="s">
        <v>36</v>
      </c>
      <c r="E145" t="s">
        <v>19</v>
      </c>
      <c r="F145" t="str">
        <f>_xlfn.CONCAT(D145,", ",H145,", ",I145,", ","青海省")</f>
        <v>花石峡镇, 玛多县, 果洛藏族自治州, 青海省</v>
      </c>
      <c r="G145">
        <v>4190</v>
      </c>
      <c r="H145" t="s">
        <v>877</v>
      </c>
      <c r="I145" t="s">
        <v>871</v>
      </c>
      <c r="J145">
        <f>VLOOKUP(F145,[1]!china_towns_second__2[[Column1]:[Y]],3,FALSE)</f>
        <v>35.121069501192899</v>
      </c>
      <c r="K145">
        <f>VLOOKUP(F145,[1]!china_towns_second__2[[Column1]:[Y]],2,FALSE)</f>
        <v>98.756741199999993</v>
      </c>
      <c r="L145" t="s">
        <v>1256</v>
      </c>
      <c r="M145" t="str">
        <f>VLOOKUP(H145,CHOOSE({1,2},Table9[Native],Table9[Name]),2,0)</f>
        <v>Măduō Xiàn</v>
      </c>
      <c r="N145" s="13" t="str">
        <f>VLOOKUP(I145,CHOOSE({1,2},Table9[Native],Table9[Name]),2,0)</f>
        <v>Guŏluò Zàngzú Zìzhìzhōu</v>
      </c>
      <c r="O145" s="13" t="str">
        <f t="shared" si="10"/>
        <v>Huashixia Zhen (Guŏluò Zàngzú Zìzhìzhōu)</v>
      </c>
      <c r="P145" s="13" t="str">
        <f t="shared" si="11"/>
        <v>Huashixia Zhen (Guŏluò Zàngzú Zìzhìzhōu)</v>
      </c>
    </row>
    <row r="146" spans="1:16" x14ac:dyDescent="0.25">
      <c r="A146" t="s">
        <v>495</v>
      </c>
      <c r="B146" t="str">
        <f t="shared" si="8"/>
        <v>Huātŭgōu Zhèn</v>
      </c>
      <c r="C146" t="str">
        <f t="shared" si="9"/>
        <v>Huātŭgōu Zhèn</v>
      </c>
      <c r="D146" t="s">
        <v>496</v>
      </c>
      <c r="E146" t="s">
        <v>19</v>
      </c>
      <c r="F146" t="str">
        <f>_xlfn.CONCAT(D146,", ",H146,", ",I146,", ","青海省")</f>
        <v>花土沟镇, 茫崖市, 海西蒙古族藏族自治州, 青海省</v>
      </c>
      <c r="G146">
        <v>27825</v>
      </c>
      <c r="H146" t="s">
        <v>913</v>
      </c>
      <c r="I146" t="s">
        <v>905</v>
      </c>
      <c r="J146">
        <f>VLOOKUP(F146,[1]!china_towns_second__2[[Column1]:[Y]],3,FALSE)</f>
        <v>37.970027936484399</v>
      </c>
      <c r="K146">
        <f>VLOOKUP(F146,[1]!china_towns_second__2[[Column1]:[Y]],2,FALSE)</f>
        <v>91.681895830000002</v>
      </c>
      <c r="L146" t="s">
        <v>1257</v>
      </c>
      <c r="M146" t="str">
        <f>VLOOKUP(H146,CHOOSE({1,2},Table9[Native],Table9[Name]),2,0)</f>
        <v>Mángyá Shì</v>
      </c>
      <c r="N146" s="13" t="str">
        <f>VLOOKUP(I146,CHOOSE({1,2},Table9[Native],Table9[Name]),2,0)</f>
        <v>Hăixī Mĕnggŭzú Zàngzú Zìzhìzhōu</v>
      </c>
      <c r="O146" s="13" t="str">
        <f t="shared" si="10"/>
        <v>Huatugou Zhen (Hăixī Mĕnggŭzú Zàngzú Zìzhìzhōu)</v>
      </c>
      <c r="P146" s="13" t="str">
        <f t="shared" si="11"/>
        <v>Huatugou Zhen (Hăixī Mĕnggŭzú Zàngzú Zìzhìzhōu)</v>
      </c>
    </row>
    <row r="147" spans="1:16" hidden="1" x14ac:dyDescent="0.25">
      <c r="A147" t="s">
        <v>407</v>
      </c>
      <c r="B147" t="str">
        <f t="shared" si="8"/>
        <v>Húdōng Zhŏngyángchăng</v>
      </c>
      <c r="C147" t="str">
        <f t="shared" si="9"/>
        <v>Húdōng Zhŏngyángchăng</v>
      </c>
      <c r="D147" t="s">
        <v>408</v>
      </c>
      <c r="E147" t="s">
        <v>133</v>
      </c>
      <c r="F147" t="str">
        <f>_xlfn.CONCAT(D147,", ",H147,", ",I147,", ","青海省")</f>
        <v>湖东种羊场, 共和县, 海南藏族自治州, 青海省</v>
      </c>
      <c r="G147">
        <v>2007</v>
      </c>
      <c r="H147" t="s">
        <v>898</v>
      </c>
      <c r="I147" t="s">
        <v>897</v>
      </c>
      <c r="J147">
        <f>VLOOKUP(F147,[1]!china_towns_second__2[[Column1]:[Y]],3,FALSE)</f>
        <v>36.671455896935498</v>
      </c>
      <c r="K147">
        <f>VLOOKUP(F147,[1]!china_towns_second__2[[Column1]:[Y]],2,FALSE)</f>
        <v>100.83208809999999</v>
      </c>
      <c r="L147" t="s">
        <v>1258</v>
      </c>
      <c r="M147" t="str">
        <f>VLOOKUP(H147,CHOOSE({1,2},Table9[Native],Table9[Name]),2,0)</f>
        <v>Gònghé Xiàn</v>
      </c>
      <c r="N147" s="13" t="str">
        <f>VLOOKUP(I147,CHOOSE({1,2},Table9[Native],Table9[Name]),2,0)</f>
        <v>Hăinán Zàngzú Zìzhìzhōu</v>
      </c>
      <c r="O147" s="13" t="str">
        <f t="shared" si="10"/>
        <v>Hudong Zhongyangchang (Hăinán Zàngzú Zìzhìzhōu)</v>
      </c>
      <c r="P147" s="13" t="str">
        <f t="shared" si="11"/>
        <v>Hudong Zhongyangchang (Hăinán Zàngzú Zìzhìzhōu)</v>
      </c>
    </row>
    <row r="148" spans="1:16" hidden="1" x14ac:dyDescent="0.25">
      <c r="A148" t="s">
        <v>498</v>
      </c>
      <c r="B148" t="str">
        <f t="shared" si="8"/>
        <v>Huŏchēzhàn Jiēdào (Hăixī Mĕnggŭzú Zàngzú Zìzhìzhōu)</v>
      </c>
      <c r="C148" t="str">
        <f t="shared" si="9"/>
        <v>Huŏchēzhàn Jiēdào (Hăixī Mĕnggŭzú Zàngzú Zìzhìzhōu)</v>
      </c>
      <c r="D148" t="s">
        <v>499</v>
      </c>
      <c r="E148" t="s">
        <v>488</v>
      </c>
      <c r="F148" t="str">
        <f>_xlfn.CONCAT(D148,", ",H148,", ",I148,", ","青海省")</f>
        <v>火车站街道, 德令哈市, 海西蒙古族藏族自治州, 青海省</v>
      </c>
      <c r="G148">
        <v>8366</v>
      </c>
      <c r="H148" t="s">
        <v>910</v>
      </c>
      <c r="I148" t="s">
        <v>905</v>
      </c>
      <c r="J148">
        <f>VLOOKUP(F148,[1]!china_towns_second__2[[Column1]:[Y]],3,FALSE)</f>
        <v>37.333569509532602</v>
      </c>
      <c r="K148">
        <f>VLOOKUP(F148,[1]!china_towns_second__2[[Column1]:[Y]],2,FALSE)</f>
        <v>97.401415459999996</v>
      </c>
      <c r="L148" t="s">
        <v>1259</v>
      </c>
      <c r="M148" t="str">
        <f>VLOOKUP(H148,CHOOSE({1,2},Table9[Native],Table9[Name]),2,0)</f>
        <v>Délìnghā Shì</v>
      </c>
      <c r="N148" s="13" t="str">
        <f>VLOOKUP(I148,CHOOSE({1,2},Table9[Native],Table9[Name]),2,0)</f>
        <v>Hăixī Mĕnggŭzú Zàngzú Zìzhìzhōu</v>
      </c>
      <c r="O148" s="13" t="str">
        <f t="shared" si="10"/>
        <v>Huochezhan Jiedao (Haixi Mengguzu Zangzu Zizhizhou) (Hăixī Mĕnggŭzú Zàngzú Zìzhìzhōu)</v>
      </c>
      <c r="P148" s="13" t="str">
        <f t="shared" si="11"/>
        <v>Huochezhan Jiedao (Haixi Mengguzu Zangzu Zizhizhou) (Hăixī Mĕnggŭzú Zàngzú Zìzhìzhōu)</v>
      </c>
    </row>
    <row r="149" spans="1:16" hidden="1" x14ac:dyDescent="0.25">
      <c r="A149" t="s">
        <v>498</v>
      </c>
      <c r="B149" t="str">
        <f t="shared" si="8"/>
        <v>Huŏchēzhàn Jiēdào (Xīníng Shì)</v>
      </c>
      <c r="C149" t="str">
        <f t="shared" si="9"/>
        <v>Huŏchēzhàn Jiēdào (Xīníng Shì)</v>
      </c>
      <c r="D149" t="s">
        <v>499</v>
      </c>
      <c r="E149" t="s">
        <v>488</v>
      </c>
      <c r="F149" t="str">
        <f>_xlfn.CONCAT(D149,", ",H149,", ",I149,", ","青海省")</f>
        <v>火车站街道, 城东区, 西宁市, 青海省</v>
      </c>
      <c r="G149">
        <v>31477</v>
      </c>
      <c r="H149" t="s">
        <v>925</v>
      </c>
      <c r="I149" t="s">
        <v>923</v>
      </c>
      <c r="J149">
        <f>VLOOKUP(F149,[1]!china_towns_second__2[[Column1]:[Y]],3,FALSE)</f>
        <v>36.617238466608903</v>
      </c>
      <c r="K149">
        <f>VLOOKUP(F149,[1]!china_towns_second__2[[Column1]:[Y]],2,FALSE)</f>
        <v>101.8266895</v>
      </c>
      <c r="L149" t="s">
        <v>1260</v>
      </c>
      <c r="M149" t="str">
        <f>VLOOKUP(H149,CHOOSE({1,2},Table9[Native],Table9[Name]),2,0)</f>
        <v>Chéngdōng Qū</v>
      </c>
      <c r="N149" s="13" t="str">
        <f>VLOOKUP(I149,CHOOSE({1,2},Table9[Native],Table9[Name]),2,0)</f>
        <v>Xīníng Shì</v>
      </c>
      <c r="O149" s="13" t="str">
        <f t="shared" si="10"/>
        <v>Huochezhan Jiedao (Xining Shi) (Xīníng Shì)</v>
      </c>
      <c r="P149" s="13" t="str">
        <f t="shared" si="11"/>
        <v>Huochezhan Jiedao (Xining Shi) (Xīníng Shì)</v>
      </c>
    </row>
    <row r="150" spans="1:16" hidden="1" x14ac:dyDescent="0.25">
      <c r="A150" t="s">
        <v>682</v>
      </c>
      <c r="B150" t="str">
        <f t="shared" si="8"/>
        <v>Hŭtái Jiēdào</v>
      </c>
      <c r="C150" t="str">
        <f t="shared" si="9"/>
        <v>Hŭtái Jiēdào</v>
      </c>
      <c r="D150" t="s">
        <v>683</v>
      </c>
      <c r="E150" t="s">
        <v>488</v>
      </c>
      <c r="F150" t="str">
        <f>_xlfn.CONCAT(D150,", ",H150,", ",I150,", ","青海省")</f>
        <v>虎台街道, 城西区, 西宁市, 青海省</v>
      </c>
      <c r="G150">
        <v>83573</v>
      </c>
      <c r="H150" t="s">
        <v>926</v>
      </c>
      <c r="I150" t="s">
        <v>923</v>
      </c>
      <c r="J150">
        <f>VLOOKUP(F150,[1]!china_towns_second__2[[Column1]:[Y]],3,FALSE)</f>
        <v>36.628892118765002</v>
      </c>
      <c r="K150">
        <f>VLOOKUP(F150,[1]!china_towns_second__2[[Column1]:[Y]],2,FALSE)</f>
        <v>101.737103</v>
      </c>
      <c r="L150" t="s">
        <v>1261</v>
      </c>
      <c r="M150" t="str">
        <f>VLOOKUP(H150,CHOOSE({1,2},Table9[Native],Table9[Name]),2,0)</f>
        <v>Chéngxī Qū</v>
      </c>
      <c r="N150" s="13" t="str">
        <f>VLOOKUP(I150,CHOOSE({1,2},Table9[Native],Table9[Name]),2,0)</f>
        <v>Xīníng Shì</v>
      </c>
      <c r="O150" s="13" t="str">
        <f t="shared" si="10"/>
        <v>Hutai Jiedao (Xīníng Shì)</v>
      </c>
      <c r="P150" s="13" t="str">
        <f t="shared" si="11"/>
        <v>Hutai Jiedao (Xīníng Shì)</v>
      </c>
    </row>
    <row r="151" spans="1:16" x14ac:dyDescent="0.25">
      <c r="A151" t="s">
        <v>260</v>
      </c>
      <c r="B151" t="str">
        <f t="shared" si="8"/>
        <v>Jiādìng Zhèn</v>
      </c>
      <c r="C151" t="str">
        <f t="shared" si="9"/>
        <v>Jiādìng Zhèn</v>
      </c>
      <c r="D151" t="s">
        <v>261</v>
      </c>
      <c r="E151" t="s">
        <v>19</v>
      </c>
      <c r="F151" t="str">
        <f>_xlfn.CONCAT(D151,", ",H151,", ",I151,", ","青海省")</f>
        <v>加定镇, 互助土族自治县, 海东市, 青海省</v>
      </c>
      <c r="G151">
        <v>7079</v>
      </c>
      <c r="H151" t="s">
        <v>890</v>
      </c>
      <c r="I151" t="s">
        <v>888</v>
      </c>
      <c r="J151">
        <f>VLOOKUP(F151,[1]!china_towns_second__2[[Column1]:[Y]],3,FALSE)</f>
        <v>36.849352888355803</v>
      </c>
      <c r="K151">
        <f>VLOOKUP(F151,[1]!china_towns_second__2[[Column1]:[Y]],2,FALSE)</f>
        <v>102.469167</v>
      </c>
      <c r="L151" t="s">
        <v>1262</v>
      </c>
      <c r="M151" t="str">
        <f>VLOOKUP(H151,CHOOSE({1,2},Table9[Native],Table9[Name]),2,0)</f>
        <v>Hùzhù Tŭzú Zìzhìxiàn</v>
      </c>
      <c r="N151" s="13" t="str">
        <f>VLOOKUP(I151,CHOOSE({1,2},Table9[Native],Table9[Name]),2,0)</f>
        <v>Hăidōng Shì</v>
      </c>
      <c r="O151" s="13" t="str">
        <f t="shared" si="10"/>
        <v>Jiading Zhen (Hăidōng Shì)</v>
      </c>
      <c r="P151" s="13" t="str">
        <f t="shared" si="11"/>
        <v>Jiading Zhen (Hăidōng Shì)</v>
      </c>
    </row>
    <row r="152" spans="1:16" x14ac:dyDescent="0.25">
      <c r="A152" t="s">
        <v>804</v>
      </c>
      <c r="B152" t="str">
        <f t="shared" si="8"/>
        <v>Jiājí Bóluògé Zhèn</v>
      </c>
      <c r="C152" t="str">
        <f t="shared" si="9"/>
        <v>Jiājí Bóluògé Zhèn</v>
      </c>
      <c r="D152" t="s">
        <v>805</v>
      </c>
      <c r="E152" t="s">
        <v>19</v>
      </c>
      <c r="F152" t="str">
        <f>_xlfn.CONCAT(D152,", ",H152,", ",I152,", ","青海省")</f>
        <v>加吉博洛格镇, 治多县, 玉树藏族自治州, 青海省</v>
      </c>
      <c r="G152">
        <v>12773</v>
      </c>
      <c r="H152" t="s">
        <v>938</v>
      </c>
      <c r="I152" t="s">
        <v>932</v>
      </c>
      <c r="J152">
        <f>VLOOKUP(F152,[1]!china_towns_second__2[[Column1]:[Y]],3,FALSE)</f>
        <v>33.717269390926603</v>
      </c>
      <c r="K152">
        <f>VLOOKUP(F152,[1]!china_towns_second__2[[Column1]:[Y]],2,FALSE)</f>
        <v>95.817220969999994</v>
      </c>
      <c r="L152" t="s">
        <v>1263</v>
      </c>
      <c r="M152" t="str">
        <f>VLOOKUP(H152,CHOOSE({1,2},Table9[Native],Table9[Name]),2,0)</f>
        <v>Zhìduō Xiàn</v>
      </c>
      <c r="N152" s="13" t="str">
        <f>VLOOKUP(I152,CHOOSE({1,2},Table9[Native],Table9[Name]),2,0)</f>
        <v>Yùshù Zàngzú Zìzhìzhōu</v>
      </c>
      <c r="O152" s="13" t="str">
        <f t="shared" si="10"/>
        <v>Jiaji Boluoge Zhen (Yùshù Zàngzú Zìzhìzhōu)</v>
      </c>
      <c r="P152" s="13" t="str">
        <f t="shared" si="11"/>
        <v>Jiaji Boluoge Zhen (Yùshù Zàngzú Zìzhìzhōu)</v>
      </c>
    </row>
    <row r="153" spans="1:16" hidden="1" x14ac:dyDescent="0.25">
      <c r="A153" t="s">
        <v>581</v>
      </c>
      <c r="B153" t="str">
        <f t="shared" si="8"/>
        <v>Jiăjiā Xiāng</v>
      </c>
      <c r="C153" t="str">
        <f t="shared" si="9"/>
        <v>Jiăjiā Xiāng</v>
      </c>
      <c r="D153" t="s">
        <v>582</v>
      </c>
      <c r="E153" t="s">
        <v>7</v>
      </c>
      <c r="F153" t="str">
        <f>_xlfn.CONCAT(D153,", ",H153,", ",I153,", ","青海省")</f>
        <v>贾加乡, 尖扎县, 黄南藏族自治州, 青海省</v>
      </c>
      <c r="G153">
        <v>1612</v>
      </c>
      <c r="H153" t="s">
        <v>919</v>
      </c>
      <c r="I153" t="s">
        <v>917</v>
      </c>
      <c r="J153" t="e">
        <f>VLOOKUP(F153,[1]!china_towns_second__2[[Column1]:[Y]],3,FALSE)</f>
        <v>#N/A</v>
      </c>
      <c r="K153" t="e">
        <f>VLOOKUP(F153,[1]!china_towns_second__2[[Column1]:[Y]],2,FALSE)</f>
        <v>#N/A</v>
      </c>
      <c r="L153" t="s">
        <v>1264</v>
      </c>
      <c r="M153" t="str">
        <f>VLOOKUP(H153,CHOOSE({1,2},Table9[Native],Table9[Name]),2,0)</f>
        <v>Jiānzhā Xiàn</v>
      </c>
      <c r="N153" s="13" t="str">
        <f>VLOOKUP(I153,CHOOSE({1,2},Table9[Native],Table9[Name]),2,0)</f>
        <v>Huángnán Zàngzú Zìzhìzhōu</v>
      </c>
      <c r="O153" s="13" t="str">
        <f t="shared" si="10"/>
        <v>Jiajia Xiang (Huángnán Zàngzú Zìzhìzhōu)</v>
      </c>
      <c r="P153" s="13" t="str">
        <f t="shared" si="11"/>
        <v>Jiajia Xiang (Huángnán Zàngzú Zìzhìzhōu)</v>
      </c>
    </row>
    <row r="154" spans="1:16" x14ac:dyDescent="0.25">
      <c r="A154" t="s">
        <v>500</v>
      </c>
      <c r="B154" t="str">
        <f t="shared" si="8"/>
        <v>Jiānghé Zhèn</v>
      </c>
      <c r="C154" t="str">
        <f t="shared" si="9"/>
        <v>Jiānghé Zhèn</v>
      </c>
      <c r="D154" t="s">
        <v>501</v>
      </c>
      <c r="E154" t="s">
        <v>19</v>
      </c>
      <c r="F154" t="str">
        <f>_xlfn.CONCAT(D154,", ",H154,", ",I154,", ","青海省")</f>
        <v>江河镇, 天峻县, 海西蒙古族藏族自治州, 青海省</v>
      </c>
      <c r="G154">
        <v>1905</v>
      </c>
      <c r="H154" t="s">
        <v>914</v>
      </c>
      <c r="I154" t="s">
        <v>905</v>
      </c>
      <c r="J154">
        <f>VLOOKUP(F154,[1]!china_towns_second__2[[Column1]:[Y]],3,FALSE)</f>
        <v>37.385689571877499</v>
      </c>
      <c r="K154">
        <f>VLOOKUP(F154,[1]!china_towns_second__2[[Column1]:[Y]],2,FALSE)</f>
        <v>99.36613629</v>
      </c>
      <c r="L154" t="s">
        <v>1265</v>
      </c>
      <c r="M154" t="str">
        <f>VLOOKUP(H154,CHOOSE({1,2},Table9[Native],Table9[Name]),2,0)</f>
        <v>Tiānjùn Xiàn</v>
      </c>
      <c r="N154" s="13" t="str">
        <f>VLOOKUP(I154,CHOOSE({1,2},Table9[Native],Table9[Name]),2,0)</f>
        <v>Hăixī Mĕnggŭzú Zàngzú Zìzhìzhōu</v>
      </c>
      <c r="O154" s="13" t="str">
        <f t="shared" si="10"/>
        <v>Jianghe Zhen (Hăixī Mĕnggŭzú Zàngzú Zìzhìzhōu)</v>
      </c>
      <c r="P154" s="13" t="str">
        <f t="shared" si="11"/>
        <v>Jianghe Zhen (Hăixī Mĕnggŭzú Zàngzú Zìzhìzhōu)</v>
      </c>
    </row>
    <row r="155" spans="1:16" hidden="1" x14ac:dyDescent="0.25">
      <c r="A155" t="s">
        <v>37</v>
      </c>
      <c r="B155" t="str">
        <f t="shared" si="8"/>
        <v>Jiāngqiān Xiāng</v>
      </c>
      <c r="C155" t="str">
        <f t="shared" si="9"/>
        <v>Jiāngqiān Xiāng</v>
      </c>
      <c r="D155" t="s">
        <v>38</v>
      </c>
      <c r="E155" t="s">
        <v>7</v>
      </c>
      <c r="F155" t="str">
        <f>_xlfn.CONCAT(D155,", ",H155,", ",I155,", ","青海省")</f>
        <v>江千乡, 甘德县, 果洛藏族自治州, 青海省</v>
      </c>
      <c r="G155">
        <v>3462</v>
      </c>
      <c r="H155" t="s">
        <v>875</v>
      </c>
      <c r="I155" t="s">
        <v>871</v>
      </c>
      <c r="J155" t="e">
        <f>VLOOKUP(F155,[1]!china_towns_second__2[[Column1]:[Y]],3,FALSE)</f>
        <v>#N/A</v>
      </c>
      <c r="K155" t="e">
        <f>VLOOKUP(F155,[1]!china_towns_second__2[[Column1]:[Y]],2,FALSE)</f>
        <v>#N/A</v>
      </c>
      <c r="L155" t="s">
        <v>1266</v>
      </c>
      <c r="M155" t="str">
        <f>VLOOKUP(H155,CHOOSE({1,2},Table9[Native],Table9[Name]),2,0)</f>
        <v>Gāndé Xiàn</v>
      </c>
      <c r="N155" s="13" t="str">
        <f>VLOOKUP(I155,CHOOSE({1,2},Table9[Native],Table9[Name]),2,0)</f>
        <v>Guŏluò Zàngzú Zìzhìzhōu</v>
      </c>
      <c r="O155" s="13" t="str">
        <f t="shared" si="10"/>
        <v>Jiangqian Xiang (Guŏluò Zàngzú Zìzhìzhōu)</v>
      </c>
      <c r="P155" s="13" t="str">
        <f t="shared" si="11"/>
        <v>Jiangqian Xiang (Guŏluò Zàngzú Zìzhìzhōu)</v>
      </c>
    </row>
    <row r="156" spans="1:16" hidden="1" x14ac:dyDescent="0.25">
      <c r="A156" t="s">
        <v>39</v>
      </c>
      <c r="B156" t="str">
        <f t="shared" si="8"/>
        <v>Jiāngrìtáng Xiāng</v>
      </c>
      <c r="C156" t="str">
        <f t="shared" si="9"/>
        <v>Jiāngrìtáng Xiāng</v>
      </c>
      <c r="D156" t="s">
        <v>40</v>
      </c>
      <c r="E156" t="s">
        <v>7</v>
      </c>
      <c r="F156" t="str">
        <f>_xlfn.CONCAT(D156,", ",H156,", ",I156,", ","青海省")</f>
        <v>江日堂乡, 班玛县, 果洛藏族自治州, 青海省</v>
      </c>
      <c r="G156">
        <v>3103</v>
      </c>
      <c r="H156" t="s">
        <v>873</v>
      </c>
      <c r="I156" t="s">
        <v>871</v>
      </c>
      <c r="J156" t="e">
        <f>VLOOKUP(F156,[1]!china_towns_second__2[[Column1]:[Y]],3,FALSE)</f>
        <v>#N/A</v>
      </c>
      <c r="K156" t="e">
        <f>VLOOKUP(F156,[1]!china_towns_second__2[[Column1]:[Y]],2,FALSE)</f>
        <v>#N/A</v>
      </c>
      <c r="L156" t="s">
        <v>1267</v>
      </c>
      <c r="M156" t="str">
        <f>VLOOKUP(H156,CHOOSE({1,2},Table9[Native],Table9[Name]),2,0)</f>
        <v>Bānmă Xiàn</v>
      </c>
      <c r="N156" s="13" t="str">
        <f>VLOOKUP(I156,CHOOSE({1,2},Table9[Native],Table9[Name]),2,0)</f>
        <v>Guŏluò Zàngzú Zìzhìzhōu</v>
      </c>
      <c r="O156" s="13" t="str">
        <f t="shared" si="10"/>
        <v>Jiangritang Xiang (Guŏluò Zàngzú Zìzhìzhōu)</v>
      </c>
      <c r="P156" s="13" t="str">
        <f t="shared" si="11"/>
        <v>Jiangritang Xiang (Guŏluò Zàngzú Zìzhìzhōu)</v>
      </c>
    </row>
    <row r="157" spans="1:16" x14ac:dyDescent="0.25">
      <c r="A157" t="s">
        <v>409</v>
      </c>
      <c r="B157" t="str">
        <f t="shared" si="8"/>
        <v>Jiāngxīgōu Zhèn</v>
      </c>
      <c r="C157" t="str">
        <f t="shared" si="9"/>
        <v>Jiāngxīgōu Zhèn</v>
      </c>
      <c r="D157" t="s">
        <v>410</v>
      </c>
      <c r="E157" t="s">
        <v>19</v>
      </c>
      <c r="F157" t="str">
        <f>_xlfn.CONCAT(D157,", ",H157,", ",I157,", ","青海省")</f>
        <v>江西沟镇, 共和县, 海南藏族自治州, 青海省</v>
      </c>
      <c r="G157">
        <v>6116</v>
      </c>
      <c r="H157" t="s">
        <v>898</v>
      </c>
      <c r="I157" t="s">
        <v>897</v>
      </c>
      <c r="J157">
        <f>VLOOKUP(F157,[1]!china_towns_second__2[[Column1]:[Y]],3,FALSE)</f>
        <v>36.5670237925858</v>
      </c>
      <c r="K157">
        <f>VLOOKUP(F157,[1]!china_towns_second__2[[Column1]:[Y]],2,FALSE)</f>
        <v>100.28545560000001</v>
      </c>
      <c r="L157" t="s">
        <v>1268</v>
      </c>
      <c r="M157" t="str">
        <f>VLOOKUP(H157,CHOOSE({1,2},Table9[Native],Table9[Name]),2,0)</f>
        <v>Gònghé Xiàn</v>
      </c>
      <c r="N157" s="13" t="str">
        <f>VLOOKUP(I157,CHOOSE({1,2},Table9[Native],Table9[Name]),2,0)</f>
        <v>Hăinán Zàngzú Zìzhìzhōu</v>
      </c>
      <c r="O157" s="13" t="str">
        <f t="shared" si="10"/>
        <v>Jiangxigou Zhen (Hăinán Zàngzú Zìzhìzhōu)</v>
      </c>
      <c r="P157" s="13" t="str">
        <f t="shared" si="11"/>
        <v>Jiangxigou Zhen (Hăinán Zàngzú Zìzhìzhōu)</v>
      </c>
    </row>
    <row r="158" spans="1:16" hidden="1" x14ac:dyDescent="0.25">
      <c r="A158" t="s">
        <v>41</v>
      </c>
      <c r="B158" t="str">
        <f t="shared" si="8"/>
        <v>Jiànshè Xiāng</v>
      </c>
      <c r="C158" t="str">
        <f t="shared" si="9"/>
        <v>Jiànshè Xiāng</v>
      </c>
      <c r="D158" t="s">
        <v>42</v>
      </c>
      <c r="E158" t="s">
        <v>7</v>
      </c>
      <c r="F158" t="str">
        <f>_xlfn.CONCAT(D158,", ",H158,", ",I158,", ","青海省")</f>
        <v>建设乡, 达日县, 果洛藏族自治州, 青海省</v>
      </c>
      <c r="G158">
        <v>3427</v>
      </c>
      <c r="H158" t="s">
        <v>874</v>
      </c>
      <c r="I158" t="s">
        <v>871</v>
      </c>
      <c r="J158" t="e">
        <f>VLOOKUP(F158,[1]!china_towns_second__2[[Column1]:[Y]],3,FALSE)</f>
        <v>#N/A</v>
      </c>
      <c r="K158" t="e">
        <f>VLOOKUP(F158,[1]!china_towns_second__2[[Column1]:[Y]],2,FALSE)</f>
        <v>#N/A</v>
      </c>
      <c r="L158" t="s">
        <v>1269</v>
      </c>
      <c r="M158" t="str">
        <f>VLOOKUP(H158,CHOOSE({1,2},Table9[Native],Table9[Name]),2,0)</f>
        <v>Dárì Xiàn</v>
      </c>
      <c r="N158" s="13" t="str">
        <f>VLOOKUP(I158,CHOOSE({1,2},Table9[Native],Table9[Name]),2,0)</f>
        <v>Guŏluò Zàngzú Zìzhìzhōu</v>
      </c>
      <c r="O158" s="13" t="str">
        <f t="shared" si="10"/>
        <v>Jianshe Xiang (Guŏluò Zàngzú Zìzhìzhōu)</v>
      </c>
      <c r="P158" s="13" t="str">
        <f t="shared" si="11"/>
        <v>Jianshe Xiang (Guŏluò Zàngzú Zìzhìzhōu)</v>
      </c>
    </row>
    <row r="159" spans="1:16" hidden="1" x14ac:dyDescent="0.25">
      <c r="A159" t="s">
        <v>583</v>
      </c>
      <c r="B159" t="str">
        <f t="shared" si="8"/>
        <v>Jiānzhātān Xiāng</v>
      </c>
      <c r="C159" t="str">
        <f t="shared" si="9"/>
        <v>Jiānzhātān Xiāng</v>
      </c>
      <c r="D159" t="s">
        <v>584</v>
      </c>
      <c r="E159" t="s">
        <v>7</v>
      </c>
      <c r="F159" t="str">
        <f>_xlfn.CONCAT(D159,", ",H159,", ",I159,", ","青海省")</f>
        <v>尖扎滩乡, 尖扎县, 黄南藏族自治州, 青海省</v>
      </c>
      <c r="G159">
        <v>4871</v>
      </c>
      <c r="H159" t="s">
        <v>919</v>
      </c>
      <c r="I159" t="s">
        <v>917</v>
      </c>
      <c r="J159" t="e">
        <f>VLOOKUP(F159,[1]!china_towns_second__2[[Column1]:[Y]],3,FALSE)</f>
        <v>#N/A</v>
      </c>
      <c r="K159" t="e">
        <f>VLOOKUP(F159,[1]!china_towns_second__2[[Column1]:[Y]],2,FALSE)</f>
        <v>#N/A</v>
      </c>
      <c r="L159" t="s">
        <v>1270</v>
      </c>
      <c r="M159" t="str">
        <f>VLOOKUP(H159,CHOOSE({1,2},Table9[Native],Table9[Name]),2,0)</f>
        <v>Jiānzhā Xiàn</v>
      </c>
      <c r="N159" s="13" t="str">
        <f>VLOOKUP(I159,CHOOSE({1,2},Table9[Native],Table9[Name]),2,0)</f>
        <v>Huángnán Zàngzú Zìzhìzhōu</v>
      </c>
      <c r="O159" s="13" t="str">
        <f t="shared" si="10"/>
        <v>Jianzhatan Xiang (Huángnán Zàngzú Zìzhìzhōu)</v>
      </c>
      <c r="P159" s="13" t="str">
        <f t="shared" si="11"/>
        <v>Jianzhatan Xiang (Huángnán Zàngzú Zìzhìzhōu)</v>
      </c>
    </row>
    <row r="160" spans="1:16" hidden="1" x14ac:dyDescent="0.25">
      <c r="A160" t="s">
        <v>585</v>
      </c>
      <c r="B160" t="str">
        <f t="shared" si="8"/>
        <v>Jiāwú Xiāng</v>
      </c>
      <c r="C160" t="str">
        <f t="shared" si="9"/>
        <v>Jiāwú Xiāng</v>
      </c>
      <c r="D160" t="s">
        <v>586</v>
      </c>
      <c r="E160" t="s">
        <v>7</v>
      </c>
      <c r="F160" t="str">
        <f>_xlfn.CONCAT(D160,", ",H160,", ",I160,", ","青海省")</f>
        <v>加吾乡, 同仁市, 黄南藏族自治州, 青海省</v>
      </c>
      <c r="G160">
        <v>4481</v>
      </c>
      <c r="H160" t="s">
        <v>920</v>
      </c>
      <c r="I160" t="s">
        <v>917</v>
      </c>
      <c r="J160" t="e">
        <f>VLOOKUP(F160,[1]!china_towns_second__2[[Column1]:[Y]],3,FALSE)</f>
        <v>#N/A</v>
      </c>
      <c r="K160" t="e">
        <f>VLOOKUP(F160,[1]!china_towns_second__2[[Column1]:[Y]],2,FALSE)</f>
        <v>#N/A</v>
      </c>
      <c r="L160" t="s">
        <v>1271</v>
      </c>
      <c r="M160" t="str">
        <f>VLOOKUP(H160,CHOOSE({1,2},Table9[Native],Table9[Name]),2,0)</f>
        <v>Tóngrén Shì</v>
      </c>
      <c r="N160" s="13" t="str">
        <f>VLOOKUP(I160,CHOOSE({1,2},Table9[Native],Table9[Name]),2,0)</f>
        <v>Huángnán Zàngzú Zìzhìzhōu</v>
      </c>
      <c r="O160" s="13" t="str">
        <f t="shared" si="10"/>
        <v>Jiawu Xiang (Huángnán Zàngzú Zìzhìzhōu)</v>
      </c>
      <c r="P160" s="13" t="str">
        <f t="shared" si="11"/>
        <v>Jiawu Xiang (Huángnán Zàngzú Zìzhìzhōu)</v>
      </c>
    </row>
    <row r="161" spans="1:16" hidden="1" x14ac:dyDescent="0.25">
      <c r="A161" t="s">
        <v>806</v>
      </c>
      <c r="B161" t="str">
        <f t="shared" si="8"/>
        <v>Jiéduō Xiāng</v>
      </c>
      <c r="C161" t="str">
        <f t="shared" si="9"/>
        <v>Jiéduō Xiāng</v>
      </c>
      <c r="D161" t="s">
        <v>807</v>
      </c>
      <c r="E161" t="s">
        <v>7</v>
      </c>
      <c r="F161" t="str">
        <f>_xlfn.CONCAT(D161,", ",H161,", ",I161,", ","青海省")</f>
        <v>结多乡, 杂多县, 玉树藏族自治州, 青海省</v>
      </c>
      <c r="G161">
        <v>5743</v>
      </c>
      <c r="H161" t="s">
        <v>937</v>
      </c>
      <c r="I161" t="s">
        <v>932</v>
      </c>
      <c r="J161" t="e">
        <f>VLOOKUP(F161,[1]!china_towns_second__2[[Column1]:[Y]],3,FALSE)</f>
        <v>#N/A</v>
      </c>
      <c r="K161" t="e">
        <f>VLOOKUP(F161,[1]!china_towns_second__2[[Column1]:[Y]],2,FALSE)</f>
        <v>#N/A</v>
      </c>
      <c r="L161" t="s">
        <v>1272</v>
      </c>
      <c r="M161" t="str">
        <f>VLOOKUP(H161,CHOOSE({1,2},Table9[Native],Table9[Name]),2,0)</f>
        <v>Záduō Xiàn</v>
      </c>
      <c r="N161" s="13" t="str">
        <f>VLOOKUP(I161,CHOOSE({1,2},Table9[Native],Table9[Name]),2,0)</f>
        <v>Yùshù Zàngzú Zìzhìzhōu</v>
      </c>
      <c r="O161" s="13" t="str">
        <f t="shared" si="10"/>
        <v>Jieduo Xiang (Yùshù Zàngzú Zìzhìzhōu)</v>
      </c>
      <c r="P161" s="13" t="str">
        <f t="shared" si="11"/>
        <v>Jieduo Xiang (Yùshù Zàngzú Zìzhìzhōu)</v>
      </c>
    </row>
    <row r="162" spans="1:16" hidden="1" x14ac:dyDescent="0.25">
      <c r="A162" t="s">
        <v>808</v>
      </c>
      <c r="B162" t="str">
        <f t="shared" si="8"/>
        <v>Jiégŭ Jiēdào [incl. Jiégǔzhèn Jiēdào, Zhāxīkē Jiēdào, Xīháng Jiēdào, Xīnzhài Jiēdào]</v>
      </c>
      <c r="C162" t="str">
        <f t="shared" si="9"/>
        <v>Jiégŭ Jiēdào [incl. Jiégǔzhèn Jiēdào, Zhāxīkē Jiēdào, Xīháng Jiēdào, Xīnzhài Jiēdào]</v>
      </c>
      <c r="D162" t="s">
        <v>809</v>
      </c>
      <c r="E162" t="s">
        <v>488</v>
      </c>
      <c r="F162" t="str">
        <f>_xlfn.CONCAT(D162,", ",H162,", ",I162,", ","青海省")</f>
        <v>结古街道, 玉树市, 玉树藏族自治州, 青海省</v>
      </c>
      <c r="G162">
        <v>63280</v>
      </c>
      <c r="H162" t="s">
        <v>936</v>
      </c>
      <c r="I162" t="s">
        <v>932</v>
      </c>
      <c r="J162" t="e">
        <f>VLOOKUP(F162,[1]!china_towns_second__2[[Column1]:[Y]],3,FALSE)</f>
        <v>#N/A</v>
      </c>
      <c r="K162" t="e">
        <f>VLOOKUP(F162,[1]!china_towns_second__2[[Column1]:[Y]],2,FALSE)</f>
        <v>#N/A</v>
      </c>
      <c r="L162" t="s">
        <v>1273</v>
      </c>
      <c r="M162" t="str">
        <f>VLOOKUP(H162,CHOOSE({1,2},Table9[Native],Table9[Name]),2,0)</f>
        <v>Yùshù Shì</v>
      </c>
      <c r="N162" s="13" t="str">
        <f>VLOOKUP(I162,CHOOSE({1,2},Table9[Native],Table9[Name]),2,0)</f>
        <v>Yùshù Zàngzú Zìzhìzhōu</v>
      </c>
      <c r="O162" s="13" t="str">
        <f t="shared" si="10"/>
        <v>Jiegu Jiedao [incl. Jieguzhen Jiedao, Zhaxike Jiedao, Xihang Jiedao, Xinzhai Jiedao] (Yùshù Zàngzú Zìzhìzhōu)</v>
      </c>
      <c r="P162" s="13" t="str">
        <f t="shared" si="11"/>
        <v>Jiegu Jiedao [incl. Jieguzhen Jiedao, Zhaxike Jiedao, Xihang Jiedao, Xinzhai Jiedao] (Yùshù Zàngzú Zìzhìzhōu)</v>
      </c>
    </row>
    <row r="163" spans="1:16" hidden="1" x14ac:dyDescent="0.25">
      <c r="A163" t="s">
        <v>125</v>
      </c>
      <c r="B163" t="str">
        <f t="shared" si="8"/>
        <v>Jí'ĕrmèng Xiāng</v>
      </c>
      <c r="C163" t="str">
        <f t="shared" si="9"/>
        <v>Jí'ĕrmèng Xiāng</v>
      </c>
      <c r="D163" t="s">
        <v>126</v>
      </c>
      <c r="E163" t="s">
        <v>7</v>
      </c>
      <c r="F163" t="str">
        <f>_xlfn.CONCAT(D163,", ",H163,", ",I163,", ","青海省")</f>
        <v>吉尔孟乡, 刚察县, 海北藏族自治州, 青海省</v>
      </c>
      <c r="G163">
        <v>3307</v>
      </c>
      <c r="H163" t="s">
        <v>881</v>
      </c>
      <c r="I163" t="s">
        <v>880</v>
      </c>
      <c r="J163" t="e">
        <f>VLOOKUP(F163,[1]!china_towns_second__2[[Column1]:[Y]],3,FALSE)</f>
        <v>#N/A</v>
      </c>
      <c r="K163" t="e">
        <f>VLOOKUP(F163,[1]!china_towns_second__2[[Column1]:[Y]],2,FALSE)</f>
        <v>#N/A</v>
      </c>
      <c r="L163" t="s">
        <v>1274</v>
      </c>
      <c r="M163" t="str">
        <f>VLOOKUP(H163,CHOOSE({1,2},Table9[Native],Table9[Name]),2,0)</f>
        <v>Gāngchá Xiàn</v>
      </c>
      <c r="N163" s="13" t="str">
        <f>VLOOKUP(I163,CHOOSE({1,2},Table9[Native],Table9[Name]),2,0)</f>
        <v>Hăibĕi Zàngzú Zìzhìzhōu</v>
      </c>
      <c r="O163" s="13" t="str">
        <f t="shared" si="10"/>
        <v>Ji'ermeng Xiang (Hăibĕi Zàngzú Zìzhìzhōu)</v>
      </c>
      <c r="P163" s="13" t="str">
        <f t="shared" si="11"/>
        <v>Ji'ermeng Xiang (Hăibĕi Zàngzú Zìzhìzhōu)</v>
      </c>
    </row>
    <row r="164" spans="1:16" x14ac:dyDescent="0.25">
      <c r="A164" t="s">
        <v>262</v>
      </c>
      <c r="B164" t="str">
        <f t="shared" si="8"/>
        <v>Jiēzi Zhèn</v>
      </c>
      <c r="C164" t="str">
        <f t="shared" si="9"/>
        <v>Jiēzi Zhèn</v>
      </c>
      <c r="D164" t="s">
        <v>263</v>
      </c>
      <c r="E164" t="s">
        <v>19</v>
      </c>
      <c r="F164" t="str">
        <f>_xlfn.CONCAT(D164,", ",H164,", ",I164,", ","青海省")</f>
        <v>街子镇, 循化撒拉族自治县, 海东市, 青海省</v>
      </c>
      <c r="G164">
        <v>17256</v>
      </c>
      <c r="H164" t="s">
        <v>895</v>
      </c>
      <c r="I164" t="s">
        <v>888</v>
      </c>
      <c r="J164">
        <f>VLOOKUP(F164,[1]!china_towns_second__2[[Column1]:[Y]],3,FALSE)</f>
        <v>35.806865561281199</v>
      </c>
      <c r="K164">
        <f>VLOOKUP(F164,[1]!china_towns_second__2[[Column1]:[Y]],2,FALSE)</f>
        <v>102.4126377</v>
      </c>
      <c r="L164" t="s">
        <v>1275</v>
      </c>
      <c r="M164" t="str">
        <f>VLOOKUP(H164,CHOOSE({1,2},Table9[Native],Table9[Name]),2,0)</f>
        <v>Xúnhuà Sālāzú Zìzhìxiàn</v>
      </c>
      <c r="N164" s="13" t="str">
        <f>VLOOKUP(I164,CHOOSE({1,2},Table9[Native],Table9[Name]),2,0)</f>
        <v>Hăidōng Shì</v>
      </c>
      <c r="O164" s="13" t="str">
        <f t="shared" si="10"/>
        <v>Jiezi Zhen (Hăidōng Shì)</v>
      </c>
      <c r="P164" s="13" t="str">
        <f t="shared" si="11"/>
        <v>Jiezi Zhen (Hăidōng Shì)</v>
      </c>
    </row>
    <row r="165" spans="1:16" hidden="1" x14ac:dyDescent="0.25">
      <c r="A165" t="s">
        <v>43</v>
      </c>
      <c r="B165" t="str">
        <f t="shared" si="8"/>
        <v>Jíkă Xiāng</v>
      </c>
      <c r="C165" t="str">
        <f t="shared" si="9"/>
        <v>Jíkă Xiāng</v>
      </c>
      <c r="D165" t="s">
        <v>44</v>
      </c>
      <c r="E165" t="s">
        <v>7</v>
      </c>
      <c r="F165" t="str">
        <f>_xlfn.CONCAT(D165,", ",H165,", ",I165,", ","青海省")</f>
        <v>吉卡乡, 班玛县, 果洛藏族自治州, 青海省</v>
      </c>
      <c r="G165">
        <v>2211</v>
      </c>
      <c r="H165" t="s">
        <v>873</v>
      </c>
      <c r="I165" t="s">
        <v>871</v>
      </c>
      <c r="J165" t="e">
        <f>VLOOKUP(F165,[1]!china_towns_second__2[[Column1]:[Y]],3,FALSE)</f>
        <v>#N/A</v>
      </c>
      <c r="K165" t="e">
        <f>VLOOKUP(F165,[1]!china_towns_second__2[[Column1]:[Y]],2,FALSE)</f>
        <v>#N/A</v>
      </c>
      <c r="L165" t="s">
        <v>1276</v>
      </c>
      <c r="M165" t="str">
        <f>VLOOKUP(H165,CHOOSE({1,2},Table9[Native],Table9[Name]),2,0)</f>
        <v>Bānmă Xiàn</v>
      </c>
      <c r="N165" s="13" t="str">
        <f>VLOOKUP(I165,CHOOSE({1,2},Table9[Native],Table9[Name]),2,0)</f>
        <v>Guŏluò Zàngzú Zìzhìzhōu</v>
      </c>
      <c r="O165" s="13" t="str">
        <f t="shared" si="10"/>
        <v>Jika Xiang (Guŏluò Zàngzú Zìzhìzhōu)</v>
      </c>
      <c r="P165" s="13" t="str">
        <f t="shared" si="11"/>
        <v>Jika Xiang (Guŏluò Zàngzú Zìzhìzhōu)</v>
      </c>
    </row>
    <row r="166" spans="1:16" hidden="1" x14ac:dyDescent="0.25">
      <c r="A166" t="s">
        <v>684</v>
      </c>
      <c r="B166" t="str">
        <f t="shared" si="8"/>
        <v>Jílè Xiāng</v>
      </c>
      <c r="C166" t="str">
        <f t="shared" si="9"/>
        <v>Jílè Xiāng</v>
      </c>
      <c r="D166" t="s">
        <v>685</v>
      </c>
      <c r="E166" t="s">
        <v>7</v>
      </c>
      <c r="F166" t="str">
        <f>_xlfn.CONCAT(D166,", ",H166,", ",I166,", ","青海省")</f>
        <v>极乐乡, 大通回族土族自治县, 西宁市, 青海省</v>
      </c>
      <c r="G166">
        <v>11908</v>
      </c>
      <c r="H166" t="s">
        <v>928</v>
      </c>
      <c r="I166" t="s">
        <v>923</v>
      </c>
      <c r="J166" t="e">
        <f>VLOOKUP(F166,[1]!china_towns_second__2[[Column1]:[Y]],3,FALSE)</f>
        <v>#N/A</v>
      </c>
      <c r="K166" t="e">
        <f>VLOOKUP(F166,[1]!china_towns_second__2[[Column1]:[Y]],2,FALSE)</f>
        <v>#N/A</v>
      </c>
      <c r="L166" t="s">
        <v>1277</v>
      </c>
      <c r="M166" t="str">
        <f>VLOOKUP(H166,CHOOSE({1,2},Table9[Native],Table9[Name]),2,0)</f>
        <v>Dàtōng Huízú Tŭzú Zìzhìxiàn</v>
      </c>
      <c r="N166" s="13" t="str">
        <f>VLOOKUP(I166,CHOOSE({1,2},Table9[Native],Table9[Name]),2,0)</f>
        <v>Xīníng Shì</v>
      </c>
      <c r="O166" s="13" t="str">
        <f t="shared" si="10"/>
        <v>Jile Xiang (Xīníng Shì)</v>
      </c>
      <c r="P166" s="13" t="str">
        <f t="shared" si="11"/>
        <v>Jile Xiang (Xīníng Shì)</v>
      </c>
    </row>
    <row r="167" spans="1:16" x14ac:dyDescent="0.25">
      <c r="A167" t="s">
        <v>45</v>
      </c>
      <c r="B167" t="str">
        <f t="shared" si="8"/>
        <v>Jímài Zhèn</v>
      </c>
      <c r="C167" t="str">
        <f t="shared" si="9"/>
        <v>Jímài Zhèn</v>
      </c>
      <c r="D167" t="s">
        <v>46</v>
      </c>
      <c r="E167" t="s">
        <v>19</v>
      </c>
      <c r="F167" t="str">
        <f>_xlfn.CONCAT(D167,", ",H167,", ",I167,", ","青海省")</f>
        <v>吉迈镇, 达日县, 果洛藏族自治州, 青海省</v>
      </c>
      <c r="G167">
        <v>8706</v>
      </c>
      <c r="H167" t="s">
        <v>874</v>
      </c>
      <c r="I167" t="s">
        <v>871</v>
      </c>
      <c r="J167">
        <f>VLOOKUP(F167,[1]!china_towns_second__2[[Column1]:[Y]],3,FALSE)</f>
        <v>33.569547195900398</v>
      </c>
      <c r="K167">
        <f>VLOOKUP(F167,[1]!china_towns_second__2[[Column1]:[Y]],2,FALSE)</f>
        <v>99.802454699999998</v>
      </c>
      <c r="L167" t="s">
        <v>1278</v>
      </c>
      <c r="M167" t="str">
        <f>VLOOKUP(H167,CHOOSE({1,2},Table9[Native],Table9[Name]),2,0)</f>
        <v>Dárì Xiàn</v>
      </c>
      <c r="N167" s="13" t="str">
        <f>VLOOKUP(I167,CHOOSE({1,2},Table9[Native],Table9[Name]),2,0)</f>
        <v>Guŏluò Zàngzú Zìzhìzhōu</v>
      </c>
      <c r="O167" s="13" t="str">
        <f t="shared" si="10"/>
        <v>Jimai Zhen (Guŏluò Zàngzú Zìzhìzhōu)</v>
      </c>
      <c r="P167" s="13" t="str">
        <f t="shared" si="11"/>
        <v>Jimai Zhen (Guŏluò Zàngzú Zìzhìzhōu)</v>
      </c>
    </row>
    <row r="168" spans="1:16" hidden="1" x14ac:dyDescent="0.25">
      <c r="A168" t="s">
        <v>503</v>
      </c>
      <c r="B168" t="str">
        <f t="shared" si="8"/>
        <v>Jīnfēnglù Jiēdào</v>
      </c>
      <c r="C168" t="str">
        <f t="shared" si="9"/>
        <v>Jīnfēnglù Jiēdào</v>
      </c>
      <c r="D168" t="s">
        <v>504</v>
      </c>
      <c r="E168" t="s">
        <v>488</v>
      </c>
      <c r="F168" t="str">
        <f>_xlfn.CONCAT(D168,", ",H168,", ",I168,", ","青海省")</f>
        <v>金峰路街道, 格尔木市, 海西蒙古族藏族自治州, 青海省</v>
      </c>
      <c r="G168">
        <v>39531</v>
      </c>
      <c r="H168" t="s">
        <v>912</v>
      </c>
      <c r="I168" t="s">
        <v>905</v>
      </c>
      <c r="J168">
        <f>VLOOKUP(F168,[1]!china_towns_second__2[[Column1]:[Y]],3,FALSE)</f>
        <v>36.414601968477399</v>
      </c>
      <c r="K168">
        <f>VLOOKUP(F168,[1]!china_towns_second__2[[Column1]:[Y]],2,FALSE)</f>
        <v>94.907818050000003</v>
      </c>
      <c r="L168" t="s">
        <v>1279</v>
      </c>
      <c r="M168" t="str">
        <f>VLOOKUP(H168,CHOOSE({1,2},Table9[Native],Table9[Name]),2,0)</f>
        <v>Gé'ĕrmù Shì</v>
      </c>
      <c r="N168" s="13" t="str">
        <f>VLOOKUP(I168,CHOOSE({1,2},Table9[Native],Table9[Name]),2,0)</f>
        <v>Hăixī Mĕnggŭzú Zàngzú Zìzhìzhōu</v>
      </c>
      <c r="O168" s="13" t="str">
        <f t="shared" si="10"/>
        <v>Jinfenglu Jiedao (Hăixī Mĕnggŭzú Zàngzú Zìzhìzhōu)</v>
      </c>
      <c r="P168" s="13" t="str">
        <f t="shared" si="11"/>
        <v>Jinfenglu Jiedao (Hăixī Mĕnggŭzú Zàngzú Zìzhìzhōu)</v>
      </c>
    </row>
    <row r="169" spans="1:16" x14ac:dyDescent="0.25">
      <c r="A169" t="s">
        <v>686</v>
      </c>
      <c r="B169" t="str">
        <f t="shared" si="8"/>
        <v>Jĭngyáng Zhèn</v>
      </c>
      <c r="C169" t="str">
        <f t="shared" si="9"/>
        <v>Jĭngyáng Zhèn</v>
      </c>
      <c r="D169" t="s">
        <v>687</v>
      </c>
      <c r="E169" t="s">
        <v>19</v>
      </c>
      <c r="F169" t="str">
        <f>_xlfn.CONCAT(D169,", ",H169,", ",I169,", ","青海省")</f>
        <v>景阳镇, 大通回族土族自治县, 西宁市, 青海省</v>
      </c>
      <c r="G169">
        <v>24492</v>
      </c>
      <c r="H169" t="s">
        <v>928</v>
      </c>
      <c r="I169" t="s">
        <v>923</v>
      </c>
      <c r="J169">
        <f>VLOOKUP(F169,[1]!china_towns_second__2[[Column1]:[Y]],3,FALSE)</f>
        <v>36.826992498690501</v>
      </c>
      <c r="K169">
        <f>VLOOKUP(F169,[1]!china_towns_second__2[[Column1]:[Y]],2,FALSE)</f>
        <v>101.62763169999999</v>
      </c>
      <c r="L169" t="s">
        <v>1280</v>
      </c>
      <c r="M169" t="str">
        <f>VLOOKUP(H169,CHOOSE({1,2},Table9[Native],Table9[Name]),2,0)</f>
        <v>Dàtōng Huízú Tŭzú Zìzhìxiàn</v>
      </c>
      <c r="N169" s="13" t="str">
        <f>VLOOKUP(I169,CHOOSE({1,2},Table9[Native],Table9[Name]),2,0)</f>
        <v>Xīníng Shì</v>
      </c>
      <c r="O169" s="13" t="str">
        <f t="shared" si="10"/>
        <v>Jingyang Zhen (Xīníng Shì)</v>
      </c>
      <c r="P169" s="13" t="str">
        <f t="shared" si="11"/>
        <v>Jingyang Zhen (Xīníng Shì)</v>
      </c>
    </row>
    <row r="170" spans="1:16" hidden="1" x14ac:dyDescent="0.25">
      <c r="A170" t="s">
        <v>810</v>
      </c>
      <c r="B170" t="str">
        <f t="shared" si="8"/>
        <v>Jínísài Xiāng</v>
      </c>
      <c r="C170" t="str">
        <f t="shared" si="9"/>
        <v>Jínísài Xiāng</v>
      </c>
      <c r="D170" t="s">
        <v>811</v>
      </c>
      <c r="E170" t="s">
        <v>7</v>
      </c>
      <c r="F170" t="str">
        <f>_xlfn.CONCAT(D170,", ",H170,", ",I170,", ","青海省")</f>
        <v>吉尼赛乡, 囊谦县, 玉树藏族自治州, 青海省</v>
      </c>
      <c r="G170">
        <v>4718</v>
      </c>
      <c r="H170" t="s">
        <v>934</v>
      </c>
      <c r="I170" t="s">
        <v>932</v>
      </c>
      <c r="J170" t="e">
        <f>VLOOKUP(F170,[1]!china_towns_second__2[[Column1]:[Y]],3,FALSE)</f>
        <v>#N/A</v>
      </c>
      <c r="K170" t="e">
        <f>VLOOKUP(F170,[1]!china_towns_second__2[[Column1]:[Y]],2,FALSE)</f>
        <v>#N/A</v>
      </c>
      <c r="L170" t="s">
        <v>1281</v>
      </c>
      <c r="M170" t="str">
        <f>VLOOKUP(H170,CHOOSE({1,2},Table9[Native],Table9[Name]),2,0)</f>
        <v>Nángqiān Xiàn</v>
      </c>
      <c r="N170" s="13" t="str">
        <f>VLOOKUP(I170,CHOOSE({1,2},Table9[Native],Table9[Name]),2,0)</f>
        <v>Yùshù Zàngzú Zìzhìzhōu</v>
      </c>
      <c r="O170" s="13" t="str">
        <f t="shared" si="10"/>
        <v>Jinisai Xiang (Yùshù Zàngzú Zìzhìzhōu)</v>
      </c>
      <c r="P170" s="13" t="str">
        <f t="shared" si="11"/>
        <v>Jinisai Xiang (Yùshù Zàngzú Zìzhìzhōu)</v>
      </c>
    </row>
    <row r="171" spans="1:16" hidden="1" x14ac:dyDescent="0.25">
      <c r="A171" t="s">
        <v>127</v>
      </c>
      <c r="B171" t="str">
        <f t="shared" si="8"/>
        <v>Jīntān Xiāng</v>
      </c>
      <c r="C171" t="str">
        <f t="shared" si="9"/>
        <v>Jīntān Xiāng</v>
      </c>
      <c r="D171" t="s">
        <v>128</v>
      </c>
      <c r="E171" t="s">
        <v>7</v>
      </c>
      <c r="F171" t="str">
        <f>_xlfn.CONCAT(D171,", ",H171,", ",I171,", ","青海省")</f>
        <v>金滩乡, 海晏县, 海北藏族自治州, 青海省</v>
      </c>
      <c r="G171">
        <v>5100</v>
      </c>
      <c r="H171" t="s">
        <v>882</v>
      </c>
      <c r="I171" t="s">
        <v>880</v>
      </c>
      <c r="J171" t="e">
        <f>VLOOKUP(F171,[1]!china_towns_second__2[[Column1]:[Y]],3,FALSE)</f>
        <v>#N/A</v>
      </c>
      <c r="K171" t="e">
        <f>VLOOKUP(F171,[1]!china_towns_second__2[[Column1]:[Y]],2,FALSE)</f>
        <v>#N/A</v>
      </c>
      <c r="L171" t="s">
        <v>1282</v>
      </c>
      <c r="M171" t="str">
        <f>VLOOKUP(H171,CHOOSE({1,2},Table9[Native],Table9[Name]),2,0)</f>
        <v>Hăiyàn Xiàn</v>
      </c>
      <c r="N171" s="13" t="str">
        <f>VLOOKUP(I171,CHOOSE({1,2},Table9[Native],Table9[Name]),2,0)</f>
        <v>Hăibĕi Zàngzú Zìzhìzhōu</v>
      </c>
      <c r="O171" s="13" t="str">
        <f t="shared" si="10"/>
        <v>Jintan Xiang (Hăibĕi Zàngzú Zìzhìzhōu)</v>
      </c>
      <c r="P171" s="13" t="str">
        <f t="shared" si="11"/>
        <v>Jintan Xiang (Hăibĕi Zàngzú Zìzhìzhōu)</v>
      </c>
    </row>
    <row r="172" spans="1:16" hidden="1" x14ac:dyDescent="0.25">
      <c r="A172" t="s">
        <v>264</v>
      </c>
      <c r="B172" t="str">
        <f t="shared" si="8"/>
        <v>Jīnyuán Zàngzú Xiāng</v>
      </c>
      <c r="C172" t="str">
        <f t="shared" si="9"/>
        <v>Jīnyuán Zàngzú Xiāng</v>
      </c>
      <c r="D172" t="s">
        <v>265</v>
      </c>
      <c r="E172" t="s">
        <v>7</v>
      </c>
      <c r="F172" t="str">
        <f>_xlfn.CONCAT(D172,", ",H172,", ",I172,", ","青海省")</f>
        <v>金源藏族乡, 化隆回族自治县, 海东市, 青海省</v>
      </c>
      <c r="G172">
        <v>6551</v>
      </c>
      <c r="H172" t="s">
        <v>889</v>
      </c>
      <c r="I172" t="s">
        <v>888</v>
      </c>
      <c r="J172" t="e">
        <f>VLOOKUP(F172,[1]!china_towns_second__2[[Column1]:[Y]],3,FALSE)</f>
        <v>#N/A</v>
      </c>
      <c r="K172" t="e">
        <f>VLOOKUP(F172,[1]!china_towns_second__2[[Column1]:[Y]],2,FALSE)</f>
        <v>#N/A</v>
      </c>
      <c r="L172" t="s">
        <v>1283</v>
      </c>
      <c r="M172" t="str">
        <f>VLOOKUP(H172,CHOOSE({1,2},Table9[Native],Table9[Name]),2,0)</f>
        <v>Huàlóng Huízú Zìzhìxiàn</v>
      </c>
      <c r="N172" s="13" t="str">
        <f>VLOOKUP(I172,CHOOSE({1,2},Table9[Native],Table9[Name]),2,0)</f>
        <v>Hăidōng Shì</v>
      </c>
      <c r="O172" s="13" t="str">
        <f t="shared" si="10"/>
        <v>Jinyuan Zangzu Xiang (Hăidōng Shì)</v>
      </c>
      <c r="P172" s="13" t="str">
        <f t="shared" si="11"/>
        <v>Jinyuan Zangzu Xiang (Hăidōng Shì)</v>
      </c>
    </row>
    <row r="173" spans="1:16" hidden="1" x14ac:dyDescent="0.25">
      <c r="A173" t="s">
        <v>812</v>
      </c>
      <c r="B173" t="str">
        <f t="shared" si="8"/>
        <v>Jíqŭ Xiāng</v>
      </c>
      <c r="C173" t="str">
        <f t="shared" si="9"/>
        <v>Jíqŭ Xiāng</v>
      </c>
      <c r="D173" t="s">
        <v>813</v>
      </c>
      <c r="E173" t="s">
        <v>7</v>
      </c>
      <c r="F173" t="str">
        <f>_xlfn.CONCAT(D173,", ",H173,", ",I173,", ","青海省")</f>
        <v>吉曲乡, 囊谦县, 玉树藏族自治州, 青海省</v>
      </c>
      <c r="G173">
        <v>10159</v>
      </c>
      <c r="H173" t="s">
        <v>934</v>
      </c>
      <c r="I173" t="s">
        <v>932</v>
      </c>
      <c r="J173" t="e">
        <f>VLOOKUP(F173,[1]!china_towns_second__2[[Column1]:[Y]],3,FALSE)</f>
        <v>#N/A</v>
      </c>
      <c r="K173" t="e">
        <f>VLOOKUP(F173,[1]!china_towns_second__2[[Column1]:[Y]],2,FALSE)</f>
        <v>#N/A</v>
      </c>
      <c r="L173" t="s">
        <v>1284</v>
      </c>
      <c r="M173" t="str">
        <f>VLOOKUP(H173,CHOOSE({1,2},Table9[Native],Table9[Name]),2,0)</f>
        <v>Nángqiān Xiàn</v>
      </c>
      <c r="N173" s="13" t="str">
        <f>VLOOKUP(I173,CHOOSE({1,2},Table9[Native],Table9[Name]),2,0)</f>
        <v>Yùshù Zàngzú Zìzhìzhōu</v>
      </c>
      <c r="O173" s="13" t="str">
        <f t="shared" si="10"/>
        <v>Jiqu Xiang (Yùshù Zàngzú Zìzhìzhōu)</v>
      </c>
      <c r="P173" s="13" t="str">
        <f t="shared" si="11"/>
        <v>Jiqu Xiang (Yùshù Zàngzú Zìzhìzhōu)</v>
      </c>
    </row>
    <row r="174" spans="1:16" x14ac:dyDescent="0.25">
      <c r="A174" t="s">
        <v>266</v>
      </c>
      <c r="B174" t="str">
        <f t="shared" si="8"/>
        <v>Jīshí Zhèn</v>
      </c>
      <c r="C174" t="str">
        <f t="shared" si="9"/>
        <v>Jīshí Zhèn</v>
      </c>
      <c r="D174" t="s">
        <v>267</v>
      </c>
      <c r="E174" t="s">
        <v>19</v>
      </c>
      <c r="F174" t="str">
        <f>_xlfn.CONCAT(D174,", ",H174,", ",I174,", ","青海省")</f>
        <v>积石镇, 循化撒拉族自治县, 海东市, 青海省</v>
      </c>
      <c r="G174">
        <v>33022</v>
      </c>
      <c r="H174" t="s">
        <v>895</v>
      </c>
      <c r="I174" t="s">
        <v>888</v>
      </c>
      <c r="J174">
        <f>VLOOKUP(F174,[1]!china_towns_second__2[[Column1]:[Y]],3,FALSE)</f>
        <v>35.844768208982899</v>
      </c>
      <c r="K174">
        <f>VLOOKUP(F174,[1]!china_towns_second__2[[Column1]:[Y]],2,FALSE)</f>
        <v>102.46537600000001</v>
      </c>
      <c r="L174" t="s">
        <v>1285</v>
      </c>
      <c r="M174" t="str">
        <f>VLOOKUP(H174,CHOOSE({1,2},Table9[Native],Table9[Name]),2,0)</f>
        <v>Xúnhuà Sālāzú Zìzhìxiàn</v>
      </c>
      <c r="N174" s="13" t="str">
        <f>VLOOKUP(I174,CHOOSE({1,2},Table9[Native],Table9[Name]),2,0)</f>
        <v>Hăidōng Shì</v>
      </c>
      <c r="O174" s="13" t="str">
        <f t="shared" si="10"/>
        <v>Jishi Zhen (Hăidōng Shì)</v>
      </c>
      <c r="P174" s="13" t="str">
        <f t="shared" si="11"/>
        <v>Jishi Zhen (Hăidōng Shì)</v>
      </c>
    </row>
    <row r="175" spans="1:16" hidden="1" x14ac:dyDescent="0.25">
      <c r="A175" t="s">
        <v>814</v>
      </c>
      <c r="B175" t="str">
        <f t="shared" si="8"/>
        <v>Juélā Xiāng</v>
      </c>
      <c r="C175" t="str">
        <f t="shared" si="9"/>
        <v>Juélā Xiāng</v>
      </c>
      <c r="D175" t="s">
        <v>815</v>
      </c>
      <c r="E175" t="s">
        <v>7</v>
      </c>
      <c r="F175" t="str">
        <f>_xlfn.CONCAT(D175,", ",H175,", ",I175,", ","青海省")</f>
        <v>觉拉乡, 囊谦县, 玉树藏族自治州, 青海省</v>
      </c>
      <c r="G175">
        <v>5676</v>
      </c>
      <c r="H175" t="s">
        <v>934</v>
      </c>
      <c r="I175" t="s">
        <v>932</v>
      </c>
      <c r="J175" t="e">
        <f>VLOOKUP(F175,[1]!china_towns_second__2[[Column1]:[Y]],3,FALSE)</f>
        <v>#N/A</v>
      </c>
      <c r="K175" t="e">
        <f>VLOOKUP(F175,[1]!china_towns_second__2[[Column1]:[Y]],2,FALSE)</f>
        <v>#N/A</v>
      </c>
      <c r="L175" t="s">
        <v>1286</v>
      </c>
      <c r="M175" t="str">
        <f>VLOOKUP(H175,CHOOSE({1,2},Table9[Native],Table9[Name]),2,0)</f>
        <v>Nángqiān Xiàn</v>
      </c>
      <c r="N175" s="13" t="str">
        <f>VLOOKUP(I175,CHOOSE({1,2},Table9[Native],Table9[Name]),2,0)</f>
        <v>Yùshù Zàngzú Zìzhìzhōu</v>
      </c>
      <c r="O175" s="13" t="str">
        <f t="shared" si="10"/>
        <v>Juela Xiang (Yùshù Zàngzú Zìzhìzhōu)</v>
      </c>
      <c r="P175" s="13" t="str">
        <f t="shared" si="11"/>
        <v>Juela Xiang (Yùshù Zàngzú Zìzhìzhōu)</v>
      </c>
    </row>
    <row r="176" spans="1:16" x14ac:dyDescent="0.25">
      <c r="A176" t="s">
        <v>268</v>
      </c>
      <c r="B176" t="str">
        <f t="shared" si="8"/>
        <v>Jùtán Zhèn</v>
      </c>
      <c r="C176" t="str">
        <f t="shared" si="9"/>
        <v>Jùtán Zhèn</v>
      </c>
      <c r="D176" t="s">
        <v>269</v>
      </c>
      <c r="E176" t="s">
        <v>19</v>
      </c>
      <c r="F176" t="str">
        <f>_xlfn.CONCAT(D176,", ",H176,", ",I176,", ","青海省")</f>
        <v>瞿昙镇, 乐都区, 海东市, 青海省</v>
      </c>
      <c r="G176">
        <v>18601</v>
      </c>
      <c r="H176" t="s">
        <v>892</v>
      </c>
      <c r="I176" t="s">
        <v>888</v>
      </c>
      <c r="J176">
        <f>VLOOKUP(F176,[1]!china_towns_second__2[[Column1]:[Y]],3,FALSE)</f>
        <v>36.301284778380101</v>
      </c>
      <c r="K176">
        <f>VLOOKUP(F176,[1]!china_towns_second__2[[Column1]:[Y]],2,FALSE)</f>
        <v>102.29314720000001</v>
      </c>
      <c r="L176" t="s">
        <v>1287</v>
      </c>
      <c r="M176" t="str">
        <f>VLOOKUP(H176,CHOOSE({1,2},Table9[Native],Table9[Name]),2,0)</f>
        <v>Lèdū Qū</v>
      </c>
      <c r="N176" s="13" t="str">
        <f>VLOOKUP(I176,CHOOSE({1,2},Table9[Native],Table9[Name]),2,0)</f>
        <v>Hăidōng Shì</v>
      </c>
      <c r="O176" s="13" t="str">
        <f t="shared" si="10"/>
        <v>Jutan Zhen (Hăidōng Shì)</v>
      </c>
      <c r="P176" s="13" t="str">
        <f t="shared" si="11"/>
        <v>Jutan Zhen (Hăidōng Shì)</v>
      </c>
    </row>
    <row r="177" spans="1:16" x14ac:dyDescent="0.25">
      <c r="A177" t="s">
        <v>587</v>
      </c>
      <c r="B177" t="str">
        <f t="shared" si="8"/>
        <v>Kănbùlā Zhèn</v>
      </c>
      <c r="C177" t="str">
        <f t="shared" si="9"/>
        <v>Kănbùlā Zhèn</v>
      </c>
      <c r="D177" t="s">
        <v>588</v>
      </c>
      <c r="E177" t="s">
        <v>19</v>
      </c>
      <c r="F177" t="str">
        <f>_xlfn.CONCAT(D177,", ",H177,", ",I177,", ","青海省")</f>
        <v>坎布拉镇, 尖扎县, 黄南藏族自治州, 青海省</v>
      </c>
      <c r="G177">
        <v>10716</v>
      </c>
      <c r="H177" t="s">
        <v>919</v>
      </c>
      <c r="I177" t="s">
        <v>917</v>
      </c>
      <c r="J177">
        <f>VLOOKUP(F177,[1]!china_towns_second__2[[Column1]:[Y]],3,FALSE)</f>
        <v>36.070539378422701</v>
      </c>
      <c r="K177">
        <f>VLOOKUP(F177,[1]!china_towns_second__2[[Column1]:[Y]],2,FALSE)</f>
        <v>101.7540843</v>
      </c>
      <c r="L177" t="s">
        <v>1288</v>
      </c>
      <c r="M177" t="str">
        <f>VLOOKUP(H177,CHOOSE({1,2},Table9[Native],Table9[Name]),2,0)</f>
        <v>Jiānzhā Xiàn</v>
      </c>
      <c r="N177" s="13" t="str">
        <f>VLOOKUP(I177,CHOOSE({1,2},Table9[Native],Table9[Name]),2,0)</f>
        <v>Huángnán Zàngzú Zìzhìzhōu</v>
      </c>
      <c r="O177" s="13" t="str">
        <f t="shared" si="10"/>
        <v>Kanbula Zhen (Huángnán Zàngzú Zìzhìzhōu)</v>
      </c>
      <c r="P177" s="13" t="str">
        <f t="shared" si="11"/>
        <v>Kanbula Zhen (Huángnán Zàngzú Zìzhìzhōu)</v>
      </c>
    </row>
    <row r="178" spans="1:16" x14ac:dyDescent="0.25">
      <c r="A178" t="s">
        <v>589</v>
      </c>
      <c r="B178" t="str">
        <f t="shared" si="8"/>
        <v>Kāngyáng Zhèn</v>
      </c>
      <c r="C178" t="str">
        <f t="shared" si="9"/>
        <v>Kāngyáng Zhèn</v>
      </c>
      <c r="D178" t="s">
        <v>590</v>
      </c>
      <c r="E178" t="s">
        <v>19</v>
      </c>
      <c r="F178" t="str">
        <f>_xlfn.CONCAT(D178,", ",H178,", ",I178,", ","青海省")</f>
        <v>康扬镇, 尖扎县, 黄南藏族自治州, 青海省</v>
      </c>
      <c r="G178">
        <v>8182</v>
      </c>
      <c r="H178" t="s">
        <v>919</v>
      </c>
      <c r="I178" t="s">
        <v>917</v>
      </c>
      <c r="J178">
        <f>VLOOKUP(F178,[1]!china_towns_second__2[[Column1]:[Y]],3,FALSE)</f>
        <v>36.043155817326003</v>
      </c>
      <c r="K178">
        <f>VLOOKUP(F178,[1]!china_towns_second__2[[Column1]:[Y]],2,FALSE)</f>
        <v>101.9246091</v>
      </c>
      <c r="L178" t="s">
        <v>1289</v>
      </c>
      <c r="M178" t="str">
        <f>VLOOKUP(H178,CHOOSE({1,2},Table9[Native],Table9[Name]),2,0)</f>
        <v>Jiānzhā Xiàn</v>
      </c>
      <c r="N178" s="13" t="str">
        <f>VLOOKUP(I178,CHOOSE({1,2},Table9[Native],Table9[Name]),2,0)</f>
        <v>Huángnán Zàngzú Zìzhìzhōu</v>
      </c>
      <c r="O178" s="13" t="str">
        <f t="shared" si="10"/>
        <v>Kangyang Zhen (Huángnán Zàngzú Zìzhìzhōu)</v>
      </c>
      <c r="P178" s="13" t="str">
        <f t="shared" si="11"/>
        <v>Kangyang Zhen (Huángnán Zàngzú Zìzhìzhōu)</v>
      </c>
    </row>
    <row r="179" spans="1:16" x14ac:dyDescent="0.25">
      <c r="A179" t="s">
        <v>505</v>
      </c>
      <c r="B179" t="str">
        <f t="shared" si="8"/>
        <v>Kēkē Zhèn</v>
      </c>
      <c r="C179" t="str">
        <f t="shared" si="9"/>
        <v>Kēkē Zhèn</v>
      </c>
      <c r="D179" t="s">
        <v>506</v>
      </c>
      <c r="E179" t="s">
        <v>19</v>
      </c>
      <c r="F179" t="str">
        <f>_xlfn.CONCAT(D179,", ",H179,", ",I179,", ","青海省")</f>
        <v>柯柯镇, 乌兰县, 海西蒙古族藏族自治州, 青海省</v>
      </c>
      <c r="G179">
        <v>12719</v>
      </c>
      <c r="H179" t="s">
        <v>915</v>
      </c>
      <c r="I179" t="s">
        <v>905</v>
      </c>
      <c r="J179">
        <f>VLOOKUP(F179,[1]!china_towns_second__2[[Column1]:[Y]],3,FALSE)</f>
        <v>36.793274888369503</v>
      </c>
      <c r="K179">
        <f>VLOOKUP(F179,[1]!china_towns_second__2[[Column1]:[Y]],2,FALSE)</f>
        <v>97.868175629999996</v>
      </c>
      <c r="L179" t="s">
        <v>1290</v>
      </c>
      <c r="M179" t="str">
        <f>VLOOKUP(H179,CHOOSE({1,2},Table9[Native],Table9[Name]),2,0)</f>
        <v>Wūlán Xiàn</v>
      </c>
      <c r="N179" s="13" t="str">
        <f>VLOOKUP(I179,CHOOSE({1,2},Table9[Native],Table9[Name]),2,0)</f>
        <v>Hăixī Mĕnggŭzú Zàngzú Zìzhìzhōu</v>
      </c>
      <c r="O179" s="13" t="str">
        <f t="shared" si="10"/>
        <v>Keke Zhen (Hăixī Mĕnggŭzú Zàngzú Zìzhìzhōu)</v>
      </c>
      <c r="P179" s="13" t="str">
        <f t="shared" si="11"/>
        <v>Keke Zhen (Hăixī Mĕnggŭzú Zàngzú Zìzhìzhōu)</v>
      </c>
    </row>
    <row r="180" spans="1:16" x14ac:dyDescent="0.25">
      <c r="A180" t="s">
        <v>507</v>
      </c>
      <c r="B180" t="str">
        <f t="shared" si="8"/>
        <v>Kēlŭkē Zhèn</v>
      </c>
      <c r="C180" t="str">
        <f t="shared" si="9"/>
        <v>Kēlŭkē Zhèn</v>
      </c>
      <c r="D180" t="s">
        <v>508</v>
      </c>
      <c r="E180" t="s">
        <v>19</v>
      </c>
      <c r="F180" t="str">
        <f>_xlfn.CONCAT(D180,", ",H180,", ",I180,", ","青海省")</f>
        <v>柯鲁柯镇, 德令哈市, 海西蒙古族藏族自治州, 青海省</v>
      </c>
      <c r="G180">
        <v>12193</v>
      </c>
      <c r="H180" t="s">
        <v>910</v>
      </c>
      <c r="I180" t="s">
        <v>905</v>
      </c>
      <c r="J180">
        <f>VLOOKUP(F180,[1]!china_towns_second__2[[Column1]:[Y]],3,FALSE)</f>
        <v>37.997204799647101</v>
      </c>
      <c r="K180">
        <f>VLOOKUP(F180,[1]!china_towns_second__2[[Column1]:[Y]],2,FALSE)</f>
        <v>97.059550509999994</v>
      </c>
      <c r="L180" t="s">
        <v>1291</v>
      </c>
      <c r="M180" t="str">
        <f>VLOOKUP(H180,CHOOSE({1,2},Table9[Native],Table9[Name]),2,0)</f>
        <v>Délìnghā Shì</v>
      </c>
      <c r="N180" s="13" t="str">
        <f>VLOOKUP(I180,CHOOSE({1,2},Table9[Native],Table9[Name]),2,0)</f>
        <v>Hăixī Mĕnggŭzú Zàngzú Zìzhìzhōu</v>
      </c>
      <c r="O180" s="13" t="str">
        <f t="shared" si="10"/>
        <v>Keluke Zhen (Hăixī Mĕnggŭzú Zàngzú Zìzhìzhōu)</v>
      </c>
      <c r="P180" s="13" t="str">
        <f t="shared" si="11"/>
        <v>Keluke Zhen (Hăixī Mĕnggŭzú Zàngzú Zìzhìzhōu)</v>
      </c>
    </row>
    <row r="181" spans="1:16" x14ac:dyDescent="0.25">
      <c r="A181" t="s">
        <v>47</v>
      </c>
      <c r="B181" t="str">
        <f t="shared" si="8"/>
        <v>Kēqŭ Zhèn</v>
      </c>
      <c r="C181" t="str">
        <f t="shared" si="9"/>
        <v>Kēqŭ Zhèn</v>
      </c>
      <c r="D181" t="s">
        <v>48</v>
      </c>
      <c r="E181" t="s">
        <v>19</v>
      </c>
      <c r="F181" t="str">
        <f>_xlfn.CONCAT(D181,", ",H181,", ",I181,", ","青海省")</f>
        <v>柯曲镇, 甘德县, 果洛藏族自治州, 青海省</v>
      </c>
      <c r="G181">
        <v>9530</v>
      </c>
      <c r="H181" t="s">
        <v>875</v>
      </c>
      <c r="I181" t="s">
        <v>871</v>
      </c>
      <c r="J181">
        <f>VLOOKUP(F181,[1]!china_towns_second__2[[Column1]:[Y]],3,FALSE)</f>
        <v>33.977585291308699</v>
      </c>
      <c r="K181">
        <f>VLOOKUP(F181,[1]!china_towns_second__2[[Column1]:[Y]],2,FALSE)</f>
        <v>99.915908900000005</v>
      </c>
      <c r="L181" t="s">
        <v>1292</v>
      </c>
      <c r="M181" t="str">
        <f>VLOOKUP(H181,CHOOSE({1,2},Table9[Native],Table9[Name]),2,0)</f>
        <v>Gāndé Xiàn</v>
      </c>
      <c r="N181" s="13" t="str">
        <f>VLOOKUP(I181,CHOOSE({1,2},Table9[Native],Table9[Name]),2,0)</f>
        <v>Guŏluò Zàngzú Zìzhìzhōu</v>
      </c>
      <c r="O181" s="13" t="str">
        <f t="shared" si="10"/>
        <v>Kequ Zhen (Guŏluò Zàngzú Zìzhìzhōu)</v>
      </c>
      <c r="P181" s="13" t="str">
        <f t="shared" si="11"/>
        <v>Kequ Zhen (Guŏluò Zàngzú Zìzhìzhōu)</v>
      </c>
    </row>
    <row r="182" spans="1:16" hidden="1" x14ac:dyDescent="0.25">
      <c r="A182" t="s">
        <v>591</v>
      </c>
      <c r="B182" t="str">
        <f t="shared" si="8"/>
        <v>Kēshēng Xiāng</v>
      </c>
      <c r="C182" t="str">
        <f t="shared" si="9"/>
        <v>Kēshēng Xiāng</v>
      </c>
      <c r="D182" t="s">
        <v>592</v>
      </c>
      <c r="E182" t="s">
        <v>7</v>
      </c>
      <c r="F182" t="str">
        <f>_xlfn.CONCAT(D182,", ",H182,", ",I182,", ","青海省")</f>
        <v>柯生乡, 河南蒙古族自治县, 黄南藏族自治州, 青海省</v>
      </c>
      <c r="G182">
        <v>3017</v>
      </c>
      <c r="H182" t="s">
        <v>918</v>
      </c>
      <c r="I182" t="s">
        <v>917</v>
      </c>
      <c r="J182" t="e">
        <f>VLOOKUP(F182,[1]!china_towns_second__2[[Column1]:[Y]],3,FALSE)</f>
        <v>#N/A</v>
      </c>
      <c r="K182" t="e">
        <f>VLOOKUP(F182,[1]!china_towns_second__2[[Column1]:[Y]],2,FALSE)</f>
        <v>#N/A</v>
      </c>
      <c r="L182" t="s">
        <v>1293</v>
      </c>
      <c r="M182" t="str">
        <f>VLOOKUP(H182,CHOOSE({1,2},Table9[Native],Table9[Name]),2,0)</f>
        <v>Hénán Mĕnggŭzú Zìzhìxiàn</v>
      </c>
      <c r="N182" s="13" t="str">
        <f>VLOOKUP(I182,CHOOSE({1,2},Table9[Native],Table9[Name]),2,0)</f>
        <v>Huángnán Zàngzú Zìzhìzhōu</v>
      </c>
      <c r="O182" s="13" t="str">
        <f t="shared" si="10"/>
        <v>Kesheng Xiang (Huángnán Zàngzú Zìzhìzhōu)</v>
      </c>
      <c r="P182" s="13" t="str">
        <f t="shared" si="11"/>
        <v>Kesheng Xiang (Huángnán Zàngzú Zìzhìzhōu)</v>
      </c>
    </row>
    <row r="183" spans="1:16" hidden="1" x14ac:dyDescent="0.25">
      <c r="A183" t="s">
        <v>509</v>
      </c>
      <c r="B183" t="str">
        <f t="shared" si="8"/>
        <v>Kuài'ĕrmă Xiāng</v>
      </c>
      <c r="C183" t="str">
        <f t="shared" si="9"/>
        <v>Kuài'ĕrmă Xiāng</v>
      </c>
      <c r="D183" t="s">
        <v>510</v>
      </c>
      <c r="E183" t="s">
        <v>7</v>
      </c>
      <c r="F183" t="str">
        <f>_xlfn.CONCAT(D183,", ",H183,", ",I183,", ","青海省")</f>
        <v>快尔玛乡, 天峻县, 海西蒙古族藏族自治州, 青海省</v>
      </c>
      <c r="G183">
        <v>1879</v>
      </c>
      <c r="H183" t="s">
        <v>914</v>
      </c>
      <c r="I183" t="s">
        <v>905</v>
      </c>
      <c r="J183" t="e">
        <f>VLOOKUP(F183,[1]!china_towns_second__2[[Column1]:[Y]],3,FALSE)</f>
        <v>#N/A</v>
      </c>
      <c r="K183" t="e">
        <f>VLOOKUP(F183,[1]!china_towns_second__2[[Column1]:[Y]],2,FALSE)</f>
        <v>#N/A</v>
      </c>
      <c r="L183" t="s">
        <v>1294</v>
      </c>
      <c r="M183" t="str">
        <f>VLOOKUP(H183,CHOOSE({1,2},Table9[Native],Table9[Name]),2,0)</f>
        <v>Tiānjùn Xiàn</v>
      </c>
      <c r="N183" s="13" t="str">
        <f>VLOOKUP(I183,CHOOSE({1,2},Table9[Native],Table9[Name]),2,0)</f>
        <v>Hăixī Mĕnggŭzú Zàngzú Zìzhìzhōu</v>
      </c>
      <c r="O183" s="13" t="str">
        <f t="shared" si="10"/>
        <v>Kuai'erma Xiang (Hăixī Mĕnggŭzú Zàngzú Zìzhìzhōu)</v>
      </c>
      <c r="P183" s="13" t="str">
        <f t="shared" si="11"/>
        <v>Kuai'erma Xiang (Hăixī Mĕnggŭzú Zàngzú Zìzhìzhōu)</v>
      </c>
    </row>
    <row r="184" spans="1:16" hidden="1" x14ac:dyDescent="0.25">
      <c r="A184" t="s">
        <v>511</v>
      </c>
      <c r="B184" t="str">
        <f t="shared" si="8"/>
        <v>Kūnlúnlù Jiēdào</v>
      </c>
      <c r="C184" t="str">
        <f t="shared" si="9"/>
        <v>Kūnlúnlù Jiēdào</v>
      </c>
      <c r="D184" t="s">
        <v>512</v>
      </c>
      <c r="E184" t="s">
        <v>488</v>
      </c>
      <c r="F184" t="str">
        <f>_xlfn.CONCAT(D184,", ",H184,", ",I184,", ","青海省")</f>
        <v>昆仑路街道, 格尔木市, 海西蒙古族藏族自治州, 青海省</v>
      </c>
      <c r="G184">
        <v>54330</v>
      </c>
      <c r="H184" t="s">
        <v>912</v>
      </c>
      <c r="I184" t="s">
        <v>905</v>
      </c>
      <c r="J184">
        <f>VLOOKUP(F184,[1]!china_towns_second__2[[Column1]:[Y]],3,FALSE)</f>
        <v>36.401456528048797</v>
      </c>
      <c r="K184">
        <f>VLOOKUP(F184,[1]!china_towns_second__2[[Column1]:[Y]],2,FALSE)</f>
        <v>94.916445580000001</v>
      </c>
      <c r="L184" t="s">
        <v>1295</v>
      </c>
      <c r="M184" t="str">
        <f>VLOOKUP(H184,CHOOSE({1,2},Table9[Native],Table9[Name]),2,0)</f>
        <v>Gé'ĕrmù Shì</v>
      </c>
      <c r="N184" s="13" t="str">
        <f>VLOOKUP(I184,CHOOSE({1,2},Table9[Native],Table9[Name]),2,0)</f>
        <v>Hăixī Mĕnggŭzú Zàngzú Zìzhìzhōu</v>
      </c>
      <c r="O184" s="13" t="str">
        <f t="shared" si="10"/>
        <v>Kunlunlu Jiedao (Hăixī Mĕnggŭzú Zàngzú Zìzhìzhōu)</v>
      </c>
      <c r="P184" s="13" t="str">
        <f t="shared" si="11"/>
        <v>Kunlunlu Jiedao (Hăixī Mĕnggŭzú Zàngzú Zìzhìzhōu)</v>
      </c>
    </row>
    <row r="185" spans="1:16" hidden="1" x14ac:dyDescent="0.25">
      <c r="A185" t="s">
        <v>816</v>
      </c>
      <c r="B185" t="str">
        <f t="shared" si="8"/>
        <v>Lābù Xiāng</v>
      </c>
      <c r="C185" t="str">
        <f t="shared" si="9"/>
        <v>Lābù Xiāng</v>
      </c>
      <c r="D185" t="s">
        <v>817</v>
      </c>
      <c r="E185" t="s">
        <v>7</v>
      </c>
      <c r="F185" t="str">
        <f>_xlfn.CONCAT(D185,", ",H185,", ",I185,", ","青海省")</f>
        <v>拉布乡, 称多县, 玉树藏族自治州, 青海省</v>
      </c>
      <c r="G185">
        <v>4519</v>
      </c>
      <c r="H185" t="s">
        <v>933</v>
      </c>
      <c r="I185" t="s">
        <v>932</v>
      </c>
      <c r="J185" t="e">
        <f>VLOOKUP(F185,[1]!china_towns_second__2[[Column1]:[Y]],3,FALSE)</f>
        <v>#N/A</v>
      </c>
      <c r="K185" t="e">
        <f>VLOOKUP(F185,[1]!china_towns_second__2[[Column1]:[Y]],2,FALSE)</f>
        <v>#N/A</v>
      </c>
      <c r="L185" t="s">
        <v>1296</v>
      </c>
      <c r="M185" t="str">
        <f>VLOOKUP(H185,CHOOSE({1,2},Table9[Native],Table9[Name]),2,0)</f>
        <v>Chēngduō Xiàn</v>
      </c>
      <c r="N185" s="13" t="str">
        <f>VLOOKUP(I185,CHOOSE({1,2},Table9[Native],Table9[Name]),2,0)</f>
        <v>Yùshù Zàngzú Zìzhìzhōu</v>
      </c>
      <c r="O185" s="13" t="str">
        <f t="shared" si="10"/>
        <v>Labu Xiang (Yùshù Zàngzú Zìzhìzhōu)</v>
      </c>
      <c r="P185" s="13" t="str">
        <f t="shared" si="11"/>
        <v>Labu Xiang (Yùshù Zàngzú Zìzhìzhōu)</v>
      </c>
    </row>
    <row r="186" spans="1:16" x14ac:dyDescent="0.25">
      <c r="A186" t="s">
        <v>49</v>
      </c>
      <c r="B186" t="str">
        <f t="shared" si="8"/>
        <v>Lājiā Zhèn</v>
      </c>
      <c r="C186" t="str">
        <f t="shared" si="9"/>
        <v>Lājiā Zhèn</v>
      </c>
      <c r="D186" t="s">
        <v>50</v>
      </c>
      <c r="E186" t="s">
        <v>19</v>
      </c>
      <c r="F186" t="str">
        <f>_xlfn.CONCAT(D186,", ",H186,", ",I186,", ","青海省")</f>
        <v>拉加镇, 玛沁县, 果洛藏族自治州, 青海省</v>
      </c>
      <c r="G186">
        <v>12045</v>
      </c>
      <c r="H186" t="s">
        <v>878</v>
      </c>
      <c r="I186" t="s">
        <v>871</v>
      </c>
      <c r="J186">
        <f>VLOOKUP(F186,[1]!china_towns_second__2[[Column1]:[Y]],3,FALSE)</f>
        <v>34.569788092312002</v>
      </c>
      <c r="K186">
        <f>VLOOKUP(F186,[1]!china_towns_second__2[[Column1]:[Y]],2,FALSE)</f>
        <v>100.5998922</v>
      </c>
      <c r="L186" t="s">
        <v>1297</v>
      </c>
      <c r="M186" t="str">
        <f>VLOOKUP(H186,CHOOSE({1,2},Table9[Native],Table9[Name]),2,0)</f>
        <v>Măqìn Xiàn</v>
      </c>
      <c r="N186" s="13" t="str">
        <f>VLOOKUP(I186,CHOOSE({1,2},Table9[Native],Table9[Name]),2,0)</f>
        <v>Guŏluò Zàngzú Zìzhìzhōu</v>
      </c>
      <c r="O186" s="13" t="str">
        <f t="shared" si="10"/>
        <v>Lajia Zhen (Guŏluò Zàngzú Zìzhìzhōu)</v>
      </c>
      <c r="P186" s="13" t="str">
        <f t="shared" si="11"/>
        <v>Lajia Zhen (Guŏluò Zàngzú Zìzhìzhōu)</v>
      </c>
    </row>
    <row r="187" spans="1:16" hidden="1" x14ac:dyDescent="0.25">
      <c r="A187" t="s">
        <v>593</v>
      </c>
      <c r="B187" t="str">
        <f t="shared" si="8"/>
        <v>Láncăi Xiāng</v>
      </c>
      <c r="C187" t="str">
        <f t="shared" si="9"/>
        <v>Láncăi Xiāng</v>
      </c>
      <c r="D187" t="s">
        <v>594</v>
      </c>
      <c r="E187" t="s">
        <v>7</v>
      </c>
      <c r="F187" t="str">
        <f>_xlfn.CONCAT(D187,", ",H187,", ",I187,", ","青海省")</f>
        <v>兰采乡, 同仁市, 黄南藏族自治州, 青海省</v>
      </c>
      <c r="G187">
        <v>4207</v>
      </c>
      <c r="H187" t="s">
        <v>920</v>
      </c>
      <c r="I187" t="s">
        <v>917</v>
      </c>
      <c r="J187" t="e">
        <f>VLOOKUP(F187,[1]!china_towns_second__2[[Column1]:[Y]],3,FALSE)</f>
        <v>#N/A</v>
      </c>
      <c r="K187" t="e">
        <f>VLOOKUP(F187,[1]!china_towns_second__2[[Column1]:[Y]],2,FALSE)</f>
        <v>#N/A</v>
      </c>
      <c r="L187" t="s">
        <v>1298</v>
      </c>
      <c r="M187" t="str">
        <f>VLOOKUP(H187,CHOOSE({1,2},Table9[Native],Table9[Name]),2,0)</f>
        <v>Tóngrén Shì</v>
      </c>
      <c r="N187" s="13" t="str">
        <f>VLOOKUP(I187,CHOOSE({1,2},Table9[Native],Table9[Name]),2,0)</f>
        <v>Huángnán Zàngzú Zìzhìzhōu</v>
      </c>
      <c r="O187" s="13" t="str">
        <f t="shared" si="10"/>
        <v>Lancai Xiang (Huángnán Zàngzú Zìzhìzhōu)</v>
      </c>
      <c r="P187" s="13" t="str">
        <f t="shared" si="11"/>
        <v>Lancai Xiang (Huángnán Zàngzú Zìzhìzhōu)</v>
      </c>
    </row>
    <row r="188" spans="1:16" x14ac:dyDescent="0.25">
      <c r="A188" t="s">
        <v>688</v>
      </c>
      <c r="B188" t="str">
        <f t="shared" si="8"/>
        <v>Lánlóngkŏu Zhèn</v>
      </c>
      <c r="C188" t="str">
        <f t="shared" si="9"/>
        <v>Lánlóngkŏu Zhèn</v>
      </c>
      <c r="D188" t="s">
        <v>689</v>
      </c>
      <c r="E188" t="s">
        <v>19</v>
      </c>
      <c r="F188" t="str">
        <f>_xlfn.CONCAT(D188,", ",H188,", ",I188,", ","青海省")</f>
        <v>拦隆口镇, 湟中区, 西宁市, 青海省</v>
      </c>
      <c r="G188">
        <v>36601</v>
      </c>
      <c r="H188" t="s">
        <v>930</v>
      </c>
      <c r="I188" t="s">
        <v>923</v>
      </c>
      <c r="J188">
        <f>VLOOKUP(F188,[1]!china_towns_second__2[[Column1]:[Y]],3,FALSE)</f>
        <v>36.7765923624737</v>
      </c>
      <c r="K188">
        <f>VLOOKUP(F188,[1]!china_towns_second__2[[Column1]:[Y]],2,FALSE)</f>
        <v>101.471397</v>
      </c>
      <c r="L188" t="s">
        <v>1299</v>
      </c>
      <c r="M188" t="str">
        <f>VLOOKUP(H188,CHOOSE({1,2},Table9[Native],Table9[Name]),2,0)</f>
        <v>Huángzhōng Qū</v>
      </c>
      <c r="N188" s="13" t="str">
        <f>VLOOKUP(I188,CHOOSE({1,2},Table9[Native],Table9[Name]),2,0)</f>
        <v>Xīníng Shì</v>
      </c>
      <c r="O188" s="13" t="str">
        <f t="shared" si="10"/>
        <v>Lanlongkou Zhen (Xīníng Shì)</v>
      </c>
      <c r="P188" s="13" t="str">
        <f t="shared" si="11"/>
        <v>Lanlongkou Zhen (Xīníng Shì)</v>
      </c>
    </row>
    <row r="189" spans="1:16" x14ac:dyDescent="0.25">
      <c r="A189" t="s">
        <v>411</v>
      </c>
      <c r="B189" t="str">
        <f t="shared" si="8"/>
        <v>Lāxīwă Zhèn</v>
      </c>
      <c r="C189" t="str">
        <f t="shared" si="9"/>
        <v>Lāxīwă Zhèn</v>
      </c>
      <c r="D189" t="s">
        <v>412</v>
      </c>
      <c r="E189" t="s">
        <v>19</v>
      </c>
      <c r="F189" t="str">
        <f>_xlfn.CONCAT(D189,", ",H189,", ",I189,", ","青海省")</f>
        <v>拉西瓦镇, 贵德县, 海南藏族自治州, 青海省</v>
      </c>
      <c r="G189">
        <v>7591</v>
      </c>
      <c r="H189" t="s">
        <v>899</v>
      </c>
      <c r="I189" t="s">
        <v>897</v>
      </c>
      <c r="J189">
        <f>VLOOKUP(F189,[1]!china_towns_second__2[[Column1]:[Y]],3,FALSE)</f>
        <v>36.185098238678599</v>
      </c>
      <c r="K189">
        <f>VLOOKUP(F189,[1]!china_towns_second__2[[Column1]:[Y]],2,FALSE)</f>
        <v>101.17525379999999</v>
      </c>
      <c r="L189" t="s">
        <v>1300</v>
      </c>
      <c r="M189" t="str">
        <f>VLOOKUP(H189,CHOOSE({1,2},Table9[Native],Table9[Name]),2,0)</f>
        <v>Guìdé Xiàn</v>
      </c>
      <c r="N189" s="13" t="str">
        <f>VLOOKUP(I189,CHOOSE({1,2},Table9[Native],Table9[Name]),2,0)</f>
        <v>Hăinán Zàngzú Zìzhìzhōu</v>
      </c>
      <c r="O189" s="13" t="str">
        <f t="shared" si="10"/>
        <v>Laxiwa Zhen (Hăinán Zàngzú Zìzhìzhōu)</v>
      </c>
      <c r="P189" s="13" t="str">
        <f t="shared" si="11"/>
        <v>Laxiwa Zhen (Hăinán Zàngzú Zìzhìzhōu)</v>
      </c>
    </row>
    <row r="190" spans="1:16" x14ac:dyDescent="0.25">
      <c r="A190" t="s">
        <v>690</v>
      </c>
      <c r="B190" t="str">
        <f t="shared" si="8"/>
        <v>Lèjiāwān Zhèn</v>
      </c>
      <c r="C190" t="str">
        <f t="shared" si="9"/>
        <v>Lèjiāwān Zhèn</v>
      </c>
      <c r="D190" t="s">
        <v>691</v>
      </c>
      <c r="E190" t="s">
        <v>19</v>
      </c>
      <c r="F190" t="str">
        <f>_xlfn.CONCAT(D190,", ",H190,", ",I190,", ","青海省")</f>
        <v>乐家湾镇, 城东区, 西宁市, 青海省</v>
      </c>
      <c r="G190">
        <v>35640</v>
      </c>
      <c r="H190" t="s">
        <v>925</v>
      </c>
      <c r="I190" t="s">
        <v>923</v>
      </c>
      <c r="J190">
        <f>VLOOKUP(F190,[1]!china_towns_second__2[[Column1]:[Y]],3,FALSE)</f>
        <v>36.554914054077202</v>
      </c>
      <c r="K190">
        <f>VLOOKUP(F190,[1]!china_towns_second__2[[Column1]:[Y]],2,FALSE)</f>
        <v>101.8512719</v>
      </c>
      <c r="L190" t="s">
        <v>1301</v>
      </c>
      <c r="M190" t="str">
        <f>VLOOKUP(H190,CHOOSE({1,2},Table9[Native],Table9[Name]),2,0)</f>
        <v>Chéngdōng Qū</v>
      </c>
      <c r="N190" s="13" t="str">
        <f>VLOOKUP(I190,CHOOSE({1,2},Table9[Native],Table9[Name]),2,0)</f>
        <v>Xīníng Shì</v>
      </c>
      <c r="O190" s="13" t="str">
        <f t="shared" si="10"/>
        <v>Lejiawan Zhen (Xīníng Shì)</v>
      </c>
      <c r="P190" s="13" t="str">
        <f t="shared" si="11"/>
        <v>Lejiawan Zhen (Xīníng Shì)</v>
      </c>
    </row>
    <row r="191" spans="1:16" x14ac:dyDescent="0.25">
      <c r="A191" t="s">
        <v>513</v>
      </c>
      <c r="B191" t="str">
        <f t="shared" si="8"/>
        <v>Lĕnghú Zhèn</v>
      </c>
      <c r="C191" t="str">
        <f t="shared" si="9"/>
        <v>Lĕnghú Zhèn</v>
      </c>
      <c r="D191" t="s">
        <v>514</v>
      </c>
      <c r="E191" t="s">
        <v>19</v>
      </c>
      <c r="F191" t="str">
        <f>_xlfn.CONCAT(D191,", ",H191,", ",I191,", ","青海省")</f>
        <v>冷湖镇, 茫崖市, 海西蒙古族藏族自治州, 青海省</v>
      </c>
      <c r="G191">
        <v>2434</v>
      </c>
      <c r="H191" t="s">
        <v>913</v>
      </c>
      <c r="I191" t="s">
        <v>905</v>
      </c>
      <c r="J191">
        <f>VLOOKUP(F191,[1]!china_towns_second__2[[Column1]:[Y]],3,FALSE)</f>
        <v>38.5280532300565</v>
      </c>
      <c r="K191">
        <f>VLOOKUP(F191,[1]!china_towns_second__2[[Column1]:[Y]],2,FALSE)</f>
        <v>93.124997480000005</v>
      </c>
      <c r="L191" t="s">
        <v>1302</v>
      </c>
      <c r="M191" t="str">
        <f>VLOOKUP(H191,CHOOSE({1,2},Table9[Native],Table9[Name]),2,0)</f>
        <v>Mángyá Shì</v>
      </c>
      <c r="N191" s="13" t="str">
        <f>VLOOKUP(I191,CHOOSE({1,2},Table9[Native],Table9[Name]),2,0)</f>
        <v>Hăixī Mĕnggŭzú Zàngzú Zìzhìzhōu</v>
      </c>
      <c r="O191" s="13" t="str">
        <f t="shared" si="10"/>
        <v>Lenghu Zhen (Hăixī Mĕnggŭzú Zàngzú Zìzhìzhōu)</v>
      </c>
      <c r="P191" s="13" t="str">
        <f t="shared" si="11"/>
        <v>Lenghu Zhen (Hăixī Mĕnggŭzú Zàngzú Zìzhìzhōu)</v>
      </c>
    </row>
    <row r="192" spans="1:16" hidden="1" x14ac:dyDescent="0.25">
      <c r="A192" t="s">
        <v>692</v>
      </c>
      <c r="B192" t="str">
        <f t="shared" si="8"/>
        <v>Liángjiào Xiāng</v>
      </c>
      <c r="C192" t="str">
        <f t="shared" si="9"/>
        <v>Liángjiào Xiāng</v>
      </c>
      <c r="D192" t="s">
        <v>693</v>
      </c>
      <c r="E192" t="s">
        <v>7</v>
      </c>
      <c r="F192" t="str">
        <f>_xlfn.CONCAT(D192,", ",H192,", ",I192,", ","青海省")</f>
        <v>良教乡, 大通回族土族自治县, 西宁市, 青海省</v>
      </c>
      <c r="G192">
        <v>17040</v>
      </c>
      <c r="H192" t="s">
        <v>928</v>
      </c>
      <c r="I192" t="s">
        <v>923</v>
      </c>
      <c r="J192" t="e">
        <f>VLOOKUP(F192,[1]!china_towns_second__2[[Column1]:[Y]],3,FALSE)</f>
        <v>#N/A</v>
      </c>
      <c r="K192" t="e">
        <f>VLOOKUP(F192,[1]!china_towns_second__2[[Column1]:[Y]],2,FALSE)</f>
        <v>#N/A</v>
      </c>
      <c r="L192" t="s">
        <v>1303</v>
      </c>
      <c r="M192" t="str">
        <f>VLOOKUP(H192,CHOOSE({1,2},Table9[Native],Table9[Name]),2,0)</f>
        <v>Dàtōng Huízú Tŭzú Zìzhìxiàn</v>
      </c>
      <c r="N192" s="13" t="str">
        <f>VLOOKUP(I192,CHOOSE({1,2},Table9[Native],Table9[Name]),2,0)</f>
        <v>Xīníng Shì</v>
      </c>
      <c r="O192" s="13" t="str">
        <f t="shared" si="10"/>
        <v>Liangjiao Xiang (Xīníng Shì)</v>
      </c>
      <c r="P192" s="13" t="str">
        <f t="shared" si="11"/>
        <v>Liangjiao Xiang (Xīníng Shì)</v>
      </c>
    </row>
    <row r="193" spans="1:16" x14ac:dyDescent="0.25">
      <c r="A193" t="s">
        <v>270</v>
      </c>
      <c r="B193" t="str">
        <f t="shared" si="8"/>
        <v>Lĭ'èrbăo Zhèn</v>
      </c>
      <c r="C193" t="str">
        <f t="shared" si="9"/>
        <v>Lĭ'èrbăo Zhèn</v>
      </c>
      <c r="D193" t="s">
        <v>271</v>
      </c>
      <c r="E193" t="s">
        <v>19</v>
      </c>
      <c r="F193" t="str">
        <f>_xlfn.CONCAT(D193,", ",H193,", ",I193,", ","青海省")</f>
        <v>李二堡镇, 民和回族土族自治县, 海东市, 青海省</v>
      </c>
      <c r="G193">
        <v>16331</v>
      </c>
      <c r="H193" t="s">
        <v>893</v>
      </c>
      <c r="I193" t="s">
        <v>888</v>
      </c>
      <c r="J193">
        <f>VLOOKUP(F193,[1]!china_towns_second__2[[Column1]:[Y]],3,FALSE)</f>
        <v>36.210406635908399</v>
      </c>
      <c r="K193">
        <f>VLOOKUP(F193,[1]!china_towns_second__2[[Column1]:[Y]],2,FALSE)</f>
        <v>102.6168366</v>
      </c>
      <c r="L193" t="s">
        <v>1304</v>
      </c>
      <c r="M193" t="str">
        <f>VLOOKUP(H193,CHOOSE({1,2},Table9[Native],Table9[Name]),2,0)</f>
        <v>Mínhé Huízú Tŭzú Zìzhìxiàn</v>
      </c>
      <c r="N193" s="13" t="str">
        <f>VLOOKUP(I193,CHOOSE({1,2},Table9[Native],Table9[Name]),2,0)</f>
        <v>Hăidōng Shì</v>
      </c>
      <c r="O193" s="13" t="str">
        <f t="shared" si="10"/>
        <v>Li'erbao Zhen (Hăidōng Shì)</v>
      </c>
      <c r="P193" s="13" t="str">
        <f t="shared" si="11"/>
        <v>Li'erbao Zhen (Hăidōng Shì)</v>
      </c>
    </row>
    <row r="194" spans="1:16" hidden="1" x14ac:dyDescent="0.25">
      <c r="A194" t="s">
        <v>274</v>
      </c>
      <c r="B194" t="str">
        <f t="shared" ref="B194:B257" si="12">IF(COUNTIF(A:A,A194)&gt;1,_xlfn.CONCAT(A194," (",N194,")"),A194)</f>
        <v>Lĭjiā Xiāng</v>
      </c>
      <c r="C194" t="str">
        <f t="shared" ref="C194:C257" si="13">IF(COUNTIF(B:B,B194)&gt;1,_xlfn.CONCAT(A194," (",M194,")"),B194)</f>
        <v>Lĭjiā Xiāng</v>
      </c>
      <c r="D194" t="s">
        <v>275</v>
      </c>
      <c r="E194" t="s">
        <v>7</v>
      </c>
      <c r="F194" t="str">
        <f>_xlfn.CONCAT(D194,", ",H194,", ",I194,", ","青海省")</f>
        <v>李家乡, 乐都区, 海东市, 青海省</v>
      </c>
      <c r="G194">
        <v>8132</v>
      </c>
      <c r="H194" t="s">
        <v>892</v>
      </c>
      <c r="I194" t="s">
        <v>888</v>
      </c>
      <c r="J194" t="e">
        <f>VLOOKUP(F194,[1]!china_towns_second__2[[Column1]:[Y]],3,FALSE)</f>
        <v>#N/A</v>
      </c>
      <c r="K194" t="e">
        <f>VLOOKUP(F194,[1]!china_towns_second__2[[Column1]:[Y]],2,FALSE)</f>
        <v>#N/A</v>
      </c>
      <c r="L194" t="s">
        <v>1305</v>
      </c>
      <c r="M194" t="str">
        <f>VLOOKUP(H194,CHOOSE({1,2},Table9[Native],Table9[Name]),2,0)</f>
        <v>Lèdū Qū</v>
      </c>
      <c r="N194" s="13" t="str">
        <f>VLOOKUP(I194,CHOOSE({1,2},Table9[Native],Table9[Name]),2,0)</f>
        <v>Hăidōng Shì</v>
      </c>
      <c r="O194" s="13" t="str">
        <f t="shared" ref="O194:O257" si="14">_xlfn.CONCAT(L194," (",N194,")")</f>
        <v>Lijia Xiang (Hăidōng Shì)</v>
      </c>
      <c r="P194" s="13" t="str">
        <f t="shared" ref="P194:P257" si="15">IF(COUNTIF(O:O,O194)&gt;1,_xlfn.CONCAT(L194," (",M194,")"),O194)</f>
        <v>Lijia Xiang (Hăidōng Shì)</v>
      </c>
    </row>
    <row r="195" spans="1:16" x14ac:dyDescent="0.25">
      <c r="A195" t="s">
        <v>694</v>
      </c>
      <c r="B195" t="str">
        <f t="shared" si="12"/>
        <v>Lĭjiāshān Zhèn</v>
      </c>
      <c r="C195" t="str">
        <f t="shared" si="13"/>
        <v>Lĭjiāshān Zhèn</v>
      </c>
      <c r="D195" t="s">
        <v>695</v>
      </c>
      <c r="E195" t="s">
        <v>19</v>
      </c>
      <c r="F195" t="str">
        <f>_xlfn.CONCAT(D195,", ",H195,", ",I195,", ","青海省")</f>
        <v>李家山镇, 湟中区, 西宁市, 青海省</v>
      </c>
      <c r="G195">
        <v>24112</v>
      </c>
      <c r="H195" t="s">
        <v>930</v>
      </c>
      <c r="I195" t="s">
        <v>923</v>
      </c>
      <c r="J195">
        <f>VLOOKUP(F195,[1]!china_towns_second__2[[Column1]:[Y]],3,FALSE)</f>
        <v>36.807878020515503</v>
      </c>
      <c r="K195">
        <f>VLOOKUP(F195,[1]!china_towns_second__2[[Column1]:[Y]],2,FALSE)</f>
        <v>101.5439478</v>
      </c>
      <c r="L195" t="s">
        <v>1306</v>
      </c>
      <c r="M195" t="str">
        <f>VLOOKUP(H195,CHOOSE({1,2},Table9[Native],Table9[Name]),2,0)</f>
        <v>Huángzhōng Qū</v>
      </c>
      <c r="N195" s="13" t="str">
        <f>VLOOKUP(I195,CHOOSE({1,2},Table9[Native],Table9[Name]),2,0)</f>
        <v>Xīníng Shì</v>
      </c>
      <c r="O195" s="13" t="str">
        <f t="shared" si="14"/>
        <v>Lijiashan Zhen (Xīníng Shì)</v>
      </c>
      <c r="P195" s="13" t="str">
        <f t="shared" si="15"/>
        <v>Lijiashan Zhen (Xīníng Shì)</v>
      </c>
    </row>
    <row r="196" spans="1:16" hidden="1" x14ac:dyDescent="0.25">
      <c r="A196" t="s">
        <v>272</v>
      </c>
      <c r="B196" t="str">
        <f t="shared" si="12"/>
        <v>Lĭjiāxiá Guănlĭ Wĕiyuánhuì</v>
      </c>
      <c r="C196" t="str">
        <f t="shared" si="13"/>
        <v>Lĭjiāxiá Guănlĭ Wĕiyuánhuì</v>
      </c>
      <c r="D196" t="s">
        <v>273</v>
      </c>
      <c r="E196" t="s">
        <v>133</v>
      </c>
      <c r="F196" t="str">
        <f>_xlfn.CONCAT(D196,", ",H196,", ",I196,", ","青海省")</f>
        <v>李家峡管理委员会, 化隆回族自治县, 海东市, 青海省</v>
      </c>
      <c r="G196">
        <v>178</v>
      </c>
      <c r="H196" t="s">
        <v>889</v>
      </c>
      <c r="I196" t="s">
        <v>888</v>
      </c>
      <c r="J196">
        <f>VLOOKUP(F196,[1]!china_towns_second__2[[Column1]:[Y]],3,FALSE)</f>
        <v>36.153310429161898</v>
      </c>
      <c r="K196">
        <f>VLOOKUP(F196,[1]!china_towns_second__2[[Column1]:[Y]],2,FALSE)</f>
        <v>101.78999349999999</v>
      </c>
      <c r="L196" t="s">
        <v>1307</v>
      </c>
      <c r="M196" t="str">
        <f>VLOOKUP(H196,CHOOSE({1,2},Table9[Native],Table9[Name]),2,0)</f>
        <v>Huàlóng Huízú Zìzhìxiàn</v>
      </c>
      <c r="N196" s="13" t="str">
        <f>VLOOKUP(I196,CHOOSE({1,2},Table9[Native],Table9[Name]),2,0)</f>
        <v>Hăidōng Shì</v>
      </c>
      <c r="O196" s="13" t="str">
        <f t="shared" si="14"/>
        <v>Lijiaxia Guanli Weiyuanhui (Hăidōng Shì)</v>
      </c>
      <c r="P196" s="13" t="str">
        <f t="shared" si="15"/>
        <v>Lijiaxia Guanli Weiyuanhui (Hăidōng Shì)</v>
      </c>
    </row>
    <row r="197" spans="1:16" hidden="1" x14ac:dyDescent="0.25">
      <c r="A197" t="s">
        <v>276</v>
      </c>
      <c r="B197" t="str">
        <f t="shared" si="12"/>
        <v>Línchuān Xiāng</v>
      </c>
      <c r="C197" t="str">
        <f t="shared" si="13"/>
        <v>Línchuān Xiāng</v>
      </c>
      <c r="D197" t="s">
        <v>277</v>
      </c>
      <c r="E197" t="s">
        <v>7</v>
      </c>
      <c r="F197" t="str">
        <f>_xlfn.CONCAT(D197,", ",H197,", ",I197,", ","青海省")</f>
        <v>林川乡, 互助土族自治县, 海东市, 青海省</v>
      </c>
      <c r="G197">
        <v>22921</v>
      </c>
      <c r="H197" t="s">
        <v>890</v>
      </c>
      <c r="I197" t="s">
        <v>888</v>
      </c>
      <c r="J197" t="e">
        <f>VLOOKUP(F197,[1]!china_towns_second__2[[Column1]:[Y]],3,FALSE)</f>
        <v>#N/A</v>
      </c>
      <c r="K197" t="e">
        <f>VLOOKUP(F197,[1]!china_towns_second__2[[Column1]:[Y]],2,FALSE)</f>
        <v>#N/A</v>
      </c>
      <c r="L197" t="s">
        <v>1308</v>
      </c>
      <c r="M197" t="str">
        <f>VLOOKUP(H197,CHOOSE({1,2},Table9[Native],Table9[Name]),2,0)</f>
        <v>Hùzhù Tŭzú Zìzhìxiàn</v>
      </c>
      <c r="N197" s="13" t="str">
        <f>VLOOKUP(I197,CHOOSE({1,2},Table9[Native],Table9[Name]),2,0)</f>
        <v>Hăidōng Shì</v>
      </c>
      <c r="O197" s="13" t="str">
        <f t="shared" si="14"/>
        <v>Linchuan Xiang (Hăidōng Shì)</v>
      </c>
      <c r="P197" s="13" t="str">
        <f t="shared" si="15"/>
        <v>Linchuan Xiang (Hăidōng Shì)</v>
      </c>
    </row>
    <row r="198" spans="1:16" hidden="1" x14ac:dyDescent="0.25">
      <c r="A198" t="s">
        <v>696</v>
      </c>
      <c r="B198" t="str">
        <f t="shared" si="12"/>
        <v>Línjiāyá Jiēdào</v>
      </c>
      <c r="C198" t="str">
        <f t="shared" si="13"/>
        <v>Línjiāyá Jiēdào</v>
      </c>
      <c r="D198" t="s">
        <v>697</v>
      </c>
      <c r="E198" t="s">
        <v>488</v>
      </c>
      <c r="F198" t="str">
        <f>_xlfn.CONCAT(D198,", ",H198,", ",I198,", ","青海省")</f>
        <v>林家崖街道, 城东区, 西宁市, 青海省</v>
      </c>
      <c r="G198">
        <v>27283</v>
      </c>
      <c r="H198" t="s">
        <v>925</v>
      </c>
      <c r="I198" t="s">
        <v>923</v>
      </c>
      <c r="J198">
        <f>VLOOKUP(F198,[1]!china_towns_second__2[[Column1]:[Y]],3,FALSE)</f>
        <v>36.638600220616297</v>
      </c>
      <c r="K198">
        <f>VLOOKUP(F198,[1]!china_towns_second__2[[Column1]:[Y]],2,FALSE)</f>
        <v>101.8059384</v>
      </c>
      <c r="L198" t="s">
        <v>1309</v>
      </c>
      <c r="M198" t="str">
        <f>VLOOKUP(H198,CHOOSE({1,2},Table9[Native],Table9[Name]),2,0)</f>
        <v>Chéngdōng Qū</v>
      </c>
      <c r="N198" s="13" t="str">
        <f>VLOOKUP(I198,CHOOSE({1,2},Table9[Native],Table9[Name]),2,0)</f>
        <v>Xīníng Shì</v>
      </c>
      <c r="O198" s="13" t="str">
        <f t="shared" si="14"/>
        <v>Linjiaya Jiedao (Xīníng Shì)</v>
      </c>
      <c r="P198" s="13" t="str">
        <f t="shared" si="15"/>
        <v>Linjiaya Jiedao (Xīníng Shì)</v>
      </c>
    </row>
    <row r="199" spans="1:16" hidden="1" x14ac:dyDescent="0.25">
      <c r="A199" t="s">
        <v>698</v>
      </c>
      <c r="B199" t="str">
        <f t="shared" si="12"/>
        <v>Lĭràngjiē Jiēdào</v>
      </c>
      <c r="C199" t="str">
        <f t="shared" si="13"/>
        <v>Lĭràngjiē Jiēdào</v>
      </c>
      <c r="D199" t="s">
        <v>699</v>
      </c>
      <c r="E199" t="s">
        <v>488</v>
      </c>
      <c r="F199" t="str">
        <f>_xlfn.CONCAT(D199,", ",H199,", ",I199,", ","青海省")</f>
        <v>礼让街街道, 城中区, 西宁市, 青海省</v>
      </c>
      <c r="G199">
        <v>24127</v>
      </c>
      <c r="H199" t="s">
        <v>927</v>
      </c>
      <c r="I199" t="s">
        <v>923</v>
      </c>
      <c r="J199">
        <f>VLOOKUP(F199,[1]!china_towns_second__2[[Column1]:[Y]],3,FALSE)</f>
        <v>36.626625800541802</v>
      </c>
      <c r="K199">
        <f>VLOOKUP(F199,[1]!china_towns_second__2[[Column1]:[Y]],2,FALSE)</f>
        <v>101.779701</v>
      </c>
      <c r="L199" t="s">
        <v>1310</v>
      </c>
      <c r="M199" t="str">
        <f>VLOOKUP(H199,CHOOSE({1,2},Table9[Native],Table9[Name]),2,0)</f>
        <v>Chéngzhōng Qū</v>
      </c>
      <c r="N199" s="13" t="str">
        <f>VLOOKUP(I199,CHOOSE({1,2},Table9[Native],Table9[Name]),2,0)</f>
        <v>Xīníng Shì</v>
      </c>
      <c r="O199" s="13" t="str">
        <f t="shared" si="14"/>
        <v>Lirangjie Jiedao (Xīníng Shì)</v>
      </c>
      <c r="P199" s="13" t="str">
        <f t="shared" si="15"/>
        <v>Lirangjie Jiedao (Xīníng Shì)</v>
      </c>
    </row>
    <row r="200" spans="1:16" hidden="1" x14ac:dyDescent="0.25">
      <c r="A200" t="s">
        <v>818</v>
      </c>
      <c r="B200" t="str">
        <f t="shared" si="12"/>
        <v>Lìxīn Xiāng</v>
      </c>
      <c r="C200" t="str">
        <f t="shared" si="13"/>
        <v>Lìxīn Xiāng</v>
      </c>
      <c r="D200" t="s">
        <v>819</v>
      </c>
      <c r="E200" t="s">
        <v>7</v>
      </c>
      <c r="F200" t="str">
        <f>_xlfn.CONCAT(D200,", ",H200,", ",I200,", ","青海省")</f>
        <v>立新乡, 治多县, 玉树藏族自治州, 青海省</v>
      </c>
      <c r="G200">
        <v>1864</v>
      </c>
      <c r="H200" t="s">
        <v>938</v>
      </c>
      <c r="I200" t="s">
        <v>932</v>
      </c>
      <c r="J200" t="e">
        <f>VLOOKUP(F200,[1]!china_towns_second__2[[Column1]:[Y]],3,FALSE)</f>
        <v>#N/A</v>
      </c>
      <c r="K200" t="e">
        <f>VLOOKUP(F200,[1]!china_towns_second__2[[Column1]:[Y]],2,FALSE)</f>
        <v>#N/A</v>
      </c>
      <c r="L200" t="s">
        <v>1311</v>
      </c>
      <c r="M200" t="str">
        <f>VLOOKUP(H200,CHOOSE({1,2},Table9[Native],Table9[Name]),2,0)</f>
        <v>Zhìduō Xiàn</v>
      </c>
      <c r="N200" s="13" t="str">
        <f>VLOOKUP(I200,CHOOSE({1,2},Table9[Native],Table9[Name]),2,0)</f>
        <v>Yùshù Zàngzú Zìzhìzhōu</v>
      </c>
      <c r="O200" s="13" t="str">
        <f t="shared" si="14"/>
        <v>Lixin Xiang (Yùshù Zàngzú Zìzhìzhōu)</v>
      </c>
      <c r="P200" s="13" t="str">
        <f t="shared" si="15"/>
        <v>Lixin Xiang (Yùshù Zàngzú Zìzhìzhōu)</v>
      </c>
    </row>
    <row r="201" spans="1:16" x14ac:dyDescent="0.25">
      <c r="A201" t="s">
        <v>820</v>
      </c>
      <c r="B201" t="str">
        <f t="shared" si="12"/>
        <v>Lóngbăo Zhèn</v>
      </c>
      <c r="C201" t="str">
        <f t="shared" si="13"/>
        <v>Lóngbăo Zhèn</v>
      </c>
      <c r="D201" t="s">
        <v>821</v>
      </c>
      <c r="E201" t="s">
        <v>19</v>
      </c>
      <c r="F201" t="str">
        <f>_xlfn.CONCAT(D201,", ",H201,", ",I201,", ","青海省")</f>
        <v>隆宝镇, 玉树市, 玉树藏族自治州, 青海省</v>
      </c>
      <c r="G201">
        <v>7313</v>
      </c>
      <c r="H201" t="s">
        <v>936</v>
      </c>
      <c r="I201" t="s">
        <v>932</v>
      </c>
      <c r="J201">
        <f>VLOOKUP(F201,[1]!china_towns_second__2[[Column1]:[Y]],3,FALSE)</f>
        <v>33.265578339090702</v>
      </c>
      <c r="K201">
        <f>VLOOKUP(F201,[1]!china_towns_second__2[[Column1]:[Y]],2,FALSE)</f>
        <v>96.268786090000006</v>
      </c>
      <c r="L201" t="s">
        <v>1312</v>
      </c>
      <c r="M201" t="str">
        <f>VLOOKUP(H201,CHOOSE({1,2},Table9[Native],Table9[Name]),2,0)</f>
        <v>Yùshù Shì</v>
      </c>
      <c r="N201" s="13" t="str">
        <f>VLOOKUP(I201,CHOOSE({1,2},Table9[Native],Table9[Name]),2,0)</f>
        <v>Yùshù Zàngzú Zìzhìzhōu</v>
      </c>
      <c r="O201" s="13" t="str">
        <f t="shared" si="14"/>
        <v>Longbao Zhen (Yùshù Zàngzú Zìzhìzhōu)</v>
      </c>
      <c r="P201" s="13" t="str">
        <f t="shared" si="15"/>
        <v>Longbao Zhen (Yùshù Zàngzú Zìzhìzhōu)</v>
      </c>
    </row>
    <row r="202" spans="1:16" hidden="1" x14ac:dyDescent="0.25">
      <c r="A202" t="s">
        <v>515</v>
      </c>
      <c r="B202" t="str">
        <f t="shared" si="12"/>
        <v>Lóngmén Xiāng</v>
      </c>
      <c r="C202" t="str">
        <f t="shared" si="13"/>
        <v>Lóngmén Xiāng</v>
      </c>
      <c r="D202" t="s">
        <v>516</v>
      </c>
      <c r="E202" t="s">
        <v>7</v>
      </c>
      <c r="F202" t="str">
        <f>_xlfn.CONCAT(D202,", ",H202,", ",I202,", ","青海省")</f>
        <v>龙门乡, 天峻县, 海西蒙古族藏族自治州, 青海省</v>
      </c>
      <c r="G202">
        <v>1288</v>
      </c>
      <c r="H202" t="s">
        <v>914</v>
      </c>
      <c r="I202" t="s">
        <v>905</v>
      </c>
      <c r="J202" t="e">
        <f>VLOOKUP(F202,[1]!china_towns_second__2[[Column1]:[Y]],3,FALSE)</f>
        <v>#N/A</v>
      </c>
      <c r="K202" t="e">
        <f>VLOOKUP(F202,[1]!china_towns_second__2[[Column1]:[Y]],2,FALSE)</f>
        <v>#N/A</v>
      </c>
      <c r="L202" t="s">
        <v>1313</v>
      </c>
      <c r="M202" t="str">
        <f>VLOOKUP(H202,CHOOSE({1,2},Table9[Native],Table9[Name]),2,0)</f>
        <v>Tiānjùn Xiàn</v>
      </c>
      <c r="N202" s="13" t="str">
        <f>VLOOKUP(I202,CHOOSE({1,2},Table9[Native],Table9[Name]),2,0)</f>
        <v>Hăixī Mĕnggŭzú Zàngzú Zìzhìzhōu</v>
      </c>
      <c r="O202" s="13" t="str">
        <f t="shared" si="14"/>
        <v>Longmen Xiang (Hăixī Mĕnggŭzú Zàngzú Zìzhìzhōu)</v>
      </c>
      <c r="P202" s="13" t="str">
        <f t="shared" si="15"/>
        <v>Longmen Xiang (Hăixī Mĕnggŭzú Zàngzú Zìzhìzhōu)</v>
      </c>
    </row>
    <row r="203" spans="1:16" x14ac:dyDescent="0.25">
      <c r="A203" t="s">
        <v>595</v>
      </c>
      <c r="B203" t="str">
        <f t="shared" si="12"/>
        <v>Lóngwù Zhèn</v>
      </c>
      <c r="C203" t="str">
        <f t="shared" si="13"/>
        <v>Lóngwù Zhèn</v>
      </c>
      <c r="D203" t="s">
        <v>596</v>
      </c>
      <c r="E203" t="s">
        <v>19</v>
      </c>
      <c r="F203" t="str">
        <f>_xlfn.CONCAT(D203,", ",H203,", ",I203,", ","青海省")</f>
        <v>隆务镇, 同仁市, 黄南藏族自治州, 青海省</v>
      </c>
      <c r="G203">
        <v>35612</v>
      </c>
      <c r="H203" t="s">
        <v>920</v>
      </c>
      <c r="I203" t="s">
        <v>917</v>
      </c>
      <c r="J203">
        <f>VLOOKUP(F203,[1]!china_towns_second__2[[Column1]:[Y]],3,FALSE)</f>
        <v>35.504415262040602</v>
      </c>
      <c r="K203">
        <f>VLOOKUP(F203,[1]!china_towns_second__2[[Column1]:[Y]],2,FALSE)</f>
        <v>101.9531436</v>
      </c>
      <c r="L203" t="s">
        <v>1314</v>
      </c>
      <c r="M203" t="str">
        <f>VLOOKUP(H203,CHOOSE({1,2},Table9[Native],Table9[Name]),2,0)</f>
        <v>Tóngrén Shì</v>
      </c>
      <c r="N203" s="13" t="str">
        <f>VLOOKUP(I203,CHOOSE({1,2},Table9[Native],Table9[Name]),2,0)</f>
        <v>Huángnán Zàngzú Zìzhìzhōu</v>
      </c>
      <c r="O203" s="13" t="str">
        <f t="shared" si="14"/>
        <v>Longwu Zhen (Huángnán Zàngzú Zìzhìzhōu)</v>
      </c>
      <c r="P203" s="13" t="str">
        <f t="shared" si="15"/>
        <v>Longwu Zhen (Huángnán Zàngzú Zìzhìzhōu)</v>
      </c>
    </row>
    <row r="204" spans="1:16" x14ac:dyDescent="0.25">
      <c r="A204" t="s">
        <v>413</v>
      </c>
      <c r="B204" t="str">
        <f t="shared" si="12"/>
        <v>Lóngyángxiá Zhèn</v>
      </c>
      <c r="C204" t="str">
        <f t="shared" si="13"/>
        <v>Lóngyángxiá Zhèn</v>
      </c>
      <c r="D204" t="s">
        <v>414</v>
      </c>
      <c r="E204" t="s">
        <v>19</v>
      </c>
      <c r="F204" t="str">
        <f>_xlfn.CONCAT(D204,", ",H204,", ",I204,", ","青海省")</f>
        <v>龙羊峡镇, 共和县, 海南藏族自治州, 青海省</v>
      </c>
      <c r="G204">
        <v>6578</v>
      </c>
      <c r="H204" t="s">
        <v>898</v>
      </c>
      <c r="I204" t="s">
        <v>897</v>
      </c>
      <c r="J204">
        <f>VLOOKUP(F204,[1]!china_towns_second__2[[Column1]:[Y]],3,FALSE)</f>
        <v>36.169569145698802</v>
      </c>
      <c r="K204">
        <f>VLOOKUP(F204,[1]!china_towns_second__2[[Column1]:[Y]],2,FALSE)</f>
        <v>100.78255</v>
      </c>
      <c r="L204" t="s">
        <v>1315</v>
      </c>
      <c r="M204" t="str">
        <f>VLOOKUP(H204,CHOOSE({1,2},Table9[Native],Table9[Name]),2,0)</f>
        <v>Gònghé Xiàn</v>
      </c>
      <c r="N204" s="13" t="str">
        <f>VLOOKUP(I204,CHOOSE({1,2},Table9[Native],Table9[Name]),2,0)</f>
        <v>Hăinán Zàngzú Zìzhìzhōu</v>
      </c>
      <c r="O204" s="13" t="str">
        <f t="shared" si="14"/>
        <v>Longyangxia Zhen (Hăinán Zàngzú Zìzhìzhōu)</v>
      </c>
      <c r="P204" s="13" t="str">
        <f t="shared" si="15"/>
        <v>Longyangxia Zhen (Hăinán Zàngzú Zìzhìzhōu)</v>
      </c>
    </row>
    <row r="205" spans="1:16" hidden="1" x14ac:dyDescent="0.25">
      <c r="A205" t="s">
        <v>415</v>
      </c>
      <c r="B205" t="str">
        <f t="shared" si="12"/>
        <v>Lóngzàng Xiāng</v>
      </c>
      <c r="C205" t="str">
        <f t="shared" si="13"/>
        <v>Lóngzàng Xiāng</v>
      </c>
      <c r="D205" t="s">
        <v>416</v>
      </c>
      <c r="E205" t="s">
        <v>7</v>
      </c>
      <c r="F205" t="str">
        <f>_xlfn.CONCAT(D205,", ",H205,", ",I205,", ","青海省")</f>
        <v>龙藏乡, 兴海县, 海南藏族自治州, 青海省</v>
      </c>
      <c r="G205">
        <v>5916</v>
      </c>
      <c r="H205" t="s">
        <v>902</v>
      </c>
      <c r="I205" t="s">
        <v>897</v>
      </c>
      <c r="J205" t="e">
        <f>VLOOKUP(F205,[1]!china_towns_second__2[[Column1]:[Y]],3,FALSE)</f>
        <v>#N/A</v>
      </c>
      <c r="K205" t="e">
        <f>VLOOKUP(F205,[1]!china_towns_second__2[[Column1]:[Y]],2,FALSE)</f>
        <v>#N/A</v>
      </c>
      <c r="L205" t="s">
        <v>1316</v>
      </c>
      <c r="M205" t="str">
        <f>VLOOKUP(H205,CHOOSE({1,2},Table9[Native],Table9[Name]),2,0)</f>
        <v>Xīnghăi Xiàn</v>
      </c>
      <c r="N205" s="13" t="str">
        <f>VLOOKUP(I205,CHOOSE({1,2},Table9[Native],Table9[Name]),2,0)</f>
        <v>Hăinán Zàngzú Zìzhìzhōu</v>
      </c>
      <c r="O205" s="13" t="str">
        <f t="shared" si="14"/>
        <v>Longzang Xiang (Hăinán Zàngzú Zìzhìzhōu)</v>
      </c>
      <c r="P205" s="13" t="str">
        <f t="shared" si="15"/>
        <v>Longzang Xiang (Hăinán Zàngzú Zìzhìzhōu)</v>
      </c>
    </row>
    <row r="206" spans="1:16" hidden="1" x14ac:dyDescent="0.25">
      <c r="A206" t="s">
        <v>278</v>
      </c>
      <c r="B206" t="str">
        <f t="shared" si="12"/>
        <v>Lóngzhì Xiāng</v>
      </c>
      <c r="C206" t="str">
        <f t="shared" si="13"/>
        <v>Lóngzhì Xiāng</v>
      </c>
      <c r="D206" t="s">
        <v>279</v>
      </c>
      <c r="E206" t="s">
        <v>7</v>
      </c>
      <c r="F206" t="str">
        <f>_xlfn.CONCAT(D206,", ",H206,", ",I206,", ","青海省")</f>
        <v>隆治乡, 民和回族土族自治县, 海东市, 青海省</v>
      </c>
      <c r="G206">
        <v>7636</v>
      </c>
      <c r="H206" t="s">
        <v>893</v>
      </c>
      <c r="I206" t="s">
        <v>888</v>
      </c>
      <c r="J206" t="e">
        <f>VLOOKUP(F206,[1]!china_towns_second__2[[Column1]:[Y]],3,FALSE)</f>
        <v>#N/A</v>
      </c>
      <c r="K206" t="e">
        <f>VLOOKUP(F206,[1]!china_towns_second__2[[Column1]:[Y]],2,FALSE)</f>
        <v>#N/A</v>
      </c>
      <c r="L206" t="s">
        <v>1317</v>
      </c>
      <c r="M206" t="str">
        <f>VLOOKUP(H206,CHOOSE({1,2},Table9[Native],Table9[Name]),2,0)</f>
        <v>Mínhé Huízú Tŭzú Zìzhìxiàn</v>
      </c>
      <c r="N206" s="13" t="str">
        <f>VLOOKUP(I206,CHOOSE({1,2},Table9[Native],Table9[Name]),2,0)</f>
        <v>Hăidōng Shì</v>
      </c>
      <c r="O206" s="13" t="str">
        <f t="shared" si="14"/>
        <v>Longzhi Xiang (Hăidōng Shì)</v>
      </c>
      <c r="P206" s="13" t="str">
        <f t="shared" si="15"/>
        <v>Longzhi Xiang (Hăidōng Shì)</v>
      </c>
    </row>
    <row r="207" spans="1:16" hidden="1" x14ac:dyDescent="0.25">
      <c r="A207" t="s">
        <v>280</v>
      </c>
      <c r="B207" t="str">
        <f t="shared" si="12"/>
        <v>Lúhuā Xiāng</v>
      </c>
      <c r="C207" t="str">
        <f t="shared" si="13"/>
        <v>Lúhuā Xiāng</v>
      </c>
      <c r="D207" t="s">
        <v>281</v>
      </c>
      <c r="E207" t="s">
        <v>7</v>
      </c>
      <c r="F207" t="str">
        <f>_xlfn.CONCAT(D207,", ",H207,", ",I207,", ","青海省")</f>
        <v>芦花乡, 乐都区, 海东市, 青海省</v>
      </c>
      <c r="G207">
        <v>7516</v>
      </c>
      <c r="H207" t="s">
        <v>892</v>
      </c>
      <c r="I207" t="s">
        <v>888</v>
      </c>
      <c r="J207" t="e">
        <f>VLOOKUP(F207,[1]!china_towns_second__2[[Column1]:[Y]],3,FALSE)</f>
        <v>#N/A</v>
      </c>
      <c r="K207" t="e">
        <f>VLOOKUP(F207,[1]!china_towns_second__2[[Column1]:[Y]],2,FALSE)</f>
        <v>#N/A</v>
      </c>
      <c r="L207" t="s">
        <v>1318</v>
      </c>
      <c r="M207" t="str">
        <f>VLOOKUP(H207,CHOOSE({1,2},Table9[Native],Table9[Name]),2,0)</f>
        <v>Lèdū Qū</v>
      </c>
      <c r="N207" s="13" t="str">
        <f>VLOOKUP(I207,CHOOSE({1,2},Table9[Native],Table9[Name]),2,0)</f>
        <v>Hăidōng Shì</v>
      </c>
      <c r="O207" s="13" t="str">
        <f t="shared" si="14"/>
        <v>Luhua Xiang (Hăidōng Shì)</v>
      </c>
      <c r="P207" s="13" t="str">
        <f t="shared" si="15"/>
        <v>Luhua Xiang (Hăidōng Shì)</v>
      </c>
    </row>
    <row r="208" spans="1:16" x14ac:dyDescent="0.25">
      <c r="A208" t="s">
        <v>700</v>
      </c>
      <c r="B208" t="str">
        <f t="shared" si="12"/>
        <v>Lŭshā'ĕr Zhèn</v>
      </c>
      <c r="C208" t="str">
        <f t="shared" si="13"/>
        <v>Lŭshā'ĕr Zhèn</v>
      </c>
      <c r="D208" t="s">
        <v>701</v>
      </c>
      <c r="E208" t="s">
        <v>19</v>
      </c>
      <c r="F208" t="str">
        <f>_xlfn.CONCAT(D208,", ",H208,", ",I208,", ","青海省")</f>
        <v>鲁沙尔镇, 湟中区, 西宁市, 青海省</v>
      </c>
      <c r="G208">
        <v>67153</v>
      </c>
      <c r="H208" t="s">
        <v>930</v>
      </c>
      <c r="I208" t="s">
        <v>923</v>
      </c>
      <c r="J208">
        <f>VLOOKUP(F208,[1]!china_towns_second__2[[Column1]:[Y]],3,FALSE)</f>
        <v>36.451618498534202</v>
      </c>
      <c r="K208">
        <f>VLOOKUP(F208,[1]!china_towns_second__2[[Column1]:[Y]],2,FALSE)</f>
        <v>101.4720732</v>
      </c>
      <c r="L208" t="s">
        <v>1319</v>
      </c>
      <c r="M208" t="str">
        <f>VLOOKUP(H208,CHOOSE({1,2},Table9[Native],Table9[Name]),2,0)</f>
        <v>Huángzhōng Qū</v>
      </c>
      <c r="N208" s="13" t="str">
        <f>VLOOKUP(I208,CHOOSE({1,2},Table9[Native],Table9[Name]),2,0)</f>
        <v>Xīníng Shì</v>
      </c>
      <c r="O208" s="13" t="str">
        <f t="shared" si="14"/>
        <v>Lusha'er Zhen (Xīníng Shì)</v>
      </c>
      <c r="P208" s="13" t="str">
        <f t="shared" si="15"/>
        <v>Lusha'er Zhen (Xīníng Shì)</v>
      </c>
    </row>
    <row r="209" spans="1:16" x14ac:dyDescent="0.25">
      <c r="A209" t="s">
        <v>51</v>
      </c>
      <c r="B209" t="str">
        <f t="shared" si="12"/>
        <v>Măchálĭ Zhèn</v>
      </c>
      <c r="C209" t="str">
        <f t="shared" si="13"/>
        <v>Măchálĭ Zhèn</v>
      </c>
      <c r="D209" t="s">
        <v>52</v>
      </c>
      <c r="E209" t="s">
        <v>19</v>
      </c>
      <c r="F209" t="str">
        <f>_xlfn.CONCAT(D209,", ",H209,", ",I209,", ","青海省")</f>
        <v>玛查理镇, 玛多县, 果洛藏族自治州, 青海省</v>
      </c>
      <c r="G209">
        <v>4316</v>
      </c>
      <c r="H209" t="s">
        <v>877</v>
      </c>
      <c r="I209" t="s">
        <v>871</v>
      </c>
      <c r="J209">
        <f>VLOOKUP(F209,[1]!china_towns_second__2[[Column1]:[Y]],3,FALSE)</f>
        <v>34.586382981151701</v>
      </c>
      <c r="K209">
        <f>VLOOKUP(F209,[1]!china_towns_second__2[[Column1]:[Y]],2,FALSE)</f>
        <v>97.953216389999994</v>
      </c>
      <c r="L209" t="s">
        <v>1320</v>
      </c>
      <c r="M209" t="str">
        <f>VLOOKUP(H209,CHOOSE({1,2},Table9[Native],Table9[Name]),2,0)</f>
        <v>Măduō Xiàn</v>
      </c>
      <c r="N209" s="13" t="str">
        <f>VLOOKUP(I209,CHOOSE({1,2},Table9[Native],Table9[Name]),2,0)</f>
        <v>Guŏluò Zàngzú Zìzhìzhōu</v>
      </c>
      <c r="O209" s="13" t="str">
        <f t="shared" si="14"/>
        <v>Machali Zhen (Guŏluò Zàngzú Zìzhìzhōu)</v>
      </c>
      <c r="P209" s="13" t="str">
        <f t="shared" si="15"/>
        <v>Machali Zhen (Guŏluò Zàngzú Zìzhìzhōu)</v>
      </c>
    </row>
    <row r="210" spans="1:16" hidden="1" x14ac:dyDescent="0.25">
      <c r="A210" t="s">
        <v>282</v>
      </c>
      <c r="B210" t="str">
        <f t="shared" si="12"/>
        <v>Măchăng Xiāng</v>
      </c>
      <c r="C210" t="str">
        <f t="shared" si="13"/>
        <v>Măchăng Xiāng</v>
      </c>
      <c r="D210" t="s">
        <v>283</v>
      </c>
      <c r="E210" t="s">
        <v>7</v>
      </c>
      <c r="F210" t="str">
        <f>_xlfn.CONCAT(D210,", ",H210,", ",I210,", ","青海省")</f>
        <v>马厂乡, 乐都区, 海东市, 青海省</v>
      </c>
      <c r="G210">
        <v>3699</v>
      </c>
      <c r="H210" t="s">
        <v>892</v>
      </c>
      <c r="I210" t="s">
        <v>888</v>
      </c>
      <c r="J210" t="e">
        <f>VLOOKUP(F210,[1]!china_towns_second__2[[Column1]:[Y]],3,FALSE)</f>
        <v>#N/A</v>
      </c>
      <c r="K210" t="e">
        <f>VLOOKUP(F210,[1]!china_towns_second__2[[Column1]:[Y]],2,FALSE)</f>
        <v>#N/A</v>
      </c>
      <c r="L210" t="s">
        <v>1321</v>
      </c>
      <c r="M210" t="str">
        <f>VLOOKUP(H210,CHOOSE({1,2},Table9[Native],Table9[Name]),2,0)</f>
        <v>Lèdū Qū</v>
      </c>
      <c r="N210" s="13" t="str">
        <f>VLOOKUP(I210,CHOOSE({1,2},Table9[Native],Table9[Name]),2,0)</f>
        <v>Hăidōng Shì</v>
      </c>
      <c r="O210" s="13" t="str">
        <f t="shared" si="14"/>
        <v>Machang Xiang (Hăidōng Shì)</v>
      </c>
      <c r="P210" s="13" t="str">
        <f t="shared" si="15"/>
        <v>Machang Xiang (Hăidōng Shì)</v>
      </c>
    </row>
    <row r="211" spans="1:16" hidden="1" x14ac:dyDescent="0.25">
      <c r="A211" t="s">
        <v>284</v>
      </c>
      <c r="B211" t="str">
        <f t="shared" si="12"/>
        <v>Măchăngyuán Xiāng</v>
      </c>
      <c r="C211" t="str">
        <f t="shared" si="13"/>
        <v>Măchăngyuán Xiāng</v>
      </c>
      <c r="D211" t="s">
        <v>285</v>
      </c>
      <c r="E211" t="s">
        <v>7</v>
      </c>
      <c r="F211" t="str">
        <f>_xlfn.CONCAT(D211,", ",H211,", ",I211,", ","青海省")</f>
        <v>马场垣乡, 民和回族土族自治县, 海东市, 青海省</v>
      </c>
      <c r="G211">
        <v>19855</v>
      </c>
      <c r="H211" t="s">
        <v>893</v>
      </c>
      <c r="I211" t="s">
        <v>888</v>
      </c>
      <c r="J211" t="e">
        <f>VLOOKUP(F211,[1]!china_towns_second__2[[Column1]:[Y]],3,FALSE)</f>
        <v>#N/A</v>
      </c>
      <c r="K211" t="e">
        <f>VLOOKUP(F211,[1]!china_towns_second__2[[Column1]:[Y]],2,FALSE)</f>
        <v>#N/A</v>
      </c>
      <c r="L211" t="s">
        <v>1322</v>
      </c>
      <c r="M211" t="str">
        <f>VLOOKUP(H211,CHOOSE({1,2},Table9[Native],Table9[Name]),2,0)</f>
        <v>Mínhé Huízú Tŭzú Zìzhìxiàn</v>
      </c>
      <c r="N211" s="13" t="str">
        <f>VLOOKUP(I211,CHOOSE({1,2},Table9[Native],Table9[Name]),2,0)</f>
        <v>Hăidōng Shì</v>
      </c>
      <c r="O211" s="13" t="str">
        <f t="shared" si="14"/>
        <v>Machangyuan Xiang (Hăidōng Shì)</v>
      </c>
      <c r="P211" s="13" t="str">
        <f t="shared" si="15"/>
        <v>Machangyuan Xiang (Hăidōng Shì)</v>
      </c>
    </row>
    <row r="212" spans="1:16" hidden="1" x14ac:dyDescent="0.25">
      <c r="A212" t="s">
        <v>822</v>
      </c>
      <c r="B212" t="str">
        <f t="shared" si="12"/>
        <v>Máduō Xiāng</v>
      </c>
      <c r="C212" t="str">
        <f t="shared" si="13"/>
        <v>Máduō Xiāng</v>
      </c>
      <c r="D212" t="s">
        <v>823</v>
      </c>
      <c r="E212" t="s">
        <v>7</v>
      </c>
      <c r="F212" t="str">
        <f>_xlfn.CONCAT(D212,", ",H212,", ",I212,", ","青海省")</f>
        <v>麻多乡, 曲麻莱县, 玉树藏族自治州, 青海省</v>
      </c>
      <c r="G212">
        <v>4353</v>
      </c>
      <c r="H212" t="s">
        <v>935</v>
      </c>
      <c r="I212" t="s">
        <v>932</v>
      </c>
      <c r="J212" t="e">
        <f>VLOOKUP(F212,[1]!china_towns_second__2[[Column1]:[Y]],3,FALSE)</f>
        <v>#N/A</v>
      </c>
      <c r="K212" t="e">
        <f>VLOOKUP(F212,[1]!china_towns_second__2[[Column1]:[Y]],2,FALSE)</f>
        <v>#N/A</v>
      </c>
      <c r="L212" t="s">
        <v>1323</v>
      </c>
      <c r="M212" t="str">
        <f>VLOOKUP(H212,CHOOSE({1,2},Table9[Native],Table9[Name]),2,0)</f>
        <v>Qŭmálái Xiàn</v>
      </c>
      <c r="N212" s="13" t="str">
        <f>VLOOKUP(I212,CHOOSE({1,2},Table9[Native],Table9[Name]),2,0)</f>
        <v>Yùshù Zàngzú Zìzhìzhōu</v>
      </c>
      <c r="O212" s="13" t="str">
        <f t="shared" si="14"/>
        <v>Maduo Xiang (Yùshù Zàngzú Zìzhìzhōu)</v>
      </c>
      <c r="P212" s="13" t="str">
        <f t="shared" si="15"/>
        <v>Maduo Xiang (Yùshù Zàngzú Zìzhìzhōu)</v>
      </c>
    </row>
    <row r="213" spans="1:16" hidden="1" x14ac:dyDescent="0.25">
      <c r="A213" t="s">
        <v>702</v>
      </c>
      <c r="B213" t="str">
        <f t="shared" si="12"/>
        <v>Măfāng Jiēdào</v>
      </c>
      <c r="C213" t="str">
        <f t="shared" si="13"/>
        <v>Măfāng Jiēdào</v>
      </c>
      <c r="D213" t="s">
        <v>703</v>
      </c>
      <c r="E213" t="s">
        <v>488</v>
      </c>
      <c r="F213" t="str">
        <f>_xlfn.CONCAT(D213,", ",H213,", ",I213,", ","青海省")</f>
        <v>马坊街道, 城北区, 西宁市, 青海省</v>
      </c>
      <c r="G213">
        <v>61229</v>
      </c>
      <c r="H213" t="s">
        <v>924</v>
      </c>
      <c r="I213" t="s">
        <v>923</v>
      </c>
      <c r="J213">
        <f>VLOOKUP(F213,[1]!china_towns_second__2[[Column1]:[Y]],3,FALSE)</f>
        <v>36.670372696970603</v>
      </c>
      <c r="K213">
        <f>VLOOKUP(F213,[1]!china_towns_second__2[[Column1]:[Y]],2,FALSE)</f>
        <v>101.6923348</v>
      </c>
      <c r="L213" t="s">
        <v>1324</v>
      </c>
      <c r="M213" t="str">
        <f>VLOOKUP(H213,CHOOSE({1,2},Table9[Native],Table9[Name]),2,0)</f>
        <v>Chéngbĕi Qū</v>
      </c>
      <c r="N213" s="13" t="str">
        <f>VLOOKUP(I213,CHOOSE({1,2},Table9[Native],Table9[Name]),2,0)</f>
        <v>Xīníng Shì</v>
      </c>
      <c r="O213" s="13" t="str">
        <f t="shared" si="14"/>
        <v>Mafang Jiedao (Xīníng Shì)</v>
      </c>
      <c r="P213" s="13" t="str">
        <f t="shared" si="15"/>
        <v>Mafang Jiedao (Xīníng Shì)</v>
      </c>
    </row>
    <row r="214" spans="1:16" x14ac:dyDescent="0.25">
      <c r="A214" t="s">
        <v>597</v>
      </c>
      <c r="B214" t="str">
        <f t="shared" si="12"/>
        <v>Màixiù Zhèn</v>
      </c>
      <c r="C214" t="str">
        <f t="shared" si="13"/>
        <v>Màixiù Zhèn</v>
      </c>
      <c r="D214" t="s">
        <v>598</v>
      </c>
      <c r="E214" t="s">
        <v>19</v>
      </c>
      <c r="F214" t="str">
        <f>_xlfn.CONCAT(D214,", ",H214,", ",I214,", ","青海省")</f>
        <v>麦秀镇, 泽库县, 黄南藏族自治州, 青海省</v>
      </c>
      <c r="G214">
        <v>11139</v>
      </c>
      <c r="H214" t="s">
        <v>921</v>
      </c>
      <c r="I214" t="s">
        <v>917</v>
      </c>
      <c r="J214">
        <f>VLOOKUP(F214,[1]!china_towns_second__2[[Column1]:[Y]],3,FALSE)</f>
        <v>35.311468779328202</v>
      </c>
      <c r="K214">
        <f>VLOOKUP(F214,[1]!china_towns_second__2[[Column1]:[Y]],2,FALSE)</f>
        <v>101.7192221</v>
      </c>
      <c r="L214" t="s">
        <v>1325</v>
      </c>
      <c r="M214" t="str">
        <f>VLOOKUP(H214,CHOOSE({1,2},Table9[Native],Table9[Name]),2,0)</f>
        <v>Zékù Xiàn</v>
      </c>
      <c r="N214" s="13" t="str">
        <f>VLOOKUP(I214,CHOOSE({1,2},Table9[Native],Table9[Name]),2,0)</f>
        <v>Huángnán Zàngzú Zìzhìzhōu</v>
      </c>
      <c r="O214" s="13" t="str">
        <f t="shared" si="14"/>
        <v>Maixiu Zhen (Huángnán Zàngzú Zìzhìzhōu)</v>
      </c>
      <c r="P214" s="13" t="str">
        <f t="shared" si="15"/>
        <v>Maixiu Zhen (Huángnán Zàngzú Zìzhìzhōu)</v>
      </c>
    </row>
    <row r="215" spans="1:16" hidden="1" x14ac:dyDescent="0.25">
      <c r="A215" t="s">
        <v>53</v>
      </c>
      <c r="B215" t="str">
        <f t="shared" si="12"/>
        <v>Măkĕhé Xiāng</v>
      </c>
      <c r="C215" t="str">
        <f t="shared" si="13"/>
        <v>Măkĕhé Xiāng</v>
      </c>
      <c r="D215" t="s">
        <v>54</v>
      </c>
      <c r="E215" t="s">
        <v>7</v>
      </c>
      <c r="F215" t="str">
        <f>_xlfn.CONCAT(D215,", ",H215,", ",I215,", ","青海省")</f>
        <v>马可河乡, 班玛县, 果洛藏族自治州, 青海省</v>
      </c>
      <c r="G215">
        <v>1685</v>
      </c>
      <c r="H215" t="s">
        <v>873</v>
      </c>
      <c r="I215" t="s">
        <v>871</v>
      </c>
      <c r="J215" t="e">
        <f>VLOOKUP(F215,[1]!china_towns_second__2[[Column1]:[Y]],3,FALSE)</f>
        <v>#N/A</v>
      </c>
      <c r="K215" t="e">
        <f>VLOOKUP(F215,[1]!china_towns_second__2[[Column1]:[Y]],2,FALSE)</f>
        <v>#N/A</v>
      </c>
      <c r="L215" t="s">
        <v>1326</v>
      </c>
      <c r="M215" t="str">
        <f>VLOOKUP(H215,CHOOSE({1,2},Table9[Native],Table9[Name]),2,0)</f>
        <v>Bānmă Xiàn</v>
      </c>
      <c r="N215" s="13" t="str">
        <f>VLOOKUP(I215,CHOOSE({1,2},Table9[Native],Table9[Name]),2,0)</f>
        <v>Guŏluò Zàngzú Zìzhìzhōu</v>
      </c>
      <c r="O215" s="13" t="str">
        <f t="shared" si="14"/>
        <v>Makehe Xiang (Guŏluò Zàngzú Zìzhìzhōu)</v>
      </c>
      <c r="P215" s="13" t="str">
        <f t="shared" si="15"/>
        <v>Makehe Xiang (Guŏluò Zàngzú Zìzhìzhōu)</v>
      </c>
    </row>
    <row r="216" spans="1:16" x14ac:dyDescent="0.25">
      <c r="A216" t="s">
        <v>599</v>
      </c>
      <c r="B216" t="str">
        <f t="shared" si="12"/>
        <v>Măkètáng Zhèn</v>
      </c>
      <c r="C216" t="str">
        <f t="shared" si="13"/>
        <v>Măkètáng Zhèn</v>
      </c>
      <c r="D216" t="s">
        <v>600</v>
      </c>
      <c r="E216" t="s">
        <v>19</v>
      </c>
      <c r="F216" t="str">
        <f>_xlfn.CONCAT(D216,", ",H216,", ",I216,", ","青海省")</f>
        <v>马克堂镇, 尖扎县, 黄南藏族自治州, 青海省</v>
      </c>
      <c r="G216">
        <v>19226</v>
      </c>
      <c r="H216" t="s">
        <v>919</v>
      </c>
      <c r="I216" t="s">
        <v>917</v>
      </c>
      <c r="J216">
        <f>VLOOKUP(F216,[1]!china_towns_second__2[[Column1]:[Y]],3,FALSE)</f>
        <v>35.936792859736698</v>
      </c>
      <c r="K216">
        <f>VLOOKUP(F216,[1]!china_towns_second__2[[Column1]:[Y]],2,FALSE)</f>
        <v>101.9764131</v>
      </c>
      <c r="L216" t="s">
        <v>1327</v>
      </c>
      <c r="M216" t="str">
        <f>VLOOKUP(H216,CHOOSE({1,2},Table9[Native],Table9[Name]),2,0)</f>
        <v>Jiānzhā Xiàn</v>
      </c>
      <c r="N216" s="13" t="str">
        <f>VLOOKUP(I216,CHOOSE({1,2},Table9[Native],Table9[Name]),2,0)</f>
        <v>Huángnán Zàngzú Zìzhìzhōu</v>
      </c>
      <c r="O216" s="13" t="str">
        <f t="shared" si="14"/>
        <v>Maketang Zhen (Huángnán Zàngzú Zìzhìzhōu)</v>
      </c>
      <c r="P216" s="13" t="str">
        <f t="shared" si="15"/>
        <v>Maketang Zhen (Huángnán Zàngzú Zìzhìzhōu)</v>
      </c>
    </row>
    <row r="217" spans="1:16" hidden="1" x14ac:dyDescent="0.25">
      <c r="A217" t="s">
        <v>129</v>
      </c>
      <c r="B217" t="str">
        <f t="shared" si="12"/>
        <v>Málián Xiāng</v>
      </c>
      <c r="C217" t="str">
        <f t="shared" si="13"/>
        <v>Málián Xiāng</v>
      </c>
      <c r="D217" t="s">
        <v>130</v>
      </c>
      <c r="E217" t="s">
        <v>7</v>
      </c>
      <c r="F217" t="str">
        <f>_xlfn.CONCAT(D217,", ",H217,", ",I217,", ","青海省")</f>
        <v>麻莲乡, 门源回族自治县, 海北藏族自治州, 青海省</v>
      </c>
      <c r="G217">
        <v>6050</v>
      </c>
      <c r="H217" t="s">
        <v>884</v>
      </c>
      <c r="I217" t="s">
        <v>880</v>
      </c>
      <c r="J217" t="e">
        <f>VLOOKUP(F217,[1]!china_towns_second__2[[Column1]:[Y]],3,FALSE)</f>
        <v>#N/A</v>
      </c>
      <c r="K217" t="e">
        <f>VLOOKUP(F217,[1]!china_towns_second__2[[Column1]:[Y]],2,FALSE)</f>
        <v>#N/A</v>
      </c>
      <c r="L217" t="s">
        <v>1328</v>
      </c>
      <c r="M217" t="str">
        <f>VLOOKUP(H217,CHOOSE({1,2},Table9[Native],Table9[Name]),2,0)</f>
        <v>Ményuán Huízú Zìzhìxiàn</v>
      </c>
      <c r="N217" s="13" t="str">
        <f>VLOOKUP(I217,CHOOSE({1,2},Table9[Native],Table9[Name]),2,0)</f>
        <v>Hăibĕi Zàngzú Zìzhìzhōu</v>
      </c>
      <c r="O217" s="13" t="str">
        <f t="shared" si="14"/>
        <v>Malian Xiang (Hăibĕi Zàngzú Zìzhìzhōu)</v>
      </c>
      <c r="P217" s="13" t="str">
        <f t="shared" si="15"/>
        <v>Malian Xiang (Hăibĕi Zàngzú Zìzhìzhōu)</v>
      </c>
    </row>
    <row r="218" spans="1:16" hidden="1" x14ac:dyDescent="0.25">
      <c r="A218" t="s">
        <v>417</v>
      </c>
      <c r="B218" t="str">
        <f t="shared" si="12"/>
        <v>Mánglā Xiāng</v>
      </c>
      <c r="C218" t="str">
        <f t="shared" si="13"/>
        <v>Mánglā Xiāng</v>
      </c>
      <c r="D218" t="s">
        <v>418</v>
      </c>
      <c r="E218" t="s">
        <v>7</v>
      </c>
      <c r="F218" t="str">
        <f>_xlfn.CONCAT(D218,", ",H218,", ",I218,", ","青海省")</f>
        <v>茫拉乡, 贵南县, 海南藏族自治州, 青海省</v>
      </c>
      <c r="G218">
        <v>6708</v>
      </c>
      <c r="H218" t="s">
        <v>900</v>
      </c>
      <c r="I218" t="s">
        <v>897</v>
      </c>
      <c r="J218" t="e">
        <f>VLOOKUP(F218,[1]!china_towns_second__2[[Column1]:[Y]],3,FALSE)</f>
        <v>#N/A</v>
      </c>
      <c r="K218" t="e">
        <f>VLOOKUP(F218,[1]!china_towns_second__2[[Column1]:[Y]],2,FALSE)</f>
        <v>#N/A</v>
      </c>
      <c r="L218" t="s">
        <v>1329</v>
      </c>
      <c r="M218" t="str">
        <f>VLOOKUP(H218,CHOOSE({1,2},Table9[Native],Table9[Name]),2,0)</f>
        <v>Guìnán Xiàn</v>
      </c>
      <c r="N218" s="13" t="str">
        <f>VLOOKUP(I218,CHOOSE({1,2},Table9[Native],Table9[Name]),2,0)</f>
        <v>Hăinán Zàngzú Zìzhìzhōu</v>
      </c>
      <c r="O218" s="13" t="str">
        <f t="shared" si="14"/>
        <v>Mangla Xiang (Hăinán Zàngzú Zìzhìzhōu)</v>
      </c>
      <c r="P218" s="13" t="str">
        <f t="shared" si="15"/>
        <v>Mangla Xiang (Hăinán Zàngzú Zìzhìzhōu)</v>
      </c>
    </row>
    <row r="219" spans="1:16" x14ac:dyDescent="0.25">
      <c r="A219" t="s">
        <v>419</v>
      </c>
      <c r="B219" t="str">
        <f t="shared" si="12"/>
        <v>Mángqŭ Zhèn</v>
      </c>
      <c r="C219" t="str">
        <f t="shared" si="13"/>
        <v>Mángqŭ Zhèn</v>
      </c>
      <c r="D219" t="s">
        <v>420</v>
      </c>
      <c r="E219" t="s">
        <v>19</v>
      </c>
      <c r="F219" t="str">
        <f>_xlfn.CONCAT(D219,", ",H219,", ",I219,", ","青海省")</f>
        <v>茫曲镇, 贵南县, 海南藏族自治州, 青海省</v>
      </c>
      <c r="G219">
        <v>15609</v>
      </c>
      <c r="H219" t="s">
        <v>900</v>
      </c>
      <c r="I219" t="s">
        <v>897</v>
      </c>
      <c r="J219">
        <f>VLOOKUP(F219,[1]!china_towns_second__2[[Column1]:[Y]],3,FALSE)</f>
        <v>35.569667214743902</v>
      </c>
      <c r="K219">
        <f>VLOOKUP(F219,[1]!china_towns_second__2[[Column1]:[Y]],2,FALSE)</f>
        <v>100.71961210000001</v>
      </c>
      <c r="L219" t="s">
        <v>1330</v>
      </c>
      <c r="M219" t="str">
        <f>VLOOKUP(H219,CHOOSE({1,2},Table9[Native],Table9[Name]),2,0)</f>
        <v>Guìnán Xiàn</v>
      </c>
      <c r="N219" s="13" t="str">
        <f>VLOOKUP(I219,CHOOSE({1,2},Table9[Native],Table9[Name]),2,0)</f>
        <v>Hăinán Zàngzú Zìzhìzhōu</v>
      </c>
      <c r="O219" s="13" t="str">
        <f t="shared" si="14"/>
        <v>Mangqu Zhen (Hăinán Zàngzú Zìzhìzhōu)</v>
      </c>
      <c r="P219" s="13" t="str">
        <f t="shared" si="15"/>
        <v>Mangqu Zhen (Hăinán Zàngzú Zìzhìzhōu)</v>
      </c>
    </row>
    <row r="220" spans="1:16" x14ac:dyDescent="0.25">
      <c r="A220" t="s">
        <v>517</v>
      </c>
      <c r="B220" t="str">
        <f t="shared" si="12"/>
        <v>Mángyá Zhèn</v>
      </c>
      <c r="C220" t="str">
        <f t="shared" si="13"/>
        <v>Mángyá Zhèn</v>
      </c>
      <c r="D220" t="s">
        <v>518</v>
      </c>
      <c r="E220" t="s">
        <v>19</v>
      </c>
      <c r="F220" t="str">
        <f>_xlfn.CONCAT(D220,", ",H220,", ",I220,", ","青海省")</f>
        <v>茫崖镇, 茫崖市, 海西蒙古族藏族自治州, 青海省</v>
      </c>
      <c r="G220">
        <v>3192</v>
      </c>
      <c r="H220" t="s">
        <v>913</v>
      </c>
      <c r="I220" t="s">
        <v>905</v>
      </c>
      <c r="J220">
        <f>VLOOKUP(F220,[1]!china_towns_second__2[[Column1]:[Y]],3,FALSE)</f>
        <v>38.383236389816403</v>
      </c>
      <c r="K220">
        <f>VLOOKUP(F220,[1]!china_towns_second__2[[Column1]:[Y]],2,FALSE)</f>
        <v>90.2762113</v>
      </c>
      <c r="L220" t="s">
        <v>1331</v>
      </c>
      <c r="M220" t="str">
        <f>VLOOKUP(H220,CHOOSE({1,2},Table9[Native],Table9[Name]),2,0)</f>
        <v>Mángyá Shì</v>
      </c>
      <c r="N220" s="13" t="str">
        <f>VLOOKUP(I220,CHOOSE({1,2},Table9[Native],Table9[Name]),2,0)</f>
        <v>Hăixī Mĕnggŭzú Zàngzú Zìzhìzhōu</v>
      </c>
      <c r="O220" s="13" t="str">
        <f t="shared" si="14"/>
        <v>Mangya Zhen (Hăixī Mĕnggŭzú Zàngzú Zìzhìzhōu)</v>
      </c>
      <c r="P220" s="13" t="str">
        <f t="shared" si="15"/>
        <v>Mangya Zhen (Hăixī Mĕnggŭzú Zàngzú Zìzhìzhōu)</v>
      </c>
    </row>
    <row r="221" spans="1:16" x14ac:dyDescent="0.25">
      <c r="A221" t="s">
        <v>286</v>
      </c>
      <c r="B221" t="str">
        <f t="shared" si="12"/>
        <v>Mănpíng Zhèn</v>
      </c>
      <c r="C221" t="str">
        <f t="shared" si="13"/>
        <v>Mănpíng Zhèn</v>
      </c>
      <c r="D221" t="s">
        <v>287</v>
      </c>
      <c r="E221" t="s">
        <v>19</v>
      </c>
      <c r="F221" t="str">
        <f>_xlfn.CONCAT(D221,", ",H221,", ",I221,", ","青海省")</f>
        <v>满坪镇, 民和回族土族自治县, 海东市, 青海省</v>
      </c>
      <c r="G221">
        <v>14362</v>
      </c>
      <c r="H221" t="s">
        <v>893</v>
      </c>
      <c r="I221" t="s">
        <v>888</v>
      </c>
      <c r="J221">
        <f>VLOOKUP(F221,[1]!china_towns_second__2[[Column1]:[Y]],3,FALSE)</f>
        <v>36.024870176657402</v>
      </c>
      <c r="K221">
        <f>VLOOKUP(F221,[1]!china_towns_second__2[[Column1]:[Y]],2,FALSE)</f>
        <v>102.7386104</v>
      </c>
      <c r="L221" t="s">
        <v>1332</v>
      </c>
      <c r="M221" t="str">
        <f>VLOOKUP(H221,CHOOSE({1,2},Table9[Native],Table9[Name]),2,0)</f>
        <v>Mínhé Huízú Tŭzú Zìzhìxiàn</v>
      </c>
      <c r="N221" s="13" t="str">
        <f>VLOOKUP(I221,CHOOSE({1,2},Table9[Native],Table9[Name]),2,0)</f>
        <v>Hăidōng Shì</v>
      </c>
      <c r="O221" s="13" t="str">
        <f t="shared" si="14"/>
        <v>Manping Zhen (Hăidōng Shì)</v>
      </c>
      <c r="P221" s="13" t="str">
        <f t="shared" si="15"/>
        <v>Manping Zhen (Hăidōng Shì)</v>
      </c>
    </row>
    <row r="222" spans="1:16" hidden="1" x14ac:dyDescent="0.25">
      <c r="A222" t="s">
        <v>55</v>
      </c>
      <c r="B222" t="str">
        <f t="shared" si="12"/>
        <v>Mănzhăng Xiāng</v>
      </c>
      <c r="C222" t="str">
        <f t="shared" si="13"/>
        <v>Mănzhăng Xiāng</v>
      </c>
      <c r="D222" t="s">
        <v>56</v>
      </c>
      <c r="E222" t="s">
        <v>7</v>
      </c>
      <c r="F222" t="str">
        <f>_xlfn.CONCAT(D222,", ",H222,", ",I222,", ","青海省")</f>
        <v>满掌乡, 达日县, 果洛藏族自治州, 青海省</v>
      </c>
      <c r="G222">
        <v>2655</v>
      </c>
      <c r="H222" t="s">
        <v>874</v>
      </c>
      <c r="I222" t="s">
        <v>871</v>
      </c>
      <c r="J222" t="e">
        <f>VLOOKUP(F222,[1]!china_towns_second__2[[Column1]:[Y]],3,FALSE)</f>
        <v>#N/A</v>
      </c>
      <c r="K222" t="e">
        <f>VLOOKUP(F222,[1]!china_towns_second__2[[Column1]:[Y]],2,FALSE)</f>
        <v>#N/A</v>
      </c>
      <c r="L222" t="s">
        <v>1333</v>
      </c>
      <c r="M222" t="str">
        <f>VLOOKUP(H222,CHOOSE({1,2},Table9[Native],Table9[Name]),2,0)</f>
        <v>Dárì Xiàn</v>
      </c>
      <c r="N222" s="13" t="str">
        <f>VLOOKUP(I222,CHOOSE({1,2},Table9[Native],Table9[Name]),2,0)</f>
        <v>Guŏluò Zàngzú Zìzhìzhōu</v>
      </c>
      <c r="O222" s="13" t="str">
        <f t="shared" si="14"/>
        <v>Manzhang Xiang (Guŏluò Zàngzú Zìzhìzhōu)</v>
      </c>
      <c r="P222" s="13" t="str">
        <f t="shared" si="15"/>
        <v>Manzhang Xiang (Guŏluò Zàngzú Zìzhìzhōu)</v>
      </c>
    </row>
    <row r="223" spans="1:16" hidden="1" x14ac:dyDescent="0.25">
      <c r="A223" t="s">
        <v>824</v>
      </c>
      <c r="B223" t="str">
        <f t="shared" si="12"/>
        <v>Máozhuāng Xiāng</v>
      </c>
      <c r="C223" t="str">
        <f t="shared" si="13"/>
        <v>Máozhuāng Xiāng</v>
      </c>
      <c r="D223" t="s">
        <v>825</v>
      </c>
      <c r="E223" t="s">
        <v>7</v>
      </c>
      <c r="F223" t="str">
        <f>_xlfn.CONCAT(D223,", ",H223,", ",I223,", ","青海省")</f>
        <v>毛庄乡, 囊谦县, 玉树藏族自治州, 青海省</v>
      </c>
      <c r="G223">
        <v>5763</v>
      </c>
      <c r="H223" t="s">
        <v>934</v>
      </c>
      <c r="I223" t="s">
        <v>932</v>
      </c>
      <c r="J223" t="e">
        <f>VLOOKUP(F223,[1]!china_towns_second__2[[Column1]:[Y]],3,FALSE)</f>
        <v>#N/A</v>
      </c>
      <c r="K223" t="e">
        <f>VLOOKUP(F223,[1]!china_towns_second__2[[Column1]:[Y]],2,FALSE)</f>
        <v>#N/A</v>
      </c>
      <c r="L223" t="s">
        <v>1334</v>
      </c>
      <c r="M223" t="str">
        <f>VLOOKUP(H223,CHOOSE({1,2},Table9[Native],Table9[Name]),2,0)</f>
        <v>Nángqiān Xiàn</v>
      </c>
      <c r="N223" s="13" t="str">
        <f>VLOOKUP(I223,CHOOSE({1,2},Table9[Native],Table9[Name]),2,0)</f>
        <v>Yùshù Zàngzú Zìzhìzhōu</v>
      </c>
      <c r="O223" s="13" t="str">
        <f t="shared" si="14"/>
        <v>Maozhuang Xiang (Yùshù Zàngzú Zìzhìzhōu)</v>
      </c>
      <c r="P223" s="13" t="str">
        <f t="shared" si="15"/>
        <v>Maozhuang Xiang (Yùshù Zàngzú Zìzhìzhōu)</v>
      </c>
    </row>
    <row r="224" spans="1:16" hidden="1" x14ac:dyDescent="0.25">
      <c r="A224" t="s">
        <v>288</v>
      </c>
      <c r="B224" t="str">
        <f t="shared" si="12"/>
        <v>Măyíng Xiāng</v>
      </c>
      <c r="C224" t="str">
        <f t="shared" si="13"/>
        <v>Măyíng Xiāng</v>
      </c>
      <c r="D224" t="s">
        <v>289</v>
      </c>
      <c r="E224" t="s">
        <v>7</v>
      </c>
      <c r="F224" t="str">
        <f>_xlfn.CONCAT(D224,", ",H224,", ",I224,", ","青海省")</f>
        <v>马营乡, 乐都区, 海东市, 青海省</v>
      </c>
      <c r="G224">
        <v>10189</v>
      </c>
      <c r="H224" t="s">
        <v>892</v>
      </c>
      <c r="I224" t="s">
        <v>888</v>
      </c>
      <c r="J224" t="e">
        <f>VLOOKUP(F224,[1]!china_towns_second__2[[Column1]:[Y]],3,FALSE)</f>
        <v>#N/A</v>
      </c>
      <c r="K224" t="e">
        <f>VLOOKUP(F224,[1]!china_towns_second__2[[Column1]:[Y]],2,FALSE)</f>
        <v>#N/A</v>
      </c>
      <c r="L224" t="s">
        <v>1335</v>
      </c>
      <c r="M224" t="str">
        <f>VLOOKUP(H224,CHOOSE({1,2},Table9[Native],Table9[Name]),2,0)</f>
        <v>Lèdū Qū</v>
      </c>
      <c r="N224" s="13" t="str">
        <f>VLOOKUP(I224,CHOOSE({1,2},Table9[Native],Table9[Name]),2,0)</f>
        <v>Hăidōng Shì</v>
      </c>
      <c r="O224" s="13" t="str">
        <f t="shared" si="14"/>
        <v>Maying Xiang (Hăidōng Shì)</v>
      </c>
      <c r="P224" s="13" t="str">
        <f t="shared" si="15"/>
        <v>Maying Xiang (Hăidōng Shì)</v>
      </c>
    </row>
    <row r="225" spans="1:16" x14ac:dyDescent="0.25">
      <c r="A225" t="s">
        <v>290</v>
      </c>
      <c r="B225" t="str">
        <f t="shared" si="12"/>
        <v>Măyíng Zhèn</v>
      </c>
      <c r="C225" t="str">
        <f t="shared" si="13"/>
        <v>Măyíng Zhèn</v>
      </c>
      <c r="D225" t="s">
        <v>291</v>
      </c>
      <c r="E225" t="s">
        <v>19</v>
      </c>
      <c r="F225" t="str">
        <f>_xlfn.CONCAT(D225,", ",H225,", ",I225,", ","青海省")</f>
        <v>马营镇, 民和回族土族自治县, 海东市, 青海省</v>
      </c>
      <c r="G225">
        <v>22415</v>
      </c>
      <c r="H225" t="s">
        <v>893</v>
      </c>
      <c r="I225" t="s">
        <v>888</v>
      </c>
      <c r="J225">
        <f>VLOOKUP(F225,[1]!china_towns_second__2[[Column1]:[Y]],3,FALSE)</f>
        <v>36.0519121637723</v>
      </c>
      <c r="K225">
        <f>VLOOKUP(F225,[1]!china_towns_second__2[[Column1]:[Y]],2,FALSE)</f>
        <v>102.8229261</v>
      </c>
      <c r="L225" t="s">
        <v>1336</v>
      </c>
      <c r="M225" t="str">
        <f>VLOOKUP(H225,CHOOSE({1,2},Table9[Native],Table9[Name]),2,0)</f>
        <v>Mínhé Huízú Tŭzú Zìzhìxiàn</v>
      </c>
      <c r="N225" s="13" t="str">
        <f>VLOOKUP(I225,CHOOSE({1,2},Table9[Native],Table9[Name]),2,0)</f>
        <v>Hăidōng Shì</v>
      </c>
      <c r="O225" s="13" t="str">
        <f t="shared" si="14"/>
        <v>Maying Zhen (Hăidōng Shì)</v>
      </c>
      <c r="P225" s="13" t="str">
        <f t="shared" si="15"/>
        <v>Maying Zhen (Hăidōng Shì)</v>
      </c>
    </row>
    <row r="226" spans="1:16" hidden="1" x14ac:dyDescent="0.25">
      <c r="A226" t="s">
        <v>57</v>
      </c>
      <c r="B226" t="str">
        <f t="shared" si="12"/>
        <v>Méntáng Xiāng</v>
      </c>
      <c r="C226" t="str">
        <f t="shared" si="13"/>
        <v>Méntáng Xiāng</v>
      </c>
      <c r="D226" t="s">
        <v>58</v>
      </c>
      <c r="E226" t="s">
        <v>7</v>
      </c>
      <c r="F226" t="str">
        <f>_xlfn.CONCAT(D226,", ",H226,", ",I226,", ","青海省")</f>
        <v>门堂乡, 久治县, 果洛藏族自治州, 青海省</v>
      </c>
      <c r="G226">
        <v>2680</v>
      </c>
      <c r="H226" t="s">
        <v>876</v>
      </c>
      <c r="I226" t="s">
        <v>871</v>
      </c>
      <c r="J226" t="e">
        <f>VLOOKUP(F226,[1]!china_towns_second__2[[Column1]:[Y]],3,FALSE)</f>
        <v>#N/A</v>
      </c>
      <c r="K226" t="e">
        <f>VLOOKUP(F226,[1]!china_towns_second__2[[Column1]:[Y]],2,FALSE)</f>
        <v>#N/A</v>
      </c>
      <c r="L226" t="s">
        <v>1337</v>
      </c>
      <c r="M226" t="str">
        <f>VLOOKUP(H226,CHOOSE({1,2},Table9[Native],Table9[Name]),2,0)</f>
        <v>Jiŭzhì Xiàn</v>
      </c>
      <c r="N226" s="13" t="str">
        <f>VLOOKUP(I226,CHOOSE({1,2},Table9[Native],Table9[Name]),2,0)</f>
        <v>Guŏluò Zàngzú Zìzhìzhōu</v>
      </c>
      <c r="O226" s="13" t="str">
        <f t="shared" si="14"/>
        <v>Mentang Xiang (Guŏluò Zàngzú Zìzhìzhōu)</v>
      </c>
      <c r="P226" s="13" t="str">
        <f t="shared" si="15"/>
        <v>Mentang Xiang (Guŏluò Zàngzú Zìzhìzhōu)</v>
      </c>
    </row>
    <row r="227" spans="1:16" hidden="1" x14ac:dyDescent="0.25">
      <c r="A227" t="s">
        <v>131</v>
      </c>
      <c r="B227" t="str">
        <f t="shared" si="12"/>
        <v>Ményuán Jiānyù</v>
      </c>
      <c r="C227" t="str">
        <f t="shared" si="13"/>
        <v>Ményuán Jiānyù</v>
      </c>
      <c r="D227" t="s">
        <v>132</v>
      </c>
      <c r="E227" t="s">
        <v>133</v>
      </c>
      <c r="F227" t="str">
        <f>_xlfn.CONCAT(D227,", ",H227,", ",I227,", ","青海省")</f>
        <v>门源监狱, 门源回族自治县, 海北藏族自治州, 青海省</v>
      </c>
      <c r="G227">
        <v>1633</v>
      </c>
      <c r="H227" t="s">
        <v>884</v>
      </c>
      <c r="I227" t="s">
        <v>880</v>
      </c>
      <c r="J227">
        <f>VLOOKUP(F227,[1]!china_towns_second__2[[Column1]:[Y]],3,FALSE)</f>
        <v>37.475324550971202</v>
      </c>
      <c r="K227">
        <f>VLOOKUP(F227,[1]!china_towns_second__2[[Column1]:[Y]],2,FALSE)</f>
        <v>101.5167187</v>
      </c>
      <c r="L227" t="s">
        <v>1338</v>
      </c>
      <c r="M227" t="str">
        <f>VLOOKUP(H227,CHOOSE({1,2},Table9[Native],Table9[Name]),2,0)</f>
        <v>Ményuán Huízú Zìzhìxiàn</v>
      </c>
      <c r="N227" s="13" t="str">
        <f>VLOOKUP(I227,CHOOSE({1,2},Table9[Native],Table9[Name]),2,0)</f>
        <v>Hăibĕi Zàngzú Zìzhìzhōu</v>
      </c>
      <c r="O227" s="13" t="str">
        <f t="shared" si="14"/>
        <v>Menyuan Jianyu (Hăibĕi Zàngzú Zìzhìzhōu)</v>
      </c>
      <c r="P227" s="13" t="str">
        <f t="shared" si="15"/>
        <v>Menyuan Jianyu (Hăibĕi Zàngzú Zìzhìzhōu)</v>
      </c>
    </row>
    <row r="228" spans="1:16" hidden="1" x14ac:dyDescent="0.25">
      <c r="A228" t="s">
        <v>134</v>
      </c>
      <c r="B228" t="str">
        <f t="shared" si="12"/>
        <v>Ményuánzhŏng Măchăng</v>
      </c>
      <c r="C228" t="str">
        <f t="shared" si="13"/>
        <v>Ményuánzhŏng Măchăng</v>
      </c>
      <c r="D228" t="s">
        <v>135</v>
      </c>
      <c r="E228" t="s">
        <v>133</v>
      </c>
      <c r="F228" t="str">
        <f>_xlfn.CONCAT(D228,", ",H228,", ",I228,", ","青海省")</f>
        <v>门源种马场, 门源回族自治县, 海北藏族自治州, 青海省</v>
      </c>
      <c r="G228">
        <v>1701</v>
      </c>
      <c r="H228" t="s">
        <v>884</v>
      </c>
      <c r="I228" t="s">
        <v>880</v>
      </c>
      <c r="J228">
        <f>VLOOKUP(F228,[1]!china_towns_second__2[[Column1]:[Y]],3,FALSE)</f>
        <v>37.607108796465702</v>
      </c>
      <c r="K228">
        <f>VLOOKUP(F228,[1]!china_towns_second__2[[Column1]:[Y]],2,FALSE)</f>
        <v>101.3250621</v>
      </c>
      <c r="L228" t="s">
        <v>1339</v>
      </c>
      <c r="M228" t="str">
        <f>VLOOKUP(H228,CHOOSE({1,2},Table9[Native],Table9[Name]),2,0)</f>
        <v>Ményuán Huízú Zìzhìxiàn</v>
      </c>
      <c r="N228" s="13" t="str">
        <f>VLOOKUP(I228,CHOOSE({1,2},Table9[Native],Table9[Name]),2,0)</f>
        <v>Hăibĕi Zàngzú Zìzhìzhōu</v>
      </c>
      <c r="O228" s="13" t="str">
        <f t="shared" si="14"/>
        <v>Menyuanzhong Machang (Hăibĕi Zàngzú Zìzhìzhōu)</v>
      </c>
      <c r="P228" s="13" t="str">
        <f t="shared" si="15"/>
        <v>Menyuanzhong Machang (Hăibĕi Zàngzú Zìzhìzhōu)</v>
      </c>
    </row>
    <row r="229" spans="1:16" hidden="1" x14ac:dyDescent="0.25">
      <c r="A229" t="s">
        <v>59</v>
      </c>
      <c r="B229" t="str">
        <f t="shared" si="12"/>
        <v>Mòbà Xiāng</v>
      </c>
      <c r="C229" t="str">
        <f t="shared" si="13"/>
        <v>Mòbà Xiāng</v>
      </c>
      <c r="D229" t="s">
        <v>60</v>
      </c>
      <c r="E229" t="s">
        <v>7</v>
      </c>
      <c r="F229" t="str">
        <f>_xlfn.CONCAT(D229,", ",H229,", ",I229,", ","青海省")</f>
        <v>莫坝乡, 达日县, 果洛藏族自治州, 青海省</v>
      </c>
      <c r="G229">
        <v>2151</v>
      </c>
      <c r="H229" t="s">
        <v>874</v>
      </c>
      <c r="I229" t="s">
        <v>871</v>
      </c>
      <c r="J229" t="e">
        <f>VLOOKUP(F229,[1]!china_towns_second__2[[Column1]:[Y]],3,FALSE)</f>
        <v>#N/A</v>
      </c>
      <c r="K229" t="e">
        <f>VLOOKUP(F229,[1]!china_towns_second__2[[Column1]:[Y]],2,FALSE)</f>
        <v>#N/A</v>
      </c>
      <c r="L229" t="s">
        <v>1340</v>
      </c>
      <c r="M229" t="str">
        <f>VLOOKUP(H229,CHOOSE({1,2},Table9[Native],Table9[Name]),2,0)</f>
        <v>Dárì Xiàn</v>
      </c>
      <c r="N229" s="13" t="str">
        <f>VLOOKUP(I229,CHOOSE({1,2},Table9[Native],Table9[Name]),2,0)</f>
        <v>Guŏluò Zàngzú Zìzhìzhōu</v>
      </c>
      <c r="O229" s="13" t="str">
        <f t="shared" si="14"/>
        <v>Moba Xiang (Guŏluò Zàngzú Zìzhìzhōu)</v>
      </c>
      <c r="P229" s="13" t="str">
        <f t="shared" si="15"/>
        <v>Moba Xiang (Guŏluò Zàngzú Zìzhìzhōu)</v>
      </c>
    </row>
    <row r="230" spans="1:16" x14ac:dyDescent="0.25">
      <c r="A230" t="s">
        <v>136</v>
      </c>
      <c r="B230" t="str">
        <f t="shared" si="12"/>
        <v>Mòlè Zhèn</v>
      </c>
      <c r="C230" t="str">
        <f t="shared" si="13"/>
        <v>Mòlè Zhèn</v>
      </c>
      <c r="D230" t="s">
        <v>137</v>
      </c>
      <c r="E230" t="s">
        <v>19</v>
      </c>
      <c r="F230" t="str">
        <f>_xlfn.CONCAT(D230,", ",H230,", ",I230,", ","青海省")</f>
        <v>默勒镇, 祁连县, 海北藏族自治州, 青海省</v>
      </c>
      <c r="G230">
        <v>6843</v>
      </c>
      <c r="H230" t="s">
        <v>885</v>
      </c>
      <c r="I230" t="s">
        <v>880</v>
      </c>
      <c r="J230">
        <f>VLOOKUP(F230,[1]!china_towns_second__2[[Column1]:[Y]],3,FALSE)</f>
        <v>37.802526454759303</v>
      </c>
      <c r="K230">
        <f>VLOOKUP(F230,[1]!china_towns_second__2[[Column1]:[Y]],2,FALSE)</f>
        <v>100.5475677</v>
      </c>
      <c r="L230" t="s">
        <v>1341</v>
      </c>
      <c r="M230" t="str">
        <f>VLOOKUP(H230,CHOOSE({1,2},Table9[Native],Table9[Name]),2,0)</f>
        <v>Qílián Xiàn</v>
      </c>
      <c r="N230" s="13" t="str">
        <f>VLOOKUP(I230,CHOOSE({1,2},Table9[Native],Table9[Name]),2,0)</f>
        <v>Hăibĕi Zàngzú Zìzhìzhōu</v>
      </c>
      <c r="O230" s="13" t="str">
        <f t="shared" si="14"/>
        <v>Mole Zhen (Hăibĕi Zàngzú Zìzhìzhōu)</v>
      </c>
      <c r="P230" s="13" t="str">
        <f t="shared" si="15"/>
        <v>Mole Zhen (Hăibĕi Zàngzú Zìzhìzhōu)</v>
      </c>
    </row>
    <row r="231" spans="1:16" hidden="1" x14ac:dyDescent="0.25">
      <c r="A231" t="s">
        <v>826</v>
      </c>
      <c r="B231" t="str">
        <f t="shared" si="12"/>
        <v>Mòyún Xiāng</v>
      </c>
      <c r="C231" t="str">
        <f t="shared" si="13"/>
        <v>Mòyún Xiāng</v>
      </c>
      <c r="D231" t="s">
        <v>827</v>
      </c>
      <c r="E231" t="s">
        <v>7</v>
      </c>
      <c r="F231" t="str">
        <f>_xlfn.CONCAT(D231,", ",H231,", ",I231,", ","青海省")</f>
        <v>莫云乡, 杂多县, 玉树藏族自治州, 青海省</v>
      </c>
      <c r="G231">
        <v>3736</v>
      </c>
      <c r="H231" t="s">
        <v>937</v>
      </c>
      <c r="I231" t="s">
        <v>932</v>
      </c>
      <c r="J231" t="e">
        <f>VLOOKUP(F231,[1]!china_towns_second__2[[Column1]:[Y]],3,FALSE)</f>
        <v>#N/A</v>
      </c>
      <c r="K231" t="e">
        <f>VLOOKUP(F231,[1]!china_towns_second__2[[Column1]:[Y]],2,FALSE)</f>
        <v>#N/A</v>
      </c>
      <c r="L231" t="s">
        <v>1342</v>
      </c>
      <c r="M231" t="str">
        <f>VLOOKUP(H231,CHOOSE({1,2},Table9[Native],Table9[Name]),2,0)</f>
        <v>Záduō Xiàn</v>
      </c>
      <c r="N231" s="13" t="str">
        <f>VLOOKUP(I231,CHOOSE({1,2},Table9[Native],Table9[Name]),2,0)</f>
        <v>Yùshù Zàngzú Zìzhìzhōu</v>
      </c>
      <c r="O231" s="13" t="str">
        <f t="shared" si="14"/>
        <v>Moyun Xiang (Yùshù Zàngzú Zìzhìzhōu)</v>
      </c>
      <c r="P231" s="13" t="str">
        <f t="shared" si="15"/>
        <v>Moyun Xiang (Yùshù Zàngzú Zìzhìzhōu)</v>
      </c>
    </row>
    <row r="232" spans="1:16" x14ac:dyDescent="0.25">
      <c r="A232" t="s">
        <v>519</v>
      </c>
      <c r="B232" t="str">
        <f t="shared" si="12"/>
        <v>Mùlĭ Zhèn</v>
      </c>
      <c r="C232" t="str">
        <f t="shared" si="13"/>
        <v>Mùlĭ Zhèn</v>
      </c>
      <c r="D232" t="s">
        <v>520</v>
      </c>
      <c r="E232" t="s">
        <v>19</v>
      </c>
      <c r="F232" t="str">
        <f>_xlfn.CONCAT(D232,", ",H232,", ",I232,", ","青海省")</f>
        <v>木里镇, 天峻县, 海西蒙古族藏族自治州, 青海省</v>
      </c>
      <c r="G232">
        <v>6329</v>
      </c>
      <c r="H232" t="s">
        <v>914</v>
      </c>
      <c r="I232" t="s">
        <v>905</v>
      </c>
      <c r="J232">
        <f>VLOOKUP(F232,[1]!china_towns_second__2[[Column1]:[Y]],3,FALSE)</f>
        <v>38.132133729979401</v>
      </c>
      <c r="K232">
        <f>VLOOKUP(F232,[1]!china_towns_second__2[[Column1]:[Y]],2,FALSE)</f>
        <v>99.230377570000002</v>
      </c>
      <c r="L232" t="s">
        <v>1343</v>
      </c>
      <c r="M232" t="str">
        <f>VLOOKUP(H232,CHOOSE({1,2},Table9[Native],Table9[Name]),2,0)</f>
        <v>Tiānjùn Xiàn</v>
      </c>
      <c r="N232" s="13" t="str">
        <f>VLOOKUP(I232,CHOOSE({1,2},Table9[Native],Table9[Name]),2,0)</f>
        <v>Hăixī Mĕnggŭzú Zàngzú Zìzhìzhōu</v>
      </c>
      <c r="O232" s="13" t="str">
        <f t="shared" si="14"/>
        <v>Muli Zhen (Hăixī Mĕnggŭzú Zàngzú Zìzhìzhōu)</v>
      </c>
      <c r="P232" s="13" t="str">
        <f t="shared" si="15"/>
        <v>Muli Zhen (Hăixī Mĕnggŭzú Zàngzú Zìzhìzhōu)</v>
      </c>
    </row>
    <row r="233" spans="1:16" hidden="1" x14ac:dyDescent="0.25">
      <c r="A233" t="s">
        <v>704</v>
      </c>
      <c r="B233" t="str">
        <f t="shared" si="12"/>
        <v>Nánchuān Dōnglù Jiēdào</v>
      </c>
      <c r="C233" t="str">
        <f t="shared" si="13"/>
        <v>Nánchuān Dōnglù Jiēdào</v>
      </c>
      <c r="D233" t="s">
        <v>705</v>
      </c>
      <c r="E233" t="s">
        <v>488</v>
      </c>
      <c r="F233" t="str">
        <f>_xlfn.CONCAT(D233,", ",H233,", ",I233,", ","青海省")</f>
        <v>南川东路街道, 城中区, 西宁市, 青海省</v>
      </c>
      <c r="G233">
        <v>32175</v>
      </c>
      <c r="H233" t="s">
        <v>927</v>
      </c>
      <c r="I233" t="s">
        <v>923</v>
      </c>
      <c r="J233">
        <f>VLOOKUP(F233,[1]!china_towns_second__2[[Column1]:[Y]],3,FALSE)</f>
        <v>36.578772038020503</v>
      </c>
      <c r="K233">
        <f>VLOOKUP(F233,[1]!china_towns_second__2[[Column1]:[Y]],2,FALSE)</f>
        <v>101.761595</v>
      </c>
      <c r="L233" t="s">
        <v>1344</v>
      </c>
      <c r="M233" t="str">
        <f>VLOOKUP(H233,CHOOSE({1,2},Table9[Native],Table9[Name]),2,0)</f>
        <v>Chéngzhōng Qū</v>
      </c>
      <c r="N233" s="13" t="str">
        <f>VLOOKUP(I233,CHOOSE({1,2},Table9[Native],Table9[Name]),2,0)</f>
        <v>Xīníng Shì</v>
      </c>
      <c r="O233" s="13" t="str">
        <f t="shared" si="14"/>
        <v>Nanchuan Donglu Jiedao (Xīníng Shì)</v>
      </c>
      <c r="P233" s="13" t="str">
        <f t="shared" si="15"/>
        <v>Nanchuan Donglu Jiedao (Xīníng Shì)</v>
      </c>
    </row>
    <row r="234" spans="1:16" hidden="1" x14ac:dyDescent="0.25">
      <c r="A234" t="s">
        <v>706</v>
      </c>
      <c r="B234" t="str">
        <f t="shared" si="12"/>
        <v>Nánchuān Xīlù Jiēdào</v>
      </c>
      <c r="C234" t="str">
        <f t="shared" si="13"/>
        <v>Nánchuān Xīlù Jiēdào</v>
      </c>
      <c r="D234" t="s">
        <v>707</v>
      </c>
      <c r="E234" t="s">
        <v>488</v>
      </c>
      <c r="F234" t="str">
        <f>_xlfn.CONCAT(D234,", ",H234,", ",I234,", ","青海省")</f>
        <v>南川西路街道, 城中区, 西宁市, 青海省</v>
      </c>
      <c r="G234">
        <v>70175</v>
      </c>
      <c r="H234" t="s">
        <v>927</v>
      </c>
      <c r="I234" t="s">
        <v>923</v>
      </c>
      <c r="J234">
        <f>VLOOKUP(F234,[1]!china_towns_second__2[[Column1]:[Y]],3,FALSE)</f>
        <v>36.601905874891003</v>
      </c>
      <c r="K234">
        <f>VLOOKUP(F234,[1]!china_towns_second__2[[Column1]:[Y]],2,FALSE)</f>
        <v>101.7364924</v>
      </c>
      <c r="L234" t="s">
        <v>1345</v>
      </c>
      <c r="M234" t="str">
        <f>VLOOKUP(H234,CHOOSE({1,2},Table9[Native],Table9[Name]),2,0)</f>
        <v>Chéngzhōng Qū</v>
      </c>
      <c r="N234" s="13" t="str">
        <f>VLOOKUP(I234,CHOOSE({1,2},Table9[Native],Table9[Name]),2,0)</f>
        <v>Xīníng Shì</v>
      </c>
      <c r="O234" s="13" t="str">
        <f t="shared" si="14"/>
        <v>Nanchuan Xilu Jiedao (Xīníng Shì)</v>
      </c>
      <c r="P234" s="13" t="str">
        <f t="shared" si="15"/>
        <v>Nanchuan Xilu Jiedao (Xīníng Shì)</v>
      </c>
    </row>
    <row r="235" spans="1:16" x14ac:dyDescent="0.25">
      <c r="A235" t="s">
        <v>292</v>
      </c>
      <c r="B235" t="str">
        <f t="shared" si="12"/>
        <v>Nánménxiá Zhèn</v>
      </c>
      <c r="C235" t="str">
        <f t="shared" si="13"/>
        <v>Nánménxiá Zhèn</v>
      </c>
      <c r="D235" t="s">
        <v>293</v>
      </c>
      <c r="E235" t="s">
        <v>19</v>
      </c>
      <c r="F235" t="str">
        <f>_xlfn.CONCAT(D235,", ",H235,", ",I235,", ","青海省")</f>
        <v>南门峡镇, 互助土族自治县, 海东市, 青海省</v>
      </c>
      <c r="G235">
        <v>17280</v>
      </c>
      <c r="H235" t="s">
        <v>890</v>
      </c>
      <c r="I235" t="s">
        <v>888</v>
      </c>
      <c r="J235">
        <f>VLOOKUP(F235,[1]!china_towns_second__2[[Column1]:[Y]],3,FALSE)</f>
        <v>37.041924371499903</v>
      </c>
      <c r="K235">
        <f>VLOOKUP(F235,[1]!china_towns_second__2[[Column1]:[Y]],2,FALSE)</f>
        <v>101.92630250000001</v>
      </c>
      <c r="L235" t="s">
        <v>1346</v>
      </c>
      <c r="M235" t="str">
        <f>VLOOKUP(H235,CHOOSE({1,2},Table9[Native],Table9[Name]),2,0)</f>
        <v>Hùzhù Tŭzú Zìzhìxiàn</v>
      </c>
      <c r="N235" s="13" t="str">
        <f>VLOOKUP(I235,CHOOSE({1,2},Table9[Native],Table9[Name]),2,0)</f>
        <v>Hăidōng Shì</v>
      </c>
      <c r="O235" s="13" t="str">
        <f t="shared" si="14"/>
        <v>Nanmenxia Zhen (Hăidōng Shì)</v>
      </c>
      <c r="P235" s="13" t="str">
        <f t="shared" si="15"/>
        <v>Nanmenxia Zhen (Hăidōng Shì)</v>
      </c>
    </row>
    <row r="236" spans="1:16" hidden="1" x14ac:dyDescent="0.25">
      <c r="A236" t="s">
        <v>708</v>
      </c>
      <c r="B236" t="str">
        <f t="shared" si="12"/>
        <v>Nántān Jiēdào</v>
      </c>
      <c r="C236" t="str">
        <f t="shared" si="13"/>
        <v>Nántān Jiēdào</v>
      </c>
      <c r="D236" t="s">
        <v>709</v>
      </c>
      <c r="E236" t="s">
        <v>488</v>
      </c>
      <c r="F236" t="str">
        <f>_xlfn.CONCAT(D236,", ",H236,", ",I236,", ","青海省")</f>
        <v>南滩街道, 城中区, 西宁市, 青海省</v>
      </c>
      <c r="G236">
        <v>50569</v>
      </c>
      <c r="H236" t="s">
        <v>927</v>
      </c>
      <c r="I236" t="s">
        <v>923</v>
      </c>
      <c r="J236">
        <f>VLOOKUP(F236,[1]!china_towns_second__2[[Column1]:[Y]],3,FALSE)</f>
        <v>36.605023436204903</v>
      </c>
      <c r="K236">
        <f>VLOOKUP(F236,[1]!china_towns_second__2[[Column1]:[Y]],2,FALSE)</f>
        <v>101.7762366</v>
      </c>
      <c r="L236" t="s">
        <v>1347</v>
      </c>
      <c r="M236" t="str">
        <f>VLOOKUP(H236,CHOOSE({1,2},Table9[Native],Table9[Name]),2,0)</f>
        <v>Chéngzhōng Qū</v>
      </c>
      <c r="N236" s="13" t="str">
        <f>VLOOKUP(I236,CHOOSE({1,2},Table9[Native],Table9[Name]),2,0)</f>
        <v>Xīníng Shì</v>
      </c>
      <c r="O236" s="13" t="str">
        <f t="shared" si="14"/>
        <v>Nantan Jiedao (Xīníng Shì)</v>
      </c>
      <c r="P236" s="13" t="str">
        <f t="shared" si="15"/>
        <v>Nantan Jiedao (Xīníng Shì)</v>
      </c>
    </row>
    <row r="237" spans="1:16" hidden="1" x14ac:dyDescent="0.25">
      <c r="A237" t="s">
        <v>601</v>
      </c>
      <c r="B237" t="str">
        <f t="shared" si="12"/>
        <v>Néngkē Xiāng</v>
      </c>
      <c r="C237" t="str">
        <f t="shared" si="13"/>
        <v>Néngkē Xiāng</v>
      </c>
      <c r="D237" t="s">
        <v>602</v>
      </c>
      <c r="E237" t="s">
        <v>7</v>
      </c>
      <c r="F237" t="str">
        <f>_xlfn.CONCAT(D237,", ",H237,", ",I237,", ","青海省")</f>
        <v>能科乡, 尖扎县, 黄南藏族自治州, 青海省</v>
      </c>
      <c r="G237">
        <v>1976</v>
      </c>
      <c r="H237" t="s">
        <v>919</v>
      </c>
      <c r="I237" t="s">
        <v>917</v>
      </c>
      <c r="J237" t="e">
        <f>VLOOKUP(F237,[1]!china_towns_second__2[[Column1]:[Y]],3,FALSE)</f>
        <v>#N/A</v>
      </c>
      <c r="K237" t="e">
        <f>VLOOKUP(F237,[1]!china_towns_second__2[[Column1]:[Y]],2,FALSE)</f>
        <v>#N/A</v>
      </c>
      <c r="L237" t="s">
        <v>1348</v>
      </c>
      <c r="M237" t="str">
        <f>VLOOKUP(H237,CHOOSE({1,2},Table9[Native],Table9[Name]),2,0)</f>
        <v>Jiānzhā Xiàn</v>
      </c>
      <c r="N237" s="13" t="str">
        <f>VLOOKUP(I237,CHOOSE({1,2},Table9[Native],Table9[Name]),2,0)</f>
        <v>Huángnán Zàngzú Zìzhìzhōu</v>
      </c>
      <c r="O237" s="13" t="str">
        <f t="shared" si="14"/>
        <v>Nengke Xiang (Huángnán Zàngzú Zìzhìzhōu)</v>
      </c>
      <c r="P237" s="13" t="str">
        <f t="shared" si="15"/>
        <v>Nengke Xiang (Huángnán Zàngzú Zìzhìzhōu)</v>
      </c>
    </row>
    <row r="238" spans="1:16" x14ac:dyDescent="0.25">
      <c r="A238" t="s">
        <v>294</v>
      </c>
      <c r="B238" t="str">
        <f t="shared" si="12"/>
        <v>Niănbó Zhèn</v>
      </c>
      <c r="C238" t="str">
        <f t="shared" si="13"/>
        <v>Niănbó Zhèn</v>
      </c>
      <c r="D238" t="s">
        <v>295</v>
      </c>
      <c r="E238" t="s">
        <v>19</v>
      </c>
      <c r="F238" t="str">
        <f>_xlfn.CONCAT(D238,", ",H238,", ",I238,", ","青海省")</f>
        <v>碾伯镇, 乐都区, 海东市, 青海省</v>
      </c>
      <c r="G238">
        <v>75934</v>
      </c>
      <c r="H238" t="s">
        <v>892</v>
      </c>
      <c r="I238" t="s">
        <v>888</v>
      </c>
      <c r="J238">
        <f>VLOOKUP(F238,[1]!china_towns_second__2[[Column1]:[Y]],3,FALSE)</f>
        <v>36.467044152</v>
      </c>
      <c r="K238">
        <f>VLOOKUP(F238,[1]!china_towns_second__2[[Column1]:[Y]],2,FALSE)</f>
        <v>102.3955607</v>
      </c>
      <c r="L238" t="s">
        <v>1349</v>
      </c>
      <c r="M238" t="str">
        <f>VLOOKUP(H238,CHOOSE({1,2},Table9[Native],Table9[Name]),2,0)</f>
        <v>Lèdū Qū</v>
      </c>
      <c r="N238" s="13" t="str">
        <f>VLOOKUP(I238,CHOOSE({1,2},Table9[Native],Table9[Name]),2,0)</f>
        <v>Hăidōng Shì</v>
      </c>
      <c r="O238" s="13" t="str">
        <f t="shared" si="14"/>
        <v>Nianbo Zhen (Hăidōng Shì)</v>
      </c>
      <c r="P238" s="13" t="str">
        <f t="shared" si="15"/>
        <v>Nianbo Zhen (Hăidōng Shì)</v>
      </c>
    </row>
    <row r="239" spans="1:16" hidden="1" x14ac:dyDescent="0.25">
      <c r="A239" t="s">
        <v>421</v>
      </c>
      <c r="B239" t="str">
        <f t="shared" si="12"/>
        <v>Niàndì Xiāng</v>
      </c>
      <c r="C239" t="str">
        <f t="shared" si="13"/>
        <v>Niàndì Xiāng</v>
      </c>
      <c r="D239" t="s">
        <v>422</v>
      </c>
      <c r="E239" t="s">
        <v>7</v>
      </c>
      <c r="F239" t="str">
        <f>_xlfn.CONCAT(D239,", ",H239,", ",I239,", ","青海省")</f>
        <v>廿地乡, 共和县, 海南藏族自治州, 青海省</v>
      </c>
      <c r="G239">
        <v>4072</v>
      </c>
      <c r="H239" t="s">
        <v>898</v>
      </c>
      <c r="I239" t="s">
        <v>897</v>
      </c>
      <c r="J239" t="e">
        <f>VLOOKUP(F239,[1]!china_towns_second__2[[Column1]:[Y]],3,FALSE)</f>
        <v>#N/A</v>
      </c>
      <c r="K239" t="e">
        <f>VLOOKUP(F239,[1]!china_towns_second__2[[Column1]:[Y]],2,FALSE)</f>
        <v>#N/A</v>
      </c>
      <c r="L239" t="s">
        <v>1350</v>
      </c>
      <c r="M239" t="str">
        <f>VLOOKUP(H239,CHOOSE({1,2},Table9[Native],Table9[Name]),2,0)</f>
        <v>Gònghé Xiàn</v>
      </c>
      <c r="N239" s="13" t="str">
        <f>VLOOKUP(I239,CHOOSE({1,2},Table9[Native],Table9[Name]),2,0)</f>
        <v>Hăinán Zàngzú Zìzhìzhōu</v>
      </c>
      <c r="O239" s="13" t="str">
        <f t="shared" si="14"/>
        <v>Niandi Xiang (Hăinán Zàngzú Zìzhìzhōu)</v>
      </c>
      <c r="P239" s="13" t="str">
        <f t="shared" si="15"/>
        <v>Niandi Xiang (Hăinán Zàngzú Zìzhìzhōu)</v>
      </c>
    </row>
    <row r="240" spans="1:16" hidden="1" x14ac:dyDescent="0.25">
      <c r="A240" t="s">
        <v>603</v>
      </c>
      <c r="B240" t="str">
        <f t="shared" si="12"/>
        <v>Niándūhū Xiāng</v>
      </c>
      <c r="C240" t="str">
        <f t="shared" si="13"/>
        <v>Niándūhū Xiāng</v>
      </c>
      <c r="D240" t="s">
        <v>604</v>
      </c>
      <c r="E240" t="s">
        <v>7</v>
      </c>
      <c r="F240" t="str">
        <f>_xlfn.CONCAT(D240,", ",H240,", ",I240,", ","青海省")</f>
        <v>年都乎乡, 同仁市, 黄南藏族自治州, 青海省</v>
      </c>
      <c r="G240">
        <v>8620</v>
      </c>
      <c r="H240" t="s">
        <v>920</v>
      </c>
      <c r="I240" t="s">
        <v>917</v>
      </c>
      <c r="J240" t="e">
        <f>VLOOKUP(F240,[1]!china_towns_second__2[[Column1]:[Y]],3,FALSE)</f>
        <v>#N/A</v>
      </c>
      <c r="K240" t="e">
        <f>VLOOKUP(F240,[1]!china_towns_second__2[[Column1]:[Y]],2,FALSE)</f>
        <v>#N/A</v>
      </c>
      <c r="L240" t="s">
        <v>1351</v>
      </c>
      <c r="M240" t="str">
        <f>VLOOKUP(H240,CHOOSE({1,2},Table9[Native],Table9[Name]),2,0)</f>
        <v>Tóngrén Shì</v>
      </c>
      <c r="N240" s="13" t="str">
        <f>VLOOKUP(I240,CHOOSE({1,2},Table9[Native],Table9[Name]),2,0)</f>
        <v>Huángnán Zàngzú Zìzhìzhōu</v>
      </c>
      <c r="O240" s="13" t="str">
        <f t="shared" si="14"/>
        <v>Nianduhu Xiang (Huángnán Zàngzú Zìzhìzhōu)</v>
      </c>
      <c r="P240" s="13" t="str">
        <f t="shared" si="15"/>
        <v>Nianduhu Xiang (Huángnán Zàngzú Zìzhìzhōu)</v>
      </c>
    </row>
    <row r="241" spans="1:16" hidden="1" x14ac:dyDescent="0.25">
      <c r="A241" t="s">
        <v>828</v>
      </c>
      <c r="B241" t="str">
        <f t="shared" si="12"/>
        <v>Niánglā Xiāng</v>
      </c>
      <c r="C241" t="str">
        <f t="shared" si="13"/>
        <v>Niánglā Xiāng</v>
      </c>
      <c r="D241" t="s">
        <v>829</v>
      </c>
      <c r="E241" t="s">
        <v>7</v>
      </c>
      <c r="F241" t="str">
        <f>_xlfn.CONCAT(D241,", ",H241,", ",I241,", ","青海省")</f>
        <v>娘拉乡, 囊谦县, 玉树藏族自治州, 青海省</v>
      </c>
      <c r="G241">
        <v>3404</v>
      </c>
      <c r="H241" t="s">
        <v>934</v>
      </c>
      <c r="I241" t="s">
        <v>932</v>
      </c>
      <c r="J241" t="e">
        <f>VLOOKUP(F241,[1]!china_towns_second__2[[Column1]:[Y]],3,FALSE)</f>
        <v>#N/A</v>
      </c>
      <c r="K241" t="e">
        <f>VLOOKUP(F241,[1]!china_towns_second__2[[Column1]:[Y]],2,FALSE)</f>
        <v>#N/A</v>
      </c>
      <c r="L241" t="s">
        <v>1352</v>
      </c>
      <c r="M241" t="str">
        <f>VLOOKUP(H241,CHOOSE({1,2},Table9[Native],Table9[Name]),2,0)</f>
        <v>Nángqiān Xiàn</v>
      </c>
      <c r="N241" s="13" t="str">
        <f>VLOOKUP(I241,CHOOSE({1,2},Table9[Native],Table9[Name]),2,0)</f>
        <v>Yùshù Zàngzú Zìzhìzhōu</v>
      </c>
      <c r="O241" s="13" t="str">
        <f t="shared" si="14"/>
        <v>Niangla Xiang (Yùshù Zàngzú Zìzhìzhōu)</v>
      </c>
      <c r="P241" s="13" t="str">
        <f t="shared" si="15"/>
        <v>Niangla Xiang (Yùshù Zàngzú Zìzhìzhōu)</v>
      </c>
    </row>
    <row r="242" spans="1:16" x14ac:dyDescent="0.25">
      <c r="A242" t="s">
        <v>710</v>
      </c>
      <c r="B242" t="str">
        <f t="shared" si="12"/>
        <v>Niànlĭpū Zhèn</v>
      </c>
      <c r="C242" t="str">
        <f t="shared" si="13"/>
        <v>Niànlĭpū Zhèn</v>
      </c>
      <c r="D242" t="s">
        <v>711</v>
      </c>
      <c r="E242" t="s">
        <v>19</v>
      </c>
      <c r="F242" t="str">
        <f>_xlfn.CONCAT(D242,", ",H242,", ",I242,", ","青海省")</f>
        <v>廿里铺镇, 城北区, 西宁市, 青海省</v>
      </c>
      <c r="G242">
        <v>41134</v>
      </c>
      <c r="H242" t="s">
        <v>924</v>
      </c>
      <c r="I242" t="s">
        <v>923</v>
      </c>
      <c r="J242">
        <f>VLOOKUP(F242,[1]!china_towns_second__2[[Column1]:[Y]],3,FALSE)</f>
        <v>36.720458725031399</v>
      </c>
      <c r="K242">
        <f>VLOOKUP(F242,[1]!china_towns_second__2[[Column1]:[Y]],2,FALSE)</f>
        <v>101.7514661</v>
      </c>
      <c r="L242" t="s">
        <v>1353</v>
      </c>
      <c r="M242" t="str">
        <f>VLOOKUP(H242,CHOOSE({1,2},Table9[Native],Table9[Name]),2,0)</f>
        <v>Chéngbĕi Qū</v>
      </c>
      <c r="N242" s="13" t="str">
        <f>VLOOKUP(I242,CHOOSE({1,2},Table9[Native],Table9[Name]),2,0)</f>
        <v>Xīníng Shì</v>
      </c>
      <c r="O242" s="13" t="str">
        <f t="shared" si="14"/>
        <v>Nianlipu Zhen (Xīníng Shì)</v>
      </c>
      <c r="P242" s="13" t="str">
        <f t="shared" si="15"/>
        <v>Nianlipu Zhen (Xīníng Shì)</v>
      </c>
    </row>
    <row r="243" spans="1:16" x14ac:dyDescent="0.25">
      <c r="A243" t="s">
        <v>605</v>
      </c>
      <c r="B243" t="str">
        <f t="shared" si="12"/>
        <v>Níngmùtè Zhèn</v>
      </c>
      <c r="C243" t="str">
        <f t="shared" si="13"/>
        <v>Níngmùtè Zhèn</v>
      </c>
      <c r="D243" t="s">
        <v>606</v>
      </c>
      <c r="E243" t="s">
        <v>19</v>
      </c>
      <c r="F243" t="str">
        <f>_xlfn.CONCAT(D243,", ",H243,", ",I243,", ","青海省")</f>
        <v>宁木特镇, 河南蒙古族自治县, 黄南藏族自治州, 青海省</v>
      </c>
      <c r="G243">
        <v>9677</v>
      </c>
      <c r="H243" t="s">
        <v>918</v>
      </c>
      <c r="I243" t="s">
        <v>917</v>
      </c>
      <c r="J243">
        <f>VLOOKUP(F243,[1]!china_towns_second__2[[Column1]:[Y]],3,FALSE)</f>
        <v>34.566601511730703</v>
      </c>
      <c r="K243">
        <f>VLOOKUP(F243,[1]!china_towns_second__2[[Column1]:[Y]],2,FALSE)</f>
        <v>101.16979259999999</v>
      </c>
      <c r="L243" t="s">
        <v>1354</v>
      </c>
      <c r="M243" t="str">
        <f>VLOOKUP(H243,CHOOSE({1,2},Table9[Native],Table9[Name]),2,0)</f>
        <v>Hénán Mĕnggŭzú Zìzhìxiàn</v>
      </c>
      <c r="N243" s="13" t="str">
        <f>VLOOKUP(I243,CHOOSE({1,2},Table9[Native],Table9[Name]),2,0)</f>
        <v>Huángnán Zàngzú Zìzhìzhōu</v>
      </c>
      <c r="O243" s="13" t="str">
        <f t="shared" si="14"/>
        <v>Ningmute Zhen (Huángnán Zàngzú Zìzhìzhōu)</v>
      </c>
      <c r="P243" s="13" t="str">
        <f t="shared" si="15"/>
        <v>Ningmute Zhen (Huángnán Zàngzú Zìzhìzhōu)</v>
      </c>
    </row>
    <row r="244" spans="1:16" x14ac:dyDescent="0.25">
      <c r="A244" t="s">
        <v>607</v>
      </c>
      <c r="B244" t="str">
        <f t="shared" si="12"/>
        <v>Níngxiù Zhèn</v>
      </c>
      <c r="C244" t="str">
        <f t="shared" si="13"/>
        <v>Níngxiù Zhèn</v>
      </c>
      <c r="D244" t="s">
        <v>608</v>
      </c>
      <c r="E244" t="s">
        <v>19</v>
      </c>
      <c r="F244" t="str">
        <f>_xlfn.CONCAT(D244,", ",H244,", ",I244,", ","青海省")</f>
        <v>宁秀镇, 泽库县, 黄南藏族自治州, 青海省</v>
      </c>
      <c r="G244">
        <v>14620</v>
      </c>
      <c r="H244" t="s">
        <v>921</v>
      </c>
      <c r="I244" t="s">
        <v>917</v>
      </c>
      <c r="J244">
        <f>VLOOKUP(F244,[1]!china_towns_second__2[[Column1]:[Y]],3,FALSE)</f>
        <v>35.046971536464604</v>
      </c>
      <c r="K244">
        <f>VLOOKUP(F244,[1]!china_towns_second__2[[Column1]:[Y]],2,FALSE)</f>
        <v>100.9989854</v>
      </c>
      <c r="L244" t="s">
        <v>1355</v>
      </c>
      <c r="M244" t="str">
        <f>VLOOKUP(H244,CHOOSE({1,2},Table9[Native],Table9[Name]),2,0)</f>
        <v>Zékù Xiàn</v>
      </c>
      <c r="N244" s="13" t="str">
        <f>VLOOKUP(I244,CHOOSE({1,2},Table9[Native],Table9[Name]),2,0)</f>
        <v>Huángnán Zàngzú Zìzhìzhōu</v>
      </c>
      <c r="O244" s="13" t="str">
        <f t="shared" si="14"/>
        <v>Ningxiu Zhen (Huángnán Zàngzú Zìzhìzhōu)</v>
      </c>
      <c r="P244" s="13" t="str">
        <f t="shared" si="15"/>
        <v>Ningxiu Zhen (Huángnán Zàngzú Zìzhìzhōu)</v>
      </c>
    </row>
    <row r="245" spans="1:16" x14ac:dyDescent="0.25">
      <c r="A245" t="s">
        <v>712</v>
      </c>
      <c r="B245" t="str">
        <f t="shared" si="12"/>
        <v>Péngjiāzhài Zhèn</v>
      </c>
      <c r="C245" t="str">
        <f t="shared" si="13"/>
        <v>Péngjiāzhài Zhèn</v>
      </c>
      <c r="D245" t="s">
        <v>713</v>
      </c>
      <c r="E245" t="s">
        <v>19</v>
      </c>
      <c r="F245" t="str">
        <f>_xlfn.CONCAT(D245,", ",H245,", ",I245,", ","青海省")</f>
        <v>彭家寨镇, 城西区, 西宁市, 青海省</v>
      </c>
      <c r="G245">
        <v>25206</v>
      </c>
      <c r="H245" t="s">
        <v>926</v>
      </c>
      <c r="I245" t="s">
        <v>923</v>
      </c>
      <c r="J245">
        <f>VLOOKUP(F245,[1]!china_towns_second__2[[Column1]:[Y]],3,FALSE)</f>
        <v>36.626881771071602</v>
      </c>
      <c r="K245">
        <f>VLOOKUP(F245,[1]!china_towns_second__2[[Column1]:[Y]],2,FALSE)</f>
        <v>101.68514039999999</v>
      </c>
      <c r="L245" t="s">
        <v>1356</v>
      </c>
      <c r="M245" t="str">
        <f>VLOOKUP(H245,CHOOSE({1,2},Table9[Native],Table9[Name]),2,0)</f>
        <v>Chéngxī Qū</v>
      </c>
      <c r="N245" s="13" t="str">
        <f>VLOOKUP(I245,CHOOSE({1,2},Table9[Native],Table9[Name]),2,0)</f>
        <v>Xīníng Shì</v>
      </c>
      <c r="O245" s="13" t="str">
        <f t="shared" si="14"/>
        <v>Pengjiazhai Zhen (Xīníng Shì)</v>
      </c>
      <c r="P245" s="13" t="str">
        <f t="shared" si="15"/>
        <v>Pengjiazhai Zhen (Xīníng Shì)</v>
      </c>
    </row>
    <row r="246" spans="1:16" x14ac:dyDescent="0.25">
      <c r="A246" t="s">
        <v>296</v>
      </c>
      <c r="B246" t="str">
        <f t="shared" si="12"/>
        <v>Píng'ān Zhèn</v>
      </c>
      <c r="C246" t="str">
        <f t="shared" si="13"/>
        <v>Píng'ān Zhèn</v>
      </c>
      <c r="D246" t="s">
        <v>297</v>
      </c>
      <c r="E246" t="s">
        <v>19</v>
      </c>
      <c r="F246" t="str">
        <f>_xlfn.CONCAT(D246,", ",H246,", ",I246,", ","青海省")</f>
        <v>平安镇, 平安区, 海东市, 青海省</v>
      </c>
      <c r="G246">
        <v>57152</v>
      </c>
      <c r="H246" t="s">
        <v>894</v>
      </c>
      <c r="I246" t="s">
        <v>888</v>
      </c>
      <c r="J246">
        <f>VLOOKUP(F246,[1]!china_towns_second__2[[Column1]:[Y]],3,FALSE)</f>
        <v>36.484595505576301</v>
      </c>
      <c r="K246">
        <f>VLOOKUP(F246,[1]!china_towns_second__2[[Column1]:[Y]],2,FALSE)</f>
        <v>102.1156939</v>
      </c>
      <c r="L246" t="s">
        <v>1357</v>
      </c>
      <c r="M246" t="str">
        <f>VLOOKUP(H246,CHOOSE({1,2},Table9[Native],Table9[Name]),2,0)</f>
        <v>Píng'ān Qū</v>
      </c>
      <c r="N246" s="13" t="str">
        <f>VLOOKUP(I246,CHOOSE({1,2},Table9[Native],Table9[Name]),2,0)</f>
        <v>Hăidōng Shì</v>
      </c>
      <c r="O246" s="13" t="str">
        <f t="shared" si="14"/>
        <v>Ping'an Zhen (Hăidōng Shì)</v>
      </c>
      <c r="P246" s="13" t="str">
        <f t="shared" si="15"/>
        <v>Ping'an Zhen (Hăidōng Shì)</v>
      </c>
    </row>
    <row r="247" spans="1:16" hidden="1" x14ac:dyDescent="0.25">
      <c r="A247" t="s">
        <v>298</v>
      </c>
      <c r="B247" t="str">
        <f t="shared" si="12"/>
        <v>Pútái Xiāng</v>
      </c>
      <c r="C247" t="str">
        <f t="shared" si="13"/>
        <v>Pútái Xiāng</v>
      </c>
      <c r="D247" t="s">
        <v>299</v>
      </c>
      <c r="E247" t="s">
        <v>7</v>
      </c>
      <c r="F247" t="str">
        <f>_xlfn.CONCAT(D247,", ",H247,", ",I247,", ","青海省")</f>
        <v>蒲台乡, 乐都区, 海东市, 青海省</v>
      </c>
      <c r="G247">
        <v>11803</v>
      </c>
      <c r="H247" t="s">
        <v>892</v>
      </c>
      <c r="I247" t="s">
        <v>888</v>
      </c>
      <c r="J247" t="e">
        <f>VLOOKUP(F247,[1]!china_towns_second__2[[Column1]:[Y]],3,FALSE)</f>
        <v>#N/A</v>
      </c>
      <c r="K247" t="e">
        <f>VLOOKUP(F247,[1]!china_towns_second__2[[Column1]:[Y]],2,FALSE)</f>
        <v>#N/A</v>
      </c>
      <c r="L247" t="s">
        <v>1358</v>
      </c>
      <c r="M247" t="str">
        <f>VLOOKUP(H247,CHOOSE({1,2},Table9[Native],Table9[Name]),2,0)</f>
        <v>Lèdū Qū</v>
      </c>
      <c r="N247" s="13" t="str">
        <f>VLOOKUP(I247,CHOOSE({1,2},Table9[Native],Table9[Name]),2,0)</f>
        <v>Hăidōng Shì</v>
      </c>
      <c r="O247" s="13" t="str">
        <f t="shared" si="14"/>
        <v>Putai Xiang (Hăidōng Shì)</v>
      </c>
      <c r="P247" s="13" t="str">
        <f t="shared" si="15"/>
        <v>Putai Xiang (Hăidōng Shì)</v>
      </c>
    </row>
    <row r="248" spans="1:16" x14ac:dyDescent="0.25">
      <c r="A248" t="s">
        <v>423</v>
      </c>
      <c r="B248" t="str">
        <f t="shared" si="12"/>
        <v>Qiàbŭqià Zhèn</v>
      </c>
      <c r="C248" t="str">
        <f t="shared" si="13"/>
        <v>Qiàbŭqià Zhèn</v>
      </c>
      <c r="D248" t="s">
        <v>424</v>
      </c>
      <c r="E248" t="s">
        <v>19</v>
      </c>
      <c r="F248" t="str">
        <f>_xlfn.CONCAT(D248,", ",H248,", ",I248,", ","青海省")</f>
        <v>恰卜恰镇, 共和县, 海南藏族自治州, 青海省</v>
      </c>
      <c r="G248">
        <v>52500</v>
      </c>
      <c r="H248" t="s">
        <v>898</v>
      </c>
      <c r="I248" t="s">
        <v>897</v>
      </c>
      <c r="J248">
        <f>VLOOKUP(F248,[1]!china_towns_second__2[[Column1]:[Y]],3,FALSE)</f>
        <v>36.296471932041698</v>
      </c>
      <c r="K248">
        <f>VLOOKUP(F248,[1]!china_towns_second__2[[Column1]:[Y]],2,FALSE)</f>
        <v>100.59236129999999</v>
      </c>
      <c r="L248" t="s">
        <v>1359</v>
      </c>
      <c r="M248" t="str">
        <f>VLOOKUP(H248,CHOOSE({1,2},Table9[Native],Table9[Name]),2,0)</f>
        <v>Gònghé Xiàn</v>
      </c>
      <c r="N248" s="13" t="str">
        <f>VLOOKUP(I248,CHOOSE({1,2},Table9[Native],Table9[Name]),2,0)</f>
        <v>Hăinán Zàngzú Zìzhìzhōu</v>
      </c>
      <c r="O248" s="13" t="str">
        <f t="shared" si="14"/>
        <v>Qiabuqia Zhen (Hăinán Zàngzú Zìzhìzhōu)</v>
      </c>
      <c r="P248" s="13" t="str">
        <f t="shared" si="15"/>
        <v>Qiabuqia Zhen (Hăinán Zàngzú Zìzhìzhōu)</v>
      </c>
    </row>
    <row r="249" spans="1:16" hidden="1" x14ac:dyDescent="0.25">
      <c r="A249" t="s">
        <v>300</v>
      </c>
      <c r="B249" t="str">
        <f t="shared" si="12"/>
        <v>Qiánhé Xiāng</v>
      </c>
      <c r="C249" t="str">
        <f t="shared" si="13"/>
        <v>Qiánhé Xiāng</v>
      </c>
      <c r="D249" t="s">
        <v>301</v>
      </c>
      <c r="E249" t="s">
        <v>7</v>
      </c>
      <c r="F249" t="str">
        <f>_xlfn.CONCAT(D249,", ",H249,", ",I249,", ","青海省")</f>
        <v>前河乡, 民和回族土族自治县, 海东市, 青海省</v>
      </c>
      <c r="G249">
        <v>8797</v>
      </c>
      <c r="H249" t="s">
        <v>893</v>
      </c>
      <c r="I249" t="s">
        <v>888</v>
      </c>
      <c r="J249" t="e">
        <f>VLOOKUP(F249,[1]!china_towns_second__2[[Column1]:[Y]],3,FALSE)</f>
        <v>#N/A</v>
      </c>
      <c r="K249" t="e">
        <f>VLOOKUP(F249,[1]!china_towns_second__2[[Column1]:[Y]],2,FALSE)</f>
        <v>#N/A</v>
      </c>
      <c r="L249" t="s">
        <v>1360</v>
      </c>
      <c r="M249" t="str">
        <f>VLOOKUP(H249,CHOOSE({1,2},Table9[Native],Table9[Name]),2,0)</f>
        <v>Mínhé Huízú Tŭzú Zìzhìxiàn</v>
      </c>
      <c r="N249" s="13" t="str">
        <f>VLOOKUP(I249,CHOOSE({1,2},Table9[Native],Table9[Name]),2,0)</f>
        <v>Hăidōng Shì</v>
      </c>
      <c r="O249" s="13" t="str">
        <f t="shared" si="14"/>
        <v>Qianhe Xiang (Hăidōng Shì)</v>
      </c>
      <c r="P249" s="13" t="str">
        <f t="shared" si="15"/>
        <v>Qianhe Xiang (Hăidōng Shì)</v>
      </c>
    </row>
    <row r="250" spans="1:16" x14ac:dyDescent="0.25">
      <c r="A250" t="s">
        <v>714</v>
      </c>
      <c r="B250" t="str">
        <f t="shared" si="12"/>
        <v>Qiáotóu Zhèn</v>
      </c>
      <c r="C250" t="str">
        <f t="shared" si="13"/>
        <v>Qiáotóu Zhèn</v>
      </c>
      <c r="D250" t="s">
        <v>715</v>
      </c>
      <c r="E250" t="s">
        <v>19</v>
      </c>
      <c r="F250" t="str">
        <f>_xlfn.CONCAT(D250,", ",H250,", ",I250,", ","青海省")</f>
        <v>桥头镇, 大通回族土族自治县, 西宁市, 青海省</v>
      </c>
      <c r="G250">
        <v>114712</v>
      </c>
      <c r="H250" t="s">
        <v>928</v>
      </c>
      <c r="I250" t="s">
        <v>923</v>
      </c>
      <c r="J250">
        <f>VLOOKUP(F250,[1]!china_towns_second__2[[Column1]:[Y]],3,FALSE)</f>
        <v>36.920131250931</v>
      </c>
      <c r="K250">
        <f>VLOOKUP(F250,[1]!china_towns_second__2[[Column1]:[Y]],2,FALSE)</f>
        <v>101.6779061</v>
      </c>
      <c r="L250" t="s">
        <v>1361</v>
      </c>
      <c r="M250" t="str">
        <f>VLOOKUP(H250,CHOOSE({1,2},Table9[Native],Table9[Name]),2,0)</f>
        <v>Dàtōng Huízú Tŭzú Zìzhìxiàn</v>
      </c>
      <c r="N250" s="13" t="str">
        <f>VLOOKUP(I250,CHOOSE({1,2},Table9[Native],Table9[Name]),2,0)</f>
        <v>Xīníng Shì</v>
      </c>
      <c r="O250" s="13" t="str">
        <f t="shared" si="14"/>
        <v>Qiaotou Zhen (Xīníng Shì)</v>
      </c>
      <c r="P250" s="13" t="str">
        <f t="shared" si="15"/>
        <v>Qiaotou Zhen (Xīníng Shì)</v>
      </c>
    </row>
    <row r="251" spans="1:16" hidden="1" x14ac:dyDescent="0.25">
      <c r="A251" t="s">
        <v>425</v>
      </c>
      <c r="B251" t="str">
        <f t="shared" si="12"/>
        <v>Qièjí Xiāng</v>
      </c>
      <c r="C251" t="str">
        <f t="shared" si="13"/>
        <v>Qièjí Xiāng</v>
      </c>
      <c r="D251" t="s">
        <v>426</v>
      </c>
      <c r="E251" t="s">
        <v>7</v>
      </c>
      <c r="F251" t="str">
        <f>_xlfn.CONCAT(D251,", ",H251,", ",I251,", ","青海省")</f>
        <v>切吉乡, 共和县, 海南藏族自治州, 青海省</v>
      </c>
      <c r="G251">
        <v>8948</v>
      </c>
      <c r="H251" t="s">
        <v>898</v>
      </c>
      <c r="I251" t="s">
        <v>897</v>
      </c>
      <c r="J251" t="e">
        <f>VLOOKUP(F251,[1]!china_towns_second__2[[Column1]:[Y]],3,FALSE)</f>
        <v>#N/A</v>
      </c>
      <c r="K251" t="e">
        <f>VLOOKUP(F251,[1]!china_towns_second__2[[Column1]:[Y]],2,FALSE)</f>
        <v>#N/A</v>
      </c>
      <c r="L251" t="s">
        <v>1362</v>
      </c>
      <c r="M251" t="str">
        <f>VLOOKUP(H251,CHOOSE({1,2},Table9[Native],Table9[Name]),2,0)</f>
        <v>Gònghé Xiàn</v>
      </c>
      <c r="N251" s="13" t="str">
        <f>VLOOKUP(I251,CHOOSE({1,2},Table9[Native],Table9[Name]),2,0)</f>
        <v>Hăinán Zàngzú Zìzhìzhōu</v>
      </c>
      <c r="O251" s="13" t="str">
        <f t="shared" si="14"/>
        <v>Qieji Xiang (Hăinán Zàngzú Zìzhìzhōu)</v>
      </c>
      <c r="P251" s="13" t="str">
        <f t="shared" si="15"/>
        <v>Qieji Xiang (Hăinán Zàngzú Zìzhìzhōu)</v>
      </c>
    </row>
    <row r="252" spans="1:16" hidden="1" x14ac:dyDescent="0.25">
      <c r="A252" t="s">
        <v>138</v>
      </c>
      <c r="B252" t="str">
        <f t="shared" si="12"/>
        <v>Qīnghăihú Nóngchăng</v>
      </c>
      <c r="C252" t="str">
        <f t="shared" si="13"/>
        <v>Qīnghăihú Nóngchăng</v>
      </c>
      <c r="D252" t="s">
        <v>139</v>
      </c>
      <c r="E252" t="s">
        <v>133</v>
      </c>
      <c r="F252" t="str">
        <f>_xlfn.CONCAT(D252,", ",H252,", ",I252,", ","青海省")</f>
        <v>青海湖农场, 刚察县, 海北藏族自治州, 青海省</v>
      </c>
      <c r="G252">
        <v>1011</v>
      </c>
      <c r="H252" t="s">
        <v>881</v>
      </c>
      <c r="I252" t="s">
        <v>880</v>
      </c>
      <c r="J252">
        <f>VLOOKUP(F252,[1]!china_towns_second__2[[Column1]:[Y]],3,FALSE)</f>
        <v>37.2403637965418</v>
      </c>
      <c r="K252">
        <f>VLOOKUP(F252,[1]!china_towns_second__2[[Column1]:[Y]],2,FALSE)</f>
        <v>100.10531450000001</v>
      </c>
      <c r="L252" t="s">
        <v>1363</v>
      </c>
      <c r="M252" t="str">
        <f>VLOOKUP(H252,CHOOSE({1,2},Table9[Native],Table9[Name]),2,0)</f>
        <v>Gāngchá Xiàn</v>
      </c>
      <c r="N252" s="13" t="str">
        <f>VLOOKUP(I252,CHOOSE({1,2},Table9[Native],Table9[Name]),2,0)</f>
        <v>Hăibĕi Zàngzú Zìzhìzhōu</v>
      </c>
      <c r="O252" s="13" t="str">
        <f t="shared" si="14"/>
        <v>Qinghaihu Nongchang (Hăibĕi Zàngzú Zìzhìzhōu)</v>
      </c>
      <c r="P252" s="13" t="str">
        <f t="shared" si="15"/>
        <v>Qinghaihu Nongchang (Hăibĕi Zàngzú Zìzhìzhōu)</v>
      </c>
    </row>
    <row r="253" spans="1:16" hidden="1" x14ac:dyDescent="0.25">
      <c r="A253" t="s">
        <v>140</v>
      </c>
      <c r="B253" t="str">
        <f t="shared" si="12"/>
        <v>Qīnghăihú Xiāng</v>
      </c>
      <c r="C253" t="str">
        <f t="shared" si="13"/>
        <v>Qīnghăihú Xiāng</v>
      </c>
      <c r="D253" t="s">
        <v>141</v>
      </c>
      <c r="E253" t="s">
        <v>7</v>
      </c>
      <c r="F253" t="str">
        <f>_xlfn.CONCAT(D253,", ",H253,", ",I253,", ","青海省")</f>
        <v>青海湖乡, 海晏县, 海北藏族自治州, 青海省</v>
      </c>
      <c r="G253">
        <v>2442</v>
      </c>
      <c r="H253" t="s">
        <v>882</v>
      </c>
      <c r="I253" t="s">
        <v>880</v>
      </c>
      <c r="J253" t="e">
        <f>VLOOKUP(F253,[1]!china_towns_second__2[[Column1]:[Y]],3,FALSE)</f>
        <v>#N/A</v>
      </c>
      <c r="K253" t="e">
        <f>VLOOKUP(F253,[1]!china_towns_second__2[[Column1]:[Y]],2,FALSE)</f>
        <v>#N/A</v>
      </c>
      <c r="L253" t="s">
        <v>1364</v>
      </c>
      <c r="M253" t="str">
        <f>VLOOKUP(H253,CHOOSE({1,2},Table9[Native],Table9[Name]),2,0)</f>
        <v>Hăiyàn Xiàn</v>
      </c>
      <c r="N253" s="13" t="str">
        <f>VLOOKUP(I253,CHOOSE({1,2},Table9[Native],Table9[Name]),2,0)</f>
        <v>Hăibĕi Zàngzú Zìzhìzhōu</v>
      </c>
      <c r="O253" s="13" t="str">
        <f t="shared" si="14"/>
        <v>Qinghaihu Xiang (Hăibĕi Zàngzú Zìzhìzhōu)</v>
      </c>
      <c r="P253" s="13" t="str">
        <f t="shared" si="15"/>
        <v>Qinghaihu Xiang (Hăibĕi Zàngzú Zìzhìzhōu)</v>
      </c>
    </row>
    <row r="254" spans="1:16" hidden="1" x14ac:dyDescent="0.25">
      <c r="A254" t="s">
        <v>716</v>
      </c>
      <c r="B254" t="str">
        <f t="shared" si="12"/>
        <v>Qīnglín Xiāng</v>
      </c>
      <c r="C254" t="str">
        <f t="shared" si="13"/>
        <v>Qīnglín Xiāng</v>
      </c>
      <c r="D254" t="s">
        <v>717</v>
      </c>
      <c r="E254" t="s">
        <v>7</v>
      </c>
      <c r="F254" t="str">
        <f>_xlfn.CONCAT(D254,", ",H254,", ",I254,", ","青海省")</f>
        <v>青林乡, 大通回族土族自治县, 西宁市, 青海省</v>
      </c>
      <c r="G254">
        <v>9721</v>
      </c>
      <c r="H254" t="s">
        <v>928</v>
      </c>
      <c r="I254" t="s">
        <v>923</v>
      </c>
      <c r="J254" t="e">
        <f>VLOOKUP(F254,[1]!china_towns_second__2[[Column1]:[Y]],3,FALSE)</f>
        <v>#N/A</v>
      </c>
      <c r="K254" t="e">
        <f>VLOOKUP(F254,[1]!china_towns_second__2[[Column1]:[Y]],2,FALSE)</f>
        <v>#N/A</v>
      </c>
      <c r="L254" t="s">
        <v>1365</v>
      </c>
      <c r="M254" t="str">
        <f>VLOOKUP(H254,CHOOSE({1,2},Table9[Native],Table9[Name]),2,0)</f>
        <v>Dàtōng Huízú Tŭzú Zìzhìxiàn</v>
      </c>
      <c r="N254" s="13" t="str">
        <f>VLOOKUP(I254,CHOOSE({1,2},Table9[Native],Table9[Name]),2,0)</f>
        <v>Xīníng Shì</v>
      </c>
      <c r="O254" s="13" t="str">
        <f t="shared" si="14"/>
        <v>Qinglin Xiang (Xīníng Shì)</v>
      </c>
      <c r="P254" s="13" t="str">
        <f t="shared" si="15"/>
        <v>Qinglin Xiang (Xīníng Shì)</v>
      </c>
    </row>
    <row r="255" spans="1:16" hidden="1" x14ac:dyDescent="0.25">
      <c r="A255" t="s">
        <v>718</v>
      </c>
      <c r="B255" t="str">
        <f t="shared" si="12"/>
        <v>Qīngshān Xiāng</v>
      </c>
      <c r="C255" t="str">
        <f t="shared" si="13"/>
        <v>Qīngshān Xiāng</v>
      </c>
      <c r="D255" t="s">
        <v>719</v>
      </c>
      <c r="E255" t="s">
        <v>7</v>
      </c>
      <c r="F255" t="str">
        <f>_xlfn.CONCAT(D255,", ",H255,", ",I255,", ","青海省")</f>
        <v>青山乡, 大通回族土族自治县, 西宁市, 青海省</v>
      </c>
      <c r="G255">
        <v>15583</v>
      </c>
      <c r="H255" t="s">
        <v>928</v>
      </c>
      <c r="I255" t="s">
        <v>923</v>
      </c>
      <c r="J255" t="e">
        <f>VLOOKUP(F255,[1]!china_towns_second__2[[Column1]:[Y]],3,FALSE)</f>
        <v>#N/A</v>
      </c>
      <c r="K255" t="e">
        <f>VLOOKUP(F255,[1]!china_towns_second__2[[Column1]:[Y]],2,FALSE)</f>
        <v>#N/A</v>
      </c>
      <c r="L255" t="s">
        <v>1366</v>
      </c>
      <c r="M255" t="str">
        <f>VLOOKUP(H255,CHOOSE({1,2},Table9[Native],Table9[Name]),2,0)</f>
        <v>Dàtōng Huízú Tŭzú Zìzhìxiàn</v>
      </c>
      <c r="N255" s="13" t="str">
        <f>VLOOKUP(I255,CHOOSE({1,2},Table9[Native],Table9[Name]),2,0)</f>
        <v>Xīníng Shì</v>
      </c>
      <c r="O255" s="13" t="str">
        <f t="shared" si="14"/>
        <v>Qingshan Xiang (Xīníng Shì)</v>
      </c>
      <c r="P255" s="13" t="str">
        <f t="shared" si="15"/>
        <v>Qingshan Xiang (Xīníng Shì)</v>
      </c>
    </row>
    <row r="256" spans="1:16" x14ac:dyDescent="0.25">
      <c r="A256" t="s">
        <v>142</v>
      </c>
      <c r="B256" t="str">
        <f t="shared" si="12"/>
        <v>Qīngshíjŭ Zhèn</v>
      </c>
      <c r="C256" t="str">
        <f t="shared" si="13"/>
        <v>Qīngshíjŭ Zhèn</v>
      </c>
      <c r="D256" t="s">
        <v>143</v>
      </c>
      <c r="E256" t="s">
        <v>19</v>
      </c>
      <c r="F256" t="str">
        <f>_xlfn.CONCAT(D256,", ",H256,", ",I256,", ","青海省")</f>
        <v>青石咀镇, 门源回族自治县, 海北藏族自治州, 青海省</v>
      </c>
      <c r="G256">
        <v>28561</v>
      </c>
      <c r="H256" t="s">
        <v>884</v>
      </c>
      <c r="I256" t="s">
        <v>880</v>
      </c>
      <c r="J256">
        <f>VLOOKUP(F256,[1]!china_towns_second__2[[Column1]:[Y]],3,FALSE)</f>
        <v>37.423212149517603</v>
      </c>
      <c r="K256">
        <f>VLOOKUP(F256,[1]!china_towns_second__2[[Column1]:[Y]],2,FALSE)</f>
        <v>101.3971919</v>
      </c>
      <c r="L256" t="s">
        <v>1367</v>
      </c>
      <c r="M256" t="str">
        <f>VLOOKUP(H256,CHOOSE({1,2},Table9[Native],Table9[Name]),2,0)</f>
        <v>Ményuán Huízú Zìzhìxiàn</v>
      </c>
      <c r="N256" s="13" t="str">
        <f>VLOOKUP(I256,CHOOSE({1,2},Table9[Native],Table9[Name]),2,0)</f>
        <v>Hăibĕi Zàngzú Zìzhìzhōu</v>
      </c>
      <c r="O256" s="13" t="str">
        <f t="shared" si="14"/>
        <v>Qingshiju Zhen (Hăibĕi Zàngzú Zìzhìzhōu)</v>
      </c>
      <c r="P256" s="13" t="str">
        <f t="shared" si="15"/>
        <v>Qingshiju Zhen (Hăibĕi Zàngzú Zìzhìzhōu)</v>
      </c>
    </row>
    <row r="257" spans="1:16" hidden="1" x14ac:dyDescent="0.25">
      <c r="A257" t="s">
        <v>302</v>
      </c>
      <c r="B257" t="str">
        <f t="shared" si="12"/>
        <v>Qīngshuĭ Xiāng</v>
      </c>
      <c r="C257" t="str">
        <f t="shared" si="13"/>
        <v>Qīngshuĭ Xiāng</v>
      </c>
      <c r="D257" t="s">
        <v>303</v>
      </c>
      <c r="E257" t="s">
        <v>7</v>
      </c>
      <c r="F257" t="str">
        <f>_xlfn.CONCAT(D257,", ",H257,", ",I257,", ","青海省")</f>
        <v>清水乡, 循化撒拉族自治县, 海东市, 青海省</v>
      </c>
      <c r="G257">
        <v>13545</v>
      </c>
      <c r="H257" t="s">
        <v>895</v>
      </c>
      <c r="I257" t="s">
        <v>888</v>
      </c>
      <c r="J257" t="e">
        <f>VLOOKUP(F257,[1]!china_towns_second__2[[Column1]:[Y]],3,FALSE)</f>
        <v>#N/A</v>
      </c>
      <c r="K257" t="e">
        <f>VLOOKUP(F257,[1]!china_towns_second__2[[Column1]:[Y]],2,FALSE)</f>
        <v>#N/A</v>
      </c>
      <c r="L257" t="s">
        <v>1368</v>
      </c>
      <c r="M257" t="str">
        <f>VLOOKUP(H257,CHOOSE({1,2},Table9[Native],Table9[Name]),2,0)</f>
        <v>Xúnhuà Sālāzú Zìzhìxiàn</v>
      </c>
      <c r="N257" s="13" t="str">
        <f>VLOOKUP(I257,CHOOSE({1,2},Table9[Native],Table9[Name]),2,0)</f>
        <v>Hăidōng Shì</v>
      </c>
      <c r="O257" s="13" t="str">
        <f t="shared" si="14"/>
        <v>Qingshui Xiang (Hăidōng Shì)</v>
      </c>
      <c r="P257" s="13" t="str">
        <f t="shared" si="15"/>
        <v>Qingshui Xiang (Hăidōng Shì)</v>
      </c>
    </row>
    <row r="258" spans="1:16" x14ac:dyDescent="0.25">
      <c r="A258" t="s">
        <v>830</v>
      </c>
      <c r="B258" t="str">
        <f t="shared" ref="B258:B321" si="16">IF(COUNTIF(A:A,A258)&gt;1,_xlfn.CONCAT(A258," (",N258,")"),A258)</f>
        <v>Qīngshuĭhé Zhèn</v>
      </c>
      <c r="C258" t="str">
        <f t="shared" ref="C258:C321" si="17">IF(COUNTIF(B:B,B258)&gt;1,_xlfn.CONCAT(A258," (",M258,")"),B258)</f>
        <v>Qīngshuĭhé Zhèn</v>
      </c>
      <c r="D258" t="s">
        <v>831</v>
      </c>
      <c r="E258" t="s">
        <v>19</v>
      </c>
      <c r="F258" t="str">
        <f>_xlfn.CONCAT(D258,", ",H258,", ",I258,", ","青海省")</f>
        <v>清水河镇, 称多县, 玉树藏族自治州, 青海省</v>
      </c>
      <c r="G258">
        <v>7883</v>
      </c>
      <c r="H258" t="s">
        <v>933</v>
      </c>
      <c r="I258" t="s">
        <v>932</v>
      </c>
      <c r="J258">
        <f>VLOOKUP(F258,[1]!china_towns_second__2[[Column1]:[Y]],3,FALSE)</f>
        <v>34.134415065187802</v>
      </c>
      <c r="K258">
        <f>VLOOKUP(F258,[1]!china_towns_second__2[[Column1]:[Y]],2,FALSE)</f>
        <v>97.234308220000003</v>
      </c>
      <c r="L258" t="s">
        <v>1369</v>
      </c>
      <c r="M258" t="str">
        <f>VLOOKUP(H258,CHOOSE({1,2},Table9[Native],Table9[Name]),2,0)</f>
        <v>Chēngduō Xiàn</v>
      </c>
      <c r="N258" s="13" t="str">
        <f>VLOOKUP(I258,CHOOSE({1,2},Table9[Native],Table9[Name]),2,0)</f>
        <v>Yùshù Zàngzú Zìzhìzhōu</v>
      </c>
      <c r="O258" s="13" t="str">
        <f t="shared" ref="O258:O321" si="18">_xlfn.CONCAT(L258," (",N258,")")</f>
        <v>Qingshuihe Zhen (Yùshù Zàngzú Zìzhìzhōu)</v>
      </c>
      <c r="P258" s="13" t="str">
        <f t="shared" ref="P258:P321" si="19">IF(COUNTIF(O:O,O258)&gt;1,_xlfn.CONCAT(L258," (",M258,")"),O258)</f>
        <v>Qingshuihe Zhen (Yùshù Zàngzú Zìzhìzhōu)</v>
      </c>
    </row>
    <row r="259" spans="1:16" hidden="1" x14ac:dyDescent="0.25">
      <c r="A259" t="s">
        <v>61</v>
      </c>
      <c r="B259" t="str">
        <f t="shared" si="16"/>
        <v>Qīngzhēn Xiāng</v>
      </c>
      <c r="C259" t="str">
        <f t="shared" si="17"/>
        <v>Qīngzhēn Xiāng</v>
      </c>
      <c r="D259" t="s">
        <v>62</v>
      </c>
      <c r="E259" t="s">
        <v>7</v>
      </c>
      <c r="F259" t="str">
        <f>_xlfn.CONCAT(D259,", ",H259,", ",I259,", ","青海省")</f>
        <v>青珍乡, 甘德县, 果洛藏族自治州, 青海省</v>
      </c>
      <c r="G259">
        <v>5704</v>
      </c>
      <c r="H259" t="s">
        <v>875</v>
      </c>
      <c r="I259" t="s">
        <v>871</v>
      </c>
      <c r="J259" t="e">
        <f>VLOOKUP(F259,[1]!china_towns_second__2[[Column1]:[Y]],3,FALSE)</f>
        <v>#N/A</v>
      </c>
      <c r="K259" t="e">
        <f>VLOOKUP(F259,[1]!china_towns_second__2[[Column1]:[Y]],2,FALSE)</f>
        <v>#N/A</v>
      </c>
      <c r="L259" t="s">
        <v>1370</v>
      </c>
      <c r="M259" t="str">
        <f>VLOOKUP(H259,CHOOSE({1,2},Table9[Native],Table9[Name]),2,0)</f>
        <v>Gāndé Xiàn</v>
      </c>
      <c r="N259" s="13" t="str">
        <f>VLOOKUP(I259,CHOOSE({1,2},Table9[Native],Table9[Name]),2,0)</f>
        <v>Guŏluò Zàngzú Zìzhìzhōu</v>
      </c>
      <c r="O259" s="13" t="str">
        <f t="shared" si="18"/>
        <v>Qingzhen Xiang (Guŏluò Zàngzú Zìzhìzhōu)</v>
      </c>
      <c r="P259" s="13" t="str">
        <f t="shared" si="19"/>
        <v>Qingzhen Xiang (Guŏluò Zàngzú Zìzhìzhōu)</v>
      </c>
    </row>
    <row r="260" spans="1:16" hidden="1" x14ac:dyDescent="0.25">
      <c r="A260" t="s">
        <v>720</v>
      </c>
      <c r="B260" t="str">
        <f t="shared" si="16"/>
        <v>Qīngzhēnxiàng Jiēdào</v>
      </c>
      <c r="C260" t="str">
        <f t="shared" si="17"/>
        <v>Qīngzhēnxiàng Jiēdào</v>
      </c>
      <c r="D260" t="s">
        <v>721</v>
      </c>
      <c r="E260" t="s">
        <v>488</v>
      </c>
      <c r="F260" t="str">
        <f>_xlfn.CONCAT(D260,", ",H260,", ",I260,", ","青海省")</f>
        <v>清真巷街道, 城东区, 西宁市, 青海省</v>
      </c>
      <c r="G260">
        <v>45320</v>
      </c>
      <c r="H260" t="s">
        <v>925</v>
      </c>
      <c r="I260" t="s">
        <v>923</v>
      </c>
      <c r="J260">
        <f>VLOOKUP(F260,[1]!china_towns_second__2[[Column1]:[Y]],3,FALSE)</f>
        <v>36.603400532243199</v>
      </c>
      <c r="K260">
        <f>VLOOKUP(F260,[1]!china_towns_second__2[[Column1]:[Y]],2,FALSE)</f>
        <v>101.7878779</v>
      </c>
      <c r="L260" t="s">
        <v>1371</v>
      </c>
      <c r="M260" t="str">
        <f>VLOOKUP(H260,CHOOSE({1,2},Table9[Native],Table9[Name]),2,0)</f>
        <v>Chéngdōng Qū</v>
      </c>
      <c r="N260" s="13" t="str">
        <f>VLOOKUP(I260,CHOOSE({1,2},Table9[Native],Table9[Name]),2,0)</f>
        <v>Xīníng Shì</v>
      </c>
      <c r="O260" s="13" t="str">
        <f t="shared" si="18"/>
        <v>Qingzhenxiang Jiedao (Xīníng Shì)</v>
      </c>
      <c r="P260" s="13" t="str">
        <f t="shared" si="19"/>
        <v>Qingzhenxiang Jiedao (Xīníng Shì)</v>
      </c>
    </row>
    <row r="261" spans="1:16" hidden="1" x14ac:dyDescent="0.25">
      <c r="A261" t="s">
        <v>832</v>
      </c>
      <c r="B261" t="str">
        <f t="shared" si="16"/>
        <v>Qiūzhì Xiāng</v>
      </c>
      <c r="C261" t="str">
        <f t="shared" si="17"/>
        <v>Qiūzhì Xiāng</v>
      </c>
      <c r="D261" t="s">
        <v>833</v>
      </c>
      <c r="E261" t="s">
        <v>7</v>
      </c>
      <c r="F261" t="str">
        <f>_xlfn.CONCAT(D261,", ",H261,", ",I261,", ","青海省")</f>
        <v>秋智乡, 曲麻莱县, 玉树藏族自治州, 青海省</v>
      </c>
      <c r="G261">
        <v>3343</v>
      </c>
      <c r="H261" t="s">
        <v>935</v>
      </c>
      <c r="I261" t="s">
        <v>932</v>
      </c>
      <c r="J261" t="e">
        <f>VLOOKUP(F261,[1]!china_towns_second__2[[Column1]:[Y]],3,FALSE)</f>
        <v>#N/A</v>
      </c>
      <c r="K261" t="e">
        <f>VLOOKUP(F261,[1]!china_towns_second__2[[Column1]:[Y]],2,FALSE)</f>
        <v>#N/A</v>
      </c>
      <c r="L261" t="s">
        <v>1372</v>
      </c>
      <c r="M261" t="str">
        <f>VLOOKUP(H261,CHOOSE({1,2},Table9[Native],Table9[Name]),2,0)</f>
        <v>Qŭmálái Xiàn</v>
      </c>
      <c r="N261" s="13" t="str">
        <f>VLOOKUP(I261,CHOOSE({1,2},Table9[Native],Table9[Name]),2,0)</f>
        <v>Yùshù Zàngzú Zìzhìzhōu</v>
      </c>
      <c r="O261" s="13" t="str">
        <f t="shared" si="18"/>
        <v>Qiuzhi Xiang (Yùshù Zàngzú Zìzhìzhōu)</v>
      </c>
      <c r="P261" s="13" t="str">
        <f t="shared" si="19"/>
        <v>Qiuzhi Xiang (Yùshù Zàngzú Zìzhìzhōu)</v>
      </c>
    </row>
    <row r="262" spans="1:16" hidden="1" x14ac:dyDescent="0.25">
      <c r="A262" t="s">
        <v>144</v>
      </c>
      <c r="B262" t="str">
        <f t="shared" si="16"/>
        <v>Quánjí Xiāng</v>
      </c>
      <c r="C262" t="str">
        <f t="shared" si="17"/>
        <v>Quánjí Xiāng</v>
      </c>
      <c r="D262" t="s">
        <v>145</v>
      </c>
      <c r="E262" t="s">
        <v>7</v>
      </c>
      <c r="F262" t="str">
        <f>_xlfn.CONCAT(D262,", ",H262,", ",I262,", ","青海省")</f>
        <v>泉吉乡, 刚察县, 海北藏族自治州, 青海省</v>
      </c>
      <c r="G262">
        <v>5309</v>
      </c>
      <c r="H262" t="s">
        <v>881</v>
      </c>
      <c r="I262" t="s">
        <v>880</v>
      </c>
      <c r="J262" t="e">
        <f>VLOOKUP(F262,[1]!china_towns_second__2[[Column1]:[Y]],3,FALSE)</f>
        <v>#N/A</v>
      </c>
      <c r="K262" t="e">
        <f>VLOOKUP(F262,[1]!china_towns_second__2[[Column1]:[Y]],2,FALSE)</f>
        <v>#N/A</v>
      </c>
      <c r="L262" t="s">
        <v>1373</v>
      </c>
      <c r="M262" t="str">
        <f>VLOOKUP(H262,CHOOSE({1,2},Table9[Native],Table9[Name]),2,0)</f>
        <v>Gāngchá Xiàn</v>
      </c>
      <c r="N262" s="13" t="str">
        <f>VLOOKUP(I262,CHOOSE({1,2},Table9[Native],Table9[Name]),2,0)</f>
        <v>Hăibĕi Zàngzú Zìzhìzhōu</v>
      </c>
      <c r="O262" s="13" t="str">
        <f t="shared" si="18"/>
        <v>Quanji Xiang (Hăibĕi Zàngzú Zìzhìzhōu)</v>
      </c>
      <c r="P262" s="13" t="str">
        <f t="shared" si="19"/>
        <v>Quanji Xiang (Hăibĕi Zàngzú Zìzhìzhōu)</v>
      </c>
    </row>
    <row r="263" spans="1:16" x14ac:dyDescent="0.25">
      <c r="A263" t="s">
        <v>146</v>
      </c>
      <c r="B263" t="str">
        <f t="shared" si="16"/>
        <v>Quánkŏu Zhèn</v>
      </c>
      <c r="C263" t="str">
        <f t="shared" si="17"/>
        <v>Quánkŏu Zhèn</v>
      </c>
      <c r="D263" t="s">
        <v>147</v>
      </c>
      <c r="E263" t="s">
        <v>19</v>
      </c>
      <c r="F263" t="str">
        <f>_xlfn.CONCAT(D263,", ",H263,", ",I263,", ","青海省")</f>
        <v>泉口镇, 门源回族自治县, 海北藏族自治州, 青海省</v>
      </c>
      <c r="G263">
        <v>18308</v>
      </c>
      <c r="H263" t="s">
        <v>884</v>
      </c>
      <c r="I263" t="s">
        <v>880</v>
      </c>
      <c r="J263">
        <f>VLOOKUP(F263,[1]!china_towns_second__2[[Column1]:[Y]],3,FALSE)</f>
        <v>37.4094274349982</v>
      </c>
      <c r="K263">
        <f>VLOOKUP(F263,[1]!china_towns_second__2[[Column1]:[Y]],2,FALSE)</f>
        <v>101.7887332</v>
      </c>
      <c r="L263" t="s">
        <v>1374</v>
      </c>
      <c r="M263" t="str">
        <f>VLOOKUP(H263,CHOOSE({1,2},Table9[Native],Table9[Name]),2,0)</f>
        <v>Ményuán Huízú Zìzhìxiàn</v>
      </c>
      <c r="N263" s="13" t="str">
        <f>VLOOKUP(I263,CHOOSE({1,2},Table9[Native],Table9[Name]),2,0)</f>
        <v>Hăibĕi Zàngzú Zìzhìzhōu</v>
      </c>
      <c r="O263" s="13" t="str">
        <f t="shared" si="18"/>
        <v>Quankou Zhen (Hăibĕi Zàngzú Zìzhìzhōu)</v>
      </c>
      <c r="P263" s="13" t="str">
        <f t="shared" si="19"/>
        <v>Quankou Zhen (Hăibĕi Zàngzú Zìzhìzhōu)</v>
      </c>
    </row>
    <row r="264" spans="1:16" hidden="1" x14ac:dyDescent="0.25">
      <c r="A264" t="s">
        <v>609</v>
      </c>
      <c r="B264" t="str">
        <f t="shared" si="16"/>
        <v>Qŭkùhū Xiāng</v>
      </c>
      <c r="C264" t="str">
        <f t="shared" si="17"/>
        <v>Qŭkùhū Xiāng</v>
      </c>
      <c r="D264" t="s">
        <v>610</v>
      </c>
      <c r="E264" t="s">
        <v>7</v>
      </c>
      <c r="F264" t="str">
        <f>_xlfn.CONCAT(D264,", ",H264,", ",I264,", ","青海省")</f>
        <v>曲库乎乡, 同仁市, 黄南藏族自治州, 青海省</v>
      </c>
      <c r="G264">
        <v>7223</v>
      </c>
      <c r="H264" t="s">
        <v>920</v>
      </c>
      <c r="I264" t="s">
        <v>917</v>
      </c>
      <c r="J264" t="e">
        <f>VLOOKUP(F264,[1]!china_towns_second__2[[Column1]:[Y]],3,FALSE)</f>
        <v>#N/A</v>
      </c>
      <c r="K264" t="e">
        <f>VLOOKUP(F264,[1]!china_towns_second__2[[Column1]:[Y]],2,FALSE)</f>
        <v>#N/A</v>
      </c>
      <c r="L264" t="s">
        <v>1375</v>
      </c>
      <c r="M264" t="str">
        <f>VLOOKUP(H264,CHOOSE({1,2},Table9[Native],Table9[Name]),2,0)</f>
        <v>Tóngrén Shì</v>
      </c>
      <c r="N264" s="13" t="str">
        <f>VLOOKUP(I264,CHOOSE({1,2},Table9[Native],Table9[Name]),2,0)</f>
        <v>Huángnán Zàngzú Zìzhìzhōu</v>
      </c>
      <c r="O264" s="13" t="str">
        <f t="shared" si="18"/>
        <v>Qukuhu Xiang (Huángnán Zàngzú Zìzhìzhōu)</v>
      </c>
      <c r="P264" s="13" t="str">
        <f t="shared" si="19"/>
        <v>Qukuhu Xiang (Huángnán Zàngzú Zìzhìzhōu)</v>
      </c>
    </row>
    <row r="265" spans="1:16" hidden="1" x14ac:dyDescent="0.25">
      <c r="A265" t="s">
        <v>834</v>
      </c>
      <c r="B265" t="str">
        <f t="shared" si="16"/>
        <v>Qŭmáhé Xiāng</v>
      </c>
      <c r="C265" t="str">
        <f t="shared" si="17"/>
        <v>Qŭmáhé Xiāng</v>
      </c>
      <c r="D265" t="s">
        <v>835</v>
      </c>
      <c r="E265" t="s">
        <v>7</v>
      </c>
      <c r="F265" t="str">
        <f>_xlfn.CONCAT(D265,", ",H265,", ",I265,", ","青海省")</f>
        <v>曲麻河乡, 曲麻莱县, 玉树藏族自治州, 青海省</v>
      </c>
      <c r="G265">
        <v>3516</v>
      </c>
      <c r="H265" t="s">
        <v>935</v>
      </c>
      <c r="I265" t="s">
        <v>932</v>
      </c>
      <c r="J265" t="e">
        <f>VLOOKUP(F265,[1]!china_towns_second__2[[Column1]:[Y]],3,FALSE)</f>
        <v>#N/A</v>
      </c>
      <c r="K265" t="e">
        <f>VLOOKUP(F265,[1]!china_towns_second__2[[Column1]:[Y]],2,FALSE)</f>
        <v>#N/A</v>
      </c>
      <c r="L265" t="s">
        <v>1376</v>
      </c>
      <c r="M265" t="str">
        <f>VLOOKUP(H265,CHOOSE({1,2},Table9[Native],Table9[Name]),2,0)</f>
        <v>Qŭmálái Xiàn</v>
      </c>
      <c r="N265" s="13" t="str">
        <f>VLOOKUP(I265,CHOOSE({1,2},Table9[Native],Table9[Name]),2,0)</f>
        <v>Yùshù Zàngzú Zìzhìzhōu</v>
      </c>
      <c r="O265" s="13" t="str">
        <f t="shared" si="18"/>
        <v>Qumahe Xiang (Yùshù Zàngzú Zìzhìzhōu)</v>
      </c>
      <c r="P265" s="13" t="str">
        <f t="shared" si="19"/>
        <v>Qumahe Xiang (Yùshù Zàngzú Zìzhìzhōu)</v>
      </c>
    </row>
    <row r="266" spans="1:16" hidden="1" x14ac:dyDescent="0.25">
      <c r="A266" t="s">
        <v>722</v>
      </c>
      <c r="B266" t="str">
        <f t="shared" si="16"/>
        <v>Qúnjiā Zàngzú Xiāng</v>
      </c>
      <c r="C266" t="str">
        <f t="shared" si="17"/>
        <v>Qúnjiā Zàngzú Xiāng</v>
      </c>
      <c r="D266" t="s">
        <v>723</v>
      </c>
      <c r="E266" t="s">
        <v>7</v>
      </c>
      <c r="F266" t="str">
        <f>_xlfn.CONCAT(D266,", ",H266,", ",I266,", ","青海省")</f>
        <v>群加藏族乡, 湟中区, 西宁市, 青海省</v>
      </c>
      <c r="G266">
        <v>2151</v>
      </c>
      <c r="H266" t="s">
        <v>930</v>
      </c>
      <c r="I266" t="s">
        <v>923</v>
      </c>
      <c r="J266" t="e">
        <f>VLOOKUP(F266,[1]!china_towns_second__2[[Column1]:[Y]],3,FALSE)</f>
        <v>#N/A</v>
      </c>
      <c r="K266" t="e">
        <f>VLOOKUP(F266,[1]!china_towns_second__2[[Column1]:[Y]],2,FALSE)</f>
        <v>#N/A</v>
      </c>
      <c r="L266" t="s">
        <v>1377</v>
      </c>
      <c r="M266" t="str">
        <f>VLOOKUP(H266,CHOOSE({1,2},Table9[Native],Table9[Name]),2,0)</f>
        <v>Huángzhōng Qū</v>
      </c>
      <c r="N266" s="13" t="str">
        <f>VLOOKUP(I266,CHOOSE({1,2},Table9[Native],Table9[Name]),2,0)</f>
        <v>Xīníng Shì</v>
      </c>
      <c r="O266" s="13" t="str">
        <f t="shared" si="18"/>
        <v>Qunjia Zangzu Xiang (Xīníng Shì)</v>
      </c>
      <c r="P266" s="13" t="str">
        <f t="shared" si="19"/>
        <v>Qunjia Zangzu Xiang (Xīníng Shì)</v>
      </c>
    </row>
    <row r="267" spans="1:16" x14ac:dyDescent="0.25">
      <c r="A267" t="s">
        <v>304</v>
      </c>
      <c r="B267" t="str">
        <f t="shared" si="16"/>
        <v>Qúnkē Zhèn</v>
      </c>
      <c r="C267" t="str">
        <f t="shared" si="17"/>
        <v>Qúnkē Zhèn</v>
      </c>
      <c r="D267" t="s">
        <v>305</v>
      </c>
      <c r="E267" t="s">
        <v>19</v>
      </c>
      <c r="F267" t="str">
        <f>_xlfn.CONCAT(D267,", ",H267,", ",I267,", ","青海省")</f>
        <v>群科镇, 化隆回族自治县, 海东市, 青海省</v>
      </c>
      <c r="G267">
        <v>23400</v>
      </c>
      <c r="H267" t="s">
        <v>889</v>
      </c>
      <c r="I267" t="s">
        <v>888</v>
      </c>
      <c r="J267">
        <f>VLOOKUP(F267,[1]!china_towns_second__2[[Column1]:[Y]],3,FALSE)</f>
        <v>36.030505770663403</v>
      </c>
      <c r="K267">
        <f>VLOOKUP(F267,[1]!china_towns_second__2[[Column1]:[Y]],2,FALSE)</f>
        <v>102.01962829999999</v>
      </c>
      <c r="L267" t="s">
        <v>1378</v>
      </c>
      <c r="M267" t="str">
        <f>VLOOKUP(H267,CHOOSE({1,2},Table9[Native],Table9[Name]),2,0)</f>
        <v>Huàlóng Huízú Zìzhìxiàn</v>
      </c>
      <c r="N267" s="13" t="str">
        <f>VLOOKUP(I267,CHOOSE({1,2},Table9[Native],Table9[Name]),2,0)</f>
        <v>Hăidōng Shì</v>
      </c>
      <c r="O267" s="13" t="str">
        <f t="shared" si="18"/>
        <v>Qunke Zhen (Hăidōng Shì)</v>
      </c>
      <c r="P267" s="13" t="str">
        <f t="shared" si="19"/>
        <v>Qunke Zhen (Hăidōng Shì)</v>
      </c>
    </row>
    <row r="268" spans="1:16" x14ac:dyDescent="0.25">
      <c r="A268" t="s">
        <v>427</v>
      </c>
      <c r="B268" t="str">
        <f t="shared" si="16"/>
        <v>Qŭshí'ān Zhèn</v>
      </c>
      <c r="C268" t="str">
        <f t="shared" si="17"/>
        <v>Qŭshí'ān Zhèn</v>
      </c>
      <c r="D268" t="s">
        <v>428</v>
      </c>
      <c r="E268" t="s">
        <v>19</v>
      </c>
      <c r="F268" t="str">
        <f>_xlfn.CONCAT(D268,", ",H268,", ",I268,", ","青海省")</f>
        <v>曲什安镇, 兴海县, 海南藏族自治州, 青海省</v>
      </c>
      <c r="G268">
        <v>5389</v>
      </c>
      <c r="H268" t="s">
        <v>902</v>
      </c>
      <c r="I268" t="s">
        <v>897</v>
      </c>
      <c r="J268">
        <f>VLOOKUP(F268,[1]!china_towns_second__2[[Column1]:[Y]],3,FALSE)</f>
        <v>35.364804489038598</v>
      </c>
      <c r="K268">
        <f>VLOOKUP(F268,[1]!china_towns_second__2[[Column1]:[Y]],2,FALSE)</f>
        <v>99.922058649999997</v>
      </c>
      <c r="L268" t="s">
        <v>1379</v>
      </c>
      <c r="M268" t="str">
        <f>VLOOKUP(H268,CHOOSE({1,2},Table9[Native],Table9[Name]),2,0)</f>
        <v>Xīnghăi Xiàn</v>
      </c>
      <c r="N268" s="13" t="str">
        <f>VLOOKUP(I268,CHOOSE({1,2},Table9[Native],Table9[Name]),2,0)</f>
        <v>Hăinán Zàngzú Zìzhìzhōu</v>
      </c>
      <c r="O268" s="13" t="str">
        <f t="shared" si="18"/>
        <v>Qushi'an Zhen (Hăinán Zàngzú Zìzhìzhōu)</v>
      </c>
      <c r="P268" s="13" t="str">
        <f t="shared" si="19"/>
        <v>Qushi'an Zhen (Hăinán Zàngzú Zìzhìzhōu)</v>
      </c>
    </row>
    <row r="269" spans="1:16" hidden="1" x14ac:dyDescent="0.25">
      <c r="A269" t="s">
        <v>724</v>
      </c>
      <c r="B269" t="str">
        <f t="shared" si="16"/>
        <v>Rénmínjiē Jiēdào</v>
      </c>
      <c r="C269" t="str">
        <f t="shared" si="17"/>
        <v>Rénmínjiē Jiēdào</v>
      </c>
      <c r="D269" t="s">
        <v>725</v>
      </c>
      <c r="E269" t="s">
        <v>488</v>
      </c>
      <c r="F269" t="str">
        <f>_xlfn.CONCAT(D269,", ",H269,", ",I269,", ","青海省")</f>
        <v>人民街街道, 城中区, 西宁市, 青海省</v>
      </c>
      <c r="G269">
        <v>18856</v>
      </c>
      <c r="H269" t="s">
        <v>927</v>
      </c>
      <c r="I269" t="s">
        <v>923</v>
      </c>
      <c r="J269">
        <f>VLOOKUP(F269,[1]!china_towns_second__2[[Column1]:[Y]],3,FALSE)</f>
        <v>36.618537100992299</v>
      </c>
      <c r="K269">
        <f>VLOOKUP(F269,[1]!china_towns_second__2[[Column1]:[Y]],2,FALSE)</f>
        <v>101.776072</v>
      </c>
      <c r="L269" t="s">
        <v>1380</v>
      </c>
      <c r="M269" t="str">
        <f>VLOOKUP(H269,CHOOSE({1,2},Table9[Native],Table9[Name]),2,0)</f>
        <v>Chéngzhōng Qū</v>
      </c>
      <c r="N269" s="13" t="str">
        <f>VLOOKUP(I269,CHOOSE({1,2},Table9[Native],Table9[Name]),2,0)</f>
        <v>Xīníng Shì</v>
      </c>
      <c r="O269" s="13" t="str">
        <f t="shared" si="18"/>
        <v>Renminjie Jiedao (Xīníng Shì)</v>
      </c>
      <c r="P269" s="13" t="str">
        <f t="shared" si="19"/>
        <v>Renminjie Jiedao (Xīníng Shì)</v>
      </c>
    </row>
    <row r="270" spans="1:16" hidden="1" x14ac:dyDescent="0.25">
      <c r="A270" t="s">
        <v>521</v>
      </c>
      <c r="B270" t="str">
        <f t="shared" si="16"/>
        <v>Rèshuĭ Xiāng</v>
      </c>
      <c r="C270" t="str">
        <f t="shared" si="17"/>
        <v>Rèshuĭ Xiāng</v>
      </c>
      <c r="D270" t="s">
        <v>522</v>
      </c>
      <c r="E270" t="s">
        <v>7</v>
      </c>
      <c r="F270" t="str">
        <f>_xlfn.CONCAT(D270,", ",H270,", ",I270,", ","青海省")</f>
        <v>热水乡, 都兰县, 海西蒙古族藏族自治州, 青海省</v>
      </c>
      <c r="G270">
        <v>3731</v>
      </c>
      <c r="H270" t="s">
        <v>911</v>
      </c>
      <c r="I270" t="s">
        <v>905</v>
      </c>
      <c r="J270" t="e">
        <f>VLOOKUP(F270,[1]!china_towns_second__2[[Column1]:[Y]],3,FALSE)</f>
        <v>#N/A</v>
      </c>
      <c r="K270" t="e">
        <f>VLOOKUP(F270,[1]!china_towns_second__2[[Column1]:[Y]],2,FALSE)</f>
        <v>#N/A</v>
      </c>
      <c r="L270" t="s">
        <v>1381</v>
      </c>
      <c r="M270" t="str">
        <f>VLOOKUP(H270,CHOOSE({1,2},Table9[Native],Table9[Name]),2,0)</f>
        <v>Dūlán Xiàn</v>
      </c>
      <c r="N270" s="13" t="str">
        <f>VLOOKUP(I270,CHOOSE({1,2},Table9[Native],Table9[Name]),2,0)</f>
        <v>Hăixī Mĕnggŭzú Zàngzú Zìzhìzhōu</v>
      </c>
      <c r="O270" s="13" t="str">
        <f t="shared" si="18"/>
        <v>Reshui Xiang (Hăixī Mĕnggŭzú Zàngzú Zìzhìzhōu)</v>
      </c>
      <c r="P270" s="13" t="str">
        <f t="shared" si="19"/>
        <v>Reshui Xiang (Hăixī Mĕnggŭzú Zàngzú Zìzhìzhōu)</v>
      </c>
    </row>
    <row r="271" spans="1:16" hidden="1" x14ac:dyDescent="0.25">
      <c r="A271" t="s">
        <v>726</v>
      </c>
      <c r="B271" t="str">
        <f t="shared" si="16"/>
        <v>Rìyuè Xiāng</v>
      </c>
      <c r="C271" t="str">
        <f t="shared" si="17"/>
        <v>Rìyuè Xiāng</v>
      </c>
      <c r="D271" t="s">
        <v>727</v>
      </c>
      <c r="E271" t="s">
        <v>7</v>
      </c>
      <c r="F271" t="str">
        <f>_xlfn.CONCAT(D271,", ",H271,", ",I271,", ","青海省")</f>
        <v>日月乡, 湟源县, 西宁市, 青海省</v>
      </c>
      <c r="G271">
        <v>13315</v>
      </c>
      <c r="H271" t="s">
        <v>929</v>
      </c>
      <c r="I271" t="s">
        <v>923</v>
      </c>
      <c r="J271" t="e">
        <f>VLOOKUP(F271,[1]!china_towns_second__2[[Column1]:[Y]],3,FALSE)</f>
        <v>#N/A</v>
      </c>
      <c r="K271" t="e">
        <f>VLOOKUP(F271,[1]!china_towns_second__2[[Column1]:[Y]],2,FALSE)</f>
        <v>#N/A</v>
      </c>
      <c r="L271" t="s">
        <v>1382</v>
      </c>
      <c r="M271" t="str">
        <f>VLOOKUP(H271,CHOOSE({1,2},Table9[Native],Table9[Name]),2,0)</f>
        <v>Huángyuán Xiàn</v>
      </c>
      <c r="N271" s="13" t="str">
        <f>VLOOKUP(I271,CHOOSE({1,2},Table9[Native],Table9[Name]),2,0)</f>
        <v>Xīníng Shì</v>
      </c>
      <c r="O271" s="13" t="str">
        <f t="shared" si="18"/>
        <v>Riyue Xiang (Xīníng Shì)</v>
      </c>
      <c r="P271" s="13" t="str">
        <f t="shared" si="19"/>
        <v>Riyue Xiang (Xīníng Shì)</v>
      </c>
    </row>
    <row r="272" spans="1:16" x14ac:dyDescent="0.25">
      <c r="A272" t="s">
        <v>836</v>
      </c>
      <c r="B272" t="str">
        <f t="shared" si="16"/>
        <v>Sàhūténg Zhèn</v>
      </c>
      <c r="C272" t="str">
        <f t="shared" si="17"/>
        <v>Sàhūténg Zhèn</v>
      </c>
      <c r="D272" t="s">
        <v>837</v>
      </c>
      <c r="E272" t="s">
        <v>19</v>
      </c>
      <c r="F272" t="str">
        <f>_xlfn.CONCAT(D272,", ",H272,", ",I272,", ","青海省")</f>
        <v>萨呼腾镇, 杂多县, 玉树藏族自治州, 青海省</v>
      </c>
      <c r="G272">
        <v>25869</v>
      </c>
      <c r="H272" t="s">
        <v>937</v>
      </c>
      <c r="I272" t="s">
        <v>932</v>
      </c>
      <c r="J272">
        <f>VLOOKUP(F272,[1]!china_towns_second__2[[Column1]:[Y]],3,FALSE)</f>
        <v>33.065267003765499</v>
      </c>
      <c r="K272">
        <f>VLOOKUP(F272,[1]!china_towns_second__2[[Column1]:[Y]],2,FALSE)</f>
        <v>95.611051880000005</v>
      </c>
      <c r="L272" t="s">
        <v>1383</v>
      </c>
      <c r="M272" t="str">
        <f>VLOOKUP(H272,CHOOSE({1,2},Table9[Native],Table9[Name]),2,0)</f>
        <v>Záduō Xiàn</v>
      </c>
      <c r="N272" s="13" t="str">
        <f>VLOOKUP(I272,CHOOSE({1,2},Table9[Native],Table9[Name]),2,0)</f>
        <v>Yùshù Zàngzú Zìzhìzhōu</v>
      </c>
      <c r="O272" s="13" t="str">
        <f t="shared" si="18"/>
        <v>Sahuteng Zhen (Yùshù Zàngzú Zìzhìzhōu)</v>
      </c>
      <c r="P272" s="13" t="str">
        <f t="shared" si="19"/>
        <v>Sahuteng Zhen (Yùshù Zàngzú Zìzhìzhōu)</v>
      </c>
    </row>
    <row r="273" spans="1:16" hidden="1" x14ac:dyDescent="0.25">
      <c r="A273" t="s">
        <v>611</v>
      </c>
      <c r="B273" t="str">
        <f t="shared" si="16"/>
        <v>Sài'ĕrlóng Xiāng</v>
      </c>
      <c r="C273" t="str">
        <f t="shared" si="17"/>
        <v>Sài'ĕrlóng Xiāng</v>
      </c>
      <c r="D273" t="s">
        <v>612</v>
      </c>
      <c r="E273" t="s">
        <v>7</v>
      </c>
      <c r="F273" t="str">
        <f>_xlfn.CONCAT(D273,", ",H273,", ",I273,", ","青海省")</f>
        <v>赛尔龙乡, 河南蒙古族自治县, 黄南藏族自治州, 青海省</v>
      </c>
      <c r="G273">
        <v>3038</v>
      </c>
      <c r="H273" t="s">
        <v>918</v>
      </c>
      <c r="I273" t="s">
        <v>917</v>
      </c>
      <c r="J273" t="e">
        <f>VLOOKUP(F273,[1]!china_towns_second__2[[Column1]:[Y]],3,FALSE)</f>
        <v>#N/A</v>
      </c>
      <c r="K273" t="e">
        <f>VLOOKUP(F273,[1]!china_towns_second__2[[Column1]:[Y]],2,FALSE)</f>
        <v>#N/A</v>
      </c>
      <c r="L273" t="s">
        <v>1384</v>
      </c>
      <c r="M273" t="str">
        <f>VLOOKUP(H273,CHOOSE({1,2},Table9[Native],Table9[Name]),2,0)</f>
        <v>Hénán Mĕnggŭzú Zìzhìxiàn</v>
      </c>
      <c r="N273" s="13" t="str">
        <f>VLOOKUP(I273,CHOOSE({1,2},Table9[Native],Table9[Name]),2,0)</f>
        <v>Huángnán Zàngzú Zìzhìzhōu</v>
      </c>
      <c r="O273" s="13" t="str">
        <f t="shared" si="18"/>
        <v>Sai'erlong Xiang (Huángnán Zàngzú Zìzhìzhōu)</v>
      </c>
      <c r="P273" s="13" t="str">
        <f t="shared" si="19"/>
        <v>Sai'erlong Xiang (Huángnán Zàngzú Zìzhìzhōu)</v>
      </c>
    </row>
    <row r="274" spans="1:16" x14ac:dyDescent="0.25">
      <c r="A274" t="s">
        <v>63</v>
      </c>
      <c r="B274" t="str">
        <f t="shared" si="16"/>
        <v>Sàiláitáng Zhèn</v>
      </c>
      <c r="C274" t="str">
        <f t="shared" si="17"/>
        <v>Sàiláitáng Zhèn</v>
      </c>
      <c r="D274" t="s">
        <v>64</v>
      </c>
      <c r="E274" t="s">
        <v>19</v>
      </c>
      <c r="F274" t="str">
        <f>_xlfn.CONCAT(D274,", ",H274,", ",I274,", ","青海省")</f>
        <v>赛来塘镇, 班玛县, 果洛藏族自治州, 青海省</v>
      </c>
      <c r="G274">
        <v>6907</v>
      </c>
      <c r="H274" t="s">
        <v>873</v>
      </c>
      <c r="I274" t="s">
        <v>871</v>
      </c>
      <c r="J274">
        <f>VLOOKUP(F274,[1]!china_towns_second__2[[Column1]:[Y]],3,FALSE)</f>
        <v>32.857750875972698</v>
      </c>
      <c r="K274">
        <f>VLOOKUP(F274,[1]!china_towns_second__2[[Column1]:[Y]],2,FALSE)</f>
        <v>100.67397889999999</v>
      </c>
      <c r="L274" t="s">
        <v>1385</v>
      </c>
      <c r="M274" t="str">
        <f>VLOOKUP(H274,CHOOSE({1,2},Table9[Native],Table9[Name]),2,0)</f>
        <v>Bānmă Xiàn</v>
      </c>
      <c r="N274" s="13" t="str">
        <f>VLOOKUP(I274,CHOOSE({1,2},Table9[Native],Table9[Name]),2,0)</f>
        <v>Guŏluò Zàngzú Zìzhìzhōu</v>
      </c>
      <c r="O274" s="13" t="str">
        <f t="shared" si="18"/>
        <v>Sailaitang Zhen (Guŏluò Zàngzú Zìzhìzhōu)</v>
      </c>
      <c r="P274" s="13" t="str">
        <f t="shared" si="19"/>
        <v>Sailaitang Zhen (Guŏluò Zàngzú Zìzhìzhōu)</v>
      </c>
    </row>
    <row r="275" spans="1:16" hidden="1" x14ac:dyDescent="0.25">
      <c r="A275" t="s">
        <v>65</v>
      </c>
      <c r="B275" t="str">
        <f t="shared" si="16"/>
        <v>Sāngrìmá Xiāng</v>
      </c>
      <c r="C275" t="str">
        <f t="shared" si="17"/>
        <v>Sāngrìmá Xiāng</v>
      </c>
      <c r="D275" t="s">
        <v>66</v>
      </c>
      <c r="E275" t="s">
        <v>7</v>
      </c>
      <c r="F275" t="str">
        <f>_xlfn.CONCAT(D275,", ",H275,", ",I275,", ","青海省")</f>
        <v>桑日麻乡, 达日县, 果洛藏族自治州, 青海省</v>
      </c>
      <c r="G275">
        <v>2383</v>
      </c>
      <c r="H275" t="s">
        <v>874</v>
      </c>
      <c r="I275" t="s">
        <v>871</v>
      </c>
      <c r="J275" t="e">
        <f>VLOOKUP(F275,[1]!china_towns_second__2[[Column1]:[Y]],3,FALSE)</f>
        <v>#N/A</v>
      </c>
      <c r="K275" t="e">
        <f>VLOOKUP(F275,[1]!china_towns_second__2[[Column1]:[Y]],2,FALSE)</f>
        <v>#N/A</v>
      </c>
      <c r="L275" t="s">
        <v>1386</v>
      </c>
      <c r="M275" t="str">
        <f>VLOOKUP(H275,CHOOSE({1,2},Table9[Native],Table9[Name]),2,0)</f>
        <v>Dárì Xiàn</v>
      </c>
      <c r="N275" s="13" t="str">
        <f>VLOOKUP(I275,CHOOSE({1,2},Table9[Native],Table9[Name]),2,0)</f>
        <v>Guŏluò Zàngzú Zìzhìzhōu</v>
      </c>
      <c r="O275" s="13" t="str">
        <f t="shared" si="18"/>
        <v>Sangrima Xiang (Guŏluò Zàngzú Zìzhìzhōu)</v>
      </c>
      <c r="P275" s="13" t="str">
        <f t="shared" si="19"/>
        <v>Sangrima Xiang (Guŏluò Zàngzú Zìzhìzhōu)</v>
      </c>
    </row>
    <row r="276" spans="1:16" x14ac:dyDescent="0.25">
      <c r="A276" t="s">
        <v>306</v>
      </c>
      <c r="B276" t="str">
        <f t="shared" si="16"/>
        <v>Sānhé Zhèn</v>
      </c>
      <c r="C276" t="str">
        <f t="shared" si="17"/>
        <v>Sānhé Zhèn</v>
      </c>
      <c r="D276" t="s">
        <v>307</v>
      </c>
      <c r="E276" t="s">
        <v>19</v>
      </c>
      <c r="F276" t="str">
        <f>_xlfn.CONCAT(D276,", ",H276,", ",I276,", ","青海省")</f>
        <v>三合镇, 平安区, 海东市, 青海省</v>
      </c>
      <c r="G276">
        <v>8411</v>
      </c>
      <c r="H276" t="s">
        <v>894</v>
      </c>
      <c r="I276" t="s">
        <v>888</v>
      </c>
      <c r="J276">
        <f>VLOOKUP(F276,[1]!china_towns_second__2[[Column1]:[Y]],3,FALSE)</f>
        <v>36.389414973484598</v>
      </c>
      <c r="K276">
        <f>VLOOKUP(F276,[1]!china_towns_second__2[[Column1]:[Y]],2,FALSE)</f>
        <v>101.9552541</v>
      </c>
      <c r="L276" t="s">
        <v>1387</v>
      </c>
      <c r="M276" t="str">
        <f>VLOOKUP(H276,CHOOSE({1,2},Table9[Native],Table9[Name]),2,0)</f>
        <v>Píng'ān Qū</v>
      </c>
      <c r="N276" s="13" t="str">
        <f>VLOOKUP(I276,CHOOSE({1,2},Table9[Native],Table9[Name]),2,0)</f>
        <v>Hăidōng Shì</v>
      </c>
      <c r="O276" s="13" t="str">
        <f t="shared" si="18"/>
        <v>Sanhe Zhen (Hăidōng Shì)</v>
      </c>
      <c r="P276" s="13" t="str">
        <f t="shared" si="19"/>
        <v>Sanhe Zhen (Hăidōng Shì)</v>
      </c>
    </row>
    <row r="277" spans="1:16" x14ac:dyDescent="0.25">
      <c r="A277" t="s">
        <v>148</v>
      </c>
      <c r="B277" t="str">
        <f t="shared" si="16"/>
        <v>Sānjiăochéng Zhèn</v>
      </c>
      <c r="C277" t="str">
        <f t="shared" si="17"/>
        <v>Sānjiăochéng Zhèn</v>
      </c>
      <c r="D277" t="s">
        <v>149</v>
      </c>
      <c r="E277" t="s">
        <v>19</v>
      </c>
      <c r="F277" t="str">
        <f>_xlfn.CONCAT(D277,", ",H277,", ",I277,", ","青海省")</f>
        <v>三角城镇, 海晏县, 海北藏族自治州, 青海省</v>
      </c>
      <c r="G277">
        <v>11196</v>
      </c>
      <c r="H277" t="s">
        <v>882</v>
      </c>
      <c r="I277" t="s">
        <v>880</v>
      </c>
      <c r="J277">
        <f>VLOOKUP(F277,[1]!china_towns_second__2[[Column1]:[Y]],3,FALSE)</f>
        <v>36.833638166457398</v>
      </c>
      <c r="K277">
        <f>VLOOKUP(F277,[1]!china_towns_second__2[[Column1]:[Y]],2,FALSE)</f>
        <v>100.90688419999999</v>
      </c>
      <c r="L277" t="s">
        <v>1388</v>
      </c>
      <c r="M277" t="str">
        <f>VLOOKUP(H277,CHOOSE({1,2},Table9[Native],Table9[Name]),2,0)</f>
        <v>Hăiyàn Xiàn</v>
      </c>
      <c r="N277" s="13" t="str">
        <f>VLOOKUP(I277,CHOOSE({1,2},Table9[Native],Table9[Name]),2,0)</f>
        <v>Hăibĕi Zàngzú Zìzhìzhōu</v>
      </c>
      <c r="O277" s="13" t="str">
        <f t="shared" si="18"/>
        <v>Sanjiaocheng Zhen (Hăibĕi Zàngzú Zìzhìzhōu)</v>
      </c>
      <c r="P277" s="13" t="str">
        <f t="shared" si="19"/>
        <v>Sanjiaocheng Zhen (Hăibĕi Zàngzú Zìzhìzhōu)</v>
      </c>
    </row>
    <row r="278" spans="1:16" hidden="1" x14ac:dyDescent="0.25">
      <c r="A278" t="s">
        <v>150</v>
      </c>
      <c r="B278" t="str">
        <f t="shared" si="16"/>
        <v>Sānjiăochéng Zhŏngyángchăng</v>
      </c>
      <c r="C278" t="str">
        <f t="shared" si="17"/>
        <v>Sānjiăochéng Zhŏngyángchăng</v>
      </c>
      <c r="D278" t="s">
        <v>151</v>
      </c>
      <c r="E278" t="s">
        <v>133</v>
      </c>
      <c r="F278" t="str">
        <f>_xlfn.CONCAT(D278,", ",H278,", ",I278,", ","青海省")</f>
        <v>三角城种羊场, 刚察县, 海北藏族自治州, 青海省</v>
      </c>
      <c r="G278">
        <v>1963</v>
      </c>
      <c r="H278" t="s">
        <v>881</v>
      </c>
      <c r="I278" t="s">
        <v>880</v>
      </c>
      <c r="J278">
        <f>VLOOKUP(F278,[1]!china_towns_second__2[[Column1]:[Y]],3,FALSE)</f>
        <v>37.334991596616298</v>
      </c>
      <c r="K278">
        <f>VLOOKUP(F278,[1]!china_towns_second__2[[Column1]:[Y]],2,FALSE)</f>
        <v>100.2453927</v>
      </c>
      <c r="L278" t="s">
        <v>1389</v>
      </c>
      <c r="M278" t="str">
        <f>VLOOKUP(H278,CHOOSE({1,2},Table9[Native],Table9[Name]),2,0)</f>
        <v>Gāngchá Xiàn</v>
      </c>
      <c r="N278" s="13" t="str">
        <f>VLOOKUP(I278,CHOOSE({1,2},Table9[Native],Table9[Name]),2,0)</f>
        <v>Hăibĕi Zàngzú Zìzhìzhōu</v>
      </c>
      <c r="O278" s="13" t="str">
        <f t="shared" si="18"/>
        <v>Sanjiaocheng Zhongyangchang (Hăibĕi Zàngzú Zìzhìzhōu)</v>
      </c>
      <c r="P278" s="13" t="str">
        <f t="shared" si="19"/>
        <v>Sanjiaocheng Zhongyangchang (Hăibĕi Zàngzú Zìzhìzhōu)</v>
      </c>
    </row>
    <row r="279" spans="1:16" x14ac:dyDescent="0.25">
      <c r="A279" t="s">
        <v>429</v>
      </c>
      <c r="B279" t="str">
        <f t="shared" si="16"/>
        <v>Sēnduō Zhèn</v>
      </c>
      <c r="C279" t="str">
        <f t="shared" si="17"/>
        <v>Sēnduō Zhèn</v>
      </c>
      <c r="D279" t="s">
        <v>430</v>
      </c>
      <c r="E279" t="s">
        <v>19</v>
      </c>
      <c r="F279" t="str">
        <f>_xlfn.CONCAT(D279,", ",H279,", ",I279,", ","青海省")</f>
        <v>森多镇, 贵南县, 海南藏族自治州, 青海省</v>
      </c>
      <c r="G279">
        <v>14346</v>
      </c>
      <c r="H279" t="s">
        <v>900</v>
      </c>
      <c r="I279" t="s">
        <v>897</v>
      </c>
      <c r="J279">
        <f>VLOOKUP(F279,[1]!china_towns_second__2[[Column1]:[Y]],3,FALSE)</f>
        <v>35.472644815337901</v>
      </c>
      <c r="K279">
        <f>VLOOKUP(F279,[1]!china_towns_second__2[[Column1]:[Y]],2,FALSE)</f>
        <v>101.1378902</v>
      </c>
      <c r="L279" t="s">
        <v>1390</v>
      </c>
      <c r="M279" t="str">
        <f>VLOOKUP(H279,CHOOSE({1,2},Table9[Native],Table9[Name]),2,0)</f>
        <v>Guìnán Xiàn</v>
      </c>
      <c r="N279" s="13" t="str">
        <f>VLOOKUP(I279,CHOOSE({1,2},Table9[Native],Table9[Name]),2,0)</f>
        <v>Hăinán Zàngzú Zìzhìzhōu</v>
      </c>
      <c r="O279" s="13" t="str">
        <f t="shared" si="18"/>
        <v>Senduo Zhen (Hăinán Zàngzú Zìzhìzhōu)</v>
      </c>
      <c r="P279" s="13" t="str">
        <f t="shared" si="19"/>
        <v>Senduo Zhen (Hăinán Zàngzú Zìzhìzhōu)</v>
      </c>
    </row>
    <row r="280" spans="1:16" hidden="1" x14ac:dyDescent="0.25">
      <c r="A280" t="s">
        <v>308</v>
      </c>
      <c r="B280" t="str">
        <f t="shared" si="16"/>
        <v>Shāgōu Xiāng (Hăidōng Shì)</v>
      </c>
      <c r="C280" t="str">
        <f t="shared" si="17"/>
        <v>Shāgōu Xiāng (Hăidōng Shì)</v>
      </c>
      <c r="D280" t="s">
        <v>309</v>
      </c>
      <c r="E280" t="s">
        <v>7</v>
      </c>
      <c r="F280" t="str">
        <f>_xlfn.CONCAT(D280,", ",H280,", ",I280,", ","青海省")</f>
        <v>沙沟乡, 平安区, 海东市, 青海省</v>
      </c>
      <c r="G280">
        <v>7496</v>
      </c>
      <c r="H280" t="s">
        <v>894</v>
      </c>
      <c r="I280" t="s">
        <v>888</v>
      </c>
      <c r="J280" t="e">
        <f>VLOOKUP(F280,[1]!china_towns_second__2[[Column1]:[Y]],3,FALSE)</f>
        <v>#N/A</v>
      </c>
      <c r="K280" t="e">
        <f>VLOOKUP(F280,[1]!china_towns_second__2[[Column1]:[Y]],2,FALSE)</f>
        <v>#N/A</v>
      </c>
      <c r="L280" t="s">
        <v>1391</v>
      </c>
      <c r="M280" t="str">
        <f>VLOOKUP(H280,CHOOSE({1,2},Table9[Native],Table9[Name]),2,0)</f>
        <v>Píng'ān Qū</v>
      </c>
      <c r="N280" s="13" t="str">
        <f>VLOOKUP(I280,CHOOSE({1,2},Table9[Native],Table9[Name]),2,0)</f>
        <v>Hăidōng Shì</v>
      </c>
      <c r="O280" s="13" t="str">
        <f t="shared" si="18"/>
        <v>Shagou Xiang (Haidong Shi) (Hăidōng Shì)</v>
      </c>
      <c r="P280" s="13" t="str">
        <f t="shared" si="19"/>
        <v>Shagou Xiang (Haidong Shi) (Hăidōng Shì)</v>
      </c>
    </row>
    <row r="281" spans="1:16" hidden="1" x14ac:dyDescent="0.25">
      <c r="A281" t="s">
        <v>308</v>
      </c>
      <c r="B281" t="str">
        <f t="shared" si="16"/>
        <v>Shāgōu Xiāng (Hăinán Zàngzú Zìzhìzhōu)</v>
      </c>
      <c r="C281" t="str">
        <f t="shared" si="17"/>
        <v>Shāgōu Xiāng (Hăinán Zàngzú Zìzhìzhōu)</v>
      </c>
      <c r="D281" t="s">
        <v>309</v>
      </c>
      <c r="E281" t="s">
        <v>7</v>
      </c>
      <c r="F281" t="str">
        <f>_xlfn.CONCAT(D281,", ",H281,", ",I281,", ","青海省")</f>
        <v>沙沟乡, 贵南县, 海南藏族自治州, 青海省</v>
      </c>
      <c r="G281">
        <v>7786</v>
      </c>
      <c r="H281" t="s">
        <v>900</v>
      </c>
      <c r="I281" t="s">
        <v>897</v>
      </c>
      <c r="J281" t="e">
        <f>VLOOKUP(F281,[1]!china_towns_second__2[[Column1]:[Y]],3,FALSE)</f>
        <v>#N/A</v>
      </c>
      <c r="K281" t="e">
        <f>VLOOKUP(F281,[1]!china_towns_second__2[[Column1]:[Y]],2,FALSE)</f>
        <v>#N/A</v>
      </c>
      <c r="L281" t="s">
        <v>1392</v>
      </c>
      <c r="M281" t="str">
        <f>VLOOKUP(H281,CHOOSE({1,2},Table9[Native],Table9[Name]),2,0)</f>
        <v>Guìnán Xiàn</v>
      </c>
      <c r="N281" s="13" t="str">
        <f>VLOOKUP(I281,CHOOSE({1,2},Table9[Native],Table9[Name]),2,0)</f>
        <v>Hăinán Zàngzú Zìzhìzhōu</v>
      </c>
      <c r="O281" s="13" t="str">
        <f t="shared" si="18"/>
        <v>Shagou Xiang (Hainan Zangzu Zizhizhou) (Hăinán Zàngzú Zìzhìzhōu)</v>
      </c>
      <c r="P281" s="13" t="str">
        <f t="shared" si="19"/>
        <v>Shagou Xiang (Hainan Zangzu Zizhizhou) (Hăinán Zàngzú Zìzhìzhōu)</v>
      </c>
    </row>
    <row r="282" spans="1:16" hidden="1" x14ac:dyDescent="0.25">
      <c r="A282" t="s">
        <v>310</v>
      </c>
      <c r="B282" t="str">
        <f t="shared" si="16"/>
        <v>Shāliánbăo Xiāng</v>
      </c>
      <c r="C282" t="str">
        <f t="shared" si="17"/>
        <v>Shāliánbăo Xiāng</v>
      </c>
      <c r="D282" t="s">
        <v>311</v>
      </c>
      <c r="E282" t="s">
        <v>7</v>
      </c>
      <c r="F282" t="str">
        <f>_xlfn.CONCAT(D282,", ",H282,", ",I282,", ","青海省")</f>
        <v>沙连堡乡, 化隆回族自治县, 海东市, 青海省</v>
      </c>
      <c r="G282">
        <v>4106</v>
      </c>
      <c r="H282" t="s">
        <v>889</v>
      </c>
      <c r="I282" t="s">
        <v>888</v>
      </c>
      <c r="J282" t="e">
        <f>VLOOKUP(F282,[1]!china_towns_second__2[[Column1]:[Y]],3,FALSE)</f>
        <v>#N/A</v>
      </c>
      <c r="K282" t="e">
        <f>VLOOKUP(F282,[1]!china_towns_second__2[[Column1]:[Y]],2,FALSE)</f>
        <v>#N/A</v>
      </c>
      <c r="L282" t="s">
        <v>1393</v>
      </c>
      <c r="M282" t="str">
        <f>VLOOKUP(H282,CHOOSE({1,2},Table9[Native],Table9[Name]),2,0)</f>
        <v>Huàlóng Huízú Zìzhìxiàn</v>
      </c>
      <c r="N282" s="13" t="str">
        <f>VLOOKUP(I282,CHOOSE({1,2},Table9[Native],Table9[Name]),2,0)</f>
        <v>Hăidōng Shì</v>
      </c>
      <c r="O282" s="13" t="str">
        <f t="shared" si="18"/>
        <v>Shalianbao Xiang (Hăidōng Shì)</v>
      </c>
      <c r="P282" s="13" t="str">
        <f t="shared" si="19"/>
        <v>Shalianbao Xiang (Hăidōng Shì)</v>
      </c>
    </row>
    <row r="283" spans="1:16" x14ac:dyDescent="0.25">
      <c r="A283" t="s">
        <v>152</v>
      </c>
      <c r="B283" t="str">
        <f t="shared" si="16"/>
        <v>Shāliŭhé Zhèn</v>
      </c>
      <c r="C283" t="str">
        <f t="shared" si="17"/>
        <v>Shāliŭhé Zhèn</v>
      </c>
      <c r="D283" t="s">
        <v>153</v>
      </c>
      <c r="E283" t="s">
        <v>19</v>
      </c>
      <c r="F283" t="str">
        <f>_xlfn.CONCAT(D283,", ",H283,", ",I283,", ","青海省")</f>
        <v>沙柳河镇, 刚察县, 海北藏族自治州, 青海省</v>
      </c>
      <c r="G283">
        <v>12964</v>
      </c>
      <c r="H283" t="s">
        <v>881</v>
      </c>
      <c r="I283" t="s">
        <v>880</v>
      </c>
      <c r="J283">
        <f>VLOOKUP(F283,[1]!china_towns_second__2[[Column1]:[Y]],3,FALSE)</f>
        <v>37.538142035959403</v>
      </c>
      <c r="K283">
        <f>VLOOKUP(F283,[1]!china_towns_second__2[[Column1]:[Y]],2,FALSE)</f>
        <v>100.19686539999999</v>
      </c>
      <c r="L283" t="s">
        <v>1394</v>
      </c>
      <c r="M283" t="str">
        <f>VLOOKUP(H283,CHOOSE({1,2},Table9[Native],Table9[Name]),2,0)</f>
        <v>Gāngchá Xiàn</v>
      </c>
      <c r="N283" s="13" t="str">
        <f>VLOOKUP(I283,CHOOSE({1,2},Table9[Native],Table9[Name]),2,0)</f>
        <v>Hăibĕi Zàngzú Zìzhìzhōu</v>
      </c>
      <c r="O283" s="13" t="str">
        <f t="shared" si="18"/>
        <v>Shaliuhe Zhen (Hăibĕi Zàngzú Zìzhìzhōu)</v>
      </c>
      <c r="P283" s="13" t="str">
        <f t="shared" si="19"/>
        <v>Shaliuhe Zhen (Hăibĕi Zàngzú Zìzhìzhōu)</v>
      </c>
    </row>
    <row r="284" spans="1:16" hidden="1" x14ac:dyDescent="0.25">
      <c r="A284" t="s">
        <v>67</v>
      </c>
      <c r="B284" t="str">
        <f t="shared" si="16"/>
        <v>Shànggòngmá Xiāng</v>
      </c>
      <c r="C284" t="str">
        <f t="shared" si="17"/>
        <v>Shànggòngmá Xiāng</v>
      </c>
      <c r="D284" t="s">
        <v>68</v>
      </c>
      <c r="E284" t="s">
        <v>7</v>
      </c>
      <c r="F284" t="str">
        <f>_xlfn.CONCAT(D284,", ",H284,", ",I284,", ","青海省")</f>
        <v>上贡麻乡, 甘德县, 果洛藏族自治州, 青海省</v>
      </c>
      <c r="G284">
        <v>2957</v>
      </c>
      <c r="H284" t="s">
        <v>875</v>
      </c>
      <c r="I284" t="s">
        <v>871</v>
      </c>
      <c r="J284" t="e">
        <f>VLOOKUP(F284,[1]!china_towns_second__2[[Column1]:[Y]],3,FALSE)</f>
        <v>#N/A</v>
      </c>
      <c r="K284" t="e">
        <f>VLOOKUP(F284,[1]!china_towns_second__2[[Column1]:[Y]],2,FALSE)</f>
        <v>#N/A</v>
      </c>
      <c r="L284" t="s">
        <v>1395</v>
      </c>
      <c r="M284" t="str">
        <f>VLOOKUP(H284,CHOOSE({1,2},Table9[Native],Table9[Name]),2,0)</f>
        <v>Gāndé Xiàn</v>
      </c>
      <c r="N284" s="13" t="str">
        <f>VLOOKUP(I284,CHOOSE({1,2},Table9[Native],Table9[Name]),2,0)</f>
        <v>Guŏluò Zàngzú Zìzhìzhōu</v>
      </c>
      <c r="O284" s="13" t="str">
        <f t="shared" si="18"/>
        <v>Shanggongma Xiang (Guŏluò Zàngzú Zìzhìzhōu)</v>
      </c>
      <c r="P284" s="13" t="str">
        <f t="shared" si="19"/>
        <v>Shanggongma Xiang (Guŏluò Zàngzú Zìzhìzhōu)</v>
      </c>
    </row>
    <row r="285" spans="1:16" hidden="1" x14ac:dyDescent="0.25">
      <c r="A285" t="s">
        <v>69</v>
      </c>
      <c r="B285" t="str">
        <f t="shared" si="16"/>
        <v>Shànghóngkē Xiāng</v>
      </c>
      <c r="C285" t="str">
        <f t="shared" si="17"/>
        <v>Shànghóngkē Xiāng</v>
      </c>
      <c r="D285" t="s">
        <v>70</v>
      </c>
      <c r="E285" t="s">
        <v>7</v>
      </c>
      <c r="F285" t="str">
        <f>_xlfn.CONCAT(D285,", ",H285,", ",I285,", ","青海省")</f>
        <v>上红科乡, 达日县, 果洛藏族自治州, 青海省</v>
      </c>
      <c r="G285">
        <v>3258</v>
      </c>
      <c r="H285" t="s">
        <v>874</v>
      </c>
      <c r="I285" t="s">
        <v>871</v>
      </c>
      <c r="J285" t="e">
        <f>VLOOKUP(F285,[1]!china_towns_second__2[[Column1]:[Y]],3,FALSE)</f>
        <v>#N/A</v>
      </c>
      <c r="K285" t="e">
        <f>VLOOKUP(F285,[1]!china_towns_second__2[[Column1]:[Y]],2,FALSE)</f>
        <v>#N/A</v>
      </c>
      <c r="L285" t="s">
        <v>1396</v>
      </c>
      <c r="M285" t="str">
        <f>VLOOKUP(H285,CHOOSE({1,2},Table9[Native],Table9[Name]),2,0)</f>
        <v>Dárì Xiàn</v>
      </c>
      <c r="N285" s="13" t="str">
        <f>VLOOKUP(I285,CHOOSE({1,2},Table9[Native],Table9[Name]),2,0)</f>
        <v>Guŏluò Zàngzú Zìzhìzhōu</v>
      </c>
      <c r="O285" s="13" t="str">
        <f t="shared" si="18"/>
        <v>Shanghongke Xiang (Guŏluò Zàngzú Zìzhìzhōu)</v>
      </c>
      <c r="P285" s="13" t="str">
        <f t="shared" si="19"/>
        <v>Shanghongke Xiang (Guŏluò Zàngzú Zìzhìzhōu)</v>
      </c>
    </row>
    <row r="286" spans="1:16" hidden="1" x14ac:dyDescent="0.25">
      <c r="A286" t="s">
        <v>838</v>
      </c>
      <c r="B286" t="str">
        <f t="shared" si="16"/>
        <v>Shànglāxiù Xiāng</v>
      </c>
      <c r="C286" t="str">
        <f t="shared" si="17"/>
        <v>Shànglāxiù Xiāng</v>
      </c>
      <c r="D286" t="s">
        <v>839</v>
      </c>
      <c r="E286" t="s">
        <v>7</v>
      </c>
      <c r="F286" t="str">
        <f>_xlfn.CONCAT(D286,", ",H286,", ",I286,", ","青海省")</f>
        <v>上拉秀乡, 玉树市, 玉树藏族自治州, 青海省</v>
      </c>
      <c r="G286">
        <v>8028</v>
      </c>
      <c r="H286" t="s">
        <v>936</v>
      </c>
      <c r="I286" t="s">
        <v>932</v>
      </c>
      <c r="J286" t="e">
        <f>VLOOKUP(F286,[1]!china_towns_second__2[[Column1]:[Y]],3,FALSE)</f>
        <v>#N/A</v>
      </c>
      <c r="K286" t="e">
        <f>VLOOKUP(F286,[1]!china_towns_second__2[[Column1]:[Y]],2,FALSE)</f>
        <v>#N/A</v>
      </c>
      <c r="L286" t="s">
        <v>1397</v>
      </c>
      <c r="M286" t="str">
        <f>VLOOKUP(H286,CHOOSE({1,2},Table9[Native],Table9[Name]),2,0)</f>
        <v>Yùshù Shì</v>
      </c>
      <c r="N286" s="13" t="str">
        <f>VLOOKUP(I286,CHOOSE({1,2},Table9[Native],Table9[Name]),2,0)</f>
        <v>Yùshù Zàngzú Zìzhìzhōu</v>
      </c>
      <c r="O286" s="13" t="str">
        <f t="shared" si="18"/>
        <v>Shanglaxiu Xiang (Yùshù Zàngzú Zìzhìzhōu)</v>
      </c>
      <c r="P286" s="13" t="str">
        <f t="shared" si="19"/>
        <v>Shanglaxiu Xiang (Yùshù Zàngzú Zìzhìzhōu)</v>
      </c>
    </row>
    <row r="287" spans="1:16" x14ac:dyDescent="0.25">
      <c r="A287" t="s">
        <v>728</v>
      </c>
      <c r="B287" t="str">
        <f t="shared" si="16"/>
        <v>Shàngwŭzhuāng Zhèn</v>
      </c>
      <c r="C287" t="str">
        <f t="shared" si="17"/>
        <v>Shàngwŭzhuāng Zhèn</v>
      </c>
      <c r="D287" t="s">
        <v>729</v>
      </c>
      <c r="E287" t="s">
        <v>19</v>
      </c>
      <c r="F287" t="str">
        <f>_xlfn.CONCAT(D287,", ",H287,", ",I287,", ","青海省")</f>
        <v>上五庄镇, 湟中区, 西宁市, 青海省</v>
      </c>
      <c r="G287">
        <v>27669</v>
      </c>
      <c r="H287" t="s">
        <v>930</v>
      </c>
      <c r="I287" t="s">
        <v>923</v>
      </c>
      <c r="J287">
        <f>VLOOKUP(F287,[1]!china_towns_second__2[[Column1]:[Y]],3,FALSE)</f>
        <v>36.887981920865499</v>
      </c>
      <c r="K287">
        <f>VLOOKUP(F287,[1]!china_towns_second__2[[Column1]:[Y]],2,FALSE)</f>
        <v>101.3412</v>
      </c>
      <c r="L287" t="s">
        <v>1398</v>
      </c>
      <c r="M287" t="str">
        <f>VLOOKUP(H287,CHOOSE({1,2},Table9[Native],Table9[Name]),2,0)</f>
        <v>Huángzhōng Qū</v>
      </c>
      <c r="N287" s="13" t="str">
        <f>VLOOKUP(I287,CHOOSE({1,2},Table9[Native],Table9[Name]),2,0)</f>
        <v>Xīníng Shì</v>
      </c>
      <c r="O287" s="13" t="str">
        <f t="shared" si="18"/>
        <v>Shangwuzhuang Zhen (Xīníng Shì)</v>
      </c>
      <c r="P287" s="13" t="str">
        <f t="shared" si="19"/>
        <v>Shangwuzhuang Zhen (Xīníng Shì)</v>
      </c>
    </row>
    <row r="288" spans="1:16" x14ac:dyDescent="0.25">
      <c r="A288" t="s">
        <v>730</v>
      </c>
      <c r="B288" t="str">
        <f t="shared" si="16"/>
        <v>Shàngxīnzhuāng Zhèn</v>
      </c>
      <c r="C288" t="str">
        <f t="shared" si="17"/>
        <v>Shàngxīnzhuāng Zhèn</v>
      </c>
      <c r="D288" t="s">
        <v>731</v>
      </c>
      <c r="E288" t="s">
        <v>19</v>
      </c>
      <c r="F288" t="str">
        <f>_xlfn.CONCAT(D288,", ",H288,", ",I288,", ","青海省")</f>
        <v>上新庄镇, 湟中区, 西宁市, 青海省</v>
      </c>
      <c r="G288">
        <v>32437</v>
      </c>
      <c r="H288" t="s">
        <v>930</v>
      </c>
      <c r="I288" t="s">
        <v>923</v>
      </c>
      <c r="J288">
        <f>VLOOKUP(F288,[1]!china_towns_second__2[[Column1]:[Y]],3,FALSE)</f>
        <v>36.400341411278703</v>
      </c>
      <c r="K288">
        <f>VLOOKUP(F288,[1]!china_towns_second__2[[Column1]:[Y]],2,FALSE)</f>
        <v>101.5597033</v>
      </c>
      <c r="L288" t="s">
        <v>1399</v>
      </c>
      <c r="M288" t="str">
        <f>VLOOKUP(H288,CHOOSE({1,2},Table9[Native],Table9[Name]),2,0)</f>
        <v>Huángzhōng Qū</v>
      </c>
      <c r="N288" s="13" t="str">
        <f>VLOOKUP(I288,CHOOSE({1,2},Table9[Native],Table9[Name]),2,0)</f>
        <v>Xīníng Shì</v>
      </c>
      <c r="O288" s="13" t="str">
        <f t="shared" si="18"/>
        <v>Shangxinzhuang Zhen (Xīníng Shì)</v>
      </c>
      <c r="P288" s="13" t="str">
        <f t="shared" si="19"/>
        <v>Shangxinzhuang Zhen (Xīníng Shì)</v>
      </c>
    </row>
    <row r="289" spans="1:16" hidden="1" x14ac:dyDescent="0.25">
      <c r="A289" t="s">
        <v>431</v>
      </c>
      <c r="B289" t="str">
        <f t="shared" si="16"/>
        <v>Shāzhūyù Xiāng</v>
      </c>
      <c r="C289" t="str">
        <f t="shared" si="17"/>
        <v>Shāzhūyù Xiāng</v>
      </c>
      <c r="D289" t="s">
        <v>432</v>
      </c>
      <c r="E289" t="s">
        <v>7</v>
      </c>
      <c r="F289" t="str">
        <f>_xlfn.CONCAT(D289,", ",H289,", ",I289,", ","青海省")</f>
        <v>沙珠玉乡, 共和县, 海南藏族自治州, 青海省</v>
      </c>
      <c r="G289">
        <v>5153</v>
      </c>
      <c r="H289" t="s">
        <v>898</v>
      </c>
      <c r="I289" t="s">
        <v>897</v>
      </c>
      <c r="J289" t="e">
        <f>VLOOKUP(F289,[1]!china_towns_second__2[[Column1]:[Y]],3,FALSE)</f>
        <v>#N/A</v>
      </c>
      <c r="K289" t="e">
        <f>VLOOKUP(F289,[1]!china_towns_second__2[[Column1]:[Y]],2,FALSE)</f>
        <v>#N/A</v>
      </c>
      <c r="L289" t="s">
        <v>1400</v>
      </c>
      <c r="M289" t="str">
        <f>VLOOKUP(H289,CHOOSE({1,2},Table9[Native],Table9[Name]),2,0)</f>
        <v>Gònghé Xiàn</v>
      </c>
      <c r="N289" s="13" t="str">
        <f>VLOOKUP(I289,CHOOSE({1,2},Table9[Native],Table9[Name]),2,0)</f>
        <v>Hăinán Zàngzú Zìzhìzhōu</v>
      </c>
      <c r="O289" s="13" t="str">
        <f t="shared" si="18"/>
        <v>Shazhuyu Xiang (Hăinán Zàngzú Zìzhìzhōu)</v>
      </c>
      <c r="P289" s="13" t="str">
        <f t="shared" si="19"/>
        <v>Shazhuyu Xiang (Hăinán Zàngzú Zìzhìzhōu)</v>
      </c>
    </row>
    <row r="290" spans="1:16" hidden="1" x14ac:dyDescent="0.25">
      <c r="A290" t="s">
        <v>433</v>
      </c>
      <c r="B290" t="str">
        <f t="shared" si="16"/>
        <v>Shĕng Mùcăo Liángzhŏng Fánzhí Chăng</v>
      </c>
      <c r="C290" t="str">
        <f t="shared" si="17"/>
        <v>Shĕng Mùcăo Liángzhŏng Fánzhí Chăng</v>
      </c>
      <c r="D290" t="s">
        <v>434</v>
      </c>
      <c r="E290" t="s">
        <v>133</v>
      </c>
      <c r="F290" t="str">
        <f>_xlfn.CONCAT(D290,", ",H290,", ",I290,", ","青海省")</f>
        <v>省牧草良种繁殖场, 同德县, 海南藏族自治州, 青海省</v>
      </c>
      <c r="G290">
        <v>2323</v>
      </c>
      <c r="H290" t="s">
        <v>901</v>
      </c>
      <c r="I290" t="s">
        <v>897</v>
      </c>
      <c r="J290">
        <f>VLOOKUP(F290,[1]!china_towns_second__2[[Column1]:[Y]],3,FALSE)</f>
        <v>35.242191838971102</v>
      </c>
      <c r="K290">
        <f>VLOOKUP(F290,[1]!china_towns_second__2[[Column1]:[Y]],2,FALSE)</f>
        <v>100.76941480000001</v>
      </c>
      <c r="L290" t="s">
        <v>1401</v>
      </c>
      <c r="M290" t="str">
        <f>VLOOKUP(H290,CHOOSE({1,2},Table9[Native],Table9[Name]),2,0)</f>
        <v>Tóngdé Xiàn</v>
      </c>
      <c r="N290" s="13" t="str">
        <f>VLOOKUP(I290,CHOOSE({1,2},Table9[Native],Table9[Name]),2,0)</f>
        <v>Hăinán Zàngzú Zìzhìzhōu</v>
      </c>
      <c r="O290" s="13" t="str">
        <f t="shared" si="18"/>
        <v>Sheng Mucao Liangzhong Fanzhi Chang (Hăinán Zàngzú Zìzhìzhōu)</v>
      </c>
      <c r="P290" s="13" t="str">
        <f t="shared" si="19"/>
        <v>Sheng Mucao Liangzhong Fanzhi Chang (Hăinán Zàngzú Zìzhìzhōu)</v>
      </c>
    </row>
    <row r="291" spans="1:16" hidden="1" x14ac:dyDescent="0.25">
      <c r="A291" t="s">
        <v>523</v>
      </c>
      <c r="B291" t="str">
        <f t="shared" si="16"/>
        <v>Shēnggé Xiāng</v>
      </c>
      <c r="C291" t="str">
        <f t="shared" si="17"/>
        <v>Shēnggé Xiāng</v>
      </c>
      <c r="D291" t="s">
        <v>524</v>
      </c>
      <c r="E291" t="s">
        <v>7</v>
      </c>
      <c r="F291" t="str">
        <f>_xlfn.CONCAT(D291,", ",H291,", ",I291,", ","青海省")</f>
        <v>生格乡, 天峻县, 海西蒙古族藏族自治州, 青海省</v>
      </c>
      <c r="G291">
        <v>962</v>
      </c>
      <c r="H291" t="s">
        <v>914</v>
      </c>
      <c r="I291" t="s">
        <v>905</v>
      </c>
      <c r="J291" t="e">
        <f>VLOOKUP(F291,[1]!china_towns_second__2[[Column1]:[Y]],3,FALSE)</f>
        <v>#N/A</v>
      </c>
      <c r="K291" t="e">
        <f>VLOOKUP(F291,[1]!china_towns_second__2[[Column1]:[Y]],2,FALSE)</f>
        <v>#N/A</v>
      </c>
      <c r="L291" t="s">
        <v>1402</v>
      </c>
      <c r="M291" t="str">
        <f>VLOOKUP(H291,CHOOSE({1,2},Table9[Native],Table9[Name]),2,0)</f>
        <v>Tiānjùn Xiàn</v>
      </c>
      <c r="N291" s="13" t="str">
        <f>VLOOKUP(I291,CHOOSE({1,2},Table9[Native],Table9[Name]),2,0)</f>
        <v>Hăixī Mĕnggŭzú Zàngzú Zìzhìzhōu</v>
      </c>
      <c r="O291" s="13" t="str">
        <f t="shared" si="18"/>
        <v>Shengge Xiang (Hăixī Mĕnggŭzú Zàngzú Zìzhìzhōu)</v>
      </c>
      <c r="P291" s="13" t="str">
        <f t="shared" si="19"/>
        <v>Shengge Xiang (Hăixī Mĕnggŭzú Zàngzú Zìzhìzhōu)</v>
      </c>
    </row>
    <row r="292" spans="1:16" hidden="1" x14ac:dyDescent="0.25">
      <c r="A292" t="s">
        <v>732</v>
      </c>
      <c r="B292" t="str">
        <f t="shared" si="16"/>
        <v>Shènglìlù Jiēdào</v>
      </c>
      <c r="C292" t="str">
        <f t="shared" si="17"/>
        <v>Shènglìlù Jiēdào</v>
      </c>
      <c r="D292" t="s">
        <v>733</v>
      </c>
      <c r="E292" t="s">
        <v>488</v>
      </c>
      <c r="F292" t="str">
        <f>_xlfn.CONCAT(D292,", ",H292,", ",I292,", ","青海省")</f>
        <v>胜利路街道, 城西区, 西宁市, 青海省</v>
      </c>
      <c r="G292">
        <v>28600</v>
      </c>
      <c r="H292" t="s">
        <v>926</v>
      </c>
      <c r="I292" t="s">
        <v>923</v>
      </c>
      <c r="J292">
        <f>VLOOKUP(F292,[1]!china_towns_second__2[[Column1]:[Y]],3,FALSE)</f>
        <v>36.6353220437977</v>
      </c>
      <c r="K292">
        <f>VLOOKUP(F292,[1]!china_towns_second__2[[Column1]:[Y]],2,FALSE)</f>
        <v>101.7602169</v>
      </c>
      <c r="L292" t="s">
        <v>1403</v>
      </c>
      <c r="M292" t="str">
        <f>VLOOKUP(H292,CHOOSE({1,2},Table9[Native],Table9[Name]),2,0)</f>
        <v>Chéngxī Qū</v>
      </c>
      <c r="N292" s="13" t="str">
        <f>VLOOKUP(I292,CHOOSE({1,2},Table9[Native],Table9[Name]),2,0)</f>
        <v>Xīníng Shì</v>
      </c>
      <c r="O292" s="13" t="str">
        <f t="shared" si="18"/>
        <v>Shenglilu Jiedao (Xīníng Shì)</v>
      </c>
      <c r="P292" s="13" t="str">
        <f t="shared" si="19"/>
        <v>Shenglilu Jiedao (Xīníng Shì)</v>
      </c>
    </row>
    <row r="293" spans="1:16" hidden="1" x14ac:dyDescent="0.25">
      <c r="A293" t="s">
        <v>734</v>
      </c>
      <c r="B293" t="str">
        <f t="shared" si="16"/>
        <v>Shēnzhōng Xiāng</v>
      </c>
      <c r="C293" t="str">
        <f t="shared" si="17"/>
        <v>Shēnzhōng Xiāng</v>
      </c>
      <c r="D293" t="s">
        <v>735</v>
      </c>
      <c r="E293" t="s">
        <v>7</v>
      </c>
      <c r="F293" t="str">
        <f>_xlfn.CONCAT(D293,", ",H293,", ",I293,", ","青海省")</f>
        <v>申中乡, 湟源县, 西宁市, 青海省</v>
      </c>
      <c r="G293">
        <v>14594</v>
      </c>
      <c r="H293" t="s">
        <v>929</v>
      </c>
      <c r="I293" t="s">
        <v>923</v>
      </c>
      <c r="J293" t="e">
        <f>VLOOKUP(F293,[1]!china_towns_second__2[[Column1]:[Y]],3,FALSE)</f>
        <v>#N/A</v>
      </c>
      <c r="K293" t="e">
        <f>VLOOKUP(F293,[1]!china_towns_second__2[[Column1]:[Y]],2,FALSE)</f>
        <v>#N/A</v>
      </c>
      <c r="L293" t="s">
        <v>1404</v>
      </c>
      <c r="M293" t="str">
        <f>VLOOKUP(H293,CHOOSE({1,2},Table9[Native],Table9[Name]),2,0)</f>
        <v>Huángyuán Xiàn</v>
      </c>
      <c r="N293" s="13" t="str">
        <f>VLOOKUP(I293,CHOOSE({1,2},Table9[Native],Table9[Name]),2,0)</f>
        <v>Xīníng Shì</v>
      </c>
      <c r="O293" s="13" t="str">
        <f t="shared" si="18"/>
        <v>Shenzhong Xiang (Xīníng Shì)</v>
      </c>
      <c r="P293" s="13" t="str">
        <f t="shared" si="19"/>
        <v>Shenzhong Xiang (Xīníng Shì)</v>
      </c>
    </row>
    <row r="294" spans="1:16" hidden="1" x14ac:dyDescent="0.25">
      <c r="A294" t="s">
        <v>312</v>
      </c>
      <c r="B294" t="str">
        <f t="shared" si="16"/>
        <v>Shídàcāng Xiāng</v>
      </c>
      <c r="C294" t="str">
        <f t="shared" si="17"/>
        <v>Shídàcāng Xiāng</v>
      </c>
      <c r="D294" t="s">
        <v>313</v>
      </c>
      <c r="E294" t="s">
        <v>7</v>
      </c>
      <c r="F294" t="str">
        <f>_xlfn.CONCAT(D294,", ",H294,", ",I294,", ","青海省")</f>
        <v>石大仓乡, 化隆回族自治县, 海东市, 青海省</v>
      </c>
      <c r="G294">
        <v>5721</v>
      </c>
      <c r="H294" t="s">
        <v>889</v>
      </c>
      <c r="I294" t="s">
        <v>888</v>
      </c>
      <c r="J294" t="e">
        <f>VLOOKUP(F294,[1]!china_towns_second__2[[Column1]:[Y]],3,FALSE)</f>
        <v>#N/A</v>
      </c>
      <c r="K294" t="e">
        <f>VLOOKUP(F294,[1]!china_towns_second__2[[Column1]:[Y]],2,FALSE)</f>
        <v>#N/A</v>
      </c>
      <c r="L294" t="s">
        <v>1405</v>
      </c>
      <c r="M294" t="str">
        <f>VLOOKUP(H294,CHOOSE({1,2},Table9[Native],Table9[Name]),2,0)</f>
        <v>Huàlóng Huízú Zìzhìxiàn</v>
      </c>
      <c r="N294" s="13" t="str">
        <f>VLOOKUP(I294,CHOOSE({1,2},Table9[Native],Table9[Name]),2,0)</f>
        <v>Hăidōng Shì</v>
      </c>
      <c r="O294" s="13" t="str">
        <f t="shared" si="18"/>
        <v>Shidacang Xiang (Hăidōng Shì)</v>
      </c>
      <c r="P294" s="13" t="str">
        <f t="shared" si="19"/>
        <v>Shidacang Xiang (Hăidōng Shì)</v>
      </c>
    </row>
    <row r="295" spans="1:16" hidden="1" x14ac:dyDescent="0.25">
      <c r="A295" t="s">
        <v>314</v>
      </c>
      <c r="B295" t="str">
        <f t="shared" si="16"/>
        <v>Shíhuīyáo Xiāng</v>
      </c>
      <c r="C295" t="str">
        <f t="shared" si="17"/>
        <v>Shíhuīyáo Xiāng</v>
      </c>
      <c r="D295" t="s">
        <v>315</v>
      </c>
      <c r="E295" t="s">
        <v>7</v>
      </c>
      <c r="F295" t="str">
        <f>_xlfn.CONCAT(D295,", ",H295,", ",I295,", ","青海省")</f>
        <v>石灰窑乡, 平安区, 海东市, 青海省</v>
      </c>
      <c r="G295">
        <v>4849</v>
      </c>
      <c r="H295" t="s">
        <v>894</v>
      </c>
      <c r="I295" t="s">
        <v>888</v>
      </c>
      <c r="J295" t="e">
        <f>VLOOKUP(F295,[1]!china_towns_second__2[[Column1]:[Y]],3,FALSE)</f>
        <v>#N/A</v>
      </c>
      <c r="K295" t="e">
        <f>VLOOKUP(F295,[1]!china_towns_second__2[[Column1]:[Y]],2,FALSE)</f>
        <v>#N/A</v>
      </c>
      <c r="L295" t="s">
        <v>1406</v>
      </c>
      <c r="M295" t="str">
        <f>VLOOKUP(H295,CHOOSE({1,2},Table9[Native],Table9[Name]),2,0)</f>
        <v>Píng'ān Qū</v>
      </c>
      <c r="N295" s="13" t="str">
        <f>VLOOKUP(I295,CHOOSE({1,2},Table9[Native],Table9[Name]),2,0)</f>
        <v>Hăidōng Shì</v>
      </c>
      <c r="O295" s="13" t="str">
        <f t="shared" si="18"/>
        <v>Shihuiyao Xiang (Hăidōng Shì)</v>
      </c>
      <c r="P295" s="13" t="str">
        <f t="shared" si="19"/>
        <v>Shihuiyao Xiang (Hăidōng Shì)</v>
      </c>
    </row>
    <row r="296" spans="1:16" x14ac:dyDescent="0.25">
      <c r="A296" t="s">
        <v>435</v>
      </c>
      <c r="B296" t="str">
        <f t="shared" si="16"/>
        <v>Shínăihài Zhèn</v>
      </c>
      <c r="C296" t="str">
        <f t="shared" si="17"/>
        <v>Shínăihài Zhèn</v>
      </c>
      <c r="D296" t="s">
        <v>436</v>
      </c>
      <c r="E296" t="s">
        <v>19</v>
      </c>
      <c r="F296" t="str">
        <f>_xlfn.CONCAT(D296,", ",H296,", ",I296,", ","青海省")</f>
        <v>石乃亥镇, 共和县, 海南藏族自治州, 青海省</v>
      </c>
      <c r="G296">
        <v>6571</v>
      </c>
      <c r="H296" t="s">
        <v>898</v>
      </c>
      <c r="I296" t="s">
        <v>897</v>
      </c>
      <c r="J296">
        <f>VLOOKUP(F296,[1]!china_towns_second__2[[Column1]:[Y]],3,FALSE)</f>
        <v>36.838721620207799</v>
      </c>
      <c r="K296">
        <f>VLOOKUP(F296,[1]!china_towns_second__2[[Column1]:[Y]],2,FALSE)</f>
        <v>99.911646379999993</v>
      </c>
      <c r="L296" t="s">
        <v>1407</v>
      </c>
      <c r="M296" t="str">
        <f>VLOOKUP(H296,CHOOSE({1,2},Table9[Native],Table9[Name]),2,0)</f>
        <v>Gònghé Xiàn</v>
      </c>
      <c r="N296" s="13" t="str">
        <f>VLOOKUP(I296,CHOOSE({1,2},Table9[Native],Table9[Name]),2,0)</f>
        <v>Hăinán Zàngzú Zìzhìzhōu</v>
      </c>
      <c r="O296" s="13" t="str">
        <f t="shared" si="18"/>
        <v>Shinaihai Zhen (Hăinán Zàngzú Zìzhìzhōu)</v>
      </c>
      <c r="P296" s="13" t="str">
        <f t="shared" si="19"/>
        <v>Shinaihai Zhen (Hăinán Zàngzú Zìzhìzhōu)</v>
      </c>
    </row>
    <row r="297" spans="1:16" hidden="1" x14ac:dyDescent="0.25">
      <c r="A297" t="s">
        <v>736</v>
      </c>
      <c r="B297" t="str">
        <f t="shared" si="16"/>
        <v>Shíshān Xiāng</v>
      </c>
      <c r="C297" t="str">
        <f t="shared" si="17"/>
        <v>Shíshān Xiāng</v>
      </c>
      <c r="D297" t="s">
        <v>737</v>
      </c>
      <c r="E297" t="s">
        <v>7</v>
      </c>
      <c r="F297" t="str">
        <f>_xlfn.CONCAT(D297,", ",H297,", ",I297,", ","青海省")</f>
        <v>石山乡, 大通回族土族自治县, 西宁市, 青海省</v>
      </c>
      <c r="G297">
        <v>7116</v>
      </c>
      <c r="H297" t="s">
        <v>928</v>
      </c>
      <c r="I297" t="s">
        <v>923</v>
      </c>
      <c r="J297" t="e">
        <f>VLOOKUP(F297,[1]!china_towns_second__2[[Column1]:[Y]],3,FALSE)</f>
        <v>#N/A</v>
      </c>
      <c r="K297" t="e">
        <f>VLOOKUP(F297,[1]!china_towns_second__2[[Column1]:[Y]],2,FALSE)</f>
        <v>#N/A</v>
      </c>
      <c r="L297" t="s">
        <v>1408</v>
      </c>
      <c r="M297" t="str">
        <f>VLOOKUP(H297,CHOOSE({1,2},Table9[Native],Table9[Name]),2,0)</f>
        <v>Dàtōng Huízú Tŭzú Zìzhìxiàn</v>
      </c>
      <c r="N297" s="13" t="str">
        <f>VLOOKUP(I297,CHOOSE({1,2},Table9[Native],Table9[Name]),2,0)</f>
        <v>Xīníng Shì</v>
      </c>
      <c r="O297" s="13" t="str">
        <f t="shared" si="18"/>
        <v>Shishan Xiang (Xīníng Shì)</v>
      </c>
      <c r="P297" s="13" t="str">
        <f t="shared" si="19"/>
        <v>Shishan Xiang (Xīníng Shì)</v>
      </c>
    </row>
    <row r="298" spans="1:16" x14ac:dyDescent="0.25">
      <c r="A298" t="s">
        <v>316</v>
      </c>
      <c r="B298" t="str">
        <f t="shared" si="16"/>
        <v>Shòulè Zhèn</v>
      </c>
      <c r="C298" t="str">
        <f t="shared" si="17"/>
        <v>Shòulè Zhèn</v>
      </c>
      <c r="D298" t="s">
        <v>317</v>
      </c>
      <c r="E298" t="s">
        <v>19</v>
      </c>
      <c r="F298" t="str">
        <f>_xlfn.CONCAT(D298,", ",H298,", ",I298,", ","青海省")</f>
        <v>寿乐镇, 乐都区, 海东市, 青海省</v>
      </c>
      <c r="G298">
        <v>22227</v>
      </c>
      <c r="H298" t="s">
        <v>892</v>
      </c>
      <c r="I298" t="s">
        <v>888</v>
      </c>
      <c r="J298">
        <f>VLOOKUP(F298,[1]!china_towns_second__2[[Column1]:[Y]],3,FALSE)</f>
        <v>36.677160185386903</v>
      </c>
      <c r="K298">
        <f>VLOOKUP(F298,[1]!china_towns_second__2[[Column1]:[Y]],2,FALSE)</f>
        <v>102.4229718</v>
      </c>
      <c r="L298" t="s">
        <v>1409</v>
      </c>
      <c r="M298" t="str">
        <f>VLOOKUP(H298,CHOOSE({1,2},Table9[Native],Table9[Name]),2,0)</f>
        <v>Lèdū Qū</v>
      </c>
      <c r="N298" s="13" t="str">
        <f>VLOOKUP(I298,CHOOSE({1,2},Table9[Native],Table9[Name]),2,0)</f>
        <v>Hăidōng Shì</v>
      </c>
      <c r="O298" s="13" t="str">
        <f t="shared" si="18"/>
        <v>Shoule Zhen (Hăidōng Shì)</v>
      </c>
      <c r="P298" s="13" t="str">
        <f t="shared" si="19"/>
        <v>Shoule Zhen (Hăidōng Shì)</v>
      </c>
    </row>
    <row r="299" spans="1:16" hidden="1" x14ac:dyDescent="0.25">
      <c r="A299" t="s">
        <v>613</v>
      </c>
      <c r="B299" t="str">
        <f t="shared" si="16"/>
        <v>Shuāngpéngxī Xiāng</v>
      </c>
      <c r="C299" t="str">
        <f t="shared" si="17"/>
        <v>Shuāngpéngxī Xiāng</v>
      </c>
      <c r="D299" t="s">
        <v>614</v>
      </c>
      <c r="E299" t="s">
        <v>7</v>
      </c>
      <c r="F299" t="str">
        <f>_xlfn.CONCAT(D299,", ",H299,", ",I299,", ","青海省")</f>
        <v>双朋西乡, 同仁市, 黄南藏族自治州, 青海省</v>
      </c>
      <c r="G299">
        <v>3276</v>
      </c>
      <c r="H299" t="s">
        <v>920</v>
      </c>
      <c r="I299" t="s">
        <v>917</v>
      </c>
      <c r="J299" t="e">
        <f>VLOOKUP(F299,[1]!china_towns_second__2[[Column1]:[Y]],3,FALSE)</f>
        <v>#N/A</v>
      </c>
      <c r="K299" t="e">
        <f>VLOOKUP(F299,[1]!china_towns_second__2[[Column1]:[Y]],2,FALSE)</f>
        <v>#N/A</v>
      </c>
      <c r="L299" t="s">
        <v>1410</v>
      </c>
      <c r="M299" t="str">
        <f>VLOOKUP(H299,CHOOSE({1,2},Table9[Native],Table9[Name]),2,0)</f>
        <v>Tóngrén Shì</v>
      </c>
      <c r="N299" s="13" t="str">
        <f>VLOOKUP(I299,CHOOSE({1,2},Table9[Native],Table9[Name]),2,0)</f>
        <v>Huángnán Zàngzú Zìzhìzhōu</v>
      </c>
      <c r="O299" s="13" t="str">
        <f t="shared" si="18"/>
        <v>Shuangpengxi Xiang (Huángnán Zàngzú Zìzhìzhōu)</v>
      </c>
      <c r="P299" s="13" t="str">
        <f t="shared" si="19"/>
        <v>Shuangpengxi Xiang (Huángnán Zàngzú Zìzhìzhōu)</v>
      </c>
    </row>
    <row r="300" spans="1:16" hidden="1" x14ac:dyDescent="0.25">
      <c r="A300" t="s">
        <v>738</v>
      </c>
      <c r="B300" t="str">
        <f t="shared" si="16"/>
        <v>Shuòbĕi Zàngzú Xiāng</v>
      </c>
      <c r="C300" t="str">
        <f t="shared" si="17"/>
        <v>Shuòbĕi Zàngzú Xiāng</v>
      </c>
      <c r="D300" t="s">
        <v>739</v>
      </c>
      <c r="E300" t="s">
        <v>7</v>
      </c>
      <c r="F300" t="str">
        <f>_xlfn.CONCAT(D300,", ",H300,", ",I300,", ","青海省")</f>
        <v>朔北藏族乡, 大通回族土族自治县, 西宁市, 青海省</v>
      </c>
      <c r="G300">
        <v>17098</v>
      </c>
      <c r="H300" t="s">
        <v>928</v>
      </c>
      <c r="I300" t="s">
        <v>923</v>
      </c>
      <c r="J300" t="e">
        <f>VLOOKUP(F300,[1]!china_towns_second__2[[Column1]:[Y]],3,FALSE)</f>
        <v>#N/A</v>
      </c>
      <c r="K300" t="e">
        <f>VLOOKUP(F300,[1]!china_towns_second__2[[Column1]:[Y]],2,FALSE)</f>
        <v>#N/A</v>
      </c>
      <c r="L300" t="s">
        <v>1411</v>
      </c>
      <c r="M300" t="str">
        <f>VLOOKUP(H300,CHOOSE({1,2},Table9[Native],Table9[Name]),2,0)</f>
        <v>Dàtōng Huízú Tŭzú Zìzhìxiàn</v>
      </c>
      <c r="N300" s="13" t="str">
        <f>VLOOKUP(I300,CHOOSE({1,2},Table9[Native],Table9[Name]),2,0)</f>
        <v>Xīníng Shì</v>
      </c>
      <c r="O300" s="13" t="str">
        <f t="shared" si="18"/>
        <v>Shuobei Zangzu Xiang (Xīníng Shì)</v>
      </c>
      <c r="P300" s="13" t="str">
        <f t="shared" si="19"/>
        <v>Shuobei Zangzu Xiang (Xīníng Shì)</v>
      </c>
    </row>
    <row r="301" spans="1:16" hidden="1" x14ac:dyDescent="0.25">
      <c r="A301" t="s">
        <v>740</v>
      </c>
      <c r="B301" t="str">
        <f t="shared" si="16"/>
        <v>Sìzhài Xiāng</v>
      </c>
      <c r="C301" t="str">
        <f t="shared" si="17"/>
        <v>Sìzhài Xiāng</v>
      </c>
      <c r="D301" t="s">
        <v>741</v>
      </c>
      <c r="E301" t="s">
        <v>7</v>
      </c>
      <c r="F301" t="str">
        <f>_xlfn.CONCAT(D301,", ",H301,", ",I301,", ","青海省")</f>
        <v>寺寨乡, 湟源县, 西宁市, 青海省</v>
      </c>
      <c r="G301">
        <v>6358</v>
      </c>
      <c r="H301" t="s">
        <v>929</v>
      </c>
      <c r="I301" t="s">
        <v>923</v>
      </c>
      <c r="J301" t="e">
        <f>VLOOKUP(F301,[1]!china_towns_second__2[[Column1]:[Y]],3,FALSE)</f>
        <v>#N/A</v>
      </c>
      <c r="K301" t="e">
        <f>VLOOKUP(F301,[1]!china_towns_second__2[[Column1]:[Y]],2,FALSE)</f>
        <v>#N/A</v>
      </c>
      <c r="L301" t="s">
        <v>1412</v>
      </c>
      <c r="M301" t="str">
        <f>VLOOKUP(H301,CHOOSE({1,2},Table9[Native],Table9[Name]),2,0)</f>
        <v>Huángyuán Xiàn</v>
      </c>
      <c r="N301" s="13" t="str">
        <f>VLOOKUP(I301,CHOOSE({1,2},Table9[Native],Table9[Name]),2,0)</f>
        <v>Xīníng Shì</v>
      </c>
      <c r="O301" s="13" t="str">
        <f t="shared" si="18"/>
        <v>Sizhai Xiang (Xīníng Shì)</v>
      </c>
      <c r="P301" s="13" t="str">
        <f t="shared" si="19"/>
        <v>Sizhai Xiang (Xīníng Shì)</v>
      </c>
    </row>
    <row r="302" spans="1:16" hidden="1" x14ac:dyDescent="0.25">
      <c r="A302" t="s">
        <v>318</v>
      </c>
      <c r="B302" t="str">
        <f t="shared" si="16"/>
        <v>Sōngduō Zàngzú Xiāng</v>
      </c>
      <c r="C302" t="str">
        <f t="shared" si="17"/>
        <v>Sōngduō Zàngzú Xiāng</v>
      </c>
      <c r="D302" t="s">
        <v>319</v>
      </c>
      <c r="E302" t="s">
        <v>7</v>
      </c>
      <c r="F302" t="str">
        <f>_xlfn.CONCAT(D302,", ",H302,", ",I302,", ","青海省")</f>
        <v>松多藏族乡, 互助土族自治县, 海东市, 青海省</v>
      </c>
      <c r="G302">
        <v>5821</v>
      </c>
      <c r="H302" t="s">
        <v>890</v>
      </c>
      <c r="I302" t="s">
        <v>888</v>
      </c>
      <c r="J302" t="e">
        <f>VLOOKUP(F302,[1]!china_towns_second__2[[Column1]:[Y]],3,FALSE)</f>
        <v>#N/A</v>
      </c>
      <c r="K302" t="e">
        <f>VLOOKUP(F302,[1]!china_towns_second__2[[Column1]:[Y]],2,FALSE)</f>
        <v>#N/A</v>
      </c>
      <c r="L302" t="s">
        <v>1413</v>
      </c>
      <c r="M302" t="str">
        <f>VLOOKUP(H302,CHOOSE({1,2},Table9[Native],Table9[Name]),2,0)</f>
        <v>Hùzhù Tŭzú Zìzhìxiàn</v>
      </c>
      <c r="N302" s="13" t="str">
        <f>VLOOKUP(I302,CHOOSE({1,2},Table9[Native],Table9[Name]),2,0)</f>
        <v>Hăidōng Shì</v>
      </c>
      <c r="O302" s="13" t="str">
        <f t="shared" si="18"/>
        <v>Songduo Zangzu Xiang (Hăidōng Shì)</v>
      </c>
      <c r="P302" s="13" t="str">
        <f t="shared" si="19"/>
        <v>Songduo Zangzu Xiang (Hăidōng Shì)</v>
      </c>
    </row>
    <row r="303" spans="1:16" hidden="1" x14ac:dyDescent="0.25">
      <c r="A303" t="s">
        <v>320</v>
      </c>
      <c r="B303" t="str">
        <f t="shared" si="16"/>
        <v>Sōngshù Xiāng</v>
      </c>
      <c r="C303" t="str">
        <f t="shared" si="17"/>
        <v>Sōngshù Xiāng</v>
      </c>
      <c r="D303" t="s">
        <v>321</v>
      </c>
      <c r="E303" t="s">
        <v>7</v>
      </c>
      <c r="F303" t="str">
        <f>_xlfn.CONCAT(D303,", ",H303,", ",I303,", ","青海省")</f>
        <v>松树乡, 民和回族土族自治县, 海东市, 青海省</v>
      </c>
      <c r="G303">
        <v>6709</v>
      </c>
      <c r="H303" t="s">
        <v>893</v>
      </c>
      <c r="I303" t="s">
        <v>888</v>
      </c>
      <c r="J303" t="e">
        <f>VLOOKUP(F303,[1]!china_towns_second__2[[Column1]:[Y]],3,FALSE)</f>
        <v>#N/A</v>
      </c>
      <c r="K303" t="e">
        <f>VLOOKUP(F303,[1]!china_towns_second__2[[Column1]:[Y]],2,FALSE)</f>
        <v>#N/A</v>
      </c>
      <c r="L303" t="s">
        <v>1414</v>
      </c>
      <c r="M303" t="str">
        <f>VLOOKUP(H303,CHOOSE({1,2},Table9[Native],Table9[Name]),2,0)</f>
        <v>Mínhé Huízú Tŭzú Zìzhìxiàn</v>
      </c>
      <c r="N303" s="13" t="str">
        <f>VLOOKUP(I303,CHOOSE({1,2},Table9[Native],Table9[Name]),2,0)</f>
        <v>Hăidōng Shì</v>
      </c>
      <c r="O303" s="13" t="str">
        <f t="shared" si="18"/>
        <v>Songshu Xiang (Hăidōng Shì)</v>
      </c>
      <c r="P303" s="13" t="str">
        <f t="shared" si="19"/>
        <v>Songshu Xiang (Hăidōng Shì)</v>
      </c>
    </row>
    <row r="304" spans="1:16" hidden="1" x14ac:dyDescent="0.25">
      <c r="A304" t="s">
        <v>154</v>
      </c>
      <c r="B304" t="str">
        <f t="shared" si="16"/>
        <v>Sūjítān Xiāng</v>
      </c>
      <c r="C304" t="str">
        <f t="shared" si="17"/>
        <v>Sūjítān Xiāng</v>
      </c>
      <c r="D304" t="s">
        <v>155</v>
      </c>
      <c r="E304" t="s">
        <v>7</v>
      </c>
      <c r="F304" t="str">
        <f>_xlfn.CONCAT(D304,", ",H304,", ",I304,", ","青海省")</f>
        <v>苏吉滩乡, 门源回族自治县, 海北藏族自治州, 青海省</v>
      </c>
      <c r="G304">
        <v>1519</v>
      </c>
      <c r="H304" t="s">
        <v>884</v>
      </c>
      <c r="I304" t="s">
        <v>880</v>
      </c>
      <c r="J304" t="e">
        <f>VLOOKUP(F304,[1]!china_towns_second__2[[Column1]:[Y]],3,FALSE)</f>
        <v>#N/A</v>
      </c>
      <c r="K304" t="e">
        <f>VLOOKUP(F304,[1]!china_towns_second__2[[Column1]:[Y]],2,FALSE)</f>
        <v>#N/A</v>
      </c>
      <c r="L304" t="s">
        <v>1415</v>
      </c>
      <c r="M304" t="str">
        <f>VLOOKUP(H304,CHOOSE({1,2},Table9[Native],Table9[Name]),2,0)</f>
        <v>Ményuán Huízú Zìzhìxiàn</v>
      </c>
      <c r="N304" s="13" t="str">
        <f>VLOOKUP(I304,CHOOSE({1,2},Table9[Native],Table9[Name]),2,0)</f>
        <v>Hăibĕi Zàngzú Zìzhìzhōu</v>
      </c>
      <c r="O304" s="13" t="str">
        <f t="shared" si="18"/>
        <v>Sujitan Xiang (Hăibĕi Zàngzú Zìzhìzhōu)</v>
      </c>
      <c r="P304" s="13" t="str">
        <f t="shared" si="19"/>
        <v>Sujitan Xiang (Hăibĕi Zàngzú Zìzhìzhōu)</v>
      </c>
    </row>
    <row r="305" spans="1:16" hidden="1" x14ac:dyDescent="0.25">
      <c r="A305" t="s">
        <v>525</v>
      </c>
      <c r="B305" t="str">
        <f t="shared" si="16"/>
        <v>Sūlĭ Xiāng</v>
      </c>
      <c r="C305" t="str">
        <f t="shared" si="17"/>
        <v>Sūlĭ Xiāng</v>
      </c>
      <c r="D305" t="s">
        <v>526</v>
      </c>
      <c r="E305" t="s">
        <v>7</v>
      </c>
      <c r="F305" t="str">
        <f>_xlfn.CONCAT(D305,", ",H305,", ",I305,", ","青海省")</f>
        <v>苏里乡, 天峻县, 海西蒙古族藏族自治州, 青海省</v>
      </c>
      <c r="G305">
        <v>1275</v>
      </c>
      <c r="H305" t="s">
        <v>914</v>
      </c>
      <c r="I305" t="s">
        <v>905</v>
      </c>
      <c r="J305" t="e">
        <f>VLOOKUP(F305,[1]!china_towns_second__2[[Column1]:[Y]],3,FALSE)</f>
        <v>#N/A</v>
      </c>
      <c r="K305" t="e">
        <f>VLOOKUP(F305,[1]!china_towns_second__2[[Column1]:[Y]],2,FALSE)</f>
        <v>#N/A</v>
      </c>
      <c r="L305" t="s">
        <v>1416</v>
      </c>
      <c r="M305" t="str">
        <f>VLOOKUP(H305,CHOOSE({1,2},Table9[Native],Table9[Name]),2,0)</f>
        <v>Tiānjùn Xiàn</v>
      </c>
      <c r="N305" s="13" t="str">
        <f>VLOOKUP(I305,CHOOSE({1,2},Table9[Native],Table9[Name]),2,0)</f>
        <v>Hăixī Mĕnggŭzú Zàngzú Zìzhìzhōu</v>
      </c>
      <c r="O305" s="13" t="str">
        <f t="shared" si="18"/>
        <v>Suli Xiang (Hăixī Mĕnggŭzú Zàngzú Zìzhìzhōu)</v>
      </c>
      <c r="P305" s="13" t="str">
        <f t="shared" si="19"/>
        <v>Suli Xiang (Hăixī Mĕnggŭzú Zàngzú Zìzhìzhōu)</v>
      </c>
    </row>
    <row r="306" spans="1:16" hidden="1" x14ac:dyDescent="0.25">
      <c r="A306" t="s">
        <v>840</v>
      </c>
      <c r="B306" t="str">
        <f t="shared" si="16"/>
        <v>Sūlŭ Xiāng</v>
      </c>
      <c r="C306" t="str">
        <f t="shared" si="17"/>
        <v>Sūlŭ Xiāng</v>
      </c>
      <c r="D306" t="s">
        <v>841</v>
      </c>
      <c r="E306" t="s">
        <v>7</v>
      </c>
      <c r="F306" t="str">
        <f>_xlfn.CONCAT(D306,", ",H306,", ",I306,", ","青海省")</f>
        <v>苏鲁乡, 杂多县, 玉树藏族自治州, 青海省</v>
      </c>
      <c r="G306">
        <v>4891</v>
      </c>
      <c r="H306" t="s">
        <v>937</v>
      </c>
      <c r="I306" t="s">
        <v>932</v>
      </c>
      <c r="J306" t="e">
        <f>VLOOKUP(F306,[1]!china_towns_second__2[[Column1]:[Y]],3,FALSE)</f>
        <v>#N/A</v>
      </c>
      <c r="K306" t="e">
        <f>VLOOKUP(F306,[1]!china_towns_second__2[[Column1]:[Y]],2,FALSE)</f>
        <v>#N/A</v>
      </c>
      <c r="L306" t="s">
        <v>1417</v>
      </c>
      <c r="M306" t="str">
        <f>VLOOKUP(H306,CHOOSE({1,2},Table9[Native],Table9[Name]),2,0)</f>
        <v>Záduō Xiàn</v>
      </c>
      <c r="N306" s="13" t="str">
        <f>VLOOKUP(I306,CHOOSE({1,2},Table9[Native],Table9[Name]),2,0)</f>
        <v>Yùshù Zàngzú Zìzhìzhōu</v>
      </c>
      <c r="O306" s="13" t="str">
        <f t="shared" si="18"/>
        <v>Sulu Xiang (Yùshù Zàngzú Zìzhìzhōu)</v>
      </c>
      <c r="P306" s="13" t="str">
        <f t="shared" si="19"/>
        <v>Sulu Xiang (Yùshù Zàngzú Zìzhìzhōu)</v>
      </c>
    </row>
    <row r="307" spans="1:16" hidden="1" x14ac:dyDescent="0.25">
      <c r="A307" t="s">
        <v>71</v>
      </c>
      <c r="B307" t="str">
        <f t="shared" si="16"/>
        <v>Suŏhū Rìmá Xiāng</v>
      </c>
      <c r="C307" t="str">
        <f t="shared" si="17"/>
        <v>Suŏhū Rìmá Xiāng</v>
      </c>
      <c r="D307" t="s">
        <v>72</v>
      </c>
      <c r="E307" t="s">
        <v>7</v>
      </c>
      <c r="F307" t="str">
        <f>_xlfn.CONCAT(D307,", ",H307,", ",I307,", ","青海省")</f>
        <v>索呼日麻乡, 久治县, 果洛藏族自治州, 青海省</v>
      </c>
      <c r="G307">
        <v>4545</v>
      </c>
      <c r="H307" t="s">
        <v>876</v>
      </c>
      <c r="I307" t="s">
        <v>871</v>
      </c>
      <c r="J307" t="e">
        <f>VLOOKUP(F307,[1]!china_towns_second__2[[Column1]:[Y]],3,FALSE)</f>
        <v>#N/A</v>
      </c>
      <c r="K307" t="e">
        <f>VLOOKUP(F307,[1]!china_towns_second__2[[Column1]:[Y]],2,FALSE)</f>
        <v>#N/A</v>
      </c>
      <c r="L307" t="s">
        <v>1418</v>
      </c>
      <c r="M307" t="str">
        <f>VLOOKUP(H307,CHOOSE({1,2},Table9[Native],Table9[Name]),2,0)</f>
        <v>Jiŭzhì Xiàn</v>
      </c>
      <c r="N307" s="13" t="str">
        <f>VLOOKUP(I307,CHOOSE({1,2},Table9[Native],Table9[Name]),2,0)</f>
        <v>Guŏluò Zàngzú Zìzhìzhōu</v>
      </c>
      <c r="O307" s="13" t="str">
        <f t="shared" si="18"/>
        <v>Suohu Rima Xiang (Guŏluò Zàngzú Zìzhìzhōu)</v>
      </c>
      <c r="P307" s="13" t="str">
        <f t="shared" si="19"/>
        <v>Suohu Rima Xiang (Guŏluò Zàngzú Zìzhìzhōu)</v>
      </c>
    </row>
    <row r="308" spans="1:16" hidden="1" x14ac:dyDescent="0.25">
      <c r="A308" t="s">
        <v>842</v>
      </c>
      <c r="B308" t="str">
        <f t="shared" si="16"/>
        <v>Suŏjiā Xiāng</v>
      </c>
      <c r="C308" t="str">
        <f t="shared" si="17"/>
        <v>Suŏjiā Xiāng</v>
      </c>
      <c r="D308" t="s">
        <v>843</v>
      </c>
      <c r="E308" t="s">
        <v>7</v>
      </c>
      <c r="F308" t="str">
        <f>_xlfn.CONCAT(D308,", ",H308,", ",I308,", ","青海省")</f>
        <v>索加乡, 治多县, 玉树藏族自治州, 青海省</v>
      </c>
      <c r="G308">
        <v>3585</v>
      </c>
      <c r="H308" t="s">
        <v>938</v>
      </c>
      <c r="I308" t="s">
        <v>932</v>
      </c>
      <c r="J308" t="e">
        <f>VLOOKUP(F308,[1]!china_towns_second__2[[Column1]:[Y]],3,FALSE)</f>
        <v>#N/A</v>
      </c>
      <c r="K308" t="e">
        <f>VLOOKUP(F308,[1]!china_towns_second__2[[Column1]:[Y]],2,FALSE)</f>
        <v>#N/A</v>
      </c>
      <c r="L308" t="s">
        <v>1419</v>
      </c>
      <c r="M308" t="str">
        <f>VLOOKUP(H308,CHOOSE({1,2},Table9[Native],Table9[Name]),2,0)</f>
        <v>Zhìduō Xiàn</v>
      </c>
      <c r="N308" s="13" t="str">
        <f>VLOOKUP(I308,CHOOSE({1,2},Table9[Native],Table9[Name]),2,0)</f>
        <v>Yùshù Zàngzú Zìzhìzhōu</v>
      </c>
      <c r="O308" s="13" t="str">
        <f t="shared" si="18"/>
        <v>Suojia Xiang (Yùshù Zàngzú Zìzhìzhōu)</v>
      </c>
      <c r="P308" s="13" t="str">
        <f t="shared" si="19"/>
        <v>Suojia Xiang (Yùshù Zàngzú Zìzhìzhōu)</v>
      </c>
    </row>
    <row r="309" spans="1:16" x14ac:dyDescent="0.25">
      <c r="A309" t="s">
        <v>742</v>
      </c>
      <c r="B309" t="str">
        <f t="shared" si="16"/>
        <v>Tă'ĕr Zhèn</v>
      </c>
      <c r="C309" t="str">
        <f t="shared" si="17"/>
        <v>Tă'ĕr Zhèn</v>
      </c>
      <c r="D309" t="s">
        <v>743</v>
      </c>
      <c r="E309" t="s">
        <v>19</v>
      </c>
      <c r="F309" t="str">
        <f>_xlfn.CONCAT(D309,", ",H309,", ",I309,", ","青海省")</f>
        <v>塔尔镇, 大通回族土族自治县, 西宁市, 青海省</v>
      </c>
      <c r="G309">
        <v>31453</v>
      </c>
      <c r="H309" t="s">
        <v>928</v>
      </c>
      <c r="I309" t="s">
        <v>923</v>
      </c>
      <c r="J309">
        <f>VLOOKUP(F309,[1]!china_towns_second__2[[Column1]:[Y]],3,FALSE)</f>
        <v>37.042024430078598</v>
      </c>
      <c r="K309">
        <f>VLOOKUP(F309,[1]!china_towns_second__2[[Column1]:[Y]],2,FALSE)</f>
        <v>101.6553119</v>
      </c>
      <c r="L309" t="s">
        <v>1420</v>
      </c>
      <c r="M309" t="str">
        <f>VLOOKUP(H309,CHOOSE({1,2},Table9[Native],Table9[Name]),2,0)</f>
        <v>Dàtōng Huízú Tŭzú Zìzhìxiàn</v>
      </c>
      <c r="N309" s="13" t="str">
        <f>VLOOKUP(I309,CHOOSE({1,2},Table9[Native],Table9[Name]),2,0)</f>
        <v>Xīníng Shì</v>
      </c>
      <c r="O309" s="13" t="str">
        <f t="shared" si="18"/>
        <v>Ta'er Zhen (Xīníng Shì)</v>
      </c>
      <c r="P309" s="13" t="str">
        <f t="shared" si="19"/>
        <v>Ta'er Zhen (Xīníng Shì)</v>
      </c>
    </row>
    <row r="310" spans="1:16" hidden="1" x14ac:dyDescent="0.25">
      <c r="A310" t="s">
        <v>322</v>
      </c>
      <c r="B310" t="str">
        <f t="shared" si="16"/>
        <v>Táizi Xiāng</v>
      </c>
      <c r="C310" t="str">
        <f t="shared" si="17"/>
        <v>Táizi Xiāng</v>
      </c>
      <c r="D310" t="s">
        <v>323</v>
      </c>
      <c r="E310" t="s">
        <v>7</v>
      </c>
      <c r="F310" t="str">
        <f>_xlfn.CONCAT(D310,", ",H310,", ",I310,", ","青海省")</f>
        <v>台子乡, 互助土族自治县, 海东市, 青海省</v>
      </c>
      <c r="G310">
        <v>20425</v>
      </c>
      <c r="H310" t="s">
        <v>890</v>
      </c>
      <c r="I310" t="s">
        <v>888</v>
      </c>
      <c r="J310" t="e">
        <f>VLOOKUP(F310,[1]!china_towns_second__2[[Column1]:[Y]],3,FALSE)</f>
        <v>#N/A</v>
      </c>
      <c r="K310" t="e">
        <f>VLOOKUP(F310,[1]!china_towns_second__2[[Column1]:[Y]],2,FALSE)</f>
        <v>#N/A</v>
      </c>
      <c r="L310" t="s">
        <v>1421</v>
      </c>
      <c r="M310" t="str">
        <f>VLOOKUP(H310,CHOOSE({1,2},Table9[Native],Table9[Name]),2,0)</f>
        <v>Hùzhù Tŭzú Zìzhìxiàn</v>
      </c>
      <c r="N310" s="13" t="str">
        <f>VLOOKUP(I310,CHOOSE({1,2},Table9[Native],Table9[Name]),2,0)</f>
        <v>Hăidōng Shì</v>
      </c>
      <c r="O310" s="13" t="str">
        <f t="shared" si="18"/>
        <v>Taizi Xiang (Hăidōng Shì)</v>
      </c>
      <c r="P310" s="13" t="str">
        <f t="shared" si="19"/>
        <v>Taizi Xiang (Hăidōng Shì)</v>
      </c>
    </row>
    <row r="311" spans="1:16" hidden="1" x14ac:dyDescent="0.25">
      <c r="A311" t="s">
        <v>324</v>
      </c>
      <c r="B311" t="str">
        <f t="shared" si="16"/>
        <v>Tăjiā Zàngzú Xiāng</v>
      </c>
      <c r="C311" t="str">
        <f t="shared" si="17"/>
        <v>Tăjiā Zàngzú Xiāng</v>
      </c>
      <c r="D311" t="s">
        <v>325</v>
      </c>
      <c r="E311" t="s">
        <v>7</v>
      </c>
      <c r="F311" t="str">
        <f>_xlfn.CONCAT(D311,", ",H311,", ",I311,", ","青海省")</f>
        <v>塔加藏族乡, 化隆回族自治县, 海东市, 青海省</v>
      </c>
      <c r="G311">
        <v>3938</v>
      </c>
      <c r="H311" t="s">
        <v>889</v>
      </c>
      <c r="I311" t="s">
        <v>888</v>
      </c>
      <c r="J311" t="e">
        <f>VLOOKUP(F311,[1]!china_towns_second__2[[Column1]:[Y]],3,FALSE)</f>
        <v>#N/A</v>
      </c>
      <c r="K311" t="e">
        <f>VLOOKUP(F311,[1]!china_towns_second__2[[Column1]:[Y]],2,FALSE)</f>
        <v>#N/A</v>
      </c>
      <c r="L311" t="s">
        <v>1422</v>
      </c>
      <c r="M311" t="str">
        <f>VLOOKUP(H311,CHOOSE({1,2},Table9[Native],Table9[Name]),2,0)</f>
        <v>Huàlóng Huízú Zìzhìxiàn</v>
      </c>
      <c r="N311" s="13" t="str">
        <f>VLOOKUP(I311,CHOOSE({1,2},Table9[Native],Table9[Name]),2,0)</f>
        <v>Hăidōng Shì</v>
      </c>
      <c r="O311" s="13" t="str">
        <f t="shared" si="18"/>
        <v>Tajia Zangzu Xiang (Hăidōng Shì)</v>
      </c>
      <c r="P311" s="13" t="str">
        <f t="shared" si="19"/>
        <v>Tajia Zangzu Xiang (Hăidōng Shì)</v>
      </c>
    </row>
    <row r="312" spans="1:16" x14ac:dyDescent="0.25">
      <c r="A312" t="s">
        <v>326</v>
      </c>
      <c r="B312" t="str">
        <f t="shared" si="16"/>
        <v>Tángchuān Zhèn</v>
      </c>
      <c r="C312" t="str">
        <f t="shared" si="17"/>
        <v>Tángchuān Zhèn</v>
      </c>
      <c r="D312" t="s">
        <v>327</v>
      </c>
      <c r="E312" t="s">
        <v>19</v>
      </c>
      <c r="F312" t="str">
        <f>_xlfn.CONCAT(D312,", ",H312,", ",I312,", ","青海省")</f>
        <v>塘川镇, 互助土族自治县, 海东市, 青海省</v>
      </c>
      <c r="G312">
        <v>38407</v>
      </c>
      <c r="H312" t="s">
        <v>890</v>
      </c>
      <c r="I312" t="s">
        <v>888</v>
      </c>
      <c r="J312">
        <f>VLOOKUP(F312,[1]!china_towns_second__2[[Column1]:[Y]],3,FALSE)</f>
        <v>36.704878122664098</v>
      </c>
      <c r="K312">
        <f>VLOOKUP(F312,[1]!china_towns_second__2[[Column1]:[Y]],2,FALSE)</f>
        <v>101.9060927</v>
      </c>
      <c r="L312" t="s">
        <v>1423</v>
      </c>
      <c r="M312" t="str">
        <f>VLOOKUP(H312,CHOOSE({1,2},Table9[Native],Table9[Name]),2,0)</f>
        <v>Hùzhù Tŭzú Zìzhìxiàn</v>
      </c>
      <c r="N312" s="13" t="str">
        <f>VLOOKUP(I312,CHOOSE({1,2},Table9[Native],Table9[Name]),2,0)</f>
        <v>Hăidōng Shì</v>
      </c>
      <c r="O312" s="13" t="str">
        <f t="shared" si="18"/>
        <v>Tangchuan Zhen (Hăidōng Shì)</v>
      </c>
      <c r="P312" s="13" t="str">
        <f t="shared" si="19"/>
        <v>Tangchuan Zhen (Hăidōng Shì)</v>
      </c>
    </row>
    <row r="313" spans="1:16" x14ac:dyDescent="0.25">
      <c r="A313" t="s">
        <v>437</v>
      </c>
      <c r="B313" t="str">
        <f t="shared" si="16"/>
        <v>Tánggémù Zhèn</v>
      </c>
      <c r="C313" t="str">
        <f t="shared" si="17"/>
        <v>Tánggémù Zhèn</v>
      </c>
      <c r="D313" t="s">
        <v>438</v>
      </c>
      <c r="E313" t="s">
        <v>19</v>
      </c>
      <c r="F313" t="str">
        <f>_xlfn.CONCAT(D313,", ",H313,", ",I313,", ","青海省")</f>
        <v>塘格木镇, 共和县, 海南藏族自治州, 青海省</v>
      </c>
      <c r="G313">
        <v>10214</v>
      </c>
      <c r="H313" t="s">
        <v>898</v>
      </c>
      <c r="I313" t="s">
        <v>897</v>
      </c>
      <c r="J313">
        <f>VLOOKUP(F313,[1]!china_towns_second__2[[Column1]:[Y]],3,FALSE)</f>
        <v>36.314469391500801</v>
      </c>
      <c r="K313">
        <f>VLOOKUP(F313,[1]!china_towns_second__2[[Column1]:[Y]],2,FALSE)</f>
        <v>100.0624947</v>
      </c>
      <c r="L313" t="s">
        <v>1424</v>
      </c>
      <c r="M313" t="str">
        <f>VLOOKUP(H313,CHOOSE({1,2},Table9[Native],Table9[Name]),2,0)</f>
        <v>Gònghé Xiàn</v>
      </c>
      <c r="N313" s="13" t="str">
        <f>VLOOKUP(I313,CHOOSE({1,2},Table9[Native],Table9[Name]),2,0)</f>
        <v>Hăinán Zàngzú Zìzhìzhōu</v>
      </c>
      <c r="O313" s="13" t="str">
        <f t="shared" si="18"/>
        <v>Tanggemu Zhen (Hăinán Zàngzú Zìzhìzhōu)</v>
      </c>
      <c r="P313" s="13" t="str">
        <f t="shared" si="19"/>
        <v>Tanggemu Zhen (Hăinán Zàngzú Zìzhìzhōu)</v>
      </c>
    </row>
    <row r="314" spans="1:16" x14ac:dyDescent="0.25">
      <c r="A314" t="s">
        <v>439</v>
      </c>
      <c r="B314" t="str">
        <f t="shared" si="16"/>
        <v>Tánggŭ Zhèn</v>
      </c>
      <c r="C314" t="str">
        <f t="shared" si="17"/>
        <v>Tánggŭ Zhèn</v>
      </c>
      <c r="D314" t="s">
        <v>440</v>
      </c>
      <c r="E314" t="s">
        <v>19</v>
      </c>
      <c r="F314" t="str">
        <f>_xlfn.CONCAT(D314,", ",H314,", ",I314,", ","青海省")</f>
        <v>唐谷镇, 同德县, 海南藏族自治州, 青海省</v>
      </c>
      <c r="G314">
        <v>11259</v>
      </c>
      <c r="H314" t="s">
        <v>901</v>
      </c>
      <c r="I314" t="s">
        <v>897</v>
      </c>
      <c r="J314">
        <f>VLOOKUP(F314,[1]!china_towns_second__2[[Column1]:[Y]],3,FALSE)</f>
        <v>35.0851769426597</v>
      </c>
      <c r="K314">
        <f>VLOOKUP(F314,[1]!china_towns_second__2[[Column1]:[Y]],2,FALSE)</f>
        <v>100.5092144</v>
      </c>
      <c r="L314" t="s">
        <v>1425</v>
      </c>
      <c r="M314" t="str">
        <f>VLOOKUP(H314,CHOOSE({1,2},Table9[Native],Table9[Name]),2,0)</f>
        <v>Tóngdé Xiàn</v>
      </c>
      <c r="N314" s="13" t="str">
        <f>VLOOKUP(I314,CHOOSE({1,2},Table9[Native],Table9[Name]),2,0)</f>
        <v>Hăinán Zàngzú Zìzhìzhōu</v>
      </c>
      <c r="O314" s="13" t="str">
        <f t="shared" si="18"/>
        <v>Tanggu Zhen (Hăinán Zàngzú Zìzhìzhōu)</v>
      </c>
      <c r="P314" s="13" t="str">
        <f t="shared" si="19"/>
        <v>Tanggu Zhen (Hăinán Zàngzú Zìzhìzhōu)</v>
      </c>
    </row>
    <row r="315" spans="1:16" x14ac:dyDescent="0.25">
      <c r="A315" t="s">
        <v>527</v>
      </c>
      <c r="B315" t="str">
        <f t="shared" si="16"/>
        <v>Tánggŭlā Zhèn</v>
      </c>
      <c r="C315" t="str">
        <f t="shared" si="17"/>
        <v>Tánggŭlā Zhèn</v>
      </c>
      <c r="D315" t="s">
        <v>528</v>
      </c>
      <c r="E315" t="s">
        <v>19</v>
      </c>
      <c r="F315" t="str">
        <f>_xlfn.CONCAT(D315,", ",H315,", ",I315,", ","青海省")</f>
        <v>唐古拉镇, 格尔木市, 海西蒙古族藏族自治州, 青海省</v>
      </c>
      <c r="G315">
        <v>1605</v>
      </c>
      <c r="H315" t="s">
        <v>912</v>
      </c>
      <c r="I315" t="s">
        <v>905</v>
      </c>
      <c r="J315">
        <f>VLOOKUP(F315,[1]!china_towns_second__2[[Column1]:[Y]],3,FALSE)</f>
        <v>33.806196201867998</v>
      </c>
      <c r="K315">
        <f>VLOOKUP(F315,[1]!china_towns_second__2[[Column1]:[Y]],2,FALSE)</f>
        <v>91.357667620000001</v>
      </c>
      <c r="L315" t="s">
        <v>1426</v>
      </c>
      <c r="M315" t="str">
        <f>VLOOKUP(H315,CHOOSE({1,2},Table9[Native],Table9[Name]),2,0)</f>
        <v>Gé'ĕrmù Shì</v>
      </c>
      <c r="N315" s="13" t="str">
        <f>VLOOKUP(I315,CHOOSE({1,2},Table9[Native],Table9[Name]),2,0)</f>
        <v>Hăixī Mĕnggŭzú Zàngzú Zìzhìzhōu</v>
      </c>
      <c r="O315" s="13" t="str">
        <f t="shared" si="18"/>
        <v>Tanggula Zhen (Hăixī Mĕnggŭzú Zàngzú Zìzhìzhōu)</v>
      </c>
      <c r="P315" s="13" t="str">
        <f t="shared" si="19"/>
        <v>Tanggula Zhen (Hăixī Mĕnggŭzú Zàngzú Zìzhìzhōu)</v>
      </c>
    </row>
    <row r="316" spans="1:16" hidden="1" x14ac:dyDescent="0.25">
      <c r="A316" t="s">
        <v>441</v>
      </c>
      <c r="B316" t="str">
        <f t="shared" si="16"/>
        <v>Tángnăihài Xiāng</v>
      </c>
      <c r="C316" t="str">
        <f t="shared" si="17"/>
        <v>Tángnăihài Xiāng</v>
      </c>
      <c r="D316" t="s">
        <v>442</v>
      </c>
      <c r="E316" t="s">
        <v>7</v>
      </c>
      <c r="F316" t="str">
        <f>_xlfn.CONCAT(D316,", ",H316,", ",I316,", ","青海省")</f>
        <v>唐乃亥乡, 兴海县, 海南藏族自治州, 青海省</v>
      </c>
      <c r="G316">
        <v>8678</v>
      </c>
      <c r="H316" t="s">
        <v>902</v>
      </c>
      <c r="I316" t="s">
        <v>897</v>
      </c>
      <c r="J316" t="e">
        <f>VLOOKUP(F316,[1]!china_towns_second__2[[Column1]:[Y]],3,FALSE)</f>
        <v>#N/A</v>
      </c>
      <c r="K316" t="e">
        <f>VLOOKUP(F316,[1]!china_towns_second__2[[Column1]:[Y]],2,FALSE)</f>
        <v>#N/A</v>
      </c>
      <c r="L316" t="s">
        <v>1427</v>
      </c>
      <c r="M316" t="str">
        <f>VLOOKUP(H316,CHOOSE({1,2},Table9[Native],Table9[Name]),2,0)</f>
        <v>Xīnghăi Xiàn</v>
      </c>
      <c r="N316" s="13" t="str">
        <f>VLOOKUP(I316,CHOOSE({1,2},Table9[Native],Table9[Name]),2,0)</f>
        <v>Hăinán Zàngzú Zìzhìzhōu</v>
      </c>
      <c r="O316" s="13" t="str">
        <f t="shared" si="18"/>
        <v>Tangnaihai Xiang (Hăinán Zàngzú Zìzhìzhōu)</v>
      </c>
      <c r="P316" s="13" t="str">
        <f t="shared" si="19"/>
        <v>Tangnaihai Xiang (Hăinán Zàngzú Zìzhìzhōu)</v>
      </c>
    </row>
    <row r="317" spans="1:16" hidden="1" x14ac:dyDescent="0.25">
      <c r="A317" t="s">
        <v>443</v>
      </c>
      <c r="B317" t="str">
        <f t="shared" si="16"/>
        <v>Tăxiù Xiāng</v>
      </c>
      <c r="C317" t="str">
        <f t="shared" si="17"/>
        <v>Tăxiù Xiāng</v>
      </c>
      <c r="D317" t="s">
        <v>444</v>
      </c>
      <c r="E317" t="s">
        <v>7</v>
      </c>
      <c r="F317" t="str">
        <f>_xlfn.CONCAT(D317,", ",H317,", ",I317,", ","青海省")</f>
        <v>塔秀乡, 贵南县, 海南藏族自治州, 青海省</v>
      </c>
      <c r="G317">
        <v>9719</v>
      </c>
      <c r="H317" t="s">
        <v>900</v>
      </c>
      <c r="I317" t="s">
        <v>897</v>
      </c>
      <c r="J317" t="e">
        <f>VLOOKUP(F317,[1]!china_towns_second__2[[Column1]:[Y]],3,FALSE)</f>
        <v>#N/A</v>
      </c>
      <c r="K317" t="e">
        <f>VLOOKUP(F317,[1]!china_towns_second__2[[Column1]:[Y]],2,FALSE)</f>
        <v>#N/A</v>
      </c>
      <c r="L317" t="s">
        <v>1428</v>
      </c>
      <c r="M317" t="str">
        <f>VLOOKUP(H317,CHOOSE({1,2},Table9[Native],Table9[Name]),2,0)</f>
        <v>Guìnán Xiàn</v>
      </c>
      <c r="N317" s="13" t="str">
        <f>VLOOKUP(I317,CHOOSE({1,2},Table9[Native],Table9[Name]),2,0)</f>
        <v>Hăinán Zàngzú Zìzhìzhōu</v>
      </c>
      <c r="O317" s="13" t="str">
        <f t="shared" si="18"/>
        <v>Taxiu Xiang (Hăinán Zàngzú Zìzhìzhōu)</v>
      </c>
      <c r="P317" s="13" t="str">
        <f t="shared" si="19"/>
        <v>Taxiu Xiang (Hăinán Zàngzú Zìzhìzhōu)</v>
      </c>
    </row>
    <row r="318" spans="1:16" hidden="1" x14ac:dyDescent="0.25">
      <c r="A318" t="s">
        <v>73</v>
      </c>
      <c r="B318" t="str">
        <f t="shared" si="16"/>
        <v>Tèhétŭ Xiāng</v>
      </c>
      <c r="C318" t="str">
        <f t="shared" si="17"/>
        <v>Tèhétŭ Xiāng</v>
      </c>
      <c r="D318" t="s">
        <v>74</v>
      </c>
      <c r="E318" t="s">
        <v>7</v>
      </c>
      <c r="F318" t="str">
        <f>_xlfn.CONCAT(D318,", ",H318,", ",I318,", ","青海省")</f>
        <v>特合土乡, 达日县, 果洛藏族自治州, 青海省</v>
      </c>
      <c r="G318">
        <v>1600</v>
      </c>
      <c r="H318" t="s">
        <v>874</v>
      </c>
      <c r="I318" t="s">
        <v>871</v>
      </c>
      <c r="J318" t="e">
        <f>VLOOKUP(F318,[1]!china_towns_second__2[[Column1]:[Y]],3,FALSE)</f>
        <v>#N/A</v>
      </c>
      <c r="K318" t="e">
        <f>VLOOKUP(F318,[1]!china_towns_second__2[[Column1]:[Y]],2,FALSE)</f>
        <v>#N/A</v>
      </c>
      <c r="L318" t="s">
        <v>1429</v>
      </c>
      <c r="M318" t="str">
        <f>VLOOKUP(H318,CHOOSE({1,2},Table9[Native],Table9[Name]),2,0)</f>
        <v>Dárì Xiàn</v>
      </c>
      <c r="N318" s="13" t="str">
        <f>VLOOKUP(I318,CHOOSE({1,2},Table9[Native],Table9[Name]),2,0)</f>
        <v>Guŏluò Zàngzú Zìzhìzhōu</v>
      </c>
      <c r="O318" s="13" t="str">
        <f t="shared" si="18"/>
        <v>Tehetu Xiang (Guŏluò Zàngzú Zìzhìzhōu)</v>
      </c>
      <c r="P318" s="13" t="str">
        <f t="shared" si="19"/>
        <v>Tehetu Xiang (Guŏluò Zàngzú Zìzhìzhōu)</v>
      </c>
    </row>
    <row r="319" spans="1:16" x14ac:dyDescent="0.25">
      <c r="A319" t="s">
        <v>744</v>
      </c>
      <c r="B319" t="str">
        <f t="shared" si="16"/>
        <v>Tiánjiāzhài Zhèn</v>
      </c>
      <c r="C319" t="str">
        <f t="shared" si="17"/>
        <v>Tiánjiāzhài Zhèn</v>
      </c>
      <c r="D319" t="s">
        <v>745</v>
      </c>
      <c r="E319" t="s">
        <v>19</v>
      </c>
      <c r="F319" t="str">
        <f>_xlfn.CONCAT(D319,", ",H319,", ",I319,", ","青海省")</f>
        <v>田家寨镇, 湟中区, 西宁市, 青海省</v>
      </c>
      <c r="G319">
        <v>38229</v>
      </c>
      <c r="H319" t="s">
        <v>930</v>
      </c>
      <c r="I319" t="s">
        <v>923</v>
      </c>
      <c r="J319">
        <f>VLOOKUP(F319,[1]!china_towns_second__2[[Column1]:[Y]],3,FALSE)</f>
        <v>36.407506490722</v>
      </c>
      <c r="K319">
        <f>VLOOKUP(F319,[1]!china_towns_second__2[[Column1]:[Y]],2,FALSE)</f>
        <v>101.7859151</v>
      </c>
      <c r="L319" t="s">
        <v>1430</v>
      </c>
      <c r="M319" t="str">
        <f>VLOOKUP(H319,CHOOSE({1,2},Table9[Native],Table9[Name]),2,0)</f>
        <v>Huángzhōng Qū</v>
      </c>
      <c r="N319" s="13" t="str">
        <f>VLOOKUP(I319,CHOOSE({1,2},Table9[Native],Table9[Name]),2,0)</f>
        <v>Xīníng Shì</v>
      </c>
      <c r="O319" s="13" t="str">
        <f t="shared" si="18"/>
        <v>Tianjiazhai Zhen (Xīníng Shì)</v>
      </c>
      <c r="P319" s="13" t="str">
        <f t="shared" si="19"/>
        <v>Tianjiazhai Zhen (Xīníng Shì)</v>
      </c>
    </row>
    <row r="320" spans="1:16" hidden="1" x14ac:dyDescent="0.25">
      <c r="A320" t="s">
        <v>445</v>
      </c>
      <c r="B320" t="str">
        <f t="shared" si="16"/>
        <v>Tiĕbŭjiācăo Găizhàn</v>
      </c>
      <c r="C320" t="str">
        <f t="shared" si="17"/>
        <v>Tiĕbŭjiācăo Găizhàn</v>
      </c>
      <c r="D320" t="s">
        <v>446</v>
      </c>
      <c r="E320" t="s">
        <v>133</v>
      </c>
      <c r="F320" t="str">
        <f>_xlfn.CONCAT(D320,", ",H320,", ",I320,", ","青海省")</f>
        <v>铁卜加草改站, 共和县, 海南藏族自治州, 青海省</v>
      </c>
      <c r="G320">
        <v>25</v>
      </c>
      <c r="H320" t="s">
        <v>898</v>
      </c>
      <c r="I320" t="s">
        <v>897</v>
      </c>
      <c r="J320">
        <f>VLOOKUP(F320,[1]!china_towns_second__2[[Column1]:[Y]],3,FALSE)</f>
        <v>37.064847894241304</v>
      </c>
      <c r="K320">
        <f>VLOOKUP(F320,[1]!china_towns_second__2[[Column1]:[Y]],2,FALSE)</f>
        <v>99.546202070000007</v>
      </c>
      <c r="L320" t="s">
        <v>1431</v>
      </c>
      <c r="M320" t="str">
        <f>VLOOKUP(H320,CHOOSE({1,2},Table9[Native],Table9[Name]),2,0)</f>
        <v>Gònghé Xiàn</v>
      </c>
      <c r="N320" s="13" t="str">
        <f>VLOOKUP(I320,CHOOSE({1,2},Table9[Native],Table9[Name]),2,0)</f>
        <v>Hăinán Zàngzú Zìzhìzhōu</v>
      </c>
      <c r="O320" s="13" t="str">
        <f t="shared" si="18"/>
        <v>Tiebujiacao Gaizhan (Hăinán Zàngzú Zìzhìzhōu)</v>
      </c>
      <c r="P320" s="13" t="str">
        <f t="shared" si="19"/>
        <v>Tiebujiacao Gaizhan (Hăinán Zàngzú Zìzhìzhōu)</v>
      </c>
    </row>
    <row r="321" spans="1:16" hidden="1" x14ac:dyDescent="0.25">
      <c r="A321" t="s">
        <v>447</v>
      </c>
      <c r="B321" t="str">
        <f t="shared" si="16"/>
        <v>Tiĕgài Xiāng</v>
      </c>
      <c r="C321" t="str">
        <f t="shared" si="17"/>
        <v>Tiĕgài Xiāng</v>
      </c>
      <c r="D321" t="s">
        <v>448</v>
      </c>
      <c r="E321" t="s">
        <v>7</v>
      </c>
      <c r="F321" t="str">
        <f>_xlfn.CONCAT(D321,", ",H321,", ",I321,", ","青海省")</f>
        <v>铁盖乡, 共和县, 海南藏族自治州, 青海省</v>
      </c>
      <c r="G321">
        <v>4907</v>
      </c>
      <c r="H321" t="s">
        <v>898</v>
      </c>
      <c r="I321" t="s">
        <v>897</v>
      </c>
      <c r="J321" t="e">
        <f>VLOOKUP(F321,[1]!china_towns_second__2[[Column1]:[Y]],3,FALSE)</f>
        <v>#N/A</v>
      </c>
      <c r="K321" t="e">
        <f>VLOOKUP(F321,[1]!china_towns_second__2[[Column1]:[Y]],2,FALSE)</f>
        <v>#N/A</v>
      </c>
      <c r="L321" t="s">
        <v>1432</v>
      </c>
      <c r="M321" t="str">
        <f>VLOOKUP(H321,CHOOSE({1,2},Table9[Native],Table9[Name]),2,0)</f>
        <v>Gònghé Xiàn</v>
      </c>
      <c r="N321" s="13" t="str">
        <f>VLOOKUP(I321,CHOOSE({1,2},Table9[Native],Table9[Name]),2,0)</f>
        <v>Hăinán Zàngzú Zìzhìzhōu</v>
      </c>
      <c r="O321" s="13" t="str">
        <f t="shared" si="18"/>
        <v>Tiegai Xiang (Hăinán Zàngzú Zìzhìzhōu)</v>
      </c>
      <c r="P321" s="13" t="str">
        <f t="shared" si="19"/>
        <v>Tiegai Xiang (Hăinán Zàngzú Zìzhìzhōu)</v>
      </c>
    </row>
    <row r="322" spans="1:16" x14ac:dyDescent="0.25">
      <c r="A322" t="s">
        <v>529</v>
      </c>
      <c r="B322" t="str">
        <f t="shared" ref="B322:B385" si="20">IF(COUNTIF(A:A,A322)&gt;1,_xlfn.CONCAT(A322," (",N322,")"),A322)</f>
        <v>Tóngpŭ Zhèn</v>
      </c>
      <c r="C322" t="str">
        <f t="shared" ref="C322:C385" si="21">IF(COUNTIF(B:B,B322)&gt;1,_xlfn.CONCAT(A322," (",M322,")"),B322)</f>
        <v>Tóngpŭ Zhèn</v>
      </c>
      <c r="D322" t="s">
        <v>530</v>
      </c>
      <c r="E322" t="s">
        <v>19</v>
      </c>
      <c r="F322" t="str">
        <f>_xlfn.CONCAT(D322,", ",H322,", ",I322,", ","青海省")</f>
        <v>铜普镇, 乌兰县, 海西蒙古族藏族自治州, 青海省</v>
      </c>
      <c r="G322">
        <v>7214</v>
      </c>
      <c r="H322" t="s">
        <v>915</v>
      </c>
      <c r="I322" t="s">
        <v>905</v>
      </c>
      <c r="J322">
        <f>VLOOKUP(F322,[1]!china_towns_second__2[[Column1]:[Y]],3,FALSE)</f>
        <v>36.924641287416698</v>
      </c>
      <c r="K322">
        <f>VLOOKUP(F322,[1]!china_towns_second__2[[Column1]:[Y]],2,FALSE)</f>
        <v>98.695012950000006</v>
      </c>
      <c r="L322" t="s">
        <v>1433</v>
      </c>
      <c r="M322" t="str">
        <f>VLOOKUP(H322,CHOOSE({1,2},Table9[Native],Table9[Name]),2,0)</f>
        <v>Wūlán Xiàn</v>
      </c>
      <c r="N322" s="13" t="str">
        <f>VLOOKUP(I322,CHOOSE({1,2},Table9[Native],Table9[Name]),2,0)</f>
        <v>Hăixī Mĕnggŭzú Zàngzú Zìzhìzhōu</v>
      </c>
      <c r="O322" s="13" t="str">
        <f t="shared" ref="O322:O385" si="22">_xlfn.CONCAT(L322," (",N322,")")</f>
        <v>Tongpu Zhen (Hăixī Mĕnggŭzú Zàngzú Zìzhìzhōu)</v>
      </c>
      <c r="P322" s="13" t="str">
        <f t="shared" ref="P322:P385" si="23">IF(COUNTIF(O:O,O322)&gt;1,_xlfn.CONCAT(L322," (",M322,")"),O322)</f>
        <v>Tongpu Zhen (Hăixī Mĕnggŭzú Zàngzú Zìzhìzhōu)</v>
      </c>
    </row>
    <row r="323" spans="1:16" hidden="1" x14ac:dyDescent="0.25">
      <c r="A323" t="s">
        <v>746</v>
      </c>
      <c r="B323" t="str">
        <f t="shared" si="20"/>
        <v>Tŭménguān Xiāng</v>
      </c>
      <c r="C323" t="str">
        <f t="shared" si="21"/>
        <v>Tŭménguān Xiāng</v>
      </c>
      <c r="D323" t="s">
        <v>747</v>
      </c>
      <c r="E323" t="s">
        <v>7</v>
      </c>
      <c r="F323" t="str">
        <f>_xlfn.CONCAT(D323,", ",H323,", ",I323,", ","青海省")</f>
        <v>土门关乡, 湟中区, 西宁市, 青海省</v>
      </c>
      <c r="G323">
        <v>15328</v>
      </c>
      <c r="H323" t="s">
        <v>930</v>
      </c>
      <c r="I323" t="s">
        <v>923</v>
      </c>
      <c r="J323" t="e">
        <f>VLOOKUP(F323,[1]!china_towns_second__2[[Column1]:[Y]],3,FALSE)</f>
        <v>#N/A</v>
      </c>
      <c r="K323" t="e">
        <f>VLOOKUP(F323,[1]!china_towns_second__2[[Column1]:[Y]],2,FALSE)</f>
        <v>#N/A</v>
      </c>
      <c r="L323" t="s">
        <v>1434</v>
      </c>
      <c r="M323" t="str">
        <f>VLOOKUP(H323,CHOOSE({1,2},Table9[Native],Table9[Name]),2,0)</f>
        <v>Huángzhōng Qū</v>
      </c>
      <c r="N323" s="13" t="str">
        <f>VLOOKUP(I323,CHOOSE({1,2},Table9[Native],Table9[Name]),2,0)</f>
        <v>Xīníng Shì</v>
      </c>
      <c r="O323" s="13" t="str">
        <f t="shared" si="22"/>
        <v>Tumenguan Xiang (Xīníng Shì)</v>
      </c>
      <c r="P323" s="13" t="str">
        <f t="shared" si="23"/>
        <v>Tumenguan Xiang (Xīníng Shì)</v>
      </c>
    </row>
    <row r="324" spans="1:16" hidden="1" x14ac:dyDescent="0.25">
      <c r="A324" t="s">
        <v>75</v>
      </c>
      <c r="B324" t="str">
        <f t="shared" si="20"/>
        <v>Wā'ĕryī Xiāng</v>
      </c>
      <c r="C324" t="str">
        <f t="shared" si="21"/>
        <v>Wā'ĕryī Xiāng</v>
      </c>
      <c r="D324" t="s">
        <v>76</v>
      </c>
      <c r="E324" t="s">
        <v>7</v>
      </c>
      <c r="F324" t="str">
        <f>_xlfn.CONCAT(D324,", ",H324,", ",I324,", ","青海省")</f>
        <v>哇尔依乡, 久治县, 果洛藏族自治州, 青海省</v>
      </c>
      <c r="G324">
        <v>3455</v>
      </c>
      <c r="H324" t="s">
        <v>876</v>
      </c>
      <c r="I324" t="s">
        <v>871</v>
      </c>
      <c r="J324" t="e">
        <f>VLOOKUP(F324,[1]!china_towns_second__2[[Column1]:[Y]],3,FALSE)</f>
        <v>#N/A</v>
      </c>
      <c r="K324" t="e">
        <f>VLOOKUP(F324,[1]!china_towns_second__2[[Column1]:[Y]],2,FALSE)</f>
        <v>#N/A</v>
      </c>
      <c r="L324" t="s">
        <v>1435</v>
      </c>
      <c r="M324" t="str">
        <f>VLOOKUP(H324,CHOOSE({1,2},Table9[Native],Table9[Name]),2,0)</f>
        <v>Jiŭzhì Xiàn</v>
      </c>
      <c r="N324" s="13" t="str">
        <f>VLOOKUP(I324,CHOOSE({1,2},Table9[Native],Table9[Name]),2,0)</f>
        <v>Guŏluò Zàngzú Zìzhìzhōu</v>
      </c>
      <c r="O324" s="13" t="str">
        <f t="shared" si="22"/>
        <v>Wa'eryi Xiang (Guŏluò Zàngzú Zìzhìzhōu)</v>
      </c>
      <c r="P324" s="13" t="str">
        <f t="shared" si="23"/>
        <v>Wa'eryi Xiang (Guŏluò Zàngzú Zìzhìzhōu)</v>
      </c>
    </row>
    <row r="325" spans="1:16" hidden="1" x14ac:dyDescent="0.25">
      <c r="A325" t="s">
        <v>615</v>
      </c>
      <c r="B325" t="str">
        <f t="shared" si="20"/>
        <v>Wángjiā Xiāng</v>
      </c>
      <c r="C325" t="str">
        <f t="shared" si="21"/>
        <v>Wángjiā Xiāng</v>
      </c>
      <c r="D325" t="s">
        <v>616</v>
      </c>
      <c r="E325" t="s">
        <v>7</v>
      </c>
      <c r="F325" t="str">
        <f>_xlfn.CONCAT(D325,", ",H325,", ",I325,", ","青海省")</f>
        <v>王加乡, 泽库县, 黄南藏族自治州, 青海省</v>
      </c>
      <c r="G325">
        <v>4371</v>
      </c>
      <c r="H325" t="s">
        <v>921</v>
      </c>
      <c r="I325" t="s">
        <v>917</v>
      </c>
      <c r="J325" t="e">
        <f>VLOOKUP(F325,[1]!china_towns_second__2[[Column1]:[Y]],3,FALSE)</f>
        <v>#N/A</v>
      </c>
      <c r="K325" t="e">
        <f>VLOOKUP(F325,[1]!china_towns_second__2[[Column1]:[Y]],2,FALSE)</f>
        <v>#N/A</v>
      </c>
      <c r="L325" t="s">
        <v>1436</v>
      </c>
      <c r="M325" t="str">
        <f>VLOOKUP(H325,CHOOSE({1,2},Table9[Native],Table9[Name]),2,0)</f>
        <v>Zékù Xiàn</v>
      </c>
      <c r="N325" s="13" t="str">
        <f>VLOOKUP(I325,CHOOSE({1,2},Table9[Native],Table9[Name]),2,0)</f>
        <v>Huángnán Zàngzú Zìzhìzhōu</v>
      </c>
      <c r="O325" s="13" t="str">
        <f t="shared" si="22"/>
        <v>Wangjia Xiang (Huángnán Zàngzú Zìzhìzhōu)</v>
      </c>
      <c r="P325" s="13" t="str">
        <f t="shared" si="23"/>
        <v>Wangjia Xiang (Huángnán Zàngzú Zìzhìzhōu)</v>
      </c>
    </row>
    <row r="326" spans="1:16" hidden="1" x14ac:dyDescent="0.25">
      <c r="A326" t="s">
        <v>77</v>
      </c>
      <c r="B326" t="str">
        <f t="shared" si="20"/>
        <v>Wāsài Xiāng</v>
      </c>
      <c r="C326" t="str">
        <f t="shared" si="21"/>
        <v>Wāsài Xiāng</v>
      </c>
      <c r="D326" t="s">
        <v>78</v>
      </c>
      <c r="E326" t="s">
        <v>7</v>
      </c>
      <c r="F326" t="str">
        <f>_xlfn.CONCAT(D326,", ",H326,", ",I326,", ","青海省")</f>
        <v>哇赛乡, 久治县, 果洛藏族自治州, 青海省</v>
      </c>
      <c r="G326">
        <v>3244</v>
      </c>
      <c r="H326" t="s">
        <v>876</v>
      </c>
      <c r="I326" t="s">
        <v>871</v>
      </c>
      <c r="J326" t="e">
        <f>VLOOKUP(F326,[1]!china_towns_second__2[[Column1]:[Y]],3,FALSE)</f>
        <v>#N/A</v>
      </c>
      <c r="K326" t="e">
        <f>VLOOKUP(F326,[1]!china_towns_second__2[[Column1]:[Y]],2,FALSE)</f>
        <v>#N/A</v>
      </c>
      <c r="L326" t="s">
        <v>1437</v>
      </c>
      <c r="M326" t="str">
        <f>VLOOKUP(H326,CHOOSE({1,2},Table9[Native],Table9[Name]),2,0)</f>
        <v>Jiŭzhì Xiàn</v>
      </c>
      <c r="N326" s="13" t="str">
        <f>VLOOKUP(I326,CHOOSE({1,2},Table9[Native],Table9[Name]),2,0)</f>
        <v>Guŏluò Zàngzú Zìzhìzhōu</v>
      </c>
      <c r="O326" s="13" t="str">
        <f t="shared" si="22"/>
        <v>Wasai Xiang (Guŏluò Zàngzú Zìzhìzhōu)</v>
      </c>
      <c r="P326" s="13" t="str">
        <f t="shared" si="23"/>
        <v>Wasai Xiang (Guŏluò Zàngzú Zìzhìzhōu)</v>
      </c>
    </row>
    <row r="327" spans="1:16" x14ac:dyDescent="0.25">
      <c r="A327" t="s">
        <v>328</v>
      </c>
      <c r="B327" t="str">
        <f t="shared" si="20"/>
        <v>Wēiyuăn Zhèn</v>
      </c>
      <c r="C327" t="str">
        <f t="shared" si="21"/>
        <v>Wēiyuăn Zhèn</v>
      </c>
      <c r="D327" t="s">
        <v>329</v>
      </c>
      <c r="E327" t="s">
        <v>19</v>
      </c>
      <c r="F327" t="str">
        <f>_xlfn.CONCAT(D327,", ",H327,", ",I327,", ","青海省")</f>
        <v>威远镇, 互助土族自治县, 海东市, 青海省</v>
      </c>
      <c r="G327">
        <v>66490</v>
      </c>
      <c r="H327" t="s">
        <v>890</v>
      </c>
      <c r="I327" t="s">
        <v>888</v>
      </c>
      <c r="J327">
        <f>VLOOKUP(F327,[1]!china_towns_second__2[[Column1]:[Y]],3,FALSE)</f>
        <v>36.845760154291902</v>
      </c>
      <c r="K327">
        <f>VLOOKUP(F327,[1]!china_towns_second__2[[Column1]:[Y]],2,FALSE)</f>
        <v>101.9730563</v>
      </c>
      <c r="L327" t="s">
        <v>1438</v>
      </c>
      <c r="M327" t="str">
        <f>VLOOKUP(H327,CHOOSE({1,2},Table9[Native],Table9[Name]),2,0)</f>
        <v>Hùzhù Tŭzú Zìzhìxiàn</v>
      </c>
      <c r="N327" s="13" t="str">
        <f>VLOOKUP(I327,CHOOSE({1,2},Table9[Native],Table9[Name]),2,0)</f>
        <v>Hăidōng Shì</v>
      </c>
      <c r="O327" s="13" t="str">
        <f t="shared" si="22"/>
        <v>Weiyuan Zhen (Hăidōng Shì)</v>
      </c>
      <c r="P327" s="13" t="str">
        <f t="shared" si="23"/>
        <v>Weiyuan Zhen (Hăidōng Shì)</v>
      </c>
    </row>
    <row r="328" spans="1:16" hidden="1" x14ac:dyDescent="0.25">
      <c r="A328" t="s">
        <v>330</v>
      </c>
      <c r="B328" t="str">
        <f t="shared" si="20"/>
        <v>Wéndū Zàngzú Xiāng</v>
      </c>
      <c r="C328" t="str">
        <f t="shared" si="21"/>
        <v>Wéndū Zàngzú Xiāng</v>
      </c>
      <c r="D328" t="s">
        <v>331</v>
      </c>
      <c r="E328" t="s">
        <v>7</v>
      </c>
      <c r="F328" t="str">
        <f>_xlfn.CONCAT(D328,", ",H328,", ",I328,", ","青海省")</f>
        <v>文都藏族乡, 循化撒拉族自治县, 海东市, 青海省</v>
      </c>
      <c r="G328">
        <v>8677</v>
      </c>
      <c r="H328" t="s">
        <v>895</v>
      </c>
      <c r="I328" t="s">
        <v>888</v>
      </c>
      <c r="J328" t="e">
        <f>VLOOKUP(F328,[1]!china_towns_second__2[[Column1]:[Y]],3,FALSE)</f>
        <v>#N/A</v>
      </c>
      <c r="K328" t="e">
        <f>VLOOKUP(F328,[1]!china_towns_second__2[[Column1]:[Y]],2,FALSE)</f>
        <v>#N/A</v>
      </c>
      <c r="L328" t="s">
        <v>1439</v>
      </c>
      <c r="M328" t="str">
        <f>VLOOKUP(H328,CHOOSE({1,2},Table9[Native],Table9[Name]),2,0)</f>
        <v>Xúnhuà Sālāzú Zìzhìxiàn</v>
      </c>
      <c r="N328" s="13" t="str">
        <f>VLOOKUP(I328,CHOOSE({1,2},Table9[Native],Table9[Name]),2,0)</f>
        <v>Hăidōng Shì</v>
      </c>
      <c r="O328" s="13" t="str">
        <f t="shared" si="22"/>
        <v>Wendu Zangzu Xiang (Hăidōng Shì)</v>
      </c>
      <c r="P328" s="13" t="str">
        <f t="shared" si="23"/>
        <v>Wendu Zangzu Xiang (Hăidōng Shì)</v>
      </c>
    </row>
    <row r="329" spans="1:16" hidden="1" x14ac:dyDescent="0.25">
      <c r="A329" t="s">
        <v>449</v>
      </c>
      <c r="B329" t="str">
        <f t="shared" si="20"/>
        <v>Wēnquán Xiāng</v>
      </c>
      <c r="C329" t="str">
        <f t="shared" si="21"/>
        <v>Wēnquán Xiāng</v>
      </c>
      <c r="D329" t="s">
        <v>450</v>
      </c>
      <c r="E329" t="s">
        <v>7</v>
      </c>
      <c r="F329" t="str">
        <f>_xlfn.CONCAT(D329,", ",H329,", ",I329,", ","青海省")</f>
        <v>温泉乡, 兴海县, 海南藏族自治州, 青海省</v>
      </c>
      <c r="G329">
        <v>9179</v>
      </c>
      <c r="H329" t="s">
        <v>902</v>
      </c>
      <c r="I329" t="s">
        <v>897</v>
      </c>
      <c r="J329" t="e">
        <f>VLOOKUP(F329,[1]!china_towns_second__2[[Column1]:[Y]],3,FALSE)</f>
        <v>#N/A</v>
      </c>
      <c r="K329" t="e">
        <f>VLOOKUP(F329,[1]!china_towns_second__2[[Column1]:[Y]],2,FALSE)</f>
        <v>#N/A</v>
      </c>
      <c r="L329" t="s">
        <v>1440</v>
      </c>
      <c r="M329" t="str">
        <f>VLOOKUP(H329,CHOOSE({1,2},Table9[Native],Table9[Name]),2,0)</f>
        <v>Xīnghăi Xiàn</v>
      </c>
      <c r="N329" s="13" t="str">
        <f>VLOOKUP(I329,CHOOSE({1,2},Table9[Native],Table9[Name]),2,0)</f>
        <v>Hăinán Zàngzú Zìzhìzhōu</v>
      </c>
      <c r="O329" s="13" t="str">
        <f t="shared" si="22"/>
        <v>Wenquan Xiang (Hăinán Zàngzú Zìzhìzhōu)</v>
      </c>
      <c r="P329" s="13" t="str">
        <f t="shared" si="23"/>
        <v>Wenquan Xiang (Hăinán Zàngzú Zìzhìzhōu)</v>
      </c>
    </row>
    <row r="330" spans="1:16" hidden="1" x14ac:dyDescent="0.25">
      <c r="A330" t="s">
        <v>79</v>
      </c>
      <c r="B330" t="str">
        <f t="shared" si="20"/>
        <v>Wōsài Xiāng</v>
      </c>
      <c r="C330" t="str">
        <f t="shared" si="21"/>
        <v>Wōsài Xiāng</v>
      </c>
      <c r="D330" t="s">
        <v>80</v>
      </c>
      <c r="E330" t="s">
        <v>7</v>
      </c>
      <c r="F330" t="str">
        <f>_xlfn.CONCAT(D330,", ",H330,", ",I330,", ","青海省")</f>
        <v>窝赛乡, 达日县, 果洛藏族自治州, 青海省</v>
      </c>
      <c r="G330">
        <v>1708</v>
      </c>
      <c r="H330" t="s">
        <v>874</v>
      </c>
      <c r="I330" t="s">
        <v>871</v>
      </c>
      <c r="J330" t="e">
        <f>VLOOKUP(F330,[1]!china_towns_second__2[[Column1]:[Y]],3,FALSE)</f>
        <v>#N/A</v>
      </c>
      <c r="K330" t="e">
        <f>VLOOKUP(F330,[1]!china_towns_second__2[[Column1]:[Y]],2,FALSE)</f>
        <v>#N/A</v>
      </c>
      <c r="L330" t="s">
        <v>1441</v>
      </c>
      <c r="M330" t="str">
        <f>VLOOKUP(H330,CHOOSE({1,2},Table9[Native],Table9[Name]),2,0)</f>
        <v>Dárì Xiàn</v>
      </c>
      <c r="N330" s="13" t="str">
        <f>VLOOKUP(I330,CHOOSE({1,2},Table9[Native],Table9[Name]),2,0)</f>
        <v>Guŏluò Zàngzú Zìzhìzhōu</v>
      </c>
      <c r="O330" s="13" t="str">
        <f t="shared" si="22"/>
        <v>Wosai Xiang (Guŏluò Zàngzú Zìzhìzhōu)</v>
      </c>
      <c r="P330" s="13" t="str">
        <f t="shared" si="23"/>
        <v>Wosai Xiang (Guŏluò Zàngzú Zìzhìzhōu)</v>
      </c>
    </row>
    <row r="331" spans="1:16" x14ac:dyDescent="0.25">
      <c r="A331" t="s">
        <v>332</v>
      </c>
      <c r="B331" t="str">
        <f t="shared" si="20"/>
        <v>Wŭfēng Zhèn</v>
      </c>
      <c r="C331" t="str">
        <f t="shared" si="21"/>
        <v>Wŭfēng Zhèn</v>
      </c>
      <c r="D331" t="s">
        <v>333</v>
      </c>
      <c r="E331" t="s">
        <v>19</v>
      </c>
      <c r="F331" t="str">
        <f>_xlfn.CONCAT(D331,", ",H331,", ",I331,", ","青海省")</f>
        <v>五峰镇, 互助土族自治县, 海东市, 青海省</v>
      </c>
      <c r="G331">
        <v>22775</v>
      </c>
      <c r="H331" t="s">
        <v>890</v>
      </c>
      <c r="I331" t="s">
        <v>888</v>
      </c>
      <c r="J331">
        <f>VLOOKUP(F331,[1]!china_towns_second__2[[Column1]:[Y]],3,FALSE)</f>
        <v>36.886404622685497</v>
      </c>
      <c r="K331">
        <f>VLOOKUP(F331,[1]!china_towns_second__2[[Column1]:[Y]],2,FALSE)</f>
        <v>101.85237429999999</v>
      </c>
      <c r="L331" t="s">
        <v>1442</v>
      </c>
      <c r="M331" t="str">
        <f>VLOOKUP(H331,CHOOSE({1,2},Table9[Native],Table9[Name]),2,0)</f>
        <v>Hùzhù Tŭzú Zìzhìxiàn</v>
      </c>
      <c r="N331" s="13" t="str">
        <f>VLOOKUP(I331,CHOOSE({1,2},Table9[Native],Table9[Name]),2,0)</f>
        <v>Hăidōng Shì</v>
      </c>
      <c r="O331" s="13" t="str">
        <f t="shared" si="22"/>
        <v>Wufeng Zhen (Hăidōng Shì)</v>
      </c>
      <c r="P331" s="13" t="str">
        <f t="shared" si="23"/>
        <v>Wufeng Zhen (Hăidōng Shì)</v>
      </c>
    </row>
    <row r="332" spans="1:16" x14ac:dyDescent="0.25">
      <c r="A332" t="s">
        <v>334</v>
      </c>
      <c r="B332" t="str">
        <f t="shared" si="20"/>
        <v>Wŭshí Zhèn</v>
      </c>
      <c r="C332" t="str">
        <f t="shared" si="21"/>
        <v>Wŭshí Zhèn</v>
      </c>
      <c r="D332" t="s">
        <v>335</v>
      </c>
      <c r="E332" t="s">
        <v>19</v>
      </c>
      <c r="F332" t="str">
        <f>_xlfn.CONCAT(D332,", ",H332,", ",I332,", ","青海省")</f>
        <v>五十镇, 互助土族自治县, 海东市, 青海省</v>
      </c>
      <c r="G332">
        <v>18067</v>
      </c>
      <c r="H332" t="s">
        <v>890</v>
      </c>
      <c r="I332" t="s">
        <v>888</v>
      </c>
      <c r="J332">
        <f>VLOOKUP(F332,[1]!china_towns_second__2[[Column1]:[Y]],3,FALSE)</f>
        <v>36.768083301776102</v>
      </c>
      <c r="K332">
        <f>VLOOKUP(F332,[1]!china_towns_second__2[[Column1]:[Y]],2,FALSE)</f>
        <v>102.17661459999999</v>
      </c>
      <c r="L332" t="s">
        <v>1443</v>
      </c>
      <c r="M332" t="str">
        <f>VLOOKUP(H332,CHOOSE({1,2},Table9[Native],Table9[Name]),2,0)</f>
        <v>Hùzhù Tŭzú Zìzhìxiàn</v>
      </c>
      <c r="N332" s="13" t="str">
        <f>VLOOKUP(I332,CHOOSE({1,2},Table9[Native],Table9[Name]),2,0)</f>
        <v>Hăidōng Shì</v>
      </c>
      <c r="O332" s="13" t="str">
        <f t="shared" si="22"/>
        <v>Wushi Zhen (Hăidōng Shì)</v>
      </c>
      <c r="P332" s="13" t="str">
        <f t="shared" si="23"/>
        <v>Wushi Zhen (Hăidōng Shì)</v>
      </c>
    </row>
    <row r="333" spans="1:16" hidden="1" x14ac:dyDescent="0.25">
      <c r="A333" t="s">
        <v>531</v>
      </c>
      <c r="B333" t="str">
        <f t="shared" si="20"/>
        <v>Wūtú Mĕirén Xiāng</v>
      </c>
      <c r="C333" t="str">
        <f t="shared" si="21"/>
        <v>Wūtú Mĕirén Xiāng</v>
      </c>
      <c r="D333" t="s">
        <v>532</v>
      </c>
      <c r="E333" t="s">
        <v>7</v>
      </c>
      <c r="F333" t="str">
        <f>_xlfn.CONCAT(D333,", ",H333,", ",I333,", ","青海省")</f>
        <v>乌图美仁乡, 格尔木市, 海西蒙古族藏族自治州, 青海省</v>
      </c>
      <c r="G333">
        <v>3831</v>
      </c>
      <c r="H333" t="s">
        <v>912</v>
      </c>
      <c r="I333" t="s">
        <v>905</v>
      </c>
      <c r="J333" t="e">
        <f>VLOOKUP(F333,[1]!china_towns_second__2[[Column1]:[Y]],3,FALSE)</f>
        <v>#N/A</v>
      </c>
      <c r="K333" t="e">
        <f>VLOOKUP(F333,[1]!china_towns_second__2[[Column1]:[Y]],2,FALSE)</f>
        <v>#N/A</v>
      </c>
      <c r="L333" t="s">
        <v>1444</v>
      </c>
      <c r="M333" t="str">
        <f>VLOOKUP(H333,CHOOSE({1,2},Table9[Native],Table9[Name]),2,0)</f>
        <v>Gé'ĕrmù Shì</v>
      </c>
      <c r="N333" s="13" t="str">
        <f>VLOOKUP(I333,CHOOSE({1,2},Table9[Native],Table9[Name]),2,0)</f>
        <v>Hăixī Mĕnggŭzú Zàngzú Zìzhìzhōu</v>
      </c>
      <c r="O333" s="13" t="str">
        <f t="shared" si="22"/>
        <v>Wutu Meiren Xiang (Hăixī Mĕnggŭzú Zàngzú Zìzhìzhōu)</v>
      </c>
      <c r="P333" s="13" t="str">
        <f t="shared" si="23"/>
        <v>Wutu Meiren Xiang (Hăixī Mĕnggŭzú Zàngzú Zìzhìzhōu)</v>
      </c>
    </row>
    <row r="334" spans="1:16" hidden="1" x14ac:dyDescent="0.25">
      <c r="A334" t="s">
        <v>81</v>
      </c>
      <c r="B334" t="str">
        <f t="shared" si="20"/>
        <v>Xiàdàwŭ Xiāng</v>
      </c>
      <c r="C334" t="str">
        <f t="shared" si="21"/>
        <v>Xiàdàwŭ Xiāng</v>
      </c>
      <c r="D334" t="s">
        <v>82</v>
      </c>
      <c r="E334" t="s">
        <v>7</v>
      </c>
      <c r="F334" t="str">
        <f>_xlfn.CONCAT(D334,", ",H334,", ",I334,", ","青海省")</f>
        <v>下大武乡, 玛沁县, 果洛藏族自治州, 青海省</v>
      </c>
      <c r="G334">
        <v>1663</v>
      </c>
      <c r="H334" t="s">
        <v>878</v>
      </c>
      <c r="I334" t="s">
        <v>871</v>
      </c>
      <c r="J334" t="e">
        <f>VLOOKUP(F334,[1]!china_towns_second__2[[Column1]:[Y]],3,FALSE)</f>
        <v>#N/A</v>
      </c>
      <c r="K334" t="e">
        <f>VLOOKUP(F334,[1]!china_towns_second__2[[Column1]:[Y]],2,FALSE)</f>
        <v>#N/A</v>
      </c>
      <c r="L334" t="s">
        <v>1445</v>
      </c>
      <c r="M334" t="str">
        <f>VLOOKUP(H334,CHOOSE({1,2},Table9[Native],Table9[Name]),2,0)</f>
        <v>Măqìn Xiàn</v>
      </c>
      <c r="N334" s="13" t="str">
        <f>VLOOKUP(I334,CHOOSE({1,2},Table9[Native],Table9[Name]),2,0)</f>
        <v>Guŏluò Zàngzú Zìzhìzhōu</v>
      </c>
      <c r="O334" s="13" t="str">
        <f t="shared" si="22"/>
        <v>Xiadawu Xiang (Guŏluò Zàngzú Zìzhìzhōu)</v>
      </c>
      <c r="P334" s="13" t="str">
        <f t="shared" si="23"/>
        <v>Xiadawu Xiang (Guŏluò Zàngzú Zìzhìzhōu)</v>
      </c>
    </row>
    <row r="335" spans="1:16" hidden="1" x14ac:dyDescent="0.25">
      <c r="A335" t="s">
        <v>83</v>
      </c>
      <c r="B335" t="str">
        <f t="shared" si="20"/>
        <v>Xiàgòngmá Xiāng</v>
      </c>
      <c r="C335" t="str">
        <f t="shared" si="21"/>
        <v>Xiàgòngmá Xiāng</v>
      </c>
      <c r="D335" t="s">
        <v>84</v>
      </c>
      <c r="E335" t="s">
        <v>7</v>
      </c>
      <c r="F335" t="str">
        <f>_xlfn.CONCAT(D335,", ",H335,", ",I335,", ","青海省")</f>
        <v>下贡麻乡, 甘德县, 果洛藏族自治州, 青海省</v>
      </c>
      <c r="G335">
        <v>4084</v>
      </c>
      <c r="H335" t="s">
        <v>875</v>
      </c>
      <c r="I335" t="s">
        <v>871</v>
      </c>
      <c r="J335" t="e">
        <f>VLOOKUP(F335,[1]!china_towns_second__2[[Column1]:[Y]],3,FALSE)</f>
        <v>#N/A</v>
      </c>
      <c r="K335" t="e">
        <f>VLOOKUP(F335,[1]!china_towns_second__2[[Column1]:[Y]],2,FALSE)</f>
        <v>#N/A</v>
      </c>
      <c r="L335" t="s">
        <v>1446</v>
      </c>
      <c r="M335" t="str">
        <f>VLOOKUP(H335,CHOOSE({1,2},Table9[Native],Table9[Name]),2,0)</f>
        <v>Gāndé Xiàn</v>
      </c>
      <c r="N335" s="13" t="str">
        <f>VLOOKUP(I335,CHOOSE({1,2},Table9[Native],Table9[Name]),2,0)</f>
        <v>Guŏluò Zàngzú Zìzhìzhōu</v>
      </c>
      <c r="O335" s="13" t="str">
        <f t="shared" si="22"/>
        <v>Xiagongma Xiang (Guŏluò Zàngzú Zìzhìzhōu)</v>
      </c>
      <c r="P335" s="13" t="str">
        <f t="shared" si="23"/>
        <v>Xiagongma Xiang (Guŏluò Zàngzú Zìzhìzhōu)</v>
      </c>
    </row>
    <row r="336" spans="1:16" hidden="1" x14ac:dyDescent="0.25">
      <c r="A336" t="s">
        <v>85</v>
      </c>
      <c r="B336" t="str">
        <f t="shared" si="20"/>
        <v>Xiàhóngkē Xiāng</v>
      </c>
      <c r="C336" t="str">
        <f t="shared" si="21"/>
        <v>Xiàhóngkē Xiāng</v>
      </c>
      <c r="D336" t="s">
        <v>86</v>
      </c>
      <c r="E336" t="s">
        <v>7</v>
      </c>
      <c r="F336" t="str">
        <f>_xlfn.CONCAT(D336,", ",H336,", ",I336,", ","青海省")</f>
        <v>下红科乡, 达日县, 果洛藏族自治州, 青海省</v>
      </c>
      <c r="G336">
        <v>2387</v>
      </c>
      <c r="H336" t="s">
        <v>874</v>
      </c>
      <c r="I336" t="s">
        <v>871</v>
      </c>
      <c r="J336" t="e">
        <f>VLOOKUP(F336,[1]!china_towns_second__2[[Column1]:[Y]],3,FALSE)</f>
        <v>#N/A</v>
      </c>
      <c r="K336" t="e">
        <f>VLOOKUP(F336,[1]!china_towns_second__2[[Column1]:[Y]],2,FALSE)</f>
        <v>#N/A</v>
      </c>
      <c r="L336" t="s">
        <v>1447</v>
      </c>
      <c r="M336" t="str">
        <f>VLOOKUP(H336,CHOOSE({1,2},Table9[Native],Table9[Name]),2,0)</f>
        <v>Dárì Xiàn</v>
      </c>
      <c r="N336" s="13" t="str">
        <f>VLOOKUP(I336,CHOOSE({1,2},Table9[Native],Table9[Name]),2,0)</f>
        <v>Guŏluò Zàngzú Zìzhìzhōu</v>
      </c>
      <c r="O336" s="13" t="str">
        <f t="shared" si="22"/>
        <v>Xiahongke Xiang (Guŏluò Zàngzú Zìzhìzhōu)</v>
      </c>
      <c r="P336" s="13" t="str">
        <f t="shared" si="23"/>
        <v>Xiahongke Xiang (Guŏluò Zàngzú Zìzhìzhōu)</v>
      </c>
    </row>
    <row r="337" spans="1:16" x14ac:dyDescent="0.25">
      <c r="A337" t="s">
        <v>844</v>
      </c>
      <c r="B337" t="str">
        <f t="shared" si="20"/>
        <v>Xiàlāxiù Zhèn</v>
      </c>
      <c r="C337" t="str">
        <f t="shared" si="21"/>
        <v>Xiàlāxiù Zhèn</v>
      </c>
      <c r="D337" t="s">
        <v>845</v>
      </c>
      <c r="E337" t="s">
        <v>19</v>
      </c>
      <c r="F337" t="str">
        <f>_xlfn.CONCAT(D337,", ",H337,", ",I337,", ","青海省")</f>
        <v>下拉秀镇, 玉树市, 玉树藏族自治州, 青海省</v>
      </c>
      <c r="G337">
        <v>13494</v>
      </c>
      <c r="H337" t="s">
        <v>936</v>
      </c>
      <c r="I337" t="s">
        <v>932</v>
      </c>
      <c r="J337">
        <f>VLOOKUP(F337,[1]!china_towns_second__2[[Column1]:[Y]],3,FALSE)</f>
        <v>32.6436048679818</v>
      </c>
      <c r="K337">
        <f>VLOOKUP(F337,[1]!china_towns_second__2[[Column1]:[Y]],2,FALSE)</f>
        <v>96.565650790000007</v>
      </c>
      <c r="L337" t="s">
        <v>1448</v>
      </c>
      <c r="M337" t="str">
        <f>VLOOKUP(H337,CHOOSE({1,2},Table9[Native],Table9[Name]),2,0)</f>
        <v>Yùshù Shì</v>
      </c>
      <c r="N337" s="13" t="str">
        <f>VLOOKUP(I337,CHOOSE({1,2},Table9[Native],Table9[Name]),2,0)</f>
        <v>Yùshù Zàngzú Zìzhìzhōu</v>
      </c>
      <c r="O337" s="13" t="str">
        <f t="shared" si="22"/>
        <v>Xialaxiu Zhen (Yùshù Zàngzú Zìzhìzhōu)</v>
      </c>
      <c r="P337" s="13" t="str">
        <f t="shared" si="23"/>
        <v>Xialaxiu Zhen (Yùshù Zàngzú Zìzhìzhōu)</v>
      </c>
    </row>
    <row r="338" spans="1:16" x14ac:dyDescent="0.25">
      <c r="A338" t="s">
        <v>336</v>
      </c>
      <c r="B338" t="str">
        <f t="shared" si="20"/>
        <v>Xiámén Zhèn</v>
      </c>
      <c r="C338" t="str">
        <f t="shared" si="21"/>
        <v>Xiámén Zhèn</v>
      </c>
      <c r="D338" t="s">
        <v>337</v>
      </c>
      <c r="E338" t="s">
        <v>19</v>
      </c>
      <c r="F338" t="str">
        <f>_xlfn.CONCAT(D338,", ",H338,", ",I338,", ","青海省")</f>
        <v>峡门镇, 民和回族土族自治县, 海东市, 青海省</v>
      </c>
      <c r="G338">
        <v>12483</v>
      </c>
      <c r="H338" t="s">
        <v>893</v>
      </c>
      <c r="I338" t="s">
        <v>888</v>
      </c>
      <c r="J338">
        <f>VLOOKUP(F338,[1]!china_towns_second__2[[Column1]:[Y]],3,FALSE)</f>
        <v>36.233664213785701</v>
      </c>
      <c r="K338">
        <f>VLOOKUP(F338,[1]!china_towns_second__2[[Column1]:[Y]],2,FALSE)</f>
        <v>102.5281067</v>
      </c>
      <c r="L338" t="s">
        <v>1449</v>
      </c>
      <c r="M338" t="str">
        <f>VLOOKUP(H338,CHOOSE({1,2},Table9[Native],Table9[Name]),2,0)</f>
        <v>Mínhé Huízú Tŭzú Zìzhìxiàn</v>
      </c>
      <c r="N338" s="13" t="str">
        <f>VLOOKUP(I338,CHOOSE({1,2},Table9[Native],Table9[Name]),2,0)</f>
        <v>Hăidōng Shì</v>
      </c>
      <c r="O338" s="13" t="str">
        <f t="shared" si="22"/>
        <v>Xiamen Zhen (Hăidōng Shì)</v>
      </c>
      <c r="P338" s="13" t="str">
        <f t="shared" si="23"/>
        <v>Xiamen Zhen (Hăidōng Shì)</v>
      </c>
    </row>
    <row r="339" spans="1:16" x14ac:dyDescent="0.25">
      <c r="A339" t="s">
        <v>846</v>
      </c>
      <c r="B339" t="str">
        <f t="shared" si="20"/>
        <v>Xiāngdá Zhèn</v>
      </c>
      <c r="C339" t="str">
        <f t="shared" si="21"/>
        <v>Xiāngdá Zhèn</v>
      </c>
      <c r="D339" t="s">
        <v>847</v>
      </c>
      <c r="E339" t="s">
        <v>19</v>
      </c>
      <c r="F339" t="str">
        <f>_xlfn.CONCAT(D339,", ",H339,", ",I339,", ","青海省")</f>
        <v>香达镇, 囊谦县, 玉树藏族自治州, 青海省</v>
      </c>
      <c r="G339">
        <v>32175</v>
      </c>
      <c r="H339" t="s">
        <v>934</v>
      </c>
      <c r="I339" t="s">
        <v>932</v>
      </c>
      <c r="J339">
        <f>VLOOKUP(F339,[1]!china_towns_second__2[[Column1]:[Y]],3,FALSE)</f>
        <v>32.248048280533801</v>
      </c>
      <c r="K339">
        <f>VLOOKUP(F339,[1]!china_towns_second__2[[Column1]:[Y]],2,FALSE)</f>
        <v>96.492265349999997</v>
      </c>
      <c r="L339" t="s">
        <v>1450</v>
      </c>
      <c r="M339" t="str">
        <f>VLOOKUP(H339,CHOOSE({1,2},Table9[Native],Table9[Name]),2,0)</f>
        <v>Nángqiān Xiàn</v>
      </c>
      <c r="N339" s="13" t="str">
        <f>VLOOKUP(I339,CHOOSE({1,2},Table9[Native],Table9[Name]),2,0)</f>
        <v>Yùshù Zàngzú Zìzhìzhōu</v>
      </c>
      <c r="O339" s="13" t="str">
        <f t="shared" si="22"/>
        <v>Xiangda Zhen (Yùshù Zàngzú Zìzhìzhōu)</v>
      </c>
      <c r="P339" s="13" t="str">
        <f t="shared" si="23"/>
        <v>Xiangda Zhen (Yùshù Zàngzú Zìzhìzhōu)</v>
      </c>
    </row>
    <row r="340" spans="1:16" hidden="1" x14ac:dyDescent="0.25">
      <c r="A340" t="s">
        <v>748</v>
      </c>
      <c r="B340" t="str">
        <f t="shared" si="20"/>
        <v>Xiànghuà Zàngzú Xiāng</v>
      </c>
      <c r="C340" t="str">
        <f t="shared" si="21"/>
        <v>Xiànghuà Zàngzú Xiāng</v>
      </c>
      <c r="D340" t="s">
        <v>749</v>
      </c>
      <c r="E340" t="s">
        <v>7</v>
      </c>
      <c r="F340" t="str">
        <f>_xlfn.CONCAT(D340,", ",H340,", ",I340,", ","青海省")</f>
        <v>向化藏族乡, 大通回族土族自治县, 西宁市, 青海省</v>
      </c>
      <c r="G340">
        <v>6809</v>
      </c>
      <c r="H340" t="s">
        <v>928</v>
      </c>
      <c r="I340" t="s">
        <v>923</v>
      </c>
      <c r="J340" t="e">
        <f>VLOOKUP(F340,[1]!china_towns_second__2[[Column1]:[Y]],3,FALSE)</f>
        <v>#N/A</v>
      </c>
      <c r="K340" t="e">
        <f>VLOOKUP(F340,[1]!china_towns_second__2[[Column1]:[Y]],2,FALSE)</f>
        <v>#N/A</v>
      </c>
      <c r="L340" t="s">
        <v>1451</v>
      </c>
      <c r="M340" t="str">
        <f>VLOOKUP(H340,CHOOSE({1,2},Table9[Native],Table9[Name]),2,0)</f>
        <v>Dàtōng Huízú Tŭzú Zìzhìxiàn</v>
      </c>
      <c r="N340" s="13" t="str">
        <f>VLOOKUP(I340,CHOOSE({1,2},Table9[Native],Table9[Name]),2,0)</f>
        <v>Xīníng Shì</v>
      </c>
      <c r="O340" s="13" t="str">
        <f t="shared" si="22"/>
        <v>Xianghua Zangzu Xiang (Xīníng Shì)</v>
      </c>
      <c r="P340" s="13" t="str">
        <f t="shared" si="23"/>
        <v>Xianghua Zangzu Xiang (Xīníng Shì)</v>
      </c>
    </row>
    <row r="341" spans="1:16" hidden="1" x14ac:dyDescent="0.25">
      <c r="A341" t="s">
        <v>533</v>
      </c>
      <c r="B341" t="str">
        <f t="shared" si="20"/>
        <v>Xiāngjiā Xiāng</v>
      </c>
      <c r="C341" t="str">
        <f t="shared" si="21"/>
        <v>Xiāngjiā Xiāng</v>
      </c>
      <c r="D341" t="s">
        <v>534</v>
      </c>
      <c r="E341" t="s">
        <v>7</v>
      </c>
      <c r="F341" t="str">
        <f>_xlfn.CONCAT(D341,", ",H341,", ",I341,", ","青海省")</f>
        <v>香加乡, 都兰县, 海西蒙古族藏族自治州, 青海省</v>
      </c>
      <c r="G341">
        <v>4042</v>
      </c>
      <c r="H341" t="s">
        <v>911</v>
      </c>
      <c r="I341" t="s">
        <v>905</v>
      </c>
      <c r="J341" t="e">
        <f>VLOOKUP(F341,[1]!china_towns_second__2[[Column1]:[Y]],3,FALSE)</f>
        <v>#N/A</v>
      </c>
      <c r="K341" t="e">
        <f>VLOOKUP(F341,[1]!china_towns_second__2[[Column1]:[Y]],2,FALSE)</f>
        <v>#N/A</v>
      </c>
      <c r="L341" t="s">
        <v>1452</v>
      </c>
      <c r="M341" t="str">
        <f>VLOOKUP(H341,CHOOSE({1,2},Table9[Native],Table9[Name]),2,0)</f>
        <v>Dūlán Xiàn</v>
      </c>
      <c r="N341" s="13" t="str">
        <f>VLOOKUP(I341,CHOOSE({1,2},Table9[Native],Table9[Name]),2,0)</f>
        <v>Hăixī Mĕnggŭzú Zàngzú Zìzhìzhōu</v>
      </c>
      <c r="O341" s="13" t="str">
        <f t="shared" si="22"/>
        <v>Xiangjia Xiang (Hăixī Mĕnggŭzú Zàngzú Zìzhìzhōu)</v>
      </c>
      <c r="P341" s="13" t="str">
        <f t="shared" si="23"/>
        <v>Xiangjia Xiang (Hăixī Mĕnggŭzú Zàngzú Zìzhìzhōu)</v>
      </c>
    </row>
    <row r="342" spans="1:16" x14ac:dyDescent="0.25">
      <c r="A342" t="s">
        <v>535</v>
      </c>
      <c r="B342" t="str">
        <f t="shared" si="20"/>
        <v>Xiāngrìdé Zhèn</v>
      </c>
      <c r="C342" t="str">
        <f t="shared" si="21"/>
        <v>Xiāngrìdé Zhèn</v>
      </c>
      <c r="D342" t="s">
        <v>536</v>
      </c>
      <c r="E342" t="s">
        <v>19</v>
      </c>
      <c r="F342" t="str">
        <f>_xlfn.CONCAT(D342,", ",H342,", ",I342,", ","青海省")</f>
        <v>香日德镇, 都兰县, 海西蒙古族藏族自治州, 青海省</v>
      </c>
      <c r="G342">
        <v>25247</v>
      </c>
      <c r="H342" t="s">
        <v>911</v>
      </c>
      <c r="I342" t="s">
        <v>905</v>
      </c>
      <c r="J342">
        <f>VLOOKUP(F342,[1]!china_towns_second__2[[Column1]:[Y]],3,FALSE)</f>
        <v>36.096348270558899</v>
      </c>
      <c r="K342">
        <f>VLOOKUP(F342,[1]!china_towns_second__2[[Column1]:[Y]],2,FALSE)</f>
        <v>97.744971789999994</v>
      </c>
      <c r="L342" t="s">
        <v>1453</v>
      </c>
      <c r="M342" t="str">
        <f>VLOOKUP(H342,CHOOSE({1,2},Table9[Native],Table9[Name]),2,0)</f>
        <v>Dūlán Xiàn</v>
      </c>
      <c r="N342" s="13" t="str">
        <f>VLOOKUP(I342,CHOOSE({1,2},Table9[Native],Table9[Name]),2,0)</f>
        <v>Hăixī Mĕnggŭzú Zàngzú Zìzhìzhōu</v>
      </c>
      <c r="O342" s="13" t="str">
        <f t="shared" si="22"/>
        <v>Xiangride Zhen (Hăixī Mĕnggŭzú Zàngzú Zìzhìzhōu)</v>
      </c>
      <c r="P342" s="13" t="str">
        <f t="shared" si="23"/>
        <v>Xiangride Zhen (Hăixī Mĕnggŭzú Zàngzú Zìzhìzhōu)</v>
      </c>
    </row>
    <row r="343" spans="1:16" hidden="1" x14ac:dyDescent="0.25">
      <c r="A343" t="s">
        <v>156</v>
      </c>
      <c r="B343" t="str">
        <f t="shared" si="20"/>
        <v>Xiānmĭ Xiāng</v>
      </c>
      <c r="C343" t="str">
        <f t="shared" si="21"/>
        <v>Xiānmĭ Xiāng</v>
      </c>
      <c r="D343" t="s">
        <v>157</v>
      </c>
      <c r="E343" t="s">
        <v>7</v>
      </c>
      <c r="F343" t="str">
        <f>_xlfn.CONCAT(D343,", ",H343,", ",I343,", ","青海省")</f>
        <v>仙米乡, 门源回族自治县, 海北藏族自治州, 青海省</v>
      </c>
      <c r="G343">
        <v>5586</v>
      </c>
      <c r="H343" t="s">
        <v>884</v>
      </c>
      <c r="I343" t="s">
        <v>880</v>
      </c>
      <c r="J343" t="e">
        <f>VLOOKUP(F343,[1]!china_towns_second__2[[Column1]:[Y]],3,FALSE)</f>
        <v>#N/A</v>
      </c>
      <c r="K343" t="e">
        <f>VLOOKUP(F343,[1]!china_towns_second__2[[Column1]:[Y]],2,FALSE)</f>
        <v>#N/A</v>
      </c>
      <c r="L343" t="s">
        <v>1454</v>
      </c>
      <c r="M343" t="str">
        <f>VLOOKUP(H343,CHOOSE({1,2},Table9[Native],Table9[Name]),2,0)</f>
        <v>Ményuán Huízú Zìzhìxiàn</v>
      </c>
      <c r="N343" s="13" t="str">
        <f>VLOOKUP(I343,CHOOSE({1,2},Table9[Native],Table9[Name]),2,0)</f>
        <v>Hăibĕi Zàngzú Zìzhìzhōu</v>
      </c>
      <c r="O343" s="13" t="str">
        <f t="shared" si="22"/>
        <v>Xianmi Xiang (Hăibĕi Zàngzú Zìzhìzhōu)</v>
      </c>
      <c r="P343" s="13" t="str">
        <f t="shared" si="23"/>
        <v>Xianmi Xiang (Hăibĕi Zàngzú Zìzhìzhōu)</v>
      </c>
    </row>
    <row r="344" spans="1:16" hidden="1" x14ac:dyDescent="0.25">
      <c r="A344" t="s">
        <v>750</v>
      </c>
      <c r="B344" t="str">
        <f t="shared" si="20"/>
        <v>Xiăoqiáo Dàjiē Jiēdào</v>
      </c>
      <c r="C344" t="str">
        <f t="shared" si="21"/>
        <v>Xiăoqiáo Dàjiē Jiēdào</v>
      </c>
      <c r="D344" t="s">
        <v>751</v>
      </c>
      <c r="E344" t="s">
        <v>488</v>
      </c>
      <c r="F344" t="str">
        <f>_xlfn.CONCAT(D344,", ",H344,", ",I344,", ","青海省")</f>
        <v>小桥大街街道, 城北区, 西宁市, 青海省</v>
      </c>
      <c r="G344">
        <v>98501</v>
      </c>
      <c r="H344" t="s">
        <v>924</v>
      </c>
      <c r="I344" t="s">
        <v>923</v>
      </c>
      <c r="J344">
        <f>VLOOKUP(F344,[1]!china_towns_second__2[[Column1]:[Y]],3,FALSE)</f>
        <v>36.666188122260401</v>
      </c>
      <c r="K344">
        <f>VLOOKUP(F344,[1]!china_towns_second__2[[Column1]:[Y]],2,FALSE)</f>
        <v>101.7468571</v>
      </c>
      <c r="L344" t="s">
        <v>1455</v>
      </c>
      <c r="M344" t="str">
        <f>VLOOKUP(H344,CHOOSE({1,2},Table9[Native],Table9[Name]),2,0)</f>
        <v>Chéngbĕi Qū</v>
      </c>
      <c r="N344" s="13" t="str">
        <f>VLOOKUP(I344,CHOOSE({1,2},Table9[Native],Table9[Name]),2,0)</f>
        <v>Xīníng Shì</v>
      </c>
      <c r="O344" s="13" t="str">
        <f t="shared" si="22"/>
        <v>Xiaoqiao Dajie Jiedao (Xīníng Shì)</v>
      </c>
      <c r="P344" s="13" t="str">
        <f t="shared" si="23"/>
        <v>Xiaoqiao Dajie Jiedao (Xīníng Shì)</v>
      </c>
    </row>
    <row r="345" spans="1:16" hidden="1" x14ac:dyDescent="0.25">
      <c r="A345" t="s">
        <v>848</v>
      </c>
      <c r="B345" t="str">
        <f t="shared" si="20"/>
        <v>Xiăosūmăng Xiāng</v>
      </c>
      <c r="C345" t="str">
        <f t="shared" si="21"/>
        <v>Xiăosūmăng Xiāng</v>
      </c>
      <c r="D345" t="s">
        <v>849</v>
      </c>
      <c r="E345" t="s">
        <v>7</v>
      </c>
      <c r="F345" t="str">
        <f>_xlfn.CONCAT(D345,", ",H345,", ",I345,", ","青海省")</f>
        <v>小苏莽乡, 玉树市, 玉树藏族自治州, 青海省</v>
      </c>
      <c r="G345">
        <v>12047</v>
      </c>
      <c r="H345" t="s">
        <v>936</v>
      </c>
      <c r="I345" t="s">
        <v>932</v>
      </c>
      <c r="J345" t="e">
        <f>VLOOKUP(F345,[1]!china_towns_second__2[[Column1]:[Y]],3,FALSE)</f>
        <v>#N/A</v>
      </c>
      <c r="K345" t="e">
        <f>VLOOKUP(F345,[1]!china_towns_second__2[[Column1]:[Y]],2,FALSE)</f>
        <v>#N/A</v>
      </c>
      <c r="L345" t="s">
        <v>1456</v>
      </c>
      <c r="M345" t="str">
        <f>VLOOKUP(H345,CHOOSE({1,2},Table9[Native],Table9[Name]),2,0)</f>
        <v>Yùshù Shì</v>
      </c>
      <c r="N345" s="13" t="str">
        <f>VLOOKUP(I345,CHOOSE({1,2},Table9[Native],Table9[Name]),2,0)</f>
        <v>Yùshù Zàngzú Zìzhìzhōu</v>
      </c>
      <c r="O345" s="13" t="str">
        <f t="shared" si="22"/>
        <v>Xiaosumang Xiang (Yùshù Zàngzú Zìzhìzhōu)</v>
      </c>
      <c r="P345" s="13" t="str">
        <f t="shared" si="23"/>
        <v>Xiaosumang Xiang (Yùshù Zàngzú Zìzhìzhōu)</v>
      </c>
    </row>
    <row r="346" spans="1:16" x14ac:dyDescent="0.25">
      <c r="A346" t="s">
        <v>338</v>
      </c>
      <c r="B346" t="str">
        <f t="shared" si="20"/>
        <v>Xiăoxiá Zhèn</v>
      </c>
      <c r="C346" t="str">
        <f t="shared" si="21"/>
        <v>Xiăoxiá Zhèn</v>
      </c>
      <c r="D346" t="s">
        <v>339</v>
      </c>
      <c r="E346" t="s">
        <v>19</v>
      </c>
      <c r="F346" t="str">
        <f>_xlfn.CONCAT(D346,", ",H346,", ",I346,", ","青海省")</f>
        <v>小峡镇, 平安区, 海东市, 青海省</v>
      </c>
      <c r="G346">
        <v>10623</v>
      </c>
      <c r="H346" t="s">
        <v>894</v>
      </c>
      <c r="I346" t="s">
        <v>888</v>
      </c>
      <c r="J346">
        <f>VLOOKUP(F346,[1]!china_towns_second__2[[Column1]:[Y]],3,FALSE)</f>
        <v>36.519330889235803</v>
      </c>
      <c r="K346">
        <f>VLOOKUP(F346,[1]!china_towns_second__2[[Column1]:[Y]],2,FALSE)</f>
        <v>101.9627409</v>
      </c>
      <c r="L346" t="s">
        <v>1457</v>
      </c>
      <c r="M346" t="str">
        <f>VLOOKUP(H346,CHOOSE({1,2},Table9[Native],Table9[Name]),2,0)</f>
        <v>Píng'ān Qū</v>
      </c>
      <c r="N346" s="13" t="str">
        <f>VLOOKUP(I346,CHOOSE({1,2},Table9[Native],Table9[Name]),2,0)</f>
        <v>Hăidōng Shì</v>
      </c>
      <c r="O346" s="13" t="str">
        <f t="shared" si="22"/>
        <v>Xiaoxia Zhen (Hăidōng Shì)</v>
      </c>
      <c r="P346" s="13" t="str">
        <f t="shared" si="23"/>
        <v>Xiaoxia Zhen (Hăidōng Shì)</v>
      </c>
    </row>
    <row r="347" spans="1:16" x14ac:dyDescent="0.25">
      <c r="A347" t="s">
        <v>537</v>
      </c>
      <c r="B347" t="str">
        <f t="shared" si="20"/>
        <v>Xiàrìhā Zhèn</v>
      </c>
      <c r="C347" t="str">
        <f t="shared" si="21"/>
        <v>Xiàrìhā Zhèn</v>
      </c>
      <c r="D347" t="s">
        <v>538</v>
      </c>
      <c r="E347" t="s">
        <v>19</v>
      </c>
      <c r="F347" t="str">
        <f>_xlfn.CONCAT(D347,", ",H347,", ",I347,", ","青海省")</f>
        <v>夏日哈镇, 都兰县, 海西蒙古族藏族自治州, 青海省</v>
      </c>
      <c r="G347">
        <v>5387</v>
      </c>
      <c r="H347" t="s">
        <v>911</v>
      </c>
      <c r="I347" t="s">
        <v>905</v>
      </c>
      <c r="J347">
        <f>VLOOKUP(F347,[1]!china_towns_second__2[[Column1]:[Y]],3,FALSE)</f>
        <v>36.445969364861902</v>
      </c>
      <c r="K347">
        <f>VLOOKUP(F347,[1]!china_towns_second__2[[Column1]:[Y]],2,FALSE)</f>
        <v>98.528102730000001</v>
      </c>
      <c r="L347" t="s">
        <v>1458</v>
      </c>
      <c r="M347" t="str">
        <f>VLOOKUP(H347,CHOOSE({1,2},Table9[Native],Table9[Name]),2,0)</f>
        <v>Dūlán Xiàn</v>
      </c>
      <c r="N347" s="13" t="str">
        <f>VLOOKUP(I347,CHOOSE({1,2},Table9[Native],Table9[Name]),2,0)</f>
        <v>Hăixī Mĕnggŭzú Zàngzú Zìzhìzhōu</v>
      </c>
      <c r="O347" s="13" t="str">
        <f t="shared" si="22"/>
        <v>Xiariha Zhen (Hăixī Mĕnggŭzú Zàngzú Zìzhìzhōu)</v>
      </c>
      <c r="P347" s="13" t="str">
        <f t="shared" si="23"/>
        <v>Xiariha Zhen (Hăixī Mĕnggŭzú Zàngzú Zìzhìzhōu)</v>
      </c>
    </row>
    <row r="348" spans="1:16" hidden="1" x14ac:dyDescent="0.25">
      <c r="A348" t="s">
        <v>340</v>
      </c>
      <c r="B348" t="str">
        <f t="shared" si="20"/>
        <v>Xiàyíng Xiāng</v>
      </c>
      <c r="C348" t="str">
        <f t="shared" si="21"/>
        <v>Xiàyíng Xiāng</v>
      </c>
      <c r="D348" t="s">
        <v>341</v>
      </c>
      <c r="E348" t="s">
        <v>7</v>
      </c>
      <c r="F348" t="str">
        <f>_xlfn.CONCAT(D348,", ",H348,", ",I348,", ","青海省")</f>
        <v>下营乡, 乐都区, 海东市, 青海省</v>
      </c>
      <c r="G348">
        <v>3635</v>
      </c>
      <c r="H348" t="s">
        <v>892</v>
      </c>
      <c r="I348" t="s">
        <v>888</v>
      </c>
      <c r="J348" t="e">
        <f>VLOOKUP(F348,[1]!china_towns_second__2[[Column1]:[Y]],3,FALSE)</f>
        <v>#N/A</v>
      </c>
      <c r="K348" t="e">
        <f>VLOOKUP(F348,[1]!china_towns_second__2[[Column1]:[Y]],2,FALSE)</f>
        <v>#N/A</v>
      </c>
      <c r="L348" t="s">
        <v>1459</v>
      </c>
      <c r="M348" t="str">
        <f>VLOOKUP(H348,CHOOSE({1,2},Table9[Native],Table9[Name]),2,0)</f>
        <v>Lèdū Qū</v>
      </c>
      <c r="N348" s="13" t="str">
        <f>VLOOKUP(I348,CHOOSE({1,2},Table9[Native],Table9[Name]),2,0)</f>
        <v>Hăidōng Shì</v>
      </c>
      <c r="O348" s="13" t="str">
        <f t="shared" si="22"/>
        <v>Xiaying Xiang (Hăidōng Shì)</v>
      </c>
      <c r="P348" s="13" t="str">
        <f t="shared" si="23"/>
        <v>Xiaying Xiang (Hăidōng Shì)</v>
      </c>
    </row>
    <row r="349" spans="1:16" hidden="1" x14ac:dyDescent="0.25">
      <c r="A349" t="s">
        <v>87</v>
      </c>
      <c r="B349" t="str">
        <f t="shared" si="20"/>
        <v>Xiàzàngkē Xiāng</v>
      </c>
      <c r="C349" t="str">
        <f t="shared" si="21"/>
        <v>Xiàzàngkē Xiāng</v>
      </c>
      <c r="D349" t="s">
        <v>88</v>
      </c>
      <c r="E349" t="s">
        <v>7</v>
      </c>
      <c r="F349" t="str">
        <f>_xlfn.CONCAT(D349,", ",H349,", ",I349,", ","青海省")</f>
        <v>下藏科乡, 甘德县, 果洛藏族自治州, 青海省</v>
      </c>
      <c r="G349">
        <v>5132</v>
      </c>
      <c r="H349" t="s">
        <v>875</v>
      </c>
      <c r="I349" t="s">
        <v>871</v>
      </c>
      <c r="J349" t="e">
        <f>VLOOKUP(F349,[1]!china_towns_second__2[[Column1]:[Y]],3,FALSE)</f>
        <v>#N/A</v>
      </c>
      <c r="K349" t="e">
        <f>VLOOKUP(F349,[1]!china_towns_second__2[[Column1]:[Y]],2,FALSE)</f>
        <v>#N/A</v>
      </c>
      <c r="L349" t="s">
        <v>1460</v>
      </c>
      <c r="M349" t="str">
        <f>VLOOKUP(H349,CHOOSE({1,2},Table9[Native],Table9[Name]),2,0)</f>
        <v>Gāndé Xiàn</v>
      </c>
      <c r="N349" s="13" t="str">
        <f>VLOOKUP(I349,CHOOSE({1,2},Table9[Native],Table9[Name]),2,0)</f>
        <v>Guŏluò Zàngzú Zìzhìzhōu</v>
      </c>
      <c r="O349" s="13" t="str">
        <f t="shared" si="22"/>
        <v>Xiazangke Xiang (Guŏluò Zàngzú Zìzhìzhōu)</v>
      </c>
      <c r="P349" s="13" t="str">
        <f t="shared" si="23"/>
        <v>Xiazangke Xiang (Guŏluò Zàngzú Zìzhìzhōu)</v>
      </c>
    </row>
    <row r="350" spans="1:16" x14ac:dyDescent="0.25">
      <c r="A350" t="s">
        <v>752</v>
      </c>
      <c r="B350" t="str">
        <f t="shared" si="20"/>
        <v>Xībăo Zhèn</v>
      </c>
      <c r="C350" t="str">
        <f t="shared" si="21"/>
        <v>Xībăo Zhèn</v>
      </c>
      <c r="D350" t="s">
        <v>753</v>
      </c>
      <c r="E350" t="s">
        <v>19</v>
      </c>
      <c r="F350" t="str">
        <f>_xlfn.CONCAT(D350,", ",H350,", ",I350,", ","青海省")</f>
        <v>西堡镇, 湟中区, 西宁市, 青海省</v>
      </c>
      <c r="G350">
        <v>23131</v>
      </c>
      <c r="H350" t="s">
        <v>930</v>
      </c>
      <c r="I350" t="s">
        <v>923</v>
      </c>
      <c r="J350">
        <f>VLOOKUP(F350,[1]!china_towns_second__2[[Column1]:[Y]],3,FALSE)</f>
        <v>36.580265645198203</v>
      </c>
      <c r="K350">
        <f>VLOOKUP(F350,[1]!china_towns_second__2[[Column1]:[Y]],2,FALSE)</f>
        <v>101.61082620000001</v>
      </c>
      <c r="L350" t="s">
        <v>1461</v>
      </c>
      <c r="M350" t="str">
        <f>VLOOKUP(H350,CHOOSE({1,2},Table9[Native],Table9[Name]),2,0)</f>
        <v>Huángzhōng Qū</v>
      </c>
      <c r="N350" s="13" t="str">
        <f>VLOOKUP(I350,CHOOSE({1,2},Table9[Native],Table9[Name]),2,0)</f>
        <v>Xīníng Shì</v>
      </c>
      <c r="O350" s="13" t="str">
        <f t="shared" si="22"/>
        <v>Xibao Zhen (Xīníng Shì)</v>
      </c>
      <c r="P350" s="13" t="str">
        <f t="shared" si="23"/>
        <v>Xibao Zhen (Xīníng Shì)</v>
      </c>
    </row>
    <row r="351" spans="1:16" hidden="1" x14ac:dyDescent="0.25">
      <c r="A351" t="s">
        <v>617</v>
      </c>
      <c r="B351" t="str">
        <f t="shared" si="20"/>
        <v>Xībŭshā Xiāng</v>
      </c>
      <c r="C351" t="str">
        <f t="shared" si="21"/>
        <v>Xībŭshā Xiāng</v>
      </c>
      <c r="D351" t="s">
        <v>618</v>
      </c>
      <c r="E351" t="s">
        <v>7</v>
      </c>
      <c r="F351" t="str">
        <f>_xlfn.CONCAT(D351,", ",H351,", ",I351,", ","青海省")</f>
        <v>西卜沙乡, 泽库县, 黄南藏族自治州, 青海省</v>
      </c>
      <c r="G351">
        <v>2827</v>
      </c>
      <c r="H351" t="s">
        <v>921</v>
      </c>
      <c r="I351" t="s">
        <v>917</v>
      </c>
      <c r="J351" t="e">
        <f>VLOOKUP(F351,[1]!china_towns_second__2[[Column1]:[Y]],3,FALSE)</f>
        <v>#N/A</v>
      </c>
      <c r="K351" t="e">
        <f>VLOOKUP(F351,[1]!china_towns_second__2[[Column1]:[Y]],2,FALSE)</f>
        <v>#N/A</v>
      </c>
      <c r="L351" t="s">
        <v>1462</v>
      </c>
      <c r="M351" t="str">
        <f>VLOOKUP(H351,CHOOSE({1,2},Table9[Native],Table9[Name]),2,0)</f>
        <v>Zékù Xiàn</v>
      </c>
      <c r="N351" s="13" t="str">
        <f>VLOOKUP(I351,CHOOSE({1,2},Table9[Native],Table9[Name]),2,0)</f>
        <v>Huángnán Zàngzú Zìzhìzhōu</v>
      </c>
      <c r="O351" s="13" t="str">
        <f t="shared" si="22"/>
        <v>Xibusha Xiang (Huángnán Zàngzú Zìzhìzhōu)</v>
      </c>
      <c r="P351" s="13" t="str">
        <f t="shared" si="23"/>
        <v>Xibusha Xiang (Huángnán Zàngzú Zìzhìzhōu)</v>
      </c>
    </row>
    <row r="352" spans="1:16" hidden="1" x14ac:dyDescent="0.25">
      <c r="A352" t="s">
        <v>754</v>
      </c>
      <c r="B352" t="str">
        <f t="shared" si="20"/>
        <v>Xiégōu Xiāng</v>
      </c>
      <c r="C352" t="str">
        <f t="shared" si="21"/>
        <v>Xiégōu Xiāng</v>
      </c>
      <c r="D352" t="s">
        <v>755</v>
      </c>
      <c r="E352" t="s">
        <v>7</v>
      </c>
      <c r="F352" t="str">
        <f>_xlfn.CONCAT(D352,", ",H352,", ",I352,", ","青海省")</f>
        <v>斜沟乡, 大通回族土族自治县, 西宁市, 青海省</v>
      </c>
      <c r="G352">
        <v>7634</v>
      </c>
      <c r="H352" t="s">
        <v>928</v>
      </c>
      <c r="I352" t="s">
        <v>923</v>
      </c>
      <c r="J352" t="e">
        <f>VLOOKUP(F352,[1]!china_towns_second__2[[Column1]:[Y]],3,FALSE)</f>
        <v>#N/A</v>
      </c>
      <c r="K352" t="e">
        <f>VLOOKUP(F352,[1]!china_towns_second__2[[Column1]:[Y]],2,FALSE)</f>
        <v>#N/A</v>
      </c>
      <c r="L352" t="s">
        <v>1463</v>
      </c>
      <c r="M352" t="str">
        <f>VLOOKUP(H352,CHOOSE({1,2},Table9[Native],Table9[Name]),2,0)</f>
        <v>Dàtōng Huízú Tŭzú Zìzhìxiàn</v>
      </c>
      <c r="N352" s="13" t="str">
        <f>VLOOKUP(I352,CHOOSE({1,2},Table9[Native],Table9[Name]),2,0)</f>
        <v>Xīníng Shì</v>
      </c>
      <c r="O352" s="13" t="str">
        <f t="shared" si="22"/>
        <v>Xiegou Xiang (Xīníng Shì)</v>
      </c>
      <c r="P352" s="13" t="str">
        <f t="shared" si="23"/>
        <v>Xiegou Xiang (Xīníng Shì)</v>
      </c>
    </row>
    <row r="353" spans="1:16" hidden="1" x14ac:dyDescent="0.25">
      <c r="A353" t="s">
        <v>342</v>
      </c>
      <c r="B353" t="str">
        <f t="shared" si="20"/>
        <v>Xièjiātān Xiāng</v>
      </c>
      <c r="C353" t="str">
        <f t="shared" si="21"/>
        <v>Xièjiātān Xiāng</v>
      </c>
      <c r="D353" t="s">
        <v>343</v>
      </c>
      <c r="E353" t="s">
        <v>7</v>
      </c>
      <c r="F353" t="str">
        <f>_xlfn.CONCAT(D353,", ",H353,", ",I353,", ","青海省")</f>
        <v>谢家滩乡, 化隆回族自治县, 海东市, 青海省</v>
      </c>
      <c r="G353">
        <v>6671</v>
      </c>
      <c r="H353" t="s">
        <v>889</v>
      </c>
      <c r="I353" t="s">
        <v>888</v>
      </c>
      <c r="J353" t="e">
        <f>VLOOKUP(F353,[1]!china_towns_second__2[[Column1]:[Y]],3,FALSE)</f>
        <v>#N/A</v>
      </c>
      <c r="K353" t="e">
        <f>VLOOKUP(F353,[1]!china_towns_second__2[[Column1]:[Y]],2,FALSE)</f>
        <v>#N/A</v>
      </c>
      <c r="L353" t="s">
        <v>1464</v>
      </c>
      <c r="M353" t="str">
        <f>VLOOKUP(H353,CHOOSE({1,2},Table9[Native],Table9[Name]),2,0)</f>
        <v>Huàlóng Huízú Zìzhìxiàn</v>
      </c>
      <c r="N353" s="13" t="str">
        <f>VLOOKUP(I353,CHOOSE({1,2},Table9[Native],Table9[Name]),2,0)</f>
        <v>Hăidōng Shì</v>
      </c>
      <c r="O353" s="13" t="str">
        <f t="shared" si="22"/>
        <v>Xiejiatan Xiang (Hăidōng Shì)</v>
      </c>
      <c r="P353" s="13" t="str">
        <f t="shared" si="23"/>
        <v>Xiejiatan Xiang (Hăidōng Shì)</v>
      </c>
    </row>
    <row r="354" spans="1:16" x14ac:dyDescent="0.25">
      <c r="A354" t="s">
        <v>850</v>
      </c>
      <c r="B354" t="str">
        <f t="shared" si="20"/>
        <v>Xiēwŭ Zhèn</v>
      </c>
      <c r="C354" t="str">
        <f t="shared" si="21"/>
        <v>Xiēwŭ Zhèn</v>
      </c>
      <c r="D354" t="s">
        <v>851</v>
      </c>
      <c r="E354" t="s">
        <v>19</v>
      </c>
      <c r="F354" t="str">
        <f>_xlfn.CONCAT(D354,", ",H354,", ",I354,", ","青海省")</f>
        <v>歇武镇, 称多县, 玉树藏族自治州, 青海省</v>
      </c>
      <c r="G354">
        <v>5372</v>
      </c>
      <c r="H354" t="s">
        <v>933</v>
      </c>
      <c r="I354" t="s">
        <v>932</v>
      </c>
      <c r="J354">
        <f>VLOOKUP(F354,[1]!china_towns_second__2[[Column1]:[Y]],3,FALSE)</f>
        <v>33.072603589171997</v>
      </c>
      <c r="K354">
        <f>VLOOKUP(F354,[1]!china_towns_second__2[[Column1]:[Y]],2,FALSE)</f>
        <v>97.406182610000002</v>
      </c>
      <c r="L354" t="s">
        <v>1465</v>
      </c>
      <c r="M354" t="str">
        <f>VLOOKUP(H354,CHOOSE({1,2},Table9[Native],Table9[Name]),2,0)</f>
        <v>Chēngduō Xiàn</v>
      </c>
      <c r="N354" s="13" t="str">
        <f>VLOOKUP(I354,CHOOSE({1,2},Table9[Native],Table9[Name]),2,0)</f>
        <v>Yùshù Zàngzú Zìzhìzhōu</v>
      </c>
      <c r="O354" s="13" t="str">
        <f t="shared" si="22"/>
        <v>Xiewu Zhen (Yùshù Zàngzú Zìzhìzhōu)</v>
      </c>
      <c r="P354" s="13" t="str">
        <f t="shared" si="23"/>
        <v>Xiewu Zhen (Yùshù Zàngzú Zìzhìzhōu)</v>
      </c>
    </row>
    <row r="355" spans="1:16" hidden="1" x14ac:dyDescent="0.25">
      <c r="A355" t="s">
        <v>344</v>
      </c>
      <c r="B355" t="str">
        <f t="shared" si="20"/>
        <v>Xīgōu Xiāng</v>
      </c>
      <c r="C355" t="str">
        <f t="shared" si="21"/>
        <v>Xīgōu Xiāng</v>
      </c>
      <c r="D355" t="s">
        <v>345</v>
      </c>
      <c r="E355" t="s">
        <v>7</v>
      </c>
      <c r="F355" t="str">
        <f>_xlfn.CONCAT(D355,", ",H355,", ",I355,", ","青海省")</f>
        <v>西沟乡, 民和回族土族自治县, 海东市, 青海省</v>
      </c>
      <c r="G355">
        <v>19442</v>
      </c>
      <c r="H355" t="s">
        <v>893</v>
      </c>
      <c r="I355" t="s">
        <v>888</v>
      </c>
      <c r="J355" t="e">
        <f>VLOOKUP(F355,[1]!china_towns_second__2[[Column1]:[Y]],3,FALSE)</f>
        <v>#N/A</v>
      </c>
      <c r="K355" t="e">
        <f>VLOOKUP(F355,[1]!china_towns_second__2[[Column1]:[Y]],2,FALSE)</f>
        <v>#N/A</v>
      </c>
      <c r="L355" t="s">
        <v>1466</v>
      </c>
      <c r="M355" t="str">
        <f>VLOOKUP(H355,CHOOSE({1,2},Table9[Native],Table9[Name]),2,0)</f>
        <v>Mínhé Huízú Tŭzú Zìzhìxiàn</v>
      </c>
      <c r="N355" s="13" t="str">
        <f>VLOOKUP(I355,CHOOSE({1,2},Table9[Native],Table9[Name]),2,0)</f>
        <v>Hăidōng Shì</v>
      </c>
      <c r="O355" s="13" t="str">
        <f t="shared" si="22"/>
        <v>Xigou Xiang (Hăidōng Shì)</v>
      </c>
      <c r="P355" s="13" t="str">
        <f t="shared" si="23"/>
        <v>Xigou Xiang (Hăidōng Shì)</v>
      </c>
    </row>
    <row r="356" spans="1:16" hidden="1" x14ac:dyDescent="0.25">
      <c r="A356" t="s">
        <v>756</v>
      </c>
      <c r="B356" t="str">
        <f t="shared" si="20"/>
        <v>Xīguān Dàjiē Jiēdào</v>
      </c>
      <c r="C356" t="str">
        <f t="shared" si="21"/>
        <v>Xīguān Dàjiē Jiēdào</v>
      </c>
      <c r="D356" t="s">
        <v>757</v>
      </c>
      <c r="E356" t="s">
        <v>488</v>
      </c>
      <c r="F356" t="str">
        <f>_xlfn.CONCAT(D356,", ",H356,", ",I356,", ","青海省")</f>
        <v>西关大街街道, 城西区, 西宁市, 青海省</v>
      </c>
      <c r="G356">
        <v>36241</v>
      </c>
      <c r="H356" t="s">
        <v>926</v>
      </c>
      <c r="I356" t="s">
        <v>923</v>
      </c>
      <c r="J356">
        <f>VLOOKUP(F356,[1]!china_towns_second__2[[Column1]:[Y]],3,FALSE)</f>
        <v>36.6211328322456</v>
      </c>
      <c r="K356">
        <f>VLOOKUP(F356,[1]!china_towns_second__2[[Column1]:[Y]],2,FALSE)</f>
        <v>101.76414509999999</v>
      </c>
      <c r="L356" t="s">
        <v>1467</v>
      </c>
      <c r="M356" t="str">
        <f>VLOOKUP(H356,CHOOSE({1,2},Table9[Native],Table9[Name]),2,0)</f>
        <v>Chéngxī Qū</v>
      </c>
      <c r="N356" s="13" t="str">
        <f>VLOOKUP(I356,CHOOSE({1,2},Table9[Native],Table9[Name]),2,0)</f>
        <v>Xīníng Shì</v>
      </c>
      <c r="O356" s="13" t="str">
        <f t="shared" si="22"/>
        <v>Xiguan Dajie Jiedao (Xīníng Shì)</v>
      </c>
      <c r="P356" s="13" t="str">
        <f t="shared" si="23"/>
        <v>Xiguan Dajie Jiedao (Xīníng Shì)</v>
      </c>
    </row>
    <row r="357" spans="1:16" x14ac:dyDescent="0.25">
      <c r="A357" t="s">
        <v>158</v>
      </c>
      <c r="B357" t="str">
        <f t="shared" si="20"/>
        <v>Xīhăi Zhèn</v>
      </c>
      <c r="C357" t="str">
        <f t="shared" si="21"/>
        <v>Xīhăi Zhèn</v>
      </c>
      <c r="D357" t="s">
        <v>159</v>
      </c>
      <c r="E357" t="s">
        <v>19</v>
      </c>
      <c r="F357" t="str">
        <f>_xlfn.CONCAT(D357,", ",H357,", ",I357,", ","青海省")</f>
        <v>西海镇, 海晏县, 海北藏族自治州, 青海省</v>
      </c>
      <c r="G357">
        <v>13161</v>
      </c>
      <c r="H357" t="s">
        <v>882</v>
      </c>
      <c r="I357" t="s">
        <v>880</v>
      </c>
      <c r="J357">
        <f>VLOOKUP(F357,[1]!china_towns_second__2[[Column1]:[Y]],3,FALSE)</f>
        <v>36.956867391377003</v>
      </c>
      <c r="K357">
        <f>VLOOKUP(F357,[1]!china_towns_second__2[[Column1]:[Y]],2,FALSE)</f>
        <v>100.9065045</v>
      </c>
      <c r="L357" t="s">
        <v>1468</v>
      </c>
      <c r="M357" t="str">
        <f>VLOOKUP(H357,CHOOSE({1,2},Table9[Native],Table9[Name]),2,0)</f>
        <v>Hăiyàn Xiàn</v>
      </c>
      <c r="N357" s="13" t="str">
        <f>VLOOKUP(I357,CHOOSE({1,2},Table9[Native],Table9[Name]),2,0)</f>
        <v>Hăibĕi Zàngzú Zìzhìzhōu</v>
      </c>
      <c r="O357" s="13" t="str">
        <f t="shared" si="22"/>
        <v>Xihai Zhen (Hăibĕi Zàngzú Zìzhìzhōu)</v>
      </c>
      <c r="P357" s="13" t="str">
        <f t="shared" si="23"/>
        <v>Xihai Zhen (Hăibĕi Zàngzú Zìzhìzhōu)</v>
      </c>
    </row>
    <row r="358" spans="1:16" x14ac:dyDescent="0.25">
      <c r="A358" t="s">
        <v>539</v>
      </c>
      <c r="B358" t="str">
        <f t="shared" si="20"/>
        <v>Xīlĭgōu Zhèn</v>
      </c>
      <c r="C358" t="str">
        <f t="shared" si="21"/>
        <v>Xīlĭgōu Zhèn</v>
      </c>
      <c r="D358" t="s">
        <v>540</v>
      </c>
      <c r="E358" t="s">
        <v>19</v>
      </c>
      <c r="F358" t="str">
        <f>_xlfn.CONCAT(D358,", ",H358,", ",I358,", ","青海省")</f>
        <v>希里沟镇, 乌兰县, 海西蒙古族藏族自治州, 青海省</v>
      </c>
      <c r="G358">
        <v>13723</v>
      </c>
      <c r="H358" t="s">
        <v>915</v>
      </c>
      <c r="I358" t="s">
        <v>905</v>
      </c>
      <c r="J358">
        <f>VLOOKUP(F358,[1]!china_towns_second__2[[Column1]:[Y]],3,FALSE)</f>
        <v>36.906632306864601</v>
      </c>
      <c r="K358">
        <f>VLOOKUP(F358,[1]!china_towns_second__2[[Column1]:[Y]],2,FALSE)</f>
        <v>98.507394210000001</v>
      </c>
      <c r="L358" t="s">
        <v>1469</v>
      </c>
      <c r="M358" t="str">
        <f>VLOOKUP(H358,CHOOSE({1,2},Table9[Native],Table9[Name]),2,0)</f>
        <v>Wūlán Xiàn</v>
      </c>
      <c r="N358" s="13" t="str">
        <f>VLOOKUP(I358,CHOOSE({1,2},Table9[Native],Table9[Name]),2,0)</f>
        <v>Hăixī Mĕnggŭzú Zàngzú Zìzhìzhōu</v>
      </c>
      <c r="O358" s="13" t="str">
        <f t="shared" si="22"/>
        <v>Xiligou Zhen (Hăixī Mĕnggŭzú Zàngzú Zìzhìzhōu)</v>
      </c>
      <c r="P358" s="13" t="str">
        <f t="shared" si="23"/>
        <v>Xiligou Zhen (Hăixī Mĕnggŭzú Zàngzú Zìzhìzhōu)</v>
      </c>
    </row>
    <row r="359" spans="1:16" hidden="1" x14ac:dyDescent="0.25">
      <c r="A359" t="s">
        <v>346</v>
      </c>
      <c r="B359" t="str">
        <f t="shared" si="20"/>
        <v>Xìng'ér Xiāng</v>
      </c>
      <c r="C359" t="str">
        <f t="shared" si="21"/>
        <v>Xìng'ér Xiāng</v>
      </c>
      <c r="D359" t="s">
        <v>347</v>
      </c>
      <c r="E359" t="s">
        <v>7</v>
      </c>
      <c r="F359" t="str">
        <f>_xlfn.CONCAT(D359,", ",H359,", ",I359,", ","青海省")</f>
        <v>杏儿乡, 民和回族土族自治县, 海东市, 青海省</v>
      </c>
      <c r="G359">
        <v>4088</v>
      </c>
      <c r="H359" t="s">
        <v>893</v>
      </c>
      <c r="I359" t="s">
        <v>888</v>
      </c>
      <c r="J359" t="e">
        <f>VLOOKUP(F359,[1]!china_towns_second__2[[Column1]:[Y]],3,FALSE)</f>
        <v>#N/A</v>
      </c>
      <c r="K359" t="e">
        <f>VLOOKUP(F359,[1]!china_towns_second__2[[Column1]:[Y]],2,FALSE)</f>
        <v>#N/A</v>
      </c>
      <c r="L359" t="s">
        <v>1470</v>
      </c>
      <c r="M359" t="str">
        <f>VLOOKUP(H359,CHOOSE({1,2},Table9[Native],Table9[Name]),2,0)</f>
        <v>Mínhé Huízú Tŭzú Zìzhìxiàn</v>
      </c>
      <c r="N359" s="13" t="str">
        <f>VLOOKUP(I359,CHOOSE({1,2},Table9[Native],Table9[Name]),2,0)</f>
        <v>Hăidōng Shì</v>
      </c>
      <c r="O359" s="13" t="str">
        <f t="shared" si="22"/>
        <v>Xing'er Xiang (Hăidōng Shì)</v>
      </c>
      <c r="P359" s="13" t="str">
        <f t="shared" si="23"/>
        <v>Xing'er Xiang (Hăidōng Shì)</v>
      </c>
    </row>
    <row r="360" spans="1:16" hidden="1" x14ac:dyDescent="0.25">
      <c r="A360" t="s">
        <v>758</v>
      </c>
      <c r="B360" t="str">
        <f t="shared" si="20"/>
        <v>Xīnghăilù Jiēdào</v>
      </c>
      <c r="C360" t="str">
        <f t="shared" si="21"/>
        <v>Xīnghăilù Jiēdào</v>
      </c>
      <c r="D360" t="s">
        <v>759</v>
      </c>
      <c r="E360" t="s">
        <v>488</v>
      </c>
      <c r="F360" t="str">
        <f>_xlfn.CONCAT(D360,", ",H360,", ",I360,", ","青海省")</f>
        <v>兴海路街道, 城西区, 西宁市, 青海省</v>
      </c>
      <c r="G360">
        <v>30962</v>
      </c>
      <c r="H360" t="s">
        <v>926</v>
      </c>
      <c r="I360" t="s">
        <v>923</v>
      </c>
      <c r="J360">
        <f>VLOOKUP(F360,[1]!china_towns_second__2[[Column1]:[Y]],3,FALSE)</f>
        <v>36.6313436914891</v>
      </c>
      <c r="K360">
        <f>VLOOKUP(F360,[1]!china_towns_second__2[[Column1]:[Y]],2,FALSE)</f>
        <v>101.7724362</v>
      </c>
      <c r="L360" t="s">
        <v>1471</v>
      </c>
      <c r="M360" t="str">
        <f>VLOOKUP(H360,CHOOSE({1,2},Table9[Native],Table9[Name]),2,0)</f>
        <v>Chéngxī Qū</v>
      </c>
      <c r="N360" s="13" t="str">
        <f>VLOOKUP(I360,CHOOSE({1,2},Table9[Native],Table9[Name]),2,0)</f>
        <v>Xīníng Shì</v>
      </c>
      <c r="O360" s="13" t="str">
        <f t="shared" si="22"/>
        <v>Xinghailu Jiedao (Xīníng Shì)</v>
      </c>
      <c r="P360" s="13" t="str">
        <f t="shared" si="23"/>
        <v>Xinghailu Jiedao (Xīníng Shì)</v>
      </c>
    </row>
    <row r="361" spans="1:16" hidden="1" x14ac:dyDescent="0.25">
      <c r="A361" t="s">
        <v>451</v>
      </c>
      <c r="B361" t="str">
        <f t="shared" si="20"/>
        <v>Xīnjiē Huízú Xiāng</v>
      </c>
      <c r="C361" t="str">
        <f t="shared" si="21"/>
        <v>Xīnjiē Huízú Xiāng</v>
      </c>
      <c r="D361" t="s">
        <v>452</v>
      </c>
      <c r="E361" t="s">
        <v>7</v>
      </c>
      <c r="F361" t="str">
        <f>_xlfn.CONCAT(D361,", ",H361,", ",I361,", ","青海省")</f>
        <v>新街回族乡, 贵德县, 海南藏族自治州, 青海省</v>
      </c>
      <c r="G361">
        <v>4730</v>
      </c>
      <c r="H361" t="s">
        <v>899</v>
      </c>
      <c r="I361" t="s">
        <v>897</v>
      </c>
      <c r="J361" t="e">
        <f>VLOOKUP(F361,[1]!china_towns_second__2[[Column1]:[Y]],3,FALSE)</f>
        <v>#N/A</v>
      </c>
      <c r="K361" t="e">
        <f>VLOOKUP(F361,[1]!china_towns_second__2[[Column1]:[Y]],2,FALSE)</f>
        <v>#N/A</v>
      </c>
      <c r="L361" t="s">
        <v>1472</v>
      </c>
      <c r="M361" t="str">
        <f>VLOOKUP(H361,CHOOSE({1,2},Table9[Native],Table9[Name]),2,0)</f>
        <v>Guìdé Xiàn</v>
      </c>
      <c r="N361" s="13" t="str">
        <f>VLOOKUP(I361,CHOOSE({1,2},Table9[Native],Table9[Name]),2,0)</f>
        <v>Hăinán Zàngzú Zìzhìzhōu</v>
      </c>
      <c r="O361" s="13" t="str">
        <f t="shared" si="22"/>
        <v>Xinjie Huizu Xiang (Hăinán Zàngzú Zìzhìzhōu)</v>
      </c>
      <c r="P361" s="13" t="str">
        <f t="shared" si="23"/>
        <v>Xinjie Huizu Xiang (Hăinán Zàngzú Zìzhìzhōu)</v>
      </c>
    </row>
    <row r="362" spans="1:16" hidden="1" x14ac:dyDescent="0.25">
      <c r="A362" t="s">
        <v>348</v>
      </c>
      <c r="B362" t="str">
        <f t="shared" si="20"/>
        <v>Xīnmín Xiāng</v>
      </c>
      <c r="C362" t="str">
        <f t="shared" si="21"/>
        <v>Xīnmín Xiāng</v>
      </c>
      <c r="D362" t="s">
        <v>349</v>
      </c>
      <c r="E362" t="s">
        <v>7</v>
      </c>
      <c r="F362" t="str">
        <f>_xlfn.CONCAT(D362,", ",H362,", ",I362,", ","青海省")</f>
        <v>新民乡, 民和回族土族自治县, 海东市, 青海省</v>
      </c>
      <c r="G362">
        <v>7022</v>
      </c>
      <c r="H362" t="s">
        <v>893</v>
      </c>
      <c r="I362" t="s">
        <v>888</v>
      </c>
      <c r="J362" t="e">
        <f>VLOOKUP(F362,[1]!china_towns_second__2[[Column1]:[Y]],3,FALSE)</f>
        <v>#N/A</v>
      </c>
      <c r="K362" t="e">
        <f>VLOOKUP(F362,[1]!china_towns_second__2[[Column1]:[Y]],2,FALSE)</f>
        <v>#N/A</v>
      </c>
      <c r="L362" t="s">
        <v>1473</v>
      </c>
      <c r="M362" t="str">
        <f>VLOOKUP(H362,CHOOSE({1,2},Table9[Native],Table9[Name]),2,0)</f>
        <v>Mínhé Huízú Tŭzú Zìzhìxiàn</v>
      </c>
      <c r="N362" s="13" t="str">
        <f>VLOOKUP(I362,CHOOSE({1,2},Table9[Native],Table9[Name]),2,0)</f>
        <v>Hăidōng Shì</v>
      </c>
      <c r="O362" s="13" t="str">
        <f t="shared" si="22"/>
        <v>Xinmin Xiang (Hăidōng Shì)</v>
      </c>
      <c r="P362" s="13" t="str">
        <f t="shared" si="23"/>
        <v>Xinmin Xiang (Hăidōng Shì)</v>
      </c>
    </row>
    <row r="363" spans="1:16" x14ac:dyDescent="0.25">
      <c r="A363" t="s">
        <v>541</v>
      </c>
      <c r="B363" t="str">
        <f t="shared" si="20"/>
        <v>Xīnyuán Zhèn</v>
      </c>
      <c r="C363" t="str">
        <f t="shared" si="21"/>
        <v>Xīnyuán Zhèn</v>
      </c>
      <c r="D363" t="s">
        <v>542</v>
      </c>
      <c r="E363" t="s">
        <v>19</v>
      </c>
      <c r="F363" t="str">
        <f>_xlfn.CONCAT(D363,", ",H363,", ",I363,", ","青海省")</f>
        <v>新源镇, 天峻县, 海西蒙古族藏族自治州, 青海省</v>
      </c>
      <c r="G363">
        <v>16585</v>
      </c>
      <c r="H363" t="s">
        <v>914</v>
      </c>
      <c r="I363" t="s">
        <v>905</v>
      </c>
      <c r="J363">
        <f>VLOOKUP(F363,[1]!china_towns_second__2[[Column1]:[Y]],3,FALSE)</f>
        <v>37.1332181431546</v>
      </c>
      <c r="K363">
        <f>VLOOKUP(F363,[1]!china_towns_second__2[[Column1]:[Y]],2,FALSE)</f>
        <v>99.081849610000006</v>
      </c>
      <c r="L363" t="s">
        <v>1474</v>
      </c>
      <c r="M363" t="str">
        <f>VLOOKUP(H363,CHOOSE({1,2},Table9[Native],Table9[Name]),2,0)</f>
        <v>Tiānjùn Xiàn</v>
      </c>
      <c r="N363" s="13" t="str">
        <f>VLOOKUP(I363,CHOOSE({1,2},Table9[Native],Table9[Name]),2,0)</f>
        <v>Hăixī Mĕnggŭzú Zàngzú Zìzhìzhōu</v>
      </c>
      <c r="O363" s="13" t="str">
        <f t="shared" si="22"/>
        <v>Xinyuan Zhen (Hăixī Mĕnggŭzú Zàngzú Zìzhìzhōu)</v>
      </c>
      <c r="P363" s="13" t="str">
        <f t="shared" si="23"/>
        <v>Xinyuan Zhen (Hăixī Mĕnggŭzú Zàngzú Zìzhìzhōu)</v>
      </c>
    </row>
    <row r="364" spans="1:16" x14ac:dyDescent="0.25">
      <c r="A364" t="s">
        <v>760</v>
      </c>
      <c r="B364" t="str">
        <f t="shared" si="20"/>
        <v>Xīnzhuāng Zhèn</v>
      </c>
      <c r="C364" t="str">
        <f t="shared" si="21"/>
        <v>Xīnzhuāng Zhèn</v>
      </c>
      <c r="D364" t="s">
        <v>761</v>
      </c>
      <c r="E364" t="s">
        <v>19</v>
      </c>
      <c r="F364" t="str">
        <f>_xlfn.CONCAT(D364,", ",H364,", ",I364,", ","青海省")</f>
        <v>新庄镇, 大通回族土族自治县, 西宁市, 青海省</v>
      </c>
      <c r="G364">
        <v>15785</v>
      </c>
      <c r="H364" t="s">
        <v>928</v>
      </c>
      <c r="I364" t="s">
        <v>923</v>
      </c>
      <c r="J364">
        <f>VLOOKUP(F364,[1]!china_towns_second__2[[Column1]:[Y]],3,FALSE)</f>
        <v>37.0748949614539</v>
      </c>
      <c r="K364">
        <f>VLOOKUP(F364,[1]!china_towns_second__2[[Column1]:[Y]],2,FALSE)</f>
        <v>101.6059865</v>
      </c>
      <c r="L364" t="s">
        <v>1475</v>
      </c>
      <c r="M364" t="str">
        <f>VLOOKUP(H364,CHOOSE({1,2},Table9[Native],Table9[Name]),2,0)</f>
        <v>Dàtōng Huízú Tŭzú Zìzhìxiàn</v>
      </c>
      <c r="N364" s="13" t="str">
        <f>VLOOKUP(I364,CHOOSE({1,2},Table9[Native],Table9[Name]),2,0)</f>
        <v>Xīníng Shì</v>
      </c>
      <c r="O364" s="13" t="str">
        <f t="shared" si="22"/>
        <v>Xinzhuang Zhen (Xīníng Shì)</v>
      </c>
      <c r="P364" s="13" t="str">
        <f t="shared" si="23"/>
        <v>Xinzhuang Zhen (Xīníng Shì)</v>
      </c>
    </row>
    <row r="365" spans="1:16" hidden="1" x14ac:dyDescent="0.25">
      <c r="A365" t="s">
        <v>350</v>
      </c>
      <c r="B365" t="str">
        <f t="shared" si="20"/>
        <v>Xióngxiān Zàngzú Xiāng</v>
      </c>
      <c r="C365" t="str">
        <f t="shared" si="21"/>
        <v>Xióngxiān Zàngzú Xiāng</v>
      </c>
      <c r="D365" t="s">
        <v>351</v>
      </c>
      <c r="E365" t="s">
        <v>7</v>
      </c>
      <c r="F365" t="str">
        <f>_xlfn.CONCAT(D365,", ",H365,", ",I365,", ","青海省")</f>
        <v>雄先藏族乡, 化隆回族自治县, 海东市, 青海省</v>
      </c>
      <c r="G365">
        <v>8233</v>
      </c>
      <c r="H365" t="s">
        <v>889</v>
      </c>
      <c r="I365" t="s">
        <v>888</v>
      </c>
      <c r="J365" t="e">
        <f>VLOOKUP(F365,[1]!china_towns_second__2[[Column1]:[Y]],3,FALSE)</f>
        <v>#N/A</v>
      </c>
      <c r="K365" t="e">
        <f>VLOOKUP(F365,[1]!china_towns_second__2[[Column1]:[Y]],2,FALSE)</f>
        <v>#N/A</v>
      </c>
      <c r="L365" t="s">
        <v>1476</v>
      </c>
      <c r="M365" t="str">
        <f>VLOOKUP(H365,CHOOSE({1,2},Table9[Native],Table9[Name]),2,0)</f>
        <v>Huàlóng Huízú Zìzhìxiàn</v>
      </c>
      <c r="N365" s="13" t="str">
        <f>VLOOKUP(I365,CHOOSE({1,2},Table9[Native],Table9[Name]),2,0)</f>
        <v>Hăidōng Shì</v>
      </c>
      <c r="O365" s="13" t="str">
        <f t="shared" si="22"/>
        <v>Xiongxian Zangzu Xiang (Hăidōng Shì)</v>
      </c>
      <c r="P365" s="13" t="str">
        <f t="shared" si="23"/>
        <v>Xiongxian Zangzu Xiang (Hăidōng Shì)</v>
      </c>
    </row>
    <row r="366" spans="1:16" hidden="1" x14ac:dyDescent="0.25">
      <c r="A366" t="s">
        <v>352</v>
      </c>
      <c r="B366" t="str">
        <f t="shared" si="20"/>
        <v>Xīshān Xiāng</v>
      </c>
      <c r="C366" t="str">
        <f t="shared" si="21"/>
        <v>Xīshān Xiāng</v>
      </c>
      <c r="D366" t="s">
        <v>353</v>
      </c>
      <c r="E366" t="s">
        <v>7</v>
      </c>
      <c r="F366" t="str">
        <f>_xlfn.CONCAT(D366,", ",H366,", ",I366,", ","青海省")</f>
        <v>西山乡, 互助土族自治县, 海东市, 青海省</v>
      </c>
      <c r="G366">
        <v>17514</v>
      </c>
      <c r="H366" t="s">
        <v>890</v>
      </c>
      <c r="I366" t="s">
        <v>888</v>
      </c>
      <c r="J366" t="e">
        <f>VLOOKUP(F366,[1]!china_towns_second__2[[Column1]:[Y]],3,FALSE)</f>
        <v>#N/A</v>
      </c>
      <c r="K366" t="e">
        <f>VLOOKUP(F366,[1]!china_towns_second__2[[Column1]:[Y]],2,FALSE)</f>
        <v>#N/A</v>
      </c>
      <c r="L366" t="s">
        <v>1477</v>
      </c>
      <c r="M366" t="str">
        <f>VLOOKUP(H366,CHOOSE({1,2},Table9[Native],Table9[Name]),2,0)</f>
        <v>Hùzhù Tŭzú Zìzhìxiàn</v>
      </c>
      <c r="N366" s="13" t="str">
        <f>VLOOKUP(I366,CHOOSE({1,2},Table9[Native],Table9[Name]),2,0)</f>
        <v>Hăidōng Shì</v>
      </c>
      <c r="O366" s="13" t="str">
        <f t="shared" si="22"/>
        <v>Xishan Xiang (Hăidōng Shì)</v>
      </c>
      <c r="P366" s="13" t="str">
        <f t="shared" si="23"/>
        <v>Xishan Xiang (Hăidōng Shì)</v>
      </c>
    </row>
    <row r="367" spans="1:16" hidden="1" x14ac:dyDescent="0.25">
      <c r="A367" t="s">
        <v>160</v>
      </c>
      <c r="B367" t="str">
        <f t="shared" si="20"/>
        <v>Xītān Xiāng</v>
      </c>
      <c r="C367" t="str">
        <f t="shared" si="21"/>
        <v>Xītān Xiāng</v>
      </c>
      <c r="D367" t="s">
        <v>161</v>
      </c>
      <c r="E367" t="s">
        <v>7</v>
      </c>
      <c r="F367" t="str">
        <f>_xlfn.CONCAT(D367,", ",H367,", ",I367,", ","青海省")</f>
        <v>西滩乡, 门源回族自治县, 海北藏族自治州, 青海省</v>
      </c>
      <c r="G367">
        <v>9326</v>
      </c>
      <c r="H367" t="s">
        <v>884</v>
      </c>
      <c r="I367" t="s">
        <v>880</v>
      </c>
      <c r="J367" t="e">
        <f>VLOOKUP(F367,[1]!china_towns_second__2[[Column1]:[Y]],3,FALSE)</f>
        <v>#N/A</v>
      </c>
      <c r="K367" t="e">
        <f>VLOOKUP(F367,[1]!china_towns_second__2[[Column1]:[Y]],2,FALSE)</f>
        <v>#N/A</v>
      </c>
      <c r="L367" t="s">
        <v>1478</v>
      </c>
      <c r="M367" t="str">
        <f>VLOOKUP(H367,CHOOSE({1,2},Table9[Native],Table9[Name]),2,0)</f>
        <v>Ményuán Huízú Zìzhìxiàn</v>
      </c>
      <c r="N367" s="13" t="str">
        <f>VLOOKUP(I367,CHOOSE({1,2},Table9[Native],Table9[Name]),2,0)</f>
        <v>Hăibĕi Zàngzú Zìzhìzhōu</v>
      </c>
      <c r="O367" s="13" t="str">
        <f t="shared" si="22"/>
        <v>Xitan Xiang (Hăibĕi Zàngzú Zìzhìzhōu)</v>
      </c>
      <c r="P367" s="13" t="str">
        <f t="shared" si="23"/>
        <v>Xitan Xiang (Hăibĕi Zàngzú Zìzhìzhōu)</v>
      </c>
    </row>
    <row r="368" spans="1:16" x14ac:dyDescent="0.25">
      <c r="A368" t="s">
        <v>543</v>
      </c>
      <c r="B368" t="str">
        <f t="shared" si="20"/>
        <v>Xītiĕshān Zhèn</v>
      </c>
      <c r="C368" t="str">
        <f t="shared" si="21"/>
        <v>Xītiĕshān Zhèn</v>
      </c>
      <c r="D368" t="s">
        <v>544</v>
      </c>
      <c r="E368" t="s">
        <v>19</v>
      </c>
      <c r="F368" t="str">
        <f>_xlfn.CONCAT(D368,", ",H368,", ",I368,", ","青海省")</f>
        <v>锡铁山镇, 大柴旦行委, 海西蒙古族藏族自治州, 青海省</v>
      </c>
      <c r="G368">
        <v>3921</v>
      </c>
      <c r="H368" t="s">
        <v>907</v>
      </c>
      <c r="I368" t="s">
        <v>905</v>
      </c>
      <c r="J368">
        <f>VLOOKUP(F368,[1]!china_towns_second__2[[Column1]:[Y]],3,FALSE)</f>
        <v>37.3370747402154</v>
      </c>
      <c r="K368">
        <f>VLOOKUP(F368,[1]!china_towns_second__2[[Column1]:[Y]],2,FALSE)</f>
        <v>95.437729579999996</v>
      </c>
      <c r="L368" t="s">
        <v>1479</v>
      </c>
      <c r="M368" t="str">
        <f>VLOOKUP(H368,CHOOSE({1,2},Table9[Native],Table9[Name]),2,0)</f>
        <v>Dàcháidàn Xíngwĕi</v>
      </c>
      <c r="N368" s="13" t="str">
        <f>VLOOKUP(I368,CHOOSE({1,2},Table9[Native],Table9[Name]),2,0)</f>
        <v>Hăixī Mĕnggŭzú Zàngzú Zìzhìzhōu</v>
      </c>
      <c r="O368" s="13" t="str">
        <f t="shared" si="22"/>
        <v>Xitieshan Zhen (Hăixī Mĕnggŭzú Zàngzú Zìzhìzhōu)</v>
      </c>
      <c r="P368" s="13" t="str">
        <f t="shared" si="23"/>
        <v>Xitieshan Zhen (Hăixī Mĕnggŭzú Zàngzú Zìzhìzhōu)</v>
      </c>
    </row>
    <row r="369" spans="1:16" hidden="1" x14ac:dyDescent="0.25">
      <c r="A369" t="s">
        <v>453</v>
      </c>
      <c r="B369" t="str">
        <f t="shared" si="20"/>
        <v>Xiùmá Xiāng</v>
      </c>
      <c r="C369" t="str">
        <f t="shared" si="21"/>
        <v>Xiùmá Xiāng</v>
      </c>
      <c r="D369" t="s">
        <v>454</v>
      </c>
      <c r="E369" t="s">
        <v>7</v>
      </c>
      <c r="F369" t="str">
        <f>_xlfn.CONCAT(D369,", ",H369,", ",I369,", ","青海省")</f>
        <v>秀麻乡, 同德县, 海南藏族自治州, 青海省</v>
      </c>
      <c r="G369">
        <v>7286</v>
      </c>
      <c r="H369" t="s">
        <v>901</v>
      </c>
      <c r="I369" t="s">
        <v>897</v>
      </c>
      <c r="J369" t="e">
        <f>VLOOKUP(F369,[1]!china_towns_second__2[[Column1]:[Y]],3,FALSE)</f>
        <v>#N/A</v>
      </c>
      <c r="K369" t="e">
        <f>VLOOKUP(F369,[1]!china_towns_second__2[[Column1]:[Y]],2,FALSE)</f>
        <v>#N/A</v>
      </c>
      <c r="L369" t="s">
        <v>1480</v>
      </c>
      <c r="M369" t="str">
        <f>VLOOKUP(H369,CHOOSE({1,2},Table9[Native],Table9[Name]),2,0)</f>
        <v>Tóngdé Xiàn</v>
      </c>
      <c r="N369" s="13" t="str">
        <f>VLOOKUP(I369,CHOOSE({1,2},Table9[Native],Table9[Name]),2,0)</f>
        <v>Hăinán Zàngzú Zìzhìzhōu</v>
      </c>
      <c r="O369" s="13" t="str">
        <f t="shared" si="22"/>
        <v>Xiuma Xiang (Hăinán Zàngzú Zìzhìzhōu)</v>
      </c>
      <c r="P369" s="13" t="str">
        <f t="shared" si="23"/>
        <v>Xiuma Xiang (Hăinán Zàngzú Zìzhìzhōu)</v>
      </c>
    </row>
    <row r="370" spans="1:16" hidden="1" x14ac:dyDescent="0.25">
      <c r="A370" t="s">
        <v>545</v>
      </c>
      <c r="B370" t="str">
        <f t="shared" si="20"/>
        <v>Xīzànglù Jiēdào</v>
      </c>
      <c r="C370" t="str">
        <f t="shared" si="21"/>
        <v>Xīzànglù Jiēdào</v>
      </c>
      <c r="D370" t="s">
        <v>546</v>
      </c>
      <c r="E370" t="s">
        <v>488</v>
      </c>
      <c r="F370" t="str">
        <f>_xlfn.CONCAT(D370,", ",H370,", ",I370,", ","青海省")</f>
        <v>西藏路街道, 格尔木市, 海西蒙古族藏族自治州, 青海省</v>
      </c>
      <c r="G370">
        <v>12097</v>
      </c>
      <c r="H370" t="s">
        <v>912</v>
      </c>
      <c r="I370" t="s">
        <v>905</v>
      </c>
      <c r="J370">
        <f>VLOOKUP(F370,[1]!china_towns_second__2[[Column1]:[Y]],3,FALSE)</f>
        <v>36.3803285225531</v>
      </c>
      <c r="K370">
        <f>VLOOKUP(F370,[1]!china_towns_second__2[[Column1]:[Y]],2,FALSE)</f>
        <v>94.873614630000006</v>
      </c>
      <c r="L370" t="s">
        <v>1481</v>
      </c>
      <c r="M370" t="str">
        <f>VLOOKUP(H370,CHOOSE({1,2},Table9[Native],Table9[Name]),2,0)</f>
        <v>Gé'ĕrmù Shì</v>
      </c>
      <c r="N370" s="13" t="str">
        <f>VLOOKUP(I370,CHOOSE({1,2},Table9[Native],Table9[Name]),2,0)</f>
        <v>Hăixī Mĕnggŭzú Zàngzú Zìzhìzhōu</v>
      </c>
      <c r="O370" s="13" t="str">
        <f t="shared" si="22"/>
        <v>Xizanglu Jiedao (Hăixī Mĕnggŭzú Zàngzú Zìzhìzhōu)</v>
      </c>
      <c r="P370" s="13" t="str">
        <f t="shared" si="23"/>
        <v>Xizanglu Jiedao (Hăixī Mĕnggŭzú Zàngzú Zìzhìzhōu)</v>
      </c>
    </row>
    <row r="371" spans="1:16" hidden="1" x14ac:dyDescent="0.25">
      <c r="A371" t="s">
        <v>89</v>
      </c>
      <c r="B371" t="str">
        <f t="shared" si="20"/>
        <v>Xuĕshān Xiāng</v>
      </c>
      <c r="C371" t="str">
        <f t="shared" si="21"/>
        <v>Xuĕshān Xiāng</v>
      </c>
      <c r="D371" t="s">
        <v>90</v>
      </c>
      <c r="E371" t="s">
        <v>7</v>
      </c>
      <c r="F371" t="str">
        <f>_xlfn.CONCAT(D371,", ",H371,", ",I371,", ","青海省")</f>
        <v>雪山乡, 玛沁县, 果洛藏族自治州, 青海省</v>
      </c>
      <c r="G371">
        <v>1850</v>
      </c>
      <c r="H371" t="s">
        <v>878</v>
      </c>
      <c r="I371" t="s">
        <v>871</v>
      </c>
      <c r="J371" t="e">
        <f>VLOOKUP(F371,[1]!china_towns_second__2[[Column1]:[Y]],3,FALSE)</f>
        <v>#N/A</v>
      </c>
      <c r="K371" t="e">
        <f>VLOOKUP(F371,[1]!china_towns_second__2[[Column1]:[Y]],2,FALSE)</f>
        <v>#N/A</v>
      </c>
      <c r="L371" t="s">
        <v>1482</v>
      </c>
      <c r="M371" t="str">
        <f>VLOOKUP(H371,CHOOSE({1,2},Table9[Native],Table9[Name]),2,0)</f>
        <v>Măqìn Xiàn</v>
      </c>
      <c r="N371" s="13" t="str">
        <f>VLOOKUP(I371,CHOOSE({1,2},Table9[Native],Table9[Name]),2,0)</f>
        <v>Guŏluò Zàngzú Zìzhìzhōu</v>
      </c>
      <c r="O371" s="13" t="str">
        <f t="shared" si="22"/>
        <v>Xueshan Xiang (Guŏluò Zàngzú Zìzhìzhōu)</v>
      </c>
      <c r="P371" s="13" t="str">
        <f t="shared" si="23"/>
        <v>Xueshan Xiang (Guŏluò Zàngzú Zìzhìzhōu)</v>
      </c>
    </row>
    <row r="372" spans="1:16" hidden="1" x14ac:dyDescent="0.25">
      <c r="A372" t="s">
        <v>547</v>
      </c>
      <c r="B372" t="str">
        <f t="shared" si="20"/>
        <v>Xùjí Xiāng</v>
      </c>
      <c r="C372" t="str">
        <f t="shared" si="21"/>
        <v>Xùjí Xiāng</v>
      </c>
      <c r="D372" t="s">
        <v>548</v>
      </c>
      <c r="E372" t="s">
        <v>7</v>
      </c>
      <c r="F372" t="str">
        <f>_xlfn.CONCAT(D372,", ",H372,", ",I372,", ","青海省")</f>
        <v>蓄集乡, 德令哈市, 海西蒙古族藏族自治州, 青海省</v>
      </c>
      <c r="G372">
        <v>1834</v>
      </c>
      <c r="H372" t="s">
        <v>910</v>
      </c>
      <c r="I372" t="s">
        <v>905</v>
      </c>
      <c r="J372" t="e">
        <f>VLOOKUP(F372,[1]!china_towns_second__2[[Column1]:[Y]],3,FALSE)</f>
        <v>#N/A</v>
      </c>
      <c r="K372" t="e">
        <f>VLOOKUP(F372,[1]!china_towns_second__2[[Column1]:[Y]],2,FALSE)</f>
        <v>#N/A</v>
      </c>
      <c r="L372" t="s">
        <v>1483</v>
      </c>
      <c r="M372" t="str">
        <f>VLOOKUP(H372,CHOOSE({1,2},Table9[Native],Table9[Name]),2,0)</f>
        <v>Délìnghā Shì</v>
      </c>
      <c r="N372" s="13" t="str">
        <f>VLOOKUP(I372,CHOOSE({1,2},Table9[Native],Table9[Name]),2,0)</f>
        <v>Hăixī Mĕnggŭzú Zàngzú Zìzhìzhōu</v>
      </c>
      <c r="O372" s="13" t="str">
        <f t="shared" si="22"/>
        <v>Xuji Xiang (Hăixī Mĕnggŭzú Zàngzú Zìzhìzhōu)</v>
      </c>
      <c r="P372" s="13" t="str">
        <f t="shared" si="23"/>
        <v>Xuji Xiang (Hăixī Mĕnggŭzú Zàngzú Zìzhìzhōu)</v>
      </c>
    </row>
    <row r="373" spans="1:16" hidden="1" x14ac:dyDescent="0.25">
      <c r="A373" t="s">
        <v>762</v>
      </c>
      <c r="B373" t="str">
        <f t="shared" si="20"/>
        <v>Xùnràng Xiāng</v>
      </c>
      <c r="C373" t="str">
        <f t="shared" si="21"/>
        <v>Xùnràng Xiāng</v>
      </c>
      <c r="D373" t="s">
        <v>763</v>
      </c>
      <c r="E373" t="s">
        <v>7</v>
      </c>
      <c r="F373" t="str">
        <f>_xlfn.CONCAT(D373,", ",H373,", ",I373,", ","青海省")</f>
        <v>逊让乡, 大通回族土族自治县, 西宁市, 青海省</v>
      </c>
      <c r="G373">
        <v>11998</v>
      </c>
      <c r="H373" t="s">
        <v>928</v>
      </c>
      <c r="I373" t="s">
        <v>923</v>
      </c>
      <c r="J373" t="e">
        <f>VLOOKUP(F373,[1]!china_towns_second__2[[Column1]:[Y]],3,FALSE)</f>
        <v>#N/A</v>
      </c>
      <c r="K373" t="e">
        <f>VLOOKUP(F373,[1]!china_towns_second__2[[Column1]:[Y]],2,FALSE)</f>
        <v>#N/A</v>
      </c>
      <c r="L373" t="s">
        <v>1484</v>
      </c>
      <c r="M373" t="str">
        <f>VLOOKUP(H373,CHOOSE({1,2},Table9[Native],Table9[Name]),2,0)</f>
        <v>Dàtōng Huízú Tŭzú Zìzhìxiàn</v>
      </c>
      <c r="N373" s="13" t="str">
        <f>VLOOKUP(I373,CHOOSE({1,2},Table9[Native],Table9[Name]),2,0)</f>
        <v>Xīníng Shì</v>
      </c>
      <c r="O373" s="13" t="str">
        <f t="shared" si="22"/>
        <v>Xunrang Xiang (Xīníng Shì)</v>
      </c>
      <c r="P373" s="13" t="str">
        <f t="shared" si="23"/>
        <v>Xunrang Xiang (Xīníng Shì)</v>
      </c>
    </row>
    <row r="374" spans="1:16" hidden="1" x14ac:dyDescent="0.25">
      <c r="A374" t="s">
        <v>91</v>
      </c>
      <c r="B374" t="str">
        <f t="shared" si="20"/>
        <v>Yà'ĕrtáng Xiāng</v>
      </c>
      <c r="C374" t="str">
        <f t="shared" si="21"/>
        <v>Yà'ĕrtáng Xiāng</v>
      </c>
      <c r="D374" t="s">
        <v>92</v>
      </c>
      <c r="E374" t="s">
        <v>7</v>
      </c>
      <c r="F374" t="str">
        <f>_xlfn.CONCAT(D374,", ",H374,", ",I374,", ","青海省")</f>
        <v>亚尔堂乡, 班玛县, 果洛藏族自治州, 青海省</v>
      </c>
      <c r="G374">
        <v>2496</v>
      </c>
      <c r="H374" t="s">
        <v>873</v>
      </c>
      <c r="I374" t="s">
        <v>871</v>
      </c>
      <c r="J374" t="e">
        <f>VLOOKUP(F374,[1]!china_towns_second__2[[Column1]:[Y]],3,FALSE)</f>
        <v>#N/A</v>
      </c>
      <c r="K374" t="e">
        <f>VLOOKUP(F374,[1]!china_towns_second__2[[Column1]:[Y]],2,FALSE)</f>
        <v>#N/A</v>
      </c>
      <c r="L374" t="s">
        <v>1485</v>
      </c>
      <c r="M374" t="str">
        <f>VLOOKUP(H374,CHOOSE({1,2},Table9[Native],Table9[Name]),2,0)</f>
        <v>Bānmă Xiàn</v>
      </c>
      <c r="N374" s="13" t="str">
        <f>VLOOKUP(I374,CHOOSE({1,2},Table9[Native],Table9[Name]),2,0)</f>
        <v>Guŏluò Zàngzú Zìzhìzhōu</v>
      </c>
      <c r="O374" s="13" t="str">
        <f t="shared" si="22"/>
        <v>Ya'ertang Xiang (Guŏluò Zàngzú Zìzhìzhōu)</v>
      </c>
      <c r="P374" s="13" t="str">
        <f t="shared" si="23"/>
        <v>Ya'ertang Xiang (Guŏluò Zàngzú Zìzhìzhōu)</v>
      </c>
    </row>
    <row r="375" spans="1:16" hidden="1" x14ac:dyDescent="0.25">
      <c r="A375" t="s">
        <v>549</v>
      </c>
      <c r="B375" t="str">
        <f t="shared" si="20"/>
        <v>Yángkāng Xiāng</v>
      </c>
      <c r="C375" t="str">
        <f t="shared" si="21"/>
        <v>Yángkāng Xiāng</v>
      </c>
      <c r="D375" t="s">
        <v>550</v>
      </c>
      <c r="E375" t="s">
        <v>7</v>
      </c>
      <c r="F375" t="str">
        <f>_xlfn.CONCAT(D375,", ",H375,", ",I375,", ","青海省")</f>
        <v>阳康乡, 天峻县, 海西蒙古族藏族自治州, 青海省</v>
      </c>
      <c r="G375">
        <v>1105</v>
      </c>
      <c r="H375" t="s">
        <v>914</v>
      </c>
      <c r="I375" t="s">
        <v>905</v>
      </c>
      <c r="J375" t="e">
        <f>VLOOKUP(F375,[1]!china_towns_second__2[[Column1]:[Y]],3,FALSE)</f>
        <v>#N/A</v>
      </c>
      <c r="K375" t="e">
        <f>VLOOKUP(F375,[1]!china_towns_second__2[[Column1]:[Y]],2,FALSE)</f>
        <v>#N/A</v>
      </c>
      <c r="L375" t="s">
        <v>1486</v>
      </c>
      <c r="M375" t="str">
        <f>VLOOKUP(H375,CHOOSE({1,2},Table9[Native],Table9[Name]),2,0)</f>
        <v>Tiānjùn Xiàn</v>
      </c>
      <c r="N375" s="13" t="str">
        <f>VLOOKUP(I375,CHOOSE({1,2},Table9[Native],Table9[Name]),2,0)</f>
        <v>Hăixī Mĕnggŭzú Zàngzú Zìzhìzhōu</v>
      </c>
      <c r="O375" s="13" t="str">
        <f t="shared" si="22"/>
        <v>Yangkang Xiang (Hăixī Mĕnggŭzú Zàngzú Zìzhìzhōu)</v>
      </c>
      <c r="P375" s="13" t="str">
        <f t="shared" si="23"/>
        <v>Yangkang Xiang (Hăixī Mĕnggŭzú Zàngzú Zìzhìzhōu)</v>
      </c>
    </row>
    <row r="376" spans="1:16" hidden="1" x14ac:dyDescent="0.25">
      <c r="A376" t="s">
        <v>162</v>
      </c>
      <c r="B376" t="str">
        <f t="shared" si="20"/>
        <v>Yānglóng Xiāng</v>
      </c>
      <c r="C376" t="str">
        <f t="shared" si="21"/>
        <v>Yānglóng Xiāng</v>
      </c>
      <c r="D376" t="s">
        <v>163</v>
      </c>
      <c r="E376" t="s">
        <v>7</v>
      </c>
      <c r="F376" t="str">
        <f>_xlfn.CONCAT(D376,", ",H376,", ",I376,", ","青海省")</f>
        <v>央隆乡, 祁连县, 海北藏族自治州, 青海省</v>
      </c>
      <c r="G376">
        <v>2404</v>
      </c>
      <c r="H376" t="s">
        <v>885</v>
      </c>
      <c r="I376" t="s">
        <v>880</v>
      </c>
      <c r="J376" t="e">
        <f>VLOOKUP(F376,[1]!china_towns_second__2[[Column1]:[Y]],3,FALSE)</f>
        <v>#N/A</v>
      </c>
      <c r="K376" t="e">
        <f>VLOOKUP(F376,[1]!china_towns_second__2[[Column1]:[Y]],2,FALSE)</f>
        <v>#N/A</v>
      </c>
      <c r="L376" t="s">
        <v>1487</v>
      </c>
      <c r="M376" t="str">
        <f>VLOOKUP(H376,CHOOSE({1,2},Table9[Native],Table9[Name]),2,0)</f>
        <v>Qílián Xiàn</v>
      </c>
      <c r="N376" s="13" t="str">
        <f>VLOOKUP(I376,CHOOSE({1,2},Table9[Native],Table9[Name]),2,0)</f>
        <v>Hăibĕi Zàngzú Zìzhìzhōu</v>
      </c>
      <c r="O376" s="13" t="str">
        <f t="shared" si="22"/>
        <v>Yanglong Xiang (Hăibĕi Zàngzú Zìzhìzhōu)</v>
      </c>
      <c r="P376" s="13" t="str">
        <f t="shared" si="23"/>
        <v>Yanglong Xiang (Hăibĕi Zàngzú Zìzhìzhōu)</v>
      </c>
    </row>
    <row r="377" spans="1:16" x14ac:dyDescent="0.25">
      <c r="A377" t="s">
        <v>354</v>
      </c>
      <c r="B377" t="str">
        <f t="shared" si="20"/>
        <v>Yáshígă Zhèn</v>
      </c>
      <c r="C377" t="str">
        <f t="shared" si="21"/>
        <v>Yáshígă Zhèn</v>
      </c>
      <c r="D377" t="s">
        <v>355</v>
      </c>
      <c r="E377" t="s">
        <v>19</v>
      </c>
      <c r="F377" t="str">
        <f>_xlfn.CONCAT(D377,", ",H377,", ",I377,", ","青海省")</f>
        <v>牙什尕镇, 化隆回族自治县, 海东市, 青海省</v>
      </c>
      <c r="G377">
        <v>13580</v>
      </c>
      <c r="H377" t="s">
        <v>889</v>
      </c>
      <c r="I377" t="s">
        <v>888</v>
      </c>
      <c r="J377">
        <f>VLOOKUP(F377,[1]!china_towns_second__2[[Column1]:[Y]],3,FALSE)</f>
        <v>36.111835674235998</v>
      </c>
      <c r="K377">
        <f>VLOOKUP(F377,[1]!china_towns_second__2[[Column1]:[Y]],2,FALSE)</f>
        <v>101.9421186</v>
      </c>
      <c r="L377" t="s">
        <v>1488</v>
      </c>
      <c r="M377" t="str">
        <f>VLOOKUP(H377,CHOOSE({1,2},Table9[Native],Table9[Name]),2,0)</f>
        <v>Huàlóng Huízú Zìzhìxiàn</v>
      </c>
      <c r="N377" s="13" t="str">
        <f>VLOOKUP(I377,CHOOSE({1,2},Table9[Native],Table9[Name]),2,0)</f>
        <v>Hăidōng Shì</v>
      </c>
      <c r="O377" s="13" t="str">
        <f t="shared" si="22"/>
        <v>Yashiga Zhen (Hăidōng Shì)</v>
      </c>
      <c r="P377" s="13" t="str">
        <f t="shared" si="23"/>
        <v>Yashiga Zhen (Hăidōng Shì)</v>
      </c>
    </row>
    <row r="378" spans="1:16" hidden="1" x14ac:dyDescent="0.25">
      <c r="A378" t="s">
        <v>852</v>
      </c>
      <c r="B378" t="str">
        <f t="shared" si="20"/>
        <v>Yègé Xiāng</v>
      </c>
      <c r="C378" t="str">
        <f t="shared" si="21"/>
        <v>Yègé Xiāng</v>
      </c>
      <c r="D378" t="s">
        <v>853</v>
      </c>
      <c r="E378" t="s">
        <v>7</v>
      </c>
      <c r="F378" t="str">
        <f>_xlfn.CONCAT(D378,", ",H378,", ",I378,", ","青海省")</f>
        <v>叶格乡, 曲麻莱县, 玉树藏族自治州, 青海省</v>
      </c>
      <c r="G378">
        <v>2664</v>
      </c>
      <c r="H378" t="s">
        <v>935</v>
      </c>
      <c r="I378" t="s">
        <v>932</v>
      </c>
      <c r="J378" t="e">
        <f>VLOOKUP(F378,[1]!china_towns_second__2[[Column1]:[Y]],3,FALSE)</f>
        <v>#N/A</v>
      </c>
      <c r="K378" t="e">
        <f>VLOOKUP(F378,[1]!china_towns_second__2[[Column1]:[Y]],2,FALSE)</f>
        <v>#N/A</v>
      </c>
      <c r="L378" t="s">
        <v>1489</v>
      </c>
      <c r="M378" t="str">
        <f>VLOOKUP(H378,CHOOSE({1,2},Table9[Native],Table9[Name]),2,0)</f>
        <v>Qŭmálái Xiàn</v>
      </c>
      <c r="N378" s="13" t="str">
        <f>VLOOKUP(I378,CHOOSE({1,2},Table9[Native],Table9[Name]),2,0)</f>
        <v>Yùshù Zàngzú Zìzhìzhōu</v>
      </c>
      <c r="O378" s="13" t="str">
        <f t="shared" si="22"/>
        <v>Yege Xiang (Yùshù Zàngzú Zìzhìzhōu)</v>
      </c>
      <c r="P378" s="13" t="str">
        <f t="shared" si="23"/>
        <v>Yege Xiang (Yùshù Zàngzú Zìzhìzhōu)</v>
      </c>
    </row>
    <row r="379" spans="1:16" hidden="1" x14ac:dyDescent="0.25">
      <c r="A379" t="s">
        <v>164</v>
      </c>
      <c r="B379" t="str">
        <f t="shared" si="20"/>
        <v>Yĕniúgōu Xiāng</v>
      </c>
      <c r="C379" t="str">
        <f t="shared" si="21"/>
        <v>Yĕniúgōu Xiāng</v>
      </c>
      <c r="D379" t="s">
        <v>165</v>
      </c>
      <c r="E379" t="s">
        <v>7</v>
      </c>
      <c r="F379" t="str">
        <f>_xlfn.CONCAT(D379,", ",H379,", ",I379,", ","青海省")</f>
        <v>野牛沟乡, 祁连县, 海北藏族自治州, 青海省</v>
      </c>
      <c r="G379">
        <v>2747</v>
      </c>
      <c r="H379" t="s">
        <v>885</v>
      </c>
      <c r="I379" t="s">
        <v>880</v>
      </c>
      <c r="J379" t="e">
        <f>VLOOKUP(F379,[1]!china_towns_second__2[[Column1]:[Y]],3,FALSE)</f>
        <v>#N/A</v>
      </c>
      <c r="K379" t="e">
        <f>VLOOKUP(F379,[1]!china_towns_second__2[[Column1]:[Y]],2,FALSE)</f>
        <v>#N/A</v>
      </c>
      <c r="L379" t="s">
        <v>1490</v>
      </c>
      <c r="M379" t="str">
        <f>VLOOKUP(H379,CHOOSE({1,2},Table9[Native],Table9[Name]),2,0)</f>
        <v>Qílián Xiàn</v>
      </c>
      <c r="N379" s="13" t="str">
        <f>VLOOKUP(I379,CHOOSE({1,2},Table9[Native],Table9[Name]),2,0)</f>
        <v>Hăibĕi Zàngzú Zìzhìzhōu</v>
      </c>
      <c r="O379" s="13" t="str">
        <f t="shared" si="22"/>
        <v>Yeniugou Xiang (Hăibĕi Zàngzú Zìzhìzhōu)</v>
      </c>
      <c r="P379" s="13" t="str">
        <f t="shared" si="23"/>
        <v>Yeniugou Xiang (Hăibĕi Zàngzú Zìzhìzhōu)</v>
      </c>
    </row>
    <row r="380" spans="1:16" hidden="1" x14ac:dyDescent="0.25">
      <c r="A380" t="s">
        <v>166</v>
      </c>
      <c r="B380" t="str">
        <f t="shared" si="20"/>
        <v>Yīkèwūlán Xiāng</v>
      </c>
      <c r="C380" t="str">
        <f t="shared" si="21"/>
        <v>Yīkèwūlán Xiāng</v>
      </c>
      <c r="D380" t="s">
        <v>167</v>
      </c>
      <c r="E380" t="s">
        <v>7</v>
      </c>
      <c r="F380" t="str">
        <f>_xlfn.CONCAT(D380,", ",H380,", ",I380,", ","青海省")</f>
        <v>伊克乌兰乡, 刚察县, 海北藏族自治州, 青海省</v>
      </c>
      <c r="G380">
        <v>5651</v>
      </c>
      <c r="H380" t="s">
        <v>881</v>
      </c>
      <c r="I380" t="s">
        <v>880</v>
      </c>
      <c r="J380" t="e">
        <f>VLOOKUP(F380,[1]!china_towns_second__2[[Column1]:[Y]],3,FALSE)</f>
        <v>#N/A</v>
      </c>
      <c r="K380" t="e">
        <f>VLOOKUP(F380,[1]!china_towns_second__2[[Column1]:[Y]],2,FALSE)</f>
        <v>#N/A</v>
      </c>
      <c r="L380" t="s">
        <v>1491</v>
      </c>
      <c r="M380" t="str">
        <f>VLOOKUP(H380,CHOOSE({1,2},Table9[Native],Table9[Name]),2,0)</f>
        <v>Gāngchá Xiàn</v>
      </c>
      <c r="N380" s="13" t="str">
        <f>VLOOKUP(I380,CHOOSE({1,2},Table9[Native],Table9[Name]),2,0)</f>
        <v>Hăibĕi Zàngzú Zìzhìzhōu</v>
      </c>
      <c r="O380" s="13" t="str">
        <f t="shared" si="22"/>
        <v>Yikewulan Xiang (Hăibĕi Zàngzú Zìzhìzhōu)</v>
      </c>
      <c r="P380" s="13" t="str">
        <f t="shared" si="23"/>
        <v>Yikewulan Xiang (Hăibĕi Zàngzú Zìzhìzhōu)</v>
      </c>
    </row>
    <row r="381" spans="1:16" hidden="1" x14ac:dyDescent="0.25">
      <c r="A381" t="s">
        <v>764</v>
      </c>
      <c r="B381" t="str">
        <f t="shared" si="20"/>
        <v>Yĭnmăjiē Jiēdào</v>
      </c>
      <c r="C381" t="str">
        <f t="shared" si="21"/>
        <v>Yĭnmăjiē Jiēdào</v>
      </c>
      <c r="D381" t="s">
        <v>765</v>
      </c>
      <c r="E381" t="s">
        <v>488</v>
      </c>
      <c r="F381" t="str">
        <f>_xlfn.CONCAT(D381,", ",H381,", ",I381,", ","青海省")</f>
        <v>饮马街街道, 城中区, 西宁市, 青海省</v>
      </c>
      <c r="G381">
        <v>29702</v>
      </c>
      <c r="H381" t="s">
        <v>927</v>
      </c>
      <c r="I381" t="s">
        <v>923</v>
      </c>
      <c r="J381">
        <f>VLOOKUP(F381,[1]!china_towns_second__2[[Column1]:[Y]],3,FALSE)</f>
        <v>36.6247071619946</v>
      </c>
      <c r="K381">
        <f>VLOOKUP(F381,[1]!china_towns_second__2[[Column1]:[Y]],2,FALSE)</f>
        <v>101.7881488</v>
      </c>
      <c r="L381" t="s">
        <v>1492</v>
      </c>
      <c r="M381" t="str">
        <f>VLOOKUP(H381,CHOOSE({1,2},Table9[Native],Table9[Name]),2,0)</f>
        <v>Chéngzhōng Qū</v>
      </c>
      <c r="N381" s="13" t="str">
        <f>VLOOKUP(I381,CHOOSE({1,2},Table9[Native],Table9[Name]),2,0)</f>
        <v>Xīníng Shì</v>
      </c>
      <c r="O381" s="13" t="str">
        <f t="shared" si="22"/>
        <v>Yinmajie Jiedao (Xīníng Shì)</v>
      </c>
      <c r="P381" s="13" t="str">
        <f t="shared" si="23"/>
        <v>Yinmajie Jiedao (Xīníng Shì)</v>
      </c>
    </row>
    <row r="382" spans="1:16" hidden="1" x14ac:dyDescent="0.25">
      <c r="A382" t="s">
        <v>168</v>
      </c>
      <c r="B382" t="str">
        <f t="shared" si="20"/>
        <v>Yīntián Xiāng</v>
      </c>
      <c r="C382" t="str">
        <f t="shared" si="21"/>
        <v>Yīntián Xiāng</v>
      </c>
      <c r="D382" t="s">
        <v>169</v>
      </c>
      <c r="E382" t="s">
        <v>7</v>
      </c>
      <c r="F382" t="str">
        <f>_xlfn.CONCAT(D382,", ",H382,", ",I382,", ","青海省")</f>
        <v>阴田乡, 门源回族自治县, 海北藏族自治州, 青海省</v>
      </c>
      <c r="G382">
        <v>7662</v>
      </c>
      <c r="H382" t="s">
        <v>884</v>
      </c>
      <c r="I382" t="s">
        <v>880</v>
      </c>
      <c r="J382" t="e">
        <f>VLOOKUP(F382,[1]!china_towns_second__2[[Column1]:[Y]],3,FALSE)</f>
        <v>#N/A</v>
      </c>
      <c r="K382" t="e">
        <f>VLOOKUP(F382,[1]!china_towns_second__2[[Column1]:[Y]],2,FALSE)</f>
        <v>#N/A</v>
      </c>
      <c r="L382" t="s">
        <v>1493</v>
      </c>
      <c r="M382" t="str">
        <f>VLOOKUP(H382,CHOOSE({1,2},Table9[Native],Table9[Name]),2,0)</f>
        <v>Ményuán Huízú Zìzhìxiàn</v>
      </c>
      <c r="N382" s="13" t="str">
        <f>VLOOKUP(I382,CHOOSE({1,2},Table9[Native],Table9[Name]),2,0)</f>
        <v>Hăibĕi Zàngzú Zìzhìzhōu</v>
      </c>
      <c r="O382" s="13" t="str">
        <f t="shared" si="22"/>
        <v>Yintian Xiang (Hăibĕi Zàngzú Zìzhìzhōu)</v>
      </c>
      <c r="P382" s="13" t="str">
        <f t="shared" si="23"/>
        <v>Yintian Xiang (Hăibĕi Zàngzú Zìzhìzhōu)</v>
      </c>
    </row>
    <row r="383" spans="1:16" x14ac:dyDescent="0.25">
      <c r="A383" t="s">
        <v>619</v>
      </c>
      <c r="B383" t="str">
        <f t="shared" si="20"/>
        <v>Yōugānníng Zhèn</v>
      </c>
      <c r="C383" t="str">
        <f t="shared" si="21"/>
        <v>Yōugānníng Zhèn</v>
      </c>
      <c r="D383" t="s">
        <v>620</v>
      </c>
      <c r="E383" t="s">
        <v>19</v>
      </c>
      <c r="F383" t="str">
        <f>_xlfn.CONCAT(D383,", ",H383,", ",I383,", ","青海省")</f>
        <v>优干宁镇, 河南蒙古族自治县, 黄南藏族自治州, 青海省</v>
      </c>
      <c r="G383">
        <v>21323</v>
      </c>
      <c r="H383" t="s">
        <v>918</v>
      </c>
      <c r="I383" t="s">
        <v>917</v>
      </c>
      <c r="J383">
        <f>VLOOKUP(F383,[1]!china_towns_second__2[[Column1]:[Y]],3,FALSE)</f>
        <v>34.641270720382003</v>
      </c>
      <c r="K383">
        <f>VLOOKUP(F383,[1]!china_towns_second__2[[Column1]:[Y]],2,FALSE)</f>
        <v>101.58574489999999</v>
      </c>
      <c r="L383" t="s">
        <v>1494</v>
      </c>
      <c r="M383" t="str">
        <f>VLOOKUP(H383,CHOOSE({1,2},Table9[Native],Table9[Name]),2,0)</f>
        <v>Hénán Mĕnggŭzú Zìzhìxiàn</v>
      </c>
      <c r="N383" s="13" t="str">
        <f>VLOOKUP(I383,CHOOSE({1,2},Table9[Native],Table9[Name]),2,0)</f>
        <v>Huángnán Zàngzú Zìzhìzhōu</v>
      </c>
      <c r="O383" s="13" t="str">
        <f t="shared" si="22"/>
        <v>Youganning Zhen (Huángnán Zàngzú Zìzhìzhōu)</v>
      </c>
      <c r="P383" s="13" t="str">
        <f t="shared" si="23"/>
        <v>Youganning Zhen (Huángnán Zàngzú Zìzhìzhōu)</v>
      </c>
    </row>
    <row r="384" spans="1:16" hidden="1" x14ac:dyDescent="0.25">
      <c r="A384" t="s">
        <v>93</v>
      </c>
      <c r="B384" t="str">
        <f t="shared" si="20"/>
        <v>Yōuyún Xiāng</v>
      </c>
      <c r="C384" t="str">
        <f t="shared" si="21"/>
        <v>Yōuyún Xiāng</v>
      </c>
      <c r="D384" t="s">
        <v>94</v>
      </c>
      <c r="E384" t="s">
        <v>7</v>
      </c>
      <c r="F384" t="str">
        <f>_xlfn.CONCAT(D384,", ",H384,", ",I384,", ","青海省")</f>
        <v>优云乡, 玛沁县, 果洛藏族自治州, 青海省</v>
      </c>
      <c r="G384">
        <v>2865</v>
      </c>
      <c r="H384" t="s">
        <v>878</v>
      </c>
      <c r="I384" t="s">
        <v>871</v>
      </c>
      <c r="J384" t="e">
        <f>VLOOKUP(F384,[1]!china_towns_second__2[[Column1]:[Y]],3,FALSE)</f>
        <v>#N/A</v>
      </c>
      <c r="K384" t="e">
        <f>VLOOKUP(F384,[1]!china_towns_second__2[[Column1]:[Y]],2,FALSE)</f>
        <v>#N/A</v>
      </c>
      <c r="L384" t="s">
        <v>1495</v>
      </c>
      <c r="M384" t="str">
        <f>VLOOKUP(H384,CHOOSE({1,2},Table9[Native],Table9[Name]),2,0)</f>
        <v>Măqìn Xiàn</v>
      </c>
      <c r="N384" s="13" t="str">
        <f>VLOOKUP(I384,CHOOSE({1,2},Table9[Native],Table9[Name]),2,0)</f>
        <v>Guŏluò Zàngzú Zìzhìzhōu</v>
      </c>
      <c r="O384" s="13" t="str">
        <f t="shared" si="22"/>
        <v>Youyun Xiang (Guŏluò Zàngzú Zìzhìzhōu)</v>
      </c>
      <c r="P384" s="13" t="str">
        <f t="shared" si="23"/>
        <v>Youyun Xiang (Guŏluò Zàngzú Zìzhìzhōu)</v>
      </c>
    </row>
    <row r="385" spans="1:16" x14ac:dyDescent="0.25">
      <c r="A385" t="s">
        <v>854</v>
      </c>
      <c r="B385" t="str">
        <f t="shared" si="20"/>
        <v>Yuēgăi Zhèn</v>
      </c>
      <c r="C385" t="str">
        <f t="shared" si="21"/>
        <v>Yuēgăi Zhèn</v>
      </c>
      <c r="D385" t="s">
        <v>855</v>
      </c>
      <c r="E385" t="s">
        <v>19</v>
      </c>
      <c r="F385" t="str">
        <f>_xlfn.CONCAT(D385,", ",H385,", ",I385,", ","青海省")</f>
        <v>约改镇, 曲麻莱县, 玉树藏族自治州, 青海省</v>
      </c>
      <c r="G385">
        <v>10291</v>
      </c>
      <c r="H385" t="s">
        <v>935</v>
      </c>
      <c r="I385" t="s">
        <v>932</v>
      </c>
      <c r="J385">
        <f>VLOOKUP(F385,[1]!china_towns_second__2[[Column1]:[Y]],3,FALSE)</f>
        <v>34.032262618594103</v>
      </c>
      <c r="K385">
        <f>VLOOKUP(F385,[1]!china_towns_second__2[[Column1]:[Y]],2,FALSE)</f>
        <v>96.104656039999995</v>
      </c>
      <c r="L385" t="s">
        <v>1496</v>
      </c>
      <c r="M385" t="str">
        <f>VLOOKUP(H385,CHOOSE({1,2},Table9[Native],Table9[Name]),2,0)</f>
        <v>Qŭmálái Xiàn</v>
      </c>
      <c r="N385" s="13" t="str">
        <f>VLOOKUP(I385,CHOOSE({1,2},Table9[Native],Table9[Name]),2,0)</f>
        <v>Yùshù Zàngzú Zìzhìzhōu</v>
      </c>
      <c r="O385" s="13" t="str">
        <f t="shared" si="22"/>
        <v>Yuegai Zhen (Yùshù Zàngzú Zìzhìzhōu)</v>
      </c>
      <c r="P385" s="13" t="str">
        <f t="shared" si="23"/>
        <v>Yuegai Zhen (Yùshù Zàngzú Zìzhìzhōu)</v>
      </c>
    </row>
    <row r="386" spans="1:16" x14ac:dyDescent="0.25">
      <c r="A386" t="s">
        <v>766</v>
      </c>
      <c r="B386" t="str">
        <f t="shared" ref="B386:B449" si="24">IF(COUNTIF(A:A,A386)&gt;1,_xlfn.CONCAT(A386," (",N386,")"),A386)</f>
        <v>Yùnjiākŏu Zhèn</v>
      </c>
      <c r="C386" t="str">
        <f t="shared" ref="C386:C449" si="25">IF(COUNTIF(B:B,B386)&gt;1,_xlfn.CONCAT(A386," (",M386,")"),B386)</f>
        <v>Yùnjiākŏu Zhèn</v>
      </c>
      <c r="D386" t="s">
        <v>767</v>
      </c>
      <c r="E386" t="s">
        <v>19</v>
      </c>
      <c r="F386" t="str">
        <f>_xlfn.CONCAT(D386,", ",H386,", ",I386,", ","青海省")</f>
        <v>韵家口镇, 城东区, 西宁市, 青海省</v>
      </c>
      <c r="G386">
        <v>42133</v>
      </c>
      <c r="H386" t="s">
        <v>925</v>
      </c>
      <c r="I386" t="s">
        <v>923</v>
      </c>
      <c r="J386">
        <f>VLOOKUP(F386,[1]!china_towns_second__2[[Column1]:[Y]],3,FALSE)</f>
        <v>36.603080141008803</v>
      </c>
      <c r="K386">
        <f>VLOOKUP(F386,[1]!china_towns_second__2[[Column1]:[Y]],2,FALSE)</f>
        <v>101.8543918</v>
      </c>
      <c r="L386" t="s">
        <v>1497</v>
      </c>
      <c r="M386" t="str">
        <f>VLOOKUP(H386,CHOOSE({1,2},Table9[Native],Table9[Name]),2,0)</f>
        <v>Chéngdōng Qū</v>
      </c>
      <c r="N386" s="13" t="str">
        <f>VLOOKUP(I386,CHOOSE({1,2},Table9[Native],Table9[Name]),2,0)</f>
        <v>Xīníng Shì</v>
      </c>
      <c r="O386" s="13" t="str">
        <f t="shared" ref="O386:O449" si="26">_xlfn.CONCAT(L386," (",N386,")")</f>
        <v>Yunjiakou Zhen (Xīníng Shì)</v>
      </c>
      <c r="P386" s="13" t="str">
        <f t="shared" ref="P386:P449" si="27">IF(COUNTIF(O:O,O386)&gt;1,_xlfn.CONCAT(L386," (",M386,")"),O386)</f>
        <v>Yunjiakou Zhen (Xīníng Shì)</v>
      </c>
    </row>
    <row r="387" spans="1:16" x14ac:dyDescent="0.25">
      <c r="A387" t="s">
        <v>356</v>
      </c>
      <c r="B387" t="str">
        <f t="shared" si="24"/>
        <v>Yŭrùn Zhèn</v>
      </c>
      <c r="C387" t="str">
        <f t="shared" si="25"/>
        <v>Yŭrùn Zhèn</v>
      </c>
      <c r="D387" t="s">
        <v>357</v>
      </c>
      <c r="E387" t="s">
        <v>19</v>
      </c>
      <c r="F387" t="str">
        <f>_xlfn.CONCAT(D387,", ",H387,", ",I387,", ","青海省")</f>
        <v>雨润镇, 乐都区, 海东市, 青海省</v>
      </c>
      <c r="G387">
        <v>14515</v>
      </c>
      <c r="H387" t="s">
        <v>892</v>
      </c>
      <c r="I387" t="s">
        <v>888</v>
      </c>
      <c r="J387">
        <f>VLOOKUP(F387,[1]!china_towns_second__2[[Column1]:[Y]],3,FALSE)</f>
        <v>36.481525365108602</v>
      </c>
      <c r="K387">
        <f>VLOOKUP(F387,[1]!china_towns_second__2[[Column1]:[Y]],2,FALSE)</f>
        <v>102.28261929999999</v>
      </c>
      <c r="L387" t="s">
        <v>1498</v>
      </c>
      <c r="M387" t="str">
        <f>VLOOKUP(H387,CHOOSE({1,2},Table9[Native],Table9[Name]),2,0)</f>
        <v>Lèdū Qū</v>
      </c>
      <c r="N387" s="13" t="str">
        <f>VLOOKUP(I387,CHOOSE({1,2},Table9[Native],Table9[Name]),2,0)</f>
        <v>Hăidōng Shì</v>
      </c>
      <c r="O387" s="13" t="str">
        <f t="shared" si="26"/>
        <v>Yurun Zhen (Hăidōng Shì)</v>
      </c>
      <c r="P387" s="13" t="str">
        <f t="shared" si="27"/>
        <v>Yurun Zhen (Hăidōng Shì)</v>
      </c>
    </row>
    <row r="388" spans="1:16" x14ac:dyDescent="0.25">
      <c r="A388" t="s">
        <v>621</v>
      </c>
      <c r="B388" t="str">
        <f t="shared" si="24"/>
        <v>Zéqŭ Zhèn</v>
      </c>
      <c r="C388" t="str">
        <f t="shared" si="25"/>
        <v>Zéqŭ Zhèn</v>
      </c>
      <c r="D388" t="s">
        <v>622</v>
      </c>
      <c r="E388" t="s">
        <v>19</v>
      </c>
      <c r="F388" t="str">
        <f>_xlfn.CONCAT(D388,", ",H388,", ",I388,", ","青海省")</f>
        <v>泽曲镇, 泽库县, 黄南藏族自治州, 青海省</v>
      </c>
      <c r="G388">
        <v>16666</v>
      </c>
      <c r="H388" t="s">
        <v>921</v>
      </c>
      <c r="I388" t="s">
        <v>917</v>
      </c>
      <c r="J388">
        <f>VLOOKUP(F388,[1]!china_towns_second__2[[Column1]:[Y]],3,FALSE)</f>
        <v>35.050782682591098</v>
      </c>
      <c r="K388">
        <f>VLOOKUP(F388,[1]!china_towns_second__2[[Column1]:[Y]],2,FALSE)</f>
        <v>101.494457</v>
      </c>
      <c r="L388" t="s">
        <v>1499</v>
      </c>
      <c r="M388" t="str">
        <f>VLOOKUP(H388,CHOOSE({1,2},Table9[Native],Table9[Name]),2,0)</f>
        <v>Zékù Xiàn</v>
      </c>
      <c r="N388" s="13" t="str">
        <f>VLOOKUP(I388,CHOOSE({1,2},Table9[Native],Table9[Name]),2,0)</f>
        <v>Huángnán Zàngzú Zìzhìzhōu</v>
      </c>
      <c r="O388" s="13" t="str">
        <f t="shared" si="26"/>
        <v>Zequ Zhen (Huángnán Zàngzú Zìzhìzhōu)</v>
      </c>
      <c r="P388" s="13" t="str">
        <f t="shared" si="27"/>
        <v>Zequ Zhen (Huángnán Zàngzú Zìzhìzhōu)</v>
      </c>
    </row>
    <row r="389" spans="1:16" x14ac:dyDescent="0.25">
      <c r="A389" t="s">
        <v>358</v>
      </c>
      <c r="B389" t="str">
        <f t="shared" si="24"/>
        <v>Zhābā Zhèn</v>
      </c>
      <c r="C389" t="str">
        <f t="shared" si="25"/>
        <v>Zhābā Zhèn</v>
      </c>
      <c r="D389" t="s">
        <v>359</v>
      </c>
      <c r="E389" t="s">
        <v>19</v>
      </c>
      <c r="F389" t="str">
        <f>_xlfn.CONCAT(D389,", ",H389,", ",I389,", ","青海省")</f>
        <v>扎巴镇, 化隆回族自治县, 海东市, 青海省</v>
      </c>
      <c r="G389">
        <v>19032</v>
      </c>
      <c r="H389" t="s">
        <v>889</v>
      </c>
      <c r="I389" t="s">
        <v>888</v>
      </c>
      <c r="J389">
        <f>VLOOKUP(F389,[1]!china_towns_second__2[[Column1]:[Y]],3,FALSE)</f>
        <v>36.218410125821499</v>
      </c>
      <c r="K389">
        <f>VLOOKUP(F389,[1]!china_towns_second__2[[Column1]:[Y]],2,FALSE)</f>
        <v>101.980062</v>
      </c>
      <c r="L389" t="s">
        <v>1500</v>
      </c>
      <c r="M389" t="str">
        <f>VLOOKUP(H389,CHOOSE({1,2},Table9[Native],Table9[Name]),2,0)</f>
        <v>Huàlóng Huízú Zìzhìxiàn</v>
      </c>
      <c r="N389" s="13" t="str">
        <f>VLOOKUP(I389,CHOOSE({1,2},Table9[Native],Table9[Name]),2,0)</f>
        <v>Hăidōng Shì</v>
      </c>
      <c r="O389" s="13" t="str">
        <f t="shared" si="26"/>
        <v>Zhaba Zhen (Hăidōng Shì)</v>
      </c>
      <c r="P389" s="13" t="str">
        <f t="shared" si="27"/>
        <v>Zhaba Zhen (Hăidōng Shì)</v>
      </c>
    </row>
    <row r="390" spans="1:16" x14ac:dyDescent="0.25">
      <c r="A390" t="s">
        <v>856</v>
      </c>
      <c r="B390" t="str">
        <f t="shared" si="24"/>
        <v>Zhāduŏ Zhèn</v>
      </c>
      <c r="C390" t="str">
        <f t="shared" si="25"/>
        <v>Zhāduŏ Zhèn</v>
      </c>
      <c r="D390" t="s">
        <v>857</v>
      </c>
      <c r="E390" t="s">
        <v>19</v>
      </c>
      <c r="F390" t="str">
        <f>_xlfn.CONCAT(D390,", ",H390,", ",I390,", ","青海省")</f>
        <v>扎朵镇, 称多县, 玉树藏族自治州, 青海省</v>
      </c>
      <c r="G390">
        <v>8456</v>
      </c>
      <c r="H390" t="s">
        <v>933</v>
      </c>
      <c r="I390" t="s">
        <v>932</v>
      </c>
      <c r="J390">
        <f>VLOOKUP(F390,[1]!china_towns_second__2[[Column1]:[Y]],3,FALSE)</f>
        <v>34.304866280733599</v>
      </c>
      <c r="K390">
        <f>VLOOKUP(F390,[1]!china_towns_second__2[[Column1]:[Y]],2,FALSE)</f>
        <v>96.646891280000006</v>
      </c>
      <c r="L390" t="s">
        <v>1501</v>
      </c>
      <c r="M390" t="str">
        <f>VLOOKUP(H390,CHOOSE({1,2},Table9[Native],Table9[Name]),2,0)</f>
        <v>Chēngduō Xiàn</v>
      </c>
      <c r="N390" s="13" t="str">
        <f>VLOOKUP(I390,CHOOSE({1,2},Table9[Native],Table9[Name]),2,0)</f>
        <v>Yùshù Zàngzú Zìzhìzhōu</v>
      </c>
      <c r="O390" s="13" t="str">
        <f t="shared" si="26"/>
        <v>Zhaduo Zhen (Yùshù Zàngzú Zìzhìzhōu)</v>
      </c>
      <c r="P390" s="13" t="str">
        <f t="shared" si="27"/>
        <v>Zhaduo Zhen (Yùshù Zàngzú Zìzhìzhōu)</v>
      </c>
    </row>
    <row r="391" spans="1:16" hidden="1" x14ac:dyDescent="0.25">
      <c r="A391" t="s">
        <v>858</v>
      </c>
      <c r="B391" t="str">
        <f t="shared" si="24"/>
        <v>Zhāhé Xiāng</v>
      </c>
      <c r="C391" t="str">
        <f t="shared" si="25"/>
        <v>Zhāhé Xiāng</v>
      </c>
      <c r="D391" t="s">
        <v>859</v>
      </c>
      <c r="E391" t="s">
        <v>7</v>
      </c>
      <c r="F391" t="str">
        <f>_xlfn.CONCAT(D391,", ",H391,", ",I391,", ","青海省")</f>
        <v>扎河乡, 治多县, 玉树藏族自治州, 青海省</v>
      </c>
      <c r="G391">
        <v>5204</v>
      </c>
      <c r="H391" t="s">
        <v>938</v>
      </c>
      <c r="I391" t="s">
        <v>932</v>
      </c>
      <c r="J391" t="e">
        <f>VLOOKUP(F391,[1]!china_towns_second__2[[Column1]:[Y]],3,FALSE)</f>
        <v>#N/A</v>
      </c>
      <c r="K391" t="e">
        <f>VLOOKUP(F391,[1]!china_towns_second__2[[Column1]:[Y]],2,FALSE)</f>
        <v>#N/A</v>
      </c>
      <c r="L391" t="s">
        <v>1502</v>
      </c>
      <c r="M391" t="str">
        <f>VLOOKUP(H391,CHOOSE({1,2},Table9[Native],Table9[Name]),2,0)</f>
        <v>Zhìduō Xiàn</v>
      </c>
      <c r="N391" s="13" t="str">
        <f>VLOOKUP(I391,CHOOSE({1,2},Table9[Native],Table9[Name]),2,0)</f>
        <v>Yùshù Zàngzú Zìzhìzhōu</v>
      </c>
      <c r="O391" s="13" t="str">
        <f t="shared" si="26"/>
        <v>Zhahe Xiang (Yùshù Zàngzú Zìzhìzhōu)</v>
      </c>
      <c r="P391" s="13" t="str">
        <f t="shared" si="27"/>
        <v>Zhahe Xiang (Yùshù Zàngzú Zìzhìzhōu)</v>
      </c>
    </row>
    <row r="392" spans="1:16" hidden="1" x14ac:dyDescent="0.25">
      <c r="A392" t="s">
        <v>95</v>
      </c>
      <c r="B392" t="str">
        <f t="shared" si="24"/>
        <v>Zhālínghú Xiāng</v>
      </c>
      <c r="C392" t="str">
        <f t="shared" si="25"/>
        <v>Zhālínghú Xiāng</v>
      </c>
      <c r="D392" t="s">
        <v>96</v>
      </c>
      <c r="E392" t="s">
        <v>7</v>
      </c>
      <c r="F392" t="str">
        <f>_xlfn.CONCAT(D392,", ",H392,", ",I392,", ","青海省")</f>
        <v>扎陵湖乡, 玛多县, 果洛藏族自治州, 青海省</v>
      </c>
      <c r="G392">
        <v>1245</v>
      </c>
      <c r="H392" t="s">
        <v>877</v>
      </c>
      <c r="I392" t="s">
        <v>871</v>
      </c>
      <c r="J392" t="e">
        <f>VLOOKUP(F392,[1]!china_towns_second__2[[Column1]:[Y]],3,FALSE)</f>
        <v>#N/A</v>
      </c>
      <c r="K392" t="e">
        <f>VLOOKUP(F392,[1]!china_towns_second__2[[Column1]:[Y]],2,FALSE)</f>
        <v>#N/A</v>
      </c>
      <c r="L392" t="s">
        <v>1503</v>
      </c>
      <c r="M392" t="str">
        <f>VLOOKUP(H392,CHOOSE({1,2},Table9[Native],Table9[Name]),2,0)</f>
        <v>Măduō Xiàn</v>
      </c>
      <c r="N392" s="13" t="str">
        <f>VLOOKUP(I392,CHOOSE({1,2},Table9[Native],Table9[Name]),2,0)</f>
        <v>Guŏluò Zàngzú Zìzhìzhōu</v>
      </c>
      <c r="O392" s="13" t="str">
        <f t="shared" si="26"/>
        <v>Zhalinghu Xiang (Guŏluò Zàngzú Zìzhìzhōu)</v>
      </c>
      <c r="P392" s="13" t="str">
        <f t="shared" si="27"/>
        <v>Zhalinghu Xiang (Guŏluò Zàngzú Zìzhìzhōu)</v>
      </c>
    </row>
    <row r="393" spans="1:16" hidden="1" x14ac:dyDescent="0.25">
      <c r="A393" t="s">
        <v>623</v>
      </c>
      <c r="B393" t="str">
        <f t="shared" si="24"/>
        <v>Zhāmáo Xiāng</v>
      </c>
      <c r="C393" t="str">
        <f t="shared" si="25"/>
        <v>Zhāmáo Xiāng</v>
      </c>
      <c r="D393" t="s">
        <v>624</v>
      </c>
      <c r="E393" t="s">
        <v>7</v>
      </c>
      <c r="F393" t="str">
        <f>_xlfn.CONCAT(D393,", ",H393,", ",I393,", ","青海省")</f>
        <v>扎毛乡, 同仁市, 黄南藏族自治州, 青海省</v>
      </c>
      <c r="G393">
        <v>4364</v>
      </c>
      <c r="H393" t="s">
        <v>920</v>
      </c>
      <c r="I393" t="s">
        <v>917</v>
      </c>
      <c r="J393" t="e">
        <f>VLOOKUP(F393,[1]!china_towns_second__2[[Column1]:[Y]],3,FALSE)</f>
        <v>#N/A</v>
      </c>
      <c r="K393" t="e">
        <f>VLOOKUP(F393,[1]!china_towns_second__2[[Column1]:[Y]],2,FALSE)</f>
        <v>#N/A</v>
      </c>
      <c r="L393" t="s">
        <v>1504</v>
      </c>
      <c r="M393" t="str">
        <f>VLOOKUP(H393,CHOOSE({1,2},Table9[Native],Table9[Name]),2,0)</f>
        <v>Tóngrén Shì</v>
      </c>
      <c r="N393" s="13" t="str">
        <f>VLOOKUP(I393,CHOOSE({1,2},Table9[Native],Table9[Name]),2,0)</f>
        <v>Huángnán Zàngzú Zìzhìzhōu</v>
      </c>
      <c r="O393" s="13" t="str">
        <f t="shared" si="26"/>
        <v>Zhamao Xiang (Huángnán Zàngzú Zìzhìzhōu)</v>
      </c>
      <c r="P393" s="13" t="str">
        <f t="shared" si="27"/>
        <v>Zhamao Xiang (Huángnán Zàngzú Zìzhìzhōu)</v>
      </c>
    </row>
    <row r="394" spans="1:16" hidden="1" x14ac:dyDescent="0.25">
      <c r="A394" t="s">
        <v>170</v>
      </c>
      <c r="B394" t="str">
        <f t="shared" si="24"/>
        <v>Zhāmáshí Xiāng</v>
      </c>
      <c r="C394" t="str">
        <f t="shared" si="25"/>
        <v>Zhāmáshí Xiāng</v>
      </c>
      <c r="D394" t="s">
        <v>171</v>
      </c>
      <c r="E394" t="s">
        <v>7</v>
      </c>
      <c r="F394" t="str">
        <f>_xlfn.CONCAT(D394,", ",H394,", ",I394,", ","青海省")</f>
        <v>扎麻什乡, 祁连县, 海北藏族自治州, 青海省</v>
      </c>
      <c r="G394">
        <v>3322</v>
      </c>
      <c r="H394" t="s">
        <v>885</v>
      </c>
      <c r="I394" t="s">
        <v>880</v>
      </c>
      <c r="J394" t="e">
        <f>VLOOKUP(F394,[1]!china_towns_second__2[[Column1]:[Y]],3,FALSE)</f>
        <v>#N/A</v>
      </c>
      <c r="K394" t="e">
        <f>VLOOKUP(F394,[1]!china_towns_second__2[[Column1]:[Y]],2,FALSE)</f>
        <v>#N/A</v>
      </c>
      <c r="L394" t="s">
        <v>1505</v>
      </c>
      <c r="M394" t="str">
        <f>VLOOKUP(H394,CHOOSE({1,2},Table9[Native],Table9[Name]),2,0)</f>
        <v>Qílián Xiàn</v>
      </c>
      <c r="N394" s="13" t="str">
        <f>VLOOKUP(I394,CHOOSE({1,2},Table9[Native],Table9[Name]),2,0)</f>
        <v>Hăibĕi Zàngzú Zìzhìzhōu</v>
      </c>
      <c r="O394" s="13" t="str">
        <f t="shared" si="26"/>
        <v>Zhamashi Xiang (Hăibĕi Zàngzú Zìzhìzhōu)</v>
      </c>
      <c r="P394" s="13" t="str">
        <f t="shared" si="27"/>
        <v>Zhamashi Xiang (Hăibĕi Zàngzú Zìzhìzhōu)</v>
      </c>
    </row>
    <row r="395" spans="1:16" hidden="1" x14ac:dyDescent="0.25">
      <c r="A395" t="s">
        <v>860</v>
      </c>
      <c r="B395" t="str">
        <f t="shared" si="24"/>
        <v>Zhāqīng Xiāng</v>
      </c>
      <c r="C395" t="str">
        <f t="shared" si="25"/>
        <v>Zhāqīng Xiāng</v>
      </c>
      <c r="D395" t="s">
        <v>861</v>
      </c>
      <c r="E395" t="s">
        <v>7</v>
      </c>
      <c r="F395" t="str">
        <f>_xlfn.CONCAT(D395,", ",H395,", ",I395,", ","青海省")</f>
        <v>扎青乡, 杂多县, 玉树藏族自治州, 青海省</v>
      </c>
      <c r="G395">
        <v>4770</v>
      </c>
      <c r="H395" t="s">
        <v>937</v>
      </c>
      <c r="I395" t="s">
        <v>932</v>
      </c>
      <c r="J395" t="e">
        <f>VLOOKUP(F395,[1]!china_towns_second__2[[Column1]:[Y]],3,FALSE)</f>
        <v>#N/A</v>
      </c>
      <c r="K395" t="e">
        <f>VLOOKUP(F395,[1]!china_towns_second__2[[Column1]:[Y]],2,FALSE)</f>
        <v>#N/A</v>
      </c>
      <c r="L395" t="s">
        <v>1506</v>
      </c>
      <c r="M395" t="str">
        <f>VLOOKUP(H395,CHOOSE({1,2},Table9[Native],Table9[Name]),2,0)</f>
        <v>Záduō Xiàn</v>
      </c>
      <c r="N395" s="13" t="str">
        <f>VLOOKUP(I395,CHOOSE({1,2},Table9[Native],Table9[Name]),2,0)</f>
        <v>Yùshù Zàngzú Zìzhìzhōu</v>
      </c>
      <c r="O395" s="13" t="str">
        <f t="shared" si="26"/>
        <v>Zhaqing Xiang (Yùshù Zàngzú Zìzhìzhōu)</v>
      </c>
      <c r="P395" s="13" t="str">
        <f t="shared" si="27"/>
        <v>Zhaqing Xiang (Yùshù Zàngzú Zìzhìzhōu)</v>
      </c>
    </row>
    <row r="396" spans="1:16" x14ac:dyDescent="0.25">
      <c r="A396" t="s">
        <v>862</v>
      </c>
      <c r="B396" t="str">
        <f t="shared" si="24"/>
        <v>Zhēnqín Zhèn</v>
      </c>
      <c r="C396" t="str">
        <f t="shared" si="25"/>
        <v>Zhēnqín Zhèn</v>
      </c>
      <c r="D396" t="s">
        <v>863</v>
      </c>
      <c r="E396" t="s">
        <v>19</v>
      </c>
      <c r="F396" t="str">
        <f>_xlfn.CONCAT(D396,", ",H396,", ",I396,", ","青海省")</f>
        <v>珍秦镇, 称多县, 玉树藏族自治州, 青海省</v>
      </c>
      <c r="G396">
        <v>11304</v>
      </c>
      <c r="H396" t="s">
        <v>933</v>
      </c>
      <c r="I396" t="s">
        <v>932</v>
      </c>
      <c r="J396">
        <f>VLOOKUP(F396,[1]!china_towns_second__2[[Column1]:[Y]],3,FALSE)</f>
        <v>33.516072404348101</v>
      </c>
      <c r="K396">
        <f>VLOOKUP(F396,[1]!china_towns_second__2[[Column1]:[Y]],2,FALSE)</f>
        <v>97.355373749999998</v>
      </c>
      <c r="L396" t="s">
        <v>1507</v>
      </c>
      <c r="M396" t="str">
        <f>VLOOKUP(H396,CHOOSE({1,2},Table9[Native],Table9[Name]),2,0)</f>
        <v>Chēngduō Xiàn</v>
      </c>
      <c r="N396" s="13" t="str">
        <f>VLOOKUP(I396,CHOOSE({1,2},Table9[Native],Table9[Name]),2,0)</f>
        <v>Yùshù Zàngzú Zìzhìzhōu</v>
      </c>
      <c r="O396" s="13" t="str">
        <f t="shared" si="26"/>
        <v>Zhenqin Zhen (Yùshù Zàngzú Zìzhìzhōu)</v>
      </c>
      <c r="P396" s="13" t="str">
        <f t="shared" si="27"/>
        <v>Zhenqin Zhen (Yùshù Zàngzú Zìzhìzhōu)</v>
      </c>
    </row>
    <row r="397" spans="1:16" hidden="1" x14ac:dyDescent="0.25">
      <c r="A397" t="s">
        <v>864</v>
      </c>
      <c r="B397" t="str">
        <f t="shared" si="24"/>
        <v>Zhexiăo Xiāng</v>
      </c>
      <c r="C397" t="str">
        <f t="shared" si="25"/>
        <v>Zhexiăo Xiāng</v>
      </c>
      <c r="D397" t="s">
        <v>865</v>
      </c>
      <c r="E397" t="s">
        <v>7</v>
      </c>
      <c r="F397" t="str">
        <f>_xlfn.CONCAT(D397,", ",H397,", ",I397,", ","青海省")</f>
        <v>着晓乡, 囊谦县, 玉树藏族自治州, 青海省</v>
      </c>
      <c r="G397">
        <v>6146</v>
      </c>
      <c r="H397" t="s">
        <v>934</v>
      </c>
      <c r="I397" t="s">
        <v>932</v>
      </c>
      <c r="J397" t="e">
        <f>VLOOKUP(F397,[1]!china_towns_second__2[[Column1]:[Y]],3,FALSE)</f>
        <v>#N/A</v>
      </c>
      <c r="K397" t="e">
        <f>VLOOKUP(F397,[1]!china_towns_second__2[[Column1]:[Y]],2,FALSE)</f>
        <v>#N/A</v>
      </c>
      <c r="L397" t="s">
        <v>1508</v>
      </c>
      <c r="M397" t="str">
        <f>VLOOKUP(H397,CHOOSE({1,2},Table9[Native],Table9[Name]),2,0)</f>
        <v>Nángqiān Xiàn</v>
      </c>
      <c r="N397" s="13" t="str">
        <f>VLOOKUP(I397,CHOOSE({1,2},Table9[Native],Table9[Name]),2,0)</f>
        <v>Yùshù Zàngzú Zìzhìzhōu</v>
      </c>
      <c r="O397" s="13" t="str">
        <f t="shared" si="26"/>
        <v>Zhexiao Xiang (Yùshù Zàngzú Zìzhìzhōu)</v>
      </c>
      <c r="P397" s="13" t="str">
        <f t="shared" si="27"/>
        <v>Zhexiao Xiang (Yùshù Zàngzú Zìzhìzhōu)</v>
      </c>
    </row>
    <row r="398" spans="1:16" hidden="1" x14ac:dyDescent="0.25">
      <c r="A398" t="s">
        <v>551</v>
      </c>
      <c r="B398" t="str">
        <f t="shared" si="24"/>
        <v>Zhīhémă Xiāng</v>
      </c>
      <c r="C398" t="str">
        <f t="shared" si="25"/>
        <v>Zhīhémă Xiāng</v>
      </c>
      <c r="D398" t="s">
        <v>552</v>
      </c>
      <c r="E398" t="s">
        <v>7</v>
      </c>
      <c r="F398" t="str">
        <f>_xlfn.CONCAT(D398,", ",H398,", ",I398,", ","青海省")</f>
        <v>织合玛乡, 天峻县, 海西蒙古族藏族自治州, 青海省</v>
      </c>
      <c r="G398">
        <v>1551</v>
      </c>
      <c r="H398" t="s">
        <v>914</v>
      </c>
      <c r="I398" t="s">
        <v>905</v>
      </c>
      <c r="J398" t="e">
        <f>VLOOKUP(F398,[1]!china_towns_second__2[[Column1]:[Y]],3,FALSE)</f>
        <v>#N/A</v>
      </c>
      <c r="K398" t="e">
        <f>VLOOKUP(F398,[1]!china_towns_second__2[[Column1]:[Y]],2,FALSE)</f>
        <v>#N/A</v>
      </c>
      <c r="L398" t="s">
        <v>1509</v>
      </c>
      <c r="M398" t="str">
        <f>VLOOKUP(H398,CHOOSE({1,2},Table9[Native],Table9[Name]),2,0)</f>
        <v>Tiānjùn Xiàn</v>
      </c>
      <c r="N398" s="13" t="str">
        <f>VLOOKUP(I398,CHOOSE({1,2},Table9[Native],Table9[Name]),2,0)</f>
        <v>Hăixī Mĕnggŭzú Zàngzú Zìzhìzhōu</v>
      </c>
      <c r="O398" s="13" t="str">
        <f t="shared" si="26"/>
        <v>Zhihema Xiang (Hăixī Mĕnggŭzú Zàngzú Zìzhìzhōu)</v>
      </c>
      <c r="P398" s="13" t="str">
        <f t="shared" si="27"/>
        <v>Zhihema Xiang (Hăixī Mĕnggŭzú Zàngzú Zìzhìzhōu)</v>
      </c>
    </row>
    <row r="399" spans="1:16" hidden="1" x14ac:dyDescent="0.25">
      <c r="A399" t="s">
        <v>99</v>
      </c>
      <c r="B399" t="str">
        <f t="shared" si="24"/>
        <v>Zhīqīn Xiāng</v>
      </c>
      <c r="C399" t="str">
        <f t="shared" si="25"/>
        <v>Zhīqīn Xiāng</v>
      </c>
      <c r="D399" t="s">
        <v>100</v>
      </c>
      <c r="E399" t="s">
        <v>7</v>
      </c>
      <c r="F399" t="str">
        <f>_xlfn.CONCAT(D399,", ",H399,", ",I399,", ","青海省")</f>
        <v>知钦乡, 班玛县, 果洛藏族自治州, 青海省</v>
      </c>
      <c r="G399">
        <v>2349</v>
      </c>
      <c r="H399" t="s">
        <v>873</v>
      </c>
      <c r="I399" t="s">
        <v>871</v>
      </c>
      <c r="J399" t="e">
        <f>VLOOKUP(F399,[1]!china_towns_second__2[[Column1]:[Y]],3,FALSE)</f>
        <v>#N/A</v>
      </c>
      <c r="K399" t="e">
        <f>VLOOKUP(F399,[1]!china_towns_second__2[[Column1]:[Y]],2,FALSE)</f>
        <v>#N/A</v>
      </c>
      <c r="L399" t="s">
        <v>1510</v>
      </c>
      <c r="M399" t="str">
        <f>VLOOKUP(H399,CHOOSE({1,2},Table9[Native],Table9[Name]),2,0)</f>
        <v>Bānmă Xiàn</v>
      </c>
      <c r="N399" s="13" t="str">
        <f>VLOOKUP(I399,CHOOSE({1,2},Table9[Native],Table9[Name]),2,0)</f>
        <v>Guŏluò Zàngzú Zìzhìzhōu</v>
      </c>
      <c r="O399" s="13" t="str">
        <f t="shared" si="26"/>
        <v>Zhiqin Xiang (Guŏluò Zàngzú Zìzhìzhōu)</v>
      </c>
      <c r="P399" s="13" t="str">
        <f t="shared" si="27"/>
        <v>Zhiqin Xiang (Guŏluò Zàngzú Zìzhìzhōu)</v>
      </c>
    </row>
    <row r="400" spans="1:16" x14ac:dyDescent="0.25">
      <c r="A400" t="s">
        <v>97</v>
      </c>
      <c r="B400" t="str">
        <f t="shared" si="24"/>
        <v>Zhìqīng Sōngduō Zhèn</v>
      </c>
      <c r="C400" t="str">
        <f t="shared" si="25"/>
        <v>Zhìqīng Sōngduō Zhèn</v>
      </c>
      <c r="D400" t="s">
        <v>98</v>
      </c>
      <c r="E400" t="s">
        <v>19</v>
      </c>
      <c r="F400" t="str">
        <f>_xlfn.CONCAT(D400,", ",H400,", ",I400,", ","青海省")</f>
        <v>智青松多镇, 久治县, 果洛藏族自治州, 青海省</v>
      </c>
      <c r="G400">
        <v>6834</v>
      </c>
      <c r="H400" t="s">
        <v>876</v>
      </c>
      <c r="I400" t="s">
        <v>871</v>
      </c>
      <c r="J400">
        <f>VLOOKUP(F400,[1]!china_towns_second__2[[Column1]:[Y]],3,FALSE)</f>
        <v>33.420998394987897</v>
      </c>
      <c r="K400">
        <f>VLOOKUP(F400,[1]!china_towns_second__2[[Column1]:[Y]],2,FALSE)</f>
        <v>101.5113344</v>
      </c>
      <c r="L400" t="s">
        <v>1511</v>
      </c>
      <c r="M400" t="str">
        <f>VLOOKUP(H400,CHOOSE({1,2},Table9[Native],Table9[Name]),2,0)</f>
        <v>Jiŭzhì Xiàn</v>
      </c>
      <c r="N400" s="13" t="str">
        <f>VLOOKUP(I400,CHOOSE({1,2},Table9[Native],Table9[Name]),2,0)</f>
        <v>Guŏluò Zàngzú Zìzhìzhōu</v>
      </c>
      <c r="O400" s="13" t="str">
        <f t="shared" si="26"/>
        <v>Zhiqing Songduo Zhen (Guŏluò Zàngzú Zìzhìzhōu)</v>
      </c>
      <c r="P400" s="13" t="str">
        <f t="shared" si="27"/>
        <v>Zhiqing Songduo Zhen (Guŏluò Zàngzú Zìzhìzhōu)</v>
      </c>
    </row>
    <row r="401" spans="1:16" hidden="1" x14ac:dyDescent="0.25">
      <c r="A401" t="s">
        <v>866</v>
      </c>
      <c r="B401" t="str">
        <f t="shared" si="24"/>
        <v>Zhìqú Xiāng</v>
      </c>
      <c r="C401" t="str">
        <f t="shared" si="25"/>
        <v>Zhìqú Xiāng</v>
      </c>
      <c r="D401" t="s">
        <v>867</v>
      </c>
      <c r="E401" t="s">
        <v>7</v>
      </c>
      <c r="F401" t="str">
        <f>_xlfn.CONCAT(D401,", ",H401,", ",I401,", ","青海省")</f>
        <v>治渠乡, 治多县, 玉树藏族自治州, 青海省</v>
      </c>
      <c r="G401">
        <v>2730</v>
      </c>
      <c r="H401" t="s">
        <v>938</v>
      </c>
      <c r="I401" t="s">
        <v>932</v>
      </c>
      <c r="J401" t="e">
        <f>VLOOKUP(F401,[1]!china_towns_second__2[[Column1]:[Y]],3,FALSE)</f>
        <v>#N/A</v>
      </c>
      <c r="K401" t="e">
        <f>VLOOKUP(F401,[1]!china_towns_second__2[[Column1]:[Y]],2,FALSE)</f>
        <v>#N/A</v>
      </c>
      <c r="L401" t="s">
        <v>1512</v>
      </c>
      <c r="M401" t="str">
        <f>VLOOKUP(H401,CHOOSE({1,2},Table9[Native],Table9[Name]),2,0)</f>
        <v>Zhìduō Xiàn</v>
      </c>
      <c r="N401" s="13" t="str">
        <f>VLOOKUP(I401,CHOOSE({1,2},Table9[Native],Table9[Name]),2,0)</f>
        <v>Yùshù Zàngzú Zìzhìzhōu</v>
      </c>
      <c r="O401" s="13" t="str">
        <f t="shared" si="26"/>
        <v>Zhiqu Xiang (Yùshù Zàngzú Zìzhìzhōu)</v>
      </c>
      <c r="P401" s="13" t="str">
        <f t="shared" si="27"/>
        <v>Zhiqu Xiang (Yùshù Zàngzú Zìzhìzhōu)</v>
      </c>
    </row>
    <row r="402" spans="1:16" hidden="1" x14ac:dyDescent="0.25">
      <c r="A402" t="s">
        <v>360</v>
      </c>
      <c r="B402" t="str">
        <f t="shared" si="24"/>
        <v>Zhōngbà Xiāng</v>
      </c>
      <c r="C402" t="str">
        <f t="shared" si="25"/>
        <v>Zhōngbà Xiāng</v>
      </c>
      <c r="D402" t="s">
        <v>361</v>
      </c>
      <c r="E402" t="s">
        <v>7</v>
      </c>
      <c r="F402" t="str">
        <f>_xlfn.CONCAT(D402,", ",H402,", ",I402,", ","青海省")</f>
        <v>中坝乡, 乐都区, 海东市, 青海省</v>
      </c>
      <c r="G402">
        <v>6689</v>
      </c>
      <c r="H402" t="s">
        <v>892</v>
      </c>
      <c r="I402" t="s">
        <v>888</v>
      </c>
      <c r="J402" t="e">
        <f>VLOOKUP(F402,[1]!china_towns_second__2[[Column1]:[Y]],3,FALSE)</f>
        <v>#N/A</v>
      </c>
      <c r="K402" t="e">
        <f>VLOOKUP(F402,[1]!china_towns_second__2[[Column1]:[Y]],2,FALSE)</f>
        <v>#N/A</v>
      </c>
      <c r="L402" t="s">
        <v>1513</v>
      </c>
      <c r="M402" t="str">
        <f>VLOOKUP(H402,CHOOSE({1,2},Table9[Native],Table9[Name]),2,0)</f>
        <v>Lèdū Qū</v>
      </c>
      <c r="N402" s="13" t="str">
        <f>VLOOKUP(I402,CHOOSE({1,2},Table9[Native],Table9[Name]),2,0)</f>
        <v>Hăidōng Shì</v>
      </c>
      <c r="O402" s="13" t="str">
        <f t="shared" si="26"/>
        <v>Zhongba Xiang (Hăidōng Shì)</v>
      </c>
      <c r="P402" s="13" t="str">
        <f t="shared" si="27"/>
        <v>Zhongba Xiang (Hăidōng Shì)</v>
      </c>
    </row>
    <row r="403" spans="1:16" hidden="1" x14ac:dyDescent="0.25">
      <c r="A403" t="s">
        <v>362</v>
      </c>
      <c r="B403" t="str">
        <f t="shared" si="24"/>
        <v>Zhōngchuān Xiāng</v>
      </c>
      <c r="C403" t="str">
        <f t="shared" si="25"/>
        <v>Zhōngchuān Xiāng</v>
      </c>
      <c r="D403" t="s">
        <v>363</v>
      </c>
      <c r="E403" t="s">
        <v>7</v>
      </c>
      <c r="F403" t="str">
        <f>_xlfn.CONCAT(D403,", ",H403,", ",I403,", ","青海省")</f>
        <v>中川乡, 民和回族土族自治县, 海东市, 青海省</v>
      </c>
      <c r="G403">
        <v>24130</v>
      </c>
      <c r="H403" t="s">
        <v>893</v>
      </c>
      <c r="I403" t="s">
        <v>888</v>
      </c>
      <c r="J403" t="e">
        <f>VLOOKUP(F403,[1]!china_towns_second__2[[Column1]:[Y]],3,FALSE)</f>
        <v>#N/A</v>
      </c>
      <c r="K403" t="e">
        <f>VLOOKUP(F403,[1]!china_towns_second__2[[Column1]:[Y]],2,FALSE)</f>
        <v>#N/A</v>
      </c>
      <c r="L403" t="s">
        <v>1514</v>
      </c>
      <c r="M403" t="str">
        <f>VLOOKUP(H403,CHOOSE({1,2},Table9[Native],Table9[Name]),2,0)</f>
        <v>Mínhé Huízú Tŭzú Zìzhìxiàn</v>
      </c>
      <c r="N403" s="13" t="str">
        <f>VLOOKUP(I403,CHOOSE({1,2},Table9[Native],Table9[Name]),2,0)</f>
        <v>Hăidōng Shì</v>
      </c>
      <c r="O403" s="13" t="str">
        <f t="shared" si="26"/>
        <v>Zhongchuan Xiang (Hăidōng Shì)</v>
      </c>
      <c r="P403" s="13" t="str">
        <f t="shared" si="27"/>
        <v>Zhongchuan Xiang (Hăidōng Shì)</v>
      </c>
    </row>
    <row r="404" spans="1:16" hidden="1" x14ac:dyDescent="0.25">
      <c r="A404" t="s">
        <v>868</v>
      </c>
      <c r="B404" t="str">
        <f t="shared" si="24"/>
        <v>Zhòngdá Xiāng</v>
      </c>
      <c r="C404" t="str">
        <f t="shared" si="25"/>
        <v>Zhòngdá Xiāng</v>
      </c>
      <c r="D404" t="s">
        <v>869</v>
      </c>
      <c r="E404" t="s">
        <v>7</v>
      </c>
      <c r="F404" t="str">
        <f>_xlfn.CONCAT(D404,", ",H404,", ",I404,", ","青海省")</f>
        <v>仲达乡, 玉树市, 玉树藏族自治州, 青海省</v>
      </c>
      <c r="G404">
        <v>3597</v>
      </c>
      <c r="H404" t="s">
        <v>936</v>
      </c>
      <c r="I404" t="s">
        <v>932</v>
      </c>
      <c r="J404" t="e">
        <f>VLOOKUP(F404,[1]!china_towns_second__2[[Column1]:[Y]],3,FALSE)</f>
        <v>#N/A</v>
      </c>
      <c r="K404" t="e">
        <f>VLOOKUP(F404,[1]!china_towns_second__2[[Column1]:[Y]],2,FALSE)</f>
        <v>#N/A</v>
      </c>
      <c r="L404" t="s">
        <v>1515</v>
      </c>
      <c r="M404" t="str">
        <f>VLOOKUP(H404,CHOOSE({1,2},Table9[Native],Table9[Name]),2,0)</f>
        <v>Yùshù Shì</v>
      </c>
      <c r="N404" s="13" t="str">
        <f>VLOOKUP(I404,CHOOSE({1,2},Table9[Native],Table9[Name]),2,0)</f>
        <v>Yùshù Zàngzú Zìzhìzhōu</v>
      </c>
      <c r="O404" s="13" t="str">
        <f t="shared" si="26"/>
        <v>Zhongda Xiang (Yùshù Zàngzú Zìzhìzhōu)</v>
      </c>
      <c r="P404" s="13" t="str">
        <f t="shared" si="27"/>
        <v>Zhongda Xiang (Yùshù Zàngzú Zìzhìzhōu)</v>
      </c>
    </row>
    <row r="405" spans="1:16" hidden="1" x14ac:dyDescent="0.25">
      <c r="A405" t="s">
        <v>364</v>
      </c>
      <c r="B405" t="str">
        <f t="shared" si="24"/>
        <v>Zhōnglĭng Xiāng</v>
      </c>
      <c r="C405" t="str">
        <f t="shared" si="25"/>
        <v>Zhōnglĭng Xiāng</v>
      </c>
      <c r="D405" t="s">
        <v>365</v>
      </c>
      <c r="E405" t="s">
        <v>7</v>
      </c>
      <c r="F405" t="str">
        <f>_xlfn.CONCAT(D405,", ",H405,", ",I405,", ","青海省")</f>
        <v>中岭乡, 乐都区, 海东市, 青海省</v>
      </c>
      <c r="G405">
        <v>5823</v>
      </c>
      <c r="H405" t="s">
        <v>892</v>
      </c>
      <c r="I405" t="s">
        <v>888</v>
      </c>
      <c r="J405" t="e">
        <f>VLOOKUP(F405,[1]!china_towns_second__2[[Column1]:[Y]],3,FALSE)</f>
        <v>#N/A</v>
      </c>
      <c r="K405" t="e">
        <f>VLOOKUP(F405,[1]!china_towns_second__2[[Column1]:[Y]],2,FALSE)</f>
        <v>#N/A</v>
      </c>
      <c r="L405" t="s">
        <v>1516</v>
      </c>
      <c r="M405" t="str">
        <f>VLOOKUP(H405,CHOOSE({1,2},Table9[Native],Table9[Name]),2,0)</f>
        <v>Lèdū Qū</v>
      </c>
      <c r="N405" s="13" t="str">
        <f>VLOOKUP(I405,CHOOSE({1,2},Table9[Native],Table9[Name]),2,0)</f>
        <v>Hăidōng Shì</v>
      </c>
      <c r="O405" s="13" t="str">
        <f t="shared" si="26"/>
        <v>Zhongling Xiang (Hăidōng Shì)</v>
      </c>
      <c r="P405" s="13" t="str">
        <f t="shared" si="27"/>
        <v>Zhongling Xiang (Hăidōng Shì)</v>
      </c>
    </row>
    <row r="406" spans="1:16" hidden="1" x14ac:dyDescent="0.25">
      <c r="A406" t="s">
        <v>455</v>
      </c>
      <c r="B406" t="str">
        <f t="shared" si="24"/>
        <v>Zhōngtiĕ Xiāng</v>
      </c>
      <c r="C406" t="str">
        <f t="shared" si="25"/>
        <v>Zhōngtiĕ Xiāng</v>
      </c>
      <c r="D406" t="s">
        <v>456</v>
      </c>
      <c r="E406" t="s">
        <v>7</v>
      </c>
      <c r="F406" t="str">
        <f>_xlfn.CONCAT(D406,", ",H406,", ",I406,", ","青海省")</f>
        <v>中铁乡, 兴海县, 海南藏族自治州, 青海省</v>
      </c>
      <c r="G406">
        <v>6548</v>
      </c>
      <c r="H406" t="s">
        <v>902</v>
      </c>
      <c r="I406" t="s">
        <v>897</v>
      </c>
      <c r="J406" t="e">
        <f>VLOOKUP(F406,[1]!china_towns_second__2[[Column1]:[Y]],3,FALSE)</f>
        <v>#N/A</v>
      </c>
      <c r="K406" t="e">
        <f>VLOOKUP(F406,[1]!china_towns_second__2[[Column1]:[Y]],2,FALSE)</f>
        <v>#N/A</v>
      </c>
      <c r="L406" t="s">
        <v>1517</v>
      </c>
      <c r="M406" t="str">
        <f>VLOOKUP(H406,CHOOSE({1,2},Table9[Native],Table9[Name]),2,0)</f>
        <v>Xīnghăi Xiàn</v>
      </c>
      <c r="N406" s="13" t="str">
        <f>VLOOKUP(I406,CHOOSE({1,2},Table9[Native],Table9[Name]),2,0)</f>
        <v>Hăinán Zàngzú Zìzhìzhōu</v>
      </c>
      <c r="O406" s="13" t="str">
        <f t="shared" si="26"/>
        <v>Zhongtie Xiang (Hăinán Zàngzú Zìzhìzhōu)</v>
      </c>
      <c r="P406" s="13" t="str">
        <f t="shared" si="27"/>
        <v>Zhongtie Xiang (Hăinán Zàngzú Zìzhìzhōu)</v>
      </c>
    </row>
    <row r="407" spans="1:16" hidden="1" x14ac:dyDescent="0.25">
      <c r="A407" t="s">
        <v>768</v>
      </c>
      <c r="B407" t="str">
        <f t="shared" si="24"/>
        <v>Zhōujiāquán Jiēdào</v>
      </c>
      <c r="C407" t="str">
        <f t="shared" si="25"/>
        <v>Zhōujiāquán Jiēdào</v>
      </c>
      <c r="D407" t="s">
        <v>769</v>
      </c>
      <c r="E407" t="s">
        <v>488</v>
      </c>
      <c r="F407" t="str">
        <f>_xlfn.CONCAT(D407,", ",H407,", ",I407,", ","青海省")</f>
        <v>周家泉街道, 城东区, 西宁市, 青海省</v>
      </c>
      <c r="G407">
        <v>29871</v>
      </c>
      <c r="H407" t="s">
        <v>925</v>
      </c>
      <c r="I407" t="s">
        <v>923</v>
      </c>
      <c r="J407">
        <f>VLOOKUP(F407,[1]!china_towns_second__2[[Column1]:[Y]],3,FALSE)</f>
        <v>36.613608603292398</v>
      </c>
      <c r="K407">
        <f>VLOOKUP(F407,[1]!china_towns_second__2[[Column1]:[Y]],2,FALSE)</f>
        <v>101.8073405</v>
      </c>
      <c r="L407" t="s">
        <v>1518</v>
      </c>
      <c r="M407" t="str">
        <f>VLOOKUP(H407,CHOOSE({1,2},Table9[Native],Table9[Name]),2,0)</f>
        <v>Chéngdōng Qū</v>
      </c>
      <c r="N407" s="13" t="str">
        <f>VLOOKUP(I407,CHOOSE({1,2},Table9[Native],Table9[Name]),2,0)</f>
        <v>Xīníng Shì</v>
      </c>
      <c r="O407" s="13" t="str">
        <f t="shared" si="26"/>
        <v>Zhoujiaquan Jiedao (Xīníng Shì)</v>
      </c>
      <c r="P407" s="13" t="str">
        <f t="shared" si="27"/>
        <v>Zhoujiaquan Jiedao (Xīníng Shì)</v>
      </c>
    </row>
    <row r="408" spans="1:16" hidden="1" x14ac:dyDescent="0.25">
      <c r="A408" t="s">
        <v>553</v>
      </c>
      <c r="B408" t="str">
        <f t="shared" si="24"/>
        <v>Zhōuqún Xiāng</v>
      </c>
      <c r="C408" t="str">
        <f t="shared" si="25"/>
        <v>Zhōuqún Xiāng</v>
      </c>
      <c r="D408" t="s">
        <v>554</v>
      </c>
      <c r="E408" t="s">
        <v>7</v>
      </c>
      <c r="F408" t="str">
        <f>_xlfn.CONCAT(D408,", ",H408,", ",I408,", ","青海省")</f>
        <v>舟群乡, 天峻县, 海西蒙古族藏族自治州, 青海省</v>
      </c>
      <c r="G408">
        <v>1044</v>
      </c>
      <c r="H408" t="s">
        <v>914</v>
      </c>
      <c r="I408" t="s">
        <v>905</v>
      </c>
      <c r="J408" t="e">
        <f>VLOOKUP(F408,[1]!china_towns_second__2[[Column1]:[Y]],3,FALSE)</f>
        <v>#N/A</v>
      </c>
      <c r="K408" t="e">
        <f>VLOOKUP(F408,[1]!china_towns_second__2[[Column1]:[Y]],2,FALSE)</f>
        <v>#N/A</v>
      </c>
      <c r="L408" t="s">
        <v>1519</v>
      </c>
      <c r="M408" t="str">
        <f>VLOOKUP(H408,CHOOSE({1,2},Table9[Native],Table9[Name]),2,0)</f>
        <v>Tiānjùn Xiàn</v>
      </c>
      <c r="N408" s="13" t="str">
        <f>VLOOKUP(I408,CHOOSE({1,2},Table9[Native],Table9[Name]),2,0)</f>
        <v>Hăixī Mĕnggŭzú Zàngzú Zìzhìzhōu</v>
      </c>
      <c r="O408" s="13" t="str">
        <f t="shared" si="26"/>
        <v>Zhouqun Xiang (Hăixī Mĕnggŭzú Zàngzú Zìzhìzhōu)</v>
      </c>
      <c r="P408" s="13" t="str">
        <f t="shared" si="27"/>
        <v>Zhouqun Xiang (Hăixī Mĕnggŭzú Zàngzú Zìzhìzhōu)</v>
      </c>
    </row>
    <row r="409" spans="1:16" hidden="1" x14ac:dyDescent="0.25">
      <c r="A409" t="s">
        <v>366</v>
      </c>
      <c r="B409" t="str">
        <f t="shared" si="24"/>
        <v>Zhuăndăo Xiāng</v>
      </c>
      <c r="C409" t="str">
        <f t="shared" si="25"/>
        <v>Zhuăndăo Xiāng</v>
      </c>
      <c r="D409" t="s">
        <v>367</v>
      </c>
      <c r="E409" t="s">
        <v>7</v>
      </c>
      <c r="F409" t="str">
        <f>_xlfn.CONCAT(D409,", ",H409,", ",I409,", ","青海省")</f>
        <v>转导乡, 民和回族土族自治县, 海东市, 青海省</v>
      </c>
      <c r="G409">
        <v>15074</v>
      </c>
      <c r="H409" t="s">
        <v>893</v>
      </c>
      <c r="I409" t="s">
        <v>888</v>
      </c>
      <c r="J409" t="e">
        <f>VLOOKUP(F409,[1]!china_towns_second__2[[Column1]:[Y]],3,FALSE)</f>
        <v>#N/A</v>
      </c>
      <c r="K409" t="e">
        <f>VLOOKUP(F409,[1]!china_towns_second__2[[Column1]:[Y]],2,FALSE)</f>
        <v>#N/A</v>
      </c>
      <c r="L409" t="s">
        <v>1520</v>
      </c>
      <c r="M409" t="str">
        <f>VLOOKUP(H409,CHOOSE({1,2},Table9[Native],Table9[Name]),2,0)</f>
        <v>Mínhé Huízú Tŭzú Zìzhìxiàn</v>
      </c>
      <c r="N409" s="13" t="str">
        <f>VLOOKUP(I409,CHOOSE({1,2},Table9[Native],Table9[Name]),2,0)</f>
        <v>Hăidōng Shì</v>
      </c>
      <c r="O409" s="13" t="str">
        <f t="shared" si="26"/>
        <v>Zhuandao Xiang (Hăidōng Shì)</v>
      </c>
      <c r="P409" s="13" t="str">
        <f t="shared" si="27"/>
        <v>Zhuandao Xiang (Hăidōng Shì)</v>
      </c>
    </row>
    <row r="410" spans="1:16" hidden="1" x14ac:dyDescent="0.25">
      <c r="A410" t="s">
        <v>172</v>
      </c>
      <c r="B410" t="str">
        <f t="shared" si="24"/>
        <v>Zhūgù Xiāng</v>
      </c>
      <c r="C410" t="str">
        <f t="shared" si="25"/>
        <v>Zhūgù Xiāng</v>
      </c>
      <c r="D410" t="s">
        <v>173</v>
      </c>
      <c r="E410" t="s">
        <v>7</v>
      </c>
      <c r="F410" t="str">
        <f>_xlfn.CONCAT(D410,", ",H410,", ",I410,", ","青海省")</f>
        <v>珠固乡, 门源回族自治县, 海北藏族自治州, 青海省</v>
      </c>
      <c r="G410">
        <v>4727</v>
      </c>
      <c r="H410" t="s">
        <v>884</v>
      </c>
      <c r="I410" t="s">
        <v>880</v>
      </c>
      <c r="J410" t="e">
        <f>VLOOKUP(F410,[1]!china_towns_second__2[[Column1]:[Y]],3,FALSE)</f>
        <v>#N/A</v>
      </c>
      <c r="K410" t="e">
        <f>VLOOKUP(F410,[1]!china_towns_second__2[[Column1]:[Y]],2,FALSE)</f>
        <v>#N/A</v>
      </c>
      <c r="L410" t="s">
        <v>1521</v>
      </c>
      <c r="M410" t="str">
        <f>VLOOKUP(H410,CHOOSE({1,2},Table9[Native],Table9[Name]),2,0)</f>
        <v>Ményuán Huízú Zìzhìxiàn</v>
      </c>
      <c r="N410" s="13" t="str">
        <f>VLOOKUP(I410,CHOOSE({1,2},Table9[Native],Table9[Name]),2,0)</f>
        <v>Hăibĕi Zàngzú Zìzhìzhōu</v>
      </c>
      <c r="O410" s="13" t="str">
        <f t="shared" si="26"/>
        <v>Zhugu Xiang (Hăibĕi Zàngzú Zìzhìzhōu)</v>
      </c>
      <c r="P410" s="13" t="str">
        <f t="shared" si="27"/>
        <v>Zhugu Xiang (Hăibĕi Zàngzú Zìzhìzhōu)</v>
      </c>
    </row>
    <row r="411" spans="1:16" x14ac:dyDescent="0.25">
      <c r="A411" t="s">
        <v>457</v>
      </c>
      <c r="B411" t="str">
        <f t="shared" si="24"/>
        <v>Zikētān Zhèn</v>
      </c>
      <c r="C411" t="str">
        <f t="shared" si="25"/>
        <v>Zikētān Zhèn</v>
      </c>
      <c r="D411" t="s">
        <v>458</v>
      </c>
      <c r="E411" t="s">
        <v>19</v>
      </c>
      <c r="F411" t="str">
        <f>_xlfn.CONCAT(D411,", ",H411,", ",I411,", ","青海省")</f>
        <v>子科滩镇, 兴海县, 海南藏族自治州, 青海省</v>
      </c>
      <c r="G411">
        <v>24758</v>
      </c>
      <c r="H411" t="s">
        <v>902</v>
      </c>
      <c r="I411" t="s">
        <v>897</v>
      </c>
      <c r="J411">
        <f>VLOOKUP(F411,[1]!china_towns_second__2[[Column1]:[Y]],3,FALSE)</f>
        <v>35.764967091923502</v>
      </c>
      <c r="K411">
        <f>VLOOKUP(F411,[1]!china_towns_second__2[[Column1]:[Y]],2,FALSE)</f>
        <v>99.477271470000005</v>
      </c>
      <c r="L411" t="s">
        <v>1522</v>
      </c>
      <c r="M411" t="str">
        <f>VLOOKUP(H411,CHOOSE({1,2},Table9[Native],Table9[Name]),2,0)</f>
        <v>Xīnghăi Xiàn</v>
      </c>
      <c r="N411" s="13" t="str">
        <f>VLOOKUP(I411,CHOOSE({1,2},Table9[Native],Table9[Name]),2,0)</f>
        <v>Hăinán Zàngzú Zìzhìzhōu</v>
      </c>
      <c r="O411" s="13" t="str">
        <f t="shared" si="26"/>
        <v>Ziketan Zhen (Hăinán Zàngzú Zìzhìzhōu)</v>
      </c>
      <c r="P411" s="13" t="str">
        <f t="shared" si="27"/>
        <v>Ziketan Zhen (Hăinán Zàngzú Zìzhìzhōu)</v>
      </c>
    </row>
    <row r="412" spans="1:16" hidden="1" x14ac:dyDescent="0.25">
      <c r="A412" t="s">
        <v>368</v>
      </c>
      <c r="B412" t="str">
        <f t="shared" si="24"/>
        <v>Zŏngbăo Xiāng</v>
      </c>
      <c r="C412" t="str">
        <f t="shared" si="25"/>
        <v>Zŏngbăo Xiāng</v>
      </c>
      <c r="D412" t="s">
        <v>369</v>
      </c>
      <c r="E412" t="s">
        <v>7</v>
      </c>
      <c r="F412" t="str">
        <f>_xlfn.CONCAT(D412,", ",H412,", ",I412,", ","青海省")</f>
        <v>总堡乡, 民和回族土族自治县, 海东市, 青海省</v>
      </c>
      <c r="G412">
        <v>12176</v>
      </c>
      <c r="H412" t="s">
        <v>893</v>
      </c>
      <c r="I412" t="s">
        <v>888</v>
      </c>
      <c r="J412" t="e">
        <f>VLOOKUP(F412,[1]!china_towns_second__2[[Column1]:[Y]],3,FALSE)</f>
        <v>#N/A</v>
      </c>
      <c r="K412" t="e">
        <f>VLOOKUP(F412,[1]!china_towns_second__2[[Column1]:[Y]],2,FALSE)</f>
        <v>#N/A</v>
      </c>
      <c r="L412" t="s">
        <v>1523</v>
      </c>
      <c r="M412" t="str">
        <f>VLOOKUP(H412,CHOOSE({1,2},Table9[Native],Table9[Name]),2,0)</f>
        <v>Mínhé Huízú Tŭzú Zìzhìxiàn</v>
      </c>
      <c r="N412" s="13" t="str">
        <f>VLOOKUP(I412,CHOOSE({1,2},Table9[Native],Table9[Name]),2,0)</f>
        <v>Hăidōng Shì</v>
      </c>
      <c r="O412" s="13" t="str">
        <f t="shared" si="26"/>
        <v>Zongbao Xiang (Hăidōng Shì)</v>
      </c>
      <c r="P412" s="13" t="str">
        <f t="shared" si="27"/>
        <v>Zongbao Xiang (Hăidōng Shì)</v>
      </c>
    </row>
    <row r="413" spans="1:16" x14ac:dyDescent="0.25">
      <c r="A413" t="s">
        <v>555</v>
      </c>
      <c r="B413" t="str">
        <f t="shared" si="24"/>
        <v>Zōngjiā Zhèn</v>
      </c>
      <c r="C413" t="str">
        <f t="shared" si="25"/>
        <v>Zōngjiā Zhèn</v>
      </c>
      <c r="D413" t="s">
        <v>556</v>
      </c>
      <c r="E413" t="s">
        <v>19</v>
      </c>
      <c r="F413" t="str">
        <f>_xlfn.CONCAT(D413,", ",H413,", ",I413,", ","青海省")</f>
        <v>宗加镇, 都兰县, 海西蒙古族藏族自治州, 青海省</v>
      </c>
      <c r="G413">
        <v>10372</v>
      </c>
      <c r="H413" t="s">
        <v>911</v>
      </c>
      <c r="I413" t="s">
        <v>905</v>
      </c>
      <c r="J413">
        <f>VLOOKUP(F413,[1]!china_towns_second__2[[Column1]:[Y]],3,FALSE)</f>
        <v>36.398473761328198</v>
      </c>
      <c r="K413">
        <f>VLOOKUP(F413,[1]!china_towns_second__2[[Column1]:[Y]],2,FALSE)</f>
        <v>96.334406009999995</v>
      </c>
      <c r="L413" t="s">
        <v>1524</v>
      </c>
      <c r="M413" t="str">
        <f>VLOOKUP(H413,CHOOSE({1,2},Table9[Native],Table9[Name]),2,0)</f>
        <v>Dūlán Xiàn</v>
      </c>
      <c r="N413" s="13" t="str">
        <f>VLOOKUP(I413,CHOOSE({1,2},Table9[Native],Table9[Name]),2,0)</f>
        <v>Hăixī Mĕnggŭzú Zàngzú Zìzhìzhōu</v>
      </c>
      <c r="O413" s="13" t="str">
        <f t="shared" si="26"/>
        <v>Zongjia Zhen (Hăixī Mĕnggŭzú Zàngzú Zìzhìzhōu)</v>
      </c>
      <c r="P413" s="13" t="str">
        <f t="shared" si="27"/>
        <v>Zongjia Zhen (Hăixī Mĕnggŭzú Zàngzú Zìzhìzhōu)</v>
      </c>
    </row>
    <row r="414" spans="1:16" x14ac:dyDescent="0.25">
      <c r="A414" t="s">
        <v>770</v>
      </c>
      <c r="B414" t="str">
        <f t="shared" si="24"/>
        <v>Zŏngzhài Zhèn</v>
      </c>
      <c r="C414" t="str">
        <f t="shared" si="25"/>
        <v>Zŏngzhài Zhèn</v>
      </c>
      <c r="D414" t="s">
        <v>771</v>
      </c>
      <c r="E414" t="s">
        <v>19</v>
      </c>
      <c r="F414" t="str">
        <f>_xlfn.CONCAT(D414,", ",H414,", ",I414,", ","青海省")</f>
        <v>总寨镇, 城中区, 西宁市, 青海省</v>
      </c>
      <c r="G414">
        <v>49375</v>
      </c>
      <c r="H414" t="s">
        <v>927</v>
      </c>
      <c r="I414" t="s">
        <v>923</v>
      </c>
      <c r="J414">
        <f>VLOOKUP(F414,[1]!china_towns_second__2[[Column1]:[Y]],3,FALSE)</f>
        <v>36.536459652606801</v>
      </c>
      <c r="K414">
        <f>VLOOKUP(F414,[1]!china_towns_second__2[[Column1]:[Y]],2,FALSE)</f>
        <v>101.716658</v>
      </c>
      <c r="L414" t="s">
        <v>1525</v>
      </c>
      <c r="M414" t="str">
        <f>VLOOKUP(H414,CHOOSE({1,2},Table9[Native],Table9[Name]),2,0)</f>
        <v>Chéngzhōng Qū</v>
      </c>
      <c r="N414" s="13" t="str">
        <f>VLOOKUP(I414,CHOOSE({1,2},Table9[Native],Table9[Name]),2,0)</f>
        <v>Xīníng Shì</v>
      </c>
      <c r="O414" s="13" t="str">
        <f t="shared" si="26"/>
        <v>Zongzhai Zhen (Xīníng Shì)</v>
      </c>
      <c r="P414" s="13" t="str">
        <f t="shared" si="27"/>
        <v>Zongzhai Zhen (Xīníng Shì)</v>
      </c>
    </row>
  </sheetData>
  <phoneticPr fontId="3" type="noConversion"/>
  <conditionalFormatting sqref="J2:J414">
    <cfRule type="expression" dxfId="12" priority="7">
      <formula>ISERROR(J2)</formula>
    </cfRule>
  </conditionalFormatting>
  <conditionalFormatting sqref="A2:A414">
    <cfRule type="duplicateValues" dxfId="11" priority="6"/>
  </conditionalFormatting>
  <conditionalFormatting sqref="B2:B414">
    <cfRule type="duplicateValues" dxfId="10" priority="5"/>
  </conditionalFormatting>
  <conditionalFormatting sqref="C2:C414">
    <cfRule type="duplicateValues" dxfId="9" priority="4"/>
  </conditionalFormatting>
  <conditionalFormatting sqref="L2:L414">
    <cfRule type="duplicateValues" dxfId="8" priority="3"/>
  </conditionalFormatting>
  <conditionalFormatting sqref="O2:O414">
    <cfRule type="duplicateValues" dxfId="7" priority="2"/>
  </conditionalFormatting>
  <conditionalFormatting sqref="P2:P414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A6568-DF23-4246-82A1-FD1688DB099A}">
  <dimension ref="A1:E6"/>
  <sheetViews>
    <sheetView workbookViewId="0">
      <selection activeCell="C2" sqref="C2:C6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945</v>
      </c>
      <c r="B1" t="s">
        <v>955</v>
      </c>
      <c r="C1" t="s">
        <v>947</v>
      </c>
      <c r="D1" t="s">
        <v>948</v>
      </c>
      <c r="E1" t="s">
        <v>949</v>
      </c>
    </row>
    <row r="2" spans="1:5" x14ac:dyDescent="0.25">
      <c r="A2" t="s">
        <v>888</v>
      </c>
      <c r="B2" t="str">
        <f>VLOOKUP(A2,CHOOSE({1,2},Table9[Native],Table9[Name]),2,0)</f>
        <v>Hăidōng Shì</v>
      </c>
      <c r="C2">
        <v>3275</v>
      </c>
      <c r="D2">
        <f>VLOOKUP(A2,[1]!Table1[[name]:[@lon]],5,0)</f>
        <v>36.303255499999999</v>
      </c>
      <c r="E2">
        <f>VLOOKUP(A2,[1]!Table1[[name]:[@lon]],6,0)</f>
        <v>102.3655349</v>
      </c>
    </row>
    <row r="3" spans="1:5" x14ac:dyDescent="0.25">
      <c r="A3" t="s">
        <v>910</v>
      </c>
      <c r="B3" t="str">
        <f>VLOOKUP(A3,CHOOSE({1,2},Table9[Native],Table9[Name]),2,0)</f>
        <v>Délìnghā Shì</v>
      </c>
      <c r="C3">
        <v>55294</v>
      </c>
      <c r="D3">
        <f>VLOOKUP(A3,[1]!Table1[[name]:[@lon]],5,0)</f>
        <v>37.889068299999998</v>
      </c>
      <c r="E3">
        <f>VLOOKUP(A3,[1]!Table1[[name]:[@lon]],6,0)</f>
        <v>96.932647900000006</v>
      </c>
    </row>
    <row r="4" spans="1:5" x14ac:dyDescent="0.25">
      <c r="A4" t="s">
        <v>912</v>
      </c>
      <c r="B4" t="str">
        <f>VLOOKUP(A4,CHOOSE({1,2},Table9[Native],Table9[Name]),2,0)</f>
        <v>Gé'ĕrmù Shì</v>
      </c>
      <c r="C4">
        <v>175659</v>
      </c>
      <c r="D4">
        <f>VLOOKUP(A4,[1]!Table1[[name]:[@lon]],5,0)</f>
        <v>35.814511199999998</v>
      </c>
      <c r="E4">
        <f>VLOOKUP(A4,[1]!Table1[[name]:[@lon]],6,0)</f>
        <v>93.254501200000007</v>
      </c>
    </row>
    <row r="5" spans="1:5" x14ac:dyDescent="0.25">
      <c r="A5" t="s">
        <v>936</v>
      </c>
      <c r="B5" t="str">
        <f>VLOOKUP(A5,CHOOSE({1,2},Table9[Native],Table9[Name]),2,0)</f>
        <v>Yùshù Shì</v>
      </c>
      <c r="C5">
        <v>63280</v>
      </c>
      <c r="D5">
        <f>VLOOKUP(A5,[1]!Table1[[name]:[@lon]],5,0)</f>
        <v>32.8955913</v>
      </c>
      <c r="E5">
        <f>VLOOKUP(A5,[1]!Table1[[name]:[@lon]],6,0)</f>
        <v>96.705855999999997</v>
      </c>
    </row>
    <row r="6" spans="1:5" x14ac:dyDescent="0.25">
      <c r="A6" t="s">
        <v>923</v>
      </c>
      <c r="B6" t="str">
        <f>VLOOKUP(A6,CHOOSE({1,2},Table9[Native],Table9[Name]),2,0)</f>
        <v>Xīníng Shì</v>
      </c>
      <c r="C6">
        <v>978767</v>
      </c>
      <c r="D6">
        <f>VLOOKUP(A6,[1]!Table1[[name]:[@lon]],5,0)</f>
        <v>36.849778499999999</v>
      </c>
      <c r="E6">
        <f>VLOOKUP(A6,[1]!Table1[[name]:[@lon]],6,0)</f>
        <v>101.3912687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0A437-7D60-414A-8B29-21F65EE2AA23}">
  <dimension ref="A1:I149"/>
  <sheetViews>
    <sheetView topLeftCell="A122" workbookViewId="0">
      <selection sqref="A1:I149"/>
    </sheetView>
  </sheetViews>
  <sheetFormatPr defaultRowHeight="15" x14ac:dyDescent="0.25"/>
  <sheetData>
    <row r="1" spans="1:9" x14ac:dyDescent="0.25">
      <c r="A1" t="s">
        <v>956</v>
      </c>
      <c r="B1" t="s">
        <v>980</v>
      </c>
      <c r="C1" t="s">
        <v>960</v>
      </c>
      <c r="D1">
        <v>36.173951930000001</v>
      </c>
      <c r="E1" t="s">
        <v>957</v>
      </c>
      <c r="F1">
        <v>102.089806</v>
      </c>
      <c r="G1" t="s">
        <v>958</v>
      </c>
      <c r="H1">
        <v>16739</v>
      </c>
      <c r="I1" t="s">
        <v>959</v>
      </c>
    </row>
    <row r="2" spans="1:9" x14ac:dyDescent="0.25">
      <c r="A2" t="s">
        <v>956</v>
      </c>
      <c r="B2" t="s">
        <v>969</v>
      </c>
      <c r="C2" t="s">
        <v>960</v>
      </c>
      <c r="D2">
        <v>38.27159065</v>
      </c>
      <c r="E2" t="s">
        <v>957</v>
      </c>
      <c r="F2">
        <v>100.2050213</v>
      </c>
      <c r="G2" t="s">
        <v>958</v>
      </c>
      <c r="H2">
        <v>25603</v>
      </c>
      <c r="I2" t="s">
        <v>959</v>
      </c>
    </row>
    <row r="3" spans="1:9" x14ac:dyDescent="0.25">
      <c r="A3" t="s">
        <v>956</v>
      </c>
      <c r="B3" t="s">
        <v>981</v>
      </c>
      <c r="C3" t="s">
        <v>960</v>
      </c>
      <c r="D3">
        <v>35.703664580000002</v>
      </c>
      <c r="E3" t="s">
        <v>957</v>
      </c>
      <c r="F3">
        <v>102.53514300000001</v>
      </c>
      <c r="G3" t="s">
        <v>958</v>
      </c>
      <c r="H3">
        <v>20919</v>
      </c>
      <c r="I3" t="s">
        <v>959</v>
      </c>
    </row>
    <row r="4" spans="1:9" x14ac:dyDescent="0.25">
      <c r="A4" t="s">
        <v>956</v>
      </c>
      <c r="B4" t="s">
        <v>1055</v>
      </c>
      <c r="C4" t="s">
        <v>960</v>
      </c>
      <c r="D4">
        <v>35.629421379999997</v>
      </c>
      <c r="E4" t="s">
        <v>957</v>
      </c>
      <c r="F4">
        <v>102.12515</v>
      </c>
      <c r="G4" t="s">
        <v>958</v>
      </c>
      <c r="H4">
        <v>10771</v>
      </c>
      <c r="I4" t="s">
        <v>959</v>
      </c>
    </row>
    <row r="5" spans="1:9" x14ac:dyDescent="0.25">
      <c r="A5" t="s">
        <v>956</v>
      </c>
      <c r="B5" t="s">
        <v>982</v>
      </c>
      <c r="C5" t="s">
        <v>960</v>
      </c>
      <c r="D5">
        <v>36.16584787</v>
      </c>
      <c r="E5" t="s">
        <v>957</v>
      </c>
      <c r="F5">
        <v>102.2668338</v>
      </c>
      <c r="G5" t="s">
        <v>958</v>
      </c>
      <c r="H5">
        <v>38315</v>
      </c>
      <c r="I5" t="s">
        <v>959</v>
      </c>
    </row>
    <row r="6" spans="1:9" x14ac:dyDescent="0.25">
      <c r="A6" t="s">
        <v>956</v>
      </c>
      <c r="B6" t="s">
        <v>983</v>
      </c>
      <c r="C6" t="s">
        <v>960</v>
      </c>
      <c r="D6">
        <v>36.221578749999999</v>
      </c>
      <c r="E6" t="s">
        <v>957</v>
      </c>
      <c r="F6">
        <v>102.7930083</v>
      </c>
      <c r="G6" t="s">
        <v>958</v>
      </c>
      <c r="H6">
        <v>18110</v>
      </c>
      <c r="I6" t="s">
        <v>959</v>
      </c>
    </row>
    <row r="7" spans="1:9" x14ac:dyDescent="0.25">
      <c r="A7" t="s">
        <v>956</v>
      </c>
      <c r="B7" t="s">
        <v>1034</v>
      </c>
      <c r="C7" t="s">
        <v>960</v>
      </c>
      <c r="D7">
        <v>36.277585629999997</v>
      </c>
      <c r="E7" t="s">
        <v>957</v>
      </c>
      <c r="F7">
        <v>98.259007929999996</v>
      </c>
      <c r="G7" t="s">
        <v>958</v>
      </c>
      <c r="H7">
        <v>20570</v>
      </c>
      <c r="I7" t="s">
        <v>959</v>
      </c>
    </row>
    <row r="8" spans="1:9" x14ac:dyDescent="0.25">
      <c r="A8" t="s">
        <v>956</v>
      </c>
      <c r="B8" t="s">
        <v>1035</v>
      </c>
      <c r="C8" t="s">
        <v>960</v>
      </c>
      <c r="D8">
        <v>37.930299079999998</v>
      </c>
      <c r="E8" t="s">
        <v>957</v>
      </c>
      <c r="F8">
        <v>94.75924234</v>
      </c>
      <c r="G8" t="s">
        <v>958</v>
      </c>
      <c r="H8">
        <v>9750</v>
      </c>
      <c r="I8" t="s">
        <v>959</v>
      </c>
    </row>
    <row r="9" spans="1:9" x14ac:dyDescent="0.25">
      <c r="A9" t="s">
        <v>956</v>
      </c>
      <c r="B9" t="s">
        <v>1036</v>
      </c>
      <c r="C9" t="s">
        <v>960</v>
      </c>
      <c r="D9">
        <v>36.741591900000003</v>
      </c>
      <c r="E9" t="s">
        <v>957</v>
      </c>
      <c r="F9">
        <v>99.134956779999996</v>
      </c>
      <c r="G9" t="s">
        <v>958</v>
      </c>
      <c r="H9">
        <v>4123</v>
      </c>
      <c r="I9" t="s">
        <v>959</v>
      </c>
    </row>
    <row r="10" spans="1:9" x14ac:dyDescent="0.25">
      <c r="A10" t="s">
        <v>956</v>
      </c>
      <c r="B10" t="s">
        <v>1015</v>
      </c>
      <c r="C10" t="s">
        <v>960</v>
      </c>
      <c r="D10">
        <v>35.755972960000001</v>
      </c>
      <c r="E10" t="s">
        <v>957</v>
      </c>
      <c r="F10">
        <v>101.573156</v>
      </c>
      <c r="G10" t="s">
        <v>958</v>
      </c>
      <c r="H10">
        <v>16703</v>
      </c>
      <c r="I10" t="s">
        <v>959</v>
      </c>
    </row>
    <row r="11" spans="1:9" x14ac:dyDescent="0.25">
      <c r="A11" t="s">
        <v>956</v>
      </c>
      <c r="B11" t="s">
        <v>1067</v>
      </c>
      <c r="C11" t="s">
        <v>960</v>
      </c>
      <c r="D11">
        <v>36.803336469999998</v>
      </c>
      <c r="E11" t="s">
        <v>957</v>
      </c>
      <c r="F11">
        <v>101.7609569</v>
      </c>
      <c r="G11" t="s">
        <v>958</v>
      </c>
      <c r="H11">
        <v>39237</v>
      </c>
      <c r="I11" t="s">
        <v>959</v>
      </c>
    </row>
    <row r="12" spans="1:9" x14ac:dyDescent="0.25">
      <c r="A12" t="s">
        <v>956</v>
      </c>
      <c r="B12" t="s">
        <v>1528</v>
      </c>
      <c r="C12" t="s">
        <v>960</v>
      </c>
      <c r="D12">
        <v>37.041565060000003</v>
      </c>
      <c r="E12" t="s">
        <v>957</v>
      </c>
      <c r="F12">
        <v>101.5374423</v>
      </c>
      <c r="G12" t="s">
        <v>958</v>
      </c>
      <c r="H12">
        <v>24410</v>
      </c>
      <c r="I12" t="s">
        <v>959</v>
      </c>
    </row>
    <row r="13" spans="1:9" x14ac:dyDescent="0.25">
      <c r="A13" t="s">
        <v>956</v>
      </c>
      <c r="B13" t="s">
        <v>1529</v>
      </c>
      <c r="C13" t="s">
        <v>960</v>
      </c>
      <c r="D13">
        <v>36.689277300000001</v>
      </c>
      <c r="E13" t="s">
        <v>957</v>
      </c>
      <c r="F13">
        <v>101.2761381</v>
      </c>
      <c r="G13" t="s">
        <v>958</v>
      </c>
      <c r="H13">
        <v>43871</v>
      </c>
      <c r="I13" t="s">
        <v>959</v>
      </c>
    </row>
    <row r="14" spans="1:9" x14ac:dyDescent="0.25">
      <c r="A14" t="s">
        <v>956</v>
      </c>
      <c r="B14" t="s">
        <v>1092</v>
      </c>
      <c r="C14" t="s">
        <v>960</v>
      </c>
      <c r="D14">
        <v>33.397155480000002</v>
      </c>
      <c r="E14" t="s">
        <v>957</v>
      </c>
      <c r="F14">
        <v>97.031823180000004</v>
      </c>
      <c r="G14" t="s">
        <v>958</v>
      </c>
      <c r="H14">
        <v>10659</v>
      </c>
      <c r="I14" t="s">
        <v>959</v>
      </c>
    </row>
    <row r="15" spans="1:9" x14ac:dyDescent="0.25">
      <c r="A15" t="s">
        <v>956</v>
      </c>
      <c r="B15" t="s">
        <v>984</v>
      </c>
      <c r="C15" t="s">
        <v>960</v>
      </c>
      <c r="D15">
        <v>36.307729160000001</v>
      </c>
      <c r="E15" t="s">
        <v>957</v>
      </c>
      <c r="F15">
        <v>102.8194464</v>
      </c>
      <c r="G15" t="s">
        <v>958</v>
      </c>
      <c r="H15">
        <v>69252</v>
      </c>
      <c r="I15" t="s">
        <v>959</v>
      </c>
    </row>
    <row r="16" spans="1:9" x14ac:dyDescent="0.25">
      <c r="A16" t="s">
        <v>956</v>
      </c>
      <c r="B16" t="s">
        <v>1068</v>
      </c>
      <c r="C16" t="s">
        <v>960</v>
      </c>
      <c r="D16">
        <v>36.672611930000002</v>
      </c>
      <c r="E16" t="s">
        <v>957</v>
      </c>
      <c r="F16">
        <v>101.6111827</v>
      </c>
      <c r="G16" t="s">
        <v>958</v>
      </c>
      <c r="H16">
        <v>26049</v>
      </c>
      <c r="I16" t="s">
        <v>959</v>
      </c>
    </row>
    <row r="17" spans="1:9" x14ac:dyDescent="0.25">
      <c r="A17" t="s">
        <v>956</v>
      </c>
      <c r="B17" t="s">
        <v>1069</v>
      </c>
      <c r="C17" t="s">
        <v>960</v>
      </c>
      <c r="D17">
        <v>36.67335774</v>
      </c>
      <c r="E17" t="s">
        <v>957</v>
      </c>
      <c r="F17">
        <v>101.0730794</v>
      </c>
      <c r="G17" t="s">
        <v>958</v>
      </c>
      <c r="H17">
        <v>20888</v>
      </c>
      <c r="I17" t="s">
        <v>959</v>
      </c>
    </row>
    <row r="18" spans="1:9" x14ac:dyDescent="0.25">
      <c r="A18" t="s">
        <v>956</v>
      </c>
      <c r="B18" t="s">
        <v>985</v>
      </c>
      <c r="C18" t="s">
        <v>960</v>
      </c>
      <c r="D18">
        <v>36.809516860000002</v>
      </c>
      <c r="E18" t="s">
        <v>957</v>
      </c>
      <c r="F18">
        <v>102.1202833</v>
      </c>
      <c r="G18" t="s">
        <v>958</v>
      </c>
      <c r="H18">
        <v>19174</v>
      </c>
      <c r="I18" t="s">
        <v>959</v>
      </c>
    </row>
    <row r="19" spans="1:9" x14ac:dyDescent="0.25">
      <c r="A19" t="s">
        <v>956</v>
      </c>
      <c r="B19" t="s">
        <v>1016</v>
      </c>
      <c r="C19" t="s">
        <v>960</v>
      </c>
      <c r="D19">
        <v>36.440972879999997</v>
      </c>
      <c r="E19" t="s">
        <v>957</v>
      </c>
      <c r="F19">
        <v>100.8959207</v>
      </c>
      <c r="G19" t="s">
        <v>958</v>
      </c>
      <c r="H19">
        <v>10437</v>
      </c>
      <c r="I19" t="s">
        <v>959</v>
      </c>
    </row>
    <row r="20" spans="1:9" x14ac:dyDescent="0.25">
      <c r="A20" t="s">
        <v>956</v>
      </c>
      <c r="B20" t="s">
        <v>961</v>
      </c>
      <c r="C20" t="s">
        <v>960</v>
      </c>
      <c r="D20">
        <v>34.500988919999998</v>
      </c>
      <c r="E20" t="s">
        <v>957</v>
      </c>
      <c r="F20">
        <v>99.961918960000006</v>
      </c>
      <c r="G20" t="s">
        <v>958</v>
      </c>
      <c r="H20">
        <v>21612</v>
      </c>
      <c r="I20" t="s">
        <v>959</v>
      </c>
    </row>
    <row r="21" spans="1:9" x14ac:dyDescent="0.25">
      <c r="A21" t="s">
        <v>956</v>
      </c>
      <c r="B21" t="s">
        <v>970</v>
      </c>
      <c r="C21" t="s">
        <v>960</v>
      </c>
      <c r="D21">
        <v>37.293918140000002</v>
      </c>
      <c r="E21" t="s">
        <v>957</v>
      </c>
      <c r="F21">
        <v>101.9018698</v>
      </c>
      <c r="G21" t="s">
        <v>958</v>
      </c>
      <c r="H21">
        <v>17982</v>
      </c>
      <c r="I21" t="s">
        <v>959</v>
      </c>
    </row>
    <row r="22" spans="1:9" x14ac:dyDescent="0.25">
      <c r="A22" t="s">
        <v>956</v>
      </c>
      <c r="B22" t="s">
        <v>1070</v>
      </c>
      <c r="C22" t="s">
        <v>960</v>
      </c>
      <c r="D22">
        <v>37.042368349999997</v>
      </c>
      <c r="E22" t="s">
        <v>957</v>
      </c>
      <c r="F22">
        <v>101.8200755</v>
      </c>
      <c r="G22" t="s">
        <v>958</v>
      </c>
      <c r="H22">
        <v>14262</v>
      </c>
      <c r="I22" t="s">
        <v>959</v>
      </c>
    </row>
    <row r="23" spans="1:9" x14ac:dyDescent="0.25">
      <c r="A23" t="s">
        <v>956</v>
      </c>
      <c r="B23" t="s">
        <v>1071</v>
      </c>
      <c r="C23" t="s">
        <v>960</v>
      </c>
      <c r="D23">
        <v>36.674757530000001</v>
      </c>
      <c r="E23" t="s">
        <v>957</v>
      </c>
      <c r="F23">
        <v>101.4891887</v>
      </c>
      <c r="G23" t="s">
        <v>958</v>
      </c>
      <c r="H23">
        <v>66767</v>
      </c>
      <c r="I23" t="s">
        <v>959</v>
      </c>
    </row>
    <row r="24" spans="1:9" x14ac:dyDescent="0.25">
      <c r="A24" t="s">
        <v>956</v>
      </c>
      <c r="B24" t="s">
        <v>1072</v>
      </c>
      <c r="C24" t="s">
        <v>960</v>
      </c>
      <c r="D24">
        <v>37.044670150000002</v>
      </c>
      <c r="E24" t="s">
        <v>957</v>
      </c>
      <c r="F24">
        <v>101.4180027</v>
      </c>
      <c r="G24" t="s">
        <v>958</v>
      </c>
      <c r="H24">
        <v>9546</v>
      </c>
      <c r="I24" t="s">
        <v>959</v>
      </c>
    </row>
    <row r="25" spans="1:9" x14ac:dyDescent="0.25">
      <c r="A25" t="s">
        <v>956</v>
      </c>
      <c r="B25" t="s">
        <v>1056</v>
      </c>
      <c r="C25" t="s">
        <v>960</v>
      </c>
      <c r="D25">
        <v>35.199555740000001</v>
      </c>
      <c r="E25" t="s">
        <v>957</v>
      </c>
      <c r="F25">
        <v>102.16969280000001</v>
      </c>
      <c r="G25" t="s">
        <v>958</v>
      </c>
      <c r="H25">
        <v>6540</v>
      </c>
      <c r="I25" t="s">
        <v>959</v>
      </c>
    </row>
    <row r="26" spans="1:9" x14ac:dyDescent="0.25">
      <c r="A26" t="s">
        <v>956</v>
      </c>
      <c r="B26" t="s">
        <v>971</v>
      </c>
      <c r="C26" t="s">
        <v>960</v>
      </c>
      <c r="D26">
        <v>38.043251410000003</v>
      </c>
      <c r="E26" t="s">
        <v>957</v>
      </c>
      <c r="F26">
        <v>100.7440476</v>
      </c>
      <c r="G26" t="s">
        <v>958</v>
      </c>
      <c r="H26">
        <v>2755</v>
      </c>
      <c r="I26" t="s">
        <v>959</v>
      </c>
    </row>
    <row r="27" spans="1:9" x14ac:dyDescent="0.25">
      <c r="A27" t="s">
        <v>956</v>
      </c>
      <c r="B27" t="s">
        <v>1017</v>
      </c>
      <c r="C27" t="s">
        <v>960</v>
      </c>
      <c r="D27">
        <v>35.291004460000003</v>
      </c>
      <c r="E27" t="s">
        <v>957</v>
      </c>
      <c r="F27">
        <v>100.558864</v>
      </c>
      <c r="G27" t="s">
        <v>958</v>
      </c>
      <c r="H27">
        <v>27742</v>
      </c>
      <c r="I27" t="s">
        <v>959</v>
      </c>
    </row>
    <row r="28" spans="1:9" x14ac:dyDescent="0.25">
      <c r="A28" t="s">
        <v>956</v>
      </c>
      <c r="B28" t="s">
        <v>1037</v>
      </c>
      <c r="C28" t="s">
        <v>960</v>
      </c>
      <c r="D28">
        <v>37.153917010000001</v>
      </c>
      <c r="E28" t="s">
        <v>957</v>
      </c>
      <c r="F28">
        <v>97.472019779999997</v>
      </c>
      <c r="G28" t="s">
        <v>958</v>
      </c>
      <c r="H28">
        <v>5965</v>
      </c>
      <c r="I28" t="s">
        <v>959</v>
      </c>
    </row>
    <row r="29" spans="1:9" x14ac:dyDescent="0.25">
      <c r="A29" t="s">
        <v>956</v>
      </c>
      <c r="B29" t="s">
        <v>986</v>
      </c>
      <c r="C29" t="s">
        <v>960</v>
      </c>
      <c r="D29">
        <v>35.934972289999997</v>
      </c>
      <c r="E29" t="s">
        <v>957</v>
      </c>
      <c r="F29">
        <v>102.33019</v>
      </c>
      <c r="G29" t="s">
        <v>958</v>
      </c>
      <c r="H29">
        <v>20536</v>
      </c>
      <c r="I29" t="s">
        <v>959</v>
      </c>
    </row>
    <row r="30" spans="1:9" x14ac:dyDescent="0.25">
      <c r="A30" t="s">
        <v>956</v>
      </c>
      <c r="B30" t="s">
        <v>1073</v>
      </c>
      <c r="C30" t="s">
        <v>960</v>
      </c>
      <c r="D30">
        <v>36.563575</v>
      </c>
      <c r="E30" t="s">
        <v>957</v>
      </c>
      <c r="F30">
        <v>101.5341643</v>
      </c>
      <c r="G30" t="s">
        <v>958</v>
      </c>
      <c r="H30">
        <v>24252</v>
      </c>
      <c r="I30" t="s">
        <v>959</v>
      </c>
    </row>
    <row r="31" spans="1:9" x14ac:dyDescent="0.25">
      <c r="A31" t="s">
        <v>956</v>
      </c>
      <c r="B31" t="s">
        <v>987</v>
      </c>
      <c r="C31" t="s">
        <v>960</v>
      </c>
      <c r="D31">
        <v>36.49442243</v>
      </c>
      <c r="E31" t="s">
        <v>957</v>
      </c>
      <c r="F31">
        <v>102.2032868</v>
      </c>
      <c r="G31" t="s">
        <v>958</v>
      </c>
      <c r="H31">
        <v>8388</v>
      </c>
      <c r="I31" t="s">
        <v>959</v>
      </c>
    </row>
    <row r="32" spans="1:9" x14ac:dyDescent="0.25">
      <c r="A32" t="s">
        <v>956</v>
      </c>
      <c r="B32" t="s">
        <v>988</v>
      </c>
      <c r="C32" t="s">
        <v>960</v>
      </c>
      <c r="D32">
        <v>36.455866960000002</v>
      </c>
      <c r="E32" t="s">
        <v>957</v>
      </c>
      <c r="F32">
        <v>102.564483</v>
      </c>
      <c r="G32" t="s">
        <v>958</v>
      </c>
      <c r="H32">
        <v>23398</v>
      </c>
      <c r="I32" t="s">
        <v>959</v>
      </c>
    </row>
    <row r="33" spans="1:9" x14ac:dyDescent="0.25">
      <c r="A33" t="s">
        <v>956</v>
      </c>
      <c r="B33" t="s">
        <v>989</v>
      </c>
      <c r="C33" t="s">
        <v>960</v>
      </c>
      <c r="D33">
        <v>36.558555589999997</v>
      </c>
      <c r="E33" t="s">
        <v>957</v>
      </c>
      <c r="F33">
        <v>102.00015139999999</v>
      </c>
      <c r="G33" t="s">
        <v>958</v>
      </c>
      <c r="H33">
        <v>12903</v>
      </c>
      <c r="I33" t="s">
        <v>959</v>
      </c>
    </row>
    <row r="34" spans="1:9" x14ac:dyDescent="0.25">
      <c r="A34" t="s">
        <v>956</v>
      </c>
      <c r="B34" t="s">
        <v>1074</v>
      </c>
      <c r="C34" t="s">
        <v>960</v>
      </c>
      <c r="D34">
        <v>36.56050218</v>
      </c>
      <c r="E34" t="s">
        <v>957</v>
      </c>
      <c r="F34">
        <v>101.37198669999999</v>
      </c>
      <c r="G34" t="s">
        <v>958</v>
      </c>
      <c r="H34">
        <v>29323</v>
      </c>
      <c r="I34" t="s">
        <v>959</v>
      </c>
    </row>
    <row r="35" spans="1:9" x14ac:dyDescent="0.25">
      <c r="A35" t="s">
        <v>956</v>
      </c>
      <c r="B35" t="s">
        <v>990</v>
      </c>
      <c r="C35" t="s">
        <v>960</v>
      </c>
      <c r="D35">
        <v>35.881533849999997</v>
      </c>
      <c r="E35" t="s">
        <v>957</v>
      </c>
      <c r="F35">
        <v>102.7480049</v>
      </c>
      <c r="G35" t="s">
        <v>958</v>
      </c>
      <c r="H35">
        <v>15778</v>
      </c>
      <c r="I35" t="s">
        <v>959</v>
      </c>
    </row>
    <row r="36" spans="1:9" x14ac:dyDescent="0.25">
      <c r="A36" t="s">
        <v>956</v>
      </c>
      <c r="B36" t="s">
        <v>1038</v>
      </c>
      <c r="C36" t="s">
        <v>960</v>
      </c>
      <c r="D36">
        <v>35.971011529999998</v>
      </c>
      <c r="E36" t="s">
        <v>957</v>
      </c>
      <c r="F36">
        <v>93.712576279999993</v>
      </c>
      <c r="G36" t="s">
        <v>958</v>
      </c>
      <c r="H36">
        <v>31941</v>
      </c>
      <c r="I36" t="s">
        <v>959</v>
      </c>
    </row>
    <row r="37" spans="1:9" x14ac:dyDescent="0.25">
      <c r="A37" t="s">
        <v>956</v>
      </c>
      <c r="B37" t="s">
        <v>1018</v>
      </c>
      <c r="C37" t="s">
        <v>960</v>
      </c>
      <c r="D37">
        <v>35.801544630000002</v>
      </c>
      <c r="E37" t="s">
        <v>957</v>
      </c>
      <c r="F37">
        <v>101.19647190000001</v>
      </c>
      <c r="G37" t="s">
        <v>958</v>
      </c>
      <c r="H37">
        <v>14078</v>
      </c>
      <c r="I37" t="s">
        <v>959</v>
      </c>
    </row>
    <row r="38" spans="1:9" x14ac:dyDescent="0.25">
      <c r="A38" t="s">
        <v>956</v>
      </c>
      <c r="B38" t="s">
        <v>991</v>
      </c>
      <c r="C38" t="s">
        <v>960</v>
      </c>
      <c r="D38">
        <v>36.098339129999999</v>
      </c>
      <c r="E38" t="s">
        <v>957</v>
      </c>
      <c r="F38">
        <v>102.72853310000001</v>
      </c>
      <c r="G38" t="s">
        <v>958</v>
      </c>
      <c r="H38">
        <v>21856</v>
      </c>
      <c r="I38" t="s">
        <v>959</v>
      </c>
    </row>
    <row r="39" spans="1:9" x14ac:dyDescent="0.25">
      <c r="A39" t="s">
        <v>956</v>
      </c>
      <c r="B39" t="s">
        <v>972</v>
      </c>
      <c r="C39" t="s">
        <v>960</v>
      </c>
      <c r="D39">
        <v>37.361311020000002</v>
      </c>
      <c r="E39" t="s">
        <v>957</v>
      </c>
      <c r="F39">
        <v>100.43485339999999</v>
      </c>
      <c r="G39" t="s">
        <v>958</v>
      </c>
      <c r="H39">
        <v>11128</v>
      </c>
      <c r="I39" t="s">
        <v>959</v>
      </c>
    </row>
    <row r="40" spans="1:9" x14ac:dyDescent="0.25">
      <c r="A40" t="s">
        <v>956</v>
      </c>
      <c r="B40" t="s">
        <v>973</v>
      </c>
      <c r="C40" t="s">
        <v>960</v>
      </c>
      <c r="D40">
        <v>37.344753259999997</v>
      </c>
      <c r="E40" t="s">
        <v>957</v>
      </c>
      <c r="F40">
        <v>101.5915377</v>
      </c>
      <c r="G40" t="s">
        <v>958</v>
      </c>
      <c r="H40">
        <v>36515</v>
      </c>
      <c r="I40" t="s">
        <v>959</v>
      </c>
    </row>
    <row r="41" spans="1:9" x14ac:dyDescent="0.25">
      <c r="A41" t="s">
        <v>956</v>
      </c>
      <c r="B41" t="s">
        <v>1019</v>
      </c>
      <c r="C41" t="s">
        <v>960</v>
      </c>
      <c r="D41">
        <v>36.620174239999997</v>
      </c>
      <c r="E41" t="s">
        <v>957</v>
      </c>
      <c r="F41">
        <v>99.729234910000002</v>
      </c>
      <c r="G41" t="s">
        <v>958</v>
      </c>
      <c r="H41">
        <v>5163</v>
      </c>
      <c r="I41" t="s">
        <v>959</v>
      </c>
    </row>
    <row r="42" spans="1:9" x14ac:dyDescent="0.25">
      <c r="A42" t="s">
        <v>956</v>
      </c>
      <c r="B42" t="s">
        <v>1020</v>
      </c>
      <c r="C42" t="s">
        <v>960</v>
      </c>
      <c r="D42">
        <v>35.931023289999999</v>
      </c>
      <c r="E42" t="s">
        <v>957</v>
      </c>
      <c r="F42">
        <v>99.967463679999994</v>
      </c>
      <c r="G42" t="s">
        <v>958</v>
      </c>
      <c r="H42">
        <v>14233</v>
      </c>
      <c r="I42" t="s">
        <v>959</v>
      </c>
    </row>
    <row r="43" spans="1:9" x14ac:dyDescent="0.25">
      <c r="A43" t="s">
        <v>956</v>
      </c>
      <c r="B43" t="s">
        <v>1057</v>
      </c>
      <c r="C43" t="s">
        <v>960</v>
      </c>
      <c r="D43">
        <v>35.193066459999997</v>
      </c>
      <c r="E43" t="s">
        <v>957</v>
      </c>
      <c r="F43">
        <v>101.15665749999999</v>
      </c>
      <c r="G43" t="s">
        <v>958</v>
      </c>
      <c r="H43">
        <v>10881</v>
      </c>
      <c r="I43" t="s">
        <v>959</v>
      </c>
    </row>
    <row r="44" spans="1:9" x14ac:dyDescent="0.25">
      <c r="A44" t="s">
        <v>956</v>
      </c>
      <c r="B44" t="s">
        <v>1021</v>
      </c>
      <c r="C44" t="s">
        <v>960</v>
      </c>
      <c r="D44">
        <v>36.019464120000002</v>
      </c>
      <c r="E44" t="s">
        <v>957</v>
      </c>
      <c r="F44">
        <v>101.3693541</v>
      </c>
      <c r="G44" t="s">
        <v>958</v>
      </c>
      <c r="H44">
        <v>21607</v>
      </c>
      <c r="I44" t="s">
        <v>959</v>
      </c>
    </row>
    <row r="45" spans="1:9" x14ac:dyDescent="0.25">
      <c r="A45" t="s">
        <v>956</v>
      </c>
      <c r="B45" t="s">
        <v>1022</v>
      </c>
      <c r="C45" t="s">
        <v>960</v>
      </c>
      <c r="D45">
        <v>36.033270170000002</v>
      </c>
      <c r="E45" t="s">
        <v>957</v>
      </c>
      <c r="F45">
        <v>101.41054099999999</v>
      </c>
      <c r="G45" t="s">
        <v>958</v>
      </c>
      <c r="H45">
        <v>25028</v>
      </c>
      <c r="I45" t="s">
        <v>959</v>
      </c>
    </row>
    <row r="46" spans="1:9" x14ac:dyDescent="0.25">
      <c r="A46" t="s">
        <v>956</v>
      </c>
      <c r="B46" t="s">
        <v>992</v>
      </c>
      <c r="C46" t="s">
        <v>960</v>
      </c>
      <c r="D46">
        <v>36.394548589999999</v>
      </c>
      <c r="E46" t="s">
        <v>957</v>
      </c>
      <c r="F46">
        <v>102.56334219999999</v>
      </c>
      <c r="G46" t="s">
        <v>958</v>
      </c>
      <c r="H46">
        <v>16095</v>
      </c>
      <c r="I46" t="s">
        <v>959</v>
      </c>
    </row>
    <row r="47" spans="1:9" x14ac:dyDescent="0.25">
      <c r="A47" t="s">
        <v>956</v>
      </c>
      <c r="B47" t="s">
        <v>1039</v>
      </c>
      <c r="C47" t="s">
        <v>960</v>
      </c>
      <c r="D47">
        <v>37.652986110000001</v>
      </c>
      <c r="E47" t="s">
        <v>957</v>
      </c>
      <c r="F47">
        <v>96.411769190000001</v>
      </c>
      <c r="G47" t="s">
        <v>958</v>
      </c>
      <c r="H47">
        <v>2898</v>
      </c>
      <c r="I47" t="s">
        <v>959</v>
      </c>
    </row>
    <row r="48" spans="1:9" x14ac:dyDescent="0.25">
      <c r="A48" t="s">
        <v>956</v>
      </c>
      <c r="B48" t="s">
        <v>1075</v>
      </c>
      <c r="C48" t="s">
        <v>960</v>
      </c>
      <c r="D48">
        <v>36.856210519999998</v>
      </c>
      <c r="E48" t="s">
        <v>957</v>
      </c>
      <c r="F48">
        <v>101.6858383</v>
      </c>
      <c r="G48" t="s">
        <v>958</v>
      </c>
      <c r="H48">
        <v>34888</v>
      </c>
      <c r="I48" t="s">
        <v>959</v>
      </c>
    </row>
    <row r="49" spans="1:9" x14ac:dyDescent="0.25">
      <c r="A49" t="s">
        <v>956</v>
      </c>
      <c r="B49" t="s">
        <v>962</v>
      </c>
      <c r="C49" t="s">
        <v>960</v>
      </c>
      <c r="D49">
        <v>35.121069499999997</v>
      </c>
      <c r="E49" t="s">
        <v>957</v>
      </c>
      <c r="F49">
        <v>98.756741199999993</v>
      </c>
      <c r="G49" t="s">
        <v>958</v>
      </c>
      <c r="H49">
        <v>4190</v>
      </c>
      <c r="I49" t="s">
        <v>959</v>
      </c>
    </row>
    <row r="50" spans="1:9" x14ac:dyDescent="0.25">
      <c r="A50" t="s">
        <v>956</v>
      </c>
      <c r="B50" t="s">
        <v>1040</v>
      </c>
      <c r="C50" t="s">
        <v>960</v>
      </c>
      <c r="D50">
        <v>37.970027940000001</v>
      </c>
      <c r="E50" t="s">
        <v>957</v>
      </c>
      <c r="F50">
        <v>91.681895830000002</v>
      </c>
      <c r="G50" t="s">
        <v>958</v>
      </c>
      <c r="H50">
        <v>27825</v>
      </c>
      <c r="I50" t="s">
        <v>959</v>
      </c>
    </row>
    <row r="51" spans="1:9" x14ac:dyDescent="0.25">
      <c r="A51" t="s">
        <v>956</v>
      </c>
      <c r="B51" t="s">
        <v>993</v>
      </c>
      <c r="C51" t="s">
        <v>960</v>
      </c>
      <c r="D51">
        <v>36.849352889999999</v>
      </c>
      <c r="E51" t="s">
        <v>957</v>
      </c>
      <c r="F51">
        <v>102.469167</v>
      </c>
      <c r="G51" t="s">
        <v>958</v>
      </c>
      <c r="H51">
        <v>7079</v>
      </c>
      <c r="I51" t="s">
        <v>959</v>
      </c>
    </row>
    <row r="52" spans="1:9" x14ac:dyDescent="0.25">
      <c r="A52" t="s">
        <v>956</v>
      </c>
      <c r="B52" t="s">
        <v>1093</v>
      </c>
      <c r="C52" t="s">
        <v>960</v>
      </c>
      <c r="D52">
        <v>33.717269389999998</v>
      </c>
      <c r="E52" t="s">
        <v>957</v>
      </c>
      <c r="F52">
        <v>95.817220969999994</v>
      </c>
      <c r="G52" t="s">
        <v>958</v>
      </c>
      <c r="H52">
        <v>12773</v>
      </c>
      <c r="I52" t="s">
        <v>959</v>
      </c>
    </row>
    <row r="53" spans="1:9" x14ac:dyDescent="0.25">
      <c r="A53" t="s">
        <v>956</v>
      </c>
      <c r="B53" t="s">
        <v>1041</v>
      </c>
      <c r="C53" t="s">
        <v>960</v>
      </c>
      <c r="D53">
        <v>37.385689569999997</v>
      </c>
      <c r="E53" t="s">
        <v>957</v>
      </c>
      <c r="F53">
        <v>99.36613629</v>
      </c>
      <c r="G53" t="s">
        <v>958</v>
      </c>
      <c r="H53">
        <v>1905</v>
      </c>
      <c r="I53" t="s">
        <v>959</v>
      </c>
    </row>
    <row r="54" spans="1:9" x14ac:dyDescent="0.25">
      <c r="A54" t="s">
        <v>956</v>
      </c>
      <c r="B54" t="s">
        <v>1023</v>
      </c>
      <c r="C54" t="s">
        <v>960</v>
      </c>
      <c r="D54">
        <v>36.56702379</v>
      </c>
      <c r="E54" t="s">
        <v>957</v>
      </c>
      <c r="F54">
        <v>100.28545560000001</v>
      </c>
      <c r="G54" t="s">
        <v>958</v>
      </c>
      <c r="H54">
        <v>6116</v>
      </c>
      <c r="I54" t="s">
        <v>959</v>
      </c>
    </row>
    <row r="55" spans="1:9" x14ac:dyDescent="0.25">
      <c r="A55" t="s">
        <v>956</v>
      </c>
      <c r="B55" t="s">
        <v>994</v>
      </c>
      <c r="C55" t="s">
        <v>960</v>
      </c>
      <c r="D55">
        <v>35.806865559999999</v>
      </c>
      <c r="E55" t="s">
        <v>957</v>
      </c>
      <c r="F55">
        <v>102.4126377</v>
      </c>
      <c r="G55" t="s">
        <v>958</v>
      </c>
      <c r="H55">
        <v>17256</v>
      </c>
      <c r="I55" t="s">
        <v>959</v>
      </c>
    </row>
    <row r="56" spans="1:9" x14ac:dyDescent="0.25">
      <c r="A56" t="s">
        <v>956</v>
      </c>
      <c r="B56" t="s">
        <v>963</v>
      </c>
      <c r="C56" t="s">
        <v>960</v>
      </c>
      <c r="D56">
        <v>33.569547200000002</v>
      </c>
      <c r="E56" t="s">
        <v>957</v>
      </c>
      <c r="F56">
        <v>99.802454699999998</v>
      </c>
      <c r="G56" t="s">
        <v>958</v>
      </c>
      <c r="H56">
        <v>8706</v>
      </c>
      <c r="I56" t="s">
        <v>959</v>
      </c>
    </row>
    <row r="57" spans="1:9" x14ac:dyDescent="0.25">
      <c r="A57" t="s">
        <v>956</v>
      </c>
      <c r="B57" t="s">
        <v>1076</v>
      </c>
      <c r="C57" t="s">
        <v>960</v>
      </c>
      <c r="D57">
        <v>36.826992500000003</v>
      </c>
      <c r="E57" t="s">
        <v>957</v>
      </c>
      <c r="F57">
        <v>101.62763169999999</v>
      </c>
      <c r="G57" t="s">
        <v>958</v>
      </c>
      <c r="H57">
        <v>24492</v>
      </c>
      <c r="I57" t="s">
        <v>959</v>
      </c>
    </row>
    <row r="58" spans="1:9" x14ac:dyDescent="0.25">
      <c r="A58" t="s">
        <v>956</v>
      </c>
      <c r="B58" t="s">
        <v>995</v>
      </c>
      <c r="C58" t="s">
        <v>960</v>
      </c>
      <c r="D58">
        <v>35.844768209999998</v>
      </c>
      <c r="E58" t="s">
        <v>957</v>
      </c>
      <c r="F58">
        <v>102.46537600000001</v>
      </c>
      <c r="G58" t="s">
        <v>958</v>
      </c>
      <c r="H58">
        <v>33022</v>
      </c>
      <c r="I58" t="s">
        <v>959</v>
      </c>
    </row>
    <row r="59" spans="1:9" x14ac:dyDescent="0.25">
      <c r="A59" t="s">
        <v>956</v>
      </c>
      <c r="B59" t="s">
        <v>996</v>
      </c>
      <c r="C59" t="s">
        <v>960</v>
      </c>
      <c r="D59">
        <v>36.301284780000003</v>
      </c>
      <c r="E59" t="s">
        <v>957</v>
      </c>
      <c r="F59">
        <v>102.29314720000001</v>
      </c>
      <c r="G59" t="s">
        <v>958</v>
      </c>
      <c r="H59">
        <v>18601</v>
      </c>
      <c r="I59" t="s">
        <v>959</v>
      </c>
    </row>
    <row r="60" spans="1:9" x14ac:dyDescent="0.25">
      <c r="A60" t="s">
        <v>956</v>
      </c>
      <c r="B60" t="s">
        <v>1058</v>
      </c>
      <c r="C60" t="s">
        <v>960</v>
      </c>
      <c r="D60">
        <v>36.07053938</v>
      </c>
      <c r="E60" t="s">
        <v>957</v>
      </c>
      <c r="F60">
        <v>101.7540843</v>
      </c>
      <c r="G60" t="s">
        <v>958</v>
      </c>
      <c r="H60">
        <v>10716</v>
      </c>
      <c r="I60" t="s">
        <v>959</v>
      </c>
    </row>
    <row r="61" spans="1:9" x14ac:dyDescent="0.25">
      <c r="A61" t="s">
        <v>956</v>
      </c>
      <c r="B61" t="s">
        <v>1059</v>
      </c>
      <c r="C61" t="s">
        <v>960</v>
      </c>
      <c r="D61">
        <v>36.043155820000003</v>
      </c>
      <c r="E61" t="s">
        <v>957</v>
      </c>
      <c r="F61">
        <v>101.9246091</v>
      </c>
      <c r="G61" t="s">
        <v>958</v>
      </c>
      <c r="H61">
        <v>8182</v>
      </c>
      <c r="I61" t="s">
        <v>959</v>
      </c>
    </row>
    <row r="62" spans="1:9" x14ac:dyDescent="0.25">
      <c r="A62" t="s">
        <v>956</v>
      </c>
      <c r="B62" t="s">
        <v>1042</v>
      </c>
      <c r="C62" t="s">
        <v>960</v>
      </c>
      <c r="D62">
        <v>36.793274889999999</v>
      </c>
      <c r="E62" t="s">
        <v>957</v>
      </c>
      <c r="F62">
        <v>97.868175629999996</v>
      </c>
      <c r="G62" t="s">
        <v>958</v>
      </c>
      <c r="H62">
        <v>12719</v>
      </c>
      <c r="I62" t="s">
        <v>959</v>
      </c>
    </row>
    <row r="63" spans="1:9" x14ac:dyDescent="0.25">
      <c r="A63" t="s">
        <v>956</v>
      </c>
      <c r="B63" t="s">
        <v>1043</v>
      </c>
      <c r="C63" t="s">
        <v>960</v>
      </c>
      <c r="D63">
        <v>37.997204799999999</v>
      </c>
      <c r="E63" t="s">
        <v>957</v>
      </c>
      <c r="F63">
        <v>97.059550509999994</v>
      </c>
      <c r="G63" t="s">
        <v>958</v>
      </c>
      <c r="H63">
        <v>12193</v>
      </c>
      <c r="I63" t="s">
        <v>959</v>
      </c>
    </row>
    <row r="64" spans="1:9" x14ac:dyDescent="0.25">
      <c r="A64" t="s">
        <v>956</v>
      </c>
      <c r="B64" t="s">
        <v>964</v>
      </c>
      <c r="C64" t="s">
        <v>960</v>
      </c>
      <c r="D64">
        <v>33.97758529</v>
      </c>
      <c r="E64" t="s">
        <v>957</v>
      </c>
      <c r="F64">
        <v>99.915908900000005</v>
      </c>
      <c r="G64" t="s">
        <v>958</v>
      </c>
      <c r="H64">
        <v>9530</v>
      </c>
      <c r="I64" t="s">
        <v>959</v>
      </c>
    </row>
    <row r="65" spans="1:9" x14ac:dyDescent="0.25">
      <c r="A65" t="s">
        <v>956</v>
      </c>
      <c r="B65" t="s">
        <v>965</v>
      </c>
      <c r="C65" t="s">
        <v>960</v>
      </c>
      <c r="D65">
        <v>34.569788090000003</v>
      </c>
      <c r="E65" t="s">
        <v>957</v>
      </c>
      <c r="F65">
        <v>100.5998922</v>
      </c>
      <c r="G65" t="s">
        <v>958</v>
      </c>
      <c r="H65">
        <v>12045</v>
      </c>
      <c r="I65" t="s">
        <v>959</v>
      </c>
    </row>
    <row r="66" spans="1:9" x14ac:dyDescent="0.25">
      <c r="A66" t="s">
        <v>956</v>
      </c>
      <c r="B66" t="s">
        <v>1077</v>
      </c>
      <c r="C66" t="s">
        <v>960</v>
      </c>
      <c r="D66">
        <v>36.776592360000002</v>
      </c>
      <c r="E66" t="s">
        <v>957</v>
      </c>
      <c r="F66">
        <v>101.471397</v>
      </c>
      <c r="G66" t="s">
        <v>958</v>
      </c>
      <c r="H66">
        <v>36601</v>
      </c>
      <c r="I66" t="s">
        <v>959</v>
      </c>
    </row>
    <row r="67" spans="1:9" x14ac:dyDescent="0.25">
      <c r="A67" t="s">
        <v>956</v>
      </c>
      <c r="B67" t="s">
        <v>1024</v>
      </c>
      <c r="C67" t="s">
        <v>960</v>
      </c>
      <c r="D67">
        <v>36.185098240000002</v>
      </c>
      <c r="E67" t="s">
        <v>957</v>
      </c>
      <c r="F67">
        <v>101.17525379999999</v>
      </c>
      <c r="G67" t="s">
        <v>958</v>
      </c>
      <c r="H67">
        <v>7591</v>
      </c>
      <c r="I67" t="s">
        <v>959</v>
      </c>
    </row>
    <row r="68" spans="1:9" x14ac:dyDescent="0.25">
      <c r="A68" t="s">
        <v>956</v>
      </c>
      <c r="B68" t="s">
        <v>1078</v>
      </c>
      <c r="C68" t="s">
        <v>960</v>
      </c>
      <c r="D68">
        <v>36.554914050000001</v>
      </c>
      <c r="E68" t="s">
        <v>957</v>
      </c>
      <c r="F68">
        <v>101.8512719</v>
      </c>
      <c r="G68" t="s">
        <v>958</v>
      </c>
      <c r="H68">
        <v>35640</v>
      </c>
      <c r="I68" t="s">
        <v>959</v>
      </c>
    </row>
    <row r="69" spans="1:9" x14ac:dyDescent="0.25">
      <c r="A69" t="s">
        <v>956</v>
      </c>
      <c r="B69" t="s">
        <v>1044</v>
      </c>
      <c r="C69" t="s">
        <v>960</v>
      </c>
      <c r="D69">
        <v>38.528053229999998</v>
      </c>
      <c r="E69" t="s">
        <v>957</v>
      </c>
      <c r="F69">
        <v>93.124997480000005</v>
      </c>
      <c r="G69" t="s">
        <v>958</v>
      </c>
      <c r="H69">
        <v>2434</v>
      </c>
      <c r="I69" t="s">
        <v>959</v>
      </c>
    </row>
    <row r="70" spans="1:9" x14ac:dyDescent="0.25">
      <c r="A70" t="s">
        <v>956</v>
      </c>
      <c r="B70" t="s">
        <v>997</v>
      </c>
      <c r="C70" t="s">
        <v>960</v>
      </c>
      <c r="D70">
        <v>36.210406640000002</v>
      </c>
      <c r="E70" t="s">
        <v>957</v>
      </c>
      <c r="F70">
        <v>102.6168366</v>
      </c>
      <c r="G70" t="s">
        <v>958</v>
      </c>
      <c r="H70">
        <v>16331</v>
      </c>
      <c r="I70" t="s">
        <v>959</v>
      </c>
    </row>
    <row r="71" spans="1:9" x14ac:dyDescent="0.25">
      <c r="A71" t="s">
        <v>956</v>
      </c>
      <c r="B71" t="s">
        <v>1079</v>
      </c>
      <c r="C71" t="s">
        <v>960</v>
      </c>
      <c r="D71">
        <v>36.807878019999997</v>
      </c>
      <c r="E71" t="s">
        <v>957</v>
      </c>
      <c r="F71">
        <v>101.5439478</v>
      </c>
      <c r="G71" t="s">
        <v>958</v>
      </c>
      <c r="H71">
        <v>24112</v>
      </c>
      <c r="I71" t="s">
        <v>959</v>
      </c>
    </row>
    <row r="72" spans="1:9" x14ac:dyDescent="0.25">
      <c r="A72" t="s">
        <v>956</v>
      </c>
      <c r="B72" t="s">
        <v>1094</v>
      </c>
      <c r="C72" t="s">
        <v>960</v>
      </c>
      <c r="D72">
        <v>33.265578339999998</v>
      </c>
      <c r="E72" t="s">
        <v>957</v>
      </c>
      <c r="F72">
        <v>96.268786090000006</v>
      </c>
      <c r="G72" t="s">
        <v>958</v>
      </c>
      <c r="H72">
        <v>7313</v>
      </c>
      <c r="I72" t="s">
        <v>959</v>
      </c>
    </row>
    <row r="73" spans="1:9" x14ac:dyDescent="0.25">
      <c r="A73" t="s">
        <v>956</v>
      </c>
      <c r="B73" t="s">
        <v>1060</v>
      </c>
      <c r="C73" t="s">
        <v>960</v>
      </c>
      <c r="D73">
        <v>35.504415260000002</v>
      </c>
      <c r="E73" t="s">
        <v>957</v>
      </c>
      <c r="F73">
        <v>101.9531436</v>
      </c>
      <c r="G73" t="s">
        <v>958</v>
      </c>
      <c r="H73">
        <v>35612</v>
      </c>
      <c r="I73" t="s">
        <v>959</v>
      </c>
    </row>
    <row r="74" spans="1:9" x14ac:dyDescent="0.25">
      <c r="A74" t="s">
        <v>956</v>
      </c>
      <c r="B74" t="s">
        <v>1025</v>
      </c>
      <c r="C74" t="s">
        <v>960</v>
      </c>
      <c r="D74">
        <v>36.169569150000001</v>
      </c>
      <c r="E74" t="s">
        <v>957</v>
      </c>
      <c r="F74">
        <v>100.78255</v>
      </c>
      <c r="G74" t="s">
        <v>958</v>
      </c>
      <c r="H74">
        <v>6578</v>
      </c>
      <c r="I74" t="s">
        <v>959</v>
      </c>
    </row>
    <row r="75" spans="1:9" x14ac:dyDescent="0.25">
      <c r="A75" t="s">
        <v>956</v>
      </c>
      <c r="B75" t="s">
        <v>1080</v>
      </c>
      <c r="C75" t="s">
        <v>960</v>
      </c>
      <c r="D75">
        <v>36.451618500000002</v>
      </c>
      <c r="E75" t="s">
        <v>957</v>
      </c>
      <c r="F75">
        <v>101.4720732</v>
      </c>
      <c r="G75" t="s">
        <v>958</v>
      </c>
      <c r="H75">
        <v>67153</v>
      </c>
      <c r="I75" t="s">
        <v>959</v>
      </c>
    </row>
    <row r="76" spans="1:9" x14ac:dyDescent="0.25">
      <c r="A76" t="s">
        <v>956</v>
      </c>
      <c r="B76" t="s">
        <v>966</v>
      </c>
      <c r="C76" t="s">
        <v>960</v>
      </c>
      <c r="D76">
        <v>34.586382980000003</v>
      </c>
      <c r="E76" t="s">
        <v>957</v>
      </c>
      <c r="F76">
        <v>97.953216389999994</v>
      </c>
      <c r="G76" t="s">
        <v>958</v>
      </c>
      <c r="H76">
        <v>4316</v>
      </c>
      <c r="I76" t="s">
        <v>959</v>
      </c>
    </row>
    <row r="77" spans="1:9" x14ac:dyDescent="0.25">
      <c r="A77" t="s">
        <v>956</v>
      </c>
      <c r="B77" t="s">
        <v>1061</v>
      </c>
      <c r="C77" t="s">
        <v>960</v>
      </c>
      <c r="D77">
        <v>35.311468779999998</v>
      </c>
      <c r="E77" t="s">
        <v>957</v>
      </c>
      <c r="F77">
        <v>101.7192221</v>
      </c>
      <c r="G77" t="s">
        <v>958</v>
      </c>
      <c r="H77">
        <v>11139</v>
      </c>
      <c r="I77" t="s">
        <v>959</v>
      </c>
    </row>
    <row r="78" spans="1:9" x14ac:dyDescent="0.25">
      <c r="A78" t="s">
        <v>956</v>
      </c>
      <c r="B78" t="s">
        <v>1062</v>
      </c>
      <c r="C78" t="s">
        <v>960</v>
      </c>
      <c r="D78">
        <v>35.936792859999997</v>
      </c>
      <c r="E78" t="s">
        <v>957</v>
      </c>
      <c r="F78">
        <v>101.9764131</v>
      </c>
      <c r="G78" t="s">
        <v>958</v>
      </c>
      <c r="H78">
        <v>19226</v>
      </c>
      <c r="I78" t="s">
        <v>959</v>
      </c>
    </row>
    <row r="79" spans="1:9" x14ac:dyDescent="0.25">
      <c r="A79" t="s">
        <v>956</v>
      </c>
      <c r="B79" t="s">
        <v>1026</v>
      </c>
      <c r="C79" t="s">
        <v>960</v>
      </c>
      <c r="D79">
        <v>35.569667209999999</v>
      </c>
      <c r="E79" t="s">
        <v>957</v>
      </c>
      <c r="F79">
        <v>100.71961210000001</v>
      </c>
      <c r="G79" t="s">
        <v>958</v>
      </c>
      <c r="H79">
        <v>15609</v>
      </c>
      <c r="I79" t="s">
        <v>959</v>
      </c>
    </row>
    <row r="80" spans="1:9" x14ac:dyDescent="0.25">
      <c r="A80" t="s">
        <v>956</v>
      </c>
      <c r="B80" t="s">
        <v>1045</v>
      </c>
      <c r="C80" t="s">
        <v>960</v>
      </c>
      <c r="D80">
        <v>38.38323639</v>
      </c>
      <c r="E80" t="s">
        <v>957</v>
      </c>
      <c r="F80">
        <v>90.2762113</v>
      </c>
      <c r="G80" t="s">
        <v>958</v>
      </c>
      <c r="H80">
        <v>3192</v>
      </c>
      <c r="I80" t="s">
        <v>959</v>
      </c>
    </row>
    <row r="81" spans="1:9" x14ac:dyDescent="0.25">
      <c r="A81" t="s">
        <v>956</v>
      </c>
      <c r="B81" t="s">
        <v>998</v>
      </c>
      <c r="C81" t="s">
        <v>960</v>
      </c>
      <c r="D81">
        <v>36.024870180000001</v>
      </c>
      <c r="E81" t="s">
        <v>957</v>
      </c>
      <c r="F81">
        <v>102.7386104</v>
      </c>
      <c r="G81" t="s">
        <v>958</v>
      </c>
      <c r="H81">
        <v>14362</v>
      </c>
      <c r="I81" t="s">
        <v>959</v>
      </c>
    </row>
    <row r="82" spans="1:9" x14ac:dyDescent="0.25">
      <c r="A82" t="s">
        <v>956</v>
      </c>
      <c r="B82" t="s">
        <v>999</v>
      </c>
      <c r="C82" t="s">
        <v>960</v>
      </c>
      <c r="D82">
        <v>36.051912160000001</v>
      </c>
      <c r="E82" t="s">
        <v>957</v>
      </c>
      <c r="F82">
        <v>102.8229261</v>
      </c>
      <c r="G82" t="s">
        <v>958</v>
      </c>
      <c r="H82">
        <v>22415</v>
      </c>
      <c r="I82" t="s">
        <v>959</v>
      </c>
    </row>
    <row r="83" spans="1:9" x14ac:dyDescent="0.25">
      <c r="A83" t="s">
        <v>956</v>
      </c>
      <c r="B83" t="s">
        <v>974</v>
      </c>
      <c r="C83" t="s">
        <v>960</v>
      </c>
      <c r="D83">
        <v>37.802526450000002</v>
      </c>
      <c r="E83" t="s">
        <v>957</v>
      </c>
      <c r="F83">
        <v>100.5475677</v>
      </c>
      <c r="G83" t="s">
        <v>958</v>
      </c>
      <c r="H83">
        <v>6843</v>
      </c>
      <c r="I83" t="s">
        <v>959</v>
      </c>
    </row>
    <row r="84" spans="1:9" x14ac:dyDescent="0.25">
      <c r="A84" t="s">
        <v>956</v>
      </c>
      <c r="B84" t="s">
        <v>1046</v>
      </c>
      <c r="C84" t="s">
        <v>960</v>
      </c>
      <c r="D84">
        <v>38.13213373</v>
      </c>
      <c r="E84" t="s">
        <v>957</v>
      </c>
      <c r="F84">
        <v>99.230377570000002</v>
      </c>
      <c r="G84" t="s">
        <v>958</v>
      </c>
      <c r="H84">
        <v>6329</v>
      </c>
      <c r="I84" t="s">
        <v>959</v>
      </c>
    </row>
    <row r="85" spans="1:9" x14ac:dyDescent="0.25">
      <c r="A85" t="s">
        <v>956</v>
      </c>
      <c r="B85" t="s">
        <v>1000</v>
      </c>
      <c r="C85" t="s">
        <v>960</v>
      </c>
      <c r="D85">
        <v>37.041924369999997</v>
      </c>
      <c r="E85" t="s">
        <v>957</v>
      </c>
      <c r="F85">
        <v>101.92630250000001</v>
      </c>
      <c r="G85" t="s">
        <v>958</v>
      </c>
      <c r="H85">
        <v>17280</v>
      </c>
      <c r="I85" t="s">
        <v>959</v>
      </c>
    </row>
    <row r="86" spans="1:9" x14ac:dyDescent="0.25">
      <c r="A86" t="s">
        <v>956</v>
      </c>
      <c r="B86" t="s">
        <v>1001</v>
      </c>
      <c r="C86" t="s">
        <v>960</v>
      </c>
      <c r="D86">
        <v>36.46704415</v>
      </c>
      <c r="E86" t="s">
        <v>957</v>
      </c>
      <c r="F86">
        <v>102.3955607</v>
      </c>
      <c r="G86" t="s">
        <v>958</v>
      </c>
      <c r="H86">
        <v>75934</v>
      </c>
      <c r="I86" t="s">
        <v>959</v>
      </c>
    </row>
    <row r="87" spans="1:9" x14ac:dyDescent="0.25">
      <c r="A87" t="s">
        <v>956</v>
      </c>
      <c r="B87" t="s">
        <v>1081</v>
      </c>
      <c r="C87" t="s">
        <v>960</v>
      </c>
      <c r="D87">
        <v>36.720458729999997</v>
      </c>
      <c r="E87" t="s">
        <v>957</v>
      </c>
      <c r="F87">
        <v>101.7514661</v>
      </c>
      <c r="G87" t="s">
        <v>958</v>
      </c>
      <c r="H87">
        <v>41134</v>
      </c>
      <c r="I87" t="s">
        <v>959</v>
      </c>
    </row>
    <row r="88" spans="1:9" x14ac:dyDescent="0.25">
      <c r="A88" t="s">
        <v>956</v>
      </c>
      <c r="B88" t="s">
        <v>1063</v>
      </c>
      <c r="C88" t="s">
        <v>960</v>
      </c>
      <c r="D88">
        <v>34.566601509999998</v>
      </c>
      <c r="E88" t="s">
        <v>957</v>
      </c>
      <c r="F88">
        <v>101.16979259999999</v>
      </c>
      <c r="G88" t="s">
        <v>958</v>
      </c>
      <c r="H88">
        <v>9677</v>
      </c>
      <c r="I88" t="s">
        <v>959</v>
      </c>
    </row>
    <row r="89" spans="1:9" x14ac:dyDescent="0.25">
      <c r="A89" t="s">
        <v>956</v>
      </c>
      <c r="B89" t="s">
        <v>1064</v>
      </c>
      <c r="C89" t="s">
        <v>960</v>
      </c>
      <c r="D89">
        <v>35.046971540000001</v>
      </c>
      <c r="E89" t="s">
        <v>957</v>
      </c>
      <c r="F89">
        <v>100.9989854</v>
      </c>
      <c r="G89" t="s">
        <v>958</v>
      </c>
      <c r="H89">
        <v>14620</v>
      </c>
      <c r="I89" t="s">
        <v>959</v>
      </c>
    </row>
    <row r="90" spans="1:9" x14ac:dyDescent="0.25">
      <c r="A90" t="s">
        <v>956</v>
      </c>
      <c r="B90" t="s">
        <v>1082</v>
      </c>
      <c r="C90" t="s">
        <v>960</v>
      </c>
      <c r="D90">
        <v>36.626881769999997</v>
      </c>
      <c r="E90" t="s">
        <v>957</v>
      </c>
      <c r="F90">
        <v>101.68514039999999</v>
      </c>
      <c r="G90" t="s">
        <v>958</v>
      </c>
      <c r="H90">
        <v>25206</v>
      </c>
      <c r="I90" t="s">
        <v>959</v>
      </c>
    </row>
    <row r="91" spans="1:9" x14ac:dyDescent="0.25">
      <c r="A91" t="s">
        <v>956</v>
      </c>
      <c r="B91" t="s">
        <v>1002</v>
      </c>
      <c r="C91" t="s">
        <v>960</v>
      </c>
      <c r="D91">
        <v>36.484595509999998</v>
      </c>
      <c r="E91" t="s">
        <v>957</v>
      </c>
      <c r="F91">
        <v>102.1156939</v>
      </c>
      <c r="G91" t="s">
        <v>958</v>
      </c>
      <c r="H91">
        <v>57152</v>
      </c>
      <c r="I91" t="s">
        <v>959</v>
      </c>
    </row>
    <row r="92" spans="1:9" x14ac:dyDescent="0.25">
      <c r="A92" t="s">
        <v>956</v>
      </c>
      <c r="B92" t="s">
        <v>1027</v>
      </c>
      <c r="C92" t="s">
        <v>960</v>
      </c>
      <c r="D92">
        <v>36.296471930000003</v>
      </c>
      <c r="E92" t="s">
        <v>957</v>
      </c>
      <c r="F92">
        <v>100.59236129999999</v>
      </c>
      <c r="G92" t="s">
        <v>958</v>
      </c>
      <c r="H92">
        <v>52500</v>
      </c>
      <c r="I92" t="s">
        <v>959</v>
      </c>
    </row>
    <row r="93" spans="1:9" x14ac:dyDescent="0.25">
      <c r="A93" t="s">
        <v>956</v>
      </c>
      <c r="B93" t="s">
        <v>1083</v>
      </c>
      <c r="C93" t="s">
        <v>960</v>
      </c>
      <c r="D93">
        <v>36.920131249999997</v>
      </c>
      <c r="E93" t="s">
        <v>957</v>
      </c>
      <c r="F93">
        <v>101.6779061</v>
      </c>
      <c r="G93" t="s">
        <v>958</v>
      </c>
      <c r="H93">
        <v>114712</v>
      </c>
      <c r="I93" t="s">
        <v>959</v>
      </c>
    </row>
    <row r="94" spans="1:9" x14ac:dyDescent="0.25">
      <c r="A94" t="s">
        <v>956</v>
      </c>
      <c r="B94" t="s">
        <v>975</v>
      </c>
      <c r="C94" t="s">
        <v>960</v>
      </c>
      <c r="D94">
        <v>37.423212149999998</v>
      </c>
      <c r="E94" t="s">
        <v>957</v>
      </c>
      <c r="F94">
        <v>101.3971919</v>
      </c>
      <c r="G94" t="s">
        <v>958</v>
      </c>
      <c r="H94">
        <v>28561</v>
      </c>
      <c r="I94" t="s">
        <v>959</v>
      </c>
    </row>
    <row r="95" spans="1:9" x14ac:dyDescent="0.25">
      <c r="A95" t="s">
        <v>956</v>
      </c>
      <c r="B95" t="s">
        <v>1095</v>
      </c>
      <c r="C95" t="s">
        <v>960</v>
      </c>
      <c r="D95">
        <v>34.134415070000003</v>
      </c>
      <c r="E95" t="s">
        <v>957</v>
      </c>
      <c r="F95">
        <v>97.234308220000003</v>
      </c>
      <c r="G95" t="s">
        <v>958</v>
      </c>
      <c r="H95">
        <v>7883</v>
      </c>
      <c r="I95" t="s">
        <v>959</v>
      </c>
    </row>
    <row r="96" spans="1:9" x14ac:dyDescent="0.25">
      <c r="A96" t="s">
        <v>956</v>
      </c>
      <c r="B96" t="s">
        <v>976</v>
      </c>
      <c r="C96" t="s">
        <v>960</v>
      </c>
      <c r="D96">
        <v>37.409427430000001</v>
      </c>
      <c r="E96" t="s">
        <v>957</v>
      </c>
      <c r="F96">
        <v>101.7887332</v>
      </c>
      <c r="G96" t="s">
        <v>958</v>
      </c>
      <c r="H96">
        <v>18308</v>
      </c>
      <c r="I96" t="s">
        <v>959</v>
      </c>
    </row>
    <row r="97" spans="1:9" x14ac:dyDescent="0.25">
      <c r="A97" t="s">
        <v>956</v>
      </c>
      <c r="B97" t="s">
        <v>1003</v>
      </c>
      <c r="C97" t="s">
        <v>960</v>
      </c>
      <c r="D97">
        <v>36.030505769999998</v>
      </c>
      <c r="E97" t="s">
        <v>957</v>
      </c>
      <c r="F97">
        <v>102.01962829999999</v>
      </c>
      <c r="G97" t="s">
        <v>958</v>
      </c>
      <c r="H97">
        <v>23400</v>
      </c>
      <c r="I97" t="s">
        <v>959</v>
      </c>
    </row>
    <row r="98" spans="1:9" x14ac:dyDescent="0.25">
      <c r="A98" t="s">
        <v>956</v>
      </c>
      <c r="B98" t="s">
        <v>1028</v>
      </c>
      <c r="C98" t="s">
        <v>960</v>
      </c>
      <c r="D98">
        <v>35.364804489999997</v>
      </c>
      <c r="E98" t="s">
        <v>957</v>
      </c>
      <c r="F98">
        <v>99.922058649999997</v>
      </c>
      <c r="G98" t="s">
        <v>958</v>
      </c>
      <c r="H98">
        <v>5389</v>
      </c>
      <c r="I98" t="s">
        <v>959</v>
      </c>
    </row>
    <row r="99" spans="1:9" x14ac:dyDescent="0.25">
      <c r="A99" t="s">
        <v>956</v>
      </c>
      <c r="B99" t="s">
        <v>1096</v>
      </c>
      <c r="C99" t="s">
        <v>960</v>
      </c>
      <c r="D99">
        <v>33.065266999999999</v>
      </c>
      <c r="E99" t="s">
        <v>957</v>
      </c>
      <c r="F99">
        <v>95.611051880000005</v>
      </c>
      <c r="G99" t="s">
        <v>958</v>
      </c>
      <c r="H99">
        <v>25869</v>
      </c>
      <c r="I99" t="s">
        <v>959</v>
      </c>
    </row>
    <row r="100" spans="1:9" x14ac:dyDescent="0.25">
      <c r="A100" t="s">
        <v>956</v>
      </c>
      <c r="B100" t="s">
        <v>967</v>
      </c>
      <c r="C100" t="s">
        <v>960</v>
      </c>
      <c r="D100">
        <v>32.857750879999998</v>
      </c>
      <c r="E100" t="s">
        <v>957</v>
      </c>
      <c r="F100">
        <v>100.67397889999999</v>
      </c>
      <c r="G100" t="s">
        <v>958</v>
      </c>
      <c r="H100">
        <v>6907</v>
      </c>
      <c r="I100" t="s">
        <v>959</v>
      </c>
    </row>
    <row r="101" spans="1:9" x14ac:dyDescent="0.25">
      <c r="A101" t="s">
        <v>956</v>
      </c>
      <c r="B101" t="s">
        <v>1004</v>
      </c>
      <c r="C101" t="s">
        <v>960</v>
      </c>
      <c r="D101">
        <v>36.389414969999997</v>
      </c>
      <c r="E101" t="s">
        <v>957</v>
      </c>
      <c r="F101">
        <v>101.9552541</v>
      </c>
      <c r="G101" t="s">
        <v>958</v>
      </c>
      <c r="H101">
        <v>8411</v>
      </c>
      <c r="I101" t="s">
        <v>959</v>
      </c>
    </row>
    <row r="102" spans="1:9" x14ac:dyDescent="0.25">
      <c r="A102" t="s">
        <v>956</v>
      </c>
      <c r="B102" t="s">
        <v>977</v>
      </c>
      <c r="C102" t="s">
        <v>960</v>
      </c>
      <c r="D102">
        <v>36.83363817</v>
      </c>
      <c r="E102" t="s">
        <v>957</v>
      </c>
      <c r="F102">
        <v>100.90688419999999</v>
      </c>
      <c r="G102" t="s">
        <v>958</v>
      </c>
      <c r="H102">
        <v>11196</v>
      </c>
      <c r="I102" t="s">
        <v>959</v>
      </c>
    </row>
    <row r="103" spans="1:9" x14ac:dyDescent="0.25">
      <c r="A103" t="s">
        <v>956</v>
      </c>
      <c r="B103" t="s">
        <v>1029</v>
      </c>
      <c r="C103" t="s">
        <v>960</v>
      </c>
      <c r="D103">
        <v>35.472644819999999</v>
      </c>
      <c r="E103" t="s">
        <v>957</v>
      </c>
      <c r="F103">
        <v>101.1378902</v>
      </c>
      <c r="G103" t="s">
        <v>958</v>
      </c>
      <c r="H103">
        <v>14346</v>
      </c>
      <c r="I103" t="s">
        <v>959</v>
      </c>
    </row>
    <row r="104" spans="1:9" x14ac:dyDescent="0.25">
      <c r="A104" t="s">
        <v>956</v>
      </c>
      <c r="B104" t="s">
        <v>978</v>
      </c>
      <c r="C104" t="s">
        <v>960</v>
      </c>
      <c r="D104">
        <v>37.538142039999997</v>
      </c>
      <c r="E104" t="s">
        <v>957</v>
      </c>
      <c r="F104">
        <v>100.19686539999999</v>
      </c>
      <c r="G104" t="s">
        <v>958</v>
      </c>
      <c r="H104">
        <v>12964</v>
      </c>
      <c r="I104" t="s">
        <v>959</v>
      </c>
    </row>
    <row r="105" spans="1:9" x14ac:dyDescent="0.25">
      <c r="A105" t="s">
        <v>956</v>
      </c>
      <c r="B105" t="s">
        <v>1084</v>
      </c>
      <c r="C105" t="s">
        <v>960</v>
      </c>
      <c r="D105">
        <v>36.887981920000001</v>
      </c>
      <c r="E105" t="s">
        <v>957</v>
      </c>
      <c r="F105">
        <v>101.3412</v>
      </c>
      <c r="G105" t="s">
        <v>958</v>
      </c>
      <c r="H105">
        <v>27669</v>
      </c>
      <c r="I105" t="s">
        <v>959</v>
      </c>
    </row>
    <row r="106" spans="1:9" x14ac:dyDescent="0.25">
      <c r="A106" t="s">
        <v>956</v>
      </c>
      <c r="B106" t="s">
        <v>1085</v>
      </c>
      <c r="C106" t="s">
        <v>960</v>
      </c>
      <c r="D106">
        <v>36.400341410000003</v>
      </c>
      <c r="E106" t="s">
        <v>957</v>
      </c>
      <c r="F106">
        <v>101.5597033</v>
      </c>
      <c r="G106" t="s">
        <v>958</v>
      </c>
      <c r="H106">
        <v>32437</v>
      </c>
      <c r="I106" t="s">
        <v>959</v>
      </c>
    </row>
    <row r="107" spans="1:9" x14ac:dyDescent="0.25">
      <c r="A107" t="s">
        <v>956</v>
      </c>
      <c r="B107" t="s">
        <v>1030</v>
      </c>
      <c r="C107" t="s">
        <v>960</v>
      </c>
      <c r="D107">
        <v>36.838721620000001</v>
      </c>
      <c r="E107" t="s">
        <v>957</v>
      </c>
      <c r="F107">
        <v>99.911646379999993</v>
      </c>
      <c r="G107" t="s">
        <v>958</v>
      </c>
      <c r="H107">
        <v>6571</v>
      </c>
      <c r="I107" t="s">
        <v>959</v>
      </c>
    </row>
    <row r="108" spans="1:9" x14ac:dyDescent="0.25">
      <c r="A108" t="s">
        <v>956</v>
      </c>
      <c r="B108" t="s">
        <v>1005</v>
      </c>
      <c r="C108" t="s">
        <v>960</v>
      </c>
      <c r="D108">
        <v>36.677160190000002</v>
      </c>
      <c r="E108" t="s">
        <v>957</v>
      </c>
      <c r="F108">
        <v>102.4229718</v>
      </c>
      <c r="G108" t="s">
        <v>958</v>
      </c>
      <c r="H108">
        <v>22227</v>
      </c>
      <c r="I108" t="s">
        <v>959</v>
      </c>
    </row>
    <row r="109" spans="1:9" x14ac:dyDescent="0.25">
      <c r="A109" t="s">
        <v>956</v>
      </c>
      <c r="B109" t="s">
        <v>1086</v>
      </c>
      <c r="C109" t="s">
        <v>960</v>
      </c>
      <c r="D109">
        <v>37.042024429999998</v>
      </c>
      <c r="E109" t="s">
        <v>957</v>
      </c>
      <c r="F109">
        <v>101.6553119</v>
      </c>
      <c r="G109" t="s">
        <v>958</v>
      </c>
      <c r="H109">
        <v>31453</v>
      </c>
      <c r="I109" t="s">
        <v>959</v>
      </c>
    </row>
    <row r="110" spans="1:9" x14ac:dyDescent="0.25">
      <c r="A110" t="s">
        <v>956</v>
      </c>
      <c r="B110" t="s">
        <v>1006</v>
      </c>
      <c r="C110" t="s">
        <v>960</v>
      </c>
      <c r="D110">
        <v>36.704878119999996</v>
      </c>
      <c r="E110" t="s">
        <v>957</v>
      </c>
      <c r="F110">
        <v>101.9060927</v>
      </c>
      <c r="G110" t="s">
        <v>958</v>
      </c>
      <c r="H110">
        <v>38407</v>
      </c>
      <c r="I110" t="s">
        <v>959</v>
      </c>
    </row>
    <row r="111" spans="1:9" x14ac:dyDescent="0.25">
      <c r="A111" t="s">
        <v>956</v>
      </c>
      <c r="B111" t="s">
        <v>1031</v>
      </c>
      <c r="C111" t="s">
        <v>960</v>
      </c>
      <c r="D111">
        <v>36.314469389999999</v>
      </c>
      <c r="E111" t="s">
        <v>957</v>
      </c>
      <c r="F111">
        <v>100.0624947</v>
      </c>
      <c r="G111" t="s">
        <v>958</v>
      </c>
      <c r="H111">
        <v>10214</v>
      </c>
      <c r="I111" t="s">
        <v>959</v>
      </c>
    </row>
    <row r="112" spans="1:9" x14ac:dyDescent="0.25">
      <c r="A112" t="s">
        <v>956</v>
      </c>
      <c r="B112" t="s">
        <v>1032</v>
      </c>
      <c r="C112" t="s">
        <v>960</v>
      </c>
      <c r="D112">
        <v>35.085176939999997</v>
      </c>
      <c r="E112" t="s">
        <v>957</v>
      </c>
      <c r="F112">
        <v>100.5092144</v>
      </c>
      <c r="G112" t="s">
        <v>958</v>
      </c>
      <c r="H112">
        <v>11259</v>
      </c>
      <c r="I112" t="s">
        <v>959</v>
      </c>
    </row>
    <row r="113" spans="1:9" x14ac:dyDescent="0.25">
      <c r="A113" t="s">
        <v>956</v>
      </c>
      <c r="B113" t="s">
        <v>1047</v>
      </c>
      <c r="C113" t="s">
        <v>960</v>
      </c>
      <c r="D113">
        <v>33.806196200000002</v>
      </c>
      <c r="E113" t="s">
        <v>957</v>
      </c>
      <c r="F113">
        <v>91.357667620000001</v>
      </c>
      <c r="G113" t="s">
        <v>958</v>
      </c>
      <c r="H113">
        <v>1605</v>
      </c>
      <c r="I113" t="s">
        <v>959</v>
      </c>
    </row>
    <row r="114" spans="1:9" x14ac:dyDescent="0.25">
      <c r="A114" t="s">
        <v>956</v>
      </c>
      <c r="B114" t="s">
        <v>1087</v>
      </c>
      <c r="C114" t="s">
        <v>960</v>
      </c>
      <c r="D114">
        <v>36.407506490000003</v>
      </c>
      <c r="E114" t="s">
        <v>957</v>
      </c>
      <c r="F114">
        <v>101.7859151</v>
      </c>
      <c r="G114" t="s">
        <v>958</v>
      </c>
      <c r="H114">
        <v>38229</v>
      </c>
      <c r="I114" t="s">
        <v>959</v>
      </c>
    </row>
    <row r="115" spans="1:9" x14ac:dyDescent="0.25">
      <c r="A115" t="s">
        <v>956</v>
      </c>
      <c r="B115" t="s">
        <v>1048</v>
      </c>
      <c r="C115" t="s">
        <v>960</v>
      </c>
      <c r="D115">
        <v>36.924641289999997</v>
      </c>
      <c r="E115" t="s">
        <v>957</v>
      </c>
      <c r="F115">
        <v>98.695012950000006</v>
      </c>
      <c r="G115" t="s">
        <v>958</v>
      </c>
      <c r="H115">
        <v>7214</v>
      </c>
      <c r="I115" t="s">
        <v>959</v>
      </c>
    </row>
    <row r="116" spans="1:9" x14ac:dyDescent="0.25">
      <c r="A116" t="s">
        <v>956</v>
      </c>
      <c r="B116" t="s">
        <v>1007</v>
      </c>
      <c r="C116" t="s">
        <v>960</v>
      </c>
      <c r="D116">
        <v>36.845760149999997</v>
      </c>
      <c r="E116" t="s">
        <v>957</v>
      </c>
      <c r="F116">
        <v>101.9730563</v>
      </c>
      <c r="G116" t="s">
        <v>958</v>
      </c>
      <c r="H116">
        <v>66490</v>
      </c>
      <c r="I116" t="s">
        <v>959</v>
      </c>
    </row>
    <row r="117" spans="1:9" x14ac:dyDescent="0.25">
      <c r="A117" t="s">
        <v>956</v>
      </c>
      <c r="B117" t="s">
        <v>1008</v>
      </c>
      <c r="C117" t="s">
        <v>960</v>
      </c>
      <c r="D117">
        <v>36.88640462</v>
      </c>
      <c r="E117" t="s">
        <v>957</v>
      </c>
      <c r="F117">
        <v>101.85237429999999</v>
      </c>
      <c r="G117" t="s">
        <v>958</v>
      </c>
      <c r="H117">
        <v>22775</v>
      </c>
      <c r="I117" t="s">
        <v>959</v>
      </c>
    </row>
    <row r="118" spans="1:9" x14ac:dyDescent="0.25">
      <c r="A118" t="s">
        <v>956</v>
      </c>
      <c r="B118" t="s">
        <v>1009</v>
      </c>
      <c r="C118" t="s">
        <v>960</v>
      </c>
      <c r="D118">
        <v>36.768083300000001</v>
      </c>
      <c r="E118" t="s">
        <v>957</v>
      </c>
      <c r="F118">
        <v>102.17661459999999</v>
      </c>
      <c r="G118" t="s">
        <v>958</v>
      </c>
      <c r="H118">
        <v>18067</v>
      </c>
      <c r="I118" t="s">
        <v>959</v>
      </c>
    </row>
    <row r="119" spans="1:9" x14ac:dyDescent="0.25">
      <c r="A119" t="s">
        <v>956</v>
      </c>
      <c r="B119" t="s">
        <v>1097</v>
      </c>
      <c r="C119" t="s">
        <v>960</v>
      </c>
      <c r="D119">
        <v>32.643604869999997</v>
      </c>
      <c r="E119" t="s">
        <v>957</v>
      </c>
      <c r="F119">
        <v>96.565650790000007</v>
      </c>
      <c r="G119" t="s">
        <v>958</v>
      </c>
      <c r="H119">
        <v>13494</v>
      </c>
      <c r="I119" t="s">
        <v>959</v>
      </c>
    </row>
    <row r="120" spans="1:9" x14ac:dyDescent="0.25">
      <c r="A120" t="s">
        <v>956</v>
      </c>
      <c r="B120" t="s">
        <v>1010</v>
      </c>
      <c r="C120" t="s">
        <v>960</v>
      </c>
      <c r="D120">
        <v>36.233664210000001</v>
      </c>
      <c r="E120" t="s">
        <v>957</v>
      </c>
      <c r="F120">
        <v>102.5281067</v>
      </c>
      <c r="G120" t="s">
        <v>958</v>
      </c>
      <c r="H120">
        <v>12483</v>
      </c>
      <c r="I120" t="s">
        <v>959</v>
      </c>
    </row>
    <row r="121" spans="1:9" x14ac:dyDescent="0.25">
      <c r="A121" t="s">
        <v>956</v>
      </c>
      <c r="B121" t="s">
        <v>1098</v>
      </c>
      <c r="C121" t="s">
        <v>960</v>
      </c>
      <c r="D121">
        <v>32.248048279999999</v>
      </c>
      <c r="E121" t="s">
        <v>957</v>
      </c>
      <c r="F121">
        <v>96.492265349999997</v>
      </c>
      <c r="G121" t="s">
        <v>958</v>
      </c>
      <c r="H121">
        <v>32175</v>
      </c>
      <c r="I121" t="s">
        <v>959</v>
      </c>
    </row>
    <row r="122" spans="1:9" x14ac:dyDescent="0.25">
      <c r="A122" t="s">
        <v>956</v>
      </c>
      <c r="B122" t="s">
        <v>1049</v>
      </c>
      <c r="C122" t="s">
        <v>960</v>
      </c>
      <c r="D122">
        <v>36.09634827</v>
      </c>
      <c r="E122" t="s">
        <v>957</v>
      </c>
      <c r="F122">
        <v>97.744971789999994</v>
      </c>
      <c r="G122" t="s">
        <v>958</v>
      </c>
      <c r="H122">
        <v>25247</v>
      </c>
      <c r="I122" t="s">
        <v>959</v>
      </c>
    </row>
    <row r="123" spans="1:9" x14ac:dyDescent="0.25">
      <c r="A123" t="s">
        <v>956</v>
      </c>
      <c r="B123" t="s">
        <v>1011</v>
      </c>
      <c r="C123" t="s">
        <v>960</v>
      </c>
      <c r="D123">
        <v>36.519330889999999</v>
      </c>
      <c r="E123" t="s">
        <v>957</v>
      </c>
      <c r="F123">
        <v>101.9627409</v>
      </c>
      <c r="G123" t="s">
        <v>958</v>
      </c>
      <c r="H123">
        <v>10623</v>
      </c>
      <c r="I123" t="s">
        <v>959</v>
      </c>
    </row>
    <row r="124" spans="1:9" x14ac:dyDescent="0.25">
      <c r="A124" t="s">
        <v>956</v>
      </c>
      <c r="B124" t="s">
        <v>1050</v>
      </c>
      <c r="C124" t="s">
        <v>960</v>
      </c>
      <c r="D124">
        <v>36.445969359999999</v>
      </c>
      <c r="E124" t="s">
        <v>957</v>
      </c>
      <c r="F124">
        <v>98.528102730000001</v>
      </c>
      <c r="G124" t="s">
        <v>958</v>
      </c>
      <c r="H124">
        <v>5387</v>
      </c>
      <c r="I124" t="s">
        <v>959</v>
      </c>
    </row>
    <row r="125" spans="1:9" x14ac:dyDescent="0.25">
      <c r="A125" t="s">
        <v>956</v>
      </c>
      <c r="B125" t="s">
        <v>1088</v>
      </c>
      <c r="C125" t="s">
        <v>960</v>
      </c>
      <c r="D125">
        <v>36.580265650000001</v>
      </c>
      <c r="E125" t="s">
        <v>957</v>
      </c>
      <c r="F125">
        <v>101.61082620000001</v>
      </c>
      <c r="G125" t="s">
        <v>958</v>
      </c>
      <c r="H125">
        <v>23131</v>
      </c>
      <c r="I125" t="s">
        <v>959</v>
      </c>
    </row>
    <row r="126" spans="1:9" x14ac:dyDescent="0.25">
      <c r="A126" t="s">
        <v>956</v>
      </c>
      <c r="B126" t="s">
        <v>1099</v>
      </c>
      <c r="C126" t="s">
        <v>960</v>
      </c>
      <c r="D126">
        <v>33.07260359</v>
      </c>
      <c r="E126" t="s">
        <v>957</v>
      </c>
      <c r="F126">
        <v>97.406182610000002</v>
      </c>
      <c r="G126" t="s">
        <v>958</v>
      </c>
      <c r="H126">
        <v>5372</v>
      </c>
      <c r="I126" t="s">
        <v>959</v>
      </c>
    </row>
    <row r="127" spans="1:9" x14ac:dyDescent="0.25">
      <c r="A127" t="s">
        <v>956</v>
      </c>
      <c r="B127" t="s">
        <v>979</v>
      </c>
      <c r="C127" t="s">
        <v>960</v>
      </c>
      <c r="D127">
        <v>36.956867389999999</v>
      </c>
      <c r="E127" t="s">
        <v>957</v>
      </c>
      <c r="F127">
        <v>100.9065045</v>
      </c>
      <c r="G127" t="s">
        <v>958</v>
      </c>
      <c r="H127">
        <v>13161</v>
      </c>
      <c r="I127" t="s">
        <v>959</v>
      </c>
    </row>
    <row r="128" spans="1:9" x14ac:dyDescent="0.25">
      <c r="A128" t="s">
        <v>956</v>
      </c>
      <c r="B128" t="s">
        <v>1051</v>
      </c>
      <c r="C128" t="s">
        <v>960</v>
      </c>
      <c r="D128">
        <v>36.906632309999999</v>
      </c>
      <c r="E128" t="s">
        <v>957</v>
      </c>
      <c r="F128">
        <v>98.507394210000001</v>
      </c>
      <c r="G128" t="s">
        <v>958</v>
      </c>
      <c r="H128">
        <v>13723</v>
      </c>
      <c r="I128" t="s">
        <v>959</v>
      </c>
    </row>
    <row r="129" spans="1:9" x14ac:dyDescent="0.25">
      <c r="A129" t="s">
        <v>956</v>
      </c>
      <c r="B129" t="s">
        <v>1052</v>
      </c>
      <c r="C129" t="s">
        <v>960</v>
      </c>
      <c r="D129">
        <v>37.133218139999997</v>
      </c>
      <c r="E129" t="s">
        <v>957</v>
      </c>
      <c r="F129">
        <v>99.081849610000006</v>
      </c>
      <c r="G129" t="s">
        <v>958</v>
      </c>
      <c r="H129">
        <v>16585</v>
      </c>
      <c r="I129" t="s">
        <v>959</v>
      </c>
    </row>
    <row r="130" spans="1:9" x14ac:dyDescent="0.25">
      <c r="A130" t="s">
        <v>956</v>
      </c>
      <c r="B130" t="s">
        <v>1089</v>
      </c>
      <c r="C130" t="s">
        <v>960</v>
      </c>
      <c r="D130">
        <v>37.074894960000002</v>
      </c>
      <c r="E130" t="s">
        <v>957</v>
      </c>
      <c r="F130">
        <v>101.6059865</v>
      </c>
      <c r="G130" t="s">
        <v>958</v>
      </c>
      <c r="H130">
        <v>15785</v>
      </c>
      <c r="I130" t="s">
        <v>959</v>
      </c>
    </row>
    <row r="131" spans="1:9" x14ac:dyDescent="0.25">
      <c r="A131" t="s">
        <v>956</v>
      </c>
      <c r="B131" t="s">
        <v>1053</v>
      </c>
      <c r="C131" t="s">
        <v>960</v>
      </c>
      <c r="D131">
        <v>37.337074739999998</v>
      </c>
      <c r="E131" t="s">
        <v>957</v>
      </c>
      <c r="F131">
        <v>95.437729579999996</v>
      </c>
      <c r="G131" t="s">
        <v>958</v>
      </c>
      <c r="H131">
        <v>3921</v>
      </c>
      <c r="I131" t="s">
        <v>959</v>
      </c>
    </row>
    <row r="132" spans="1:9" x14ac:dyDescent="0.25">
      <c r="A132" t="s">
        <v>956</v>
      </c>
      <c r="B132" t="s">
        <v>1012</v>
      </c>
      <c r="C132" t="s">
        <v>960</v>
      </c>
      <c r="D132">
        <v>36.111835669999998</v>
      </c>
      <c r="E132" t="s">
        <v>957</v>
      </c>
      <c r="F132">
        <v>101.9421186</v>
      </c>
      <c r="G132" t="s">
        <v>958</v>
      </c>
      <c r="H132">
        <v>13580</v>
      </c>
      <c r="I132" t="s">
        <v>959</v>
      </c>
    </row>
    <row r="133" spans="1:9" x14ac:dyDescent="0.25">
      <c r="A133" t="s">
        <v>956</v>
      </c>
      <c r="B133" t="s">
        <v>1065</v>
      </c>
      <c r="C133" t="s">
        <v>960</v>
      </c>
      <c r="D133">
        <v>34.641270720000001</v>
      </c>
      <c r="E133" t="s">
        <v>957</v>
      </c>
      <c r="F133">
        <v>101.58574489999999</v>
      </c>
      <c r="G133" t="s">
        <v>958</v>
      </c>
      <c r="H133">
        <v>21323</v>
      </c>
      <c r="I133" t="s">
        <v>959</v>
      </c>
    </row>
    <row r="134" spans="1:9" x14ac:dyDescent="0.25">
      <c r="A134" t="s">
        <v>956</v>
      </c>
      <c r="B134" t="s">
        <v>1100</v>
      </c>
      <c r="C134" t="s">
        <v>960</v>
      </c>
      <c r="D134">
        <v>34.032262619999997</v>
      </c>
      <c r="E134" t="s">
        <v>957</v>
      </c>
      <c r="F134">
        <v>96.104656039999995</v>
      </c>
      <c r="G134" t="s">
        <v>958</v>
      </c>
      <c r="H134">
        <v>10291</v>
      </c>
      <c r="I134" t="s">
        <v>959</v>
      </c>
    </row>
    <row r="135" spans="1:9" x14ac:dyDescent="0.25">
      <c r="A135" t="s">
        <v>956</v>
      </c>
      <c r="B135" t="s">
        <v>1090</v>
      </c>
      <c r="C135" t="s">
        <v>960</v>
      </c>
      <c r="D135">
        <v>36.603080140000003</v>
      </c>
      <c r="E135" t="s">
        <v>957</v>
      </c>
      <c r="F135">
        <v>101.8543918</v>
      </c>
      <c r="G135" t="s">
        <v>958</v>
      </c>
      <c r="H135">
        <v>42133</v>
      </c>
      <c r="I135" t="s">
        <v>959</v>
      </c>
    </row>
    <row r="136" spans="1:9" x14ac:dyDescent="0.25">
      <c r="A136" t="s">
        <v>956</v>
      </c>
      <c r="B136" t="s">
        <v>1013</v>
      </c>
      <c r="C136" t="s">
        <v>960</v>
      </c>
      <c r="D136">
        <v>36.48152537</v>
      </c>
      <c r="E136" t="s">
        <v>957</v>
      </c>
      <c r="F136">
        <v>102.28261929999999</v>
      </c>
      <c r="G136" t="s">
        <v>958</v>
      </c>
      <c r="H136">
        <v>14515</v>
      </c>
      <c r="I136" t="s">
        <v>959</v>
      </c>
    </row>
    <row r="137" spans="1:9" x14ac:dyDescent="0.25">
      <c r="A137" t="s">
        <v>956</v>
      </c>
      <c r="B137" t="s">
        <v>1066</v>
      </c>
      <c r="C137" t="s">
        <v>960</v>
      </c>
      <c r="D137">
        <v>35.050782679999998</v>
      </c>
      <c r="E137" t="s">
        <v>957</v>
      </c>
      <c r="F137">
        <v>101.494457</v>
      </c>
      <c r="G137" t="s">
        <v>958</v>
      </c>
      <c r="H137">
        <v>16666</v>
      </c>
      <c r="I137" t="s">
        <v>959</v>
      </c>
    </row>
    <row r="138" spans="1:9" x14ac:dyDescent="0.25">
      <c r="A138" t="s">
        <v>956</v>
      </c>
      <c r="B138" t="s">
        <v>1014</v>
      </c>
      <c r="C138" t="s">
        <v>960</v>
      </c>
      <c r="D138">
        <v>36.218410130000002</v>
      </c>
      <c r="E138" t="s">
        <v>957</v>
      </c>
      <c r="F138">
        <v>101.980062</v>
      </c>
      <c r="G138" t="s">
        <v>958</v>
      </c>
      <c r="H138">
        <v>19032</v>
      </c>
      <c r="I138" t="s">
        <v>959</v>
      </c>
    </row>
    <row r="139" spans="1:9" x14ac:dyDescent="0.25">
      <c r="A139" t="s">
        <v>956</v>
      </c>
      <c r="B139" t="s">
        <v>1101</v>
      </c>
      <c r="C139" t="s">
        <v>960</v>
      </c>
      <c r="D139">
        <v>34.304866279999999</v>
      </c>
      <c r="E139" t="s">
        <v>957</v>
      </c>
      <c r="F139">
        <v>96.646891280000006</v>
      </c>
      <c r="G139" t="s">
        <v>958</v>
      </c>
      <c r="H139">
        <v>8456</v>
      </c>
      <c r="I139" t="s">
        <v>959</v>
      </c>
    </row>
    <row r="140" spans="1:9" x14ac:dyDescent="0.25">
      <c r="A140" t="s">
        <v>956</v>
      </c>
      <c r="B140" t="s">
        <v>1102</v>
      </c>
      <c r="C140" t="s">
        <v>960</v>
      </c>
      <c r="D140">
        <v>33.516072399999999</v>
      </c>
      <c r="E140" t="s">
        <v>957</v>
      </c>
      <c r="F140">
        <v>97.355373749999998</v>
      </c>
      <c r="G140" t="s">
        <v>958</v>
      </c>
      <c r="H140">
        <v>11304</v>
      </c>
      <c r="I140" t="s">
        <v>959</v>
      </c>
    </row>
    <row r="141" spans="1:9" x14ac:dyDescent="0.25">
      <c r="A141" t="s">
        <v>956</v>
      </c>
      <c r="B141" t="s">
        <v>968</v>
      </c>
      <c r="C141" t="s">
        <v>960</v>
      </c>
      <c r="D141">
        <v>33.420998390000001</v>
      </c>
      <c r="E141" t="s">
        <v>957</v>
      </c>
      <c r="F141">
        <v>101.5113344</v>
      </c>
      <c r="G141" t="s">
        <v>958</v>
      </c>
      <c r="H141">
        <v>6834</v>
      </c>
      <c r="I141" t="s">
        <v>959</v>
      </c>
    </row>
    <row r="142" spans="1:9" x14ac:dyDescent="0.25">
      <c r="A142" t="s">
        <v>956</v>
      </c>
      <c r="B142" t="s">
        <v>1033</v>
      </c>
      <c r="C142" t="s">
        <v>960</v>
      </c>
      <c r="D142">
        <v>35.764967089999999</v>
      </c>
      <c r="E142" t="s">
        <v>957</v>
      </c>
      <c r="F142">
        <v>99.477271470000005</v>
      </c>
      <c r="G142" t="s">
        <v>958</v>
      </c>
      <c r="H142">
        <v>24758</v>
      </c>
      <c r="I142" t="s">
        <v>959</v>
      </c>
    </row>
    <row r="143" spans="1:9" x14ac:dyDescent="0.25">
      <c r="A143" t="s">
        <v>956</v>
      </c>
      <c r="B143" t="s">
        <v>1054</v>
      </c>
      <c r="C143" t="s">
        <v>960</v>
      </c>
      <c r="D143">
        <v>36.398473760000002</v>
      </c>
      <c r="E143" t="s">
        <v>957</v>
      </c>
      <c r="F143">
        <v>96.334406009999995</v>
      </c>
      <c r="G143" t="s">
        <v>958</v>
      </c>
      <c r="H143">
        <v>10372</v>
      </c>
      <c r="I143" t="s">
        <v>959</v>
      </c>
    </row>
    <row r="144" spans="1:9" x14ac:dyDescent="0.25">
      <c r="A144" t="s">
        <v>956</v>
      </c>
      <c r="B144" t="s">
        <v>1091</v>
      </c>
      <c r="C144" t="s">
        <v>960</v>
      </c>
      <c r="D144">
        <v>36.536459649999998</v>
      </c>
      <c r="E144" t="s">
        <v>957</v>
      </c>
      <c r="F144">
        <v>101.716658</v>
      </c>
      <c r="G144" t="s">
        <v>958</v>
      </c>
      <c r="H144">
        <v>49375</v>
      </c>
      <c r="I144" t="s">
        <v>959</v>
      </c>
    </row>
    <row r="145" spans="1:9" x14ac:dyDescent="0.25">
      <c r="A145" t="s">
        <v>956</v>
      </c>
      <c r="B145" t="s">
        <v>1103</v>
      </c>
      <c r="C145" t="s">
        <v>960</v>
      </c>
      <c r="D145">
        <v>36.303255499999999</v>
      </c>
      <c r="E145" t="s">
        <v>957</v>
      </c>
      <c r="F145">
        <v>102.3655349</v>
      </c>
      <c r="G145" t="s">
        <v>958</v>
      </c>
      <c r="H145">
        <v>3275</v>
      </c>
      <c r="I145" t="s">
        <v>959</v>
      </c>
    </row>
    <row r="146" spans="1:9" x14ac:dyDescent="0.25">
      <c r="A146" t="s">
        <v>956</v>
      </c>
      <c r="B146" t="s">
        <v>1104</v>
      </c>
      <c r="C146" t="s">
        <v>960</v>
      </c>
      <c r="D146">
        <v>37.889068299999998</v>
      </c>
      <c r="E146" t="s">
        <v>957</v>
      </c>
      <c r="F146">
        <v>96.932647900000006</v>
      </c>
      <c r="G146" t="s">
        <v>958</v>
      </c>
      <c r="H146">
        <v>55294</v>
      </c>
      <c r="I146" t="s">
        <v>959</v>
      </c>
    </row>
    <row r="147" spans="1:9" x14ac:dyDescent="0.25">
      <c r="A147" t="s">
        <v>956</v>
      </c>
      <c r="B147" t="s">
        <v>1105</v>
      </c>
      <c r="C147" t="s">
        <v>960</v>
      </c>
      <c r="D147">
        <v>35.814511199999998</v>
      </c>
      <c r="E147" t="s">
        <v>957</v>
      </c>
      <c r="F147">
        <v>93.254501200000007</v>
      </c>
      <c r="G147" t="s">
        <v>958</v>
      </c>
      <c r="H147">
        <v>175659</v>
      </c>
      <c r="I147" t="s">
        <v>959</v>
      </c>
    </row>
    <row r="148" spans="1:9" x14ac:dyDescent="0.25">
      <c r="A148" t="s">
        <v>956</v>
      </c>
      <c r="B148" t="s">
        <v>1106</v>
      </c>
      <c r="C148" t="s">
        <v>960</v>
      </c>
      <c r="D148">
        <v>32.8955913</v>
      </c>
      <c r="E148" t="s">
        <v>957</v>
      </c>
      <c r="F148">
        <v>96.705855999999997</v>
      </c>
      <c r="G148" t="s">
        <v>958</v>
      </c>
      <c r="H148">
        <v>63280</v>
      </c>
      <c r="I148" t="s">
        <v>959</v>
      </c>
    </row>
    <row r="149" spans="1:9" x14ac:dyDescent="0.25">
      <c r="A149" t="s">
        <v>956</v>
      </c>
      <c r="B149" t="s">
        <v>1107</v>
      </c>
      <c r="C149" t="s">
        <v>960</v>
      </c>
      <c r="D149">
        <v>36.849778499999999</v>
      </c>
      <c r="E149" t="s">
        <v>957</v>
      </c>
      <c r="F149">
        <v>101.3912687</v>
      </c>
      <c r="G149" t="s">
        <v>958</v>
      </c>
      <c r="H149">
        <v>978767</v>
      </c>
      <c r="I149" t="s">
        <v>1108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AA125-DA1C-4776-9E81-57E21C9E6196}">
  <dimension ref="A1:G55"/>
  <sheetViews>
    <sheetView workbookViewId="0">
      <selection activeCell="A2" sqref="A2:G55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942</v>
      </c>
      <c r="F1" t="s">
        <v>943</v>
      </c>
      <c r="G1" t="s">
        <v>946</v>
      </c>
    </row>
    <row r="2" spans="1:7" ht="15.75" thickBot="1" x14ac:dyDescent="0.3">
      <c r="A2" t="s">
        <v>944</v>
      </c>
      <c r="B2" s="4" t="s">
        <v>870</v>
      </c>
      <c r="C2" s="4" t="s">
        <v>871</v>
      </c>
      <c r="D2" s="5">
        <v>137940</v>
      </c>
      <c r="E2" s="5">
        <v>181682</v>
      </c>
      <c r="F2" s="5">
        <v>215573</v>
      </c>
      <c r="G2" s="10" t="str" cm="1">
        <f t="array" aca="1" ref="G2" ca="1">IF(Background=36,C2,G1)</f>
        <v>果洛藏族自治州</v>
      </c>
    </row>
    <row r="3" spans="1:7" ht="15.75" thickBot="1" x14ac:dyDescent="0.3">
      <c r="A3" t="s">
        <v>11</v>
      </c>
      <c r="B3" s="1" t="s">
        <v>872</v>
      </c>
      <c r="C3" s="1" t="s">
        <v>873</v>
      </c>
      <c r="D3" s="2">
        <v>22088</v>
      </c>
      <c r="E3" s="2">
        <v>27185</v>
      </c>
      <c r="F3" s="2">
        <v>31794</v>
      </c>
      <c r="G3" s="2" t="str" cm="1">
        <f t="array" aca="1" ref="G3" ca="1">IF(Background=36,C3,G2)</f>
        <v>果洛藏族自治州</v>
      </c>
    </row>
    <row r="4" spans="1:7" ht="15.75" thickBot="1" x14ac:dyDescent="0.3">
      <c r="A4" t="s">
        <v>22</v>
      </c>
      <c r="B4" s="1" t="s">
        <v>872</v>
      </c>
      <c r="C4" s="1" t="s">
        <v>874</v>
      </c>
      <c r="D4" s="2">
        <v>24354</v>
      </c>
      <c r="E4" s="2">
        <v>30995</v>
      </c>
      <c r="F4" s="2">
        <v>40197</v>
      </c>
      <c r="G4" s="2" t="str" cm="1">
        <f t="array" aca="1" ref="G4" ca="1">IF(Background=36,C4,G3)</f>
        <v>果洛藏族自治州</v>
      </c>
    </row>
    <row r="5" spans="1:7" ht="15.75" thickBot="1" x14ac:dyDescent="0.3">
      <c r="A5" t="s">
        <v>31</v>
      </c>
      <c r="B5" s="1" t="s">
        <v>872</v>
      </c>
      <c r="C5" s="1" t="s">
        <v>875</v>
      </c>
      <c r="D5" s="2">
        <v>25494</v>
      </c>
      <c r="E5" s="2">
        <v>34840</v>
      </c>
      <c r="F5" s="2">
        <v>41046</v>
      </c>
      <c r="G5" s="2" t="str" cm="1">
        <f t="array" aca="1" ref="G5" ca="1">IF(Background=36,C5,G4)</f>
        <v>果洛藏族自治州</v>
      </c>
    </row>
    <row r="6" spans="1:7" ht="15.75" thickBot="1" x14ac:dyDescent="0.3">
      <c r="A6" t="s">
        <v>8</v>
      </c>
      <c r="B6" s="1" t="s">
        <v>872</v>
      </c>
      <c r="C6" s="1" t="s">
        <v>876</v>
      </c>
      <c r="D6" s="2">
        <v>19336</v>
      </c>
      <c r="E6" s="2">
        <v>26081</v>
      </c>
      <c r="F6" s="2">
        <v>29929</v>
      </c>
      <c r="G6" s="2" t="str" cm="1">
        <f t="array" aca="1" ref="G6" ca="1">IF(Background=36,C6,G5)</f>
        <v>果洛藏族自治州</v>
      </c>
    </row>
    <row r="7" spans="1:7" ht="15.75" thickBot="1" x14ac:dyDescent="0.3">
      <c r="A7" t="s">
        <v>34</v>
      </c>
      <c r="B7" s="1" t="s">
        <v>872</v>
      </c>
      <c r="C7" s="1" t="s">
        <v>877</v>
      </c>
      <c r="D7" s="2">
        <v>10890</v>
      </c>
      <c r="E7" s="2">
        <v>11336</v>
      </c>
      <c r="F7" s="2">
        <v>14490</v>
      </c>
      <c r="G7" s="2" t="str" cm="1">
        <f t="array" aca="1" ref="G7" ca="1">IF(Background=36,C7,G6)</f>
        <v>果洛藏族自治州</v>
      </c>
    </row>
    <row r="8" spans="1:7" ht="15.75" thickBot="1" x14ac:dyDescent="0.3">
      <c r="A8" t="s">
        <v>14</v>
      </c>
      <c r="B8" s="1" t="s">
        <v>872</v>
      </c>
      <c r="C8" s="1" t="s">
        <v>878</v>
      </c>
      <c r="D8" s="2">
        <v>35778</v>
      </c>
      <c r="E8" s="2">
        <v>51245</v>
      </c>
      <c r="F8" s="2">
        <v>58117</v>
      </c>
      <c r="G8" s="2" t="str" cm="1">
        <f t="array" aca="1" ref="G8" ca="1">IF(Background=36,C8,G7)</f>
        <v>果洛藏族自治州</v>
      </c>
    </row>
    <row r="9" spans="1:7" ht="15.75" thickBot="1" x14ac:dyDescent="0.3">
      <c r="A9" t="s">
        <v>879</v>
      </c>
      <c r="B9" s="4" t="s">
        <v>870</v>
      </c>
      <c r="C9" s="4" t="s">
        <v>880</v>
      </c>
      <c r="D9" s="5">
        <v>258922</v>
      </c>
      <c r="E9" s="5">
        <v>273304</v>
      </c>
      <c r="F9" s="5">
        <v>265322</v>
      </c>
      <c r="G9" s="2" t="str" cm="1">
        <f t="array" aca="1" ref="G9" ca="1">IF(Background=36,C9,G8)</f>
        <v>海北藏族自治州</v>
      </c>
    </row>
    <row r="10" spans="1:7" ht="15.75" thickBot="1" x14ac:dyDescent="0.3">
      <c r="A10" t="s">
        <v>118</v>
      </c>
      <c r="B10" s="1" t="s">
        <v>872</v>
      </c>
      <c r="C10" s="1" t="s">
        <v>881</v>
      </c>
      <c r="D10" s="2">
        <v>39223</v>
      </c>
      <c r="E10" s="2">
        <v>41333</v>
      </c>
      <c r="F10" s="2">
        <v>40720</v>
      </c>
      <c r="G10" s="2" t="str" cm="1">
        <f t="array" aca="1" ref="G10" ca="1">IF(Background=36,C10,G9)</f>
        <v>海北藏族自治州</v>
      </c>
    </row>
    <row r="11" spans="1:7" ht="15.75" thickBot="1" x14ac:dyDescent="0.3">
      <c r="A11" t="s">
        <v>115</v>
      </c>
      <c r="B11" s="1" t="s">
        <v>872</v>
      </c>
      <c r="C11" s="1" t="s">
        <v>882</v>
      </c>
      <c r="D11" s="2">
        <v>32879</v>
      </c>
      <c r="E11" s="2">
        <v>37788</v>
      </c>
      <c r="F11" s="2">
        <v>37729</v>
      </c>
      <c r="G11" s="2" t="str" cm="1">
        <f t="array" aca="1" ref="G11" ca="1">IF(Background=36,C11,G10)</f>
        <v>海北藏族自治州</v>
      </c>
    </row>
    <row r="12" spans="1:7" ht="15.75" thickBot="1" x14ac:dyDescent="0.3">
      <c r="A12" t="s">
        <v>108</v>
      </c>
      <c r="B12" s="1" t="s">
        <v>883</v>
      </c>
      <c r="C12" s="1" t="s">
        <v>884</v>
      </c>
      <c r="D12" s="2">
        <v>141426</v>
      </c>
      <c r="E12" s="2">
        <v>147710</v>
      </c>
      <c r="F12" s="2">
        <v>138335</v>
      </c>
      <c r="G12" s="2" t="str" cm="1">
        <f t="array" aca="1" ref="G12" ca="1">IF(Background=36,C12,G11)</f>
        <v>海北藏族自治州</v>
      </c>
    </row>
    <row r="13" spans="1:7" ht="15.75" thickBot="1" x14ac:dyDescent="0.3">
      <c r="A13" t="s">
        <v>103</v>
      </c>
      <c r="B13" s="1" t="s">
        <v>872</v>
      </c>
      <c r="C13" s="1" t="s">
        <v>885</v>
      </c>
      <c r="D13" s="2">
        <v>45394</v>
      </c>
      <c r="E13" s="2">
        <v>46473</v>
      </c>
      <c r="F13" s="2">
        <v>48538</v>
      </c>
      <c r="G13" s="2" t="str" cm="1">
        <f t="array" aca="1" ref="G13" ca="1">IF(Background=36,C13,G12)</f>
        <v>海北藏族自治州</v>
      </c>
    </row>
    <row r="14" spans="1:7" ht="15.75" thickBot="1" x14ac:dyDescent="0.3">
      <c r="A14" t="s">
        <v>886</v>
      </c>
      <c r="B14" s="4" t="s">
        <v>887</v>
      </c>
      <c r="C14" s="4" t="s">
        <v>888</v>
      </c>
      <c r="D14" s="5">
        <v>1391565</v>
      </c>
      <c r="E14" s="5">
        <v>1396845</v>
      </c>
      <c r="F14" s="5">
        <v>1358471</v>
      </c>
      <c r="G14" s="2" t="str" cm="1">
        <f t="array" aca="1" ref="G14" ca="1">IF(Background=36,C14,G13)</f>
        <v>海东市</v>
      </c>
    </row>
    <row r="15" spans="1:7" ht="15.75" thickBot="1" x14ac:dyDescent="0.3">
      <c r="A15" t="s">
        <v>176</v>
      </c>
      <c r="B15" s="1" t="s">
        <v>883</v>
      </c>
      <c r="C15" s="1" t="s">
        <v>889</v>
      </c>
      <c r="D15" s="2">
        <v>213706</v>
      </c>
      <c r="E15" s="2">
        <v>203317</v>
      </c>
      <c r="F15" s="2">
        <v>200474</v>
      </c>
      <c r="G15" s="2" t="str" cm="1">
        <f t="array" aca="1" ref="G15" ca="1">IF(Background=36,C15,G14)</f>
        <v>海东市</v>
      </c>
    </row>
    <row r="16" spans="1:7" ht="15.75" thickBot="1" x14ac:dyDescent="0.3">
      <c r="A16" t="s">
        <v>189</v>
      </c>
      <c r="B16" s="1" t="s">
        <v>883</v>
      </c>
      <c r="C16" s="1" t="s">
        <v>890</v>
      </c>
      <c r="D16" s="2">
        <v>357089</v>
      </c>
      <c r="E16" s="2">
        <v>356437</v>
      </c>
      <c r="F16" s="2">
        <v>337941</v>
      </c>
      <c r="G16" s="2" t="str" cm="1">
        <f t="array" aca="1" ref="G16" ca="1">IF(Background=36,C16,G15)</f>
        <v>海东市</v>
      </c>
    </row>
    <row r="17" spans="1:7" ht="15.75" thickBot="1" x14ac:dyDescent="0.3">
      <c r="A17" t="s">
        <v>201</v>
      </c>
      <c r="B17" s="1" t="s">
        <v>891</v>
      </c>
      <c r="C17" s="1" t="s">
        <v>892</v>
      </c>
      <c r="D17" s="2">
        <v>262704</v>
      </c>
      <c r="E17" s="2">
        <v>260184</v>
      </c>
      <c r="F17" s="2">
        <v>240949</v>
      </c>
      <c r="G17" s="2" t="str" cm="1">
        <f t="array" aca="1" ref="G17" ca="1">IF(Background=36,C17,G16)</f>
        <v>海东市</v>
      </c>
    </row>
    <row r="18" spans="1:7" ht="15.75" thickBot="1" x14ac:dyDescent="0.3">
      <c r="A18" t="s">
        <v>192</v>
      </c>
      <c r="B18" s="1" t="s">
        <v>883</v>
      </c>
      <c r="C18" s="1" t="s">
        <v>893</v>
      </c>
      <c r="D18" s="2">
        <v>346748</v>
      </c>
      <c r="E18" s="2">
        <v>350118</v>
      </c>
      <c r="F18" s="2">
        <v>326964</v>
      </c>
      <c r="G18" s="2" t="str" cm="1">
        <f t="array" aca="1" ref="G18" ca="1">IF(Background=36,C18,G17)</f>
        <v>海东市</v>
      </c>
    </row>
    <row r="19" spans="1:7" ht="15.75" thickBot="1" x14ac:dyDescent="0.3">
      <c r="A19" t="s">
        <v>186</v>
      </c>
      <c r="B19" s="1" t="s">
        <v>891</v>
      </c>
      <c r="C19" s="1" t="s">
        <v>894</v>
      </c>
      <c r="D19" s="2">
        <v>106866</v>
      </c>
      <c r="E19" s="2">
        <v>102975</v>
      </c>
      <c r="F19" s="2">
        <v>117883</v>
      </c>
      <c r="G19" s="2" t="str" cm="1">
        <f t="array" aca="1" ref="G19" ca="1">IF(Background=36,C19,G18)</f>
        <v>海东市</v>
      </c>
    </row>
    <row r="20" spans="1:7" ht="15.75" thickBot="1" x14ac:dyDescent="0.3">
      <c r="A20" t="s">
        <v>181</v>
      </c>
      <c r="B20" s="1" t="s">
        <v>883</v>
      </c>
      <c r="C20" s="1" t="s">
        <v>895</v>
      </c>
      <c r="D20" s="2">
        <v>104452</v>
      </c>
      <c r="E20" s="2">
        <v>123814</v>
      </c>
      <c r="F20" s="2">
        <v>134260</v>
      </c>
      <c r="G20" s="2" t="str" cm="1">
        <f t="array" aca="1" ref="G20" ca="1">IF(Background=36,C20,G19)</f>
        <v>海东市</v>
      </c>
    </row>
    <row r="21" spans="1:7" ht="15.75" thickBot="1" x14ac:dyDescent="0.3">
      <c r="A21" t="s">
        <v>896</v>
      </c>
      <c r="B21" s="4" t="s">
        <v>870</v>
      </c>
      <c r="C21" s="4" t="s">
        <v>897</v>
      </c>
      <c r="D21" s="5">
        <v>375426</v>
      </c>
      <c r="E21" s="5">
        <v>441691</v>
      </c>
      <c r="F21" s="5">
        <v>446996</v>
      </c>
      <c r="G21" s="2" t="str" cm="1">
        <f t="array" aca="1" ref="G21" ca="1">IF(Background=36,C21,G20)</f>
        <v>海南藏族自治州</v>
      </c>
    </row>
    <row r="22" spans="1:7" ht="15.75" thickBot="1" x14ac:dyDescent="0.3">
      <c r="A22" t="s">
        <v>372</v>
      </c>
      <c r="B22" s="1" t="s">
        <v>872</v>
      </c>
      <c r="C22" s="1" t="s">
        <v>898</v>
      </c>
      <c r="D22" s="2">
        <v>111974</v>
      </c>
      <c r="E22" s="2">
        <v>122966</v>
      </c>
      <c r="F22" s="2">
        <v>133409</v>
      </c>
      <c r="G22" s="2" t="str" cm="1">
        <f t="array" aca="1" ref="G22" ca="1">IF(Background=36,C22,G21)</f>
        <v>海南藏族自治州</v>
      </c>
    </row>
    <row r="23" spans="1:7" ht="15.75" thickBot="1" x14ac:dyDescent="0.3">
      <c r="A23" t="s">
        <v>380</v>
      </c>
      <c r="B23" s="1" t="s">
        <v>872</v>
      </c>
      <c r="C23" s="1" t="s">
        <v>899</v>
      </c>
      <c r="D23" s="2">
        <v>91552</v>
      </c>
      <c r="E23" s="2">
        <v>101771</v>
      </c>
      <c r="F23" s="2">
        <v>105645</v>
      </c>
      <c r="G23" s="2" t="str" cm="1">
        <f t="array" aca="1" ref="G23" ca="1">IF(Background=36,C23,G22)</f>
        <v>海南藏族自治州</v>
      </c>
    </row>
    <row r="24" spans="1:7" ht="15.75" thickBot="1" x14ac:dyDescent="0.3">
      <c r="A24" t="s">
        <v>389</v>
      </c>
      <c r="B24" s="1" t="s">
        <v>872</v>
      </c>
      <c r="C24" s="1" t="s">
        <v>900</v>
      </c>
      <c r="D24" s="2">
        <v>63579</v>
      </c>
      <c r="E24" s="2">
        <v>76560</v>
      </c>
      <c r="F24" s="2">
        <v>71841</v>
      </c>
      <c r="G24" s="2" t="str" cm="1">
        <f t="array" aca="1" ref="G24" ca="1">IF(Background=36,C24,G23)</f>
        <v>海南藏族自治州</v>
      </c>
    </row>
    <row r="25" spans="1:7" ht="15.75" thickBot="1" x14ac:dyDescent="0.3">
      <c r="A25" t="s">
        <v>375</v>
      </c>
      <c r="B25" s="1" t="s">
        <v>872</v>
      </c>
      <c r="C25" s="1" t="s">
        <v>901</v>
      </c>
      <c r="D25" s="2">
        <v>48741</v>
      </c>
      <c r="E25" s="2">
        <v>64369</v>
      </c>
      <c r="F25" s="2">
        <v>60268</v>
      </c>
      <c r="G25" s="2" t="str" cm="1">
        <f t="array" aca="1" ref="G25" ca="1">IF(Background=36,C25,G24)</f>
        <v>海南藏族自治州</v>
      </c>
    </row>
    <row r="26" spans="1:7" ht="15.75" thickBot="1" x14ac:dyDescent="0.3">
      <c r="A26" t="s">
        <v>400</v>
      </c>
      <c r="B26" s="1" t="s">
        <v>872</v>
      </c>
      <c r="C26" s="1" t="s">
        <v>902</v>
      </c>
      <c r="D26" s="2">
        <v>59580</v>
      </c>
      <c r="E26" s="2">
        <v>76025</v>
      </c>
      <c r="F26" s="2">
        <v>75833</v>
      </c>
      <c r="G26" s="2" t="str" cm="1">
        <f t="array" aca="1" ref="G26" ca="1">IF(Background=36,C26,G25)</f>
        <v>海南藏族自治州</v>
      </c>
    </row>
    <row r="27" spans="1:7" ht="15.75" thickBot="1" x14ac:dyDescent="0.3">
      <c r="A27" t="s">
        <v>903</v>
      </c>
      <c r="B27" s="4" t="s">
        <v>904</v>
      </c>
      <c r="C27" s="4" t="s">
        <v>905</v>
      </c>
      <c r="D27" s="5">
        <v>332094</v>
      </c>
      <c r="E27" s="5">
        <v>489338</v>
      </c>
      <c r="F27" s="5">
        <v>468216</v>
      </c>
      <c r="G27" s="2" t="str" cm="1">
        <f t="array" aca="1" ref="G27" ca="1">IF(Background=36,C27,G26)</f>
        <v>海西蒙古族藏族自治州</v>
      </c>
    </row>
    <row r="28" spans="1:7" ht="15.75" thickBot="1" x14ac:dyDescent="0.3">
      <c r="A28" t="s">
        <v>469</v>
      </c>
      <c r="B28" s="1" t="s">
        <v>906</v>
      </c>
      <c r="C28" s="1" t="s">
        <v>907</v>
      </c>
      <c r="D28" s="3" t="s">
        <v>908</v>
      </c>
      <c r="E28" s="2">
        <v>13671</v>
      </c>
      <c r="F28" s="2">
        <v>16287</v>
      </c>
      <c r="G28" s="2" t="str" cm="1">
        <f t="array" aca="1" ref="G28" ca="1">IF(Background=36,C28,G27)</f>
        <v>海西蒙古族藏族自治州</v>
      </c>
    </row>
    <row r="29" spans="1:7" ht="15.75" thickBot="1" x14ac:dyDescent="0.3">
      <c r="A29" t="s">
        <v>477</v>
      </c>
      <c r="B29" s="1" t="s">
        <v>909</v>
      </c>
      <c r="C29" s="1" t="s">
        <v>910</v>
      </c>
      <c r="D29" s="2">
        <v>83585</v>
      </c>
      <c r="E29" s="2">
        <v>78184</v>
      </c>
      <c r="F29" s="2">
        <v>88227</v>
      </c>
      <c r="G29" s="2" t="str" cm="1">
        <f t="array" aca="1" ref="G29" ca="1">IF(Background=36,C29,G28)</f>
        <v>海西蒙古族藏族自治州</v>
      </c>
    </row>
    <row r="30" spans="1:7" ht="15.75" thickBot="1" x14ac:dyDescent="0.3">
      <c r="A30" t="s">
        <v>461</v>
      </c>
      <c r="B30" s="1" t="s">
        <v>872</v>
      </c>
      <c r="C30" s="1" t="s">
        <v>911</v>
      </c>
      <c r="D30" s="2">
        <v>57670</v>
      </c>
      <c r="E30" s="2">
        <v>76623</v>
      </c>
      <c r="F30" s="2">
        <v>68273</v>
      </c>
      <c r="G30" s="2" t="str" cm="1">
        <f t="array" aca="1" ref="G30" ca="1">IF(Background=36,C30,G29)</f>
        <v>海西蒙古族藏族自治州</v>
      </c>
    </row>
    <row r="31" spans="1:7" ht="15.75" thickBot="1" x14ac:dyDescent="0.3">
      <c r="A31" t="s">
        <v>464</v>
      </c>
      <c r="B31" s="1" t="s">
        <v>909</v>
      </c>
      <c r="C31" s="1" t="s">
        <v>912</v>
      </c>
      <c r="D31" s="2">
        <v>135897</v>
      </c>
      <c r="E31" s="2">
        <v>215214</v>
      </c>
      <c r="F31" s="2">
        <v>221863</v>
      </c>
      <c r="G31" s="2" t="str" cm="1">
        <f t="array" aca="1" ref="G31" ca="1">IF(Background=36,C31,G30)</f>
        <v>海西蒙古族藏族自治州</v>
      </c>
    </row>
    <row r="32" spans="1:7" ht="15.75" thickBot="1" x14ac:dyDescent="0.3">
      <c r="A32" t="s">
        <v>497</v>
      </c>
      <c r="B32" s="1" t="s">
        <v>909</v>
      </c>
      <c r="C32" s="1" t="s">
        <v>913</v>
      </c>
      <c r="D32" s="3" t="s">
        <v>908</v>
      </c>
      <c r="E32" s="2">
        <v>33451</v>
      </c>
      <c r="F32" s="2">
        <v>18856</v>
      </c>
      <c r="G32" s="2" t="str" cm="1">
        <f t="array" aca="1" ref="G32" ca="1">IF(Background=36,C32,G31)</f>
        <v>海西蒙古族藏族自治州</v>
      </c>
    </row>
    <row r="33" spans="1:7" ht="15.75" thickBot="1" x14ac:dyDescent="0.3">
      <c r="A33" t="s">
        <v>502</v>
      </c>
      <c r="B33" s="1" t="s">
        <v>872</v>
      </c>
      <c r="C33" s="1" t="s">
        <v>914</v>
      </c>
      <c r="D33" s="2">
        <v>18927</v>
      </c>
      <c r="E33" s="2">
        <v>33923</v>
      </c>
      <c r="F33" s="2">
        <v>23203</v>
      </c>
      <c r="G33" s="2" t="str" cm="1">
        <f t="array" aca="1" ref="G33" ca="1">IF(Background=36,C33,G32)</f>
        <v>海西蒙古族藏族自治州</v>
      </c>
    </row>
    <row r="34" spans="1:7" ht="15.75" thickBot="1" x14ac:dyDescent="0.3">
      <c r="A34" t="s">
        <v>472</v>
      </c>
      <c r="B34" s="1" t="s">
        <v>872</v>
      </c>
      <c r="C34" s="1" t="s">
        <v>915</v>
      </c>
      <c r="D34" s="2">
        <v>36015</v>
      </c>
      <c r="E34" s="2">
        <v>38272</v>
      </c>
      <c r="F34" s="2">
        <v>31507</v>
      </c>
      <c r="G34" s="2" t="str" cm="1">
        <f t="array" aca="1" ref="G34" ca="1">IF(Background=36,C34,G33)</f>
        <v>海西蒙古族藏族自治州</v>
      </c>
    </row>
    <row r="35" spans="1:7" ht="15.75" thickBot="1" x14ac:dyDescent="0.3">
      <c r="A35" t="s">
        <v>916</v>
      </c>
      <c r="B35" s="4" t="s">
        <v>870</v>
      </c>
      <c r="C35" s="4" t="s">
        <v>917</v>
      </c>
      <c r="D35" s="5">
        <v>214642</v>
      </c>
      <c r="E35" s="5">
        <v>256716</v>
      </c>
      <c r="F35" s="5">
        <v>276215</v>
      </c>
      <c r="G35" s="2" t="str" cm="1">
        <f t="array" aca="1" ref="G35" ca="1">IF(Background=36,C35,G34)</f>
        <v>黄南藏族自治州</v>
      </c>
    </row>
    <row r="36" spans="1:7" ht="15.75" thickBot="1" x14ac:dyDescent="0.3">
      <c r="A36" t="s">
        <v>572</v>
      </c>
      <c r="B36" s="1" t="s">
        <v>883</v>
      </c>
      <c r="C36" s="1" t="s">
        <v>918</v>
      </c>
      <c r="D36" s="2">
        <v>32250</v>
      </c>
      <c r="E36" s="2">
        <v>39374</v>
      </c>
      <c r="F36" s="2">
        <v>40864</v>
      </c>
      <c r="G36" s="2" t="str" cm="1">
        <f t="array" aca="1" ref="G36" ca="1">IF(Background=36,C36,G35)</f>
        <v>黄南藏族自治州</v>
      </c>
    </row>
    <row r="37" spans="1:7" ht="15.75" thickBot="1" x14ac:dyDescent="0.3">
      <c r="A37" t="s">
        <v>559</v>
      </c>
      <c r="B37" s="1" t="s">
        <v>872</v>
      </c>
      <c r="C37" s="1" t="s">
        <v>919</v>
      </c>
      <c r="D37" s="2">
        <v>51064</v>
      </c>
      <c r="E37" s="2">
        <v>55325</v>
      </c>
      <c r="F37" s="2">
        <v>58173</v>
      </c>
      <c r="G37" s="2" t="str" cm="1">
        <f t="array" aca="1" ref="G37" ca="1">IF(Background=36,C37,G36)</f>
        <v>黄南藏族自治州</v>
      </c>
    </row>
    <row r="38" spans="1:7" ht="15.75" thickBot="1" x14ac:dyDescent="0.3">
      <c r="A38" t="s">
        <v>562</v>
      </c>
      <c r="B38" s="1" t="s">
        <v>909</v>
      </c>
      <c r="C38" s="1" t="s">
        <v>920</v>
      </c>
      <c r="D38" s="2">
        <v>77040</v>
      </c>
      <c r="E38" s="2">
        <v>92601</v>
      </c>
      <c r="F38" s="2">
        <v>101519</v>
      </c>
      <c r="G38" s="2" t="str" cm="1">
        <f t="array" aca="1" ref="G38" ca="1">IF(Background=36,C38,G37)</f>
        <v>黄南藏族自治州</v>
      </c>
    </row>
    <row r="39" spans="1:7" ht="15.75" thickBot="1" x14ac:dyDescent="0.3">
      <c r="A39" t="s">
        <v>569</v>
      </c>
      <c r="B39" s="1" t="s">
        <v>872</v>
      </c>
      <c r="C39" s="1" t="s">
        <v>921</v>
      </c>
      <c r="D39" s="2">
        <v>54288</v>
      </c>
      <c r="E39" s="2">
        <v>69416</v>
      </c>
      <c r="F39" s="2">
        <v>75659</v>
      </c>
      <c r="G39" s="2" t="str" cm="1">
        <f t="array" aca="1" ref="G39" ca="1">IF(Background=36,C39,G38)</f>
        <v>黄南藏族自治州</v>
      </c>
    </row>
    <row r="40" spans="1:7" ht="15.75" thickBot="1" x14ac:dyDescent="0.3">
      <c r="A40" t="s">
        <v>922</v>
      </c>
      <c r="B40" s="4" t="s">
        <v>887</v>
      </c>
      <c r="C40" s="4" t="s">
        <v>923</v>
      </c>
      <c r="D40" s="5">
        <v>1849713</v>
      </c>
      <c r="E40" s="5">
        <v>2208708</v>
      </c>
      <c r="F40" s="5">
        <v>2467965</v>
      </c>
      <c r="G40" s="2" t="str" cm="1">
        <f t="array" aca="1" ref="G40" ca="1">IF(Background=36,C40,G39)</f>
        <v>西宁市</v>
      </c>
    </row>
    <row r="41" spans="1:7" ht="15.75" thickBot="1" x14ac:dyDescent="0.3">
      <c r="A41" t="s">
        <v>643</v>
      </c>
      <c r="B41" s="1" t="s">
        <v>891</v>
      </c>
      <c r="C41" s="1" t="s">
        <v>924</v>
      </c>
      <c r="D41" s="2">
        <v>210265</v>
      </c>
      <c r="E41" s="2">
        <v>299002</v>
      </c>
      <c r="F41" s="2">
        <v>417701</v>
      </c>
      <c r="G41" s="2" t="str" cm="1">
        <f t="array" aca="1" ref="G41" ca="1">IF(Background=36,C41,G40)</f>
        <v>西宁市</v>
      </c>
    </row>
    <row r="42" spans="1:7" ht="15.75" thickBot="1" x14ac:dyDescent="0.3">
      <c r="A42" t="s">
        <v>633</v>
      </c>
      <c r="B42" s="1" t="s">
        <v>891</v>
      </c>
      <c r="C42" s="1" t="s">
        <v>925</v>
      </c>
      <c r="D42" s="2">
        <v>270268</v>
      </c>
      <c r="E42" s="2">
        <v>359688</v>
      </c>
      <c r="F42" s="2">
        <v>489372</v>
      </c>
      <c r="G42" s="2" t="str" cm="1">
        <f t="array" aca="1" ref="G42" ca="1">IF(Background=36,C42,G41)</f>
        <v>西宁市</v>
      </c>
    </row>
    <row r="43" spans="1:7" ht="15.75" thickBot="1" x14ac:dyDescent="0.3">
      <c r="A43" t="s">
        <v>671</v>
      </c>
      <c r="B43" s="1" t="s">
        <v>891</v>
      </c>
      <c r="C43" s="1" t="s">
        <v>926</v>
      </c>
      <c r="D43" s="2">
        <v>225412</v>
      </c>
      <c r="E43" s="2">
        <v>242627</v>
      </c>
      <c r="F43" s="2">
        <v>326866</v>
      </c>
      <c r="G43" s="2" t="str" cm="1">
        <f t="array" aca="1" ref="G43" ca="1">IF(Background=36,C43,G42)</f>
        <v>西宁市</v>
      </c>
    </row>
    <row r="44" spans="1:7" ht="15.75" thickBot="1" x14ac:dyDescent="0.3">
      <c r="A44" t="s">
        <v>638</v>
      </c>
      <c r="B44" s="1" t="s">
        <v>891</v>
      </c>
      <c r="C44" s="1" t="s">
        <v>927</v>
      </c>
      <c r="D44" s="2">
        <v>148521</v>
      </c>
      <c r="E44" s="2">
        <v>296987</v>
      </c>
      <c r="F44" s="2">
        <v>325813</v>
      </c>
      <c r="G44" s="2" t="str" cm="1">
        <f t="array" aca="1" ref="G44" ca="1">IF(Background=36,C44,G43)</f>
        <v>西宁市</v>
      </c>
    </row>
    <row r="45" spans="1:7" ht="15.75" thickBot="1" x14ac:dyDescent="0.3">
      <c r="A45" t="s">
        <v>627</v>
      </c>
      <c r="B45" s="1" t="s">
        <v>883</v>
      </c>
      <c r="C45" s="1" t="s">
        <v>928</v>
      </c>
      <c r="D45" s="2">
        <v>416968</v>
      </c>
      <c r="E45" s="2">
        <v>435937</v>
      </c>
      <c r="F45" s="2">
        <v>403368</v>
      </c>
      <c r="G45" s="2" t="str" cm="1">
        <f t="array" aca="1" ref="G45" ca="1">IF(Background=36,C45,G44)</f>
        <v>西宁市</v>
      </c>
    </row>
    <row r="46" spans="1:7" ht="15.75" thickBot="1" x14ac:dyDescent="0.3">
      <c r="A46" t="s">
        <v>630</v>
      </c>
      <c r="B46" s="1" t="s">
        <v>872</v>
      </c>
      <c r="C46" s="1" t="s">
        <v>929</v>
      </c>
      <c r="D46" s="2">
        <v>129814</v>
      </c>
      <c r="E46" s="2">
        <v>136632</v>
      </c>
      <c r="F46" s="2">
        <v>109802</v>
      </c>
      <c r="G46" s="2" t="str" cm="1">
        <f t="array" aca="1" ref="G46" ca="1">IF(Background=36,C46,G45)</f>
        <v>西宁市</v>
      </c>
    </row>
    <row r="47" spans="1:7" ht="15.75" thickBot="1" x14ac:dyDescent="0.3">
      <c r="A47" t="s">
        <v>650</v>
      </c>
      <c r="B47" s="1" t="s">
        <v>891</v>
      </c>
      <c r="C47" s="1" t="s">
        <v>930</v>
      </c>
      <c r="D47" s="2">
        <v>448465</v>
      </c>
      <c r="E47" s="2">
        <v>437835</v>
      </c>
      <c r="F47" s="2">
        <v>395043</v>
      </c>
      <c r="G47" s="2" t="str" cm="1">
        <f t="array" aca="1" ref="G47" ca="1">IF(Background=36,C47,G46)</f>
        <v>西宁市</v>
      </c>
    </row>
    <row r="48" spans="1:7" ht="15.75" thickBot="1" x14ac:dyDescent="0.3">
      <c r="A48" t="s">
        <v>931</v>
      </c>
      <c r="B48" s="4" t="s">
        <v>870</v>
      </c>
      <c r="C48" s="4" t="s">
        <v>932</v>
      </c>
      <c r="D48" s="5">
        <v>262661</v>
      </c>
      <c r="E48" s="5">
        <v>378439</v>
      </c>
      <c r="F48" s="5">
        <v>425199</v>
      </c>
      <c r="G48" s="2" t="str" cm="1">
        <f t="array" aca="1" ref="G48" ca="1">IF(Background=36,C48,G47)</f>
        <v>玉树藏族自治州</v>
      </c>
    </row>
    <row r="49" spans="1:7" ht="15.75" thickBot="1" x14ac:dyDescent="0.3">
      <c r="A49" t="s">
        <v>792</v>
      </c>
      <c r="B49" s="1" t="s">
        <v>872</v>
      </c>
      <c r="C49" s="1" t="s">
        <v>933</v>
      </c>
      <c r="D49" s="2">
        <v>40391</v>
      </c>
      <c r="E49" s="2">
        <v>55619</v>
      </c>
      <c r="F49" s="2">
        <v>57159</v>
      </c>
      <c r="G49" s="2" t="str" cm="1">
        <f t="array" aca="1" ref="G49" ca="1">IF(Background=36,C49,G48)</f>
        <v>玉树藏族自治州</v>
      </c>
    </row>
    <row r="50" spans="1:7" ht="15.75" thickBot="1" x14ac:dyDescent="0.3">
      <c r="A50" t="s">
        <v>785</v>
      </c>
      <c r="B50" s="1" t="s">
        <v>872</v>
      </c>
      <c r="C50" s="1" t="s">
        <v>934</v>
      </c>
      <c r="D50" s="2">
        <v>57387</v>
      </c>
      <c r="E50" s="2">
        <v>85825</v>
      </c>
      <c r="F50" s="2">
        <v>90307</v>
      </c>
      <c r="G50" s="2" t="str" cm="1">
        <f t="array" aca="1" ref="G50" ca="1">IF(Background=36,C50,G49)</f>
        <v>玉树藏族自治州</v>
      </c>
    </row>
    <row r="51" spans="1:7" ht="15.75" thickBot="1" x14ac:dyDescent="0.3">
      <c r="A51" t="s">
        <v>782</v>
      </c>
      <c r="B51" s="1" t="s">
        <v>872</v>
      </c>
      <c r="C51" s="1" t="s">
        <v>935</v>
      </c>
      <c r="D51" s="2">
        <v>24181</v>
      </c>
      <c r="E51" s="2">
        <v>28243</v>
      </c>
      <c r="F51" s="2">
        <v>33170</v>
      </c>
      <c r="G51" s="2" t="str" cm="1">
        <f t="array" aca="1" ref="G51" ca="1">IF(Background=36,C51,G50)</f>
        <v>玉树藏族自治州</v>
      </c>
    </row>
    <row r="52" spans="1:7" ht="15.75" thickBot="1" x14ac:dyDescent="0.3">
      <c r="A52" t="s">
        <v>777</v>
      </c>
      <c r="B52" s="1" t="s">
        <v>909</v>
      </c>
      <c r="C52" s="1" t="s">
        <v>936</v>
      </c>
      <c r="D52" s="2">
        <v>77854</v>
      </c>
      <c r="E52" s="2">
        <v>120447</v>
      </c>
      <c r="F52" s="2">
        <v>141308</v>
      </c>
      <c r="G52" s="2" t="str" cm="1">
        <f t="array" aca="1" ref="G52" ca="1">IF(Background=36,C52,G51)</f>
        <v>玉树藏族自治州</v>
      </c>
    </row>
    <row r="53" spans="1:7" ht="15.75" thickBot="1" x14ac:dyDescent="0.3">
      <c r="A53" t="s">
        <v>774</v>
      </c>
      <c r="B53" s="1" t="s">
        <v>872</v>
      </c>
      <c r="C53" s="1" t="s">
        <v>937</v>
      </c>
      <c r="D53" s="2">
        <v>38654</v>
      </c>
      <c r="E53" s="2">
        <v>58268</v>
      </c>
      <c r="F53" s="2">
        <v>68759</v>
      </c>
      <c r="G53" s="2" t="str" cm="1">
        <f t="array" aca="1" ref="G53" ca="1">IF(Background=36,C53,G52)</f>
        <v>玉树藏族自治州</v>
      </c>
    </row>
    <row r="54" spans="1:7" ht="15.75" thickBot="1" x14ac:dyDescent="0.3">
      <c r="A54" t="s">
        <v>797</v>
      </c>
      <c r="B54" s="1" t="s">
        <v>872</v>
      </c>
      <c r="C54" s="1" t="s">
        <v>938</v>
      </c>
      <c r="D54" s="2">
        <v>24194</v>
      </c>
      <c r="E54" s="2">
        <v>30037</v>
      </c>
      <c r="F54" s="2">
        <v>34496</v>
      </c>
      <c r="G54" s="2" t="str" cm="1">
        <f t="array" aca="1" ref="G54" ca="1">IF(Background=36,C54,G53)</f>
        <v>玉树藏族自治州</v>
      </c>
    </row>
    <row r="55" spans="1:7" x14ac:dyDescent="0.25">
      <c r="A55" s="6" t="s">
        <v>939</v>
      </c>
      <c r="B55" s="6" t="s">
        <v>940</v>
      </c>
      <c r="C55" s="6" t="s">
        <v>941</v>
      </c>
      <c r="D55" s="7">
        <v>4822963</v>
      </c>
      <c r="E55" s="7">
        <v>5626723</v>
      </c>
      <c r="F55" s="7">
        <v>5923957</v>
      </c>
      <c r="G55" s="11" t="str" cm="1">
        <f t="array" aca="1" ref="G55" ca="1">IF(Background=36,C55,G54)</f>
        <v>玉树藏族自治州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golog</vt:lpstr>
      <vt:lpstr>haibei</vt:lpstr>
      <vt:lpstr>haidong</vt:lpstr>
      <vt:lpstr>hainan</vt:lpstr>
      <vt:lpstr>haixi</vt:lpstr>
      <vt:lpstr>huangnan</vt:lpstr>
      <vt:lpstr>xining</vt:lpstr>
      <vt:lpstr>yushu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2024-04-02T23:26:37Z</dcterms:created>
  <dcterms:modified xsi:type="dcterms:W3CDTF">2024-05-04T04:09:23Z</dcterms:modified>
</cp:coreProperties>
</file>