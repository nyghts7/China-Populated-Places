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ight\OneDrive\Desktop\data\china\books\"/>
    </mc:Choice>
  </mc:AlternateContent>
  <xr:revisionPtr revIDLastSave="0" documentId="13_ncr:1_{75A2D423-A6E9-43AE-A0F4-AFC3F2703154}" xr6:coauthVersionLast="47" xr6:coauthVersionMax="47" xr10:uidLastSave="{00000000-0000-0000-0000-000000000000}"/>
  <bookViews>
    <workbookView xWindow="-120" yWindow="480" windowWidth="24240" windowHeight="13140" tabRatio="1000" activeTab="10" xr2:uid="{93DD28A1-2FB4-4713-976D-D4913F35457E}"/>
  </bookViews>
  <sheets>
    <sheet name="ankang" sheetId="1" r:id="rId1"/>
    <sheet name="baoji" sheetId="2" r:id="rId2"/>
    <sheet name="hanzhong" sheetId="3" r:id="rId3"/>
    <sheet name="shangluo" sheetId="5" r:id="rId4"/>
    <sheet name="tongchuan" sheetId="6" r:id="rId5"/>
    <sheet name="weinan" sheetId="7" r:id="rId6"/>
    <sheet name="xianyang" sheetId="8" r:id="rId7"/>
    <sheet name="xi'an" sheetId="9" r:id="rId8"/>
    <sheet name="yan'an" sheetId="10" r:id="rId9"/>
    <sheet name="yulin" sheetId="11" r:id="rId10"/>
    <sheet name="main table" sheetId="13" r:id="rId11"/>
    <sheet name="cities" sheetId="14" r:id="rId12"/>
    <sheet name="json" sheetId="15" r:id="rId13"/>
    <sheet name="county-naming" sheetId="12" r:id="rId14"/>
  </sheets>
  <externalReferences>
    <externalReference r:id="rId15"/>
  </externalReferences>
  <definedNames>
    <definedName name="Background">GET.CELL(63,OFFSET(INDIRECT("RC",FALSE),0,-1))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3" l="1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7" i="13"/>
  <c r="B48" i="13"/>
  <c r="B49" i="13"/>
  <c r="B50" i="13"/>
  <c r="B51" i="13"/>
  <c r="B52" i="13"/>
  <c r="B53" i="13"/>
  <c r="B54" i="13"/>
  <c r="B57" i="13"/>
  <c r="B58" i="13"/>
  <c r="B59" i="13"/>
  <c r="B60" i="13"/>
  <c r="B61" i="13"/>
  <c r="B62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32" i="13"/>
  <c r="B133" i="13"/>
  <c r="B134" i="13"/>
  <c r="B135" i="13"/>
  <c r="B136" i="13"/>
  <c r="B137" i="13"/>
  <c r="B138" i="13"/>
  <c r="B139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6" i="13"/>
  <c r="B267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80" i="13"/>
  <c r="B381" i="13"/>
  <c r="B382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B722" i="13"/>
  <c r="B723" i="13"/>
  <c r="B724" i="13"/>
  <c r="B725" i="13"/>
  <c r="B726" i="13"/>
  <c r="B727" i="13"/>
  <c r="B728" i="13"/>
  <c r="B729" i="13"/>
  <c r="B730" i="13"/>
  <c r="B735" i="13"/>
  <c r="B736" i="13"/>
  <c r="B737" i="13"/>
  <c r="B738" i="13"/>
  <c r="B739" i="13"/>
  <c r="B740" i="13"/>
  <c r="B741" i="13"/>
  <c r="B742" i="13"/>
  <c r="B743" i="13"/>
  <c r="B744" i="13"/>
  <c r="B745" i="13"/>
  <c r="B746" i="13"/>
  <c r="B747" i="13"/>
  <c r="B748" i="13"/>
  <c r="B749" i="13"/>
  <c r="B750" i="13"/>
  <c r="B751" i="13"/>
  <c r="B754" i="13"/>
  <c r="B755" i="13"/>
  <c r="B756" i="13"/>
  <c r="B757" i="13"/>
  <c r="B758" i="13"/>
  <c r="B759" i="13"/>
  <c r="B760" i="13"/>
  <c r="B761" i="13"/>
  <c r="B762" i="13"/>
  <c r="B763" i="13"/>
  <c r="B764" i="13"/>
  <c r="B765" i="13"/>
  <c r="B766" i="13"/>
  <c r="B767" i="13"/>
  <c r="B768" i="13"/>
  <c r="B769" i="13"/>
  <c r="B770" i="13"/>
  <c r="B771" i="13"/>
  <c r="B772" i="13"/>
  <c r="B773" i="13"/>
  <c r="B774" i="13"/>
  <c r="B775" i="13"/>
  <c r="B776" i="13"/>
  <c r="B777" i="13"/>
  <c r="B778" i="13"/>
  <c r="B779" i="13"/>
  <c r="B780" i="13"/>
  <c r="B781" i="13"/>
  <c r="B782" i="13"/>
  <c r="B783" i="13"/>
  <c r="B784" i="13"/>
  <c r="B785" i="13"/>
  <c r="B786" i="13"/>
  <c r="B787" i="13"/>
  <c r="B788" i="13"/>
  <c r="B789" i="13"/>
  <c r="B790" i="13"/>
  <c r="B791" i="13"/>
  <c r="B792" i="13"/>
  <c r="B793" i="13"/>
  <c r="B794" i="13"/>
  <c r="B795" i="13"/>
  <c r="B796" i="13"/>
  <c r="B797" i="13"/>
  <c r="B798" i="13"/>
  <c r="B799" i="13"/>
  <c r="B800" i="13"/>
  <c r="B801" i="13"/>
  <c r="B806" i="13"/>
  <c r="B807" i="13"/>
  <c r="B808" i="13"/>
  <c r="B809" i="13"/>
  <c r="B810" i="13"/>
  <c r="B811" i="13"/>
  <c r="B812" i="13"/>
  <c r="B813" i="13"/>
  <c r="B814" i="13"/>
  <c r="B815" i="13"/>
  <c r="B816" i="13"/>
  <c r="B817" i="13"/>
  <c r="B818" i="13"/>
  <c r="B819" i="13"/>
  <c r="B820" i="13"/>
  <c r="B821" i="13"/>
  <c r="B822" i="13"/>
  <c r="B823" i="13"/>
  <c r="B824" i="13"/>
  <c r="B825" i="13"/>
  <c r="B826" i="13"/>
  <c r="B827" i="13"/>
  <c r="B828" i="13"/>
  <c r="B829" i="13"/>
  <c r="B830" i="13"/>
  <c r="B831" i="13"/>
  <c r="B832" i="13"/>
  <c r="B833" i="13"/>
  <c r="B834" i="13"/>
  <c r="B835" i="13"/>
  <c r="B836" i="13"/>
  <c r="B837" i="13"/>
  <c r="B838" i="13"/>
  <c r="B839" i="13"/>
  <c r="B840" i="13"/>
  <c r="B841" i="13"/>
  <c r="B842" i="13"/>
  <c r="B843" i="13"/>
  <c r="B844" i="13"/>
  <c r="B845" i="13"/>
  <c r="B846" i="13"/>
  <c r="B847" i="13"/>
  <c r="B848" i="13"/>
  <c r="B849" i="13"/>
  <c r="B850" i="13"/>
  <c r="B851" i="13"/>
  <c r="B852" i="13"/>
  <c r="B853" i="13"/>
  <c r="B854" i="13"/>
  <c r="B857" i="13"/>
  <c r="B858" i="13"/>
  <c r="B859" i="13"/>
  <c r="B862" i="13"/>
  <c r="B863" i="13"/>
  <c r="B864" i="13"/>
  <c r="B865" i="13"/>
  <c r="B868" i="13"/>
  <c r="B869" i="13"/>
  <c r="B870" i="13"/>
  <c r="B871" i="13"/>
  <c r="B872" i="13"/>
  <c r="B873" i="13"/>
  <c r="B874" i="13"/>
  <c r="B875" i="13"/>
  <c r="B876" i="13"/>
  <c r="B877" i="13"/>
  <c r="B878" i="13"/>
  <c r="B879" i="13"/>
  <c r="B880" i="13"/>
  <c r="B881" i="13"/>
  <c r="B882" i="13"/>
  <c r="B883" i="13"/>
  <c r="B884" i="13"/>
  <c r="B885" i="13"/>
  <c r="B886" i="13"/>
  <c r="B887" i="13"/>
  <c r="B888" i="13"/>
  <c r="B889" i="13"/>
  <c r="B890" i="13"/>
  <c r="B891" i="13"/>
  <c r="B892" i="13"/>
  <c r="B893" i="13"/>
  <c r="B894" i="13"/>
  <c r="B895" i="13"/>
  <c r="B896" i="13"/>
  <c r="B897" i="13"/>
  <c r="B898" i="13"/>
  <c r="B899" i="13"/>
  <c r="B900" i="13"/>
  <c r="B901" i="13"/>
  <c r="B902" i="13"/>
  <c r="B903" i="13"/>
  <c r="B904" i="13"/>
  <c r="B905" i="13"/>
  <c r="B906" i="13"/>
  <c r="B907" i="13"/>
  <c r="B908" i="13"/>
  <c r="B909" i="13"/>
  <c r="B910" i="13"/>
  <c r="B911" i="13"/>
  <c r="B912" i="13"/>
  <c r="B913" i="13"/>
  <c r="B914" i="13"/>
  <c r="B915" i="13"/>
  <c r="B916" i="13"/>
  <c r="B917" i="13"/>
  <c r="B918" i="13"/>
  <c r="B919" i="13"/>
  <c r="B920" i="13"/>
  <c r="B921" i="13"/>
  <c r="B922" i="13"/>
  <c r="B923" i="13"/>
  <c r="B924" i="13"/>
  <c r="B925" i="13"/>
  <c r="B926" i="13"/>
  <c r="B927" i="13"/>
  <c r="B928" i="13"/>
  <c r="B929" i="13"/>
  <c r="B930" i="13"/>
  <c r="B931" i="13"/>
  <c r="B932" i="13"/>
  <c r="B933" i="13"/>
  <c r="B934" i="13"/>
  <c r="B935" i="13"/>
  <c r="B936" i="13"/>
  <c r="B937" i="13"/>
  <c r="B938" i="13"/>
  <c r="B939" i="13"/>
  <c r="B940" i="13"/>
  <c r="B941" i="13"/>
  <c r="B942" i="13"/>
  <c r="B943" i="13"/>
  <c r="B944" i="13"/>
  <c r="B945" i="13"/>
  <c r="B946" i="13"/>
  <c r="B947" i="13"/>
  <c r="B948" i="13"/>
  <c r="B949" i="13"/>
  <c r="B950" i="13"/>
  <c r="B951" i="13"/>
  <c r="B955" i="13"/>
  <c r="B956" i="13"/>
  <c r="B960" i="13"/>
  <c r="B961" i="13"/>
  <c r="B962" i="13"/>
  <c r="B963" i="13"/>
  <c r="B964" i="13"/>
  <c r="B965" i="13"/>
  <c r="B966" i="13"/>
  <c r="B967" i="13"/>
  <c r="B968" i="13"/>
  <c r="B969" i="13"/>
  <c r="B970" i="13"/>
  <c r="B971" i="13"/>
  <c r="B972" i="13"/>
  <c r="B973" i="13"/>
  <c r="B974" i="13"/>
  <c r="B975" i="13"/>
  <c r="B976" i="13"/>
  <c r="B977" i="13"/>
  <c r="B978" i="13"/>
  <c r="B979" i="13"/>
  <c r="B980" i="13"/>
  <c r="B981" i="13"/>
  <c r="B984" i="13"/>
  <c r="B985" i="13"/>
  <c r="B986" i="13"/>
  <c r="B987" i="13"/>
  <c r="B988" i="13"/>
  <c r="B989" i="13"/>
  <c r="B990" i="13"/>
  <c r="B991" i="13"/>
  <c r="B992" i="13"/>
  <c r="B993" i="13"/>
  <c r="B994" i="13"/>
  <c r="B995" i="13"/>
  <c r="B996" i="13"/>
  <c r="B997" i="13"/>
  <c r="B998" i="13"/>
  <c r="B999" i="13"/>
  <c r="B1000" i="13"/>
  <c r="B1001" i="13"/>
  <c r="B1002" i="13"/>
  <c r="B1003" i="13"/>
  <c r="B1004" i="13"/>
  <c r="B1005" i="13"/>
  <c r="B1006" i="13"/>
  <c r="B1007" i="13"/>
  <c r="B1008" i="13"/>
  <c r="B1009" i="13"/>
  <c r="B1010" i="13"/>
  <c r="B1011" i="13"/>
  <c r="B1012" i="13"/>
  <c r="B1013" i="13"/>
  <c r="B1014" i="13"/>
  <c r="B1015" i="13"/>
  <c r="B1016" i="13"/>
  <c r="B1017" i="13"/>
  <c r="B1020" i="13"/>
  <c r="B1021" i="13"/>
  <c r="B1022" i="13"/>
  <c r="B1023" i="13"/>
  <c r="B1024" i="13"/>
  <c r="B1025" i="13"/>
  <c r="B1026" i="13"/>
  <c r="B1027" i="13"/>
  <c r="B1028" i="13"/>
  <c r="B1031" i="13"/>
  <c r="B1032" i="13"/>
  <c r="B1033" i="13"/>
  <c r="B1034" i="13"/>
  <c r="B1035" i="13"/>
  <c r="B1036" i="13"/>
  <c r="B1037" i="13"/>
  <c r="B1038" i="13"/>
  <c r="B1039" i="13"/>
  <c r="B1040" i="13"/>
  <c r="B1041" i="13"/>
  <c r="B1042" i="13"/>
  <c r="B1043" i="13"/>
  <c r="B1044" i="13"/>
  <c r="B1045" i="13"/>
  <c r="B1046" i="13"/>
  <c r="B1047" i="13"/>
  <c r="B1048" i="13"/>
  <c r="B1049" i="13"/>
  <c r="B1050" i="13"/>
  <c r="B1051" i="13"/>
  <c r="B1052" i="13"/>
  <c r="B1053" i="13"/>
  <c r="B1054" i="13"/>
  <c r="B1055" i="13"/>
  <c r="B1056" i="13"/>
  <c r="B1057" i="13"/>
  <c r="B1058" i="13"/>
  <c r="B1059" i="13"/>
  <c r="B1060" i="13"/>
  <c r="B1061" i="13"/>
  <c r="B1062" i="13"/>
  <c r="B1063" i="13"/>
  <c r="B1064" i="13"/>
  <c r="B1065" i="13"/>
  <c r="B1066" i="13"/>
  <c r="B1067" i="13"/>
  <c r="B1068" i="13"/>
  <c r="B1069" i="13"/>
  <c r="B1070" i="13"/>
  <c r="B1071" i="13"/>
  <c r="B1072" i="13"/>
  <c r="B1073" i="13"/>
  <c r="B1074" i="13"/>
  <c r="B1075" i="13"/>
  <c r="B1076" i="13"/>
  <c r="B1077" i="13"/>
  <c r="B1078" i="13"/>
  <c r="B1079" i="13"/>
  <c r="B1080" i="13"/>
  <c r="B1081" i="13"/>
  <c r="B1082" i="13"/>
  <c r="B1083" i="13"/>
  <c r="B1084" i="13"/>
  <c r="B1085" i="13"/>
  <c r="B1086" i="13"/>
  <c r="B1087" i="13"/>
  <c r="B1088" i="13"/>
  <c r="B1089" i="13"/>
  <c r="B1090" i="13"/>
  <c r="B1091" i="13"/>
  <c r="B1092" i="13"/>
  <c r="B1093" i="13"/>
  <c r="B1094" i="13"/>
  <c r="B1095" i="13"/>
  <c r="B1096" i="13"/>
  <c r="B1097" i="13"/>
  <c r="B1098" i="13"/>
  <c r="B1099" i="13"/>
  <c r="B1102" i="13"/>
  <c r="B1103" i="13"/>
  <c r="B1104" i="13"/>
  <c r="B1105" i="13"/>
  <c r="B1106" i="13"/>
  <c r="B1107" i="13"/>
  <c r="B1108" i="13"/>
  <c r="B1109" i="13"/>
  <c r="B1110" i="13"/>
  <c r="B1111" i="13"/>
  <c r="B1112" i="13"/>
  <c r="B1113" i="13"/>
  <c r="B1114" i="13"/>
  <c r="B1115" i="13"/>
  <c r="B1116" i="13"/>
  <c r="B1117" i="13"/>
  <c r="B1118" i="13"/>
  <c r="B1119" i="13"/>
  <c r="B1120" i="13"/>
  <c r="B1121" i="13"/>
  <c r="B1122" i="13"/>
  <c r="B1123" i="13"/>
  <c r="B1124" i="13"/>
  <c r="B1125" i="13"/>
  <c r="B1126" i="13"/>
  <c r="B1127" i="13"/>
  <c r="B1128" i="13"/>
  <c r="B1129" i="13"/>
  <c r="B1130" i="13"/>
  <c r="B1131" i="13"/>
  <c r="B1132" i="13"/>
  <c r="B1133" i="13"/>
  <c r="B1134" i="13"/>
  <c r="B1135" i="13"/>
  <c r="B1136" i="13"/>
  <c r="B1137" i="13"/>
  <c r="B1138" i="13"/>
  <c r="B1139" i="13"/>
  <c r="B1140" i="13"/>
  <c r="B1141" i="13"/>
  <c r="B1142" i="13"/>
  <c r="B1143" i="13"/>
  <c r="B1144" i="13"/>
  <c r="B1145" i="13"/>
  <c r="B1146" i="13"/>
  <c r="B1147" i="13"/>
  <c r="B1148" i="13"/>
  <c r="B1149" i="13"/>
  <c r="B1150" i="13"/>
  <c r="B1151" i="13"/>
  <c r="B1152" i="13"/>
  <c r="B1153" i="13"/>
  <c r="B1154" i="13"/>
  <c r="B1155" i="13"/>
  <c r="B1156" i="13"/>
  <c r="B1157" i="13"/>
  <c r="B1158" i="13"/>
  <c r="B1159" i="13"/>
  <c r="B1160" i="13"/>
  <c r="B1161" i="13"/>
  <c r="B1162" i="13"/>
  <c r="B1163" i="13"/>
  <c r="B1164" i="13"/>
  <c r="B1165" i="13"/>
  <c r="B1166" i="13"/>
  <c r="B1167" i="13"/>
  <c r="B1168" i="13"/>
  <c r="B1169" i="13"/>
  <c r="B1170" i="13"/>
  <c r="B1171" i="13"/>
  <c r="B1172" i="13"/>
  <c r="B1173" i="13"/>
  <c r="B1174" i="13"/>
  <c r="B1175" i="13"/>
  <c r="B1176" i="13"/>
  <c r="B1177" i="13"/>
  <c r="B1178" i="13"/>
  <c r="B1179" i="13"/>
  <c r="B1180" i="13"/>
  <c r="B1181" i="13"/>
  <c r="B1182" i="13"/>
  <c r="B1183" i="13"/>
  <c r="B1184" i="13"/>
  <c r="B1185" i="13"/>
  <c r="B1186" i="13"/>
  <c r="B1187" i="13"/>
  <c r="B1188" i="13"/>
  <c r="B1189" i="13"/>
  <c r="B1190" i="13"/>
  <c r="B1191" i="13"/>
  <c r="B1192" i="13"/>
  <c r="B1193" i="13"/>
  <c r="B1194" i="13"/>
  <c r="B1195" i="13"/>
  <c r="B1196" i="13"/>
  <c r="B1199" i="13"/>
  <c r="B1200" i="13"/>
  <c r="B1201" i="13"/>
  <c r="B1202" i="13"/>
  <c r="B1203" i="13"/>
  <c r="B1204" i="13"/>
  <c r="B1205" i="13"/>
  <c r="B1206" i="13"/>
  <c r="B1207" i="13"/>
  <c r="B1210" i="13"/>
  <c r="B1211" i="13"/>
  <c r="B1212" i="13"/>
  <c r="B1213" i="13"/>
  <c r="B1214" i="13"/>
  <c r="B1215" i="13"/>
  <c r="B1216" i="13"/>
  <c r="B1217" i="13"/>
  <c r="B1218" i="13"/>
  <c r="B1219" i="13"/>
  <c r="B1220" i="13"/>
  <c r="B1221" i="13"/>
  <c r="B1222" i="13"/>
  <c r="B1223" i="13"/>
  <c r="B1226" i="13"/>
  <c r="B1227" i="13"/>
  <c r="B1228" i="13"/>
  <c r="B1229" i="13"/>
  <c r="B1230" i="13"/>
  <c r="B1231" i="13"/>
  <c r="B1232" i="13"/>
  <c r="B1233" i="13"/>
  <c r="B1234" i="13"/>
  <c r="B1235" i="13"/>
  <c r="B1236" i="13"/>
  <c r="B1239" i="13"/>
  <c r="B1240" i="13"/>
  <c r="B1241" i="13"/>
  <c r="B1242" i="13"/>
  <c r="B1243" i="13"/>
  <c r="B1244" i="13"/>
  <c r="B1247" i="13"/>
  <c r="B1250" i="13"/>
  <c r="B1251" i="13"/>
  <c r="B1252" i="13"/>
  <c r="B1253" i="13"/>
  <c r="B1254" i="13"/>
  <c r="B1255" i="13"/>
  <c r="B1256" i="13"/>
  <c r="B1257" i="13"/>
  <c r="B1258" i="13"/>
  <c r="B1259" i="13"/>
  <c r="B1260" i="13"/>
  <c r="B1261" i="13"/>
  <c r="B1262" i="13"/>
  <c r="B1263" i="13"/>
  <c r="B1264" i="13"/>
  <c r="B1265" i="13"/>
  <c r="B1268" i="13"/>
  <c r="B1271" i="13"/>
  <c r="B1272" i="13"/>
  <c r="B1273" i="13"/>
  <c r="B1274" i="13"/>
  <c r="B1275" i="13"/>
  <c r="B1276" i="13"/>
  <c r="B1277" i="13"/>
  <c r="B1278" i="13"/>
  <c r="B1279" i="13"/>
  <c r="B1280" i="13"/>
  <c r="B1281" i="13"/>
  <c r="B1282" i="13"/>
  <c r="B1283" i="13"/>
  <c r="B1284" i="13"/>
  <c r="B1285" i="13"/>
  <c r="B1286" i="13"/>
  <c r="B1287" i="13"/>
  <c r="B1288" i="13"/>
  <c r="B1289" i="13"/>
  <c r="B1290" i="13"/>
  <c r="B1291" i="13"/>
  <c r="B1292" i="13"/>
  <c r="B1293" i="13"/>
  <c r="B1294" i="13"/>
  <c r="B1295" i="13"/>
  <c r="B1296" i="13"/>
  <c r="B1297" i="13"/>
  <c r="B1298" i="13"/>
  <c r="B1299" i="13"/>
  <c r="B1300" i="13"/>
  <c r="B1301" i="13"/>
  <c r="B1302" i="13"/>
  <c r="B1303" i="13"/>
  <c r="B1304" i="13"/>
  <c r="B1305" i="13"/>
  <c r="B1306" i="13"/>
  <c r="B1307" i="13"/>
  <c r="B1308" i="13"/>
  <c r="B1309" i="13"/>
  <c r="B1310" i="13"/>
  <c r="B1311" i="13"/>
  <c r="B1312" i="13"/>
  <c r="B1313" i="13"/>
  <c r="B1314" i="13"/>
  <c r="B1315" i="13"/>
  <c r="B1316" i="13"/>
  <c r="B1317" i="13"/>
  <c r="B1318" i="13"/>
  <c r="B1319" i="13"/>
  <c r="B1320" i="13"/>
  <c r="B1321" i="13"/>
  <c r="B1322" i="13"/>
  <c r="B1323" i="13"/>
  <c r="B1324" i="13"/>
  <c r="B1325" i="13"/>
  <c r="B1326" i="13"/>
  <c r="B1327" i="13"/>
  <c r="B1328" i="13"/>
  <c r="B1329" i="13"/>
  <c r="B1330" i="13"/>
  <c r="B1331" i="13"/>
  <c r="B1332" i="13"/>
  <c r="B1333" i="13"/>
  <c r="B1334" i="13"/>
  <c r="B1335" i="13"/>
  <c r="B1336" i="13"/>
  <c r="B1337" i="13"/>
  <c r="B1338" i="13"/>
  <c r="B1339" i="13"/>
  <c r="B1340" i="13"/>
  <c r="B1341" i="13"/>
  <c r="B1342" i="13"/>
  <c r="B1343" i="13"/>
  <c r="B1344" i="13"/>
  <c r="B1345" i="13"/>
  <c r="B1346" i="13"/>
  <c r="B1347" i="13"/>
  <c r="B1348" i="13"/>
  <c r="B1349" i="13"/>
  <c r="B1350" i="13"/>
  <c r="B1351" i="13"/>
  <c r="B1352" i="13"/>
  <c r="B1353" i="13"/>
  <c r="B1354" i="13"/>
  <c r="B1355" i="13"/>
  <c r="B1356" i="13"/>
  <c r="B1357" i="13"/>
  <c r="B1358" i="13"/>
  <c r="B1359" i="13"/>
  <c r="B1360" i="13"/>
  <c r="B1361" i="13"/>
  <c r="B1362" i="13"/>
  <c r="B1363" i="13"/>
  <c r="B1364" i="13"/>
  <c r="B1365" i="13"/>
  <c r="B1366" i="13"/>
  <c r="B1367" i="13"/>
  <c r="B1368" i="13"/>
  <c r="B1369" i="13"/>
  <c r="B1370" i="13"/>
  <c r="B1371" i="13"/>
  <c r="B1372" i="13"/>
  <c r="B1373" i="13"/>
  <c r="B1374" i="13"/>
  <c r="B1375" i="13"/>
  <c r="B1376" i="13"/>
  <c r="B1377" i="13"/>
  <c r="B1378" i="13"/>
  <c r="B1379" i="13"/>
  <c r="B1380" i="13"/>
  <c r="B1381" i="13"/>
  <c r="B1382" i="13"/>
  <c r="B1383" i="13"/>
  <c r="B1384" i="13"/>
  <c r="B1388" i="13"/>
  <c r="B1389" i="13"/>
  <c r="B1390" i="13"/>
  <c r="B1391" i="13"/>
  <c r="B1392" i="13"/>
  <c r="B1393" i="13"/>
  <c r="B1394" i="13"/>
  <c r="B1395" i="13"/>
  <c r="B1396" i="13"/>
  <c r="B1397" i="13"/>
  <c r="B1398" i="13"/>
  <c r="B1399" i="13"/>
  <c r="B1400" i="13"/>
  <c r="B1401" i="13"/>
  <c r="B1402" i="13"/>
  <c r="B1403" i="13"/>
  <c r="B1404" i="13"/>
  <c r="B1405" i="13"/>
  <c r="B1406" i="13"/>
  <c r="B1407" i="13"/>
  <c r="B1408" i="13"/>
  <c r="B1409" i="13"/>
  <c r="B1410" i="13"/>
  <c r="B1411" i="13"/>
  <c r="B1412" i="13"/>
  <c r="B1413" i="13"/>
  <c r="B1414" i="13"/>
  <c r="B1415" i="13"/>
  <c r="B1416" i="13"/>
  <c r="B1417" i="13"/>
  <c r="B1418" i="13"/>
  <c r="B1419" i="13"/>
  <c r="B1420" i="13"/>
  <c r="B1421" i="13"/>
  <c r="B1422" i="13"/>
  <c r="B1423" i="13"/>
  <c r="B1424" i="13"/>
  <c r="B1425" i="13"/>
  <c r="B1426" i="13"/>
  <c r="B1427" i="13"/>
  <c r="B1428" i="13"/>
  <c r="B1429" i="13"/>
  <c r="B1430" i="13"/>
  <c r="B1433" i="13"/>
  <c r="B1434" i="13"/>
  <c r="B1435" i="13"/>
  <c r="B1436" i="13"/>
  <c r="B1437" i="13"/>
  <c r="B1438" i="13"/>
  <c r="B1439" i="13"/>
  <c r="B1440" i="13"/>
  <c r="B1441" i="13"/>
  <c r="B1442" i="13"/>
  <c r="B1443" i="13"/>
  <c r="B1444" i="13"/>
  <c r="B1445" i="13"/>
  <c r="B1446" i="13"/>
  <c r="B1447" i="13"/>
  <c r="B1448" i="13"/>
  <c r="B1449" i="13"/>
  <c r="B1450" i="13"/>
  <c r="B1451" i="13"/>
  <c r="B1452" i="13"/>
  <c r="B1453" i="13"/>
  <c r="B1454" i="13"/>
  <c r="B1455" i="13"/>
  <c r="B1456" i="13"/>
  <c r="B1457" i="13"/>
  <c r="B1458" i="13"/>
  <c r="B1459" i="13"/>
  <c r="B1460" i="13"/>
  <c r="B1461" i="13"/>
  <c r="B1462" i="13"/>
  <c r="B1463" i="13"/>
  <c r="B1464" i="13"/>
  <c r="B1465" i="13"/>
  <c r="B1466" i="13"/>
  <c r="B1467" i="13"/>
  <c r="B1468" i="13"/>
  <c r="B1469" i="13"/>
  <c r="B1470" i="13"/>
  <c r="B1471" i="13"/>
  <c r="B1472" i="13"/>
  <c r="B1473" i="13"/>
  <c r="B1476" i="13"/>
  <c r="B1477" i="13"/>
  <c r="B1478" i="13"/>
  <c r="B1479" i="13"/>
  <c r="B1480" i="13"/>
  <c r="B1481" i="13"/>
  <c r="B1482" i="13"/>
  <c r="B1483" i="13"/>
  <c r="B1484" i="13"/>
  <c r="B1485" i="13"/>
  <c r="B1486" i="13"/>
  <c r="B1487" i="13"/>
  <c r="B1488" i="13"/>
  <c r="B1489" i="13"/>
  <c r="B1490" i="13"/>
  <c r="B1491" i="13"/>
  <c r="B1492" i="13"/>
  <c r="B1493" i="13"/>
  <c r="B1494" i="13"/>
  <c r="B1495" i="13"/>
  <c r="B1496" i="13"/>
  <c r="B1497" i="13"/>
  <c r="B1498" i="13"/>
  <c r="B1499" i="13"/>
  <c r="B1500" i="13"/>
  <c r="B1501" i="13"/>
  <c r="B1502" i="13"/>
  <c r="B1503" i="13"/>
  <c r="B1504" i="13"/>
  <c r="B1505" i="13"/>
  <c r="B1506" i="13"/>
  <c r="B1507" i="13"/>
  <c r="B1508" i="13"/>
  <c r="B1509" i="13"/>
  <c r="B1510" i="13"/>
  <c r="B1511" i="13"/>
  <c r="B1512" i="13"/>
  <c r="B1513" i="13"/>
  <c r="B1514" i="13"/>
  <c r="B1515" i="13"/>
  <c r="B1518" i="13"/>
  <c r="B1519" i="13"/>
  <c r="B1520" i="13"/>
  <c r="B1521" i="13"/>
  <c r="B1522" i="13"/>
  <c r="B1523" i="13"/>
  <c r="B1524" i="13"/>
  <c r="B1525" i="13"/>
  <c r="B1526" i="13"/>
  <c r="B1527" i="13"/>
  <c r="B1528" i="13"/>
  <c r="B1529" i="13"/>
  <c r="B1530" i="13"/>
  <c r="B1531" i="13"/>
  <c r="B1532" i="13"/>
  <c r="B1533" i="13"/>
  <c r="B1534" i="13"/>
  <c r="B1535" i="13"/>
  <c r="B1536" i="13"/>
  <c r="N2" i="13"/>
  <c r="O2" i="13" s="1"/>
  <c r="N3" i="13"/>
  <c r="O3" i="13" s="1"/>
  <c r="N4" i="13"/>
  <c r="O4" i="13" s="1"/>
  <c r="N5" i="13"/>
  <c r="O5" i="13" s="1"/>
  <c r="N6" i="13"/>
  <c r="O6" i="13" s="1"/>
  <c r="N7" i="13"/>
  <c r="O7" i="13" s="1"/>
  <c r="N8" i="13"/>
  <c r="O8" i="13" s="1"/>
  <c r="N9" i="13"/>
  <c r="O9" i="13" s="1"/>
  <c r="N10" i="13"/>
  <c r="O10" i="13" s="1"/>
  <c r="N11" i="13"/>
  <c r="O11" i="13" s="1"/>
  <c r="N12" i="13"/>
  <c r="O12" i="13" s="1"/>
  <c r="N13" i="13"/>
  <c r="O13" i="13" s="1"/>
  <c r="N14" i="13"/>
  <c r="O14" i="13" s="1"/>
  <c r="N15" i="13"/>
  <c r="O15" i="13" s="1"/>
  <c r="N16" i="13"/>
  <c r="O16" i="13" s="1"/>
  <c r="N17" i="13"/>
  <c r="O17" i="13" s="1"/>
  <c r="N18" i="13"/>
  <c r="O18" i="13" s="1"/>
  <c r="N19" i="13"/>
  <c r="O19" i="13" s="1"/>
  <c r="N20" i="13"/>
  <c r="O20" i="13" s="1"/>
  <c r="N21" i="13"/>
  <c r="O21" i="13" s="1"/>
  <c r="N22" i="13"/>
  <c r="O22" i="13" s="1"/>
  <c r="N23" i="13"/>
  <c r="O23" i="13" s="1"/>
  <c r="N24" i="13"/>
  <c r="O24" i="13" s="1"/>
  <c r="N25" i="13"/>
  <c r="O25" i="13" s="1"/>
  <c r="N26" i="13"/>
  <c r="O26" i="13" s="1"/>
  <c r="N27" i="13"/>
  <c r="O27" i="13" s="1"/>
  <c r="N28" i="13"/>
  <c r="O28" i="13" s="1"/>
  <c r="N29" i="13"/>
  <c r="O29" i="13" s="1"/>
  <c r="N30" i="13"/>
  <c r="O30" i="13" s="1"/>
  <c r="N31" i="13"/>
  <c r="O31" i="13" s="1"/>
  <c r="N32" i="13"/>
  <c r="O32" i="13" s="1"/>
  <c r="N33" i="13"/>
  <c r="O33" i="13" s="1"/>
  <c r="N34" i="13"/>
  <c r="O34" i="13" s="1"/>
  <c r="N35" i="13"/>
  <c r="O35" i="13" s="1"/>
  <c r="N36" i="13"/>
  <c r="O36" i="13" s="1"/>
  <c r="N37" i="13"/>
  <c r="O37" i="13" s="1"/>
  <c r="N38" i="13"/>
  <c r="O38" i="13" s="1"/>
  <c r="N39" i="13"/>
  <c r="O39" i="13" s="1"/>
  <c r="N40" i="13"/>
  <c r="O40" i="13" s="1"/>
  <c r="N41" i="13"/>
  <c r="O41" i="13" s="1"/>
  <c r="N42" i="13"/>
  <c r="O42" i="13" s="1"/>
  <c r="N43" i="13"/>
  <c r="O43" i="13" s="1"/>
  <c r="N44" i="13"/>
  <c r="O44" i="13" s="1"/>
  <c r="N45" i="13"/>
  <c r="N46" i="13"/>
  <c r="N47" i="13"/>
  <c r="O47" i="13" s="1"/>
  <c r="N48" i="13"/>
  <c r="O48" i="13" s="1"/>
  <c r="N49" i="13"/>
  <c r="O49" i="13" s="1"/>
  <c r="N50" i="13"/>
  <c r="O50" i="13" s="1"/>
  <c r="N51" i="13"/>
  <c r="O51" i="13" s="1"/>
  <c r="N52" i="13"/>
  <c r="O52" i="13" s="1"/>
  <c r="N53" i="13"/>
  <c r="O53" i="13" s="1"/>
  <c r="N54" i="13"/>
  <c r="O54" i="13" s="1"/>
  <c r="N55" i="13"/>
  <c r="N56" i="13"/>
  <c r="N57" i="13"/>
  <c r="O57" i="13" s="1"/>
  <c r="N58" i="13"/>
  <c r="O58" i="13" s="1"/>
  <c r="N59" i="13"/>
  <c r="O59" i="13" s="1"/>
  <c r="N60" i="13"/>
  <c r="O60" i="13" s="1"/>
  <c r="N61" i="13"/>
  <c r="O61" i="13" s="1"/>
  <c r="N62" i="13"/>
  <c r="O62" i="13" s="1"/>
  <c r="N63" i="13"/>
  <c r="N64" i="13"/>
  <c r="N65" i="13"/>
  <c r="O65" i="13" s="1"/>
  <c r="N66" i="13"/>
  <c r="O66" i="13" s="1"/>
  <c r="N67" i="13"/>
  <c r="O67" i="13" s="1"/>
  <c r="N68" i="13"/>
  <c r="O68" i="13" s="1"/>
  <c r="N69" i="13"/>
  <c r="O69" i="13" s="1"/>
  <c r="N70" i="13"/>
  <c r="O70" i="13" s="1"/>
  <c r="N71" i="13"/>
  <c r="O71" i="13" s="1"/>
  <c r="N72" i="13"/>
  <c r="O72" i="13" s="1"/>
  <c r="N73" i="13"/>
  <c r="O73" i="13" s="1"/>
  <c r="N74" i="13"/>
  <c r="O74" i="13" s="1"/>
  <c r="N75" i="13"/>
  <c r="O75" i="13" s="1"/>
  <c r="N76" i="13"/>
  <c r="O76" i="13" s="1"/>
  <c r="N77" i="13"/>
  <c r="O77" i="13" s="1"/>
  <c r="N78" i="13"/>
  <c r="O78" i="13" s="1"/>
  <c r="N79" i="13"/>
  <c r="O79" i="13" s="1"/>
  <c r="N80" i="13"/>
  <c r="O80" i="13" s="1"/>
  <c r="N81" i="13"/>
  <c r="O81" i="13" s="1"/>
  <c r="N82" i="13"/>
  <c r="O82" i="13" s="1"/>
  <c r="N83" i="13"/>
  <c r="O83" i="13" s="1"/>
  <c r="N84" i="13"/>
  <c r="O84" i="13" s="1"/>
  <c r="N85" i="13"/>
  <c r="O85" i="13" s="1"/>
  <c r="N86" i="13"/>
  <c r="O86" i="13" s="1"/>
  <c r="N87" i="13"/>
  <c r="O87" i="13" s="1"/>
  <c r="N88" i="13"/>
  <c r="O88" i="13" s="1"/>
  <c r="N89" i="13"/>
  <c r="O89" i="13" s="1"/>
  <c r="N90" i="13"/>
  <c r="O90" i="13" s="1"/>
  <c r="N91" i="13"/>
  <c r="O91" i="13" s="1"/>
  <c r="N92" i="13"/>
  <c r="O92" i="13" s="1"/>
  <c r="N93" i="13"/>
  <c r="O93" i="13" s="1"/>
  <c r="N94" i="13"/>
  <c r="O94" i="13" s="1"/>
  <c r="N95" i="13"/>
  <c r="O95" i="13" s="1"/>
  <c r="N96" i="13"/>
  <c r="O96" i="13" s="1"/>
  <c r="N97" i="13"/>
  <c r="O97" i="13" s="1"/>
  <c r="N98" i="13"/>
  <c r="O98" i="13" s="1"/>
  <c r="N99" i="13"/>
  <c r="O99" i="13" s="1"/>
  <c r="N100" i="13"/>
  <c r="O100" i="13" s="1"/>
  <c r="N101" i="13"/>
  <c r="O101" i="13" s="1"/>
  <c r="N102" i="13"/>
  <c r="O102" i="13" s="1"/>
  <c r="N103" i="13"/>
  <c r="O103" i="13" s="1"/>
  <c r="N104" i="13"/>
  <c r="O104" i="13" s="1"/>
  <c r="N105" i="13"/>
  <c r="O105" i="13" s="1"/>
  <c r="N106" i="13"/>
  <c r="O106" i="13" s="1"/>
  <c r="N107" i="13"/>
  <c r="O107" i="13" s="1"/>
  <c r="N108" i="13"/>
  <c r="O108" i="13" s="1"/>
  <c r="N109" i="13"/>
  <c r="O109" i="13" s="1"/>
  <c r="N110" i="13"/>
  <c r="O110" i="13" s="1"/>
  <c r="N111" i="13"/>
  <c r="O111" i="13" s="1"/>
  <c r="N112" i="13"/>
  <c r="O112" i="13" s="1"/>
  <c r="N113" i="13"/>
  <c r="O113" i="13" s="1"/>
  <c r="N114" i="13"/>
  <c r="O114" i="13" s="1"/>
  <c r="N115" i="13"/>
  <c r="O115" i="13" s="1"/>
  <c r="N116" i="13"/>
  <c r="O116" i="13" s="1"/>
  <c r="N117" i="13"/>
  <c r="O117" i="13" s="1"/>
  <c r="N118" i="13"/>
  <c r="O118" i="13" s="1"/>
  <c r="N119" i="13"/>
  <c r="O119" i="13" s="1"/>
  <c r="N120" i="13"/>
  <c r="O120" i="13" s="1"/>
  <c r="N121" i="13"/>
  <c r="N122" i="13"/>
  <c r="N123" i="13"/>
  <c r="N124" i="13"/>
  <c r="N125" i="13"/>
  <c r="N126" i="13"/>
  <c r="N127" i="13"/>
  <c r="N128" i="13"/>
  <c r="N129" i="13"/>
  <c r="N130" i="13"/>
  <c r="N131" i="13"/>
  <c r="N132" i="13"/>
  <c r="O132" i="13" s="1"/>
  <c r="N133" i="13"/>
  <c r="O133" i="13" s="1"/>
  <c r="N134" i="13"/>
  <c r="O134" i="13" s="1"/>
  <c r="N135" i="13"/>
  <c r="O135" i="13" s="1"/>
  <c r="N136" i="13"/>
  <c r="O136" i="13" s="1"/>
  <c r="N137" i="13"/>
  <c r="O137" i="13" s="1"/>
  <c r="N138" i="13"/>
  <c r="O138" i="13" s="1"/>
  <c r="N139" i="13"/>
  <c r="O139" i="13" s="1"/>
  <c r="N140" i="13"/>
  <c r="N141" i="13"/>
  <c r="N142" i="13"/>
  <c r="N143" i="13"/>
  <c r="N144" i="13"/>
  <c r="N145" i="13"/>
  <c r="N146" i="13"/>
  <c r="N147" i="13"/>
  <c r="N148" i="13"/>
  <c r="N149" i="13"/>
  <c r="N150" i="13"/>
  <c r="N151" i="13"/>
  <c r="N152" i="13"/>
  <c r="O152" i="13" s="1"/>
  <c r="N153" i="13"/>
  <c r="O153" i="13" s="1"/>
  <c r="N154" i="13"/>
  <c r="O154" i="13" s="1"/>
  <c r="N155" i="13"/>
  <c r="O155" i="13" s="1"/>
  <c r="N156" i="13"/>
  <c r="O156" i="13" s="1"/>
  <c r="N157" i="13"/>
  <c r="O157" i="13" s="1"/>
  <c r="N158" i="13"/>
  <c r="O158" i="13" s="1"/>
  <c r="N159" i="13"/>
  <c r="O159" i="13" s="1"/>
  <c r="N160" i="13"/>
  <c r="O160" i="13" s="1"/>
  <c r="N161" i="13"/>
  <c r="O161" i="13" s="1"/>
  <c r="N162" i="13"/>
  <c r="O162" i="13" s="1"/>
  <c r="N163" i="13"/>
  <c r="O163" i="13" s="1"/>
  <c r="N164" i="13"/>
  <c r="O164" i="13" s="1"/>
  <c r="N165" i="13"/>
  <c r="O165" i="13" s="1"/>
  <c r="N166" i="13"/>
  <c r="O166" i="13" s="1"/>
  <c r="N167" i="13"/>
  <c r="O167" i="13" s="1"/>
  <c r="N168" i="13"/>
  <c r="O168" i="13" s="1"/>
  <c r="N169" i="13"/>
  <c r="O169" i="13" s="1"/>
  <c r="N170" i="13"/>
  <c r="O170" i="13" s="1"/>
  <c r="N171" i="13"/>
  <c r="O171" i="13" s="1"/>
  <c r="N172" i="13"/>
  <c r="O172" i="13" s="1"/>
  <c r="N173" i="13"/>
  <c r="O173" i="13" s="1"/>
  <c r="N174" i="13"/>
  <c r="O174" i="13" s="1"/>
  <c r="N175" i="13"/>
  <c r="O175" i="13" s="1"/>
  <c r="N176" i="13"/>
  <c r="O176" i="13" s="1"/>
  <c r="N177" i="13"/>
  <c r="O177" i="13" s="1"/>
  <c r="N178" i="13"/>
  <c r="O178" i="13" s="1"/>
  <c r="N179" i="13"/>
  <c r="O179" i="13" s="1"/>
  <c r="N180" i="13"/>
  <c r="O180" i="13" s="1"/>
  <c r="N181" i="13"/>
  <c r="O181" i="13" s="1"/>
  <c r="N182" i="13"/>
  <c r="O182" i="13" s="1"/>
  <c r="N183" i="13"/>
  <c r="O183" i="13" s="1"/>
  <c r="N184" i="13"/>
  <c r="O184" i="13" s="1"/>
  <c r="N185" i="13"/>
  <c r="O185" i="13" s="1"/>
  <c r="N186" i="13"/>
  <c r="O186" i="13" s="1"/>
  <c r="N187" i="13"/>
  <c r="O187" i="13" s="1"/>
  <c r="N188" i="13"/>
  <c r="N189" i="13"/>
  <c r="N190" i="13"/>
  <c r="O190" i="13" s="1"/>
  <c r="N191" i="13"/>
  <c r="O191" i="13" s="1"/>
  <c r="N192" i="13"/>
  <c r="O192" i="13" s="1"/>
  <c r="N193" i="13"/>
  <c r="O193" i="13" s="1"/>
  <c r="N194" i="13"/>
  <c r="O194" i="13" s="1"/>
  <c r="N195" i="13"/>
  <c r="O195" i="13" s="1"/>
  <c r="N196" i="13"/>
  <c r="O196" i="13" s="1"/>
  <c r="N197" i="13"/>
  <c r="O197" i="13" s="1"/>
  <c r="N198" i="13"/>
  <c r="O198" i="13" s="1"/>
  <c r="N199" i="13"/>
  <c r="O199" i="13" s="1"/>
  <c r="N200" i="13"/>
  <c r="O200" i="13" s="1"/>
  <c r="N201" i="13"/>
  <c r="O201" i="13" s="1"/>
  <c r="N202" i="13"/>
  <c r="O202" i="13" s="1"/>
  <c r="N203" i="13"/>
  <c r="O203" i="13" s="1"/>
  <c r="N204" i="13"/>
  <c r="O204" i="13" s="1"/>
  <c r="N205" i="13"/>
  <c r="O205" i="13" s="1"/>
  <c r="N206" i="13"/>
  <c r="O206" i="13" s="1"/>
  <c r="N207" i="13"/>
  <c r="O207" i="13" s="1"/>
  <c r="N208" i="13"/>
  <c r="O208" i="13" s="1"/>
  <c r="N209" i="13"/>
  <c r="O209" i="13" s="1"/>
  <c r="N210" i="13"/>
  <c r="O210" i="13" s="1"/>
  <c r="N211" i="13"/>
  <c r="O211" i="13" s="1"/>
  <c r="N212" i="13"/>
  <c r="O212" i="13" s="1"/>
  <c r="N213" i="13"/>
  <c r="O213" i="13" s="1"/>
  <c r="N214" i="13"/>
  <c r="O214" i="13" s="1"/>
  <c r="N215" i="13"/>
  <c r="O215" i="13" s="1"/>
  <c r="N216" i="13"/>
  <c r="O216" i="13" s="1"/>
  <c r="N217" i="13"/>
  <c r="O217" i="13" s="1"/>
  <c r="N218" i="13"/>
  <c r="O218" i="13" s="1"/>
  <c r="N219" i="13"/>
  <c r="O219" i="13" s="1"/>
  <c r="N220" i="13"/>
  <c r="O220" i="13" s="1"/>
  <c r="N221" i="13"/>
  <c r="O221" i="13" s="1"/>
  <c r="N222" i="13"/>
  <c r="O222" i="13" s="1"/>
  <c r="N223" i="13"/>
  <c r="O223" i="13" s="1"/>
  <c r="N224" i="13"/>
  <c r="O224" i="13" s="1"/>
  <c r="N225" i="13"/>
  <c r="O225" i="13" s="1"/>
  <c r="N226" i="13"/>
  <c r="O226" i="13" s="1"/>
  <c r="N227" i="13"/>
  <c r="N228" i="13"/>
  <c r="N229" i="13"/>
  <c r="O229" i="13" s="1"/>
  <c r="N230" i="13"/>
  <c r="O230" i="13" s="1"/>
  <c r="N231" i="13"/>
  <c r="O231" i="13" s="1"/>
  <c r="N232" i="13"/>
  <c r="O232" i="13" s="1"/>
  <c r="N233" i="13"/>
  <c r="O233" i="13" s="1"/>
  <c r="N234" i="13"/>
  <c r="O234" i="13" s="1"/>
  <c r="N235" i="13"/>
  <c r="O235" i="13" s="1"/>
  <c r="N236" i="13"/>
  <c r="O236" i="13" s="1"/>
  <c r="N237" i="13"/>
  <c r="O237" i="13" s="1"/>
  <c r="N238" i="13"/>
  <c r="O238" i="13" s="1"/>
  <c r="N239" i="13"/>
  <c r="O239" i="13" s="1"/>
  <c r="N240" i="13"/>
  <c r="O240" i="13" s="1"/>
  <c r="N241" i="13"/>
  <c r="O241" i="13" s="1"/>
  <c r="N242" i="13"/>
  <c r="O242" i="13" s="1"/>
  <c r="N243" i="13"/>
  <c r="O243" i="13" s="1"/>
  <c r="N244" i="13"/>
  <c r="O244" i="13" s="1"/>
  <c r="N245" i="13"/>
  <c r="O245" i="13" s="1"/>
  <c r="N246" i="13"/>
  <c r="O246" i="13" s="1"/>
  <c r="N247" i="13"/>
  <c r="O247" i="13" s="1"/>
  <c r="N248" i="13"/>
  <c r="O248" i="13" s="1"/>
  <c r="N249" i="13"/>
  <c r="O249" i="13" s="1"/>
  <c r="N250" i="13"/>
  <c r="O250" i="13" s="1"/>
  <c r="N251" i="13"/>
  <c r="O251" i="13" s="1"/>
  <c r="N252" i="13"/>
  <c r="O252" i="13" s="1"/>
  <c r="N253" i="13"/>
  <c r="O253" i="13" s="1"/>
  <c r="N254" i="13"/>
  <c r="O254" i="13" s="1"/>
  <c r="N255" i="13"/>
  <c r="O255" i="13" s="1"/>
  <c r="N256" i="13"/>
  <c r="O256" i="13" s="1"/>
  <c r="N257" i="13"/>
  <c r="O257" i="13" s="1"/>
  <c r="N258" i="13"/>
  <c r="O258" i="13" s="1"/>
  <c r="N259" i="13"/>
  <c r="O259" i="13" s="1"/>
  <c r="N260" i="13"/>
  <c r="O260" i="13" s="1"/>
  <c r="N261" i="13"/>
  <c r="O261" i="13" s="1"/>
  <c r="N262" i="13"/>
  <c r="O262" i="13" s="1"/>
  <c r="N263" i="13"/>
  <c r="O263" i="13" s="1"/>
  <c r="N264" i="13"/>
  <c r="N265" i="13"/>
  <c r="N266" i="13"/>
  <c r="O266" i="13" s="1"/>
  <c r="N267" i="13"/>
  <c r="O267" i="13" s="1"/>
  <c r="N268" i="13"/>
  <c r="N269" i="13"/>
  <c r="N270" i="13"/>
  <c r="O270" i="13" s="1"/>
  <c r="N271" i="13"/>
  <c r="O271" i="13" s="1"/>
  <c r="N272" i="13"/>
  <c r="O272" i="13" s="1"/>
  <c r="N273" i="13"/>
  <c r="O273" i="13" s="1"/>
  <c r="N274" i="13"/>
  <c r="O274" i="13" s="1"/>
  <c r="N275" i="13"/>
  <c r="O275" i="13" s="1"/>
  <c r="N276" i="13"/>
  <c r="O276" i="13" s="1"/>
  <c r="N277" i="13"/>
  <c r="O277" i="13" s="1"/>
  <c r="N278" i="13"/>
  <c r="O278" i="13" s="1"/>
  <c r="N279" i="13"/>
  <c r="O279" i="13" s="1"/>
  <c r="N280" i="13"/>
  <c r="O280" i="13" s="1"/>
  <c r="N281" i="13"/>
  <c r="O281" i="13" s="1"/>
  <c r="N282" i="13"/>
  <c r="O282" i="13" s="1"/>
  <c r="N283" i="13"/>
  <c r="O283" i="13" s="1"/>
  <c r="N284" i="13"/>
  <c r="O284" i="13" s="1"/>
  <c r="N285" i="13"/>
  <c r="O285" i="13" s="1"/>
  <c r="N286" i="13"/>
  <c r="O286" i="13" s="1"/>
  <c r="N287" i="13"/>
  <c r="O287" i="13" s="1"/>
  <c r="N288" i="13"/>
  <c r="O288" i="13" s="1"/>
  <c r="N289" i="13"/>
  <c r="O289" i="13" s="1"/>
  <c r="N290" i="13"/>
  <c r="O290" i="13" s="1"/>
  <c r="N291" i="13"/>
  <c r="O291" i="13" s="1"/>
  <c r="N292" i="13"/>
  <c r="O292" i="13" s="1"/>
  <c r="N293" i="13"/>
  <c r="O293" i="13" s="1"/>
  <c r="N294" i="13"/>
  <c r="O294" i="13" s="1"/>
  <c r="N295" i="13"/>
  <c r="O295" i="13" s="1"/>
  <c r="N296" i="13"/>
  <c r="O296" i="13" s="1"/>
  <c r="N297" i="13"/>
  <c r="O297" i="13" s="1"/>
  <c r="N298" i="13"/>
  <c r="O298" i="13" s="1"/>
  <c r="N299" i="13"/>
  <c r="O299" i="13" s="1"/>
  <c r="N300" i="13"/>
  <c r="O300" i="13" s="1"/>
  <c r="N301" i="13"/>
  <c r="O301" i="13" s="1"/>
  <c r="N302" i="13"/>
  <c r="O302" i="13" s="1"/>
  <c r="N303" i="13"/>
  <c r="O303" i="13" s="1"/>
  <c r="N304" i="13"/>
  <c r="O304" i="13" s="1"/>
  <c r="N305" i="13"/>
  <c r="O305" i="13" s="1"/>
  <c r="N306" i="13"/>
  <c r="O306" i="13" s="1"/>
  <c r="N307" i="13"/>
  <c r="O307" i="13" s="1"/>
  <c r="N308" i="13"/>
  <c r="O308" i="13" s="1"/>
  <c r="N309" i="13"/>
  <c r="O309" i="13" s="1"/>
  <c r="N310" i="13"/>
  <c r="O310" i="13" s="1"/>
  <c r="N311" i="13"/>
  <c r="O311" i="13" s="1"/>
  <c r="N312" i="13"/>
  <c r="O312" i="13" s="1"/>
  <c r="N313" i="13"/>
  <c r="O313" i="13" s="1"/>
  <c r="N314" i="13"/>
  <c r="O314" i="13" s="1"/>
  <c r="N315" i="13"/>
  <c r="O315" i="13" s="1"/>
  <c r="N316" i="13"/>
  <c r="O316" i="13" s="1"/>
  <c r="N317" i="13"/>
  <c r="O317" i="13" s="1"/>
  <c r="N318" i="13"/>
  <c r="O318" i="13" s="1"/>
  <c r="N319" i="13"/>
  <c r="N320" i="13"/>
  <c r="N321" i="13"/>
  <c r="O321" i="13" s="1"/>
  <c r="N322" i="13"/>
  <c r="O322" i="13" s="1"/>
  <c r="N323" i="13"/>
  <c r="O323" i="13" s="1"/>
  <c r="N324" i="13"/>
  <c r="O324" i="13" s="1"/>
  <c r="N325" i="13"/>
  <c r="O325" i="13" s="1"/>
  <c r="N326" i="13"/>
  <c r="O326" i="13" s="1"/>
  <c r="N327" i="13"/>
  <c r="O327" i="13" s="1"/>
  <c r="N328" i="13"/>
  <c r="O328" i="13" s="1"/>
  <c r="N329" i="13"/>
  <c r="O329" i="13" s="1"/>
  <c r="N330" i="13"/>
  <c r="O330" i="13" s="1"/>
  <c r="N331" i="13"/>
  <c r="O331" i="13" s="1"/>
  <c r="N332" i="13"/>
  <c r="O332" i="13" s="1"/>
  <c r="N333" i="13"/>
  <c r="O333" i="13" s="1"/>
  <c r="N334" i="13"/>
  <c r="O334" i="13" s="1"/>
  <c r="N335" i="13"/>
  <c r="O335" i="13" s="1"/>
  <c r="N336" i="13"/>
  <c r="N337" i="13"/>
  <c r="N338" i="13"/>
  <c r="O338" i="13" s="1"/>
  <c r="N339" i="13"/>
  <c r="O339" i="13" s="1"/>
  <c r="N340" i="13"/>
  <c r="O340" i="13" s="1"/>
  <c r="N341" i="13"/>
  <c r="O341" i="13" s="1"/>
  <c r="N342" i="13"/>
  <c r="O342" i="13" s="1"/>
  <c r="N343" i="13"/>
  <c r="O343" i="13" s="1"/>
  <c r="N344" i="13"/>
  <c r="O344" i="13" s="1"/>
  <c r="N345" i="13"/>
  <c r="O345" i="13" s="1"/>
  <c r="N346" i="13"/>
  <c r="O346" i="13" s="1"/>
  <c r="N347" i="13"/>
  <c r="O347" i="13" s="1"/>
  <c r="N348" i="13"/>
  <c r="O348" i="13" s="1"/>
  <c r="N349" i="13"/>
  <c r="O349" i="13" s="1"/>
  <c r="N350" i="13"/>
  <c r="O350" i="13" s="1"/>
  <c r="N351" i="13"/>
  <c r="O351" i="13" s="1"/>
  <c r="N352" i="13"/>
  <c r="O352" i="13" s="1"/>
  <c r="N353" i="13"/>
  <c r="O353" i="13" s="1"/>
  <c r="N354" i="13"/>
  <c r="O354" i="13" s="1"/>
  <c r="N355" i="13"/>
  <c r="O355" i="13" s="1"/>
  <c r="N356" i="13"/>
  <c r="O356" i="13" s="1"/>
  <c r="N357" i="13"/>
  <c r="O357" i="13" s="1"/>
  <c r="N358" i="13"/>
  <c r="O358" i="13" s="1"/>
  <c r="N359" i="13"/>
  <c r="O359" i="13" s="1"/>
  <c r="N360" i="13"/>
  <c r="O360" i="13" s="1"/>
  <c r="N361" i="13"/>
  <c r="O361" i="13" s="1"/>
  <c r="N362" i="13"/>
  <c r="O362" i="13" s="1"/>
  <c r="N363" i="13"/>
  <c r="O363" i="13" s="1"/>
  <c r="N364" i="13"/>
  <c r="O364" i="13" s="1"/>
  <c r="N365" i="13"/>
  <c r="O365" i="13" s="1"/>
  <c r="N366" i="13"/>
  <c r="O366" i="13" s="1"/>
  <c r="N367" i="13"/>
  <c r="O367" i="13" s="1"/>
  <c r="N368" i="13"/>
  <c r="O368" i="13" s="1"/>
  <c r="N369" i="13"/>
  <c r="O369" i="13" s="1"/>
  <c r="N370" i="13"/>
  <c r="O370" i="13" s="1"/>
  <c r="N371" i="13"/>
  <c r="O371" i="13" s="1"/>
  <c r="N372" i="13"/>
  <c r="O372" i="13" s="1"/>
  <c r="N373" i="13"/>
  <c r="O373" i="13" s="1"/>
  <c r="N374" i="13"/>
  <c r="O374" i="13" s="1"/>
  <c r="N375" i="13"/>
  <c r="O375" i="13" s="1"/>
  <c r="N376" i="13"/>
  <c r="N377" i="13"/>
  <c r="N378" i="13"/>
  <c r="N379" i="13"/>
  <c r="N380" i="13"/>
  <c r="O380" i="13" s="1"/>
  <c r="N381" i="13"/>
  <c r="O381" i="13" s="1"/>
  <c r="N382" i="13"/>
  <c r="O382" i="13" s="1"/>
  <c r="N383" i="13"/>
  <c r="N384" i="13"/>
  <c r="N385" i="13"/>
  <c r="O385" i="13" s="1"/>
  <c r="N386" i="13"/>
  <c r="O386" i="13" s="1"/>
  <c r="N387" i="13"/>
  <c r="O387" i="13" s="1"/>
  <c r="N388" i="13"/>
  <c r="O388" i="13" s="1"/>
  <c r="N389" i="13"/>
  <c r="O389" i="13" s="1"/>
  <c r="N390" i="13"/>
  <c r="O390" i="13" s="1"/>
  <c r="N391" i="13"/>
  <c r="O391" i="13" s="1"/>
  <c r="N392" i="13"/>
  <c r="O392" i="13" s="1"/>
  <c r="N393" i="13"/>
  <c r="O393" i="13" s="1"/>
  <c r="N394" i="13"/>
  <c r="O394" i="13" s="1"/>
  <c r="N395" i="13"/>
  <c r="O395" i="13" s="1"/>
  <c r="N396" i="13"/>
  <c r="O396" i="13" s="1"/>
  <c r="N397" i="13"/>
  <c r="O397" i="13" s="1"/>
  <c r="N398" i="13"/>
  <c r="O398" i="13" s="1"/>
  <c r="N399" i="13"/>
  <c r="O399" i="13" s="1"/>
  <c r="N400" i="13"/>
  <c r="O400" i="13" s="1"/>
  <c r="N401" i="13"/>
  <c r="O401" i="13" s="1"/>
  <c r="N402" i="13"/>
  <c r="O402" i="13" s="1"/>
  <c r="N403" i="13"/>
  <c r="O403" i="13" s="1"/>
  <c r="N404" i="13"/>
  <c r="O404" i="13" s="1"/>
  <c r="N405" i="13"/>
  <c r="O405" i="13" s="1"/>
  <c r="N406" i="13"/>
  <c r="O406" i="13" s="1"/>
  <c r="N407" i="13"/>
  <c r="O407" i="13" s="1"/>
  <c r="N408" i="13"/>
  <c r="O408" i="13" s="1"/>
  <c r="N409" i="13"/>
  <c r="O409" i="13" s="1"/>
  <c r="N410" i="13"/>
  <c r="O410" i="13" s="1"/>
  <c r="N411" i="13"/>
  <c r="O411" i="13" s="1"/>
  <c r="N412" i="13"/>
  <c r="O412" i="13" s="1"/>
  <c r="N413" i="13"/>
  <c r="O413" i="13" s="1"/>
  <c r="N414" i="13"/>
  <c r="O414" i="13" s="1"/>
  <c r="N415" i="13"/>
  <c r="O415" i="13" s="1"/>
  <c r="N416" i="13"/>
  <c r="N417" i="13"/>
  <c r="N418" i="13"/>
  <c r="O418" i="13" s="1"/>
  <c r="N419" i="13"/>
  <c r="O419" i="13" s="1"/>
  <c r="N420" i="13"/>
  <c r="O420" i="13" s="1"/>
  <c r="N421" i="13"/>
  <c r="O421" i="13" s="1"/>
  <c r="N422" i="13"/>
  <c r="O422" i="13" s="1"/>
  <c r="N423" i="13"/>
  <c r="O423" i="13" s="1"/>
  <c r="N424" i="13"/>
  <c r="O424" i="13" s="1"/>
  <c r="N425" i="13"/>
  <c r="O425" i="13" s="1"/>
  <c r="N426" i="13"/>
  <c r="O426" i="13" s="1"/>
  <c r="N427" i="13"/>
  <c r="O427" i="13" s="1"/>
  <c r="N428" i="13"/>
  <c r="O428" i="13" s="1"/>
  <c r="N429" i="13"/>
  <c r="O429" i="13" s="1"/>
  <c r="N430" i="13"/>
  <c r="O430" i="13" s="1"/>
  <c r="N431" i="13"/>
  <c r="O431" i="13" s="1"/>
  <c r="N432" i="13"/>
  <c r="O432" i="13" s="1"/>
  <c r="N433" i="13"/>
  <c r="O433" i="13" s="1"/>
  <c r="N434" i="13"/>
  <c r="O434" i="13" s="1"/>
  <c r="N435" i="13"/>
  <c r="O435" i="13" s="1"/>
  <c r="N436" i="13"/>
  <c r="O436" i="13" s="1"/>
  <c r="N437" i="13"/>
  <c r="O437" i="13" s="1"/>
  <c r="N438" i="13"/>
  <c r="O438" i="13" s="1"/>
  <c r="N439" i="13"/>
  <c r="O439" i="13" s="1"/>
  <c r="N440" i="13"/>
  <c r="O440" i="13" s="1"/>
  <c r="N441" i="13"/>
  <c r="N442" i="13"/>
  <c r="N443" i="13"/>
  <c r="O443" i="13" s="1"/>
  <c r="N444" i="13"/>
  <c r="O444" i="13" s="1"/>
  <c r="N445" i="13"/>
  <c r="O445" i="13" s="1"/>
  <c r="N446" i="13"/>
  <c r="O446" i="13" s="1"/>
  <c r="N447" i="13"/>
  <c r="O447" i="13" s="1"/>
  <c r="N448" i="13"/>
  <c r="O448" i="13" s="1"/>
  <c r="N449" i="13"/>
  <c r="O449" i="13" s="1"/>
  <c r="N450" i="13"/>
  <c r="O450" i="13" s="1"/>
  <c r="N451" i="13"/>
  <c r="O451" i="13" s="1"/>
  <c r="N452" i="13"/>
  <c r="O452" i="13" s="1"/>
  <c r="N453" i="13"/>
  <c r="O453" i="13" s="1"/>
  <c r="N454" i="13"/>
  <c r="O454" i="13" s="1"/>
  <c r="N455" i="13"/>
  <c r="O455" i="13" s="1"/>
  <c r="N456" i="13"/>
  <c r="O456" i="13" s="1"/>
  <c r="N457" i="13"/>
  <c r="O457" i="13" s="1"/>
  <c r="N458" i="13"/>
  <c r="O458" i="13" s="1"/>
  <c r="N459" i="13"/>
  <c r="O459" i="13" s="1"/>
  <c r="N460" i="13"/>
  <c r="O460" i="13" s="1"/>
  <c r="N461" i="13"/>
  <c r="O461" i="13" s="1"/>
  <c r="N462" i="13"/>
  <c r="O462" i="13" s="1"/>
  <c r="N463" i="13"/>
  <c r="O463" i="13" s="1"/>
  <c r="N464" i="13"/>
  <c r="O464" i="13" s="1"/>
  <c r="N465" i="13"/>
  <c r="O465" i="13" s="1"/>
  <c r="N466" i="13"/>
  <c r="O466" i="13" s="1"/>
  <c r="N467" i="13"/>
  <c r="O467" i="13" s="1"/>
  <c r="N468" i="13"/>
  <c r="O468" i="13" s="1"/>
  <c r="N469" i="13"/>
  <c r="O469" i="13" s="1"/>
  <c r="N470" i="13"/>
  <c r="O470" i="13" s="1"/>
  <c r="N471" i="13"/>
  <c r="O471" i="13" s="1"/>
  <c r="N472" i="13"/>
  <c r="O472" i="13" s="1"/>
  <c r="N473" i="13"/>
  <c r="O473" i="13" s="1"/>
  <c r="N474" i="13"/>
  <c r="O474" i="13" s="1"/>
  <c r="N475" i="13"/>
  <c r="O475" i="13" s="1"/>
  <c r="N476" i="13"/>
  <c r="O476" i="13" s="1"/>
  <c r="N477" i="13"/>
  <c r="O477" i="13" s="1"/>
  <c r="N478" i="13"/>
  <c r="O478" i="13" s="1"/>
  <c r="N479" i="13"/>
  <c r="O479" i="13" s="1"/>
  <c r="N480" i="13"/>
  <c r="O480" i="13" s="1"/>
  <c r="N481" i="13"/>
  <c r="O481" i="13" s="1"/>
  <c r="N482" i="13"/>
  <c r="O482" i="13" s="1"/>
  <c r="N483" i="13"/>
  <c r="O483" i="13" s="1"/>
  <c r="N484" i="13"/>
  <c r="O484" i="13" s="1"/>
  <c r="N485" i="13"/>
  <c r="O485" i="13" s="1"/>
  <c r="N486" i="13"/>
  <c r="O486" i="13" s="1"/>
  <c r="N487" i="13"/>
  <c r="O487" i="13" s="1"/>
  <c r="N488" i="13"/>
  <c r="O488" i="13" s="1"/>
  <c r="N489" i="13"/>
  <c r="O489" i="13" s="1"/>
  <c r="N490" i="13"/>
  <c r="O490" i="13" s="1"/>
  <c r="N491" i="13"/>
  <c r="O491" i="13" s="1"/>
  <c r="N492" i="13"/>
  <c r="O492" i="13" s="1"/>
  <c r="N493" i="13"/>
  <c r="O493" i="13" s="1"/>
  <c r="N494" i="13"/>
  <c r="O494" i="13" s="1"/>
  <c r="N495" i="13"/>
  <c r="O495" i="13" s="1"/>
  <c r="N496" i="13"/>
  <c r="O496" i="13" s="1"/>
  <c r="N497" i="13"/>
  <c r="O497" i="13" s="1"/>
  <c r="N498" i="13"/>
  <c r="O498" i="13" s="1"/>
  <c r="N499" i="13"/>
  <c r="O499" i="13" s="1"/>
  <c r="N500" i="13"/>
  <c r="O500" i="13" s="1"/>
  <c r="N501" i="13"/>
  <c r="O501" i="13" s="1"/>
  <c r="N502" i="13"/>
  <c r="O502" i="13" s="1"/>
  <c r="N503" i="13"/>
  <c r="O503" i="13" s="1"/>
  <c r="N504" i="13"/>
  <c r="O504" i="13" s="1"/>
  <c r="N505" i="13"/>
  <c r="O505" i="13" s="1"/>
  <c r="N506" i="13"/>
  <c r="O506" i="13" s="1"/>
  <c r="N507" i="13"/>
  <c r="O507" i="13" s="1"/>
  <c r="N508" i="13"/>
  <c r="O508" i="13" s="1"/>
  <c r="N509" i="13"/>
  <c r="O509" i="13" s="1"/>
  <c r="N510" i="13"/>
  <c r="O510" i="13" s="1"/>
  <c r="N511" i="13"/>
  <c r="O511" i="13" s="1"/>
  <c r="N512" i="13"/>
  <c r="O512" i="13" s="1"/>
  <c r="N513" i="13"/>
  <c r="O513" i="13" s="1"/>
  <c r="N514" i="13"/>
  <c r="O514" i="13" s="1"/>
  <c r="N515" i="13"/>
  <c r="O515" i="13" s="1"/>
  <c r="N516" i="13"/>
  <c r="O516" i="13" s="1"/>
  <c r="N517" i="13"/>
  <c r="N518" i="13"/>
  <c r="N519" i="13"/>
  <c r="O519" i="13" s="1"/>
  <c r="N520" i="13"/>
  <c r="O520" i="13" s="1"/>
  <c r="N521" i="13"/>
  <c r="O521" i="13" s="1"/>
  <c r="N522" i="13"/>
  <c r="O522" i="13" s="1"/>
  <c r="N523" i="13"/>
  <c r="O523" i="13" s="1"/>
  <c r="N524" i="13"/>
  <c r="O524" i="13" s="1"/>
  <c r="N525" i="13"/>
  <c r="O525" i="13" s="1"/>
  <c r="N526" i="13"/>
  <c r="O526" i="13" s="1"/>
  <c r="N527" i="13"/>
  <c r="O527" i="13" s="1"/>
  <c r="N528" i="13"/>
  <c r="O528" i="13" s="1"/>
  <c r="N529" i="13"/>
  <c r="O529" i="13" s="1"/>
  <c r="N530" i="13"/>
  <c r="O530" i="13" s="1"/>
  <c r="N531" i="13"/>
  <c r="O531" i="13" s="1"/>
  <c r="N532" i="13"/>
  <c r="O532" i="13" s="1"/>
  <c r="N533" i="13"/>
  <c r="O533" i="13" s="1"/>
  <c r="N534" i="13"/>
  <c r="O534" i="13" s="1"/>
  <c r="N535" i="13"/>
  <c r="O535" i="13" s="1"/>
  <c r="N536" i="13"/>
  <c r="O536" i="13" s="1"/>
  <c r="N537" i="13"/>
  <c r="O537" i="13" s="1"/>
  <c r="N538" i="13"/>
  <c r="O538" i="13" s="1"/>
  <c r="N539" i="13"/>
  <c r="O539" i="13" s="1"/>
  <c r="N540" i="13"/>
  <c r="O540" i="13" s="1"/>
  <c r="N541" i="13"/>
  <c r="O541" i="13" s="1"/>
  <c r="N542" i="13"/>
  <c r="O542" i="13" s="1"/>
  <c r="N543" i="13"/>
  <c r="O543" i="13" s="1"/>
  <c r="N544" i="13"/>
  <c r="O544" i="13" s="1"/>
  <c r="N545" i="13"/>
  <c r="O545" i="13" s="1"/>
  <c r="N546" i="13"/>
  <c r="O546" i="13" s="1"/>
  <c r="N547" i="13"/>
  <c r="O547" i="13" s="1"/>
  <c r="N548" i="13"/>
  <c r="O548" i="13" s="1"/>
  <c r="N549" i="13"/>
  <c r="O549" i="13" s="1"/>
  <c r="N550" i="13"/>
  <c r="O550" i="13" s="1"/>
  <c r="N551" i="13"/>
  <c r="O551" i="13" s="1"/>
  <c r="N552" i="13"/>
  <c r="O552" i="13" s="1"/>
  <c r="N553" i="13"/>
  <c r="O553" i="13" s="1"/>
  <c r="N554" i="13"/>
  <c r="O554" i="13" s="1"/>
  <c r="N555" i="13"/>
  <c r="O555" i="13" s="1"/>
  <c r="N556" i="13"/>
  <c r="O556" i="13" s="1"/>
  <c r="N557" i="13"/>
  <c r="O557" i="13" s="1"/>
  <c r="N558" i="13"/>
  <c r="O558" i="13" s="1"/>
  <c r="N559" i="13"/>
  <c r="O559" i="13" s="1"/>
  <c r="N560" i="13"/>
  <c r="O560" i="13" s="1"/>
  <c r="N561" i="13"/>
  <c r="O561" i="13" s="1"/>
  <c r="N562" i="13"/>
  <c r="O562" i="13" s="1"/>
  <c r="N563" i="13"/>
  <c r="O563" i="13" s="1"/>
  <c r="N564" i="13"/>
  <c r="O564" i="13" s="1"/>
  <c r="N565" i="13"/>
  <c r="O565" i="13" s="1"/>
  <c r="N566" i="13"/>
  <c r="O566" i="13" s="1"/>
  <c r="N567" i="13"/>
  <c r="O567" i="13" s="1"/>
  <c r="N568" i="13"/>
  <c r="O568" i="13" s="1"/>
  <c r="N569" i="13"/>
  <c r="O569" i="13" s="1"/>
  <c r="N570" i="13"/>
  <c r="O570" i="13" s="1"/>
  <c r="N571" i="13"/>
  <c r="O571" i="13" s="1"/>
  <c r="N572" i="13"/>
  <c r="O572" i="13" s="1"/>
  <c r="N573" i="13"/>
  <c r="O573" i="13" s="1"/>
  <c r="N574" i="13"/>
  <c r="O574" i="13" s="1"/>
  <c r="N575" i="13"/>
  <c r="O575" i="13" s="1"/>
  <c r="N576" i="13"/>
  <c r="O576" i="13" s="1"/>
  <c r="N577" i="13"/>
  <c r="O577" i="13" s="1"/>
  <c r="N578" i="13"/>
  <c r="O578" i="13" s="1"/>
  <c r="N579" i="13"/>
  <c r="O579" i="13" s="1"/>
  <c r="N580" i="13"/>
  <c r="O580" i="13" s="1"/>
  <c r="N581" i="13"/>
  <c r="O581" i="13" s="1"/>
  <c r="N582" i="13"/>
  <c r="O582" i="13" s="1"/>
  <c r="N583" i="13"/>
  <c r="O583" i="13" s="1"/>
  <c r="N584" i="13"/>
  <c r="O584" i="13" s="1"/>
  <c r="N585" i="13"/>
  <c r="O585" i="13" s="1"/>
  <c r="N586" i="13"/>
  <c r="O586" i="13" s="1"/>
  <c r="N587" i="13"/>
  <c r="O587" i="13" s="1"/>
  <c r="N588" i="13"/>
  <c r="O588" i="13" s="1"/>
  <c r="N589" i="13"/>
  <c r="O589" i="13" s="1"/>
  <c r="N590" i="13"/>
  <c r="O590" i="13" s="1"/>
  <c r="N591" i="13"/>
  <c r="O591" i="13" s="1"/>
  <c r="N592" i="13"/>
  <c r="O592" i="13" s="1"/>
  <c r="N593" i="13"/>
  <c r="O593" i="13" s="1"/>
  <c r="N594" i="13"/>
  <c r="O594" i="13" s="1"/>
  <c r="N595" i="13"/>
  <c r="O595" i="13" s="1"/>
  <c r="N596" i="13"/>
  <c r="O596" i="13" s="1"/>
  <c r="N597" i="13"/>
  <c r="O597" i="13" s="1"/>
  <c r="N598" i="13"/>
  <c r="O598" i="13" s="1"/>
  <c r="N599" i="13"/>
  <c r="O599" i="13" s="1"/>
  <c r="N600" i="13"/>
  <c r="O600" i="13" s="1"/>
  <c r="N601" i="13"/>
  <c r="O601" i="13" s="1"/>
  <c r="N602" i="13"/>
  <c r="O602" i="13" s="1"/>
  <c r="N603" i="13"/>
  <c r="O603" i="13" s="1"/>
  <c r="N604" i="13"/>
  <c r="O604" i="13" s="1"/>
  <c r="N605" i="13"/>
  <c r="O605" i="13" s="1"/>
  <c r="N606" i="13"/>
  <c r="O606" i="13" s="1"/>
  <c r="N607" i="13"/>
  <c r="O607" i="13" s="1"/>
  <c r="N608" i="13"/>
  <c r="O608" i="13" s="1"/>
  <c r="N609" i="13"/>
  <c r="O609" i="13" s="1"/>
  <c r="N610" i="13"/>
  <c r="O610" i="13" s="1"/>
  <c r="N611" i="13"/>
  <c r="O611" i="13" s="1"/>
  <c r="N612" i="13"/>
  <c r="O612" i="13" s="1"/>
  <c r="N613" i="13"/>
  <c r="O613" i="13" s="1"/>
  <c r="N614" i="13"/>
  <c r="O614" i="13" s="1"/>
  <c r="N615" i="13"/>
  <c r="O615" i="13" s="1"/>
  <c r="N616" i="13"/>
  <c r="O616" i="13" s="1"/>
  <c r="N617" i="13"/>
  <c r="O617" i="13" s="1"/>
  <c r="N618" i="13"/>
  <c r="O618" i="13" s="1"/>
  <c r="N619" i="13"/>
  <c r="O619" i="13" s="1"/>
  <c r="N620" i="13"/>
  <c r="O620" i="13" s="1"/>
  <c r="N621" i="13"/>
  <c r="O621" i="13" s="1"/>
  <c r="N622" i="13"/>
  <c r="O622" i="13" s="1"/>
  <c r="N623" i="13"/>
  <c r="O623" i="13" s="1"/>
  <c r="N624" i="13"/>
  <c r="O624" i="13" s="1"/>
  <c r="N625" i="13"/>
  <c r="O625" i="13" s="1"/>
  <c r="N626" i="13"/>
  <c r="O626" i="13" s="1"/>
  <c r="N627" i="13"/>
  <c r="O627" i="13" s="1"/>
  <c r="N628" i="13"/>
  <c r="O628" i="13" s="1"/>
  <c r="N629" i="13"/>
  <c r="O629" i="13" s="1"/>
  <c r="N630" i="13"/>
  <c r="O630" i="13" s="1"/>
  <c r="N631" i="13"/>
  <c r="O631" i="13" s="1"/>
  <c r="N632" i="13"/>
  <c r="O632" i="13" s="1"/>
  <c r="N633" i="13"/>
  <c r="O633" i="13" s="1"/>
  <c r="N634" i="13"/>
  <c r="O634" i="13" s="1"/>
  <c r="N635" i="13"/>
  <c r="O635" i="13" s="1"/>
  <c r="N636" i="13"/>
  <c r="O636" i="13" s="1"/>
  <c r="N637" i="13"/>
  <c r="O637" i="13" s="1"/>
  <c r="N638" i="13"/>
  <c r="O638" i="13" s="1"/>
  <c r="N639" i="13"/>
  <c r="O639" i="13" s="1"/>
  <c r="N640" i="13"/>
  <c r="O640" i="13" s="1"/>
  <c r="N641" i="13"/>
  <c r="O641" i="13" s="1"/>
  <c r="N642" i="13"/>
  <c r="O642" i="13" s="1"/>
  <c r="N643" i="13"/>
  <c r="O643" i="13" s="1"/>
  <c r="N644" i="13"/>
  <c r="O644" i="13" s="1"/>
  <c r="N645" i="13"/>
  <c r="O645" i="13" s="1"/>
  <c r="N646" i="13"/>
  <c r="O646" i="13" s="1"/>
  <c r="N647" i="13"/>
  <c r="O647" i="13" s="1"/>
  <c r="N648" i="13"/>
  <c r="O648" i="13" s="1"/>
  <c r="N649" i="13"/>
  <c r="O649" i="13" s="1"/>
  <c r="N650" i="13"/>
  <c r="O650" i="13" s="1"/>
  <c r="N651" i="13"/>
  <c r="O651" i="13" s="1"/>
  <c r="N652" i="13"/>
  <c r="O652" i="13" s="1"/>
  <c r="N653" i="13"/>
  <c r="O653" i="13" s="1"/>
  <c r="N654" i="13"/>
  <c r="O654" i="13" s="1"/>
  <c r="N655" i="13"/>
  <c r="O655" i="13" s="1"/>
  <c r="N656" i="13"/>
  <c r="O656" i="13" s="1"/>
  <c r="N657" i="13"/>
  <c r="O657" i="13" s="1"/>
  <c r="N658" i="13"/>
  <c r="O658" i="13" s="1"/>
  <c r="N659" i="13"/>
  <c r="O659" i="13" s="1"/>
  <c r="N660" i="13"/>
  <c r="O660" i="13" s="1"/>
  <c r="N661" i="13"/>
  <c r="O661" i="13" s="1"/>
  <c r="N662" i="13"/>
  <c r="O662" i="13" s="1"/>
  <c r="N663" i="13"/>
  <c r="O663" i="13" s="1"/>
  <c r="N664" i="13"/>
  <c r="O664" i="13" s="1"/>
  <c r="N665" i="13"/>
  <c r="O665" i="13" s="1"/>
  <c r="N666" i="13"/>
  <c r="O666" i="13" s="1"/>
  <c r="N667" i="13"/>
  <c r="O667" i="13" s="1"/>
  <c r="N668" i="13"/>
  <c r="O668" i="13" s="1"/>
  <c r="N669" i="13"/>
  <c r="O669" i="13" s="1"/>
  <c r="N670" i="13"/>
  <c r="O670" i="13" s="1"/>
  <c r="N671" i="13"/>
  <c r="O671" i="13" s="1"/>
  <c r="N672" i="13"/>
  <c r="O672" i="13" s="1"/>
  <c r="N673" i="13"/>
  <c r="O673" i="13" s="1"/>
  <c r="N674" i="13"/>
  <c r="O674" i="13" s="1"/>
  <c r="N675" i="13"/>
  <c r="O675" i="13" s="1"/>
  <c r="N676" i="13"/>
  <c r="O676" i="13" s="1"/>
  <c r="N677" i="13"/>
  <c r="O677" i="13" s="1"/>
  <c r="N678" i="13"/>
  <c r="O678" i="13" s="1"/>
  <c r="N679" i="13"/>
  <c r="O679" i="13" s="1"/>
  <c r="N680" i="13"/>
  <c r="O680" i="13" s="1"/>
  <c r="N681" i="13"/>
  <c r="O681" i="13" s="1"/>
  <c r="N682" i="13"/>
  <c r="O682" i="13" s="1"/>
  <c r="N683" i="13"/>
  <c r="O683" i="13" s="1"/>
  <c r="N684" i="13"/>
  <c r="O684" i="13" s="1"/>
  <c r="N685" i="13"/>
  <c r="O685" i="13" s="1"/>
  <c r="N686" i="13"/>
  <c r="O686" i="13" s="1"/>
  <c r="N687" i="13"/>
  <c r="O687" i="13" s="1"/>
  <c r="N688" i="13"/>
  <c r="O688" i="13" s="1"/>
  <c r="N689" i="13"/>
  <c r="O689" i="13" s="1"/>
  <c r="N690" i="13"/>
  <c r="O690" i="13" s="1"/>
  <c r="N691" i="13"/>
  <c r="O691" i="13" s="1"/>
  <c r="N692" i="13"/>
  <c r="O692" i="13" s="1"/>
  <c r="N693" i="13"/>
  <c r="O693" i="13" s="1"/>
  <c r="N694" i="13"/>
  <c r="O694" i="13" s="1"/>
  <c r="N695" i="13"/>
  <c r="O695" i="13" s="1"/>
  <c r="N696" i="13"/>
  <c r="O696" i="13" s="1"/>
  <c r="N697" i="13"/>
  <c r="O697" i="13" s="1"/>
  <c r="N698" i="13"/>
  <c r="O698" i="13" s="1"/>
  <c r="N699" i="13"/>
  <c r="O699" i="13" s="1"/>
  <c r="N700" i="13"/>
  <c r="O700" i="13" s="1"/>
  <c r="N701" i="13"/>
  <c r="O701" i="13" s="1"/>
  <c r="N702" i="13"/>
  <c r="O702" i="13" s="1"/>
  <c r="N703" i="13"/>
  <c r="O703" i="13" s="1"/>
  <c r="N704" i="13"/>
  <c r="O704" i="13" s="1"/>
  <c r="N705" i="13"/>
  <c r="O705" i="13" s="1"/>
  <c r="N706" i="13"/>
  <c r="O706" i="13" s="1"/>
  <c r="N707" i="13"/>
  <c r="O707" i="13" s="1"/>
  <c r="N708" i="13"/>
  <c r="O708" i="13" s="1"/>
  <c r="N709" i="13"/>
  <c r="O709" i="13" s="1"/>
  <c r="N710" i="13"/>
  <c r="O710" i="13" s="1"/>
  <c r="N711" i="13"/>
  <c r="O711" i="13" s="1"/>
  <c r="N712" i="13"/>
  <c r="O712" i="13" s="1"/>
  <c r="N713" i="13"/>
  <c r="O713" i="13" s="1"/>
  <c r="N714" i="13"/>
  <c r="O714" i="13" s="1"/>
  <c r="N715" i="13"/>
  <c r="O715" i="13" s="1"/>
  <c r="N716" i="13"/>
  <c r="O716" i="13" s="1"/>
  <c r="N717" i="13"/>
  <c r="O717" i="13" s="1"/>
  <c r="N718" i="13"/>
  <c r="O718" i="13" s="1"/>
  <c r="N719" i="13"/>
  <c r="O719" i="13" s="1"/>
  <c r="N720" i="13"/>
  <c r="O720" i="13" s="1"/>
  <c r="N721" i="13"/>
  <c r="O721" i="13" s="1"/>
  <c r="N722" i="13"/>
  <c r="O722" i="13" s="1"/>
  <c r="N723" i="13"/>
  <c r="O723" i="13" s="1"/>
  <c r="N724" i="13"/>
  <c r="O724" i="13" s="1"/>
  <c r="N725" i="13"/>
  <c r="O725" i="13" s="1"/>
  <c r="N726" i="13"/>
  <c r="O726" i="13" s="1"/>
  <c r="N727" i="13"/>
  <c r="O727" i="13" s="1"/>
  <c r="N728" i="13"/>
  <c r="O728" i="13" s="1"/>
  <c r="N729" i="13"/>
  <c r="O729" i="13" s="1"/>
  <c r="N730" i="13"/>
  <c r="O730" i="13" s="1"/>
  <c r="N731" i="13"/>
  <c r="O731" i="13" s="1"/>
  <c r="N732" i="13"/>
  <c r="O732" i="13" s="1"/>
  <c r="N733" i="13"/>
  <c r="O733" i="13" s="1"/>
  <c r="N734" i="13"/>
  <c r="O734" i="13" s="1"/>
  <c r="N735" i="13"/>
  <c r="O735" i="13" s="1"/>
  <c r="N736" i="13"/>
  <c r="O736" i="13" s="1"/>
  <c r="N737" i="13"/>
  <c r="O737" i="13" s="1"/>
  <c r="N738" i="13"/>
  <c r="O738" i="13" s="1"/>
  <c r="N739" i="13"/>
  <c r="O739" i="13" s="1"/>
  <c r="N740" i="13"/>
  <c r="O740" i="13" s="1"/>
  <c r="N741" i="13"/>
  <c r="O741" i="13" s="1"/>
  <c r="N742" i="13"/>
  <c r="O742" i="13" s="1"/>
  <c r="N743" i="13"/>
  <c r="O743" i="13" s="1"/>
  <c r="N744" i="13"/>
  <c r="O744" i="13" s="1"/>
  <c r="N745" i="13"/>
  <c r="O745" i="13" s="1"/>
  <c r="N746" i="13"/>
  <c r="O746" i="13" s="1"/>
  <c r="N747" i="13"/>
  <c r="O747" i="13" s="1"/>
  <c r="N748" i="13"/>
  <c r="O748" i="13" s="1"/>
  <c r="N749" i="13"/>
  <c r="O749" i="13" s="1"/>
  <c r="N750" i="13"/>
  <c r="O750" i="13" s="1"/>
  <c r="N751" i="13"/>
  <c r="O751" i="13" s="1"/>
  <c r="N752" i="13"/>
  <c r="O752" i="13" s="1"/>
  <c r="N753" i="13"/>
  <c r="O753" i="13" s="1"/>
  <c r="N754" i="13"/>
  <c r="O754" i="13" s="1"/>
  <c r="N755" i="13"/>
  <c r="O755" i="13" s="1"/>
  <c r="N756" i="13"/>
  <c r="O756" i="13" s="1"/>
  <c r="N757" i="13"/>
  <c r="O757" i="13" s="1"/>
  <c r="N758" i="13"/>
  <c r="O758" i="13" s="1"/>
  <c r="N759" i="13"/>
  <c r="O759" i="13" s="1"/>
  <c r="N760" i="13"/>
  <c r="O760" i="13" s="1"/>
  <c r="N761" i="13"/>
  <c r="O761" i="13" s="1"/>
  <c r="N762" i="13"/>
  <c r="O762" i="13" s="1"/>
  <c r="N763" i="13"/>
  <c r="O763" i="13" s="1"/>
  <c r="N764" i="13"/>
  <c r="O764" i="13" s="1"/>
  <c r="N765" i="13"/>
  <c r="O765" i="13" s="1"/>
  <c r="N766" i="13"/>
  <c r="O766" i="13" s="1"/>
  <c r="N767" i="13"/>
  <c r="O767" i="13" s="1"/>
  <c r="N768" i="13"/>
  <c r="O768" i="13" s="1"/>
  <c r="N769" i="13"/>
  <c r="O769" i="13" s="1"/>
  <c r="N770" i="13"/>
  <c r="O770" i="13" s="1"/>
  <c r="N771" i="13"/>
  <c r="O771" i="13" s="1"/>
  <c r="N772" i="13"/>
  <c r="O772" i="13" s="1"/>
  <c r="N773" i="13"/>
  <c r="O773" i="13" s="1"/>
  <c r="N774" i="13"/>
  <c r="O774" i="13" s="1"/>
  <c r="N775" i="13"/>
  <c r="O775" i="13" s="1"/>
  <c r="N776" i="13"/>
  <c r="O776" i="13" s="1"/>
  <c r="N777" i="13"/>
  <c r="O777" i="13" s="1"/>
  <c r="N778" i="13"/>
  <c r="O778" i="13" s="1"/>
  <c r="N779" i="13"/>
  <c r="O779" i="13" s="1"/>
  <c r="N780" i="13"/>
  <c r="O780" i="13" s="1"/>
  <c r="N781" i="13"/>
  <c r="O781" i="13" s="1"/>
  <c r="N782" i="13"/>
  <c r="O782" i="13" s="1"/>
  <c r="N783" i="13"/>
  <c r="O783" i="13" s="1"/>
  <c r="N784" i="13"/>
  <c r="O784" i="13" s="1"/>
  <c r="N785" i="13"/>
  <c r="O785" i="13" s="1"/>
  <c r="N786" i="13"/>
  <c r="O786" i="13" s="1"/>
  <c r="N787" i="13"/>
  <c r="O787" i="13" s="1"/>
  <c r="N788" i="13"/>
  <c r="O788" i="13" s="1"/>
  <c r="N789" i="13"/>
  <c r="O789" i="13" s="1"/>
  <c r="N790" i="13"/>
  <c r="O790" i="13" s="1"/>
  <c r="N791" i="13"/>
  <c r="O791" i="13" s="1"/>
  <c r="N792" i="13"/>
  <c r="O792" i="13" s="1"/>
  <c r="N793" i="13"/>
  <c r="O793" i="13" s="1"/>
  <c r="N794" i="13"/>
  <c r="O794" i="13" s="1"/>
  <c r="N795" i="13"/>
  <c r="O795" i="13" s="1"/>
  <c r="N796" i="13"/>
  <c r="O796" i="13" s="1"/>
  <c r="N797" i="13"/>
  <c r="O797" i="13" s="1"/>
  <c r="N798" i="13"/>
  <c r="O798" i="13" s="1"/>
  <c r="N799" i="13"/>
  <c r="O799" i="13" s="1"/>
  <c r="N800" i="13"/>
  <c r="O800" i="13" s="1"/>
  <c r="N801" i="13"/>
  <c r="O801" i="13" s="1"/>
  <c r="N802" i="13"/>
  <c r="O802" i="13" s="1"/>
  <c r="N803" i="13"/>
  <c r="O803" i="13" s="1"/>
  <c r="N804" i="13"/>
  <c r="O804" i="13" s="1"/>
  <c r="N805" i="13"/>
  <c r="O805" i="13" s="1"/>
  <c r="N806" i="13"/>
  <c r="O806" i="13" s="1"/>
  <c r="N807" i="13"/>
  <c r="O807" i="13" s="1"/>
  <c r="N808" i="13"/>
  <c r="O808" i="13" s="1"/>
  <c r="N809" i="13"/>
  <c r="O809" i="13" s="1"/>
  <c r="N810" i="13"/>
  <c r="O810" i="13" s="1"/>
  <c r="N811" i="13"/>
  <c r="O811" i="13" s="1"/>
  <c r="N812" i="13"/>
  <c r="O812" i="13" s="1"/>
  <c r="N813" i="13"/>
  <c r="O813" i="13" s="1"/>
  <c r="N814" i="13"/>
  <c r="O814" i="13" s="1"/>
  <c r="N815" i="13"/>
  <c r="O815" i="13" s="1"/>
  <c r="N816" i="13"/>
  <c r="O816" i="13" s="1"/>
  <c r="N817" i="13"/>
  <c r="O817" i="13" s="1"/>
  <c r="N818" i="13"/>
  <c r="O818" i="13" s="1"/>
  <c r="N819" i="13"/>
  <c r="O819" i="13" s="1"/>
  <c r="N820" i="13"/>
  <c r="O820" i="13" s="1"/>
  <c r="N821" i="13"/>
  <c r="O821" i="13" s="1"/>
  <c r="N822" i="13"/>
  <c r="O822" i="13" s="1"/>
  <c r="N823" i="13"/>
  <c r="O823" i="13" s="1"/>
  <c r="N824" i="13"/>
  <c r="O824" i="13" s="1"/>
  <c r="N825" i="13"/>
  <c r="O825" i="13" s="1"/>
  <c r="N826" i="13"/>
  <c r="O826" i="13" s="1"/>
  <c r="N827" i="13"/>
  <c r="O827" i="13" s="1"/>
  <c r="N828" i="13"/>
  <c r="O828" i="13" s="1"/>
  <c r="N829" i="13"/>
  <c r="O829" i="13" s="1"/>
  <c r="N830" i="13"/>
  <c r="O830" i="13" s="1"/>
  <c r="N831" i="13"/>
  <c r="O831" i="13" s="1"/>
  <c r="N832" i="13"/>
  <c r="O832" i="13" s="1"/>
  <c r="N833" i="13"/>
  <c r="O833" i="13" s="1"/>
  <c r="N834" i="13"/>
  <c r="O834" i="13" s="1"/>
  <c r="N835" i="13"/>
  <c r="O835" i="13" s="1"/>
  <c r="N836" i="13"/>
  <c r="O836" i="13" s="1"/>
  <c r="N837" i="13"/>
  <c r="O837" i="13" s="1"/>
  <c r="N838" i="13"/>
  <c r="O838" i="13" s="1"/>
  <c r="N839" i="13"/>
  <c r="O839" i="13" s="1"/>
  <c r="N840" i="13"/>
  <c r="O840" i="13" s="1"/>
  <c r="N841" i="13"/>
  <c r="O841" i="13" s="1"/>
  <c r="N842" i="13"/>
  <c r="O842" i="13" s="1"/>
  <c r="N843" i="13"/>
  <c r="O843" i="13" s="1"/>
  <c r="N844" i="13"/>
  <c r="O844" i="13" s="1"/>
  <c r="N845" i="13"/>
  <c r="O845" i="13" s="1"/>
  <c r="N846" i="13"/>
  <c r="O846" i="13" s="1"/>
  <c r="N847" i="13"/>
  <c r="O847" i="13" s="1"/>
  <c r="N848" i="13"/>
  <c r="O848" i="13" s="1"/>
  <c r="N849" i="13"/>
  <c r="O849" i="13" s="1"/>
  <c r="N850" i="13"/>
  <c r="O850" i="13" s="1"/>
  <c r="N851" i="13"/>
  <c r="O851" i="13" s="1"/>
  <c r="N852" i="13"/>
  <c r="O852" i="13" s="1"/>
  <c r="N853" i="13"/>
  <c r="O853" i="13" s="1"/>
  <c r="N854" i="13"/>
  <c r="O854" i="13" s="1"/>
  <c r="N855" i="13"/>
  <c r="O855" i="13" s="1"/>
  <c r="N856" i="13"/>
  <c r="O856" i="13" s="1"/>
  <c r="N857" i="13"/>
  <c r="O857" i="13" s="1"/>
  <c r="N858" i="13"/>
  <c r="O858" i="13" s="1"/>
  <c r="N859" i="13"/>
  <c r="O859" i="13" s="1"/>
  <c r="N860" i="13"/>
  <c r="O860" i="13" s="1"/>
  <c r="N861" i="13"/>
  <c r="O861" i="13" s="1"/>
  <c r="N862" i="13"/>
  <c r="O862" i="13" s="1"/>
  <c r="N863" i="13"/>
  <c r="O863" i="13" s="1"/>
  <c r="N864" i="13"/>
  <c r="O864" i="13" s="1"/>
  <c r="N865" i="13"/>
  <c r="O865" i="13" s="1"/>
  <c r="N866" i="13"/>
  <c r="O866" i="13" s="1"/>
  <c r="N867" i="13"/>
  <c r="O867" i="13" s="1"/>
  <c r="N868" i="13"/>
  <c r="O868" i="13" s="1"/>
  <c r="N869" i="13"/>
  <c r="O869" i="13" s="1"/>
  <c r="N870" i="13"/>
  <c r="O870" i="13" s="1"/>
  <c r="N871" i="13"/>
  <c r="O871" i="13" s="1"/>
  <c r="N872" i="13"/>
  <c r="O872" i="13" s="1"/>
  <c r="N873" i="13"/>
  <c r="O873" i="13" s="1"/>
  <c r="N874" i="13"/>
  <c r="O874" i="13" s="1"/>
  <c r="N875" i="13"/>
  <c r="O875" i="13" s="1"/>
  <c r="N876" i="13"/>
  <c r="O876" i="13" s="1"/>
  <c r="N877" i="13"/>
  <c r="O877" i="13" s="1"/>
  <c r="N878" i="13"/>
  <c r="O878" i="13" s="1"/>
  <c r="N879" i="13"/>
  <c r="O879" i="13" s="1"/>
  <c r="N880" i="13"/>
  <c r="O880" i="13" s="1"/>
  <c r="N881" i="13"/>
  <c r="O881" i="13" s="1"/>
  <c r="N882" i="13"/>
  <c r="O882" i="13" s="1"/>
  <c r="N883" i="13"/>
  <c r="O883" i="13" s="1"/>
  <c r="N884" i="13"/>
  <c r="O884" i="13" s="1"/>
  <c r="N885" i="13"/>
  <c r="O885" i="13" s="1"/>
  <c r="N886" i="13"/>
  <c r="O886" i="13" s="1"/>
  <c r="N887" i="13"/>
  <c r="O887" i="13" s="1"/>
  <c r="N888" i="13"/>
  <c r="O888" i="13" s="1"/>
  <c r="N889" i="13"/>
  <c r="O889" i="13" s="1"/>
  <c r="N890" i="13"/>
  <c r="O890" i="13" s="1"/>
  <c r="N891" i="13"/>
  <c r="O891" i="13" s="1"/>
  <c r="N892" i="13"/>
  <c r="O892" i="13" s="1"/>
  <c r="N893" i="13"/>
  <c r="O893" i="13" s="1"/>
  <c r="N894" i="13"/>
  <c r="O894" i="13" s="1"/>
  <c r="N895" i="13"/>
  <c r="O895" i="13" s="1"/>
  <c r="N896" i="13"/>
  <c r="O896" i="13" s="1"/>
  <c r="N897" i="13"/>
  <c r="O897" i="13" s="1"/>
  <c r="N898" i="13"/>
  <c r="O898" i="13" s="1"/>
  <c r="N899" i="13"/>
  <c r="O899" i="13" s="1"/>
  <c r="N900" i="13"/>
  <c r="O900" i="13" s="1"/>
  <c r="N901" i="13"/>
  <c r="O901" i="13" s="1"/>
  <c r="N902" i="13"/>
  <c r="O902" i="13" s="1"/>
  <c r="N903" i="13"/>
  <c r="O903" i="13" s="1"/>
  <c r="N904" i="13"/>
  <c r="O904" i="13" s="1"/>
  <c r="N905" i="13"/>
  <c r="O905" i="13" s="1"/>
  <c r="N906" i="13"/>
  <c r="O906" i="13" s="1"/>
  <c r="N907" i="13"/>
  <c r="O907" i="13" s="1"/>
  <c r="N908" i="13"/>
  <c r="O908" i="13" s="1"/>
  <c r="N909" i="13"/>
  <c r="O909" i="13" s="1"/>
  <c r="N910" i="13"/>
  <c r="O910" i="13" s="1"/>
  <c r="N911" i="13"/>
  <c r="O911" i="13" s="1"/>
  <c r="N912" i="13"/>
  <c r="O912" i="13" s="1"/>
  <c r="N913" i="13"/>
  <c r="O913" i="13" s="1"/>
  <c r="N914" i="13"/>
  <c r="O914" i="13" s="1"/>
  <c r="N915" i="13"/>
  <c r="O915" i="13" s="1"/>
  <c r="N916" i="13"/>
  <c r="O916" i="13" s="1"/>
  <c r="N917" i="13"/>
  <c r="O917" i="13" s="1"/>
  <c r="N918" i="13"/>
  <c r="O918" i="13" s="1"/>
  <c r="N919" i="13"/>
  <c r="O919" i="13" s="1"/>
  <c r="N920" i="13"/>
  <c r="O920" i="13" s="1"/>
  <c r="N921" i="13"/>
  <c r="O921" i="13" s="1"/>
  <c r="N922" i="13"/>
  <c r="O922" i="13" s="1"/>
  <c r="N923" i="13"/>
  <c r="O923" i="13" s="1"/>
  <c r="N924" i="13"/>
  <c r="O924" i="13" s="1"/>
  <c r="N925" i="13"/>
  <c r="O925" i="13" s="1"/>
  <c r="N926" i="13"/>
  <c r="O926" i="13" s="1"/>
  <c r="N927" i="13"/>
  <c r="O927" i="13" s="1"/>
  <c r="N928" i="13"/>
  <c r="O928" i="13" s="1"/>
  <c r="N929" i="13"/>
  <c r="O929" i="13" s="1"/>
  <c r="N930" i="13"/>
  <c r="O930" i="13" s="1"/>
  <c r="N931" i="13"/>
  <c r="O931" i="13" s="1"/>
  <c r="N932" i="13"/>
  <c r="O932" i="13" s="1"/>
  <c r="N933" i="13"/>
  <c r="O933" i="13" s="1"/>
  <c r="N934" i="13"/>
  <c r="O934" i="13" s="1"/>
  <c r="N935" i="13"/>
  <c r="O935" i="13" s="1"/>
  <c r="N936" i="13"/>
  <c r="O936" i="13" s="1"/>
  <c r="N937" i="13"/>
  <c r="O937" i="13" s="1"/>
  <c r="N938" i="13"/>
  <c r="O938" i="13" s="1"/>
  <c r="N939" i="13"/>
  <c r="O939" i="13" s="1"/>
  <c r="N940" i="13"/>
  <c r="O940" i="13" s="1"/>
  <c r="N941" i="13"/>
  <c r="O941" i="13" s="1"/>
  <c r="N942" i="13"/>
  <c r="O942" i="13" s="1"/>
  <c r="N943" i="13"/>
  <c r="O943" i="13" s="1"/>
  <c r="N944" i="13"/>
  <c r="O944" i="13" s="1"/>
  <c r="N945" i="13"/>
  <c r="O945" i="13" s="1"/>
  <c r="N946" i="13"/>
  <c r="O946" i="13" s="1"/>
  <c r="N947" i="13"/>
  <c r="O947" i="13" s="1"/>
  <c r="N948" i="13"/>
  <c r="O948" i="13" s="1"/>
  <c r="N949" i="13"/>
  <c r="O949" i="13" s="1"/>
  <c r="N950" i="13"/>
  <c r="O950" i="13" s="1"/>
  <c r="N951" i="13"/>
  <c r="O951" i="13" s="1"/>
  <c r="N952" i="13"/>
  <c r="O952" i="13" s="1"/>
  <c r="N953" i="13"/>
  <c r="O953" i="13" s="1"/>
  <c r="N954" i="13"/>
  <c r="O954" i="13" s="1"/>
  <c r="N955" i="13"/>
  <c r="O955" i="13" s="1"/>
  <c r="N956" i="13"/>
  <c r="O956" i="13" s="1"/>
  <c r="N957" i="13"/>
  <c r="O957" i="13" s="1"/>
  <c r="N958" i="13"/>
  <c r="O958" i="13" s="1"/>
  <c r="N959" i="13"/>
  <c r="O959" i="13" s="1"/>
  <c r="N960" i="13"/>
  <c r="O960" i="13" s="1"/>
  <c r="N961" i="13"/>
  <c r="O961" i="13" s="1"/>
  <c r="N962" i="13"/>
  <c r="O962" i="13" s="1"/>
  <c r="N963" i="13"/>
  <c r="O963" i="13" s="1"/>
  <c r="N964" i="13"/>
  <c r="O964" i="13" s="1"/>
  <c r="N965" i="13"/>
  <c r="O965" i="13" s="1"/>
  <c r="N966" i="13"/>
  <c r="O966" i="13" s="1"/>
  <c r="N967" i="13"/>
  <c r="O967" i="13" s="1"/>
  <c r="N968" i="13"/>
  <c r="O968" i="13" s="1"/>
  <c r="N969" i="13"/>
  <c r="O969" i="13" s="1"/>
  <c r="N970" i="13"/>
  <c r="O970" i="13" s="1"/>
  <c r="N971" i="13"/>
  <c r="O971" i="13" s="1"/>
  <c r="N972" i="13"/>
  <c r="O972" i="13" s="1"/>
  <c r="N973" i="13"/>
  <c r="O973" i="13" s="1"/>
  <c r="N974" i="13"/>
  <c r="O974" i="13" s="1"/>
  <c r="N975" i="13"/>
  <c r="O975" i="13" s="1"/>
  <c r="N976" i="13"/>
  <c r="O976" i="13" s="1"/>
  <c r="N977" i="13"/>
  <c r="O977" i="13" s="1"/>
  <c r="N978" i="13"/>
  <c r="O978" i="13" s="1"/>
  <c r="N979" i="13"/>
  <c r="O979" i="13" s="1"/>
  <c r="N980" i="13"/>
  <c r="O980" i="13" s="1"/>
  <c r="N981" i="13"/>
  <c r="O981" i="13" s="1"/>
  <c r="N982" i="13"/>
  <c r="O982" i="13" s="1"/>
  <c r="N983" i="13"/>
  <c r="O983" i="13" s="1"/>
  <c r="N984" i="13"/>
  <c r="O984" i="13" s="1"/>
  <c r="N985" i="13"/>
  <c r="O985" i="13" s="1"/>
  <c r="N986" i="13"/>
  <c r="O986" i="13" s="1"/>
  <c r="N987" i="13"/>
  <c r="O987" i="13" s="1"/>
  <c r="N988" i="13"/>
  <c r="O988" i="13" s="1"/>
  <c r="N989" i="13"/>
  <c r="O989" i="13" s="1"/>
  <c r="N990" i="13"/>
  <c r="O990" i="13" s="1"/>
  <c r="N991" i="13"/>
  <c r="O991" i="13" s="1"/>
  <c r="N992" i="13"/>
  <c r="O992" i="13" s="1"/>
  <c r="N993" i="13"/>
  <c r="O993" i="13" s="1"/>
  <c r="N994" i="13"/>
  <c r="O994" i="13" s="1"/>
  <c r="N995" i="13"/>
  <c r="O995" i="13" s="1"/>
  <c r="N996" i="13"/>
  <c r="O996" i="13" s="1"/>
  <c r="N997" i="13"/>
  <c r="O997" i="13" s="1"/>
  <c r="N998" i="13"/>
  <c r="O998" i="13" s="1"/>
  <c r="N999" i="13"/>
  <c r="O999" i="13" s="1"/>
  <c r="N1000" i="13"/>
  <c r="O1000" i="13" s="1"/>
  <c r="N1001" i="13"/>
  <c r="O1001" i="13" s="1"/>
  <c r="N1002" i="13"/>
  <c r="O1002" i="13" s="1"/>
  <c r="N1003" i="13"/>
  <c r="O1003" i="13" s="1"/>
  <c r="N1004" i="13"/>
  <c r="O1004" i="13" s="1"/>
  <c r="N1005" i="13"/>
  <c r="O1005" i="13" s="1"/>
  <c r="N1006" i="13"/>
  <c r="O1006" i="13" s="1"/>
  <c r="N1007" i="13"/>
  <c r="O1007" i="13" s="1"/>
  <c r="N1008" i="13"/>
  <c r="O1008" i="13" s="1"/>
  <c r="N1009" i="13"/>
  <c r="O1009" i="13" s="1"/>
  <c r="N1010" i="13"/>
  <c r="O1010" i="13" s="1"/>
  <c r="N1011" i="13"/>
  <c r="O1011" i="13" s="1"/>
  <c r="N1012" i="13"/>
  <c r="O1012" i="13" s="1"/>
  <c r="N1013" i="13"/>
  <c r="O1013" i="13" s="1"/>
  <c r="N1014" i="13"/>
  <c r="O1014" i="13" s="1"/>
  <c r="N1015" i="13"/>
  <c r="O1015" i="13" s="1"/>
  <c r="N1016" i="13"/>
  <c r="O1016" i="13" s="1"/>
  <c r="N1017" i="13"/>
  <c r="O1017" i="13" s="1"/>
  <c r="N1018" i="13"/>
  <c r="O1018" i="13" s="1"/>
  <c r="N1019" i="13"/>
  <c r="O1019" i="13" s="1"/>
  <c r="N1020" i="13"/>
  <c r="O1020" i="13" s="1"/>
  <c r="N1021" i="13"/>
  <c r="O1021" i="13" s="1"/>
  <c r="N1022" i="13"/>
  <c r="O1022" i="13" s="1"/>
  <c r="N1023" i="13"/>
  <c r="O1023" i="13" s="1"/>
  <c r="N1024" i="13"/>
  <c r="O1024" i="13" s="1"/>
  <c r="N1025" i="13"/>
  <c r="O1025" i="13" s="1"/>
  <c r="N1026" i="13"/>
  <c r="O1026" i="13" s="1"/>
  <c r="N1027" i="13"/>
  <c r="O1027" i="13" s="1"/>
  <c r="N1028" i="13"/>
  <c r="O1028" i="13" s="1"/>
  <c r="N1029" i="13"/>
  <c r="O1029" i="13" s="1"/>
  <c r="N1030" i="13"/>
  <c r="O1030" i="13" s="1"/>
  <c r="N1031" i="13"/>
  <c r="O1031" i="13" s="1"/>
  <c r="N1032" i="13"/>
  <c r="O1032" i="13" s="1"/>
  <c r="N1033" i="13"/>
  <c r="O1033" i="13" s="1"/>
  <c r="N1034" i="13"/>
  <c r="O1034" i="13" s="1"/>
  <c r="N1035" i="13"/>
  <c r="O1035" i="13" s="1"/>
  <c r="N1036" i="13"/>
  <c r="O1036" i="13" s="1"/>
  <c r="N1037" i="13"/>
  <c r="O1037" i="13" s="1"/>
  <c r="N1038" i="13"/>
  <c r="O1038" i="13" s="1"/>
  <c r="N1039" i="13"/>
  <c r="O1039" i="13" s="1"/>
  <c r="N1040" i="13"/>
  <c r="O1040" i="13" s="1"/>
  <c r="N1041" i="13"/>
  <c r="O1041" i="13" s="1"/>
  <c r="N1042" i="13"/>
  <c r="O1042" i="13" s="1"/>
  <c r="N1043" i="13"/>
  <c r="O1043" i="13" s="1"/>
  <c r="N1044" i="13"/>
  <c r="O1044" i="13" s="1"/>
  <c r="N1045" i="13"/>
  <c r="O1045" i="13" s="1"/>
  <c r="N1046" i="13"/>
  <c r="O1046" i="13" s="1"/>
  <c r="N1047" i="13"/>
  <c r="O1047" i="13" s="1"/>
  <c r="N1048" i="13"/>
  <c r="O1048" i="13" s="1"/>
  <c r="N1049" i="13"/>
  <c r="O1049" i="13" s="1"/>
  <c r="N1050" i="13"/>
  <c r="O1050" i="13" s="1"/>
  <c r="N1051" i="13"/>
  <c r="O1051" i="13" s="1"/>
  <c r="N1052" i="13"/>
  <c r="O1052" i="13" s="1"/>
  <c r="N1053" i="13"/>
  <c r="O1053" i="13" s="1"/>
  <c r="N1054" i="13"/>
  <c r="O1054" i="13" s="1"/>
  <c r="N1055" i="13"/>
  <c r="O1055" i="13" s="1"/>
  <c r="N1056" i="13"/>
  <c r="O1056" i="13" s="1"/>
  <c r="N1057" i="13"/>
  <c r="O1057" i="13" s="1"/>
  <c r="N1058" i="13"/>
  <c r="O1058" i="13" s="1"/>
  <c r="N1059" i="13"/>
  <c r="O1059" i="13" s="1"/>
  <c r="N1060" i="13"/>
  <c r="O1060" i="13" s="1"/>
  <c r="N1061" i="13"/>
  <c r="O1061" i="13" s="1"/>
  <c r="N1062" i="13"/>
  <c r="O1062" i="13" s="1"/>
  <c r="N1063" i="13"/>
  <c r="O1063" i="13" s="1"/>
  <c r="N1064" i="13"/>
  <c r="O1064" i="13" s="1"/>
  <c r="N1065" i="13"/>
  <c r="O1065" i="13" s="1"/>
  <c r="N1066" i="13"/>
  <c r="O1066" i="13" s="1"/>
  <c r="N1067" i="13"/>
  <c r="O1067" i="13" s="1"/>
  <c r="N1068" i="13"/>
  <c r="O1068" i="13" s="1"/>
  <c r="N1069" i="13"/>
  <c r="O1069" i="13" s="1"/>
  <c r="N1070" i="13"/>
  <c r="O1070" i="13" s="1"/>
  <c r="N1071" i="13"/>
  <c r="O1071" i="13" s="1"/>
  <c r="N1072" i="13"/>
  <c r="O1072" i="13" s="1"/>
  <c r="N1073" i="13"/>
  <c r="O1073" i="13" s="1"/>
  <c r="N1074" i="13"/>
  <c r="O1074" i="13" s="1"/>
  <c r="N1075" i="13"/>
  <c r="O1075" i="13" s="1"/>
  <c r="N1076" i="13"/>
  <c r="O1076" i="13" s="1"/>
  <c r="N1077" i="13"/>
  <c r="O1077" i="13" s="1"/>
  <c r="N1078" i="13"/>
  <c r="O1078" i="13" s="1"/>
  <c r="N1079" i="13"/>
  <c r="O1079" i="13" s="1"/>
  <c r="N1080" i="13"/>
  <c r="O1080" i="13" s="1"/>
  <c r="N1081" i="13"/>
  <c r="O1081" i="13" s="1"/>
  <c r="N1082" i="13"/>
  <c r="O1082" i="13" s="1"/>
  <c r="N1083" i="13"/>
  <c r="O1083" i="13" s="1"/>
  <c r="N1084" i="13"/>
  <c r="O1084" i="13" s="1"/>
  <c r="N1085" i="13"/>
  <c r="O1085" i="13" s="1"/>
  <c r="N1086" i="13"/>
  <c r="O1086" i="13" s="1"/>
  <c r="N1087" i="13"/>
  <c r="O1087" i="13" s="1"/>
  <c r="N1088" i="13"/>
  <c r="O1088" i="13" s="1"/>
  <c r="N1089" i="13"/>
  <c r="O1089" i="13" s="1"/>
  <c r="N1090" i="13"/>
  <c r="O1090" i="13" s="1"/>
  <c r="N1091" i="13"/>
  <c r="O1091" i="13" s="1"/>
  <c r="N1092" i="13"/>
  <c r="O1092" i="13" s="1"/>
  <c r="N1093" i="13"/>
  <c r="O1093" i="13" s="1"/>
  <c r="N1094" i="13"/>
  <c r="O1094" i="13" s="1"/>
  <c r="N1095" i="13"/>
  <c r="O1095" i="13" s="1"/>
  <c r="N1096" i="13"/>
  <c r="O1096" i="13" s="1"/>
  <c r="N1097" i="13"/>
  <c r="O1097" i="13" s="1"/>
  <c r="N1098" i="13"/>
  <c r="O1098" i="13" s="1"/>
  <c r="N1099" i="13"/>
  <c r="O1099" i="13" s="1"/>
  <c r="N1100" i="13"/>
  <c r="O1100" i="13" s="1"/>
  <c r="N1101" i="13"/>
  <c r="O1101" i="13" s="1"/>
  <c r="N1102" i="13"/>
  <c r="O1102" i="13" s="1"/>
  <c r="N1103" i="13"/>
  <c r="O1103" i="13" s="1"/>
  <c r="N1104" i="13"/>
  <c r="O1104" i="13" s="1"/>
  <c r="N1105" i="13"/>
  <c r="O1105" i="13" s="1"/>
  <c r="N1106" i="13"/>
  <c r="O1106" i="13" s="1"/>
  <c r="N1107" i="13"/>
  <c r="O1107" i="13" s="1"/>
  <c r="N1108" i="13"/>
  <c r="O1108" i="13" s="1"/>
  <c r="N1109" i="13"/>
  <c r="O1109" i="13" s="1"/>
  <c r="N1110" i="13"/>
  <c r="O1110" i="13" s="1"/>
  <c r="N1111" i="13"/>
  <c r="O1111" i="13" s="1"/>
  <c r="N1112" i="13"/>
  <c r="O1112" i="13" s="1"/>
  <c r="N1113" i="13"/>
  <c r="O1113" i="13" s="1"/>
  <c r="N1114" i="13"/>
  <c r="O1114" i="13" s="1"/>
  <c r="N1115" i="13"/>
  <c r="O1115" i="13" s="1"/>
  <c r="N1116" i="13"/>
  <c r="O1116" i="13" s="1"/>
  <c r="N1117" i="13"/>
  <c r="O1117" i="13" s="1"/>
  <c r="N1118" i="13"/>
  <c r="O1118" i="13" s="1"/>
  <c r="N1119" i="13"/>
  <c r="O1119" i="13" s="1"/>
  <c r="N1120" i="13"/>
  <c r="O1120" i="13" s="1"/>
  <c r="N1121" i="13"/>
  <c r="O1121" i="13" s="1"/>
  <c r="N1122" i="13"/>
  <c r="O1122" i="13" s="1"/>
  <c r="N1123" i="13"/>
  <c r="O1123" i="13" s="1"/>
  <c r="N1124" i="13"/>
  <c r="O1124" i="13" s="1"/>
  <c r="N1125" i="13"/>
  <c r="O1125" i="13" s="1"/>
  <c r="N1126" i="13"/>
  <c r="O1126" i="13" s="1"/>
  <c r="N1127" i="13"/>
  <c r="O1127" i="13" s="1"/>
  <c r="N1128" i="13"/>
  <c r="O1128" i="13" s="1"/>
  <c r="N1129" i="13"/>
  <c r="O1129" i="13" s="1"/>
  <c r="N1130" i="13"/>
  <c r="O1130" i="13" s="1"/>
  <c r="N1131" i="13"/>
  <c r="O1131" i="13" s="1"/>
  <c r="N1132" i="13"/>
  <c r="O1132" i="13" s="1"/>
  <c r="N1133" i="13"/>
  <c r="O1133" i="13" s="1"/>
  <c r="N1134" i="13"/>
  <c r="O1134" i="13" s="1"/>
  <c r="N1135" i="13"/>
  <c r="O1135" i="13" s="1"/>
  <c r="N1136" i="13"/>
  <c r="O1136" i="13" s="1"/>
  <c r="N1137" i="13"/>
  <c r="O1137" i="13" s="1"/>
  <c r="N1138" i="13"/>
  <c r="O1138" i="13" s="1"/>
  <c r="N1139" i="13"/>
  <c r="O1139" i="13" s="1"/>
  <c r="N1140" i="13"/>
  <c r="O1140" i="13" s="1"/>
  <c r="N1141" i="13"/>
  <c r="O1141" i="13" s="1"/>
  <c r="N1142" i="13"/>
  <c r="O1142" i="13" s="1"/>
  <c r="N1143" i="13"/>
  <c r="O1143" i="13" s="1"/>
  <c r="N1144" i="13"/>
  <c r="O1144" i="13" s="1"/>
  <c r="N1145" i="13"/>
  <c r="O1145" i="13" s="1"/>
  <c r="N1146" i="13"/>
  <c r="O1146" i="13" s="1"/>
  <c r="N1147" i="13"/>
  <c r="O1147" i="13" s="1"/>
  <c r="N1148" i="13"/>
  <c r="O1148" i="13" s="1"/>
  <c r="N1149" i="13"/>
  <c r="O1149" i="13" s="1"/>
  <c r="N1150" i="13"/>
  <c r="O1150" i="13" s="1"/>
  <c r="N1151" i="13"/>
  <c r="O1151" i="13" s="1"/>
  <c r="N1152" i="13"/>
  <c r="O1152" i="13" s="1"/>
  <c r="N1153" i="13"/>
  <c r="O1153" i="13" s="1"/>
  <c r="N1154" i="13"/>
  <c r="O1154" i="13" s="1"/>
  <c r="N1155" i="13"/>
  <c r="O1155" i="13" s="1"/>
  <c r="N1156" i="13"/>
  <c r="O1156" i="13" s="1"/>
  <c r="N1157" i="13"/>
  <c r="O1157" i="13" s="1"/>
  <c r="N1158" i="13"/>
  <c r="O1158" i="13" s="1"/>
  <c r="N1159" i="13"/>
  <c r="O1159" i="13" s="1"/>
  <c r="N1160" i="13"/>
  <c r="O1160" i="13" s="1"/>
  <c r="N1161" i="13"/>
  <c r="O1161" i="13" s="1"/>
  <c r="N1162" i="13"/>
  <c r="O1162" i="13" s="1"/>
  <c r="N1163" i="13"/>
  <c r="O1163" i="13" s="1"/>
  <c r="N1164" i="13"/>
  <c r="O1164" i="13" s="1"/>
  <c r="N1165" i="13"/>
  <c r="O1165" i="13" s="1"/>
  <c r="N1166" i="13"/>
  <c r="O1166" i="13" s="1"/>
  <c r="N1167" i="13"/>
  <c r="O1167" i="13" s="1"/>
  <c r="N1168" i="13"/>
  <c r="O1168" i="13" s="1"/>
  <c r="N1169" i="13"/>
  <c r="O1169" i="13" s="1"/>
  <c r="N1170" i="13"/>
  <c r="O1170" i="13" s="1"/>
  <c r="N1171" i="13"/>
  <c r="O1171" i="13" s="1"/>
  <c r="N1172" i="13"/>
  <c r="O1172" i="13" s="1"/>
  <c r="N1173" i="13"/>
  <c r="O1173" i="13" s="1"/>
  <c r="N1174" i="13"/>
  <c r="O1174" i="13" s="1"/>
  <c r="N1175" i="13"/>
  <c r="O1175" i="13" s="1"/>
  <c r="N1176" i="13"/>
  <c r="O1176" i="13" s="1"/>
  <c r="N1177" i="13"/>
  <c r="O1177" i="13" s="1"/>
  <c r="N1178" i="13"/>
  <c r="O1178" i="13" s="1"/>
  <c r="N1179" i="13"/>
  <c r="O1179" i="13" s="1"/>
  <c r="N1180" i="13"/>
  <c r="O1180" i="13" s="1"/>
  <c r="N1181" i="13"/>
  <c r="O1181" i="13" s="1"/>
  <c r="N1182" i="13"/>
  <c r="O1182" i="13" s="1"/>
  <c r="N1183" i="13"/>
  <c r="O1183" i="13" s="1"/>
  <c r="N1184" i="13"/>
  <c r="O1184" i="13" s="1"/>
  <c r="N1185" i="13"/>
  <c r="O1185" i="13" s="1"/>
  <c r="N1186" i="13"/>
  <c r="O1186" i="13" s="1"/>
  <c r="N1187" i="13"/>
  <c r="O1187" i="13" s="1"/>
  <c r="N1188" i="13"/>
  <c r="O1188" i="13" s="1"/>
  <c r="N1189" i="13"/>
  <c r="O1189" i="13" s="1"/>
  <c r="N1190" i="13"/>
  <c r="O1190" i="13" s="1"/>
  <c r="N1191" i="13"/>
  <c r="O1191" i="13" s="1"/>
  <c r="N1192" i="13"/>
  <c r="O1192" i="13" s="1"/>
  <c r="N1193" i="13"/>
  <c r="O1193" i="13" s="1"/>
  <c r="N1194" i="13"/>
  <c r="O1194" i="13" s="1"/>
  <c r="N1195" i="13"/>
  <c r="O1195" i="13" s="1"/>
  <c r="N1196" i="13"/>
  <c r="O1196" i="13" s="1"/>
  <c r="N1197" i="13"/>
  <c r="O1197" i="13" s="1"/>
  <c r="N1198" i="13"/>
  <c r="O1198" i="13" s="1"/>
  <c r="N1199" i="13"/>
  <c r="O1199" i="13" s="1"/>
  <c r="N1200" i="13"/>
  <c r="O1200" i="13" s="1"/>
  <c r="N1201" i="13"/>
  <c r="O1201" i="13" s="1"/>
  <c r="N1202" i="13"/>
  <c r="O1202" i="13" s="1"/>
  <c r="N1203" i="13"/>
  <c r="O1203" i="13" s="1"/>
  <c r="N1204" i="13"/>
  <c r="O1204" i="13" s="1"/>
  <c r="N1205" i="13"/>
  <c r="O1205" i="13" s="1"/>
  <c r="N1206" i="13"/>
  <c r="O1206" i="13" s="1"/>
  <c r="N1207" i="13"/>
  <c r="O1207" i="13" s="1"/>
  <c r="N1208" i="13"/>
  <c r="O1208" i="13" s="1"/>
  <c r="N1209" i="13"/>
  <c r="O1209" i="13" s="1"/>
  <c r="N1210" i="13"/>
  <c r="O1210" i="13" s="1"/>
  <c r="N1211" i="13"/>
  <c r="O1211" i="13" s="1"/>
  <c r="N1212" i="13"/>
  <c r="O1212" i="13" s="1"/>
  <c r="N1213" i="13"/>
  <c r="O1213" i="13" s="1"/>
  <c r="N1214" i="13"/>
  <c r="O1214" i="13" s="1"/>
  <c r="N1215" i="13"/>
  <c r="O1215" i="13" s="1"/>
  <c r="N1216" i="13"/>
  <c r="O1216" i="13" s="1"/>
  <c r="N1217" i="13"/>
  <c r="O1217" i="13" s="1"/>
  <c r="N1218" i="13"/>
  <c r="O1218" i="13" s="1"/>
  <c r="N1219" i="13"/>
  <c r="O1219" i="13" s="1"/>
  <c r="N1220" i="13"/>
  <c r="O1220" i="13" s="1"/>
  <c r="N1221" i="13"/>
  <c r="O1221" i="13" s="1"/>
  <c r="N1222" i="13"/>
  <c r="O1222" i="13" s="1"/>
  <c r="N1223" i="13"/>
  <c r="O1223" i="13" s="1"/>
  <c r="N1224" i="13"/>
  <c r="O1224" i="13" s="1"/>
  <c r="N1225" i="13"/>
  <c r="O1225" i="13" s="1"/>
  <c r="N1226" i="13"/>
  <c r="O1226" i="13" s="1"/>
  <c r="N1227" i="13"/>
  <c r="O1227" i="13" s="1"/>
  <c r="N1228" i="13"/>
  <c r="O1228" i="13" s="1"/>
  <c r="N1229" i="13"/>
  <c r="O1229" i="13" s="1"/>
  <c r="N1230" i="13"/>
  <c r="O1230" i="13" s="1"/>
  <c r="N1231" i="13"/>
  <c r="O1231" i="13" s="1"/>
  <c r="N1232" i="13"/>
  <c r="O1232" i="13" s="1"/>
  <c r="N1233" i="13"/>
  <c r="O1233" i="13" s="1"/>
  <c r="N1234" i="13"/>
  <c r="O1234" i="13" s="1"/>
  <c r="N1235" i="13"/>
  <c r="O1235" i="13" s="1"/>
  <c r="N1236" i="13"/>
  <c r="O1236" i="13" s="1"/>
  <c r="N1237" i="13"/>
  <c r="O1237" i="13" s="1"/>
  <c r="N1238" i="13"/>
  <c r="O1238" i="13" s="1"/>
  <c r="N1239" i="13"/>
  <c r="O1239" i="13" s="1"/>
  <c r="N1240" i="13"/>
  <c r="O1240" i="13" s="1"/>
  <c r="N1241" i="13"/>
  <c r="O1241" i="13" s="1"/>
  <c r="N1242" i="13"/>
  <c r="O1242" i="13" s="1"/>
  <c r="N1243" i="13"/>
  <c r="O1243" i="13" s="1"/>
  <c r="N1244" i="13"/>
  <c r="O1244" i="13" s="1"/>
  <c r="N1245" i="13"/>
  <c r="O1245" i="13" s="1"/>
  <c r="N1246" i="13"/>
  <c r="O1246" i="13" s="1"/>
  <c r="N1247" i="13"/>
  <c r="O1247" i="13" s="1"/>
  <c r="N1248" i="13"/>
  <c r="O1248" i="13" s="1"/>
  <c r="N1249" i="13"/>
  <c r="O1249" i="13" s="1"/>
  <c r="N1250" i="13"/>
  <c r="O1250" i="13" s="1"/>
  <c r="N1251" i="13"/>
  <c r="O1251" i="13" s="1"/>
  <c r="N1252" i="13"/>
  <c r="O1252" i="13" s="1"/>
  <c r="N1253" i="13"/>
  <c r="O1253" i="13" s="1"/>
  <c r="N1254" i="13"/>
  <c r="O1254" i="13" s="1"/>
  <c r="N1255" i="13"/>
  <c r="O1255" i="13" s="1"/>
  <c r="N1256" i="13"/>
  <c r="O1256" i="13" s="1"/>
  <c r="N1257" i="13"/>
  <c r="O1257" i="13" s="1"/>
  <c r="N1258" i="13"/>
  <c r="O1258" i="13" s="1"/>
  <c r="N1259" i="13"/>
  <c r="O1259" i="13" s="1"/>
  <c r="N1260" i="13"/>
  <c r="O1260" i="13" s="1"/>
  <c r="N1261" i="13"/>
  <c r="O1261" i="13" s="1"/>
  <c r="N1262" i="13"/>
  <c r="O1262" i="13" s="1"/>
  <c r="N1263" i="13"/>
  <c r="O1263" i="13" s="1"/>
  <c r="N1264" i="13"/>
  <c r="O1264" i="13" s="1"/>
  <c r="N1265" i="13"/>
  <c r="O1265" i="13" s="1"/>
  <c r="N1266" i="13"/>
  <c r="O1266" i="13" s="1"/>
  <c r="N1267" i="13"/>
  <c r="O1267" i="13" s="1"/>
  <c r="N1268" i="13"/>
  <c r="O1268" i="13" s="1"/>
  <c r="N1269" i="13"/>
  <c r="O1269" i="13" s="1"/>
  <c r="N1270" i="13"/>
  <c r="O1270" i="13" s="1"/>
  <c r="N1271" i="13"/>
  <c r="O1271" i="13" s="1"/>
  <c r="N1272" i="13"/>
  <c r="O1272" i="13" s="1"/>
  <c r="N1273" i="13"/>
  <c r="O1273" i="13" s="1"/>
  <c r="N1274" i="13"/>
  <c r="O1274" i="13" s="1"/>
  <c r="N1275" i="13"/>
  <c r="O1275" i="13" s="1"/>
  <c r="N1276" i="13"/>
  <c r="O1276" i="13" s="1"/>
  <c r="N1277" i="13"/>
  <c r="O1277" i="13" s="1"/>
  <c r="N1278" i="13"/>
  <c r="O1278" i="13" s="1"/>
  <c r="N1279" i="13"/>
  <c r="O1279" i="13" s="1"/>
  <c r="N1280" i="13"/>
  <c r="O1280" i="13" s="1"/>
  <c r="N1281" i="13"/>
  <c r="O1281" i="13" s="1"/>
  <c r="N1282" i="13"/>
  <c r="O1282" i="13" s="1"/>
  <c r="N1283" i="13"/>
  <c r="O1283" i="13" s="1"/>
  <c r="N1284" i="13"/>
  <c r="O1284" i="13" s="1"/>
  <c r="N1285" i="13"/>
  <c r="O1285" i="13" s="1"/>
  <c r="N1286" i="13"/>
  <c r="O1286" i="13" s="1"/>
  <c r="N1287" i="13"/>
  <c r="O1287" i="13" s="1"/>
  <c r="N1288" i="13"/>
  <c r="O1288" i="13" s="1"/>
  <c r="N1289" i="13"/>
  <c r="O1289" i="13" s="1"/>
  <c r="N1290" i="13"/>
  <c r="O1290" i="13" s="1"/>
  <c r="N1291" i="13"/>
  <c r="O1291" i="13" s="1"/>
  <c r="N1292" i="13"/>
  <c r="O1292" i="13" s="1"/>
  <c r="N1293" i="13"/>
  <c r="O1293" i="13" s="1"/>
  <c r="N1294" i="13"/>
  <c r="O1294" i="13" s="1"/>
  <c r="N1295" i="13"/>
  <c r="O1295" i="13" s="1"/>
  <c r="N1296" i="13"/>
  <c r="O1296" i="13" s="1"/>
  <c r="N1297" i="13"/>
  <c r="O1297" i="13" s="1"/>
  <c r="N1298" i="13"/>
  <c r="O1298" i="13" s="1"/>
  <c r="N1299" i="13"/>
  <c r="O1299" i="13" s="1"/>
  <c r="N1300" i="13"/>
  <c r="O1300" i="13" s="1"/>
  <c r="N1301" i="13"/>
  <c r="O1301" i="13" s="1"/>
  <c r="N1302" i="13"/>
  <c r="O1302" i="13" s="1"/>
  <c r="N1303" i="13"/>
  <c r="O1303" i="13" s="1"/>
  <c r="N1304" i="13"/>
  <c r="O1304" i="13" s="1"/>
  <c r="N1305" i="13"/>
  <c r="O1305" i="13" s="1"/>
  <c r="N1306" i="13"/>
  <c r="O1306" i="13" s="1"/>
  <c r="N1307" i="13"/>
  <c r="O1307" i="13" s="1"/>
  <c r="N1308" i="13"/>
  <c r="O1308" i="13" s="1"/>
  <c r="N1309" i="13"/>
  <c r="O1309" i="13" s="1"/>
  <c r="N1310" i="13"/>
  <c r="O1310" i="13" s="1"/>
  <c r="N1311" i="13"/>
  <c r="O1311" i="13" s="1"/>
  <c r="N1312" i="13"/>
  <c r="O1312" i="13" s="1"/>
  <c r="N1313" i="13"/>
  <c r="O1313" i="13" s="1"/>
  <c r="N1314" i="13"/>
  <c r="O1314" i="13" s="1"/>
  <c r="N1315" i="13"/>
  <c r="O1315" i="13" s="1"/>
  <c r="N1316" i="13"/>
  <c r="O1316" i="13" s="1"/>
  <c r="N1317" i="13"/>
  <c r="O1317" i="13" s="1"/>
  <c r="N1318" i="13"/>
  <c r="O1318" i="13" s="1"/>
  <c r="N1319" i="13"/>
  <c r="O1319" i="13" s="1"/>
  <c r="N1320" i="13"/>
  <c r="O1320" i="13" s="1"/>
  <c r="N1321" i="13"/>
  <c r="O1321" i="13" s="1"/>
  <c r="N1322" i="13"/>
  <c r="O1322" i="13" s="1"/>
  <c r="N1323" i="13"/>
  <c r="O1323" i="13" s="1"/>
  <c r="N1324" i="13"/>
  <c r="O1324" i="13" s="1"/>
  <c r="N1325" i="13"/>
  <c r="O1325" i="13" s="1"/>
  <c r="N1326" i="13"/>
  <c r="O1326" i="13" s="1"/>
  <c r="N1327" i="13"/>
  <c r="O1327" i="13" s="1"/>
  <c r="N1328" i="13"/>
  <c r="O1328" i="13" s="1"/>
  <c r="N1329" i="13"/>
  <c r="O1329" i="13" s="1"/>
  <c r="N1330" i="13"/>
  <c r="O1330" i="13" s="1"/>
  <c r="N1331" i="13"/>
  <c r="O1331" i="13" s="1"/>
  <c r="N1332" i="13"/>
  <c r="O1332" i="13" s="1"/>
  <c r="N1333" i="13"/>
  <c r="O1333" i="13" s="1"/>
  <c r="N1334" i="13"/>
  <c r="O1334" i="13" s="1"/>
  <c r="N1335" i="13"/>
  <c r="O1335" i="13" s="1"/>
  <c r="N1336" i="13"/>
  <c r="O1336" i="13" s="1"/>
  <c r="N1337" i="13"/>
  <c r="O1337" i="13" s="1"/>
  <c r="N1338" i="13"/>
  <c r="O1338" i="13" s="1"/>
  <c r="N1339" i="13"/>
  <c r="O1339" i="13" s="1"/>
  <c r="N1340" i="13"/>
  <c r="O1340" i="13" s="1"/>
  <c r="N1341" i="13"/>
  <c r="O1341" i="13" s="1"/>
  <c r="N1342" i="13"/>
  <c r="O1342" i="13" s="1"/>
  <c r="N1343" i="13"/>
  <c r="O1343" i="13" s="1"/>
  <c r="N1344" i="13"/>
  <c r="O1344" i="13" s="1"/>
  <c r="N1345" i="13"/>
  <c r="O1345" i="13" s="1"/>
  <c r="N1346" i="13"/>
  <c r="O1346" i="13" s="1"/>
  <c r="N1347" i="13"/>
  <c r="O1347" i="13" s="1"/>
  <c r="N1348" i="13"/>
  <c r="O1348" i="13" s="1"/>
  <c r="N1349" i="13"/>
  <c r="O1349" i="13" s="1"/>
  <c r="N1350" i="13"/>
  <c r="O1350" i="13" s="1"/>
  <c r="N1351" i="13"/>
  <c r="O1351" i="13" s="1"/>
  <c r="N1352" i="13"/>
  <c r="O1352" i="13" s="1"/>
  <c r="N1353" i="13"/>
  <c r="O1353" i="13" s="1"/>
  <c r="N1354" i="13"/>
  <c r="O1354" i="13" s="1"/>
  <c r="N1355" i="13"/>
  <c r="O1355" i="13" s="1"/>
  <c r="N1356" i="13"/>
  <c r="O1356" i="13" s="1"/>
  <c r="N1357" i="13"/>
  <c r="O1357" i="13" s="1"/>
  <c r="N1358" i="13"/>
  <c r="O1358" i="13" s="1"/>
  <c r="N1359" i="13"/>
  <c r="O1359" i="13" s="1"/>
  <c r="N1360" i="13"/>
  <c r="O1360" i="13" s="1"/>
  <c r="N1361" i="13"/>
  <c r="O1361" i="13" s="1"/>
  <c r="N1362" i="13"/>
  <c r="O1362" i="13" s="1"/>
  <c r="N1363" i="13"/>
  <c r="O1363" i="13" s="1"/>
  <c r="N1364" i="13"/>
  <c r="O1364" i="13" s="1"/>
  <c r="N1365" i="13"/>
  <c r="O1365" i="13" s="1"/>
  <c r="N1366" i="13"/>
  <c r="O1366" i="13" s="1"/>
  <c r="N1367" i="13"/>
  <c r="O1367" i="13" s="1"/>
  <c r="N1368" i="13"/>
  <c r="O1368" i="13" s="1"/>
  <c r="N1369" i="13"/>
  <c r="O1369" i="13" s="1"/>
  <c r="N1370" i="13"/>
  <c r="O1370" i="13" s="1"/>
  <c r="N1371" i="13"/>
  <c r="O1371" i="13" s="1"/>
  <c r="N1372" i="13"/>
  <c r="O1372" i="13" s="1"/>
  <c r="N1373" i="13"/>
  <c r="O1373" i="13" s="1"/>
  <c r="N1374" i="13"/>
  <c r="O1374" i="13" s="1"/>
  <c r="N1375" i="13"/>
  <c r="O1375" i="13" s="1"/>
  <c r="N1376" i="13"/>
  <c r="O1376" i="13" s="1"/>
  <c r="N1377" i="13"/>
  <c r="O1377" i="13" s="1"/>
  <c r="N1378" i="13"/>
  <c r="O1378" i="13" s="1"/>
  <c r="N1379" i="13"/>
  <c r="O1379" i="13" s="1"/>
  <c r="N1380" i="13"/>
  <c r="O1380" i="13" s="1"/>
  <c r="N1381" i="13"/>
  <c r="O1381" i="13" s="1"/>
  <c r="N1382" i="13"/>
  <c r="O1382" i="13" s="1"/>
  <c r="N1383" i="13"/>
  <c r="O1383" i="13" s="1"/>
  <c r="N1384" i="13"/>
  <c r="O1384" i="13" s="1"/>
  <c r="N1385" i="13"/>
  <c r="O1385" i="13" s="1"/>
  <c r="N1386" i="13"/>
  <c r="O1386" i="13" s="1"/>
  <c r="N1387" i="13"/>
  <c r="O1387" i="13" s="1"/>
  <c r="N1388" i="13"/>
  <c r="O1388" i="13" s="1"/>
  <c r="N1389" i="13"/>
  <c r="O1389" i="13" s="1"/>
  <c r="N1390" i="13"/>
  <c r="O1390" i="13" s="1"/>
  <c r="N1391" i="13"/>
  <c r="O1391" i="13" s="1"/>
  <c r="N1392" i="13"/>
  <c r="O1392" i="13" s="1"/>
  <c r="N1393" i="13"/>
  <c r="O1393" i="13" s="1"/>
  <c r="N1394" i="13"/>
  <c r="O1394" i="13" s="1"/>
  <c r="N1395" i="13"/>
  <c r="O1395" i="13" s="1"/>
  <c r="N1396" i="13"/>
  <c r="O1396" i="13" s="1"/>
  <c r="N1397" i="13"/>
  <c r="O1397" i="13" s="1"/>
  <c r="N1398" i="13"/>
  <c r="O1398" i="13" s="1"/>
  <c r="N1399" i="13"/>
  <c r="O1399" i="13" s="1"/>
  <c r="N1400" i="13"/>
  <c r="O1400" i="13" s="1"/>
  <c r="N1401" i="13"/>
  <c r="O1401" i="13" s="1"/>
  <c r="N1402" i="13"/>
  <c r="O1402" i="13" s="1"/>
  <c r="N1403" i="13"/>
  <c r="O1403" i="13" s="1"/>
  <c r="N1404" i="13"/>
  <c r="O1404" i="13" s="1"/>
  <c r="N1405" i="13"/>
  <c r="O1405" i="13" s="1"/>
  <c r="N1406" i="13"/>
  <c r="O1406" i="13" s="1"/>
  <c r="N1407" i="13"/>
  <c r="O1407" i="13" s="1"/>
  <c r="N1408" i="13"/>
  <c r="O1408" i="13" s="1"/>
  <c r="N1409" i="13"/>
  <c r="O1409" i="13" s="1"/>
  <c r="N1410" i="13"/>
  <c r="O1410" i="13" s="1"/>
  <c r="N1411" i="13"/>
  <c r="O1411" i="13" s="1"/>
  <c r="N1412" i="13"/>
  <c r="O1412" i="13" s="1"/>
  <c r="N1413" i="13"/>
  <c r="O1413" i="13" s="1"/>
  <c r="N1414" i="13"/>
  <c r="O1414" i="13" s="1"/>
  <c r="N1415" i="13"/>
  <c r="O1415" i="13" s="1"/>
  <c r="N1416" i="13"/>
  <c r="O1416" i="13" s="1"/>
  <c r="N1417" i="13"/>
  <c r="O1417" i="13" s="1"/>
  <c r="N1418" i="13"/>
  <c r="O1418" i="13" s="1"/>
  <c r="N1419" i="13"/>
  <c r="O1419" i="13" s="1"/>
  <c r="N1420" i="13"/>
  <c r="O1420" i="13" s="1"/>
  <c r="N1421" i="13"/>
  <c r="O1421" i="13" s="1"/>
  <c r="N1422" i="13"/>
  <c r="O1422" i="13" s="1"/>
  <c r="N1423" i="13"/>
  <c r="O1423" i="13" s="1"/>
  <c r="N1424" i="13"/>
  <c r="O1424" i="13" s="1"/>
  <c r="N1425" i="13"/>
  <c r="O1425" i="13" s="1"/>
  <c r="N1426" i="13"/>
  <c r="O1426" i="13" s="1"/>
  <c r="N1427" i="13"/>
  <c r="O1427" i="13" s="1"/>
  <c r="N1428" i="13"/>
  <c r="O1428" i="13" s="1"/>
  <c r="N1429" i="13"/>
  <c r="O1429" i="13" s="1"/>
  <c r="N1430" i="13"/>
  <c r="O1430" i="13" s="1"/>
  <c r="N1431" i="13"/>
  <c r="O1431" i="13" s="1"/>
  <c r="N1432" i="13"/>
  <c r="O1432" i="13" s="1"/>
  <c r="N1433" i="13"/>
  <c r="O1433" i="13" s="1"/>
  <c r="N1434" i="13"/>
  <c r="O1434" i="13" s="1"/>
  <c r="N1435" i="13"/>
  <c r="O1435" i="13" s="1"/>
  <c r="N1436" i="13"/>
  <c r="O1436" i="13" s="1"/>
  <c r="N1437" i="13"/>
  <c r="O1437" i="13" s="1"/>
  <c r="N1438" i="13"/>
  <c r="O1438" i="13" s="1"/>
  <c r="N1439" i="13"/>
  <c r="O1439" i="13" s="1"/>
  <c r="N1440" i="13"/>
  <c r="O1440" i="13" s="1"/>
  <c r="N1441" i="13"/>
  <c r="O1441" i="13" s="1"/>
  <c r="N1442" i="13"/>
  <c r="O1442" i="13" s="1"/>
  <c r="N1443" i="13"/>
  <c r="O1443" i="13" s="1"/>
  <c r="N1444" i="13"/>
  <c r="O1444" i="13" s="1"/>
  <c r="N1445" i="13"/>
  <c r="O1445" i="13" s="1"/>
  <c r="N1446" i="13"/>
  <c r="O1446" i="13" s="1"/>
  <c r="N1447" i="13"/>
  <c r="O1447" i="13" s="1"/>
  <c r="N1448" i="13"/>
  <c r="O1448" i="13" s="1"/>
  <c r="N1449" i="13"/>
  <c r="O1449" i="13" s="1"/>
  <c r="N1450" i="13"/>
  <c r="O1450" i="13" s="1"/>
  <c r="N1451" i="13"/>
  <c r="O1451" i="13" s="1"/>
  <c r="N1452" i="13"/>
  <c r="O1452" i="13" s="1"/>
  <c r="N1453" i="13"/>
  <c r="O1453" i="13" s="1"/>
  <c r="N1454" i="13"/>
  <c r="O1454" i="13" s="1"/>
  <c r="N1455" i="13"/>
  <c r="O1455" i="13" s="1"/>
  <c r="N1456" i="13"/>
  <c r="O1456" i="13" s="1"/>
  <c r="N1457" i="13"/>
  <c r="O1457" i="13" s="1"/>
  <c r="N1458" i="13"/>
  <c r="O1458" i="13" s="1"/>
  <c r="N1459" i="13"/>
  <c r="O1459" i="13" s="1"/>
  <c r="N1460" i="13"/>
  <c r="O1460" i="13" s="1"/>
  <c r="N1461" i="13"/>
  <c r="O1461" i="13" s="1"/>
  <c r="N1462" i="13"/>
  <c r="O1462" i="13" s="1"/>
  <c r="N1463" i="13"/>
  <c r="O1463" i="13" s="1"/>
  <c r="N1464" i="13"/>
  <c r="O1464" i="13" s="1"/>
  <c r="N1465" i="13"/>
  <c r="O1465" i="13" s="1"/>
  <c r="N1466" i="13"/>
  <c r="O1466" i="13" s="1"/>
  <c r="N1467" i="13"/>
  <c r="O1467" i="13" s="1"/>
  <c r="N1468" i="13"/>
  <c r="O1468" i="13" s="1"/>
  <c r="N1469" i="13"/>
  <c r="O1469" i="13" s="1"/>
  <c r="N1470" i="13"/>
  <c r="O1470" i="13" s="1"/>
  <c r="N1471" i="13"/>
  <c r="O1471" i="13" s="1"/>
  <c r="N1472" i="13"/>
  <c r="O1472" i="13" s="1"/>
  <c r="N1473" i="13"/>
  <c r="O1473" i="13" s="1"/>
  <c r="N1474" i="13"/>
  <c r="O1474" i="13" s="1"/>
  <c r="N1475" i="13"/>
  <c r="O1475" i="13" s="1"/>
  <c r="N1476" i="13"/>
  <c r="O1476" i="13" s="1"/>
  <c r="N1477" i="13"/>
  <c r="O1477" i="13" s="1"/>
  <c r="N1478" i="13"/>
  <c r="O1478" i="13" s="1"/>
  <c r="N1479" i="13"/>
  <c r="O1479" i="13" s="1"/>
  <c r="N1480" i="13"/>
  <c r="O1480" i="13" s="1"/>
  <c r="N1481" i="13"/>
  <c r="O1481" i="13" s="1"/>
  <c r="N1482" i="13"/>
  <c r="O1482" i="13" s="1"/>
  <c r="N1483" i="13"/>
  <c r="O1483" i="13" s="1"/>
  <c r="N1484" i="13"/>
  <c r="O1484" i="13" s="1"/>
  <c r="N1485" i="13"/>
  <c r="O1485" i="13" s="1"/>
  <c r="N1486" i="13"/>
  <c r="O1486" i="13" s="1"/>
  <c r="N1487" i="13"/>
  <c r="O1487" i="13" s="1"/>
  <c r="N1488" i="13"/>
  <c r="O1488" i="13" s="1"/>
  <c r="N1489" i="13"/>
  <c r="O1489" i="13" s="1"/>
  <c r="N1490" i="13"/>
  <c r="O1490" i="13" s="1"/>
  <c r="N1491" i="13"/>
  <c r="O1491" i="13" s="1"/>
  <c r="N1492" i="13"/>
  <c r="O1492" i="13" s="1"/>
  <c r="N1493" i="13"/>
  <c r="O1493" i="13" s="1"/>
  <c r="N1494" i="13"/>
  <c r="O1494" i="13" s="1"/>
  <c r="N1495" i="13"/>
  <c r="O1495" i="13" s="1"/>
  <c r="N1496" i="13"/>
  <c r="O1496" i="13" s="1"/>
  <c r="N1497" i="13"/>
  <c r="O1497" i="13" s="1"/>
  <c r="N1498" i="13"/>
  <c r="O1498" i="13" s="1"/>
  <c r="N1499" i="13"/>
  <c r="O1499" i="13" s="1"/>
  <c r="N1500" i="13"/>
  <c r="O1500" i="13" s="1"/>
  <c r="N1501" i="13"/>
  <c r="O1501" i="13" s="1"/>
  <c r="N1502" i="13"/>
  <c r="O1502" i="13" s="1"/>
  <c r="N1503" i="13"/>
  <c r="O1503" i="13" s="1"/>
  <c r="N1504" i="13"/>
  <c r="O1504" i="13" s="1"/>
  <c r="N1505" i="13"/>
  <c r="O1505" i="13" s="1"/>
  <c r="N1506" i="13"/>
  <c r="O1506" i="13" s="1"/>
  <c r="N1507" i="13"/>
  <c r="O1507" i="13" s="1"/>
  <c r="N1508" i="13"/>
  <c r="O1508" i="13" s="1"/>
  <c r="N1509" i="13"/>
  <c r="O1509" i="13" s="1"/>
  <c r="N1510" i="13"/>
  <c r="O1510" i="13" s="1"/>
  <c r="N1511" i="13"/>
  <c r="O1511" i="13" s="1"/>
  <c r="N1512" i="13"/>
  <c r="O1512" i="13" s="1"/>
  <c r="N1513" i="13"/>
  <c r="O1513" i="13" s="1"/>
  <c r="N1514" i="13"/>
  <c r="O1514" i="13" s="1"/>
  <c r="N1515" i="13"/>
  <c r="O1515" i="13" s="1"/>
  <c r="N1516" i="13"/>
  <c r="O1516" i="13" s="1"/>
  <c r="N1517" i="13"/>
  <c r="O1517" i="13" s="1"/>
  <c r="N1518" i="13"/>
  <c r="O1518" i="13" s="1"/>
  <c r="N1519" i="13"/>
  <c r="O1519" i="13" s="1"/>
  <c r="N1520" i="13"/>
  <c r="O1520" i="13" s="1"/>
  <c r="N1521" i="13"/>
  <c r="O1521" i="13" s="1"/>
  <c r="N1522" i="13"/>
  <c r="O1522" i="13" s="1"/>
  <c r="N1523" i="13"/>
  <c r="O1523" i="13" s="1"/>
  <c r="N1524" i="13"/>
  <c r="O1524" i="13" s="1"/>
  <c r="N1525" i="13"/>
  <c r="O1525" i="13" s="1"/>
  <c r="N1526" i="13"/>
  <c r="O1526" i="13" s="1"/>
  <c r="N1527" i="13"/>
  <c r="O1527" i="13" s="1"/>
  <c r="N1528" i="13"/>
  <c r="O1528" i="13" s="1"/>
  <c r="N1529" i="13"/>
  <c r="O1529" i="13" s="1"/>
  <c r="N1530" i="13"/>
  <c r="O1530" i="13" s="1"/>
  <c r="N1531" i="13"/>
  <c r="O1531" i="13" s="1"/>
  <c r="N1532" i="13"/>
  <c r="O1532" i="13" s="1"/>
  <c r="N1533" i="13"/>
  <c r="O1533" i="13" s="1"/>
  <c r="N1534" i="13"/>
  <c r="O1534" i="13" s="1"/>
  <c r="N1535" i="13"/>
  <c r="O1535" i="13" s="1"/>
  <c r="N1536" i="13"/>
  <c r="O1536" i="13" s="1"/>
  <c r="M2" i="13"/>
  <c r="M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101" i="13"/>
  <c r="M102" i="13"/>
  <c r="M103" i="13"/>
  <c r="M104" i="13"/>
  <c r="M105" i="13"/>
  <c r="M106" i="13"/>
  <c r="M107" i="13"/>
  <c r="M108" i="13"/>
  <c r="M109" i="13"/>
  <c r="M110" i="13"/>
  <c r="M111" i="13"/>
  <c r="M112" i="13"/>
  <c r="M113" i="13"/>
  <c r="M114" i="13"/>
  <c r="M115" i="13"/>
  <c r="M116" i="13"/>
  <c r="M117" i="13"/>
  <c r="M118" i="13"/>
  <c r="M119" i="13"/>
  <c r="M120" i="13"/>
  <c r="M121" i="13"/>
  <c r="M122" i="13"/>
  <c r="M123" i="13"/>
  <c r="M124" i="13"/>
  <c r="M125" i="13"/>
  <c r="M126" i="13"/>
  <c r="M127" i="13"/>
  <c r="M128" i="13"/>
  <c r="M129" i="13"/>
  <c r="M130" i="13"/>
  <c r="M131" i="13"/>
  <c r="M132" i="13"/>
  <c r="M133" i="13"/>
  <c r="M134" i="13"/>
  <c r="M135" i="13"/>
  <c r="M136" i="13"/>
  <c r="M137" i="13"/>
  <c r="M138" i="13"/>
  <c r="M139" i="13"/>
  <c r="M140" i="13"/>
  <c r="M141" i="13"/>
  <c r="M142" i="13"/>
  <c r="M143" i="13"/>
  <c r="M144" i="13"/>
  <c r="M145" i="13"/>
  <c r="M146" i="13"/>
  <c r="M147" i="13"/>
  <c r="M148" i="13"/>
  <c r="M149" i="13"/>
  <c r="M150" i="13"/>
  <c r="M151" i="13"/>
  <c r="M152" i="13"/>
  <c r="M153" i="13"/>
  <c r="M154" i="13"/>
  <c r="M155" i="13"/>
  <c r="M156" i="13"/>
  <c r="M157" i="13"/>
  <c r="M158" i="13"/>
  <c r="M159" i="13"/>
  <c r="M160" i="13"/>
  <c r="M161" i="13"/>
  <c r="M162" i="13"/>
  <c r="M163" i="13"/>
  <c r="M164" i="13"/>
  <c r="M165" i="13"/>
  <c r="M166" i="13"/>
  <c r="M167" i="13"/>
  <c r="M168" i="13"/>
  <c r="M169" i="13"/>
  <c r="M170" i="13"/>
  <c r="M171" i="13"/>
  <c r="M172" i="13"/>
  <c r="M173" i="13"/>
  <c r="M174" i="13"/>
  <c r="M175" i="13"/>
  <c r="M176" i="13"/>
  <c r="M177" i="13"/>
  <c r="M178" i="13"/>
  <c r="M179" i="13"/>
  <c r="M180" i="13"/>
  <c r="M181" i="13"/>
  <c r="M182" i="13"/>
  <c r="M183" i="13"/>
  <c r="M184" i="13"/>
  <c r="M185" i="13"/>
  <c r="M186" i="13"/>
  <c r="M187" i="13"/>
  <c r="M188" i="13"/>
  <c r="M189" i="13"/>
  <c r="M190" i="13"/>
  <c r="M191" i="13"/>
  <c r="M192" i="13"/>
  <c r="M193" i="13"/>
  <c r="M194" i="13"/>
  <c r="M195" i="13"/>
  <c r="M196" i="13"/>
  <c r="M197" i="13"/>
  <c r="M198" i="13"/>
  <c r="M199" i="13"/>
  <c r="M200" i="13"/>
  <c r="M201" i="13"/>
  <c r="M202" i="13"/>
  <c r="M203" i="13"/>
  <c r="M204" i="13"/>
  <c r="M205" i="13"/>
  <c r="M206" i="13"/>
  <c r="M207" i="13"/>
  <c r="M208" i="13"/>
  <c r="M209" i="13"/>
  <c r="M210" i="13"/>
  <c r="M211" i="13"/>
  <c r="M212" i="13"/>
  <c r="M213" i="13"/>
  <c r="M214" i="13"/>
  <c r="M215" i="13"/>
  <c r="M216" i="13"/>
  <c r="M217" i="13"/>
  <c r="M218" i="13"/>
  <c r="M219" i="13"/>
  <c r="M220" i="13"/>
  <c r="M221" i="13"/>
  <c r="M222" i="13"/>
  <c r="M223" i="13"/>
  <c r="M224" i="13"/>
  <c r="M225" i="13"/>
  <c r="M226" i="13"/>
  <c r="M227" i="13"/>
  <c r="M228" i="13"/>
  <c r="M229" i="13"/>
  <c r="M230" i="13"/>
  <c r="M231" i="13"/>
  <c r="M232" i="13"/>
  <c r="M233" i="13"/>
  <c r="M234" i="13"/>
  <c r="M235" i="13"/>
  <c r="M236" i="13"/>
  <c r="M237" i="13"/>
  <c r="M238" i="13"/>
  <c r="M239" i="13"/>
  <c r="M240" i="13"/>
  <c r="M241" i="13"/>
  <c r="M242" i="13"/>
  <c r="M243" i="13"/>
  <c r="M244" i="13"/>
  <c r="M245" i="13"/>
  <c r="M246" i="13"/>
  <c r="M247" i="13"/>
  <c r="M248" i="13"/>
  <c r="M249" i="13"/>
  <c r="M250" i="13"/>
  <c r="M251" i="13"/>
  <c r="M252" i="13"/>
  <c r="M253" i="13"/>
  <c r="M254" i="13"/>
  <c r="M255" i="13"/>
  <c r="M256" i="13"/>
  <c r="M257" i="13"/>
  <c r="M258" i="13"/>
  <c r="M259" i="13"/>
  <c r="M260" i="13"/>
  <c r="M261" i="13"/>
  <c r="M262" i="13"/>
  <c r="M263" i="13"/>
  <c r="M264" i="13"/>
  <c r="M265" i="13"/>
  <c r="M266" i="13"/>
  <c r="M267" i="13"/>
  <c r="M268" i="13"/>
  <c r="M269" i="13"/>
  <c r="M270" i="13"/>
  <c r="M271" i="13"/>
  <c r="M272" i="13"/>
  <c r="M273" i="13"/>
  <c r="M274" i="13"/>
  <c r="M275" i="13"/>
  <c r="M276" i="13"/>
  <c r="M277" i="13"/>
  <c r="M278" i="13"/>
  <c r="M279" i="13"/>
  <c r="M280" i="13"/>
  <c r="M281" i="13"/>
  <c r="M282" i="13"/>
  <c r="M283" i="13"/>
  <c r="M284" i="13"/>
  <c r="M285" i="13"/>
  <c r="M286" i="13"/>
  <c r="M287" i="13"/>
  <c r="M288" i="13"/>
  <c r="M289" i="13"/>
  <c r="M290" i="13"/>
  <c r="M291" i="13"/>
  <c r="M292" i="13"/>
  <c r="M293" i="13"/>
  <c r="M294" i="13"/>
  <c r="M295" i="13"/>
  <c r="M296" i="13"/>
  <c r="M297" i="13"/>
  <c r="M298" i="13"/>
  <c r="M299" i="13"/>
  <c r="M300" i="13"/>
  <c r="M301" i="13"/>
  <c r="M302" i="13"/>
  <c r="M303" i="13"/>
  <c r="M304" i="13"/>
  <c r="M305" i="13"/>
  <c r="M306" i="13"/>
  <c r="M307" i="13"/>
  <c r="M308" i="13"/>
  <c r="M309" i="13"/>
  <c r="M310" i="13"/>
  <c r="M311" i="13"/>
  <c r="M312" i="13"/>
  <c r="M313" i="13"/>
  <c r="M314" i="13"/>
  <c r="M315" i="13"/>
  <c r="M316" i="13"/>
  <c r="M317" i="13"/>
  <c r="M318" i="13"/>
  <c r="M319" i="13"/>
  <c r="M320" i="13"/>
  <c r="M321" i="13"/>
  <c r="M322" i="13"/>
  <c r="M323" i="13"/>
  <c r="M324" i="13"/>
  <c r="M325" i="13"/>
  <c r="M326" i="13"/>
  <c r="M327" i="13"/>
  <c r="M328" i="13"/>
  <c r="M329" i="13"/>
  <c r="M330" i="13"/>
  <c r="M331" i="13"/>
  <c r="M332" i="13"/>
  <c r="M333" i="13"/>
  <c r="M334" i="13"/>
  <c r="M335" i="13"/>
  <c r="M336" i="13"/>
  <c r="M337" i="13"/>
  <c r="M338" i="13"/>
  <c r="M339" i="13"/>
  <c r="M340" i="13"/>
  <c r="M341" i="13"/>
  <c r="M342" i="13"/>
  <c r="M343" i="13"/>
  <c r="M344" i="13"/>
  <c r="M345" i="13"/>
  <c r="M346" i="13"/>
  <c r="M347" i="13"/>
  <c r="M348" i="13"/>
  <c r="M349" i="13"/>
  <c r="M350" i="13"/>
  <c r="M351" i="13"/>
  <c r="M352" i="13"/>
  <c r="M353" i="13"/>
  <c r="M354" i="13"/>
  <c r="M355" i="13"/>
  <c r="M356" i="13"/>
  <c r="M357" i="13"/>
  <c r="M358" i="13"/>
  <c r="M359" i="13"/>
  <c r="M360" i="13"/>
  <c r="M361" i="13"/>
  <c r="M362" i="13"/>
  <c r="M363" i="13"/>
  <c r="M364" i="13"/>
  <c r="M365" i="13"/>
  <c r="M366" i="13"/>
  <c r="M367" i="13"/>
  <c r="M368" i="13"/>
  <c r="M369" i="13"/>
  <c r="M370" i="13"/>
  <c r="M371" i="13"/>
  <c r="M372" i="13"/>
  <c r="M373" i="13"/>
  <c r="M374" i="13"/>
  <c r="M375" i="13"/>
  <c r="M376" i="13"/>
  <c r="M377" i="13"/>
  <c r="M378" i="13"/>
  <c r="M379" i="13"/>
  <c r="M380" i="13"/>
  <c r="M381" i="13"/>
  <c r="M382" i="13"/>
  <c r="M383" i="13"/>
  <c r="M384" i="13"/>
  <c r="M385" i="13"/>
  <c r="M386" i="13"/>
  <c r="M387" i="13"/>
  <c r="M388" i="13"/>
  <c r="M389" i="13"/>
  <c r="M390" i="13"/>
  <c r="M391" i="13"/>
  <c r="M392" i="13"/>
  <c r="M393" i="13"/>
  <c r="M394" i="13"/>
  <c r="M395" i="13"/>
  <c r="M396" i="13"/>
  <c r="M397" i="13"/>
  <c r="M398" i="13"/>
  <c r="M399" i="13"/>
  <c r="M400" i="13"/>
  <c r="M401" i="13"/>
  <c r="M402" i="13"/>
  <c r="M403" i="13"/>
  <c r="M404" i="13"/>
  <c r="M405" i="13"/>
  <c r="M406" i="13"/>
  <c r="M407" i="13"/>
  <c r="M408" i="13"/>
  <c r="M409" i="13"/>
  <c r="M410" i="13"/>
  <c r="M411" i="13"/>
  <c r="M412" i="13"/>
  <c r="M413" i="13"/>
  <c r="M414" i="13"/>
  <c r="M415" i="13"/>
  <c r="M416" i="13"/>
  <c r="M417" i="13"/>
  <c r="M418" i="13"/>
  <c r="M419" i="13"/>
  <c r="M420" i="13"/>
  <c r="M421" i="13"/>
  <c r="M422" i="13"/>
  <c r="M423" i="13"/>
  <c r="M424" i="13"/>
  <c r="M425" i="13"/>
  <c r="M426" i="13"/>
  <c r="M427" i="13"/>
  <c r="M428" i="13"/>
  <c r="M429" i="13"/>
  <c r="M430" i="13"/>
  <c r="M431" i="13"/>
  <c r="M432" i="13"/>
  <c r="M433" i="13"/>
  <c r="M434" i="13"/>
  <c r="M435" i="13"/>
  <c r="M436" i="13"/>
  <c r="M437" i="13"/>
  <c r="M438" i="13"/>
  <c r="M439" i="13"/>
  <c r="M440" i="13"/>
  <c r="M441" i="13"/>
  <c r="M442" i="13"/>
  <c r="M443" i="13"/>
  <c r="M444" i="13"/>
  <c r="M445" i="13"/>
  <c r="M446" i="13"/>
  <c r="M447" i="13"/>
  <c r="M448" i="13"/>
  <c r="M449" i="13"/>
  <c r="M450" i="13"/>
  <c r="M451" i="13"/>
  <c r="M452" i="13"/>
  <c r="M453" i="13"/>
  <c r="M454" i="13"/>
  <c r="M455" i="13"/>
  <c r="M456" i="13"/>
  <c r="M457" i="13"/>
  <c r="M458" i="13"/>
  <c r="M459" i="13"/>
  <c r="M460" i="13"/>
  <c r="M461" i="13"/>
  <c r="M462" i="13"/>
  <c r="M463" i="13"/>
  <c r="M464" i="13"/>
  <c r="M465" i="13"/>
  <c r="M466" i="13"/>
  <c r="M467" i="13"/>
  <c r="M468" i="13"/>
  <c r="M469" i="13"/>
  <c r="M470" i="13"/>
  <c r="M471" i="13"/>
  <c r="M472" i="13"/>
  <c r="M473" i="13"/>
  <c r="M474" i="13"/>
  <c r="M475" i="13"/>
  <c r="M476" i="13"/>
  <c r="M477" i="13"/>
  <c r="M478" i="13"/>
  <c r="M479" i="13"/>
  <c r="M480" i="13"/>
  <c r="M481" i="13"/>
  <c r="M482" i="13"/>
  <c r="M483" i="13"/>
  <c r="M484" i="13"/>
  <c r="M485" i="13"/>
  <c r="M486" i="13"/>
  <c r="M487" i="13"/>
  <c r="M488" i="13"/>
  <c r="M489" i="13"/>
  <c r="M490" i="13"/>
  <c r="M491" i="13"/>
  <c r="M492" i="13"/>
  <c r="M493" i="13"/>
  <c r="M494" i="13"/>
  <c r="M495" i="13"/>
  <c r="M496" i="13"/>
  <c r="M497" i="13"/>
  <c r="M498" i="13"/>
  <c r="M499" i="13"/>
  <c r="M500" i="13"/>
  <c r="M501" i="13"/>
  <c r="M502" i="13"/>
  <c r="M503" i="13"/>
  <c r="M504" i="13"/>
  <c r="M505" i="13"/>
  <c r="M506" i="13"/>
  <c r="M507" i="13"/>
  <c r="M508" i="13"/>
  <c r="M509" i="13"/>
  <c r="M510" i="13"/>
  <c r="M511" i="13"/>
  <c r="M512" i="13"/>
  <c r="M513" i="13"/>
  <c r="M514" i="13"/>
  <c r="M515" i="13"/>
  <c r="M516" i="13"/>
  <c r="M517" i="13"/>
  <c r="M518" i="13"/>
  <c r="M519" i="13"/>
  <c r="M520" i="13"/>
  <c r="M521" i="13"/>
  <c r="M522" i="13"/>
  <c r="M523" i="13"/>
  <c r="M524" i="13"/>
  <c r="M525" i="13"/>
  <c r="M526" i="13"/>
  <c r="M527" i="13"/>
  <c r="M528" i="13"/>
  <c r="M529" i="13"/>
  <c r="M530" i="13"/>
  <c r="M531" i="13"/>
  <c r="M532" i="13"/>
  <c r="M533" i="13"/>
  <c r="M534" i="13"/>
  <c r="M535" i="13"/>
  <c r="M536" i="13"/>
  <c r="M537" i="13"/>
  <c r="M538" i="13"/>
  <c r="M539" i="13"/>
  <c r="M540" i="13"/>
  <c r="M541" i="13"/>
  <c r="M542" i="13"/>
  <c r="M543" i="13"/>
  <c r="M544" i="13"/>
  <c r="M545" i="13"/>
  <c r="M546" i="13"/>
  <c r="M547" i="13"/>
  <c r="M548" i="13"/>
  <c r="M549" i="13"/>
  <c r="M550" i="13"/>
  <c r="M551" i="13"/>
  <c r="M552" i="13"/>
  <c r="M553" i="13"/>
  <c r="M554" i="13"/>
  <c r="M555" i="13"/>
  <c r="M556" i="13"/>
  <c r="M557" i="13"/>
  <c r="M558" i="13"/>
  <c r="M559" i="13"/>
  <c r="M560" i="13"/>
  <c r="M561" i="13"/>
  <c r="M562" i="13"/>
  <c r="M563" i="13"/>
  <c r="M564" i="13"/>
  <c r="M565" i="13"/>
  <c r="M566" i="13"/>
  <c r="M567" i="13"/>
  <c r="M568" i="13"/>
  <c r="M569" i="13"/>
  <c r="M570" i="13"/>
  <c r="M571" i="13"/>
  <c r="M572" i="13"/>
  <c r="M573" i="13"/>
  <c r="M574" i="13"/>
  <c r="M575" i="13"/>
  <c r="M576" i="13"/>
  <c r="M577" i="13"/>
  <c r="M578" i="13"/>
  <c r="M579" i="13"/>
  <c r="M580" i="13"/>
  <c r="M581" i="13"/>
  <c r="M582" i="13"/>
  <c r="M583" i="13"/>
  <c r="M584" i="13"/>
  <c r="M585" i="13"/>
  <c r="M586" i="13"/>
  <c r="M587" i="13"/>
  <c r="M588" i="13"/>
  <c r="M589" i="13"/>
  <c r="M590" i="13"/>
  <c r="M591" i="13"/>
  <c r="M592" i="13"/>
  <c r="M593" i="13"/>
  <c r="M594" i="13"/>
  <c r="M595" i="13"/>
  <c r="M596" i="13"/>
  <c r="M597" i="13"/>
  <c r="M598" i="13"/>
  <c r="M599" i="13"/>
  <c r="M600" i="13"/>
  <c r="M601" i="13"/>
  <c r="M602" i="13"/>
  <c r="M603" i="13"/>
  <c r="M604" i="13"/>
  <c r="M605" i="13"/>
  <c r="M606" i="13"/>
  <c r="M607" i="13"/>
  <c r="M608" i="13"/>
  <c r="M609" i="13"/>
  <c r="M610" i="13"/>
  <c r="M611" i="13"/>
  <c r="M612" i="13"/>
  <c r="M613" i="13"/>
  <c r="M614" i="13"/>
  <c r="M615" i="13"/>
  <c r="M616" i="13"/>
  <c r="M617" i="13"/>
  <c r="M618" i="13"/>
  <c r="M619" i="13"/>
  <c r="M620" i="13"/>
  <c r="M621" i="13"/>
  <c r="M622" i="13"/>
  <c r="M623" i="13"/>
  <c r="M624" i="13"/>
  <c r="M625" i="13"/>
  <c r="M626" i="13"/>
  <c r="M627" i="13"/>
  <c r="M628" i="13"/>
  <c r="M629" i="13"/>
  <c r="M630" i="13"/>
  <c r="M631" i="13"/>
  <c r="M632" i="13"/>
  <c r="M633" i="13"/>
  <c r="M634" i="13"/>
  <c r="M635" i="13"/>
  <c r="M636" i="13"/>
  <c r="M637" i="13"/>
  <c r="M638" i="13"/>
  <c r="M639" i="13"/>
  <c r="M640" i="13"/>
  <c r="M641" i="13"/>
  <c r="M642" i="13"/>
  <c r="M643" i="13"/>
  <c r="M644" i="13"/>
  <c r="M645" i="13"/>
  <c r="M646" i="13"/>
  <c r="M647" i="13"/>
  <c r="M648" i="13"/>
  <c r="M649" i="13"/>
  <c r="M650" i="13"/>
  <c r="M651" i="13"/>
  <c r="M652" i="13"/>
  <c r="M653" i="13"/>
  <c r="M654" i="13"/>
  <c r="M655" i="13"/>
  <c r="M656" i="13"/>
  <c r="M657" i="13"/>
  <c r="M658" i="13"/>
  <c r="M659" i="13"/>
  <c r="M660" i="13"/>
  <c r="M661" i="13"/>
  <c r="M662" i="13"/>
  <c r="M663" i="13"/>
  <c r="M664" i="13"/>
  <c r="M665" i="13"/>
  <c r="M666" i="13"/>
  <c r="M667" i="13"/>
  <c r="M668" i="13"/>
  <c r="M669" i="13"/>
  <c r="M670" i="13"/>
  <c r="M671" i="13"/>
  <c r="M672" i="13"/>
  <c r="M673" i="13"/>
  <c r="M674" i="13"/>
  <c r="M675" i="13"/>
  <c r="M676" i="13"/>
  <c r="M677" i="13"/>
  <c r="M678" i="13"/>
  <c r="M679" i="13"/>
  <c r="M680" i="13"/>
  <c r="M681" i="13"/>
  <c r="M682" i="13"/>
  <c r="M683" i="13"/>
  <c r="M684" i="13"/>
  <c r="M685" i="13"/>
  <c r="M686" i="13"/>
  <c r="M687" i="13"/>
  <c r="M688" i="13"/>
  <c r="M689" i="13"/>
  <c r="M690" i="13"/>
  <c r="M691" i="13"/>
  <c r="M692" i="13"/>
  <c r="M693" i="13"/>
  <c r="M694" i="13"/>
  <c r="M695" i="13"/>
  <c r="M696" i="13"/>
  <c r="M697" i="13"/>
  <c r="M698" i="13"/>
  <c r="M699" i="13"/>
  <c r="M700" i="13"/>
  <c r="M701" i="13"/>
  <c r="M702" i="13"/>
  <c r="M703" i="13"/>
  <c r="M704" i="13"/>
  <c r="M705" i="13"/>
  <c r="M706" i="13"/>
  <c r="M707" i="13"/>
  <c r="M708" i="13"/>
  <c r="M709" i="13"/>
  <c r="M710" i="13"/>
  <c r="M711" i="13"/>
  <c r="M712" i="13"/>
  <c r="M713" i="13"/>
  <c r="M714" i="13"/>
  <c r="M715" i="13"/>
  <c r="M716" i="13"/>
  <c r="M717" i="13"/>
  <c r="M718" i="13"/>
  <c r="M719" i="13"/>
  <c r="M720" i="13"/>
  <c r="M721" i="13"/>
  <c r="M722" i="13"/>
  <c r="M723" i="13"/>
  <c r="M724" i="13"/>
  <c r="M725" i="13"/>
  <c r="M726" i="13"/>
  <c r="M727" i="13"/>
  <c r="M728" i="13"/>
  <c r="M729" i="13"/>
  <c r="M730" i="13"/>
  <c r="M731" i="13"/>
  <c r="M732" i="13"/>
  <c r="M733" i="13"/>
  <c r="M734" i="13"/>
  <c r="M735" i="13"/>
  <c r="M736" i="13"/>
  <c r="M737" i="13"/>
  <c r="M738" i="13"/>
  <c r="M739" i="13"/>
  <c r="M740" i="13"/>
  <c r="M741" i="13"/>
  <c r="M742" i="13"/>
  <c r="M743" i="13"/>
  <c r="M744" i="13"/>
  <c r="M745" i="13"/>
  <c r="M746" i="13"/>
  <c r="M747" i="13"/>
  <c r="M748" i="13"/>
  <c r="M749" i="13"/>
  <c r="M750" i="13"/>
  <c r="M751" i="13"/>
  <c r="M752" i="13"/>
  <c r="M753" i="13"/>
  <c r="M754" i="13"/>
  <c r="M755" i="13"/>
  <c r="M756" i="13"/>
  <c r="M757" i="13"/>
  <c r="M758" i="13"/>
  <c r="M759" i="13"/>
  <c r="M760" i="13"/>
  <c r="M761" i="13"/>
  <c r="M762" i="13"/>
  <c r="M763" i="13"/>
  <c r="M764" i="13"/>
  <c r="M765" i="13"/>
  <c r="M766" i="13"/>
  <c r="M767" i="13"/>
  <c r="M768" i="13"/>
  <c r="M769" i="13"/>
  <c r="M770" i="13"/>
  <c r="M771" i="13"/>
  <c r="M772" i="13"/>
  <c r="M773" i="13"/>
  <c r="M774" i="13"/>
  <c r="M775" i="13"/>
  <c r="M776" i="13"/>
  <c r="M777" i="13"/>
  <c r="M778" i="13"/>
  <c r="M779" i="13"/>
  <c r="M780" i="13"/>
  <c r="M781" i="13"/>
  <c r="M782" i="13"/>
  <c r="M783" i="13"/>
  <c r="M784" i="13"/>
  <c r="M785" i="13"/>
  <c r="M786" i="13"/>
  <c r="M787" i="13"/>
  <c r="M788" i="13"/>
  <c r="M789" i="13"/>
  <c r="M790" i="13"/>
  <c r="M791" i="13"/>
  <c r="M792" i="13"/>
  <c r="M793" i="13"/>
  <c r="M794" i="13"/>
  <c r="M795" i="13"/>
  <c r="M796" i="13"/>
  <c r="M797" i="13"/>
  <c r="M798" i="13"/>
  <c r="M799" i="13"/>
  <c r="M800" i="13"/>
  <c r="M801" i="13"/>
  <c r="M802" i="13"/>
  <c r="M803" i="13"/>
  <c r="M804" i="13"/>
  <c r="M805" i="13"/>
  <c r="M806" i="13"/>
  <c r="M807" i="13"/>
  <c r="M808" i="13"/>
  <c r="M809" i="13"/>
  <c r="M810" i="13"/>
  <c r="M811" i="13"/>
  <c r="M812" i="13"/>
  <c r="M813" i="13"/>
  <c r="M814" i="13"/>
  <c r="M815" i="13"/>
  <c r="M816" i="13"/>
  <c r="M817" i="13"/>
  <c r="M818" i="13"/>
  <c r="M819" i="13"/>
  <c r="M820" i="13"/>
  <c r="M821" i="13"/>
  <c r="M822" i="13"/>
  <c r="M823" i="13"/>
  <c r="M824" i="13"/>
  <c r="M825" i="13"/>
  <c r="M826" i="13"/>
  <c r="M827" i="13"/>
  <c r="M828" i="13"/>
  <c r="M829" i="13"/>
  <c r="M830" i="13"/>
  <c r="M831" i="13"/>
  <c r="M832" i="13"/>
  <c r="M833" i="13"/>
  <c r="M834" i="13"/>
  <c r="M835" i="13"/>
  <c r="M836" i="13"/>
  <c r="M837" i="13"/>
  <c r="M838" i="13"/>
  <c r="M839" i="13"/>
  <c r="M840" i="13"/>
  <c r="M841" i="13"/>
  <c r="M842" i="13"/>
  <c r="M843" i="13"/>
  <c r="M844" i="13"/>
  <c r="M845" i="13"/>
  <c r="M846" i="13"/>
  <c r="M847" i="13"/>
  <c r="M848" i="13"/>
  <c r="M849" i="13"/>
  <c r="M850" i="13"/>
  <c r="M851" i="13"/>
  <c r="M852" i="13"/>
  <c r="M853" i="13"/>
  <c r="M854" i="13"/>
  <c r="M855" i="13"/>
  <c r="M856" i="13"/>
  <c r="M857" i="13"/>
  <c r="M858" i="13"/>
  <c r="M859" i="13"/>
  <c r="M860" i="13"/>
  <c r="M861" i="13"/>
  <c r="M862" i="13"/>
  <c r="M863" i="13"/>
  <c r="M864" i="13"/>
  <c r="M865" i="13"/>
  <c r="M866" i="13"/>
  <c r="M867" i="13"/>
  <c r="M868" i="13"/>
  <c r="M869" i="13"/>
  <c r="M870" i="13"/>
  <c r="M871" i="13"/>
  <c r="M872" i="13"/>
  <c r="M873" i="13"/>
  <c r="M874" i="13"/>
  <c r="M875" i="13"/>
  <c r="M876" i="13"/>
  <c r="M877" i="13"/>
  <c r="M878" i="13"/>
  <c r="M879" i="13"/>
  <c r="M880" i="13"/>
  <c r="M881" i="13"/>
  <c r="M882" i="13"/>
  <c r="M883" i="13"/>
  <c r="M884" i="13"/>
  <c r="M885" i="13"/>
  <c r="M886" i="13"/>
  <c r="M887" i="13"/>
  <c r="M888" i="13"/>
  <c r="M889" i="13"/>
  <c r="M890" i="13"/>
  <c r="M891" i="13"/>
  <c r="M892" i="13"/>
  <c r="M893" i="13"/>
  <c r="M894" i="13"/>
  <c r="M895" i="13"/>
  <c r="M896" i="13"/>
  <c r="M897" i="13"/>
  <c r="M898" i="13"/>
  <c r="M899" i="13"/>
  <c r="M900" i="13"/>
  <c r="M901" i="13"/>
  <c r="M902" i="13"/>
  <c r="M903" i="13"/>
  <c r="M904" i="13"/>
  <c r="M905" i="13"/>
  <c r="M906" i="13"/>
  <c r="M907" i="13"/>
  <c r="M908" i="13"/>
  <c r="M909" i="13"/>
  <c r="M910" i="13"/>
  <c r="M911" i="13"/>
  <c r="M912" i="13"/>
  <c r="M913" i="13"/>
  <c r="M914" i="13"/>
  <c r="M915" i="13"/>
  <c r="M916" i="13"/>
  <c r="M917" i="13"/>
  <c r="M918" i="13"/>
  <c r="M919" i="13"/>
  <c r="M920" i="13"/>
  <c r="M921" i="13"/>
  <c r="M922" i="13"/>
  <c r="M923" i="13"/>
  <c r="M924" i="13"/>
  <c r="M925" i="13"/>
  <c r="M926" i="13"/>
  <c r="M927" i="13"/>
  <c r="M928" i="13"/>
  <c r="M929" i="13"/>
  <c r="M930" i="13"/>
  <c r="M931" i="13"/>
  <c r="M932" i="13"/>
  <c r="M933" i="13"/>
  <c r="M934" i="13"/>
  <c r="M935" i="13"/>
  <c r="M936" i="13"/>
  <c r="M937" i="13"/>
  <c r="M938" i="13"/>
  <c r="M939" i="13"/>
  <c r="M940" i="13"/>
  <c r="M941" i="13"/>
  <c r="M942" i="13"/>
  <c r="M943" i="13"/>
  <c r="M944" i="13"/>
  <c r="M945" i="13"/>
  <c r="M946" i="13"/>
  <c r="M947" i="13"/>
  <c r="M948" i="13"/>
  <c r="M949" i="13"/>
  <c r="M950" i="13"/>
  <c r="M951" i="13"/>
  <c r="M952" i="13"/>
  <c r="M953" i="13"/>
  <c r="M954" i="13"/>
  <c r="M955" i="13"/>
  <c r="M956" i="13"/>
  <c r="M957" i="13"/>
  <c r="M958" i="13"/>
  <c r="M959" i="13"/>
  <c r="M960" i="13"/>
  <c r="M961" i="13"/>
  <c r="M962" i="13"/>
  <c r="M963" i="13"/>
  <c r="M964" i="13"/>
  <c r="M965" i="13"/>
  <c r="M966" i="13"/>
  <c r="M967" i="13"/>
  <c r="M968" i="13"/>
  <c r="M969" i="13"/>
  <c r="M970" i="13"/>
  <c r="M971" i="13"/>
  <c r="M972" i="13"/>
  <c r="M973" i="13"/>
  <c r="M974" i="13"/>
  <c r="M975" i="13"/>
  <c r="M976" i="13"/>
  <c r="M977" i="13"/>
  <c r="M978" i="13"/>
  <c r="M979" i="13"/>
  <c r="M980" i="13"/>
  <c r="M981" i="13"/>
  <c r="M982" i="13"/>
  <c r="M983" i="13"/>
  <c r="M984" i="13"/>
  <c r="M985" i="13"/>
  <c r="M986" i="13"/>
  <c r="M987" i="13"/>
  <c r="M988" i="13"/>
  <c r="M989" i="13"/>
  <c r="M990" i="13"/>
  <c r="M991" i="13"/>
  <c r="M992" i="13"/>
  <c r="M993" i="13"/>
  <c r="M994" i="13"/>
  <c r="M995" i="13"/>
  <c r="M996" i="13"/>
  <c r="M997" i="13"/>
  <c r="M998" i="13"/>
  <c r="M999" i="13"/>
  <c r="M1000" i="13"/>
  <c r="M1001" i="13"/>
  <c r="M1002" i="13"/>
  <c r="M1003" i="13"/>
  <c r="M1004" i="13"/>
  <c r="M1005" i="13"/>
  <c r="M1006" i="13"/>
  <c r="M1007" i="13"/>
  <c r="M1008" i="13"/>
  <c r="M1009" i="13"/>
  <c r="M1010" i="13"/>
  <c r="M1011" i="13"/>
  <c r="M1012" i="13"/>
  <c r="M1013" i="13"/>
  <c r="M1014" i="13"/>
  <c r="M1015" i="13"/>
  <c r="M1016" i="13"/>
  <c r="M1017" i="13"/>
  <c r="M1018" i="13"/>
  <c r="M1019" i="13"/>
  <c r="M1020" i="13"/>
  <c r="M1021" i="13"/>
  <c r="M1022" i="13"/>
  <c r="M1023" i="13"/>
  <c r="M1024" i="13"/>
  <c r="M1025" i="13"/>
  <c r="M1026" i="13"/>
  <c r="M1027" i="13"/>
  <c r="M1028" i="13"/>
  <c r="M1029" i="13"/>
  <c r="M1030" i="13"/>
  <c r="M1031" i="13"/>
  <c r="M1032" i="13"/>
  <c r="M1033" i="13"/>
  <c r="M1034" i="13"/>
  <c r="M1035" i="13"/>
  <c r="M1036" i="13"/>
  <c r="M1037" i="13"/>
  <c r="M1038" i="13"/>
  <c r="M1039" i="13"/>
  <c r="M1040" i="13"/>
  <c r="M1041" i="13"/>
  <c r="M1042" i="13"/>
  <c r="M1043" i="13"/>
  <c r="M1044" i="13"/>
  <c r="M1045" i="13"/>
  <c r="M1046" i="13"/>
  <c r="M1047" i="13"/>
  <c r="M1048" i="13"/>
  <c r="M1049" i="13"/>
  <c r="M1050" i="13"/>
  <c r="M1051" i="13"/>
  <c r="M1052" i="13"/>
  <c r="M1053" i="13"/>
  <c r="M1054" i="13"/>
  <c r="M1055" i="13"/>
  <c r="M1056" i="13"/>
  <c r="M1057" i="13"/>
  <c r="M1058" i="13"/>
  <c r="M1059" i="13"/>
  <c r="M1060" i="13"/>
  <c r="M1061" i="13"/>
  <c r="M1062" i="13"/>
  <c r="M1063" i="13"/>
  <c r="M1064" i="13"/>
  <c r="M1065" i="13"/>
  <c r="M1066" i="13"/>
  <c r="M1067" i="13"/>
  <c r="M1068" i="13"/>
  <c r="M1069" i="13"/>
  <c r="M1070" i="13"/>
  <c r="M1071" i="13"/>
  <c r="M1072" i="13"/>
  <c r="M1073" i="13"/>
  <c r="M1074" i="13"/>
  <c r="M1075" i="13"/>
  <c r="M1076" i="13"/>
  <c r="M1077" i="13"/>
  <c r="M1078" i="13"/>
  <c r="M1079" i="13"/>
  <c r="M1080" i="13"/>
  <c r="M1081" i="13"/>
  <c r="M1082" i="13"/>
  <c r="M1083" i="13"/>
  <c r="M1084" i="13"/>
  <c r="M1085" i="13"/>
  <c r="M1086" i="13"/>
  <c r="M1087" i="13"/>
  <c r="M1088" i="13"/>
  <c r="M1089" i="13"/>
  <c r="M1090" i="13"/>
  <c r="M1091" i="13"/>
  <c r="M1092" i="13"/>
  <c r="M1093" i="13"/>
  <c r="M1094" i="13"/>
  <c r="M1095" i="13"/>
  <c r="M1096" i="13"/>
  <c r="M1097" i="13"/>
  <c r="M1098" i="13"/>
  <c r="M1099" i="13"/>
  <c r="M1100" i="13"/>
  <c r="M1101" i="13"/>
  <c r="M1102" i="13"/>
  <c r="M1103" i="13"/>
  <c r="M1104" i="13"/>
  <c r="M1105" i="13"/>
  <c r="M1106" i="13"/>
  <c r="M1107" i="13"/>
  <c r="M1108" i="13"/>
  <c r="M1109" i="13"/>
  <c r="M1110" i="13"/>
  <c r="M1111" i="13"/>
  <c r="M1112" i="13"/>
  <c r="M1113" i="13"/>
  <c r="M1114" i="13"/>
  <c r="M1115" i="13"/>
  <c r="M1116" i="13"/>
  <c r="M1117" i="13"/>
  <c r="M1118" i="13"/>
  <c r="M1119" i="13"/>
  <c r="M1120" i="13"/>
  <c r="M1121" i="13"/>
  <c r="M1122" i="13"/>
  <c r="M1123" i="13"/>
  <c r="M1124" i="13"/>
  <c r="M1125" i="13"/>
  <c r="M1126" i="13"/>
  <c r="M1127" i="13"/>
  <c r="M1128" i="13"/>
  <c r="M1129" i="13"/>
  <c r="M1130" i="13"/>
  <c r="M1131" i="13"/>
  <c r="M1132" i="13"/>
  <c r="M1133" i="13"/>
  <c r="M1134" i="13"/>
  <c r="M1135" i="13"/>
  <c r="M1136" i="13"/>
  <c r="M1137" i="13"/>
  <c r="M1138" i="13"/>
  <c r="M1139" i="13"/>
  <c r="M1140" i="13"/>
  <c r="M1141" i="13"/>
  <c r="M1142" i="13"/>
  <c r="M1143" i="13"/>
  <c r="M1144" i="13"/>
  <c r="M1145" i="13"/>
  <c r="M1146" i="13"/>
  <c r="M1147" i="13"/>
  <c r="M1148" i="13"/>
  <c r="M1149" i="13"/>
  <c r="M1150" i="13"/>
  <c r="M1151" i="13"/>
  <c r="M1152" i="13"/>
  <c r="M1153" i="13"/>
  <c r="M1154" i="13"/>
  <c r="M1155" i="13"/>
  <c r="M1156" i="13"/>
  <c r="M1157" i="13"/>
  <c r="M1158" i="13"/>
  <c r="M1159" i="13"/>
  <c r="M1160" i="13"/>
  <c r="M1161" i="13"/>
  <c r="M1162" i="13"/>
  <c r="M1163" i="13"/>
  <c r="M1164" i="13"/>
  <c r="M1165" i="13"/>
  <c r="M1166" i="13"/>
  <c r="M1167" i="13"/>
  <c r="M1168" i="13"/>
  <c r="M1169" i="13"/>
  <c r="M1170" i="13"/>
  <c r="M1171" i="13"/>
  <c r="M1172" i="13"/>
  <c r="M1173" i="13"/>
  <c r="M1174" i="13"/>
  <c r="M1175" i="13"/>
  <c r="M1176" i="13"/>
  <c r="M1177" i="13"/>
  <c r="M1178" i="13"/>
  <c r="M1179" i="13"/>
  <c r="M1180" i="13"/>
  <c r="M1181" i="13"/>
  <c r="M1182" i="13"/>
  <c r="M1183" i="13"/>
  <c r="M1184" i="13"/>
  <c r="M1185" i="13"/>
  <c r="M1186" i="13"/>
  <c r="M1187" i="13"/>
  <c r="M1188" i="13"/>
  <c r="M1189" i="13"/>
  <c r="M1190" i="13"/>
  <c r="M1191" i="13"/>
  <c r="M1192" i="13"/>
  <c r="M1193" i="13"/>
  <c r="M1194" i="13"/>
  <c r="M1195" i="13"/>
  <c r="M1196" i="13"/>
  <c r="M1197" i="13"/>
  <c r="M1198" i="13"/>
  <c r="M1199" i="13"/>
  <c r="M1200" i="13"/>
  <c r="M1201" i="13"/>
  <c r="M1202" i="13"/>
  <c r="M1203" i="13"/>
  <c r="M1204" i="13"/>
  <c r="M1205" i="13"/>
  <c r="M1206" i="13"/>
  <c r="M1207" i="13"/>
  <c r="M1208" i="13"/>
  <c r="M1209" i="13"/>
  <c r="M1210" i="13"/>
  <c r="M1211" i="13"/>
  <c r="M1212" i="13"/>
  <c r="M1213" i="13"/>
  <c r="M1214" i="13"/>
  <c r="M1215" i="13"/>
  <c r="M1216" i="13"/>
  <c r="M1217" i="13"/>
  <c r="M1218" i="13"/>
  <c r="M1219" i="13"/>
  <c r="M1220" i="13"/>
  <c r="M1221" i="13"/>
  <c r="M1222" i="13"/>
  <c r="M1223" i="13"/>
  <c r="M1224" i="13"/>
  <c r="M1225" i="13"/>
  <c r="M1226" i="13"/>
  <c r="M1227" i="13"/>
  <c r="M1228" i="13"/>
  <c r="M1229" i="13"/>
  <c r="M1230" i="13"/>
  <c r="M1231" i="13"/>
  <c r="M1232" i="13"/>
  <c r="M1233" i="13"/>
  <c r="M1234" i="13"/>
  <c r="M1235" i="13"/>
  <c r="M1236" i="13"/>
  <c r="M1237" i="13"/>
  <c r="M1238" i="13"/>
  <c r="M1239" i="13"/>
  <c r="M1240" i="13"/>
  <c r="M1241" i="13"/>
  <c r="M1242" i="13"/>
  <c r="M1243" i="13"/>
  <c r="M1244" i="13"/>
  <c r="M1245" i="13"/>
  <c r="M1246" i="13"/>
  <c r="M1247" i="13"/>
  <c r="M1248" i="13"/>
  <c r="M1249" i="13"/>
  <c r="M1250" i="13"/>
  <c r="M1251" i="13"/>
  <c r="M1252" i="13"/>
  <c r="M1253" i="13"/>
  <c r="M1254" i="13"/>
  <c r="M1255" i="13"/>
  <c r="M1256" i="13"/>
  <c r="M1257" i="13"/>
  <c r="M1258" i="13"/>
  <c r="M1259" i="13"/>
  <c r="M1260" i="13"/>
  <c r="M1261" i="13"/>
  <c r="M1262" i="13"/>
  <c r="M1263" i="13"/>
  <c r="M1264" i="13"/>
  <c r="M1265" i="13"/>
  <c r="M1266" i="13"/>
  <c r="M1267" i="13"/>
  <c r="M1268" i="13"/>
  <c r="M1269" i="13"/>
  <c r="M1270" i="13"/>
  <c r="M1271" i="13"/>
  <c r="M1272" i="13"/>
  <c r="M1273" i="13"/>
  <c r="M1274" i="13"/>
  <c r="M1275" i="13"/>
  <c r="M1276" i="13"/>
  <c r="M1277" i="13"/>
  <c r="M1278" i="13"/>
  <c r="M1279" i="13"/>
  <c r="M1280" i="13"/>
  <c r="M1281" i="13"/>
  <c r="M1282" i="13"/>
  <c r="M1283" i="13"/>
  <c r="M1284" i="13"/>
  <c r="M1285" i="13"/>
  <c r="M1286" i="13"/>
  <c r="M1287" i="13"/>
  <c r="M1288" i="13"/>
  <c r="M1289" i="13"/>
  <c r="M1290" i="13"/>
  <c r="M1291" i="13"/>
  <c r="M1292" i="13"/>
  <c r="M1293" i="13"/>
  <c r="M1294" i="13"/>
  <c r="M1295" i="13"/>
  <c r="M1296" i="13"/>
  <c r="M1297" i="13"/>
  <c r="M1298" i="13"/>
  <c r="M1299" i="13"/>
  <c r="M1300" i="13"/>
  <c r="M1301" i="13"/>
  <c r="M1302" i="13"/>
  <c r="M1303" i="13"/>
  <c r="M1304" i="13"/>
  <c r="M1305" i="13"/>
  <c r="M1306" i="13"/>
  <c r="M1307" i="13"/>
  <c r="M1308" i="13"/>
  <c r="M1309" i="13"/>
  <c r="M1310" i="13"/>
  <c r="M1311" i="13"/>
  <c r="M1312" i="13"/>
  <c r="M1313" i="13"/>
  <c r="M1314" i="13"/>
  <c r="M1315" i="13"/>
  <c r="M1316" i="13"/>
  <c r="M1317" i="13"/>
  <c r="M1318" i="13"/>
  <c r="M1319" i="13"/>
  <c r="M1320" i="13"/>
  <c r="M1321" i="13"/>
  <c r="M1322" i="13"/>
  <c r="M1323" i="13"/>
  <c r="M1324" i="13"/>
  <c r="M1325" i="13"/>
  <c r="M1326" i="13"/>
  <c r="M1327" i="13"/>
  <c r="M1328" i="13"/>
  <c r="M1329" i="13"/>
  <c r="M1330" i="13"/>
  <c r="M1331" i="13"/>
  <c r="M1332" i="13"/>
  <c r="M1333" i="13"/>
  <c r="M1334" i="13"/>
  <c r="M1335" i="13"/>
  <c r="M1336" i="13"/>
  <c r="M1337" i="13"/>
  <c r="M1338" i="13"/>
  <c r="M1339" i="13"/>
  <c r="M1340" i="13"/>
  <c r="M1341" i="13"/>
  <c r="M1342" i="13"/>
  <c r="M1343" i="13"/>
  <c r="M1344" i="13"/>
  <c r="M1345" i="13"/>
  <c r="M1346" i="13"/>
  <c r="M1347" i="13"/>
  <c r="M1348" i="13"/>
  <c r="M1349" i="13"/>
  <c r="M1350" i="13"/>
  <c r="M1351" i="13"/>
  <c r="M1352" i="13"/>
  <c r="M1353" i="13"/>
  <c r="M1354" i="13"/>
  <c r="M1355" i="13"/>
  <c r="M1356" i="13"/>
  <c r="M1357" i="13"/>
  <c r="M1358" i="13"/>
  <c r="M1359" i="13"/>
  <c r="M1360" i="13"/>
  <c r="M1361" i="13"/>
  <c r="M1362" i="13"/>
  <c r="M1363" i="13"/>
  <c r="M1364" i="13"/>
  <c r="M1365" i="13"/>
  <c r="M1366" i="13"/>
  <c r="M1367" i="13"/>
  <c r="M1368" i="13"/>
  <c r="M1369" i="13"/>
  <c r="M1370" i="13"/>
  <c r="M1371" i="13"/>
  <c r="M1372" i="13"/>
  <c r="M1373" i="13"/>
  <c r="M1374" i="13"/>
  <c r="M1375" i="13"/>
  <c r="M1376" i="13"/>
  <c r="M1377" i="13"/>
  <c r="M1378" i="13"/>
  <c r="M1379" i="13"/>
  <c r="M1380" i="13"/>
  <c r="M1381" i="13"/>
  <c r="M1382" i="13"/>
  <c r="M1383" i="13"/>
  <c r="M1384" i="13"/>
  <c r="M1385" i="13"/>
  <c r="M1386" i="13"/>
  <c r="M1387" i="13"/>
  <c r="M1388" i="13"/>
  <c r="M1389" i="13"/>
  <c r="M1390" i="13"/>
  <c r="M1391" i="13"/>
  <c r="M1392" i="13"/>
  <c r="M1393" i="13"/>
  <c r="M1394" i="13"/>
  <c r="M1395" i="13"/>
  <c r="M1396" i="13"/>
  <c r="M1397" i="13"/>
  <c r="M1398" i="13"/>
  <c r="M1399" i="13"/>
  <c r="M1400" i="13"/>
  <c r="M1401" i="13"/>
  <c r="M1402" i="13"/>
  <c r="M1403" i="13"/>
  <c r="M1404" i="13"/>
  <c r="M1405" i="13"/>
  <c r="M1406" i="13"/>
  <c r="M1407" i="13"/>
  <c r="M1408" i="13"/>
  <c r="M1409" i="13"/>
  <c r="M1410" i="13"/>
  <c r="M1411" i="13"/>
  <c r="M1412" i="13"/>
  <c r="M1413" i="13"/>
  <c r="M1414" i="13"/>
  <c r="M1415" i="13"/>
  <c r="M1416" i="13"/>
  <c r="M1417" i="13"/>
  <c r="M1418" i="13"/>
  <c r="M1419" i="13"/>
  <c r="M1420" i="13"/>
  <c r="M1421" i="13"/>
  <c r="M1422" i="13"/>
  <c r="M1423" i="13"/>
  <c r="M1424" i="13"/>
  <c r="M1425" i="13"/>
  <c r="M1426" i="13"/>
  <c r="M1427" i="13"/>
  <c r="M1428" i="13"/>
  <c r="M1429" i="13"/>
  <c r="M1430" i="13"/>
  <c r="M1431" i="13"/>
  <c r="M1432" i="13"/>
  <c r="M1433" i="13"/>
  <c r="M1434" i="13"/>
  <c r="M1435" i="13"/>
  <c r="M1436" i="13"/>
  <c r="M1437" i="13"/>
  <c r="M1438" i="13"/>
  <c r="M1439" i="13"/>
  <c r="M1440" i="13"/>
  <c r="M1441" i="13"/>
  <c r="M1442" i="13"/>
  <c r="M1443" i="13"/>
  <c r="M1444" i="13"/>
  <c r="M1445" i="13"/>
  <c r="M1446" i="13"/>
  <c r="M1447" i="13"/>
  <c r="M1448" i="13"/>
  <c r="M1449" i="13"/>
  <c r="M1450" i="13"/>
  <c r="M1451" i="13"/>
  <c r="M1452" i="13"/>
  <c r="M1453" i="13"/>
  <c r="M1454" i="13"/>
  <c r="M1455" i="13"/>
  <c r="M1456" i="13"/>
  <c r="M1457" i="13"/>
  <c r="M1458" i="13"/>
  <c r="M1459" i="13"/>
  <c r="M1460" i="13"/>
  <c r="M1461" i="13"/>
  <c r="M1462" i="13"/>
  <c r="M1463" i="13"/>
  <c r="M1464" i="13"/>
  <c r="M1465" i="13"/>
  <c r="M1466" i="13"/>
  <c r="M1467" i="13"/>
  <c r="M1468" i="13"/>
  <c r="M1469" i="13"/>
  <c r="M1470" i="13"/>
  <c r="M1471" i="13"/>
  <c r="M1472" i="13"/>
  <c r="M1473" i="13"/>
  <c r="M1474" i="13"/>
  <c r="M1475" i="13"/>
  <c r="M1476" i="13"/>
  <c r="M1477" i="13"/>
  <c r="M1478" i="13"/>
  <c r="M1479" i="13"/>
  <c r="M1480" i="13"/>
  <c r="M1481" i="13"/>
  <c r="M1482" i="13"/>
  <c r="M1483" i="13"/>
  <c r="M1484" i="13"/>
  <c r="M1485" i="13"/>
  <c r="M1486" i="13"/>
  <c r="M1487" i="13"/>
  <c r="M1488" i="13"/>
  <c r="M1489" i="13"/>
  <c r="M1490" i="13"/>
  <c r="M1491" i="13"/>
  <c r="M1492" i="13"/>
  <c r="M1493" i="13"/>
  <c r="M1494" i="13"/>
  <c r="M1495" i="13"/>
  <c r="M1496" i="13"/>
  <c r="M1497" i="13"/>
  <c r="M1498" i="13"/>
  <c r="M1499" i="13"/>
  <c r="M1500" i="13"/>
  <c r="M1501" i="13"/>
  <c r="M1502" i="13"/>
  <c r="M1503" i="13"/>
  <c r="M1504" i="13"/>
  <c r="M1505" i="13"/>
  <c r="M1506" i="13"/>
  <c r="M1507" i="13"/>
  <c r="M1508" i="13"/>
  <c r="M1509" i="13"/>
  <c r="M1510" i="13"/>
  <c r="M1511" i="13"/>
  <c r="M1512" i="13"/>
  <c r="M1513" i="13"/>
  <c r="M1514" i="13"/>
  <c r="M1515" i="13"/>
  <c r="M1516" i="13"/>
  <c r="M1517" i="13"/>
  <c r="M1518" i="13"/>
  <c r="M1519" i="13"/>
  <c r="M1520" i="13"/>
  <c r="M1521" i="13"/>
  <c r="M1522" i="13"/>
  <c r="M1523" i="13"/>
  <c r="M1524" i="13"/>
  <c r="M1525" i="13"/>
  <c r="M1526" i="13"/>
  <c r="M1527" i="13"/>
  <c r="M1528" i="13"/>
  <c r="M1529" i="13"/>
  <c r="M1530" i="13"/>
  <c r="M1531" i="13"/>
  <c r="M1532" i="13"/>
  <c r="M1533" i="13"/>
  <c r="M1534" i="13"/>
  <c r="M1535" i="13"/>
  <c r="M1536" i="13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E2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F17" i="13"/>
  <c r="F19" i="13"/>
  <c r="F23" i="13"/>
  <c r="F40" i="13"/>
  <c r="F47" i="13"/>
  <c r="F57" i="13"/>
  <c r="F82" i="13"/>
  <c r="F96" i="13"/>
  <c r="F113" i="13"/>
  <c r="F140" i="13"/>
  <c r="F141" i="13"/>
  <c r="F142" i="13"/>
  <c r="F143" i="13"/>
  <c r="F144" i="13"/>
  <c r="F145" i="13"/>
  <c r="F146" i="13"/>
  <c r="F147" i="13"/>
  <c r="F148" i="13"/>
  <c r="F163" i="13"/>
  <c r="F174" i="13"/>
  <c r="F185" i="13"/>
  <c r="F187" i="13"/>
  <c r="F188" i="13"/>
  <c r="F212" i="13"/>
  <c r="F213" i="13"/>
  <c r="F224" i="13"/>
  <c r="F256" i="13"/>
  <c r="F262" i="13"/>
  <c r="F270" i="13"/>
  <c r="F322" i="13"/>
  <c r="F336" i="13"/>
  <c r="F341" i="13"/>
  <c r="F353" i="13"/>
  <c r="F354" i="13"/>
  <c r="F359" i="13"/>
  <c r="F360" i="13"/>
  <c r="F364" i="13"/>
  <c r="F365" i="13"/>
  <c r="F367" i="13"/>
  <c r="F373" i="13"/>
  <c r="F375" i="13"/>
  <c r="F416" i="13"/>
  <c r="F418" i="13"/>
  <c r="F422" i="13"/>
  <c r="F436" i="13"/>
  <c r="F443" i="13"/>
  <c r="F446" i="13"/>
  <c r="F450" i="13"/>
  <c r="F458" i="13"/>
  <c r="F464" i="13"/>
  <c r="F476" i="13"/>
  <c r="F486" i="13"/>
  <c r="F488" i="13"/>
  <c r="F500" i="13"/>
  <c r="F512" i="13"/>
  <c r="F514" i="13"/>
  <c r="F517" i="13"/>
  <c r="F523" i="13"/>
  <c r="F539" i="13"/>
  <c r="F543" i="13"/>
  <c r="F546" i="13"/>
  <c r="F547" i="13"/>
  <c r="F574" i="13"/>
  <c r="F588" i="13"/>
  <c r="F599" i="13"/>
  <c r="F608" i="13"/>
  <c r="F616" i="13"/>
  <c r="F620" i="13"/>
  <c r="F634" i="13"/>
  <c r="F649" i="13"/>
  <c r="F666" i="13"/>
  <c r="F683" i="13"/>
  <c r="F692" i="13"/>
  <c r="F696" i="13"/>
  <c r="F712" i="13"/>
  <c r="F723" i="13"/>
  <c r="F727" i="13"/>
  <c r="F731" i="13"/>
  <c r="F733" i="13"/>
  <c r="F746" i="13"/>
  <c r="F749" i="13"/>
  <c r="F755" i="13"/>
  <c r="F763" i="13"/>
  <c r="F775" i="13"/>
  <c r="F788" i="13"/>
  <c r="F797" i="13"/>
  <c r="F798" i="13"/>
  <c r="F800" i="13"/>
  <c r="F813" i="13"/>
  <c r="F827" i="13"/>
  <c r="F836" i="13"/>
  <c r="F886" i="13"/>
  <c r="F888" i="13"/>
  <c r="F913" i="13"/>
  <c r="F931" i="13"/>
  <c r="F933" i="13"/>
  <c r="F935" i="13"/>
  <c r="F960" i="13"/>
  <c r="F957" i="13"/>
  <c r="F966" i="13"/>
  <c r="F965" i="13"/>
  <c r="F974" i="13"/>
  <c r="F977" i="13"/>
  <c r="F980" i="13"/>
  <c r="F979" i="13"/>
  <c r="F982" i="13"/>
  <c r="F984" i="13"/>
  <c r="F986" i="13"/>
  <c r="F989" i="13"/>
  <c r="F992" i="13"/>
  <c r="F999" i="13"/>
  <c r="F1003" i="13"/>
  <c r="F1004" i="13"/>
  <c r="F1012" i="13"/>
  <c r="F1014" i="13"/>
  <c r="F1032" i="13"/>
  <c r="F1039" i="13"/>
  <c r="F1042" i="13"/>
  <c r="F1049" i="13"/>
  <c r="F1052" i="13"/>
  <c r="F1056" i="13"/>
  <c r="F1061" i="13"/>
  <c r="F1073" i="13"/>
  <c r="F1080" i="13"/>
  <c r="F1083" i="13"/>
  <c r="F1085" i="13"/>
  <c r="F1084" i="13"/>
  <c r="F1097" i="13"/>
  <c r="F1159" i="13"/>
  <c r="F1184" i="13"/>
  <c r="F1188" i="13"/>
  <c r="F1189" i="13"/>
  <c r="F1190" i="13"/>
  <c r="F1195" i="13"/>
  <c r="F1199" i="13"/>
  <c r="F1226" i="13"/>
  <c r="F1227" i="13"/>
  <c r="F1234" i="13"/>
  <c r="F1236" i="13"/>
  <c r="F1237" i="13"/>
  <c r="F1248" i="13"/>
  <c r="F1285" i="13"/>
  <c r="F1290" i="13"/>
  <c r="F1302" i="13"/>
  <c r="F1309" i="13"/>
  <c r="F1341" i="13"/>
  <c r="F1360" i="13"/>
  <c r="F1365" i="13"/>
  <c r="F1366" i="13"/>
  <c r="F1368" i="13"/>
  <c r="F1374" i="13"/>
  <c r="F1388" i="13"/>
  <c r="F1416" i="13"/>
  <c r="F1419" i="13"/>
  <c r="F1422" i="13"/>
  <c r="F1430" i="13"/>
  <c r="F1434" i="13"/>
  <c r="F1436" i="13"/>
  <c r="F1442" i="13"/>
  <c r="F1456" i="13"/>
  <c r="F1469" i="13"/>
  <c r="F1478" i="13"/>
  <c r="F1492" i="13"/>
  <c r="F1493" i="13"/>
  <c r="F1494" i="13"/>
  <c r="F1505" i="13"/>
  <c r="F1527" i="13"/>
  <c r="F1532" i="13"/>
  <c r="F1535" i="13"/>
  <c r="F9" i="13"/>
  <c r="F16" i="13"/>
  <c r="F58" i="13"/>
  <c r="F73" i="13"/>
  <c r="F81" i="13"/>
  <c r="F83" i="13"/>
  <c r="F86" i="13"/>
  <c r="F85" i="13"/>
  <c r="F100" i="13"/>
  <c r="F110" i="13"/>
  <c r="F111" i="13"/>
  <c r="F117" i="13"/>
  <c r="F118" i="13"/>
  <c r="F121" i="13"/>
  <c r="F149" i="13"/>
  <c r="F150" i="13"/>
  <c r="F151" i="13"/>
  <c r="F165" i="13"/>
  <c r="F176" i="13"/>
  <c r="F178" i="13"/>
  <c r="F218" i="13"/>
  <c r="F236" i="13"/>
  <c r="F252" i="13"/>
  <c r="F251" i="13"/>
  <c r="F257" i="13"/>
  <c r="F263" i="13"/>
  <c r="F268" i="13"/>
  <c r="F278" i="13"/>
  <c r="F286" i="13"/>
  <c r="F292" i="13"/>
  <c r="F297" i="13"/>
  <c r="F302" i="13"/>
  <c r="F308" i="13"/>
  <c r="F328" i="13"/>
  <c r="F333" i="13"/>
  <c r="F343" i="13"/>
  <c r="F387" i="13"/>
  <c r="F388" i="13"/>
  <c r="F391" i="13"/>
  <c r="F395" i="13"/>
  <c r="F401" i="13"/>
  <c r="F410" i="13"/>
  <c r="F424" i="13"/>
  <c r="F435" i="13"/>
  <c r="F437" i="13"/>
  <c r="F438" i="13"/>
  <c r="F441" i="13"/>
  <c r="F448" i="13"/>
  <c r="F469" i="13"/>
  <c r="F472" i="13"/>
  <c r="F484" i="13"/>
  <c r="F498" i="13"/>
  <c r="F509" i="13"/>
  <c r="F519" i="13"/>
  <c r="F520" i="13"/>
  <c r="F551" i="13"/>
  <c r="F552" i="13"/>
  <c r="F554" i="13"/>
  <c r="F559" i="13"/>
  <c r="F564" i="13"/>
  <c r="F567" i="13"/>
  <c r="F575" i="13"/>
  <c r="F576" i="13"/>
  <c r="F587" i="13"/>
  <c r="F591" i="13"/>
  <c r="F615" i="13"/>
  <c r="F628" i="13"/>
  <c r="F656" i="13"/>
  <c r="F661" i="13"/>
  <c r="F740" i="13"/>
  <c r="F759" i="13"/>
  <c r="F771" i="13"/>
  <c r="F789" i="13"/>
  <c r="F791" i="13"/>
  <c r="F792" i="13"/>
  <c r="F804" i="13"/>
  <c r="F806" i="13"/>
  <c r="F812" i="13"/>
  <c r="F815" i="13"/>
  <c r="F817" i="13"/>
  <c r="F823" i="13"/>
  <c r="F835" i="13"/>
  <c r="F844" i="13"/>
  <c r="F840" i="13"/>
  <c r="F854" i="13"/>
  <c r="F855" i="13"/>
  <c r="F858" i="13"/>
  <c r="F829" i="13"/>
  <c r="F884" i="13"/>
  <c r="F902" i="13"/>
  <c r="F922" i="13"/>
  <c r="F937" i="13"/>
  <c r="F944" i="13"/>
  <c r="F952" i="13"/>
  <c r="F972" i="13"/>
  <c r="F987" i="13"/>
  <c r="F994" i="13"/>
  <c r="F1026" i="13"/>
  <c r="F1025" i="13"/>
  <c r="F1040" i="13"/>
  <c r="F1043" i="13"/>
  <c r="F1045" i="13"/>
  <c r="F1048" i="13"/>
  <c r="F1058" i="13"/>
  <c r="F1060" i="13"/>
  <c r="F1063" i="13"/>
  <c r="F1066" i="13"/>
  <c r="F1067" i="13"/>
  <c r="F1094" i="13"/>
  <c r="F1106" i="13"/>
  <c r="F1141" i="13"/>
  <c r="F1143" i="13"/>
  <c r="F1145" i="13"/>
  <c r="F1158" i="13"/>
  <c r="F1169" i="13"/>
  <c r="F1181" i="13"/>
  <c r="F1183" i="13"/>
  <c r="F1212" i="13"/>
  <c r="F1224" i="13"/>
  <c r="F1245" i="13"/>
  <c r="F1259" i="13"/>
  <c r="F1260" i="13"/>
  <c r="F1308" i="13"/>
  <c r="F1328" i="13"/>
  <c r="F1344" i="13"/>
  <c r="F1350" i="13"/>
  <c r="F1361" i="13"/>
  <c r="F1367" i="13"/>
  <c r="F1370" i="13"/>
  <c r="F1373" i="13"/>
  <c r="F1381" i="13"/>
  <c r="F1428" i="13"/>
  <c r="F1437" i="13"/>
  <c r="F1453" i="13"/>
  <c r="F1464" i="13"/>
  <c r="F1471" i="13"/>
  <c r="F1500" i="13"/>
  <c r="F1504" i="13"/>
  <c r="F1514" i="13"/>
  <c r="F10" i="13"/>
  <c r="F24" i="13"/>
  <c r="F27" i="13"/>
  <c r="F30" i="13"/>
  <c r="F31" i="13"/>
  <c r="F32" i="13"/>
  <c r="F37" i="13"/>
  <c r="F42" i="13"/>
  <c r="F43" i="13"/>
  <c r="F51" i="13"/>
  <c r="F52" i="13"/>
  <c r="F55" i="13"/>
  <c r="F56" i="13"/>
  <c r="F60" i="13"/>
  <c r="F63" i="13"/>
  <c r="F77" i="13"/>
  <c r="F87" i="13"/>
  <c r="F92" i="13"/>
  <c r="F101" i="13"/>
  <c r="F103" i="13"/>
  <c r="F107" i="13"/>
  <c r="F114" i="13"/>
  <c r="F91" i="13"/>
  <c r="F120" i="13"/>
  <c r="F155" i="13"/>
  <c r="F156" i="13"/>
  <c r="F164" i="13"/>
  <c r="F180" i="13"/>
  <c r="F184" i="13"/>
  <c r="F190" i="13"/>
  <c r="F191" i="13"/>
  <c r="F189" i="13"/>
  <c r="F194" i="13"/>
  <c r="F209" i="13"/>
  <c r="F242" i="13"/>
  <c r="F250" i="13"/>
  <c r="F254" i="13"/>
  <c r="F259" i="13"/>
  <c r="F279" i="13"/>
  <c r="F280" i="13"/>
  <c r="F281" i="13"/>
  <c r="F284" i="13"/>
  <c r="F310" i="13"/>
  <c r="F312" i="13"/>
  <c r="F326" i="13"/>
  <c r="F340" i="13"/>
  <c r="F346" i="13"/>
  <c r="F357" i="13"/>
  <c r="F362" i="13"/>
  <c r="F371" i="13"/>
  <c r="F374" i="13"/>
  <c r="F372" i="13"/>
  <c r="F383" i="13"/>
  <c r="F390" i="13"/>
  <c r="F415" i="13"/>
  <c r="F417" i="13"/>
  <c r="F419" i="13"/>
  <c r="F420" i="13"/>
  <c r="F426" i="13"/>
  <c r="F428" i="13"/>
  <c r="F439" i="13"/>
  <c r="F453" i="13"/>
  <c r="F468" i="13"/>
  <c r="F471" i="13"/>
  <c r="F474" i="13"/>
  <c r="F477" i="13"/>
  <c r="F480" i="13"/>
  <c r="F481" i="13"/>
  <c r="F485" i="13"/>
  <c r="F494" i="13"/>
  <c r="F502" i="13"/>
  <c r="F504" i="13"/>
  <c r="F507" i="13"/>
  <c r="F513" i="13"/>
  <c r="F518" i="13"/>
  <c r="F536" i="13"/>
  <c r="F541" i="13"/>
  <c r="F556" i="13"/>
  <c r="F561" i="13"/>
  <c r="F568" i="13"/>
  <c r="F569" i="13"/>
  <c r="F586" i="13"/>
  <c r="F593" i="13"/>
  <c r="F600" i="13"/>
  <c r="F603" i="13"/>
  <c r="F609" i="13"/>
  <c r="F617" i="13"/>
  <c r="F622" i="13"/>
  <c r="F623" i="13"/>
  <c r="F621" i="13"/>
  <c r="F626" i="13"/>
  <c r="F630" i="13"/>
  <c r="F633" i="13"/>
  <c r="F635" i="13"/>
  <c r="F651" i="13"/>
  <c r="F659" i="13"/>
  <c r="F663" i="13"/>
  <c r="F665" i="13"/>
  <c r="F672" i="13"/>
  <c r="F678" i="13"/>
  <c r="F681" i="13"/>
  <c r="F682" i="13"/>
  <c r="F697" i="13"/>
  <c r="F706" i="13"/>
  <c r="F707" i="13"/>
  <c r="F718" i="13"/>
  <c r="F724" i="13"/>
  <c r="F728" i="13"/>
  <c r="F732" i="13"/>
  <c r="F737" i="13"/>
  <c r="F751" i="13"/>
  <c r="F765" i="13"/>
  <c r="F766" i="13"/>
  <c r="F780" i="13"/>
  <c r="F794" i="13"/>
  <c r="F802" i="13"/>
  <c r="F811" i="13"/>
  <c r="F822" i="13"/>
  <c r="F850" i="13"/>
  <c r="F859" i="13"/>
  <c r="F862" i="13"/>
  <c r="F866" i="13"/>
  <c r="F865" i="13"/>
  <c r="F877" i="13"/>
  <c r="F878" i="13"/>
  <c r="F887" i="13"/>
  <c r="F904" i="13"/>
  <c r="F906" i="13"/>
  <c r="F905" i="13"/>
  <c r="F907" i="13"/>
  <c r="F908" i="13"/>
  <c r="F915" i="13"/>
  <c r="F920" i="13"/>
  <c r="F919" i="13"/>
  <c r="F930" i="13"/>
  <c r="F934" i="13"/>
  <c r="F942" i="13"/>
  <c r="F945" i="13"/>
  <c r="F948" i="13"/>
  <c r="F990" i="13"/>
  <c r="F996" i="13"/>
  <c r="F997" i="13"/>
  <c r="F1000" i="13"/>
  <c r="F1007" i="13"/>
  <c r="F1022" i="13"/>
  <c r="F1034" i="13"/>
  <c r="F1055" i="13"/>
  <c r="F1064" i="13"/>
  <c r="F1075" i="13"/>
  <c r="F1081" i="13"/>
  <c r="F1088" i="13"/>
  <c r="F1129" i="13"/>
  <c r="F1139" i="13"/>
  <c r="F1142" i="13"/>
  <c r="F1150" i="13"/>
  <c r="F1153" i="13"/>
  <c r="F1155" i="13"/>
  <c r="F1161" i="13"/>
  <c r="F1167" i="13"/>
  <c r="F1175" i="13"/>
  <c r="F1174" i="13"/>
  <c r="F1186" i="13"/>
  <c r="F1192" i="13"/>
  <c r="F1193" i="13"/>
  <c r="F1201" i="13"/>
  <c r="F1197" i="13"/>
  <c r="F1205" i="13"/>
  <c r="F1207" i="13"/>
  <c r="F1215" i="13"/>
  <c r="F1217" i="13"/>
  <c r="F1220" i="13"/>
  <c r="F1221" i="13"/>
  <c r="F1228" i="13"/>
  <c r="F1249" i="13"/>
  <c r="F1253" i="13"/>
  <c r="F1261" i="13"/>
  <c r="F1256" i="13"/>
  <c r="F1265" i="13"/>
  <c r="F1274" i="13"/>
  <c r="F1299" i="13"/>
  <c r="F1303" i="13"/>
  <c r="F1304" i="13"/>
  <c r="F1310" i="13"/>
  <c r="F1315" i="13"/>
  <c r="F1318" i="13"/>
  <c r="F1322" i="13"/>
  <c r="F1329" i="13"/>
  <c r="F1332" i="13"/>
  <c r="F1336" i="13"/>
  <c r="F1339" i="13"/>
  <c r="F1340" i="13"/>
  <c r="F1346" i="13"/>
  <c r="F1351" i="13"/>
  <c r="F1378" i="13"/>
  <c r="F1385" i="13"/>
  <c r="F1396" i="13"/>
  <c r="F1397" i="13"/>
  <c r="F1398" i="13"/>
  <c r="F1402" i="13"/>
  <c r="F1403" i="13"/>
  <c r="F1404" i="13"/>
  <c r="F1409" i="13"/>
  <c r="F1435" i="13"/>
  <c r="F1448" i="13"/>
  <c r="F1474" i="13"/>
  <c r="F1487" i="13"/>
  <c r="F1502" i="13"/>
  <c r="F1510" i="13"/>
  <c r="F1526" i="13"/>
  <c r="F1530" i="13"/>
  <c r="F1533" i="13"/>
  <c r="F1536" i="13"/>
  <c r="F25" i="13"/>
  <c r="F35" i="13"/>
  <c r="F39" i="13"/>
  <c r="F45" i="13"/>
  <c r="F48" i="13"/>
  <c r="F50" i="13"/>
  <c r="F67" i="13"/>
  <c r="F80" i="13"/>
  <c r="F88" i="13"/>
  <c r="F95" i="13"/>
  <c r="F119" i="13"/>
  <c r="F122" i="13"/>
  <c r="F123" i="13"/>
  <c r="F134" i="13"/>
  <c r="F124" i="13"/>
  <c r="F159" i="13"/>
  <c r="F197" i="13"/>
  <c r="F210" i="13"/>
  <c r="F211" i="13"/>
  <c r="F222" i="13"/>
  <c r="F238" i="13"/>
  <c r="F261" i="13"/>
  <c r="F285" i="13"/>
  <c r="F298" i="13"/>
  <c r="F315" i="13"/>
  <c r="F324" i="13"/>
  <c r="F327" i="13"/>
  <c r="F345" i="13"/>
  <c r="F351" i="13"/>
  <c r="F368" i="13"/>
  <c r="F385" i="13"/>
  <c r="F393" i="13"/>
  <c r="F430" i="13"/>
  <c r="F452" i="13"/>
  <c r="F462" i="13"/>
  <c r="F479" i="13"/>
  <c r="F483" i="13"/>
  <c r="F489" i="13"/>
  <c r="F495" i="13"/>
  <c r="F499" i="13"/>
  <c r="F505" i="13"/>
  <c r="F511" i="13"/>
  <c r="F542" i="13"/>
  <c r="F550" i="13"/>
  <c r="F565" i="13"/>
  <c r="F570" i="13"/>
  <c r="F578" i="13"/>
  <c r="F624" i="13"/>
  <c r="F631" i="13"/>
  <c r="F639" i="13"/>
  <c r="F644" i="13"/>
  <c r="F645" i="13"/>
  <c r="F667" i="13"/>
  <c r="F668" i="13"/>
  <c r="F679" i="13"/>
  <c r="F684" i="13"/>
  <c r="F691" i="13"/>
  <c r="F700" i="13"/>
  <c r="F717" i="13"/>
  <c r="F720" i="13"/>
  <c r="F725" i="13"/>
  <c r="F729" i="13"/>
  <c r="F730" i="13"/>
  <c r="F734" i="13"/>
  <c r="F752" i="13"/>
  <c r="F757" i="13"/>
  <c r="F760" i="13"/>
  <c r="F768" i="13"/>
  <c r="F770" i="13"/>
  <c r="F778" i="13"/>
  <c r="F828" i="13"/>
  <c r="F839" i="13"/>
  <c r="F863" i="13"/>
  <c r="F868" i="13"/>
  <c r="F871" i="13"/>
  <c r="F897" i="13"/>
  <c r="F914" i="13"/>
  <c r="F917" i="13"/>
  <c r="F921" i="13"/>
  <c r="F925" i="13"/>
  <c r="F943" i="13"/>
  <c r="F951" i="13"/>
  <c r="F953" i="13"/>
  <c r="F956" i="13"/>
  <c r="F958" i="13"/>
  <c r="F961" i="13"/>
  <c r="F975" i="13"/>
  <c r="F1001" i="13"/>
  <c r="F1002" i="13"/>
  <c r="F1005" i="13"/>
  <c r="F1070" i="13"/>
  <c r="F1072" i="13"/>
  <c r="F1077" i="13"/>
  <c r="F1091" i="13"/>
  <c r="F1096" i="13"/>
  <c r="F1108" i="13"/>
  <c r="F1117" i="13"/>
  <c r="F1120" i="13"/>
  <c r="F1152" i="13"/>
  <c r="F1171" i="13"/>
  <c r="F1176" i="13"/>
  <c r="F1180" i="13"/>
  <c r="F1200" i="13"/>
  <c r="F1204" i="13"/>
  <c r="F1208" i="13"/>
  <c r="F1222" i="13"/>
  <c r="F1229" i="13"/>
  <c r="F1251" i="13"/>
  <c r="F1280" i="13"/>
  <c r="F1288" i="13"/>
  <c r="F1301" i="13"/>
  <c r="F1314" i="13"/>
  <c r="F1316" i="13"/>
  <c r="F1333" i="13"/>
  <c r="F1335" i="13"/>
  <c r="F1342" i="13"/>
  <c r="F1356" i="13"/>
  <c r="F1359" i="13"/>
  <c r="F1369" i="13"/>
  <c r="F1372" i="13"/>
  <c r="F1383" i="13"/>
  <c r="F1384" i="13"/>
  <c r="F1405" i="13"/>
  <c r="F1418" i="13"/>
  <c r="F1420" i="13"/>
  <c r="F1440" i="13"/>
  <c r="F1461" i="13"/>
  <c r="F1495" i="13"/>
  <c r="F1524" i="13"/>
  <c r="F15" i="13"/>
  <c r="F125" i="13"/>
  <c r="F126" i="13"/>
  <c r="F157" i="13"/>
  <c r="F258" i="13"/>
  <c r="F363" i="13"/>
  <c r="F378" i="13"/>
  <c r="F456" i="13"/>
  <c r="F461" i="13"/>
  <c r="F473" i="13"/>
  <c r="F571" i="13"/>
  <c r="F572" i="13"/>
  <c r="F595" i="13"/>
  <c r="F758" i="13"/>
  <c r="F809" i="13"/>
  <c r="F819" i="13"/>
  <c r="F860" i="13"/>
  <c r="F876" i="13"/>
  <c r="F881" i="13"/>
  <c r="F910" i="13"/>
  <c r="F970" i="13"/>
  <c r="F1023" i="13"/>
  <c r="F1024" i="13"/>
  <c r="F1051" i="13"/>
  <c r="F1057" i="13"/>
  <c r="F1104" i="13"/>
  <c r="F1114" i="13"/>
  <c r="F1119" i="13"/>
  <c r="F1160" i="13"/>
  <c r="F1178" i="13"/>
  <c r="F1206" i="13"/>
  <c r="F1353" i="13"/>
  <c r="F1355" i="13"/>
  <c r="F1375" i="13"/>
  <c r="F1380" i="13"/>
  <c r="F1421" i="13"/>
  <c r="F1465" i="13"/>
  <c r="F1479" i="13"/>
  <c r="F11" i="13"/>
  <c r="F12" i="13"/>
  <c r="F22" i="13"/>
  <c r="F28" i="13"/>
  <c r="F46" i="13"/>
  <c r="F66" i="13"/>
  <c r="F68" i="13"/>
  <c r="F71" i="13"/>
  <c r="F74" i="13"/>
  <c r="F76" i="13"/>
  <c r="F78" i="13"/>
  <c r="F84" i="13"/>
  <c r="F115" i="13"/>
  <c r="F133" i="13"/>
  <c r="F127" i="13"/>
  <c r="F128" i="13"/>
  <c r="F136" i="13"/>
  <c r="F135" i="13"/>
  <c r="F152" i="13"/>
  <c r="F160" i="13"/>
  <c r="F166" i="13"/>
  <c r="F168" i="13"/>
  <c r="F171" i="13"/>
  <c r="F173" i="13"/>
  <c r="F196" i="13"/>
  <c r="F200" i="13"/>
  <c r="F203" i="13"/>
  <c r="F205" i="13"/>
  <c r="F208" i="13"/>
  <c r="F215" i="13"/>
  <c r="F237" i="13"/>
  <c r="F248" i="13"/>
  <c r="F264" i="13"/>
  <c r="F265" i="13"/>
  <c r="F269" i="13"/>
  <c r="F273" i="13"/>
  <c r="F275" i="13"/>
  <c r="F277" i="13"/>
  <c r="F287" i="13"/>
  <c r="F291" i="13"/>
  <c r="F295" i="13"/>
  <c r="F307" i="13"/>
  <c r="F306" i="13"/>
  <c r="F319" i="13"/>
  <c r="F335" i="13"/>
  <c r="F342" i="13"/>
  <c r="F344" i="13"/>
  <c r="F352" i="13"/>
  <c r="F355" i="13"/>
  <c r="F356" i="13"/>
  <c r="F358" i="13"/>
  <c r="F366" i="13"/>
  <c r="F381" i="13"/>
  <c r="F397" i="13"/>
  <c r="F398" i="13"/>
  <c r="F399" i="13"/>
  <c r="F400" i="13"/>
  <c r="F403" i="13"/>
  <c r="F413" i="13"/>
  <c r="F427" i="13"/>
  <c r="F434" i="13"/>
  <c r="F442" i="13"/>
  <c r="F490" i="13"/>
  <c r="F492" i="13"/>
  <c r="F496" i="13"/>
  <c r="F501" i="13"/>
  <c r="F526" i="13"/>
  <c r="F531" i="13"/>
  <c r="F532" i="13"/>
  <c r="F534" i="13"/>
  <c r="F545" i="13"/>
  <c r="F549" i="13"/>
  <c r="F557" i="13"/>
  <c r="F560" i="13"/>
  <c r="F573" i="13"/>
  <c r="F605" i="13"/>
  <c r="F611" i="13"/>
  <c r="F612" i="13"/>
  <c r="F614" i="13"/>
  <c r="F627" i="13"/>
  <c r="F629" i="13"/>
  <c r="F632" i="13"/>
  <c r="F641" i="13"/>
  <c r="F642" i="13"/>
  <c r="F657" i="13"/>
  <c r="F660" i="13"/>
  <c r="F664" i="13"/>
  <c r="F669" i="13"/>
  <c r="F674" i="13"/>
  <c r="F675" i="13"/>
  <c r="F680" i="13"/>
  <c r="F685" i="13"/>
  <c r="F693" i="13"/>
  <c r="F694" i="13"/>
  <c r="F695" i="13"/>
  <c r="F698" i="13"/>
  <c r="F719" i="13"/>
  <c r="F743" i="13"/>
  <c r="F745" i="13"/>
  <c r="F750" i="13"/>
  <c r="F764" i="13"/>
  <c r="F781" i="13"/>
  <c r="F783" i="13"/>
  <c r="F786" i="13"/>
  <c r="F793" i="13"/>
  <c r="F803" i="13"/>
  <c r="F814" i="13"/>
  <c r="F818" i="13"/>
  <c r="F820" i="13"/>
  <c r="F830" i="13"/>
  <c r="F833" i="13"/>
  <c r="F843" i="13"/>
  <c r="F845" i="13"/>
  <c r="F848" i="13"/>
  <c r="F852" i="13"/>
  <c r="F890" i="13"/>
  <c r="F901" i="13"/>
  <c r="F916" i="13"/>
  <c r="F918" i="13"/>
  <c r="F932" i="13"/>
  <c r="F939" i="13"/>
  <c r="F946" i="13"/>
  <c r="F973" i="13"/>
  <c r="F985" i="13"/>
  <c r="F988" i="13"/>
  <c r="F1006" i="13"/>
  <c r="F1017" i="13"/>
  <c r="F1018" i="13"/>
  <c r="F1020" i="13"/>
  <c r="F1029" i="13"/>
  <c r="F1035" i="13"/>
  <c r="F1050" i="13"/>
  <c r="F1065" i="13"/>
  <c r="F1082" i="13"/>
  <c r="F1086" i="13"/>
  <c r="F1100" i="13"/>
  <c r="F1121" i="13"/>
  <c r="F1130" i="13"/>
  <c r="F1135" i="13"/>
  <c r="F1137" i="13"/>
  <c r="F1173" i="13"/>
  <c r="F1177" i="13"/>
  <c r="F1187" i="13"/>
  <c r="F1209" i="13"/>
  <c r="F1214" i="13"/>
  <c r="F1223" i="13"/>
  <c r="F1238" i="13"/>
  <c r="F1240" i="13"/>
  <c r="F1246" i="13"/>
  <c r="F1243" i="13"/>
  <c r="F1266" i="13"/>
  <c r="F1273" i="13"/>
  <c r="F1277" i="13"/>
  <c r="F1286" i="13"/>
  <c r="F1289" i="13"/>
  <c r="F1293" i="13"/>
  <c r="F1291" i="13"/>
  <c r="F1306" i="13"/>
  <c r="F1313" i="13"/>
  <c r="F1317" i="13"/>
  <c r="F1324" i="13"/>
  <c r="F1349" i="13"/>
  <c r="F1354" i="13"/>
  <c r="F1357" i="13"/>
  <c r="F1382" i="13"/>
  <c r="F1400" i="13"/>
  <c r="F1406" i="13"/>
  <c r="F1417" i="13"/>
  <c r="F1444" i="13"/>
  <c r="F1454" i="13"/>
  <c r="F1458" i="13"/>
  <c r="F1463" i="13"/>
  <c r="F1472" i="13"/>
  <c r="F1485" i="13"/>
  <c r="F1486" i="13"/>
  <c r="F1491" i="13"/>
  <c r="F1515" i="13"/>
  <c r="F1516" i="13"/>
  <c r="F1531" i="13"/>
  <c r="F13" i="13"/>
  <c r="F65" i="13"/>
  <c r="F109" i="13"/>
  <c r="F108" i="13"/>
  <c r="F137" i="13"/>
  <c r="F138" i="13"/>
  <c r="F139" i="13"/>
  <c r="F129" i="13"/>
  <c r="F130" i="13"/>
  <c r="F131" i="13"/>
  <c r="F161" i="13"/>
  <c r="F162" i="13"/>
  <c r="F179" i="13"/>
  <c r="F183" i="13"/>
  <c r="F186" i="13"/>
  <c r="F193" i="13"/>
  <c r="F216" i="13"/>
  <c r="F220" i="13"/>
  <c r="F223" i="13"/>
  <c r="F231" i="13"/>
  <c r="F233" i="13"/>
  <c r="F239" i="13"/>
  <c r="F241" i="13"/>
  <c r="F246" i="13"/>
  <c r="F247" i="13"/>
  <c r="F266" i="13"/>
  <c r="F274" i="13"/>
  <c r="F288" i="13"/>
  <c r="F301" i="13"/>
  <c r="F304" i="13"/>
  <c r="F305" i="13"/>
  <c r="F316" i="13"/>
  <c r="F320" i="13"/>
  <c r="F380" i="13"/>
  <c r="F386" i="13"/>
  <c r="F412" i="13"/>
  <c r="F449" i="13"/>
  <c r="F516" i="13"/>
  <c r="F522" i="13"/>
  <c r="F584" i="13"/>
  <c r="F585" i="13"/>
  <c r="F590" i="13"/>
  <c r="F619" i="13"/>
  <c r="F625" i="13"/>
  <c r="F646" i="13"/>
  <c r="F647" i="13"/>
  <c r="F650" i="13"/>
  <c r="F654" i="13"/>
  <c r="F677" i="13"/>
  <c r="F702" i="13"/>
  <c r="F710" i="13"/>
  <c r="F721" i="13"/>
  <c r="F722" i="13"/>
  <c r="F735" i="13"/>
  <c r="F739" i="13"/>
  <c r="F742" i="13"/>
  <c r="F774" i="13"/>
  <c r="F784" i="13"/>
  <c r="F810" i="13"/>
  <c r="F821" i="13"/>
  <c r="F825" i="13"/>
  <c r="F831" i="13"/>
  <c r="F841" i="13"/>
  <c r="F872" i="13"/>
  <c r="F880" i="13"/>
  <c r="F882" i="13"/>
  <c r="F885" i="13"/>
  <c r="F891" i="13"/>
  <c r="F894" i="13"/>
  <c r="F895" i="13"/>
  <c r="F900" i="13"/>
  <c r="F912" i="13"/>
  <c r="F940" i="13"/>
  <c r="F955" i="13"/>
  <c r="F962" i="13"/>
  <c r="F964" i="13"/>
  <c r="F995" i="13"/>
  <c r="F1019" i="13"/>
  <c r="F1027" i="13"/>
  <c r="F1038" i="13"/>
  <c r="F1041" i="13"/>
  <c r="F1076" i="13"/>
  <c r="F1078" i="13"/>
  <c r="F1095" i="13"/>
  <c r="F1101" i="13"/>
  <c r="F1111" i="13"/>
  <c r="F1125" i="13"/>
  <c r="F1132" i="13"/>
  <c r="F1134" i="13"/>
  <c r="F1140" i="13"/>
  <c r="F1151" i="13"/>
  <c r="F1156" i="13"/>
  <c r="F1164" i="13"/>
  <c r="F1179" i="13"/>
  <c r="F1194" i="13"/>
  <c r="F1216" i="13"/>
  <c r="F1230" i="13"/>
  <c r="F1235" i="13"/>
  <c r="F1250" i="13"/>
  <c r="F1263" i="13"/>
  <c r="F1269" i="13"/>
  <c r="F1271" i="13"/>
  <c r="F1272" i="13"/>
  <c r="F1278" i="13"/>
  <c r="F1282" i="13"/>
  <c r="F1283" i="13"/>
  <c r="F1287" i="13"/>
  <c r="F1296" i="13"/>
  <c r="F1319" i="13"/>
  <c r="F1326" i="13"/>
  <c r="F1334" i="13"/>
  <c r="F1345" i="13"/>
  <c r="F1363" i="13"/>
  <c r="F1386" i="13"/>
  <c r="F1390" i="13"/>
  <c r="F1394" i="13"/>
  <c r="F1424" i="13"/>
  <c r="F1427" i="13"/>
  <c r="F1433" i="13"/>
  <c r="F1443" i="13"/>
  <c r="F1462" i="13"/>
  <c r="F1466" i="13"/>
  <c r="F1467" i="13"/>
  <c r="F1459" i="13"/>
  <c r="F1476" i="13"/>
  <c r="F1484" i="13"/>
  <c r="F1490" i="13"/>
  <c r="F1499" i="13"/>
  <c r="F1506" i="13"/>
  <c r="F1507" i="13"/>
  <c r="F1517" i="13"/>
  <c r="F1521" i="13"/>
  <c r="F5" i="13"/>
  <c r="F33" i="13"/>
  <c r="F44" i="13"/>
  <c r="F54" i="13"/>
  <c r="F59" i="13"/>
  <c r="F62" i="13"/>
  <c r="F64" i="13"/>
  <c r="F69" i="13"/>
  <c r="F70" i="13"/>
  <c r="F72" i="13"/>
  <c r="F90" i="13"/>
  <c r="F89" i="13"/>
  <c r="F97" i="13"/>
  <c r="F104" i="13"/>
  <c r="F105" i="13"/>
  <c r="F106" i="13"/>
  <c r="F112" i="13"/>
  <c r="F154" i="13"/>
  <c r="F158" i="13"/>
  <c r="F167" i="13"/>
  <c r="F169" i="13"/>
  <c r="F175" i="13"/>
  <c r="F195" i="13"/>
  <c r="F201" i="13"/>
  <c r="F214" i="13"/>
  <c r="F217" i="13"/>
  <c r="F221" i="13"/>
  <c r="F225" i="13"/>
  <c r="F234" i="13"/>
  <c r="F235" i="13"/>
  <c r="F244" i="13"/>
  <c r="F245" i="13"/>
  <c r="F249" i="13"/>
  <c r="F255" i="13"/>
  <c r="F267" i="13"/>
  <c r="F276" i="13"/>
  <c r="F283" i="13"/>
  <c r="F290" i="13"/>
  <c r="F299" i="13"/>
  <c r="F314" i="13"/>
  <c r="F318" i="13"/>
  <c r="F321" i="13"/>
  <c r="F334" i="13"/>
  <c r="F347" i="13"/>
  <c r="F348" i="13"/>
  <c r="F349" i="13"/>
  <c r="F361" i="13"/>
  <c r="F369" i="13"/>
  <c r="F392" i="13"/>
  <c r="F409" i="13"/>
  <c r="F414" i="13"/>
  <c r="F444" i="13"/>
  <c r="F454" i="13"/>
  <c r="F455" i="13"/>
  <c r="F457" i="13"/>
  <c r="F463" i="13"/>
  <c r="F465" i="13"/>
  <c r="F470" i="13"/>
  <c r="F482" i="13"/>
  <c r="F493" i="13"/>
  <c r="F503" i="13"/>
  <c r="F515" i="13"/>
  <c r="F525" i="13"/>
  <c r="F527" i="13"/>
  <c r="F535" i="13"/>
  <c r="F553" i="13"/>
  <c r="F555" i="13"/>
  <c r="F577" i="13"/>
  <c r="F579" i="13"/>
  <c r="F581" i="13"/>
  <c r="F597" i="13"/>
  <c r="F598" i="13"/>
  <c r="F601" i="13"/>
  <c r="F643" i="13"/>
  <c r="F648" i="13"/>
  <c r="F653" i="13"/>
  <c r="F655" i="13"/>
  <c r="F671" i="13"/>
  <c r="F687" i="13"/>
  <c r="F690" i="13"/>
  <c r="F699" i="13"/>
  <c r="F703" i="13"/>
  <c r="F709" i="13"/>
  <c r="F738" i="13"/>
  <c r="F741" i="13"/>
  <c r="F747" i="13"/>
  <c r="F761" i="13"/>
  <c r="F772" i="13"/>
  <c r="F787" i="13"/>
  <c r="F790" i="13"/>
  <c r="F801" i="13"/>
  <c r="F807" i="13"/>
  <c r="F824" i="13"/>
  <c r="F838" i="13"/>
  <c r="F853" i="13"/>
  <c r="F856" i="13"/>
  <c r="F861" i="13"/>
  <c r="F875" i="13"/>
  <c r="F883" i="13"/>
  <c r="F889" i="13"/>
  <c r="F892" i="13"/>
  <c r="F903" i="13"/>
  <c r="F909" i="13"/>
  <c r="F911" i="13"/>
  <c r="F926" i="13"/>
  <c r="F928" i="13"/>
  <c r="F949" i="13"/>
  <c r="F954" i="13"/>
  <c r="F991" i="13"/>
  <c r="F1009" i="13"/>
  <c r="F1013" i="13"/>
  <c r="F1030" i="13"/>
  <c r="F1031" i="13"/>
  <c r="F1036" i="13"/>
  <c r="F1037" i="13"/>
  <c r="F1044" i="13"/>
  <c r="F1046" i="13"/>
  <c r="F1053" i="13"/>
  <c r="F1074" i="13"/>
  <c r="F1087" i="13"/>
  <c r="F1090" i="13"/>
  <c r="F1099" i="13"/>
  <c r="F1105" i="13"/>
  <c r="F1109" i="13"/>
  <c r="F1112" i="13"/>
  <c r="F1115" i="13"/>
  <c r="F1126" i="13"/>
  <c r="F1127" i="13"/>
  <c r="F1131" i="13"/>
  <c r="F1133" i="13"/>
  <c r="F1136" i="13"/>
  <c r="F1144" i="13"/>
  <c r="F1165" i="13"/>
  <c r="F1166" i="13"/>
  <c r="F1168" i="13"/>
  <c r="F1170" i="13"/>
  <c r="F1182" i="13"/>
  <c r="F1203" i="13"/>
  <c r="F1211" i="13"/>
  <c r="F1210" i="13"/>
  <c r="F1218" i="13"/>
  <c r="F1219" i="13"/>
  <c r="F1225" i="13"/>
  <c r="F1231" i="13"/>
  <c r="F1242" i="13"/>
  <c r="F1247" i="13"/>
  <c r="F1252" i="13"/>
  <c r="F1254" i="13"/>
  <c r="F1255" i="13"/>
  <c r="F1258" i="13"/>
  <c r="F1267" i="13"/>
  <c r="F1270" i="13"/>
  <c r="F1276" i="13"/>
  <c r="F1279" i="13"/>
  <c r="F1281" i="13"/>
  <c r="F1284" i="13"/>
  <c r="F1300" i="13"/>
  <c r="F1305" i="13"/>
  <c r="F1307" i="13"/>
  <c r="F1337" i="13"/>
  <c r="F1347" i="13"/>
  <c r="F1376" i="13"/>
  <c r="F1387" i="13"/>
  <c r="F1395" i="13"/>
  <c r="F1401" i="13"/>
  <c r="F1410" i="13"/>
  <c r="F1414" i="13"/>
  <c r="F1425" i="13"/>
  <c r="F1426" i="13"/>
  <c r="F1431" i="13"/>
  <c r="F1438" i="13"/>
  <c r="F1439" i="13"/>
  <c r="F1445" i="13"/>
  <c r="F1447" i="13"/>
  <c r="F1477" i="13"/>
  <c r="F1483" i="13"/>
  <c r="F1498" i="13"/>
  <c r="F1503" i="13"/>
  <c r="F1511" i="13"/>
  <c r="F1525" i="13"/>
  <c r="F1528" i="13"/>
  <c r="F1529" i="13"/>
  <c r="F1534" i="13"/>
  <c r="F2" i="13"/>
  <c r="F6" i="13"/>
  <c r="F7" i="13"/>
  <c r="F8" i="13"/>
  <c r="F18" i="13"/>
  <c r="F26" i="13"/>
  <c r="F36" i="13"/>
  <c r="F38" i="13"/>
  <c r="F49" i="13"/>
  <c r="F53" i="13"/>
  <c r="F61" i="13"/>
  <c r="F93" i="13"/>
  <c r="F98" i="13"/>
  <c r="F102" i="13"/>
  <c r="F172" i="13"/>
  <c r="F202" i="13"/>
  <c r="F206" i="13"/>
  <c r="F207" i="13"/>
  <c r="F219" i="13"/>
  <c r="F230" i="13"/>
  <c r="F253" i="13"/>
  <c r="F293" i="13"/>
  <c r="F300" i="13"/>
  <c r="F303" i="13"/>
  <c r="F309" i="13"/>
  <c r="F311" i="13"/>
  <c r="F317" i="13"/>
  <c r="F325" i="13"/>
  <c r="F337" i="13"/>
  <c r="F339" i="13"/>
  <c r="F350" i="13"/>
  <c r="F370" i="13"/>
  <c r="F376" i="13"/>
  <c r="F379" i="13"/>
  <c r="F429" i="13"/>
  <c r="F433" i="13"/>
  <c r="F445" i="13"/>
  <c r="F460" i="13"/>
  <c r="F466" i="13"/>
  <c r="F497" i="13"/>
  <c r="F506" i="13"/>
  <c r="F510" i="13"/>
  <c r="F521" i="13"/>
  <c r="F524" i="13"/>
  <c r="F529" i="13"/>
  <c r="F528" i="13"/>
  <c r="F530" i="13"/>
  <c r="F540" i="13"/>
  <c r="F548" i="13"/>
  <c r="F558" i="13"/>
  <c r="F580" i="13"/>
  <c r="F582" i="13"/>
  <c r="F606" i="13"/>
  <c r="F607" i="13"/>
  <c r="F610" i="13"/>
  <c r="F618" i="13"/>
  <c r="F636" i="13"/>
  <c r="F640" i="13"/>
  <c r="F652" i="13"/>
  <c r="F662" i="13"/>
  <c r="F676" i="13"/>
  <c r="F688" i="13"/>
  <c r="F689" i="13"/>
  <c r="F701" i="13"/>
  <c r="F708" i="13"/>
  <c r="F714" i="13"/>
  <c r="F744" i="13"/>
  <c r="F753" i="13"/>
  <c r="F773" i="13"/>
  <c r="F776" i="13"/>
  <c r="F777" i="13"/>
  <c r="F779" i="13"/>
  <c r="F782" i="13"/>
  <c r="F799" i="13"/>
  <c r="F805" i="13"/>
  <c r="F816" i="13"/>
  <c r="F826" i="13"/>
  <c r="F832" i="13"/>
  <c r="F837" i="13"/>
  <c r="F842" i="13"/>
  <c r="F846" i="13"/>
  <c r="F847" i="13"/>
  <c r="F851" i="13"/>
  <c r="F857" i="13"/>
  <c r="F869" i="13"/>
  <c r="F879" i="13"/>
  <c r="F893" i="13"/>
  <c r="F896" i="13"/>
  <c r="F938" i="13"/>
  <c r="F959" i="13"/>
  <c r="F963" i="13"/>
  <c r="F967" i="13"/>
  <c r="F971" i="13"/>
  <c r="F978" i="13"/>
  <c r="F983" i="13"/>
  <c r="F998" i="13"/>
  <c r="F1010" i="13"/>
  <c r="F1011" i="13"/>
  <c r="F1016" i="13"/>
  <c r="F1033" i="13"/>
  <c r="F1069" i="13"/>
  <c r="F1071" i="13"/>
  <c r="F1089" i="13"/>
  <c r="F1107" i="13"/>
  <c r="F1116" i="13"/>
  <c r="F1118" i="13"/>
  <c r="F1122" i="13"/>
  <c r="F1123" i="13"/>
  <c r="F1124" i="13"/>
  <c r="F1138" i="13"/>
  <c r="F1148" i="13"/>
  <c r="F1149" i="13"/>
  <c r="F1154" i="13"/>
  <c r="F1163" i="13"/>
  <c r="F1213" i="13"/>
  <c r="F1244" i="13"/>
  <c r="F1268" i="13"/>
  <c r="F1275" i="13"/>
  <c r="F1292" i="13"/>
  <c r="F1312" i="13"/>
  <c r="F1320" i="13"/>
  <c r="F1323" i="13"/>
  <c r="F1331" i="13"/>
  <c r="F1338" i="13"/>
  <c r="F1343" i="13"/>
  <c r="F1348" i="13"/>
  <c r="F1352" i="13"/>
  <c r="F1358" i="13"/>
  <c r="F1371" i="13"/>
  <c r="F1379" i="13"/>
  <c r="F1389" i="13"/>
  <c r="F1391" i="13"/>
  <c r="F1392" i="13"/>
  <c r="F1399" i="13"/>
  <c r="F1412" i="13"/>
  <c r="F1413" i="13"/>
  <c r="F1423" i="13"/>
  <c r="F1432" i="13"/>
  <c r="F1441" i="13"/>
  <c r="F1451" i="13"/>
  <c r="F1452" i="13"/>
  <c r="F1455" i="13"/>
  <c r="F1460" i="13"/>
  <c r="F1480" i="13"/>
  <c r="F1482" i="13"/>
  <c r="F1488" i="13"/>
  <c r="F1489" i="13"/>
  <c r="F1513" i="13"/>
  <c r="F1520" i="13"/>
  <c r="F3" i="13"/>
  <c r="F4" i="13"/>
  <c r="F14" i="13"/>
  <c r="F20" i="13"/>
  <c r="F21" i="13"/>
  <c r="F29" i="13"/>
  <c r="F34" i="13"/>
  <c r="F41" i="13"/>
  <c r="F75" i="13"/>
  <c r="F79" i="13"/>
  <c r="F94" i="13"/>
  <c r="F99" i="13"/>
  <c r="F116" i="13"/>
  <c r="F132" i="13"/>
  <c r="F153" i="13"/>
  <c r="F170" i="13"/>
  <c r="F177" i="13"/>
  <c r="F181" i="13"/>
  <c r="F182" i="13"/>
  <c r="F192" i="13"/>
  <c r="F198" i="13"/>
  <c r="F199" i="13"/>
  <c r="F204" i="13"/>
  <c r="F227" i="13"/>
  <c r="F228" i="13"/>
  <c r="F229" i="13"/>
  <c r="F232" i="13"/>
  <c r="F226" i="13"/>
  <c r="F240" i="13"/>
  <c r="F243" i="13"/>
  <c r="F260" i="13"/>
  <c r="F271" i="13"/>
  <c r="F272" i="13"/>
  <c r="F282" i="13"/>
  <c r="F289" i="13"/>
  <c r="F294" i="13"/>
  <c r="F296" i="13"/>
  <c r="F313" i="13"/>
  <c r="F329" i="13"/>
  <c r="F330" i="13"/>
  <c r="F331" i="13"/>
  <c r="F332" i="13"/>
  <c r="F338" i="13"/>
  <c r="F323" i="13"/>
  <c r="F377" i="13"/>
  <c r="F382" i="13"/>
  <c r="F384" i="13"/>
  <c r="F389" i="13"/>
  <c r="F394" i="13"/>
  <c r="F396" i="13"/>
  <c r="F402" i="13"/>
  <c r="F404" i="13"/>
  <c r="F406" i="13"/>
  <c r="F407" i="13"/>
  <c r="F408" i="13"/>
  <c r="F411" i="13"/>
  <c r="F421" i="13"/>
  <c r="F423" i="13"/>
  <c r="F405" i="13"/>
  <c r="F425" i="13"/>
  <c r="F431" i="13"/>
  <c r="F432" i="13"/>
  <c r="F440" i="13"/>
  <c r="F447" i="13"/>
  <c r="F451" i="13"/>
  <c r="F459" i="13"/>
  <c r="F467" i="13"/>
  <c r="F475" i="13"/>
  <c r="F478" i="13"/>
  <c r="F487" i="13"/>
  <c r="F491" i="13"/>
  <c r="F533" i="13"/>
  <c r="F537" i="13"/>
  <c r="F538" i="13"/>
  <c r="F544" i="13"/>
  <c r="F562" i="13"/>
  <c r="F563" i="13"/>
  <c r="F566" i="13"/>
  <c r="F583" i="13"/>
  <c r="F508" i="13"/>
  <c r="F589" i="13"/>
  <c r="F592" i="13"/>
  <c r="F594" i="13"/>
  <c r="F596" i="13"/>
  <c r="F602" i="13"/>
  <c r="F604" i="13"/>
  <c r="F613" i="13"/>
  <c r="F637" i="13"/>
  <c r="F638" i="13"/>
  <c r="F658" i="13"/>
  <c r="F670" i="13"/>
  <c r="F673" i="13"/>
  <c r="F686" i="13"/>
  <c r="F705" i="13"/>
  <c r="F711" i="13"/>
  <c r="F713" i="13"/>
  <c r="F715" i="13"/>
  <c r="F716" i="13"/>
  <c r="F726" i="13"/>
  <c r="F736" i="13"/>
  <c r="F704" i="13"/>
  <c r="F748" i="13"/>
  <c r="F754" i="13"/>
  <c r="F756" i="13"/>
  <c r="F762" i="13"/>
  <c r="F767" i="13"/>
  <c r="F769" i="13"/>
  <c r="F785" i="13"/>
  <c r="F795" i="13"/>
  <c r="F796" i="13"/>
  <c r="F808" i="13"/>
  <c r="F834" i="13"/>
  <c r="F849" i="13"/>
  <c r="F864" i="13"/>
  <c r="F867" i="13"/>
  <c r="F870" i="13"/>
  <c r="F873" i="13"/>
  <c r="F874" i="13"/>
  <c r="F898" i="13"/>
  <c r="F899" i="13"/>
  <c r="F923" i="13"/>
  <c r="F924" i="13"/>
  <c r="F927" i="13"/>
  <c r="F929" i="13"/>
  <c r="F936" i="13"/>
  <c r="F941" i="13"/>
  <c r="F947" i="13"/>
  <c r="F950" i="13"/>
  <c r="F968" i="13"/>
  <c r="F969" i="13"/>
  <c r="F976" i="13"/>
  <c r="F981" i="13"/>
  <c r="F993" i="13"/>
  <c r="F1008" i="13"/>
  <c r="F1015" i="13"/>
  <c r="F1021" i="13"/>
  <c r="F1028" i="13"/>
  <c r="F1047" i="13"/>
  <c r="F1054" i="13"/>
  <c r="F1059" i="13"/>
  <c r="F1062" i="13"/>
  <c r="F1068" i="13"/>
  <c r="F1079" i="13"/>
  <c r="F1092" i="13"/>
  <c r="F1093" i="13"/>
  <c r="F1102" i="13"/>
  <c r="F1103" i="13"/>
  <c r="F1110" i="13"/>
  <c r="F1113" i="13"/>
  <c r="F1098" i="13"/>
  <c r="F1128" i="13"/>
  <c r="F1157" i="13"/>
  <c r="F1162" i="13"/>
  <c r="F1146" i="13"/>
  <c r="F1147" i="13"/>
  <c r="F1185" i="13"/>
  <c r="F1191" i="13"/>
  <c r="F1196" i="13"/>
  <c r="F1198" i="13"/>
  <c r="F1202" i="13"/>
  <c r="F1232" i="13"/>
  <c r="F1233" i="13"/>
  <c r="F1239" i="13"/>
  <c r="F1241" i="13"/>
  <c r="F1257" i="13"/>
  <c r="F1264" i="13"/>
  <c r="F1262" i="13"/>
  <c r="F1172" i="13"/>
  <c r="F1294" i="13"/>
  <c r="F1295" i="13"/>
  <c r="F1297" i="13"/>
  <c r="F1298" i="13"/>
  <c r="F1311" i="13"/>
  <c r="F1321" i="13"/>
  <c r="F1325" i="13"/>
  <c r="F1327" i="13"/>
  <c r="F1330" i="13"/>
  <c r="F1362" i="13"/>
  <c r="F1364" i="13"/>
  <c r="F1377" i="13"/>
  <c r="F1393" i="13"/>
  <c r="F1408" i="13"/>
  <c r="F1407" i="13"/>
  <c r="F1411" i="13"/>
  <c r="F1415" i="13"/>
  <c r="F1429" i="13"/>
  <c r="F1446" i="13"/>
  <c r="F1449" i="13"/>
  <c r="F1450" i="13"/>
  <c r="F1457" i="13"/>
  <c r="F1468" i="13"/>
  <c r="F1470" i="13"/>
  <c r="F1473" i="13"/>
  <c r="F1475" i="13"/>
  <c r="F1481" i="13"/>
  <c r="F1497" i="13"/>
  <c r="F1496" i="13"/>
  <c r="F1501" i="13"/>
  <c r="F1508" i="13"/>
  <c r="F1509" i="13"/>
  <c r="F1512" i="13"/>
  <c r="F1518" i="13"/>
  <c r="F1519" i="13"/>
  <c r="F1522" i="13"/>
  <c r="F1523" i="13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G13" i="12" a="1"/>
  <c r="G26" i="12" a="1"/>
  <c r="G107" i="12" a="1"/>
  <c r="G51" i="12" a="1"/>
  <c r="G63" i="12" a="1"/>
  <c r="G78" i="12" a="1"/>
  <c r="G2" i="12" a="1"/>
  <c r="G93" i="12" a="1"/>
  <c r="G46" i="12" a="1"/>
  <c r="G38" i="12" a="1"/>
  <c r="O416" i="13" l="1"/>
  <c r="B416" i="13"/>
  <c r="O384" i="13"/>
  <c r="B384" i="13"/>
  <c r="O376" i="13"/>
  <c r="B376" i="13"/>
  <c r="O336" i="13"/>
  <c r="B336" i="13"/>
  <c r="O320" i="13"/>
  <c r="B320" i="13"/>
  <c r="O268" i="13"/>
  <c r="B268" i="13"/>
  <c r="O264" i="13"/>
  <c r="B264" i="13"/>
  <c r="O228" i="13"/>
  <c r="B228" i="13"/>
  <c r="O188" i="13"/>
  <c r="B188" i="13"/>
  <c r="O148" i="13"/>
  <c r="B148" i="13"/>
  <c r="O144" i="13"/>
  <c r="B144" i="13"/>
  <c r="O140" i="13"/>
  <c r="B140" i="13"/>
  <c r="O128" i="13"/>
  <c r="B128" i="13"/>
  <c r="O124" i="13"/>
  <c r="B124" i="13"/>
  <c r="O64" i="13"/>
  <c r="B64" i="13"/>
  <c r="O56" i="13"/>
  <c r="B56" i="13"/>
  <c r="B1516" i="13"/>
  <c r="B1432" i="13"/>
  <c r="B1248" i="13"/>
  <c r="B1224" i="13"/>
  <c r="B1208" i="13"/>
  <c r="B1100" i="13"/>
  <c r="B952" i="13"/>
  <c r="B860" i="13"/>
  <c r="B856" i="13"/>
  <c r="B804" i="13"/>
  <c r="B752" i="13"/>
  <c r="B732" i="13"/>
  <c r="B620" i="13"/>
  <c r="O383" i="13"/>
  <c r="B383" i="13"/>
  <c r="O379" i="13"/>
  <c r="B379" i="13"/>
  <c r="O319" i="13"/>
  <c r="B319" i="13"/>
  <c r="O227" i="13"/>
  <c r="B227" i="13"/>
  <c r="O151" i="13"/>
  <c r="B151" i="13"/>
  <c r="O147" i="13"/>
  <c r="B147" i="13"/>
  <c r="O143" i="13"/>
  <c r="B143" i="13"/>
  <c r="O131" i="13"/>
  <c r="B131" i="13"/>
  <c r="O127" i="13"/>
  <c r="B127" i="13"/>
  <c r="O123" i="13"/>
  <c r="B123" i="13"/>
  <c r="O63" i="13"/>
  <c r="B63" i="13"/>
  <c r="O55" i="13"/>
  <c r="B55" i="13"/>
  <c r="B1475" i="13"/>
  <c r="B1431" i="13"/>
  <c r="B1387" i="13"/>
  <c r="B1267" i="13"/>
  <c r="B1019" i="13"/>
  <c r="B983" i="13"/>
  <c r="B959" i="13"/>
  <c r="B867" i="13"/>
  <c r="B855" i="13"/>
  <c r="B803" i="13"/>
  <c r="B731" i="13"/>
  <c r="B623" i="13"/>
  <c r="O518" i="13"/>
  <c r="B518" i="13"/>
  <c r="O442" i="13"/>
  <c r="B442" i="13"/>
  <c r="O378" i="13"/>
  <c r="B378" i="13"/>
  <c r="O150" i="13"/>
  <c r="B150" i="13"/>
  <c r="O146" i="13"/>
  <c r="B146" i="13"/>
  <c r="O142" i="13"/>
  <c r="B142" i="13"/>
  <c r="O130" i="13"/>
  <c r="B130" i="13"/>
  <c r="O126" i="13"/>
  <c r="B126" i="13"/>
  <c r="O122" i="13"/>
  <c r="B122" i="13"/>
  <c r="O46" i="13"/>
  <c r="B46" i="13"/>
  <c r="B1474" i="13"/>
  <c r="B1386" i="13"/>
  <c r="B1270" i="13"/>
  <c r="B1266" i="13"/>
  <c r="B1246" i="13"/>
  <c r="B1238" i="13"/>
  <c r="B1198" i="13"/>
  <c r="B1030" i="13"/>
  <c r="B1018" i="13"/>
  <c r="B982" i="13"/>
  <c r="B958" i="13"/>
  <c r="B954" i="13"/>
  <c r="B866" i="13"/>
  <c r="B802" i="13"/>
  <c r="B734" i="13"/>
  <c r="B662" i="13"/>
  <c r="B622" i="13"/>
  <c r="O517" i="13"/>
  <c r="B517" i="13"/>
  <c r="O441" i="13"/>
  <c r="B441" i="13"/>
  <c r="O417" i="13"/>
  <c r="B417" i="13"/>
  <c r="O377" i="13"/>
  <c r="B377" i="13"/>
  <c r="O337" i="13"/>
  <c r="B337" i="13"/>
  <c r="O269" i="13"/>
  <c r="B269" i="13"/>
  <c r="O265" i="13"/>
  <c r="B265" i="13"/>
  <c r="O189" i="13"/>
  <c r="B189" i="13"/>
  <c r="O149" i="13"/>
  <c r="B149" i="13"/>
  <c r="O145" i="13"/>
  <c r="B145" i="13"/>
  <c r="O141" i="13"/>
  <c r="B141" i="13"/>
  <c r="O129" i="13"/>
  <c r="B129" i="13"/>
  <c r="O125" i="13"/>
  <c r="B125" i="13"/>
  <c r="O121" i="13"/>
  <c r="B121" i="13"/>
  <c r="O45" i="13"/>
  <c r="B45" i="13"/>
  <c r="C221" i="13" s="1"/>
  <c r="B1517" i="13"/>
  <c r="B1385" i="13"/>
  <c r="B1269" i="13"/>
  <c r="B1249" i="13"/>
  <c r="B1245" i="13"/>
  <c r="B1237" i="13"/>
  <c r="B1225" i="13"/>
  <c r="B1209" i="13"/>
  <c r="B1197" i="13"/>
  <c r="B1101" i="13"/>
  <c r="B1029" i="13"/>
  <c r="B957" i="13"/>
  <c r="B953" i="13"/>
  <c r="B861" i="13"/>
  <c r="B805" i="13"/>
  <c r="B753" i="13"/>
  <c r="B733" i="13"/>
  <c r="B661" i="13"/>
  <c r="B621" i="13"/>
  <c r="C381" i="13"/>
  <c r="C412" i="13"/>
  <c r="C104" i="13"/>
  <c r="C403" i="13"/>
  <c r="C107" i="13"/>
  <c r="C434" i="13"/>
  <c r="C174" i="13"/>
  <c r="G107" i="12"/>
  <c r="G93" i="12"/>
  <c r="G63" i="12"/>
  <c r="G51" i="12"/>
  <c r="G13" i="12"/>
  <c r="G78" i="12"/>
  <c r="G46" i="12"/>
  <c r="G38" i="12"/>
  <c r="G26" i="12"/>
  <c r="G2" i="12"/>
  <c r="G79" i="12" a="1"/>
  <c r="G94" i="12" a="1"/>
  <c r="G14" i="12" a="1"/>
  <c r="G39" i="12" a="1"/>
  <c r="G47" i="12" a="1"/>
  <c r="G108" i="12" a="1"/>
  <c r="G64" i="12" a="1"/>
  <c r="G27" i="12" a="1"/>
  <c r="G52" i="12" a="1"/>
  <c r="G3" i="12" a="1"/>
  <c r="C238" i="13" l="1"/>
  <c r="C502" i="13"/>
  <c r="C195" i="13"/>
  <c r="C467" i="13"/>
  <c r="C192" i="13"/>
  <c r="C492" i="13"/>
  <c r="P1346" i="13"/>
  <c r="C777" i="13"/>
  <c r="C302" i="13"/>
  <c r="C570" i="13"/>
  <c r="C263" i="13"/>
  <c r="C531" i="13"/>
  <c r="C260" i="13"/>
  <c r="C73" i="13"/>
  <c r="C18" i="13"/>
  <c r="C86" i="13"/>
  <c r="C366" i="13"/>
  <c r="C35" i="13"/>
  <c r="C331" i="13"/>
  <c r="C32" i="13"/>
  <c r="C340" i="13"/>
  <c r="C873" i="13"/>
  <c r="C206" i="13"/>
  <c r="C270" i="13"/>
  <c r="C470" i="13"/>
  <c r="C538" i="13"/>
  <c r="C163" i="13"/>
  <c r="C231" i="13"/>
  <c r="C295" i="13"/>
  <c r="C499" i="13"/>
  <c r="C563" i="13"/>
  <c r="C156" i="13"/>
  <c r="C224" i="13"/>
  <c r="C300" i="13"/>
  <c r="C372" i="13"/>
  <c r="C448" i="13"/>
  <c r="C3" i="13"/>
  <c r="C70" i="13"/>
  <c r="C158" i="13"/>
  <c r="C222" i="13"/>
  <c r="C286" i="13"/>
  <c r="C350" i="13"/>
  <c r="C418" i="13"/>
  <c r="C486" i="13"/>
  <c r="C554" i="13"/>
  <c r="C19" i="13"/>
  <c r="C91" i="13"/>
  <c r="C179" i="13"/>
  <c r="C247" i="13"/>
  <c r="C311" i="13"/>
  <c r="C387" i="13"/>
  <c r="C451" i="13"/>
  <c r="C515" i="13"/>
  <c r="C16" i="13"/>
  <c r="C88" i="13"/>
  <c r="C172" i="13"/>
  <c r="C244" i="13"/>
  <c r="C316" i="13"/>
  <c r="C396" i="13"/>
  <c r="C472" i="13"/>
  <c r="C53" i="13"/>
  <c r="C185" i="13"/>
  <c r="C325" i="13"/>
  <c r="C585" i="13"/>
  <c r="C681" i="13"/>
  <c r="C34" i="13"/>
  <c r="C102" i="13"/>
  <c r="C190" i="13"/>
  <c r="C254" i="13"/>
  <c r="C318" i="13"/>
  <c r="C386" i="13"/>
  <c r="C454" i="13"/>
  <c r="C522" i="13"/>
  <c r="C586" i="13"/>
  <c r="C51" i="13"/>
  <c r="C135" i="13"/>
  <c r="C211" i="13"/>
  <c r="C279" i="13"/>
  <c r="C347" i="13"/>
  <c r="C419" i="13"/>
  <c r="C483" i="13"/>
  <c r="C547" i="13"/>
  <c r="C48" i="13"/>
  <c r="C120" i="13"/>
  <c r="C208" i="13"/>
  <c r="C284" i="13"/>
  <c r="C356" i="13"/>
  <c r="C432" i="13"/>
  <c r="C512" i="13"/>
  <c r="C97" i="13"/>
  <c r="C253" i="13"/>
  <c r="C453" i="13"/>
  <c r="C633" i="13"/>
  <c r="C937" i="13"/>
  <c r="P122" i="13"/>
  <c r="P130" i="13"/>
  <c r="P146" i="13"/>
  <c r="P154" i="13"/>
  <c r="P383" i="13"/>
  <c r="C296" i="13"/>
  <c r="C54" i="13"/>
  <c r="C118" i="13"/>
  <c r="C334" i="13"/>
  <c r="C402" i="13"/>
  <c r="C602" i="13"/>
  <c r="C75" i="13"/>
  <c r="C363" i="13"/>
  <c r="C435" i="13"/>
  <c r="C72" i="13"/>
  <c r="C29" i="13"/>
  <c r="C153" i="13"/>
  <c r="C293" i="13"/>
  <c r="C521" i="13"/>
  <c r="C921" i="13"/>
  <c r="C825" i="13"/>
  <c r="P378" i="13"/>
  <c r="P127" i="13"/>
  <c r="P319" i="13"/>
  <c r="P28" i="13"/>
  <c r="P84" i="13"/>
  <c r="P152" i="13"/>
  <c r="P204" i="13"/>
  <c r="P256" i="13"/>
  <c r="P352" i="13"/>
  <c r="P218" i="13"/>
  <c r="P414" i="13"/>
  <c r="P482" i="13"/>
  <c r="P550" i="13"/>
  <c r="P614" i="13"/>
  <c r="P678" i="13"/>
  <c r="P43" i="13"/>
  <c r="P115" i="13"/>
  <c r="P203" i="13"/>
  <c r="P271" i="13"/>
  <c r="P621" i="13"/>
  <c r="P685" i="13"/>
  <c r="P749" i="13"/>
  <c r="P813" i="13"/>
  <c r="P877" i="13"/>
  <c r="P941" i="13"/>
  <c r="P1005" i="13"/>
  <c r="P1069" i="13"/>
  <c r="P1133" i="13"/>
  <c r="P1197" i="13"/>
  <c r="P1261" i="13"/>
  <c r="P1325" i="13"/>
  <c r="P738" i="13"/>
  <c r="P802" i="13"/>
  <c r="P866" i="13"/>
  <c r="P930" i="13"/>
  <c r="P994" i="13"/>
  <c r="P1058" i="13"/>
  <c r="P1122" i="13"/>
  <c r="P1186" i="13"/>
  <c r="P1250" i="13"/>
  <c r="P1314" i="13"/>
  <c r="P518" i="13"/>
  <c r="P143" i="13"/>
  <c r="P44" i="13"/>
  <c r="P100" i="13"/>
  <c r="P168" i="13"/>
  <c r="P220" i="13"/>
  <c r="P296" i="13"/>
  <c r="P332" i="13"/>
  <c r="P408" i="13"/>
  <c r="P460" i="13"/>
  <c r="P508" i="13"/>
  <c r="P560" i="13"/>
  <c r="P624" i="13"/>
  <c r="P5" i="13"/>
  <c r="P73" i="13"/>
  <c r="P161" i="13"/>
  <c r="P257" i="13"/>
  <c r="P421" i="13"/>
  <c r="C6" i="13"/>
  <c r="C38" i="13"/>
  <c r="C90" i="13"/>
  <c r="C134" i="13"/>
  <c r="C194" i="13"/>
  <c r="C242" i="13"/>
  <c r="C274" i="13"/>
  <c r="C306" i="13"/>
  <c r="C406" i="13"/>
  <c r="C438" i="13"/>
  <c r="C474" i="13"/>
  <c r="C558" i="13"/>
  <c r="C574" i="13"/>
  <c r="C23" i="13"/>
  <c r="C59" i="13"/>
  <c r="C79" i="13"/>
  <c r="C139" i="13"/>
  <c r="C167" i="13"/>
  <c r="C199" i="13"/>
  <c r="C215" i="13"/>
  <c r="C251" i="13"/>
  <c r="C283" i="13"/>
  <c r="C299" i="13"/>
  <c r="C335" i="13"/>
  <c r="C391" i="13"/>
  <c r="C407" i="13"/>
  <c r="C439" i="13"/>
  <c r="C455" i="13"/>
  <c r="C471" i="13"/>
  <c r="C487" i="13"/>
  <c r="C503" i="13"/>
  <c r="C519" i="13"/>
  <c r="C535" i="13"/>
  <c r="C551" i="13"/>
  <c r="C4" i="13"/>
  <c r="C20" i="13"/>
  <c r="C36" i="13"/>
  <c r="C52" i="13"/>
  <c r="C76" i="13"/>
  <c r="C92" i="13"/>
  <c r="C108" i="13"/>
  <c r="C132" i="13"/>
  <c r="C160" i="13"/>
  <c r="C176" i="13"/>
  <c r="C196" i="13"/>
  <c r="C212" i="13"/>
  <c r="C232" i="13"/>
  <c r="C248" i="13"/>
  <c r="C272" i="13"/>
  <c r="C288" i="13"/>
  <c r="C304" i="13"/>
  <c r="C324" i="13"/>
  <c r="C344" i="13"/>
  <c r="C360" i="13"/>
  <c r="C380" i="13"/>
  <c r="C400" i="13"/>
  <c r="C420" i="13"/>
  <c r="C436" i="13"/>
  <c r="C456" i="13"/>
  <c r="C476" i="13"/>
  <c r="C496" i="13"/>
  <c r="C13" i="13"/>
  <c r="C33" i="13"/>
  <c r="C57" i="13"/>
  <c r="C81" i="13"/>
  <c r="C105" i="13"/>
  <c r="C161" i="13"/>
  <c r="C197" i="13"/>
  <c r="C229" i="13"/>
  <c r="C261" i="13"/>
  <c r="C301" i="13"/>
  <c r="C333" i="13"/>
  <c r="C397" i="13"/>
  <c r="C469" i="13"/>
  <c r="C537" i="13"/>
  <c r="C601" i="13"/>
  <c r="C649" i="13"/>
  <c r="C697" i="13"/>
  <c r="C745" i="13"/>
  <c r="C793" i="13"/>
  <c r="C841" i="13"/>
  <c r="C889" i="13"/>
  <c r="C953" i="13"/>
  <c r="P121" i="13"/>
  <c r="P129" i="13"/>
  <c r="P145" i="13"/>
  <c r="P189" i="13"/>
  <c r="P269" i="13"/>
  <c r="P377" i="13"/>
  <c r="P441" i="13"/>
  <c r="P64" i="13"/>
  <c r="P128" i="13"/>
  <c r="P144" i="13"/>
  <c r="P188" i="13"/>
  <c r="P264" i="13"/>
  <c r="P320" i="13"/>
  <c r="P376" i="13"/>
  <c r="P416" i="13"/>
  <c r="P16" i="13"/>
  <c r="P32" i="13"/>
  <c r="P48" i="13"/>
  <c r="P72" i="13"/>
  <c r="P88" i="13"/>
  <c r="P104" i="13"/>
  <c r="P120" i="13"/>
  <c r="P156" i="13"/>
  <c r="P172" i="13"/>
  <c r="P192" i="13"/>
  <c r="P208" i="13"/>
  <c r="P224" i="13"/>
  <c r="P244" i="13"/>
  <c r="P260" i="13"/>
  <c r="P284" i="13"/>
  <c r="P300" i="13"/>
  <c r="P316" i="13"/>
  <c r="P340" i="13"/>
  <c r="P356" i="13"/>
  <c r="P372" i="13"/>
  <c r="P396" i="13"/>
  <c r="P412" i="13"/>
  <c r="P432" i="13"/>
  <c r="P448" i="13"/>
  <c r="P464" i="13"/>
  <c r="P480" i="13"/>
  <c r="P496" i="13"/>
  <c r="P512" i="13"/>
  <c r="P528" i="13"/>
  <c r="P544" i="13"/>
  <c r="P564" i="13"/>
  <c r="P588" i="13"/>
  <c r="P608" i="13"/>
  <c r="P628" i="13"/>
  <c r="P652" i="13"/>
  <c r="P672" i="13"/>
  <c r="P9" i="13"/>
  <c r="P33" i="13"/>
  <c r="P57" i="13"/>
  <c r="P77" i="13"/>
  <c r="P101" i="13"/>
  <c r="P133" i="13"/>
  <c r="P165" i="13"/>
  <c r="P197" i="13"/>
  <c r="P229" i="13"/>
  <c r="P261" i="13"/>
  <c r="P301" i="13"/>
  <c r="P365" i="13"/>
  <c r="P437" i="13"/>
  <c r="P505" i="13"/>
  <c r="P14" i="13"/>
  <c r="P82" i="13"/>
  <c r="P170" i="13"/>
  <c r="P234" i="13"/>
  <c r="P298" i="13"/>
  <c r="P362" i="13"/>
  <c r="P430" i="13"/>
  <c r="P498" i="13"/>
  <c r="P566" i="13"/>
  <c r="P630" i="13"/>
  <c r="P694" i="13"/>
  <c r="P67" i="13"/>
  <c r="P155" i="13"/>
  <c r="P219" i="13"/>
  <c r="P573" i="13"/>
  <c r="P637" i="13"/>
  <c r="P701" i="13"/>
  <c r="P765" i="13"/>
  <c r="P829" i="13"/>
  <c r="P893" i="13"/>
  <c r="P957" i="13"/>
  <c r="P1021" i="13"/>
  <c r="P1085" i="13"/>
  <c r="P1149" i="13"/>
  <c r="P1213" i="13"/>
  <c r="P1277" i="13"/>
  <c r="P1341" i="13"/>
  <c r="P754" i="13"/>
  <c r="P818" i="13"/>
  <c r="P882" i="13"/>
  <c r="P946" i="13"/>
  <c r="P1010" i="13"/>
  <c r="P1074" i="13"/>
  <c r="P1138" i="13"/>
  <c r="P1202" i="13"/>
  <c r="P1266" i="13"/>
  <c r="P1330" i="13"/>
  <c r="P63" i="13"/>
  <c r="P151" i="13"/>
  <c r="P368" i="13"/>
  <c r="P428" i="13"/>
  <c r="P476" i="13"/>
  <c r="P524" i="13"/>
  <c r="P580" i="13"/>
  <c r="P644" i="13"/>
  <c r="P25" i="13"/>
  <c r="P93" i="13"/>
  <c r="P193" i="13"/>
  <c r="P297" i="13"/>
  <c r="P557" i="13"/>
  <c r="P282" i="13"/>
  <c r="C58" i="13"/>
  <c r="C162" i="13"/>
  <c r="C226" i="13"/>
  <c r="C322" i="13"/>
  <c r="C354" i="13"/>
  <c r="C390" i="13"/>
  <c r="C422" i="13"/>
  <c r="C458" i="13"/>
  <c r="C506" i="13"/>
  <c r="C542" i="13"/>
  <c r="C590" i="13"/>
  <c r="C7" i="13"/>
  <c r="C39" i="13"/>
  <c r="C95" i="13"/>
  <c r="C111" i="13"/>
  <c r="C183" i="13"/>
  <c r="C235" i="13"/>
  <c r="C267" i="13"/>
  <c r="C315" i="13"/>
  <c r="C351" i="13"/>
  <c r="C367" i="13"/>
  <c r="C423" i="13"/>
  <c r="C5" i="13"/>
  <c r="C10" i="13"/>
  <c r="C26" i="13"/>
  <c r="C42" i="13"/>
  <c r="C62" i="13"/>
  <c r="C78" i="13"/>
  <c r="C94" i="13"/>
  <c r="C110" i="13"/>
  <c r="C138" i="13"/>
  <c r="C166" i="13"/>
  <c r="C182" i="13"/>
  <c r="C198" i="13"/>
  <c r="C214" i="13"/>
  <c r="C230" i="13"/>
  <c r="C246" i="13"/>
  <c r="C262" i="13"/>
  <c r="C278" i="13"/>
  <c r="C294" i="13"/>
  <c r="C310" i="13"/>
  <c r="C326" i="13"/>
  <c r="C342" i="13"/>
  <c r="C358" i="13"/>
  <c r="C374" i="13"/>
  <c r="C394" i="13"/>
  <c r="C410" i="13"/>
  <c r="C426" i="13"/>
  <c r="C446" i="13"/>
  <c r="C462" i="13"/>
  <c r="C478" i="13"/>
  <c r="C494" i="13"/>
  <c r="C510" i="13"/>
  <c r="C530" i="13"/>
  <c r="C546" i="13"/>
  <c r="C562" i="13"/>
  <c r="C578" i="13"/>
  <c r="C594" i="13"/>
  <c r="C11" i="13"/>
  <c r="C27" i="13"/>
  <c r="C43" i="13"/>
  <c r="C67" i="13"/>
  <c r="C83" i="13"/>
  <c r="C99" i="13"/>
  <c r="C115" i="13"/>
  <c r="C155" i="13"/>
  <c r="C171" i="13"/>
  <c r="C187" i="13"/>
  <c r="C203" i="13"/>
  <c r="C219" i="13"/>
  <c r="C239" i="13"/>
  <c r="C255" i="13"/>
  <c r="C271" i="13"/>
  <c r="C287" i="13"/>
  <c r="C303" i="13"/>
  <c r="C323" i="13"/>
  <c r="C339" i="13"/>
  <c r="C355" i="13"/>
  <c r="C371" i="13"/>
  <c r="C395" i="13"/>
  <c r="C411" i="13"/>
  <c r="C427" i="13"/>
  <c r="C443" i="13"/>
  <c r="C459" i="13"/>
  <c r="C475" i="13"/>
  <c r="C491" i="13"/>
  <c r="C507" i="13"/>
  <c r="C523" i="13"/>
  <c r="C539" i="13"/>
  <c r="C555" i="13"/>
  <c r="C8" i="13"/>
  <c r="C24" i="13"/>
  <c r="C40" i="13"/>
  <c r="C60" i="13"/>
  <c r="C80" i="13"/>
  <c r="C96" i="13"/>
  <c r="C112" i="13"/>
  <c r="C136" i="13"/>
  <c r="C164" i="13"/>
  <c r="C180" i="13"/>
  <c r="C200" i="13"/>
  <c r="C216" i="13"/>
  <c r="C236" i="13"/>
  <c r="C252" i="13"/>
  <c r="C276" i="13"/>
  <c r="C292" i="13"/>
  <c r="C308" i="13"/>
  <c r="C328" i="13"/>
  <c r="C348" i="13"/>
  <c r="C364" i="13"/>
  <c r="C388" i="13"/>
  <c r="C404" i="13"/>
  <c r="C424" i="13"/>
  <c r="C440" i="13"/>
  <c r="C460" i="13"/>
  <c r="C480" i="13"/>
  <c r="C504" i="13"/>
  <c r="C17" i="13"/>
  <c r="C37" i="13"/>
  <c r="C65" i="13"/>
  <c r="C85" i="13"/>
  <c r="C113" i="13"/>
  <c r="C169" i="13"/>
  <c r="C205" i="13"/>
  <c r="C237" i="13"/>
  <c r="C277" i="13"/>
  <c r="C309" i="13"/>
  <c r="C345" i="13"/>
  <c r="C413" i="13"/>
  <c r="C485" i="13"/>
  <c r="C553" i="13"/>
  <c r="C617" i="13"/>
  <c r="C713" i="13"/>
  <c r="C605" i="13"/>
  <c r="C857" i="13"/>
  <c r="C905" i="13"/>
  <c r="C1528" i="13"/>
  <c r="P46" i="13"/>
  <c r="P126" i="13"/>
  <c r="P142" i="13"/>
  <c r="P150" i="13"/>
  <c r="P442" i="13"/>
  <c r="P55" i="13"/>
  <c r="P123" i="13"/>
  <c r="P131" i="13"/>
  <c r="P147" i="13"/>
  <c r="P227" i="13"/>
  <c r="P379" i="13"/>
  <c r="P4" i="13"/>
  <c r="P20" i="13"/>
  <c r="P36" i="13"/>
  <c r="P52" i="13"/>
  <c r="P76" i="13"/>
  <c r="P92" i="13"/>
  <c r="P108" i="13"/>
  <c r="P132" i="13"/>
  <c r="P160" i="13"/>
  <c r="P176" i="13"/>
  <c r="P196" i="13"/>
  <c r="P212" i="13"/>
  <c r="P232" i="13"/>
  <c r="P248" i="13"/>
  <c r="P272" i="13"/>
  <c r="P288" i="13"/>
  <c r="P304" i="13"/>
  <c r="P324" i="13"/>
  <c r="P344" i="13"/>
  <c r="P360" i="13"/>
  <c r="P380" i="13"/>
  <c r="P400" i="13"/>
  <c r="P420" i="13"/>
  <c r="P436" i="13"/>
  <c r="P452" i="13"/>
  <c r="P468" i="13"/>
  <c r="P484" i="13"/>
  <c r="P500" i="13"/>
  <c r="P516" i="13"/>
  <c r="P532" i="13"/>
  <c r="P548" i="13"/>
  <c r="P572" i="13"/>
  <c r="P592" i="13"/>
  <c r="P612" i="13"/>
  <c r="P636" i="13"/>
  <c r="P656" i="13"/>
  <c r="P676" i="13"/>
  <c r="P17" i="13"/>
  <c r="P37" i="13"/>
  <c r="P61" i="13"/>
  <c r="P85" i="13"/>
  <c r="P105" i="13"/>
  <c r="P137" i="13"/>
  <c r="P173" i="13"/>
  <c r="P209" i="13"/>
  <c r="P241" i="13"/>
  <c r="P281" i="13"/>
  <c r="P313" i="13"/>
  <c r="P385" i="13"/>
  <c r="P457" i="13"/>
  <c r="P525" i="13"/>
  <c r="P30" i="13"/>
  <c r="P98" i="13"/>
  <c r="P186" i="13"/>
  <c r="P250" i="13"/>
  <c r="P314" i="13"/>
  <c r="P382" i="13"/>
  <c r="P450" i="13"/>
  <c r="P514" i="13"/>
  <c r="P582" i="13"/>
  <c r="P646" i="13"/>
  <c r="P11" i="13"/>
  <c r="P83" i="13"/>
  <c r="P171" i="13"/>
  <c r="P239" i="13"/>
  <c r="P589" i="13"/>
  <c r="P653" i="13"/>
  <c r="P717" i="13"/>
  <c r="P781" i="13"/>
  <c r="P845" i="13"/>
  <c r="P909" i="13"/>
  <c r="P973" i="13"/>
  <c r="P1037" i="13"/>
  <c r="P1101" i="13"/>
  <c r="P1165" i="13"/>
  <c r="P1229" i="13"/>
  <c r="P1293" i="13"/>
  <c r="P706" i="13"/>
  <c r="P770" i="13"/>
  <c r="P834" i="13"/>
  <c r="P898" i="13"/>
  <c r="P962" i="13"/>
  <c r="P1026" i="13"/>
  <c r="P1090" i="13"/>
  <c r="P1154" i="13"/>
  <c r="P1218" i="13"/>
  <c r="P1282" i="13"/>
  <c r="P12" i="13"/>
  <c r="P68" i="13"/>
  <c r="P116" i="13"/>
  <c r="P184" i="13"/>
  <c r="P240" i="13"/>
  <c r="P280" i="13"/>
  <c r="P312" i="13"/>
  <c r="P392" i="13"/>
  <c r="P444" i="13"/>
  <c r="P492" i="13"/>
  <c r="P540" i="13"/>
  <c r="P604" i="13"/>
  <c r="P668" i="13"/>
  <c r="P53" i="13"/>
  <c r="P117" i="13"/>
  <c r="P225" i="13"/>
  <c r="P349" i="13"/>
  <c r="P489" i="13"/>
  <c r="P66" i="13"/>
  <c r="P346" i="13"/>
  <c r="C22" i="13"/>
  <c r="C74" i="13"/>
  <c r="C106" i="13"/>
  <c r="C178" i="13"/>
  <c r="C210" i="13"/>
  <c r="C258" i="13"/>
  <c r="C290" i="13"/>
  <c r="C338" i="13"/>
  <c r="C370" i="13"/>
  <c r="C490" i="13"/>
  <c r="C526" i="13"/>
  <c r="C2" i="13"/>
  <c r="C14" i="13"/>
  <c r="C30" i="13"/>
  <c r="C50" i="13"/>
  <c r="C66" i="13"/>
  <c r="C82" i="13"/>
  <c r="C98" i="13"/>
  <c r="C114" i="13"/>
  <c r="C154" i="13"/>
  <c r="C170" i="13"/>
  <c r="C186" i="13"/>
  <c r="C202" i="13"/>
  <c r="C218" i="13"/>
  <c r="C234" i="13"/>
  <c r="C250" i="13"/>
  <c r="C266" i="13"/>
  <c r="C282" i="13"/>
  <c r="C298" i="13"/>
  <c r="C314" i="13"/>
  <c r="C330" i="13"/>
  <c r="C346" i="13"/>
  <c r="C362" i="13"/>
  <c r="C382" i="13"/>
  <c r="C398" i="13"/>
  <c r="C414" i="13"/>
  <c r="C430" i="13"/>
  <c r="C450" i="13"/>
  <c r="C466" i="13"/>
  <c r="C482" i="13"/>
  <c r="C498" i="13"/>
  <c r="C514" i="13"/>
  <c r="C534" i="13"/>
  <c r="C550" i="13"/>
  <c r="C566" i="13"/>
  <c r="C582" i="13"/>
  <c r="C598" i="13"/>
  <c r="C15" i="13"/>
  <c r="C31" i="13"/>
  <c r="C47" i="13"/>
  <c r="C71" i="13"/>
  <c r="C87" i="13"/>
  <c r="C103" i="13"/>
  <c r="C119" i="13"/>
  <c r="C159" i="13"/>
  <c r="C175" i="13"/>
  <c r="C191" i="13"/>
  <c r="C207" i="13"/>
  <c r="C223" i="13"/>
  <c r="C243" i="13"/>
  <c r="C259" i="13"/>
  <c r="C275" i="13"/>
  <c r="C291" i="13"/>
  <c r="C307" i="13"/>
  <c r="C327" i="13"/>
  <c r="C343" i="13"/>
  <c r="C359" i="13"/>
  <c r="C375" i="13"/>
  <c r="C399" i="13"/>
  <c r="C415" i="13"/>
  <c r="C431" i="13"/>
  <c r="C447" i="13"/>
  <c r="C463" i="13"/>
  <c r="C479" i="13"/>
  <c r="C495" i="13"/>
  <c r="C511" i="13"/>
  <c r="C527" i="13"/>
  <c r="C543" i="13"/>
  <c r="C559" i="13"/>
  <c r="C12" i="13"/>
  <c r="C28" i="13"/>
  <c r="C44" i="13"/>
  <c r="C68" i="13"/>
  <c r="C84" i="13"/>
  <c r="C100" i="13"/>
  <c r="C116" i="13"/>
  <c r="C152" i="13"/>
  <c r="C168" i="13"/>
  <c r="C184" i="13"/>
  <c r="C204" i="13"/>
  <c r="C220" i="13"/>
  <c r="C240" i="13"/>
  <c r="C256" i="13"/>
  <c r="C280" i="13"/>
  <c r="C312" i="13"/>
  <c r="C332" i="13"/>
  <c r="C352" i="13"/>
  <c r="C368" i="13"/>
  <c r="C392" i="13"/>
  <c r="C408" i="13"/>
  <c r="C428" i="13"/>
  <c r="C444" i="13"/>
  <c r="C464" i="13"/>
  <c r="C488" i="13"/>
  <c r="C508" i="13"/>
  <c r="C21" i="13"/>
  <c r="C49" i="13"/>
  <c r="C69" i="13"/>
  <c r="C89" i="13"/>
  <c r="C133" i="13"/>
  <c r="C177" i="13"/>
  <c r="C213" i="13"/>
  <c r="C245" i="13"/>
  <c r="C285" i="13"/>
  <c r="C317" i="13"/>
  <c r="C361" i="13"/>
  <c r="C433" i="13"/>
  <c r="C501" i="13"/>
  <c r="C569" i="13"/>
  <c r="C1529" i="13"/>
  <c r="C665" i="13"/>
  <c r="C729" i="13"/>
  <c r="C761" i="13"/>
  <c r="C809" i="13"/>
  <c r="P45" i="13"/>
  <c r="P1536" i="13"/>
  <c r="P1520" i="13"/>
  <c r="P1504" i="13"/>
  <c r="P1488" i="13"/>
  <c r="P1472" i="13"/>
  <c r="P1456" i="13"/>
  <c r="P1440" i="13"/>
  <c r="P1424" i="13"/>
  <c r="P1408" i="13"/>
  <c r="P1392" i="13"/>
  <c r="P1376" i="13"/>
  <c r="P1531" i="13"/>
  <c r="P1515" i="13"/>
  <c r="P1499" i="13"/>
  <c r="P1483" i="13"/>
  <c r="P1467" i="13"/>
  <c r="P1451" i="13"/>
  <c r="P1435" i="13"/>
  <c r="P1419" i="13"/>
  <c r="P1403" i="13"/>
  <c r="P1387" i="13"/>
  <c r="P1371" i="13"/>
  <c r="P1355" i="13"/>
  <c r="P1339" i="13"/>
  <c r="P1323" i="13"/>
  <c r="P1307" i="13"/>
  <c r="P1291" i="13"/>
  <c r="P1275" i="13"/>
  <c r="P1259" i="13"/>
  <c r="P1243" i="13"/>
  <c r="P1227" i="13"/>
  <c r="P1211" i="13"/>
  <c r="P1195" i="13"/>
  <c r="P1179" i="13"/>
  <c r="P1163" i="13"/>
  <c r="P1147" i="13"/>
  <c r="P1131" i="13"/>
  <c r="P1115" i="13"/>
  <c r="P1534" i="13"/>
  <c r="P1518" i="13"/>
  <c r="P1525" i="13"/>
  <c r="P1509" i="13"/>
  <c r="P1493" i="13"/>
  <c r="P1477" i="13"/>
  <c r="P1461" i="13"/>
  <c r="P1445" i="13"/>
  <c r="P1429" i="13"/>
  <c r="P1413" i="13"/>
  <c r="P1397" i="13"/>
  <c r="P1381" i="13"/>
  <c r="P1365" i="13"/>
  <c r="P1364" i="13"/>
  <c r="P1348" i="13"/>
  <c r="P1332" i="13"/>
  <c r="P1316" i="13"/>
  <c r="P1300" i="13"/>
  <c r="P1284" i="13"/>
  <c r="P1268" i="13"/>
  <c r="P1252" i="13"/>
  <c r="P1236" i="13"/>
  <c r="P1220" i="13"/>
  <c r="P1204" i="13"/>
  <c r="P1188" i="13"/>
  <c r="P1172" i="13"/>
  <c r="P1156" i="13"/>
  <c r="P1140" i="13"/>
  <c r="P1124" i="13"/>
  <c r="P1108" i="13"/>
  <c r="P1092" i="13"/>
  <c r="P1076" i="13"/>
  <c r="P1060" i="13"/>
  <c r="P1044" i="13"/>
  <c r="P1028" i="13"/>
  <c r="P1012" i="13"/>
  <c r="P996" i="13"/>
  <c r="P980" i="13"/>
  <c r="P964" i="13"/>
  <c r="P948" i="13"/>
  <c r="P932" i="13"/>
  <c r="P916" i="13"/>
  <c r="P900" i="13"/>
  <c r="P884" i="13"/>
  <c r="P868" i="13"/>
  <c r="P852" i="13"/>
  <c r="P836" i="13"/>
  <c r="P820" i="13"/>
  <c r="P804" i="13"/>
  <c r="P788" i="13"/>
  <c r="P772" i="13"/>
  <c r="P756" i="13"/>
  <c r="P740" i="13"/>
  <c r="P724" i="13"/>
  <c r="P708" i="13"/>
  <c r="P692" i="13"/>
  <c r="P1091" i="13"/>
  <c r="P1075" i="13"/>
  <c r="P1059" i="13"/>
  <c r="P1043" i="13"/>
  <c r="P1027" i="13"/>
  <c r="P1011" i="13"/>
  <c r="P995" i="13"/>
  <c r="P979" i="13"/>
  <c r="P963" i="13"/>
  <c r="P947" i="13"/>
  <c r="P931" i="13"/>
  <c r="P915" i="13"/>
  <c r="P899" i="13"/>
  <c r="P883" i="13"/>
  <c r="P867" i="13"/>
  <c r="P851" i="13"/>
  <c r="P835" i="13"/>
  <c r="P819" i="13"/>
  <c r="P803" i="13"/>
  <c r="P787" i="13"/>
  <c r="P771" i="13"/>
  <c r="P755" i="13"/>
  <c r="P739" i="13"/>
  <c r="P723" i="13"/>
  <c r="P707" i="13"/>
  <c r="P691" i="13"/>
  <c r="P675" i="13"/>
  <c r="P659" i="13"/>
  <c r="P643" i="13"/>
  <c r="P627" i="13"/>
  <c r="P611" i="13"/>
  <c r="P595" i="13"/>
  <c r="P579" i="13"/>
  <c r="P563" i="13"/>
  <c r="P547" i="13"/>
  <c r="P531" i="13"/>
  <c r="P515" i="13"/>
  <c r="P499" i="13"/>
  <c r="P483" i="13"/>
  <c r="P467" i="13"/>
  <c r="P451" i="13"/>
  <c r="P435" i="13"/>
  <c r="P419" i="13"/>
  <c r="P403" i="13"/>
  <c r="P387" i="13"/>
  <c r="P363" i="13"/>
  <c r="P347" i="13"/>
  <c r="P331" i="13"/>
  <c r="P311" i="13"/>
  <c r="P295" i="13"/>
  <c r="P279" i="13"/>
  <c r="P1502" i="13"/>
  <c r="P1486" i="13"/>
  <c r="P1470" i="13"/>
  <c r="P1454" i="13"/>
  <c r="P1438" i="13"/>
  <c r="P1422" i="13"/>
  <c r="P1406" i="13"/>
  <c r="P1390" i="13"/>
  <c r="P1374" i="13"/>
  <c r="P1358" i="13"/>
  <c r="P1342" i="13"/>
  <c r="P1326" i="13"/>
  <c r="P1310" i="13"/>
  <c r="P1294" i="13"/>
  <c r="P1278" i="13"/>
  <c r="P1262" i="13"/>
  <c r="P1246" i="13"/>
  <c r="P1230" i="13"/>
  <c r="P1214" i="13"/>
  <c r="P1198" i="13"/>
  <c r="P1182" i="13"/>
  <c r="P1166" i="13"/>
  <c r="P1150" i="13"/>
  <c r="P1134" i="13"/>
  <c r="P1118" i="13"/>
  <c r="P1102" i="13"/>
  <c r="P1086" i="13"/>
  <c r="P1070" i="13"/>
  <c r="P1054" i="13"/>
  <c r="P1038" i="13"/>
  <c r="P1022" i="13"/>
  <c r="P1006" i="13"/>
  <c r="P990" i="13"/>
  <c r="P974" i="13"/>
  <c r="P958" i="13"/>
  <c r="P942" i="13"/>
  <c r="P926" i="13"/>
  <c r="P910" i="13"/>
  <c r="P894" i="13"/>
  <c r="P878" i="13"/>
  <c r="P862" i="13"/>
  <c r="P846" i="13"/>
  <c r="P830" i="13"/>
  <c r="P814" i="13"/>
  <c r="P798" i="13"/>
  <c r="P782" i="13"/>
  <c r="P766" i="13"/>
  <c r="P750" i="13"/>
  <c r="P734" i="13"/>
  <c r="P718" i="13"/>
  <c r="P702" i="13"/>
  <c r="P1337" i="13"/>
  <c r="P1321" i="13"/>
  <c r="P1305" i="13"/>
  <c r="P1289" i="13"/>
  <c r="P1273" i="13"/>
  <c r="P1257" i="13"/>
  <c r="P1241" i="13"/>
  <c r="P1225" i="13"/>
  <c r="P1209" i="13"/>
  <c r="P1193" i="13"/>
  <c r="P1177" i="13"/>
  <c r="P1161" i="13"/>
  <c r="P1145" i="13"/>
  <c r="P1129" i="13"/>
  <c r="P1113" i="13"/>
  <c r="P1097" i="13"/>
  <c r="P1081" i="13"/>
  <c r="P1065" i="13"/>
  <c r="P1049" i="13"/>
  <c r="P1033" i="13"/>
  <c r="P1017" i="13"/>
  <c r="P1001" i="13"/>
  <c r="P985" i="13"/>
  <c r="P969" i="13"/>
  <c r="P953" i="13"/>
  <c r="P937" i="13"/>
  <c r="P921" i="13"/>
  <c r="P905" i="13"/>
  <c r="P889" i="13"/>
  <c r="P873" i="13"/>
  <c r="P857" i="13"/>
  <c r="P841" i="13"/>
  <c r="P825" i="13"/>
  <c r="P809" i="13"/>
  <c r="P793" i="13"/>
  <c r="P777" i="13"/>
  <c r="P761" i="13"/>
  <c r="P745" i="13"/>
  <c r="P729" i="13"/>
  <c r="P713" i="13"/>
  <c r="P697" i="13"/>
  <c r="P681" i="13"/>
  <c r="P665" i="13"/>
  <c r="P649" i="13"/>
  <c r="P633" i="13"/>
  <c r="P617" i="13"/>
  <c r="P601" i="13"/>
  <c r="P585" i="13"/>
  <c r="P569" i="13"/>
  <c r="P267" i="13"/>
  <c r="P251" i="13"/>
  <c r="P235" i="13"/>
  <c r="P215" i="13"/>
  <c r="P199" i="13"/>
  <c r="P183" i="13"/>
  <c r="P167" i="13"/>
  <c r="P139" i="13"/>
  <c r="P111" i="13"/>
  <c r="P95" i="13"/>
  <c r="P79" i="13"/>
  <c r="P59" i="13"/>
  <c r="P39" i="13"/>
  <c r="P23" i="13"/>
  <c r="P7" i="13"/>
  <c r="P690" i="13"/>
  <c r="P674" i="13"/>
  <c r="P658" i="13"/>
  <c r="P642" i="13"/>
  <c r="P626" i="13"/>
  <c r="P610" i="13"/>
  <c r="P594" i="13"/>
  <c r="P578" i="13"/>
  <c r="P562" i="13"/>
  <c r="P546" i="13"/>
  <c r="P530" i="13"/>
  <c r="P510" i="13"/>
  <c r="P494" i="13"/>
  <c r="P478" i="13"/>
  <c r="P462" i="13"/>
  <c r="P446" i="13"/>
  <c r="P426" i="13"/>
  <c r="P410" i="13"/>
  <c r="P394" i="13"/>
  <c r="P374" i="13"/>
  <c r="P358" i="13"/>
  <c r="P342" i="13"/>
  <c r="P326" i="13"/>
  <c r="P310" i="13"/>
  <c r="P294" i="13"/>
  <c r="P278" i="13"/>
  <c r="P262" i="13"/>
  <c r="P246" i="13"/>
  <c r="P230" i="13"/>
  <c r="P214" i="13"/>
  <c r="P198" i="13"/>
  <c r="P182" i="13"/>
  <c r="P166" i="13"/>
  <c r="P138" i="13"/>
  <c r="P110" i="13"/>
  <c r="P94" i="13"/>
  <c r="P78" i="13"/>
  <c r="P62" i="13"/>
  <c r="P42" i="13"/>
  <c r="P26" i="13"/>
  <c r="P10" i="13"/>
  <c r="P553" i="13"/>
  <c r="P537" i="13"/>
  <c r="P521" i="13"/>
  <c r="P501" i="13"/>
  <c r="P485" i="13"/>
  <c r="P469" i="13"/>
  <c r="P453" i="13"/>
  <c r="P433" i="13"/>
  <c r="P413" i="13"/>
  <c r="P397" i="13"/>
  <c r="P381" i="13"/>
  <c r="P361" i="13"/>
  <c r="P345" i="13"/>
  <c r="P325" i="13"/>
  <c r="P309" i="13"/>
  <c r="P293" i="13"/>
  <c r="P277" i="13"/>
  <c r="P253" i="13"/>
  <c r="P237" i="13"/>
  <c r="P221" i="13"/>
  <c r="P205" i="13"/>
  <c r="P185" i="13"/>
  <c r="P169" i="13"/>
  <c r="P153" i="13"/>
  <c r="P113" i="13"/>
  <c r="P97" i="13"/>
  <c r="P81" i="13"/>
  <c r="P65" i="13"/>
  <c r="P49" i="13"/>
  <c r="P29" i="13"/>
  <c r="P13" i="13"/>
  <c r="P680" i="13"/>
  <c r="P664" i="13"/>
  <c r="P648" i="13"/>
  <c r="P632" i="13"/>
  <c r="P616" i="13"/>
  <c r="P600" i="13"/>
  <c r="P584" i="13"/>
  <c r="P568" i="13"/>
  <c r="P552" i="13"/>
  <c r="P1532" i="13"/>
  <c r="P1516" i="13"/>
  <c r="P1500" i="13"/>
  <c r="P1484" i="13"/>
  <c r="P1468" i="13"/>
  <c r="P1452" i="13"/>
  <c r="P1436" i="13"/>
  <c r="P1420" i="13"/>
  <c r="P1404" i="13"/>
  <c r="P1388" i="13"/>
  <c r="P1372" i="13"/>
  <c r="P1527" i="13"/>
  <c r="P1511" i="13"/>
  <c r="P1495" i="13"/>
  <c r="P1479" i="13"/>
  <c r="P1463" i="13"/>
  <c r="P1447" i="13"/>
  <c r="P1431" i="13"/>
  <c r="P1415" i="13"/>
  <c r="P1399" i="13"/>
  <c r="P1383" i="13"/>
  <c r="P1367" i="13"/>
  <c r="P1351" i="13"/>
  <c r="P1335" i="13"/>
  <c r="P1319" i="13"/>
  <c r="P1303" i="13"/>
  <c r="P1287" i="13"/>
  <c r="P1271" i="13"/>
  <c r="P1255" i="13"/>
  <c r="P1239" i="13"/>
  <c r="P1223" i="13"/>
  <c r="P1207" i="13"/>
  <c r="P1191" i="13"/>
  <c r="P1175" i="13"/>
  <c r="P1159" i="13"/>
  <c r="P1143" i="13"/>
  <c r="P1127" i="13"/>
  <c r="P1111" i="13"/>
  <c r="P1530" i="13"/>
  <c r="P1514" i="13"/>
  <c r="P1521" i="13"/>
  <c r="P1505" i="13"/>
  <c r="P1489" i="13"/>
  <c r="P1473" i="13"/>
  <c r="P1457" i="13"/>
  <c r="P1441" i="13"/>
  <c r="P1425" i="13"/>
  <c r="P1409" i="13"/>
  <c r="P1393" i="13"/>
  <c r="P1377" i="13"/>
  <c r="P1361" i="13"/>
  <c r="P1360" i="13"/>
  <c r="P1344" i="13"/>
  <c r="P1328" i="13"/>
  <c r="P1312" i="13"/>
  <c r="P1296" i="13"/>
  <c r="P1280" i="13"/>
  <c r="P1264" i="13"/>
  <c r="P1248" i="13"/>
  <c r="P1232" i="13"/>
  <c r="P1216" i="13"/>
  <c r="P1200" i="13"/>
  <c r="P1184" i="13"/>
  <c r="P1168" i="13"/>
  <c r="P1152" i="13"/>
  <c r="P1136" i="13"/>
  <c r="P1120" i="13"/>
  <c r="P1104" i="13"/>
  <c r="P1088" i="13"/>
  <c r="P1072" i="13"/>
  <c r="P1056" i="13"/>
  <c r="P1040" i="13"/>
  <c r="P1024" i="13"/>
  <c r="P1008" i="13"/>
  <c r="P992" i="13"/>
  <c r="P976" i="13"/>
  <c r="P960" i="13"/>
  <c r="P944" i="13"/>
  <c r="P928" i="13"/>
  <c r="P912" i="13"/>
  <c r="P896" i="13"/>
  <c r="P880" i="13"/>
  <c r="P864" i="13"/>
  <c r="P848" i="13"/>
  <c r="P832" i="13"/>
  <c r="P816" i="13"/>
  <c r="P800" i="13"/>
  <c r="P784" i="13"/>
  <c r="P768" i="13"/>
  <c r="P752" i="13"/>
  <c r="P736" i="13"/>
  <c r="P720" i="13"/>
  <c r="P704" i="13"/>
  <c r="P688" i="13"/>
  <c r="P1087" i="13"/>
  <c r="P1071" i="13"/>
  <c r="P1055" i="13"/>
  <c r="P1039" i="13"/>
  <c r="P1023" i="13"/>
  <c r="P1007" i="13"/>
  <c r="P991" i="13"/>
  <c r="P975" i="13"/>
  <c r="P959" i="13"/>
  <c r="P943" i="13"/>
  <c r="P927" i="13"/>
  <c r="P911" i="13"/>
  <c r="P895" i="13"/>
  <c r="P879" i="13"/>
  <c r="P863" i="13"/>
  <c r="P847" i="13"/>
  <c r="P831" i="13"/>
  <c r="P815" i="13"/>
  <c r="P799" i="13"/>
  <c r="P783" i="13"/>
  <c r="P767" i="13"/>
  <c r="P751" i="13"/>
  <c r="P735" i="13"/>
  <c r="P719" i="13"/>
  <c r="P703" i="13"/>
  <c r="P687" i="13"/>
  <c r="P671" i="13"/>
  <c r="P655" i="13"/>
  <c r="P639" i="13"/>
  <c r="P623" i="13"/>
  <c r="P607" i="13"/>
  <c r="P591" i="13"/>
  <c r="P575" i="13"/>
  <c r="P559" i="13"/>
  <c r="P543" i="13"/>
  <c r="P527" i="13"/>
  <c r="P511" i="13"/>
  <c r="P495" i="13"/>
  <c r="P479" i="13"/>
  <c r="P463" i="13"/>
  <c r="P447" i="13"/>
  <c r="P431" i="13"/>
  <c r="P415" i="13"/>
  <c r="P399" i="13"/>
  <c r="P375" i="13"/>
  <c r="P359" i="13"/>
  <c r="P343" i="13"/>
  <c r="P327" i="13"/>
  <c r="P307" i="13"/>
  <c r="P291" i="13"/>
  <c r="P275" i="13"/>
  <c r="P1498" i="13"/>
  <c r="P1482" i="13"/>
  <c r="P1466" i="13"/>
  <c r="P1450" i="13"/>
  <c r="P1434" i="13"/>
  <c r="P1418" i="13"/>
  <c r="P1402" i="13"/>
  <c r="P1386" i="13"/>
  <c r="P1370" i="13"/>
  <c r="P1354" i="13"/>
  <c r="P1338" i="13"/>
  <c r="P1322" i="13"/>
  <c r="P1306" i="13"/>
  <c r="P1290" i="13"/>
  <c r="P1274" i="13"/>
  <c r="P1258" i="13"/>
  <c r="P1242" i="13"/>
  <c r="P1226" i="13"/>
  <c r="P1210" i="13"/>
  <c r="P1194" i="13"/>
  <c r="P1178" i="13"/>
  <c r="P1162" i="13"/>
  <c r="P1146" i="13"/>
  <c r="P1130" i="13"/>
  <c r="P1114" i="13"/>
  <c r="P1098" i="13"/>
  <c r="P1082" i="13"/>
  <c r="P1066" i="13"/>
  <c r="P1050" i="13"/>
  <c r="P1034" i="13"/>
  <c r="P1018" i="13"/>
  <c r="P1002" i="13"/>
  <c r="P986" i="13"/>
  <c r="P970" i="13"/>
  <c r="P954" i="13"/>
  <c r="P938" i="13"/>
  <c r="P922" i="13"/>
  <c r="P906" i="13"/>
  <c r="P890" i="13"/>
  <c r="P874" i="13"/>
  <c r="P858" i="13"/>
  <c r="P842" i="13"/>
  <c r="P826" i="13"/>
  <c r="P810" i="13"/>
  <c r="P794" i="13"/>
  <c r="P778" i="13"/>
  <c r="P762" i="13"/>
  <c r="P746" i="13"/>
  <c r="P730" i="13"/>
  <c r="P714" i="13"/>
  <c r="P1349" i="13"/>
  <c r="P1333" i="13"/>
  <c r="P1317" i="13"/>
  <c r="P1301" i="13"/>
  <c r="P1285" i="13"/>
  <c r="P1269" i="13"/>
  <c r="P1253" i="13"/>
  <c r="P1237" i="13"/>
  <c r="P1221" i="13"/>
  <c r="P1205" i="13"/>
  <c r="P1189" i="13"/>
  <c r="P1173" i="13"/>
  <c r="P1157" i="13"/>
  <c r="P1141" i="13"/>
  <c r="P1125" i="13"/>
  <c r="P1109" i="13"/>
  <c r="P1093" i="13"/>
  <c r="P1077" i="13"/>
  <c r="P1061" i="13"/>
  <c r="P1045" i="13"/>
  <c r="P1029" i="13"/>
  <c r="P1013" i="13"/>
  <c r="P997" i="13"/>
  <c r="P981" i="13"/>
  <c r="P965" i="13"/>
  <c r="P949" i="13"/>
  <c r="P933" i="13"/>
  <c r="P917" i="13"/>
  <c r="P901" i="13"/>
  <c r="P885" i="13"/>
  <c r="P869" i="13"/>
  <c r="P853" i="13"/>
  <c r="P837" i="13"/>
  <c r="P821" i="13"/>
  <c r="P805" i="13"/>
  <c r="P789" i="13"/>
  <c r="P773" i="13"/>
  <c r="P757" i="13"/>
  <c r="P741" i="13"/>
  <c r="P725" i="13"/>
  <c r="P709" i="13"/>
  <c r="P693" i="13"/>
  <c r="P677" i="13"/>
  <c r="P661" i="13"/>
  <c r="P645" i="13"/>
  <c r="P629" i="13"/>
  <c r="P613" i="13"/>
  <c r="P597" i="13"/>
  <c r="P581" i="13"/>
  <c r="P565" i="13"/>
  <c r="P263" i="13"/>
  <c r="P247" i="13"/>
  <c r="P231" i="13"/>
  <c r="P211" i="13"/>
  <c r="P195" i="13"/>
  <c r="P179" i="13"/>
  <c r="P163" i="13"/>
  <c r="P135" i="13"/>
  <c r="P107" i="13"/>
  <c r="P91" i="13"/>
  <c r="P75" i="13"/>
  <c r="P51" i="13"/>
  <c r="P35" i="13"/>
  <c r="P19" i="13"/>
  <c r="P3" i="13"/>
  <c r="P686" i="13"/>
  <c r="P670" i="13"/>
  <c r="P654" i="13"/>
  <c r="P638" i="13"/>
  <c r="P622" i="13"/>
  <c r="P606" i="13"/>
  <c r="P590" i="13"/>
  <c r="P574" i="13"/>
  <c r="P558" i="13"/>
  <c r="P542" i="13"/>
  <c r="P526" i="13"/>
  <c r="P506" i="13"/>
  <c r="P490" i="13"/>
  <c r="P474" i="13"/>
  <c r="P458" i="13"/>
  <c r="P438" i="13"/>
  <c r="P422" i="13"/>
  <c r="P406" i="13"/>
  <c r="P390" i="13"/>
  <c r="P370" i="13"/>
  <c r="P354" i="13"/>
  <c r="P338" i="13"/>
  <c r="P322" i="13"/>
  <c r="P306" i="13"/>
  <c r="P290" i="13"/>
  <c r="P274" i="13"/>
  <c r="P258" i="13"/>
  <c r="P242" i="13"/>
  <c r="P226" i="13"/>
  <c r="P210" i="13"/>
  <c r="P194" i="13"/>
  <c r="P178" i="13"/>
  <c r="P162" i="13"/>
  <c r="P134" i="13"/>
  <c r="P106" i="13"/>
  <c r="P90" i="13"/>
  <c r="P74" i="13"/>
  <c r="P58" i="13"/>
  <c r="P38" i="13"/>
  <c r="P22" i="13"/>
  <c r="P6" i="13"/>
  <c r="P549" i="13"/>
  <c r="P533" i="13"/>
  <c r="P513" i="13"/>
  <c r="P497" i="13"/>
  <c r="P481" i="13"/>
  <c r="P465" i="13"/>
  <c r="P449" i="13"/>
  <c r="P429" i="13"/>
  <c r="P409" i="13"/>
  <c r="P393" i="13"/>
  <c r="P373" i="13"/>
  <c r="P357" i="13"/>
  <c r="P341" i="13"/>
  <c r="P321" i="13"/>
  <c r="P305" i="13"/>
  <c r="P289" i="13"/>
  <c r="P273" i="13"/>
  <c r="P249" i="13"/>
  <c r="P233" i="13"/>
  <c r="P217" i="13"/>
  <c r="P201" i="13"/>
  <c r="P181" i="13"/>
  <c r="P1528" i="13"/>
  <c r="P1512" i="13"/>
  <c r="P1496" i="13"/>
  <c r="P1480" i="13"/>
  <c r="P1464" i="13"/>
  <c r="P1448" i="13"/>
  <c r="P1432" i="13"/>
  <c r="P1416" i="13"/>
  <c r="P1400" i="13"/>
  <c r="P1384" i="13"/>
  <c r="P1368" i="13"/>
  <c r="P1523" i="13"/>
  <c r="P1507" i="13"/>
  <c r="P1491" i="13"/>
  <c r="P1475" i="13"/>
  <c r="P1459" i="13"/>
  <c r="P1443" i="13"/>
  <c r="P1427" i="13"/>
  <c r="P1411" i="13"/>
  <c r="P1395" i="13"/>
  <c r="P1379" i="13"/>
  <c r="P1363" i="13"/>
  <c r="P1347" i="13"/>
  <c r="P1331" i="13"/>
  <c r="P1315" i="13"/>
  <c r="P1299" i="13"/>
  <c r="P1283" i="13"/>
  <c r="P1267" i="13"/>
  <c r="P1251" i="13"/>
  <c r="P1235" i="13"/>
  <c r="P1219" i="13"/>
  <c r="P1203" i="13"/>
  <c r="P1187" i="13"/>
  <c r="P1171" i="13"/>
  <c r="P1155" i="13"/>
  <c r="P1139" i="13"/>
  <c r="P1123" i="13"/>
  <c r="P1107" i="13"/>
  <c r="P1526" i="13"/>
  <c r="P1533" i="13"/>
  <c r="P1517" i="13"/>
  <c r="P1501" i="13"/>
  <c r="P1485" i="13"/>
  <c r="P1469" i="13"/>
  <c r="P1453" i="13"/>
  <c r="P1437" i="13"/>
  <c r="P1421" i="13"/>
  <c r="P1405" i="13"/>
  <c r="P1389" i="13"/>
  <c r="P1373" i="13"/>
  <c r="P1357" i="13"/>
  <c r="P1356" i="13"/>
  <c r="P1340" i="13"/>
  <c r="P1324" i="13"/>
  <c r="P1308" i="13"/>
  <c r="P1292" i="13"/>
  <c r="P1276" i="13"/>
  <c r="P1260" i="13"/>
  <c r="P1244" i="13"/>
  <c r="P1228" i="13"/>
  <c r="P1212" i="13"/>
  <c r="P1196" i="13"/>
  <c r="P1180" i="13"/>
  <c r="P1164" i="13"/>
  <c r="P1148" i="13"/>
  <c r="P1132" i="13"/>
  <c r="P1116" i="13"/>
  <c r="P1100" i="13"/>
  <c r="P1084" i="13"/>
  <c r="P1068" i="13"/>
  <c r="P1052" i="13"/>
  <c r="P1036" i="13"/>
  <c r="P1020" i="13"/>
  <c r="P1004" i="13"/>
  <c r="P988" i="13"/>
  <c r="P972" i="13"/>
  <c r="P956" i="13"/>
  <c r="P940" i="13"/>
  <c r="P924" i="13"/>
  <c r="P908" i="13"/>
  <c r="P892" i="13"/>
  <c r="P876" i="13"/>
  <c r="P860" i="13"/>
  <c r="P844" i="13"/>
  <c r="P828" i="13"/>
  <c r="P812" i="13"/>
  <c r="P796" i="13"/>
  <c r="P780" i="13"/>
  <c r="P764" i="13"/>
  <c r="P748" i="13"/>
  <c r="P732" i="13"/>
  <c r="P716" i="13"/>
  <c r="P700" i="13"/>
  <c r="P1099" i="13"/>
  <c r="P1083" i="13"/>
  <c r="P1067" i="13"/>
  <c r="P1051" i="13"/>
  <c r="P1035" i="13"/>
  <c r="P1019" i="13"/>
  <c r="P1003" i="13"/>
  <c r="P987" i="13"/>
  <c r="P971" i="13"/>
  <c r="P955" i="13"/>
  <c r="P939" i="13"/>
  <c r="P923" i="13"/>
  <c r="P907" i="13"/>
  <c r="P891" i="13"/>
  <c r="P875" i="13"/>
  <c r="P859" i="13"/>
  <c r="P843" i="13"/>
  <c r="P827" i="13"/>
  <c r="P811" i="13"/>
  <c r="P795" i="13"/>
  <c r="P779" i="13"/>
  <c r="P763" i="13"/>
  <c r="P747" i="13"/>
  <c r="P731" i="13"/>
  <c r="P715" i="13"/>
  <c r="P699" i="13"/>
  <c r="P683" i="13"/>
  <c r="P667" i="13"/>
  <c r="P651" i="13"/>
  <c r="P635" i="13"/>
  <c r="P619" i="13"/>
  <c r="P603" i="13"/>
  <c r="P587" i="13"/>
  <c r="P571" i="13"/>
  <c r="P555" i="13"/>
  <c r="P539" i="13"/>
  <c r="P523" i="13"/>
  <c r="P507" i="13"/>
  <c r="P491" i="13"/>
  <c r="P475" i="13"/>
  <c r="P459" i="13"/>
  <c r="P443" i="13"/>
  <c r="P427" i="13"/>
  <c r="P411" i="13"/>
  <c r="P395" i="13"/>
  <c r="P371" i="13"/>
  <c r="P355" i="13"/>
  <c r="P339" i="13"/>
  <c r="P323" i="13"/>
  <c r="P303" i="13"/>
  <c r="P287" i="13"/>
  <c r="P1510" i="13"/>
  <c r="P1494" i="13"/>
  <c r="P1478" i="13"/>
  <c r="P1462" i="13"/>
  <c r="P1446" i="13"/>
  <c r="P1430" i="13"/>
  <c r="P1414" i="13"/>
  <c r="P1398" i="13"/>
  <c r="P1382" i="13"/>
  <c r="P1366" i="13"/>
  <c r="P1350" i="13"/>
  <c r="P1334" i="13"/>
  <c r="P1318" i="13"/>
  <c r="P1302" i="13"/>
  <c r="P1286" i="13"/>
  <c r="P1270" i="13"/>
  <c r="P1254" i="13"/>
  <c r="P1238" i="13"/>
  <c r="P1222" i="13"/>
  <c r="P1206" i="13"/>
  <c r="P1190" i="13"/>
  <c r="P1174" i="13"/>
  <c r="P1158" i="13"/>
  <c r="P1142" i="13"/>
  <c r="P1126" i="13"/>
  <c r="P1110" i="13"/>
  <c r="P1094" i="13"/>
  <c r="P1078" i="13"/>
  <c r="P1062" i="13"/>
  <c r="P1046" i="13"/>
  <c r="P1030" i="13"/>
  <c r="P1014" i="13"/>
  <c r="P998" i="13"/>
  <c r="P982" i="13"/>
  <c r="P966" i="13"/>
  <c r="P950" i="13"/>
  <c r="P934" i="13"/>
  <c r="P918" i="13"/>
  <c r="P902" i="13"/>
  <c r="P886" i="13"/>
  <c r="P870" i="13"/>
  <c r="P854" i="13"/>
  <c r="P838" i="13"/>
  <c r="P822" i="13"/>
  <c r="P806" i="13"/>
  <c r="P790" i="13"/>
  <c r="P774" i="13"/>
  <c r="P758" i="13"/>
  <c r="P742" i="13"/>
  <c r="P726" i="13"/>
  <c r="P710" i="13"/>
  <c r="P1345" i="13"/>
  <c r="P1329" i="13"/>
  <c r="P1313" i="13"/>
  <c r="P1297" i="13"/>
  <c r="P1281" i="13"/>
  <c r="P1265" i="13"/>
  <c r="P1249" i="13"/>
  <c r="P1233" i="13"/>
  <c r="P1217" i="13"/>
  <c r="P1201" i="13"/>
  <c r="P1185" i="13"/>
  <c r="P1169" i="13"/>
  <c r="P1153" i="13"/>
  <c r="P1137" i="13"/>
  <c r="P1121" i="13"/>
  <c r="P1105" i="13"/>
  <c r="P1089" i="13"/>
  <c r="P1073" i="13"/>
  <c r="P1057" i="13"/>
  <c r="P1041" i="13"/>
  <c r="P1025" i="13"/>
  <c r="P1009" i="13"/>
  <c r="P993" i="13"/>
  <c r="P977" i="13"/>
  <c r="P961" i="13"/>
  <c r="P945" i="13"/>
  <c r="P929" i="13"/>
  <c r="P913" i="13"/>
  <c r="P897" i="13"/>
  <c r="P881" i="13"/>
  <c r="P865" i="13"/>
  <c r="P849" i="13"/>
  <c r="P833" i="13"/>
  <c r="P817" i="13"/>
  <c r="P801" i="13"/>
  <c r="P785" i="13"/>
  <c r="P769" i="13"/>
  <c r="P753" i="13"/>
  <c r="P737" i="13"/>
  <c r="P721" i="13"/>
  <c r="P705" i="13"/>
  <c r="P689" i="13"/>
  <c r="P673" i="13"/>
  <c r="P657" i="13"/>
  <c r="P641" i="13"/>
  <c r="P625" i="13"/>
  <c r="P609" i="13"/>
  <c r="P593" i="13"/>
  <c r="P577" i="13"/>
  <c r="P561" i="13"/>
  <c r="P259" i="13"/>
  <c r="P243" i="13"/>
  <c r="P223" i="13"/>
  <c r="P207" i="13"/>
  <c r="P191" i="13"/>
  <c r="P175" i="13"/>
  <c r="P159" i="13"/>
  <c r="P119" i="13"/>
  <c r="P103" i="13"/>
  <c r="P87" i="13"/>
  <c r="P71" i="13"/>
  <c r="P47" i="13"/>
  <c r="P31" i="13"/>
  <c r="P15" i="13"/>
  <c r="P698" i="13"/>
  <c r="P682" i="13"/>
  <c r="P666" i="13"/>
  <c r="P650" i="13"/>
  <c r="P634" i="13"/>
  <c r="P618" i="13"/>
  <c r="P602" i="13"/>
  <c r="P586" i="13"/>
  <c r="P570" i="13"/>
  <c r="P554" i="13"/>
  <c r="P538" i="13"/>
  <c r="P522" i="13"/>
  <c r="P502" i="13"/>
  <c r="P486" i="13"/>
  <c r="P470" i="13"/>
  <c r="P454" i="13"/>
  <c r="P434" i="13"/>
  <c r="P418" i="13"/>
  <c r="P402" i="13"/>
  <c r="P386" i="13"/>
  <c r="P366" i="13"/>
  <c r="P350" i="13"/>
  <c r="P334" i="13"/>
  <c r="P318" i="13"/>
  <c r="P302" i="13"/>
  <c r="P286" i="13"/>
  <c r="P270" i="13"/>
  <c r="P254" i="13"/>
  <c r="P238" i="13"/>
  <c r="P222" i="13"/>
  <c r="P206" i="13"/>
  <c r="P190" i="13"/>
  <c r="P174" i="13"/>
  <c r="P158" i="13"/>
  <c r="P118" i="13"/>
  <c r="P102" i="13"/>
  <c r="P86" i="13"/>
  <c r="P70" i="13"/>
  <c r="P54" i="13"/>
  <c r="P34" i="13"/>
  <c r="P18" i="13"/>
  <c r="P2" i="13"/>
  <c r="P545" i="13"/>
  <c r="P529" i="13"/>
  <c r="P509" i="13"/>
  <c r="P493" i="13"/>
  <c r="P477" i="13"/>
  <c r="P461" i="13"/>
  <c r="P445" i="13"/>
  <c r="P425" i="13"/>
  <c r="P405" i="13"/>
  <c r="P389" i="13"/>
  <c r="P369" i="13"/>
  <c r="P353" i="13"/>
  <c r="P333" i="13"/>
  <c r="P317" i="13"/>
  <c r="P1524" i="13"/>
  <c r="P1508" i="13"/>
  <c r="P1492" i="13"/>
  <c r="P1476" i="13"/>
  <c r="P1460" i="13"/>
  <c r="P1444" i="13"/>
  <c r="P1428" i="13"/>
  <c r="P1412" i="13"/>
  <c r="P1396" i="13"/>
  <c r="P1380" i="13"/>
  <c r="P1535" i="13"/>
  <c r="P1519" i="13"/>
  <c r="P1503" i="13"/>
  <c r="P1487" i="13"/>
  <c r="P1471" i="13"/>
  <c r="P1455" i="13"/>
  <c r="P1439" i="13"/>
  <c r="P1423" i="13"/>
  <c r="P1407" i="13"/>
  <c r="P1391" i="13"/>
  <c r="P1375" i="13"/>
  <c r="P1359" i="13"/>
  <c r="P1343" i="13"/>
  <c r="P1327" i="13"/>
  <c r="P1311" i="13"/>
  <c r="P1295" i="13"/>
  <c r="P1279" i="13"/>
  <c r="P1263" i="13"/>
  <c r="P1247" i="13"/>
  <c r="P1231" i="13"/>
  <c r="P1215" i="13"/>
  <c r="P1199" i="13"/>
  <c r="P1183" i="13"/>
  <c r="P1167" i="13"/>
  <c r="P1151" i="13"/>
  <c r="P1135" i="13"/>
  <c r="P1119" i="13"/>
  <c r="P1103" i="13"/>
  <c r="P1522" i="13"/>
  <c r="P1529" i="13"/>
  <c r="P1513" i="13"/>
  <c r="P1497" i="13"/>
  <c r="P1481" i="13"/>
  <c r="P1465" i="13"/>
  <c r="P1449" i="13"/>
  <c r="P1433" i="13"/>
  <c r="P1417" i="13"/>
  <c r="P1401" i="13"/>
  <c r="P1385" i="13"/>
  <c r="P1369" i="13"/>
  <c r="P1353" i="13"/>
  <c r="P1352" i="13"/>
  <c r="P1336" i="13"/>
  <c r="P1320" i="13"/>
  <c r="P1304" i="13"/>
  <c r="P1288" i="13"/>
  <c r="P1272" i="13"/>
  <c r="P1256" i="13"/>
  <c r="P1240" i="13"/>
  <c r="P1224" i="13"/>
  <c r="P1208" i="13"/>
  <c r="P1192" i="13"/>
  <c r="P1176" i="13"/>
  <c r="P1160" i="13"/>
  <c r="P1144" i="13"/>
  <c r="P1128" i="13"/>
  <c r="P1112" i="13"/>
  <c r="P1096" i="13"/>
  <c r="P1080" i="13"/>
  <c r="P1064" i="13"/>
  <c r="P1048" i="13"/>
  <c r="P1032" i="13"/>
  <c r="P1016" i="13"/>
  <c r="P1000" i="13"/>
  <c r="P984" i="13"/>
  <c r="P968" i="13"/>
  <c r="P952" i="13"/>
  <c r="P936" i="13"/>
  <c r="P920" i="13"/>
  <c r="P904" i="13"/>
  <c r="P888" i="13"/>
  <c r="P872" i="13"/>
  <c r="P856" i="13"/>
  <c r="P840" i="13"/>
  <c r="P824" i="13"/>
  <c r="P808" i="13"/>
  <c r="P792" i="13"/>
  <c r="P776" i="13"/>
  <c r="P760" i="13"/>
  <c r="P744" i="13"/>
  <c r="P728" i="13"/>
  <c r="P712" i="13"/>
  <c r="P696" i="13"/>
  <c r="P1095" i="13"/>
  <c r="P1079" i="13"/>
  <c r="P1063" i="13"/>
  <c r="P1047" i="13"/>
  <c r="P1031" i="13"/>
  <c r="P1015" i="13"/>
  <c r="P999" i="13"/>
  <c r="P983" i="13"/>
  <c r="P967" i="13"/>
  <c r="P951" i="13"/>
  <c r="P935" i="13"/>
  <c r="P919" i="13"/>
  <c r="P903" i="13"/>
  <c r="P887" i="13"/>
  <c r="P871" i="13"/>
  <c r="P855" i="13"/>
  <c r="P839" i="13"/>
  <c r="P823" i="13"/>
  <c r="P807" i="13"/>
  <c r="P791" i="13"/>
  <c r="P775" i="13"/>
  <c r="P759" i="13"/>
  <c r="P743" i="13"/>
  <c r="P727" i="13"/>
  <c r="P711" i="13"/>
  <c r="P695" i="13"/>
  <c r="P679" i="13"/>
  <c r="P663" i="13"/>
  <c r="P647" i="13"/>
  <c r="P631" i="13"/>
  <c r="P615" i="13"/>
  <c r="P599" i="13"/>
  <c r="P583" i="13"/>
  <c r="P567" i="13"/>
  <c r="P551" i="13"/>
  <c r="P535" i="13"/>
  <c r="P519" i="13"/>
  <c r="P503" i="13"/>
  <c r="P487" i="13"/>
  <c r="P471" i="13"/>
  <c r="P455" i="13"/>
  <c r="P439" i="13"/>
  <c r="P423" i="13"/>
  <c r="P407" i="13"/>
  <c r="P391" i="13"/>
  <c r="P367" i="13"/>
  <c r="P351" i="13"/>
  <c r="P335" i="13"/>
  <c r="P315" i="13"/>
  <c r="P299" i="13"/>
  <c r="P283" i="13"/>
  <c r="P1506" i="13"/>
  <c r="P1490" i="13"/>
  <c r="P1474" i="13"/>
  <c r="P1458" i="13"/>
  <c r="P1442" i="13"/>
  <c r="P1426" i="13"/>
  <c r="P1410" i="13"/>
  <c r="P1394" i="13"/>
  <c r="P1378" i="13"/>
  <c r="P125" i="13"/>
  <c r="P141" i="13"/>
  <c r="P149" i="13"/>
  <c r="P265" i="13"/>
  <c r="P337" i="13"/>
  <c r="P417" i="13"/>
  <c r="P517" i="13"/>
  <c r="P56" i="13"/>
  <c r="P124" i="13"/>
  <c r="P140" i="13"/>
  <c r="P148" i="13"/>
  <c r="P228" i="13"/>
  <c r="P268" i="13"/>
  <c r="P336" i="13"/>
  <c r="P384" i="13"/>
  <c r="P8" i="13"/>
  <c r="P24" i="13"/>
  <c r="P40" i="13"/>
  <c r="P60" i="13"/>
  <c r="P80" i="13"/>
  <c r="P96" i="13"/>
  <c r="P112" i="13"/>
  <c r="P136" i="13"/>
  <c r="P164" i="13"/>
  <c r="P180" i="13"/>
  <c r="P200" i="13"/>
  <c r="P216" i="13"/>
  <c r="P236" i="13"/>
  <c r="P252" i="13"/>
  <c r="P276" i="13"/>
  <c r="P292" i="13"/>
  <c r="P308" i="13"/>
  <c r="P328" i="13"/>
  <c r="P348" i="13"/>
  <c r="P364" i="13"/>
  <c r="P388" i="13"/>
  <c r="P404" i="13"/>
  <c r="P424" i="13"/>
  <c r="P440" i="13"/>
  <c r="P456" i="13"/>
  <c r="P472" i="13"/>
  <c r="P488" i="13"/>
  <c r="P504" i="13"/>
  <c r="P520" i="13"/>
  <c r="P536" i="13"/>
  <c r="P556" i="13"/>
  <c r="P576" i="13"/>
  <c r="P596" i="13"/>
  <c r="P620" i="13"/>
  <c r="P640" i="13"/>
  <c r="P660" i="13"/>
  <c r="P684" i="13"/>
  <c r="P21" i="13"/>
  <c r="P41" i="13"/>
  <c r="P69" i="13"/>
  <c r="P89" i="13"/>
  <c r="P109" i="13"/>
  <c r="P157" i="13"/>
  <c r="P177" i="13"/>
  <c r="P213" i="13"/>
  <c r="P245" i="13"/>
  <c r="P285" i="13"/>
  <c r="P329" i="13"/>
  <c r="P401" i="13"/>
  <c r="P473" i="13"/>
  <c r="P541" i="13"/>
  <c r="P50" i="13"/>
  <c r="P114" i="13"/>
  <c r="P202" i="13"/>
  <c r="P266" i="13"/>
  <c r="P330" i="13"/>
  <c r="P398" i="13"/>
  <c r="P466" i="13"/>
  <c r="P534" i="13"/>
  <c r="P598" i="13"/>
  <c r="P662" i="13"/>
  <c r="P27" i="13"/>
  <c r="P99" i="13"/>
  <c r="P187" i="13"/>
  <c r="P255" i="13"/>
  <c r="P605" i="13"/>
  <c r="P669" i="13"/>
  <c r="P733" i="13"/>
  <c r="P797" i="13"/>
  <c r="P861" i="13"/>
  <c r="P925" i="13"/>
  <c r="P989" i="13"/>
  <c r="P1053" i="13"/>
  <c r="P1117" i="13"/>
  <c r="P1181" i="13"/>
  <c r="P1245" i="13"/>
  <c r="P1309" i="13"/>
  <c r="P722" i="13"/>
  <c r="P786" i="13"/>
  <c r="P850" i="13"/>
  <c r="P914" i="13"/>
  <c r="P978" i="13"/>
  <c r="P1042" i="13"/>
  <c r="P1106" i="13"/>
  <c r="P1170" i="13"/>
  <c r="P1234" i="13"/>
  <c r="P1298" i="13"/>
  <c r="P1362" i="13"/>
  <c r="C969" i="13"/>
  <c r="C985" i="13"/>
  <c r="C1001" i="13"/>
  <c r="C1017" i="13"/>
  <c r="C1033" i="13"/>
  <c r="C1049" i="13"/>
  <c r="C1065" i="13"/>
  <c r="C1081" i="13"/>
  <c r="C1097" i="13"/>
  <c r="C1113" i="13"/>
  <c r="C1129" i="13"/>
  <c r="C1145" i="13"/>
  <c r="C1161" i="13"/>
  <c r="C1177" i="13"/>
  <c r="C1193" i="13"/>
  <c r="C1209" i="13"/>
  <c r="C1225" i="13"/>
  <c r="C1241" i="13"/>
  <c r="C1257" i="13"/>
  <c r="C1273" i="13"/>
  <c r="C1289" i="13"/>
  <c r="C1305" i="13"/>
  <c r="C1321" i="13"/>
  <c r="C1337" i="13"/>
  <c r="C1353" i="13"/>
  <c r="C1369" i="13"/>
  <c r="C1385" i="13"/>
  <c r="C1401" i="13"/>
  <c r="C1417" i="13"/>
  <c r="C1433" i="13"/>
  <c r="C1449" i="13"/>
  <c r="C1465" i="13"/>
  <c r="C1481" i="13"/>
  <c r="C1497" i="13"/>
  <c r="C1513" i="13"/>
  <c r="C121" i="13"/>
  <c r="C129" i="13"/>
  <c r="C145" i="13"/>
  <c r="C189" i="13"/>
  <c r="C269" i="13"/>
  <c r="C377" i="13"/>
  <c r="C441" i="13"/>
  <c r="C516" i="13"/>
  <c r="C618" i="13"/>
  <c r="C634" i="13"/>
  <c r="C650" i="13"/>
  <c r="C666" i="13"/>
  <c r="C682" i="13"/>
  <c r="C698" i="13"/>
  <c r="C714" i="13"/>
  <c r="C730" i="13"/>
  <c r="C746" i="13"/>
  <c r="C762" i="13"/>
  <c r="C778" i="13"/>
  <c r="C794" i="13"/>
  <c r="C810" i="13"/>
  <c r="C826" i="13"/>
  <c r="C842" i="13"/>
  <c r="C858" i="13"/>
  <c r="C874" i="13"/>
  <c r="C890" i="13"/>
  <c r="C906" i="13"/>
  <c r="C922" i="13"/>
  <c r="C938" i="13"/>
  <c r="C954" i="13"/>
  <c r="C970" i="13"/>
  <c r="C986" i="13"/>
  <c r="C1002" i="13"/>
  <c r="C1018" i="13"/>
  <c r="C1034" i="13"/>
  <c r="C1050" i="13"/>
  <c r="C1066" i="13"/>
  <c r="C1082" i="13"/>
  <c r="C1098" i="13"/>
  <c r="C1114" i="13"/>
  <c r="C1130" i="13"/>
  <c r="C1146" i="13"/>
  <c r="C1162" i="13"/>
  <c r="C1178" i="13"/>
  <c r="C1194" i="13"/>
  <c r="C1210" i="13"/>
  <c r="C1226" i="13"/>
  <c r="C1242" i="13"/>
  <c r="C1258" i="13"/>
  <c r="C1274" i="13"/>
  <c r="C1290" i="13"/>
  <c r="C1306" i="13"/>
  <c r="C1322" i="13"/>
  <c r="C1338" i="13"/>
  <c r="C1354" i="13"/>
  <c r="C1370" i="13"/>
  <c r="C1386" i="13"/>
  <c r="C1402" i="13"/>
  <c r="C1418" i="13"/>
  <c r="C1434" i="13"/>
  <c r="C1450" i="13"/>
  <c r="C1466" i="13"/>
  <c r="C1482" i="13"/>
  <c r="C1498" i="13"/>
  <c r="C1514" i="13"/>
  <c r="C1530" i="13"/>
  <c r="C122" i="13"/>
  <c r="C130" i="13"/>
  <c r="C146" i="13"/>
  <c r="C378" i="13"/>
  <c r="C518" i="13"/>
  <c r="C575" i="13"/>
  <c r="C591" i="13"/>
  <c r="C607" i="13"/>
  <c r="C623" i="13"/>
  <c r="C639" i="13"/>
  <c r="C655" i="13"/>
  <c r="C671" i="13"/>
  <c r="C687" i="13"/>
  <c r="C703" i="13"/>
  <c r="C719" i="13"/>
  <c r="C735" i="13"/>
  <c r="C751" i="13"/>
  <c r="C767" i="13"/>
  <c r="C783" i="13"/>
  <c r="C799" i="13"/>
  <c r="C815" i="13"/>
  <c r="C831" i="13"/>
  <c r="C847" i="13"/>
  <c r="C863" i="13"/>
  <c r="C879" i="13"/>
  <c r="C895" i="13"/>
  <c r="C911" i="13"/>
  <c r="C927" i="13"/>
  <c r="C943" i="13"/>
  <c r="C959" i="13"/>
  <c r="C975" i="13"/>
  <c r="C991" i="13"/>
  <c r="C1007" i="13"/>
  <c r="C1023" i="13"/>
  <c r="C1039" i="13"/>
  <c r="C1055" i="13"/>
  <c r="C1071" i="13"/>
  <c r="C1087" i="13"/>
  <c r="C1103" i="13"/>
  <c r="C1119" i="13"/>
  <c r="C1135" i="13"/>
  <c r="C1151" i="13"/>
  <c r="C1167" i="13"/>
  <c r="C1183" i="13"/>
  <c r="C1199" i="13"/>
  <c r="C1215" i="13"/>
  <c r="C1231" i="13"/>
  <c r="C1247" i="13"/>
  <c r="C1263" i="13"/>
  <c r="C1279" i="13"/>
  <c r="C1295" i="13"/>
  <c r="C1311" i="13"/>
  <c r="C1327" i="13"/>
  <c r="C1343" i="13"/>
  <c r="C1359" i="13"/>
  <c r="C1375" i="13"/>
  <c r="C1391" i="13"/>
  <c r="C1407" i="13"/>
  <c r="C1423" i="13"/>
  <c r="C1439" i="13"/>
  <c r="C1455" i="13"/>
  <c r="C1471" i="13"/>
  <c r="C1487" i="13"/>
  <c r="C1503" i="13"/>
  <c r="C1519" i="13"/>
  <c r="C1535" i="13"/>
  <c r="C532" i="13"/>
  <c r="C548" i="13"/>
  <c r="C564" i="13"/>
  <c r="C580" i="13"/>
  <c r="C596" i="13"/>
  <c r="C612" i="13"/>
  <c r="C628" i="13"/>
  <c r="C644" i="13"/>
  <c r="C660" i="13"/>
  <c r="C676" i="13"/>
  <c r="C692" i="13"/>
  <c r="C708" i="13"/>
  <c r="C724" i="13"/>
  <c r="C740" i="13"/>
  <c r="C756" i="13"/>
  <c r="C772" i="13"/>
  <c r="C788" i="13"/>
  <c r="C804" i="13"/>
  <c r="C820" i="13"/>
  <c r="C836" i="13"/>
  <c r="C852" i="13"/>
  <c r="C868" i="13"/>
  <c r="C884" i="13"/>
  <c r="C900" i="13"/>
  <c r="C916" i="13"/>
  <c r="C932" i="13"/>
  <c r="C948" i="13"/>
  <c r="C964" i="13"/>
  <c r="C980" i="13"/>
  <c r="C996" i="13"/>
  <c r="C1012" i="13"/>
  <c r="C1028" i="13"/>
  <c r="C1044" i="13"/>
  <c r="C1060" i="13"/>
  <c r="C1076" i="13"/>
  <c r="C1092" i="13"/>
  <c r="C1108" i="13"/>
  <c r="C1124" i="13"/>
  <c r="C1140" i="13"/>
  <c r="C1156" i="13"/>
  <c r="C1172" i="13"/>
  <c r="C1188" i="13"/>
  <c r="C1204" i="13"/>
  <c r="C1220" i="13"/>
  <c r="C1236" i="13"/>
  <c r="C1252" i="13"/>
  <c r="C1268" i="13"/>
  <c r="C1284" i="13"/>
  <c r="C1300" i="13"/>
  <c r="C1316" i="13"/>
  <c r="C1332" i="13"/>
  <c r="C1348" i="13"/>
  <c r="C1364" i="13"/>
  <c r="C1380" i="13"/>
  <c r="C1396" i="13"/>
  <c r="C1412" i="13"/>
  <c r="C1428" i="13"/>
  <c r="C1444" i="13"/>
  <c r="C1460" i="13"/>
  <c r="C1476" i="13"/>
  <c r="C1492" i="13"/>
  <c r="C1508" i="13"/>
  <c r="C1524" i="13"/>
  <c r="C56" i="13"/>
  <c r="C124" i="13"/>
  <c r="C140" i="13"/>
  <c r="C148" i="13"/>
  <c r="C228" i="13"/>
  <c r="C268" i="13"/>
  <c r="C336" i="13"/>
  <c r="C384" i="13"/>
  <c r="C101" i="13"/>
  <c r="C117" i="13"/>
  <c r="C157" i="13"/>
  <c r="C173" i="13"/>
  <c r="C193" i="13"/>
  <c r="C209" i="13"/>
  <c r="C225" i="13"/>
  <c r="C241" i="13"/>
  <c r="C257" i="13"/>
  <c r="C281" i="13"/>
  <c r="C297" i="13"/>
  <c r="C313" i="13"/>
  <c r="C329" i="13"/>
  <c r="C349" i="13"/>
  <c r="C365" i="13"/>
  <c r="C385" i="13"/>
  <c r="C401" i="13"/>
  <c r="C421" i="13"/>
  <c r="C437" i="13"/>
  <c r="C457" i="13"/>
  <c r="C473" i="13"/>
  <c r="C489" i="13"/>
  <c r="C505" i="13"/>
  <c r="C525" i="13"/>
  <c r="C541" i="13"/>
  <c r="C557" i="13"/>
  <c r="C573" i="13"/>
  <c r="C589" i="13"/>
  <c r="C621" i="13"/>
  <c r="C637" i="13"/>
  <c r="C653" i="13"/>
  <c r="C669" i="13"/>
  <c r="C685" i="13"/>
  <c r="C701" i="13"/>
  <c r="C717" i="13"/>
  <c r="C733" i="13"/>
  <c r="C749" i="13"/>
  <c r="C765" i="13"/>
  <c r="C781" i="13"/>
  <c r="C797" i="13"/>
  <c r="C813" i="13"/>
  <c r="C829" i="13"/>
  <c r="C845" i="13"/>
  <c r="C861" i="13"/>
  <c r="C877" i="13"/>
  <c r="C893" i="13"/>
  <c r="C909" i="13"/>
  <c r="C925" i="13"/>
  <c r="C941" i="13"/>
  <c r="C957" i="13"/>
  <c r="C973" i="13"/>
  <c r="C989" i="13"/>
  <c r="C1005" i="13"/>
  <c r="C1021" i="13"/>
  <c r="C1037" i="13"/>
  <c r="C1053" i="13"/>
  <c r="C1069" i="13"/>
  <c r="C1085" i="13"/>
  <c r="C1101" i="13"/>
  <c r="C1117" i="13"/>
  <c r="C1133" i="13"/>
  <c r="C1149" i="13"/>
  <c r="C1165" i="13"/>
  <c r="C1181" i="13"/>
  <c r="C1197" i="13"/>
  <c r="C1213" i="13"/>
  <c r="C1229" i="13"/>
  <c r="C1245" i="13"/>
  <c r="C1261" i="13"/>
  <c r="C1277" i="13"/>
  <c r="C1293" i="13"/>
  <c r="C1309" i="13"/>
  <c r="C1325" i="13"/>
  <c r="C1341" i="13"/>
  <c r="C1357" i="13"/>
  <c r="C1373" i="13"/>
  <c r="C1389" i="13"/>
  <c r="C1405" i="13"/>
  <c r="C1421" i="13"/>
  <c r="C1437" i="13"/>
  <c r="C1453" i="13"/>
  <c r="C1469" i="13"/>
  <c r="C1485" i="13"/>
  <c r="C1501" i="13"/>
  <c r="C1517" i="13"/>
  <c r="C1533" i="13"/>
  <c r="C606" i="13"/>
  <c r="C622" i="13"/>
  <c r="C638" i="13"/>
  <c r="C654" i="13"/>
  <c r="C670" i="13"/>
  <c r="C686" i="13"/>
  <c r="C702" i="13"/>
  <c r="C718" i="13"/>
  <c r="C734" i="13"/>
  <c r="C750" i="13"/>
  <c r="C766" i="13"/>
  <c r="C782" i="13"/>
  <c r="C798" i="13"/>
  <c r="C814" i="13"/>
  <c r="C830" i="13"/>
  <c r="C846" i="13"/>
  <c r="C862" i="13"/>
  <c r="C878" i="13"/>
  <c r="C894" i="13"/>
  <c r="C910" i="13"/>
  <c r="C926" i="13"/>
  <c r="C942" i="13"/>
  <c r="C958" i="13"/>
  <c r="C974" i="13"/>
  <c r="C990" i="13"/>
  <c r="C1006" i="13"/>
  <c r="C1022" i="13"/>
  <c r="C1038" i="13"/>
  <c r="C1054" i="13"/>
  <c r="C1070" i="13"/>
  <c r="C1086" i="13"/>
  <c r="C1102" i="13"/>
  <c r="C1118" i="13"/>
  <c r="C1134" i="13"/>
  <c r="C1150" i="13"/>
  <c r="C1166" i="13"/>
  <c r="C1182" i="13"/>
  <c r="C1198" i="13"/>
  <c r="C1214" i="13"/>
  <c r="C1230" i="13"/>
  <c r="C1246" i="13"/>
  <c r="C1262" i="13"/>
  <c r="C1278" i="13"/>
  <c r="C1294" i="13"/>
  <c r="C1310" i="13"/>
  <c r="C1326" i="13"/>
  <c r="C1342" i="13"/>
  <c r="C1358" i="13"/>
  <c r="C1374" i="13"/>
  <c r="C1390" i="13"/>
  <c r="C1406" i="13"/>
  <c r="C1422" i="13"/>
  <c r="C1438" i="13"/>
  <c r="C1454" i="13"/>
  <c r="C1470" i="13"/>
  <c r="C1486" i="13"/>
  <c r="C1502" i="13"/>
  <c r="C1518" i="13"/>
  <c r="C1534" i="13"/>
  <c r="C579" i="13"/>
  <c r="C595" i="13"/>
  <c r="C611" i="13"/>
  <c r="C627" i="13"/>
  <c r="C643" i="13"/>
  <c r="C659" i="13"/>
  <c r="C675" i="13"/>
  <c r="C691" i="13"/>
  <c r="C707" i="13"/>
  <c r="C723" i="13"/>
  <c r="C739" i="13"/>
  <c r="C755" i="13"/>
  <c r="C771" i="13"/>
  <c r="C787" i="13"/>
  <c r="C803" i="13"/>
  <c r="C819" i="13"/>
  <c r="C835" i="13"/>
  <c r="C851" i="13"/>
  <c r="C867" i="13"/>
  <c r="C883" i="13"/>
  <c r="C899" i="13"/>
  <c r="C915" i="13"/>
  <c r="C931" i="13"/>
  <c r="C947" i="13"/>
  <c r="C963" i="13"/>
  <c r="C979" i="13"/>
  <c r="C995" i="13"/>
  <c r="C1011" i="13"/>
  <c r="C1027" i="13"/>
  <c r="C1043" i="13"/>
  <c r="C1059" i="13"/>
  <c r="C1075" i="13"/>
  <c r="C1091" i="13"/>
  <c r="C1107" i="13"/>
  <c r="C1123" i="13"/>
  <c r="C1139" i="13"/>
  <c r="C1155" i="13"/>
  <c r="C1171" i="13"/>
  <c r="C1187" i="13"/>
  <c r="C1203" i="13"/>
  <c r="C1219" i="13"/>
  <c r="C1235" i="13"/>
  <c r="C1251" i="13"/>
  <c r="C1267" i="13"/>
  <c r="C1283" i="13"/>
  <c r="C1299" i="13"/>
  <c r="C1315" i="13"/>
  <c r="C1331" i="13"/>
  <c r="C1347" i="13"/>
  <c r="C1363" i="13"/>
  <c r="C1379" i="13"/>
  <c r="C1395" i="13"/>
  <c r="C1411" i="13"/>
  <c r="C1427" i="13"/>
  <c r="C1443" i="13"/>
  <c r="C1459" i="13"/>
  <c r="C1475" i="13"/>
  <c r="C1491" i="13"/>
  <c r="C1507" i="13"/>
  <c r="C1523" i="13"/>
  <c r="C55" i="13"/>
  <c r="C123" i="13"/>
  <c r="C131" i="13"/>
  <c r="C147" i="13"/>
  <c r="C227" i="13"/>
  <c r="C379" i="13"/>
  <c r="C520" i="13"/>
  <c r="C536" i="13"/>
  <c r="C552" i="13"/>
  <c r="C568" i="13"/>
  <c r="C584" i="13"/>
  <c r="C600" i="13"/>
  <c r="C616" i="13"/>
  <c r="C632" i="13"/>
  <c r="C648" i="13"/>
  <c r="C664" i="13"/>
  <c r="C680" i="13"/>
  <c r="C696" i="13"/>
  <c r="C712" i="13"/>
  <c r="C728" i="13"/>
  <c r="C744" i="13"/>
  <c r="C760" i="13"/>
  <c r="C776" i="13"/>
  <c r="C792" i="13"/>
  <c r="C808" i="13"/>
  <c r="C824" i="13"/>
  <c r="C840" i="13"/>
  <c r="C856" i="13"/>
  <c r="C872" i="13"/>
  <c r="C888" i="13"/>
  <c r="C904" i="13"/>
  <c r="C920" i="13"/>
  <c r="C936" i="13"/>
  <c r="C952" i="13"/>
  <c r="C968" i="13"/>
  <c r="C984" i="13"/>
  <c r="C1000" i="13"/>
  <c r="C1016" i="13"/>
  <c r="C1032" i="13"/>
  <c r="C1048" i="13"/>
  <c r="C1064" i="13"/>
  <c r="C1080" i="13"/>
  <c r="C1096" i="13"/>
  <c r="C1112" i="13"/>
  <c r="C1128" i="13"/>
  <c r="C1144" i="13"/>
  <c r="C1160" i="13"/>
  <c r="C1176" i="13"/>
  <c r="C1192" i="13"/>
  <c r="C1208" i="13"/>
  <c r="C1224" i="13"/>
  <c r="C1240" i="13"/>
  <c r="C1256" i="13"/>
  <c r="C1272" i="13"/>
  <c r="C1288" i="13"/>
  <c r="C1304" i="13"/>
  <c r="C1320" i="13"/>
  <c r="C1336" i="13"/>
  <c r="C1352" i="13"/>
  <c r="C1368" i="13"/>
  <c r="C1384" i="13"/>
  <c r="C1400" i="13"/>
  <c r="C1416" i="13"/>
  <c r="C1432" i="13"/>
  <c r="C1448" i="13"/>
  <c r="C1464" i="13"/>
  <c r="C1480" i="13"/>
  <c r="C1496" i="13"/>
  <c r="C1512" i="13"/>
  <c r="C353" i="13"/>
  <c r="C369" i="13"/>
  <c r="C389" i="13"/>
  <c r="C405" i="13"/>
  <c r="C425" i="13"/>
  <c r="C445" i="13"/>
  <c r="C461" i="13"/>
  <c r="C477" i="13"/>
  <c r="C493" i="13"/>
  <c r="C509" i="13"/>
  <c r="C529" i="13"/>
  <c r="C545" i="13"/>
  <c r="C561" i="13"/>
  <c r="C577" i="13"/>
  <c r="C593" i="13"/>
  <c r="C609" i="13"/>
  <c r="C625" i="13"/>
  <c r="C641" i="13"/>
  <c r="C657" i="13"/>
  <c r="C673" i="13"/>
  <c r="C689" i="13"/>
  <c r="C705" i="13"/>
  <c r="C721" i="13"/>
  <c r="C737" i="13"/>
  <c r="C753" i="13"/>
  <c r="C769" i="13"/>
  <c r="C785" i="13"/>
  <c r="C801" i="13"/>
  <c r="C817" i="13"/>
  <c r="C833" i="13"/>
  <c r="C849" i="13"/>
  <c r="C865" i="13"/>
  <c r="C881" i="13"/>
  <c r="C897" i="13"/>
  <c r="C913" i="13"/>
  <c r="C929" i="13"/>
  <c r="C945" i="13"/>
  <c r="C961" i="13"/>
  <c r="C977" i="13"/>
  <c r="C993" i="13"/>
  <c r="C1009" i="13"/>
  <c r="C1025" i="13"/>
  <c r="C1041" i="13"/>
  <c r="C1057" i="13"/>
  <c r="C1073" i="13"/>
  <c r="C1089" i="13"/>
  <c r="C1105" i="13"/>
  <c r="C1121" i="13"/>
  <c r="C1137" i="13"/>
  <c r="C1153" i="13"/>
  <c r="C1169" i="13"/>
  <c r="C1185" i="13"/>
  <c r="C1201" i="13"/>
  <c r="C1217" i="13"/>
  <c r="C1233" i="13"/>
  <c r="C1249" i="13"/>
  <c r="C1265" i="13"/>
  <c r="C1281" i="13"/>
  <c r="C1297" i="13"/>
  <c r="C1313" i="13"/>
  <c r="C1329" i="13"/>
  <c r="C1345" i="13"/>
  <c r="C1361" i="13"/>
  <c r="C1377" i="13"/>
  <c r="C1393" i="13"/>
  <c r="C1409" i="13"/>
  <c r="C1425" i="13"/>
  <c r="C1441" i="13"/>
  <c r="C1457" i="13"/>
  <c r="C1473" i="13"/>
  <c r="C1489" i="13"/>
  <c r="C1505" i="13"/>
  <c r="C1521" i="13"/>
  <c r="C45" i="13"/>
  <c r="C125" i="13"/>
  <c r="C141" i="13"/>
  <c r="C149" i="13"/>
  <c r="C265" i="13"/>
  <c r="C337" i="13"/>
  <c r="C417" i="13"/>
  <c r="C517" i="13"/>
  <c r="C610" i="13"/>
  <c r="C626" i="13"/>
  <c r="C642" i="13"/>
  <c r="C658" i="13"/>
  <c r="C674" i="13"/>
  <c r="C690" i="13"/>
  <c r="C706" i="13"/>
  <c r="C722" i="13"/>
  <c r="C738" i="13"/>
  <c r="C754" i="13"/>
  <c r="C770" i="13"/>
  <c r="C786" i="13"/>
  <c r="C802" i="13"/>
  <c r="C818" i="13"/>
  <c r="C834" i="13"/>
  <c r="C850" i="13"/>
  <c r="C866" i="13"/>
  <c r="C882" i="13"/>
  <c r="C898" i="13"/>
  <c r="C914" i="13"/>
  <c r="C930" i="13"/>
  <c r="C946" i="13"/>
  <c r="C962" i="13"/>
  <c r="C978" i="13"/>
  <c r="C994" i="13"/>
  <c r="C1010" i="13"/>
  <c r="C1026" i="13"/>
  <c r="C1042" i="13"/>
  <c r="C1058" i="13"/>
  <c r="C1074" i="13"/>
  <c r="C1090" i="13"/>
  <c r="C1106" i="13"/>
  <c r="C1122" i="13"/>
  <c r="C1138" i="13"/>
  <c r="C1154" i="13"/>
  <c r="C1170" i="13"/>
  <c r="C1186" i="13"/>
  <c r="C1202" i="13"/>
  <c r="C1218" i="13"/>
  <c r="C1234" i="13"/>
  <c r="C1250" i="13"/>
  <c r="C1266" i="13"/>
  <c r="C1282" i="13"/>
  <c r="C1298" i="13"/>
  <c r="C1314" i="13"/>
  <c r="C1330" i="13"/>
  <c r="C1346" i="13"/>
  <c r="C1362" i="13"/>
  <c r="C1378" i="13"/>
  <c r="C1394" i="13"/>
  <c r="C1410" i="13"/>
  <c r="C1426" i="13"/>
  <c r="C1442" i="13"/>
  <c r="C1458" i="13"/>
  <c r="C1474" i="13"/>
  <c r="C1490" i="13"/>
  <c r="C1506" i="13"/>
  <c r="C1522" i="13"/>
  <c r="C46" i="13"/>
  <c r="C126" i="13"/>
  <c r="C142" i="13"/>
  <c r="C150" i="13"/>
  <c r="C442" i="13"/>
  <c r="C567" i="13"/>
  <c r="C583" i="13"/>
  <c r="C599" i="13"/>
  <c r="C615" i="13"/>
  <c r="C631" i="13"/>
  <c r="C647" i="13"/>
  <c r="C663" i="13"/>
  <c r="C679" i="13"/>
  <c r="C695" i="13"/>
  <c r="C711" i="13"/>
  <c r="C727" i="13"/>
  <c r="C743" i="13"/>
  <c r="C759" i="13"/>
  <c r="C775" i="13"/>
  <c r="C791" i="13"/>
  <c r="C807" i="13"/>
  <c r="C823" i="13"/>
  <c r="C839" i="13"/>
  <c r="C855" i="13"/>
  <c r="C871" i="13"/>
  <c r="C887" i="13"/>
  <c r="C903" i="13"/>
  <c r="C919" i="13"/>
  <c r="C935" i="13"/>
  <c r="C951" i="13"/>
  <c r="C967" i="13"/>
  <c r="C983" i="13"/>
  <c r="C999" i="13"/>
  <c r="C1015" i="13"/>
  <c r="C1031" i="13"/>
  <c r="C1047" i="13"/>
  <c r="C1063" i="13"/>
  <c r="C1079" i="13"/>
  <c r="C1095" i="13"/>
  <c r="C1111" i="13"/>
  <c r="C1127" i="13"/>
  <c r="C1143" i="13"/>
  <c r="C1159" i="13"/>
  <c r="C1175" i="13"/>
  <c r="C1191" i="13"/>
  <c r="C1207" i="13"/>
  <c r="C1223" i="13"/>
  <c r="C1239" i="13"/>
  <c r="C1255" i="13"/>
  <c r="C1271" i="13"/>
  <c r="C1287" i="13"/>
  <c r="C1303" i="13"/>
  <c r="C1319" i="13"/>
  <c r="C1335" i="13"/>
  <c r="C1351" i="13"/>
  <c r="C1367" i="13"/>
  <c r="C1383" i="13"/>
  <c r="C1399" i="13"/>
  <c r="C1415" i="13"/>
  <c r="C1431" i="13"/>
  <c r="C1447" i="13"/>
  <c r="C1463" i="13"/>
  <c r="C1479" i="13"/>
  <c r="C1495" i="13"/>
  <c r="C1511" i="13"/>
  <c r="C1527" i="13"/>
  <c r="C524" i="13"/>
  <c r="C540" i="13"/>
  <c r="C556" i="13"/>
  <c r="C572" i="13"/>
  <c r="C588" i="13"/>
  <c r="C604" i="13"/>
  <c r="C620" i="13"/>
  <c r="C636" i="13"/>
  <c r="C652" i="13"/>
  <c r="C668" i="13"/>
  <c r="C684" i="13"/>
  <c r="C700" i="13"/>
  <c r="C716" i="13"/>
  <c r="C732" i="13"/>
  <c r="C748" i="13"/>
  <c r="C764" i="13"/>
  <c r="C780" i="13"/>
  <c r="C796" i="13"/>
  <c r="C812" i="13"/>
  <c r="C828" i="13"/>
  <c r="C844" i="13"/>
  <c r="C860" i="13"/>
  <c r="C876" i="13"/>
  <c r="C892" i="13"/>
  <c r="C908" i="13"/>
  <c r="C924" i="13"/>
  <c r="C940" i="13"/>
  <c r="C956" i="13"/>
  <c r="C972" i="13"/>
  <c r="C988" i="13"/>
  <c r="C1004" i="13"/>
  <c r="C1020" i="13"/>
  <c r="C1036" i="13"/>
  <c r="C1052" i="13"/>
  <c r="C1068" i="13"/>
  <c r="C1084" i="13"/>
  <c r="C1100" i="13"/>
  <c r="C1116" i="13"/>
  <c r="C1132" i="13"/>
  <c r="C1148" i="13"/>
  <c r="C1164" i="13"/>
  <c r="C1180" i="13"/>
  <c r="C1196" i="13"/>
  <c r="C1212" i="13"/>
  <c r="C1228" i="13"/>
  <c r="C1244" i="13"/>
  <c r="C1260" i="13"/>
  <c r="C1276" i="13"/>
  <c r="C1292" i="13"/>
  <c r="C1308" i="13"/>
  <c r="C1324" i="13"/>
  <c r="C1340" i="13"/>
  <c r="C1356" i="13"/>
  <c r="C1372" i="13"/>
  <c r="C1388" i="13"/>
  <c r="C1404" i="13"/>
  <c r="C1420" i="13"/>
  <c r="C1436" i="13"/>
  <c r="C1452" i="13"/>
  <c r="C1468" i="13"/>
  <c r="C1484" i="13"/>
  <c r="C1500" i="13"/>
  <c r="C1516" i="13"/>
  <c r="C1532" i="13"/>
  <c r="C64" i="13"/>
  <c r="C128" i="13"/>
  <c r="C144" i="13"/>
  <c r="C188" i="13"/>
  <c r="C264" i="13"/>
  <c r="C320" i="13"/>
  <c r="C376" i="13"/>
  <c r="C416" i="13"/>
  <c r="C452" i="13"/>
  <c r="C468" i="13"/>
  <c r="C484" i="13"/>
  <c r="C500" i="13"/>
  <c r="C9" i="13"/>
  <c r="C25" i="13"/>
  <c r="C41" i="13"/>
  <c r="C61" i="13"/>
  <c r="C77" i="13"/>
  <c r="C93" i="13"/>
  <c r="C109" i="13"/>
  <c r="C137" i="13"/>
  <c r="C165" i="13"/>
  <c r="C181" i="13"/>
  <c r="C201" i="13"/>
  <c r="C217" i="13"/>
  <c r="C233" i="13"/>
  <c r="C249" i="13"/>
  <c r="C273" i="13"/>
  <c r="C289" i="13"/>
  <c r="C305" i="13"/>
  <c r="C321" i="13"/>
  <c r="C341" i="13"/>
  <c r="C357" i="13"/>
  <c r="C373" i="13"/>
  <c r="C393" i="13"/>
  <c r="C409" i="13"/>
  <c r="C429" i="13"/>
  <c r="C449" i="13"/>
  <c r="C465" i="13"/>
  <c r="C481" i="13"/>
  <c r="C497" i="13"/>
  <c r="C513" i="13"/>
  <c r="C533" i="13"/>
  <c r="C549" i="13"/>
  <c r="C565" i="13"/>
  <c r="C581" i="13"/>
  <c r="C597" i="13"/>
  <c r="C613" i="13"/>
  <c r="C629" i="13"/>
  <c r="C645" i="13"/>
  <c r="C661" i="13"/>
  <c r="C677" i="13"/>
  <c r="C693" i="13"/>
  <c r="C709" i="13"/>
  <c r="C725" i="13"/>
  <c r="C741" i="13"/>
  <c r="C757" i="13"/>
  <c r="C773" i="13"/>
  <c r="C789" i="13"/>
  <c r="C805" i="13"/>
  <c r="C821" i="13"/>
  <c r="C837" i="13"/>
  <c r="C853" i="13"/>
  <c r="C869" i="13"/>
  <c r="C885" i="13"/>
  <c r="C901" i="13"/>
  <c r="C917" i="13"/>
  <c r="C933" i="13"/>
  <c r="C949" i="13"/>
  <c r="C965" i="13"/>
  <c r="C981" i="13"/>
  <c r="C997" i="13"/>
  <c r="C1013" i="13"/>
  <c r="C1029" i="13"/>
  <c r="C1045" i="13"/>
  <c r="C1061" i="13"/>
  <c r="C1077" i="13"/>
  <c r="C1093" i="13"/>
  <c r="C1109" i="13"/>
  <c r="C1125" i="13"/>
  <c r="C1141" i="13"/>
  <c r="C1157" i="13"/>
  <c r="C1173" i="13"/>
  <c r="C1189" i="13"/>
  <c r="C1205" i="13"/>
  <c r="C1221" i="13"/>
  <c r="C1237" i="13"/>
  <c r="C1253" i="13"/>
  <c r="C1269" i="13"/>
  <c r="C1285" i="13"/>
  <c r="C1301" i="13"/>
  <c r="C1317" i="13"/>
  <c r="C1333" i="13"/>
  <c r="C1349" i="13"/>
  <c r="C1365" i="13"/>
  <c r="C1381" i="13"/>
  <c r="C1397" i="13"/>
  <c r="C1413" i="13"/>
  <c r="C1429" i="13"/>
  <c r="C1445" i="13"/>
  <c r="C1461" i="13"/>
  <c r="C1477" i="13"/>
  <c r="C1493" i="13"/>
  <c r="C1509" i="13"/>
  <c r="C1525" i="13"/>
  <c r="C614" i="13"/>
  <c r="C630" i="13"/>
  <c r="C646" i="13"/>
  <c r="C662" i="13"/>
  <c r="C678" i="13"/>
  <c r="C694" i="13"/>
  <c r="C710" i="13"/>
  <c r="C726" i="13"/>
  <c r="C742" i="13"/>
  <c r="C758" i="13"/>
  <c r="C774" i="13"/>
  <c r="C790" i="13"/>
  <c r="C806" i="13"/>
  <c r="C822" i="13"/>
  <c r="C838" i="13"/>
  <c r="C854" i="13"/>
  <c r="C870" i="13"/>
  <c r="C886" i="13"/>
  <c r="C902" i="13"/>
  <c r="C918" i="13"/>
  <c r="C934" i="13"/>
  <c r="C950" i="13"/>
  <c r="C966" i="13"/>
  <c r="C982" i="13"/>
  <c r="C998" i="13"/>
  <c r="C1014" i="13"/>
  <c r="C1030" i="13"/>
  <c r="C1046" i="13"/>
  <c r="C1062" i="13"/>
  <c r="C1078" i="13"/>
  <c r="C1094" i="13"/>
  <c r="C1110" i="13"/>
  <c r="C1126" i="13"/>
  <c r="C1142" i="13"/>
  <c r="C1158" i="13"/>
  <c r="C1174" i="13"/>
  <c r="C1190" i="13"/>
  <c r="C1206" i="13"/>
  <c r="C1222" i="13"/>
  <c r="C1238" i="13"/>
  <c r="C1254" i="13"/>
  <c r="C1270" i="13"/>
  <c r="C1286" i="13"/>
  <c r="C1302" i="13"/>
  <c r="C1318" i="13"/>
  <c r="C1334" i="13"/>
  <c r="C1350" i="13"/>
  <c r="C1366" i="13"/>
  <c r="C1382" i="13"/>
  <c r="C1398" i="13"/>
  <c r="C1414" i="13"/>
  <c r="C1430" i="13"/>
  <c r="C1446" i="13"/>
  <c r="C1462" i="13"/>
  <c r="C1478" i="13"/>
  <c r="C1494" i="13"/>
  <c r="C1510" i="13"/>
  <c r="C1526" i="13"/>
  <c r="C571" i="13"/>
  <c r="C587" i="13"/>
  <c r="C603" i="13"/>
  <c r="C619" i="13"/>
  <c r="C635" i="13"/>
  <c r="C651" i="13"/>
  <c r="C667" i="13"/>
  <c r="C683" i="13"/>
  <c r="C699" i="13"/>
  <c r="C715" i="13"/>
  <c r="C731" i="13"/>
  <c r="C747" i="13"/>
  <c r="C763" i="13"/>
  <c r="C779" i="13"/>
  <c r="C795" i="13"/>
  <c r="C811" i="13"/>
  <c r="C827" i="13"/>
  <c r="C843" i="13"/>
  <c r="C859" i="13"/>
  <c r="C875" i="13"/>
  <c r="C891" i="13"/>
  <c r="C907" i="13"/>
  <c r="C923" i="13"/>
  <c r="C939" i="13"/>
  <c r="C955" i="13"/>
  <c r="C971" i="13"/>
  <c r="C987" i="13"/>
  <c r="C1003" i="13"/>
  <c r="C1019" i="13"/>
  <c r="C1035" i="13"/>
  <c r="C1051" i="13"/>
  <c r="C1067" i="13"/>
  <c r="C1083" i="13"/>
  <c r="C1099" i="13"/>
  <c r="C1115" i="13"/>
  <c r="C1131" i="13"/>
  <c r="C1147" i="13"/>
  <c r="C1163" i="13"/>
  <c r="C1179" i="13"/>
  <c r="C1195" i="13"/>
  <c r="C1211" i="13"/>
  <c r="C1227" i="13"/>
  <c r="C1243" i="13"/>
  <c r="C1259" i="13"/>
  <c r="C1275" i="13"/>
  <c r="C1291" i="13"/>
  <c r="C1307" i="13"/>
  <c r="C1323" i="13"/>
  <c r="C1339" i="13"/>
  <c r="C1355" i="13"/>
  <c r="C1371" i="13"/>
  <c r="C1387" i="13"/>
  <c r="C1403" i="13"/>
  <c r="C1419" i="13"/>
  <c r="C1435" i="13"/>
  <c r="C1451" i="13"/>
  <c r="C1467" i="13"/>
  <c r="C1483" i="13"/>
  <c r="C1499" i="13"/>
  <c r="C1515" i="13"/>
  <c r="C1531" i="13"/>
  <c r="C63" i="13"/>
  <c r="C127" i="13"/>
  <c r="C143" i="13"/>
  <c r="C151" i="13"/>
  <c r="C319" i="13"/>
  <c r="C383" i="13"/>
  <c r="C528" i="13"/>
  <c r="C544" i="13"/>
  <c r="C560" i="13"/>
  <c r="C576" i="13"/>
  <c r="C592" i="13"/>
  <c r="C608" i="13"/>
  <c r="C624" i="13"/>
  <c r="C640" i="13"/>
  <c r="C656" i="13"/>
  <c r="C672" i="13"/>
  <c r="C688" i="13"/>
  <c r="C704" i="13"/>
  <c r="C720" i="13"/>
  <c r="C736" i="13"/>
  <c r="C752" i="13"/>
  <c r="C768" i="13"/>
  <c r="C784" i="13"/>
  <c r="C800" i="13"/>
  <c r="C816" i="13"/>
  <c r="C832" i="13"/>
  <c r="C848" i="13"/>
  <c r="C864" i="13"/>
  <c r="C880" i="13"/>
  <c r="C896" i="13"/>
  <c r="C912" i="13"/>
  <c r="C928" i="13"/>
  <c r="C944" i="13"/>
  <c r="C960" i="13"/>
  <c r="C976" i="13"/>
  <c r="C992" i="13"/>
  <c r="C1008" i="13"/>
  <c r="C1024" i="13"/>
  <c r="C1040" i="13"/>
  <c r="C1056" i="13"/>
  <c r="C1072" i="13"/>
  <c r="C1088" i="13"/>
  <c r="C1104" i="13"/>
  <c r="C1120" i="13"/>
  <c r="C1136" i="13"/>
  <c r="C1152" i="13"/>
  <c r="C1168" i="13"/>
  <c r="C1184" i="13"/>
  <c r="C1200" i="13"/>
  <c r="C1216" i="13"/>
  <c r="C1232" i="13"/>
  <c r="C1248" i="13"/>
  <c r="C1264" i="13"/>
  <c r="C1280" i="13"/>
  <c r="C1296" i="13"/>
  <c r="C1312" i="13"/>
  <c r="C1328" i="13"/>
  <c r="C1344" i="13"/>
  <c r="C1360" i="13"/>
  <c r="C1376" i="13"/>
  <c r="C1392" i="13"/>
  <c r="C1408" i="13"/>
  <c r="C1424" i="13"/>
  <c r="C1440" i="13"/>
  <c r="C1456" i="13"/>
  <c r="C1472" i="13"/>
  <c r="C1488" i="13"/>
  <c r="C1504" i="13"/>
  <c r="C1520" i="13"/>
  <c r="C1536" i="13"/>
  <c r="G39" i="12"/>
  <c r="G52" i="12"/>
  <c r="G47" i="12"/>
  <c r="G64" i="12"/>
  <c r="G3" i="12"/>
  <c r="G79" i="12"/>
  <c r="G94" i="12"/>
  <c r="G27" i="12"/>
  <c r="G14" i="12"/>
  <c r="G108" i="12"/>
  <c r="G109" i="12" a="1"/>
  <c r="G40" i="12" a="1"/>
  <c r="G53" i="12" a="1"/>
  <c r="G4" i="12" a="1"/>
  <c r="G65" i="12" a="1"/>
  <c r="G95" i="12" a="1"/>
  <c r="G28" i="12" a="1"/>
  <c r="G15" i="12" a="1"/>
  <c r="G48" i="12" a="1"/>
  <c r="G80" i="12" a="1"/>
  <c r="G33" i="11" l="1"/>
  <c r="G149" i="11"/>
  <c r="G37" i="11"/>
  <c r="G173" i="11"/>
  <c r="G8" i="11"/>
  <c r="G71" i="11"/>
  <c r="G7" i="11"/>
  <c r="G203" i="11"/>
  <c r="G38" i="11"/>
  <c r="G182" i="11"/>
  <c r="G3" i="11"/>
  <c r="G191" i="11"/>
  <c r="G202" i="11"/>
  <c r="G66" i="11"/>
  <c r="G174" i="11"/>
  <c r="G80" i="11"/>
  <c r="G64" i="11"/>
  <c r="G127" i="11"/>
  <c r="G30" i="11"/>
  <c r="G163" i="11"/>
  <c r="G59" i="11"/>
  <c r="G176" i="11"/>
  <c r="G154" i="11"/>
  <c r="G107" i="10"/>
  <c r="G150" i="10"/>
  <c r="G63" i="10"/>
  <c r="G146" i="10"/>
  <c r="G44" i="10"/>
  <c r="G125" i="10"/>
  <c r="G144" i="10"/>
  <c r="G105" i="10"/>
  <c r="G57" i="10"/>
  <c r="G41" i="10"/>
  <c r="G30" i="10"/>
  <c r="G77" i="10"/>
  <c r="G5" i="9"/>
  <c r="G109" i="9"/>
  <c r="G149" i="9"/>
  <c r="G154" i="9"/>
  <c r="G56" i="9"/>
  <c r="G39" i="9"/>
  <c r="G156" i="9"/>
  <c r="G32" i="9"/>
  <c r="G55" i="9"/>
  <c r="G81" i="8"/>
  <c r="G101" i="8"/>
  <c r="G9" i="8"/>
  <c r="G37" i="8"/>
  <c r="G105" i="8"/>
  <c r="G99" i="8"/>
  <c r="G3" i="8"/>
  <c r="G78" i="8"/>
  <c r="G115" i="8"/>
  <c r="G114" i="8"/>
  <c r="G50" i="8"/>
  <c r="G180" i="7"/>
  <c r="G7" i="7"/>
  <c r="G18" i="7"/>
  <c r="G124" i="7"/>
  <c r="G163" i="7"/>
  <c r="G147" i="7"/>
  <c r="G78" i="7"/>
  <c r="G9" i="7"/>
  <c r="G80" i="7"/>
  <c r="G85" i="7"/>
  <c r="G37" i="7"/>
  <c r="G123" i="7"/>
  <c r="G18" i="6"/>
  <c r="G9" i="6"/>
  <c r="G29" i="6"/>
  <c r="G25" i="6"/>
  <c r="G11" i="6"/>
  <c r="G20" i="6"/>
  <c r="G27" i="6"/>
  <c r="G125" i="5"/>
  <c r="G40" i="5"/>
  <c r="G56" i="5"/>
  <c r="G88" i="5"/>
  <c r="G100" i="5"/>
  <c r="G9" i="5"/>
  <c r="G81" i="5"/>
  <c r="G23" i="5"/>
  <c r="G22" i="5"/>
  <c r="G55" i="5"/>
  <c r="G58" i="5"/>
  <c r="G39" i="5"/>
  <c r="G130" i="5"/>
  <c r="G63" i="5"/>
  <c r="G94" i="5"/>
  <c r="G95" i="5"/>
  <c r="G91" i="5"/>
  <c r="G93" i="3"/>
  <c r="G117" i="3"/>
  <c r="G141" i="3"/>
  <c r="G149" i="3"/>
  <c r="G17" i="3"/>
  <c r="G142" i="3"/>
  <c r="G78" i="3"/>
  <c r="G136" i="3"/>
  <c r="G87" i="3"/>
  <c r="G98" i="3"/>
  <c r="G191" i="3"/>
  <c r="G154" i="3"/>
  <c r="G42" i="3"/>
  <c r="G167" i="3"/>
  <c r="G103" i="3"/>
  <c r="G39" i="3"/>
  <c r="G198" i="3"/>
  <c r="G134" i="3"/>
  <c r="G131" i="3"/>
  <c r="G35" i="3"/>
  <c r="G146" i="3"/>
  <c r="G156" i="3"/>
  <c r="G12" i="3"/>
  <c r="G73" i="2"/>
  <c r="G85" i="2"/>
  <c r="G81" i="2"/>
  <c r="G109" i="2"/>
  <c r="G117" i="2"/>
  <c r="G125" i="2"/>
  <c r="G53" i="2"/>
  <c r="G83" i="2"/>
  <c r="G19" i="2"/>
  <c r="G23" i="2"/>
  <c r="G110" i="2"/>
  <c r="G78" i="2"/>
  <c r="G140" i="2"/>
  <c r="G42" i="2"/>
  <c r="G123" i="2"/>
  <c r="G118" i="2"/>
  <c r="G54" i="2"/>
  <c r="G32" i="2"/>
  <c r="G65" i="1"/>
  <c r="G165" i="1"/>
  <c r="G25" i="1"/>
  <c r="G121" i="1"/>
  <c r="G34" i="1"/>
  <c r="G76" i="1"/>
  <c r="G115" i="1"/>
  <c r="G19" i="1"/>
  <c r="G104" i="1"/>
  <c r="G8" i="1"/>
  <c r="G143" i="1"/>
  <c r="G79" i="1"/>
  <c r="G116" i="1"/>
  <c r="G68" i="1"/>
  <c r="G109" i="12"/>
  <c r="G80" i="12"/>
  <c r="G53" i="12"/>
  <c r="G15" i="12"/>
  <c r="G4" i="12"/>
  <c r="G40" i="12"/>
  <c r="G28" i="12"/>
  <c r="G65" i="12"/>
  <c r="G95" i="12"/>
  <c r="G48" i="12"/>
  <c r="G29" i="12" a="1"/>
  <c r="G5" i="12" a="1"/>
  <c r="G81" i="12" a="1"/>
  <c r="G96" i="12" a="1"/>
  <c r="G41" i="12" a="1"/>
  <c r="G66" i="12" a="1"/>
  <c r="G54" i="12" a="1"/>
  <c r="G110" i="12" a="1"/>
  <c r="G49" i="12" a="1"/>
  <c r="G16" i="12" a="1"/>
  <c r="G121" i="11" l="1"/>
  <c r="G193" i="11"/>
  <c r="G69" i="11"/>
  <c r="G113" i="11"/>
  <c r="G153" i="11"/>
  <c r="G168" i="11"/>
  <c r="G104" i="11"/>
  <c r="G39" i="11"/>
  <c r="G114" i="11"/>
  <c r="G86" i="11"/>
  <c r="G54" i="11"/>
  <c r="G148" i="11"/>
  <c r="G116" i="11"/>
  <c r="G52" i="11"/>
  <c r="G20" i="11"/>
  <c r="G142" i="11"/>
  <c r="G48" i="11"/>
  <c r="G60" i="11"/>
  <c r="G107" i="11"/>
  <c r="G16" i="10"/>
  <c r="G139" i="10"/>
  <c r="G38" i="10"/>
  <c r="G100" i="10"/>
  <c r="G135" i="10"/>
  <c r="G85" i="10"/>
  <c r="G66" i="10"/>
  <c r="G34" i="10"/>
  <c r="G127" i="10"/>
  <c r="G81" i="10"/>
  <c r="G33" i="10"/>
  <c r="G61" i="10"/>
  <c r="G24" i="10"/>
  <c r="G74" i="10"/>
  <c r="G73" i="10"/>
  <c r="G59" i="10"/>
  <c r="G11" i="10"/>
  <c r="G108" i="10"/>
  <c r="G76" i="10"/>
  <c r="G60" i="10"/>
  <c r="G26" i="10"/>
  <c r="G28" i="10"/>
  <c r="G133" i="9"/>
  <c r="G35" i="9"/>
  <c r="G3" i="9"/>
  <c r="G14" i="9"/>
  <c r="G91" i="9"/>
  <c r="G175" i="9"/>
  <c r="G15" i="9"/>
  <c r="G116" i="9"/>
  <c r="G25" i="8"/>
  <c r="G41" i="8"/>
  <c r="G60" i="8"/>
  <c r="G95" i="8"/>
  <c r="G24" i="8"/>
  <c r="G84" i="8"/>
  <c r="G119" i="8"/>
  <c r="G124" i="8"/>
  <c r="G38" i="8"/>
  <c r="G120" i="8"/>
  <c r="G2" i="7"/>
  <c r="G174" i="7"/>
  <c r="G141" i="7"/>
  <c r="G68" i="7"/>
  <c r="G44" i="7"/>
  <c r="G121" i="7"/>
  <c r="G97" i="7"/>
  <c r="G127" i="7"/>
  <c r="G79" i="7"/>
  <c r="G179" i="7"/>
  <c r="G138" i="7"/>
  <c r="G165" i="7"/>
  <c r="G17" i="7"/>
  <c r="G6" i="6"/>
  <c r="G22" i="6"/>
  <c r="G38" i="6"/>
  <c r="G26" i="6"/>
  <c r="G13" i="6"/>
  <c r="G17" i="6"/>
  <c r="G33" i="6"/>
  <c r="G32" i="6"/>
  <c r="G36" i="6"/>
  <c r="G15" i="6"/>
  <c r="G8" i="6"/>
  <c r="G31" i="6"/>
  <c r="G23" i="6"/>
  <c r="G39" i="6"/>
  <c r="G29" i="5"/>
  <c r="G45" i="5"/>
  <c r="G97" i="5"/>
  <c r="G4" i="5"/>
  <c r="G12" i="5"/>
  <c r="G32" i="5"/>
  <c r="G52" i="5"/>
  <c r="G112" i="5"/>
  <c r="G65" i="5"/>
  <c r="G89" i="5"/>
  <c r="G67" i="5"/>
  <c r="G7" i="5"/>
  <c r="G90" i="5"/>
  <c r="G59" i="5"/>
  <c r="G14" i="5"/>
  <c r="G86" i="5"/>
  <c r="G87" i="5"/>
  <c r="G43" i="5"/>
  <c r="G78" i="5"/>
  <c r="G122" i="5"/>
  <c r="G21" i="3"/>
  <c r="G202" i="3"/>
  <c r="G170" i="3"/>
  <c r="G138" i="3"/>
  <c r="G26" i="3"/>
  <c r="G100" i="3"/>
  <c r="G199" i="3"/>
  <c r="G31" i="3"/>
  <c r="G49" i="2"/>
  <c r="G97" i="2"/>
  <c r="G45" i="2"/>
  <c r="G69" i="2"/>
  <c r="G34" i="2"/>
  <c r="G126" i="2"/>
  <c r="G79" i="2"/>
  <c r="G52" i="2"/>
  <c r="G80" i="2"/>
  <c r="G103" i="2"/>
  <c r="G21" i="1"/>
  <c r="G57" i="1"/>
  <c r="G61" i="1"/>
  <c r="G97" i="1"/>
  <c r="G133" i="1"/>
  <c r="G141" i="1"/>
  <c r="G149" i="1"/>
  <c r="G157" i="1"/>
  <c r="G161" i="1"/>
  <c r="G167" i="1"/>
  <c r="G151" i="1"/>
  <c r="G87" i="1"/>
  <c r="G146" i="1"/>
  <c r="G130" i="1"/>
  <c r="G66" i="1"/>
  <c r="G50" i="1"/>
  <c r="G2" i="1"/>
  <c r="G92" i="1"/>
  <c r="G131" i="1"/>
  <c r="G110" i="1"/>
  <c r="G46" i="1"/>
  <c r="G168" i="1"/>
  <c r="G72" i="1"/>
  <c r="G40" i="1"/>
  <c r="G24" i="1"/>
  <c r="G47" i="1"/>
  <c r="G154" i="1"/>
  <c r="G122" i="1"/>
  <c r="G26" i="1"/>
  <c r="G148" i="1"/>
  <c r="G139" i="1"/>
  <c r="G107" i="1"/>
  <c r="G59" i="1"/>
  <c r="G27" i="1"/>
  <c r="G118" i="1"/>
  <c r="G102" i="1"/>
  <c r="G86" i="1"/>
  <c r="G38" i="1"/>
  <c r="G49" i="12"/>
  <c r="G41" i="12"/>
  <c r="G81" i="12"/>
  <c r="G96" i="12"/>
  <c r="G5" i="12"/>
  <c r="G110" i="12"/>
  <c r="G66" i="12"/>
  <c r="G16" i="12"/>
  <c r="G29" i="12"/>
  <c r="G54" i="12"/>
  <c r="G82" i="12" a="1"/>
  <c r="G111" i="12" a="1"/>
  <c r="G6" i="12" a="1"/>
  <c r="G55" i="12" a="1"/>
  <c r="G67" i="12" a="1"/>
  <c r="G50" i="12" a="1"/>
  <c r="G42" i="12" a="1"/>
  <c r="G30" i="12" a="1"/>
  <c r="G17" i="12" a="1"/>
  <c r="G97" i="12" a="1"/>
  <c r="G25" i="11" l="1"/>
  <c r="G109" i="11"/>
  <c r="G157" i="11"/>
  <c r="G45" i="11"/>
  <c r="G152" i="11"/>
  <c r="G88" i="11"/>
  <c r="G56" i="11"/>
  <c r="G24" i="11"/>
  <c r="G155" i="11"/>
  <c r="G6" i="11"/>
  <c r="G132" i="11"/>
  <c r="G131" i="11"/>
  <c r="G2" i="11"/>
  <c r="G15" i="11"/>
  <c r="G192" i="11"/>
  <c r="G130" i="11"/>
  <c r="G140" i="11"/>
  <c r="G10" i="11"/>
  <c r="G70" i="10"/>
  <c r="G140" i="10"/>
  <c r="G99" i="10"/>
  <c r="G12" i="10"/>
  <c r="G79" i="10"/>
  <c r="G75" i="10"/>
  <c r="G27" i="10"/>
  <c r="G142" i="10"/>
  <c r="G148" i="10"/>
  <c r="G124" i="10"/>
  <c r="G13" i="10"/>
  <c r="G81" i="9"/>
  <c r="G93" i="9"/>
  <c r="G145" i="9"/>
  <c r="G37" i="9"/>
  <c r="G125" i="9"/>
  <c r="G161" i="9"/>
  <c r="G130" i="9"/>
  <c r="G126" i="9"/>
  <c r="G136" i="9"/>
  <c r="G88" i="9"/>
  <c r="G115" i="9"/>
  <c r="G147" i="9"/>
  <c r="G134" i="9"/>
  <c r="G76" i="9"/>
  <c r="G28" i="9"/>
  <c r="G34" i="9"/>
  <c r="G163" i="9"/>
  <c r="G50" i="9"/>
  <c r="G132" i="9"/>
  <c r="G183" i="9"/>
  <c r="G60" i="9"/>
  <c r="G29" i="8"/>
  <c r="G71" i="8"/>
  <c r="G35" i="8"/>
  <c r="G12" i="8"/>
  <c r="G11" i="8"/>
  <c r="G76" i="8"/>
  <c r="G75" i="8"/>
  <c r="G16" i="8"/>
  <c r="G83" i="8"/>
  <c r="G55" i="7"/>
  <c r="G170" i="7"/>
  <c r="G146" i="7"/>
  <c r="G82" i="7"/>
  <c r="G50" i="7"/>
  <c r="G36" i="7"/>
  <c r="G173" i="7"/>
  <c r="G125" i="7"/>
  <c r="G155" i="7"/>
  <c r="G11" i="7"/>
  <c r="G33" i="7"/>
  <c r="G12" i="7"/>
  <c r="G67" i="7"/>
  <c r="G3" i="7"/>
  <c r="G14" i="7"/>
  <c r="G120" i="7"/>
  <c r="G57" i="7"/>
  <c r="G41" i="7"/>
  <c r="G139" i="7"/>
  <c r="G112" i="7"/>
  <c r="G159" i="7"/>
  <c r="G128" i="7"/>
  <c r="G122" i="7"/>
  <c r="G106" i="7"/>
  <c r="G58" i="7"/>
  <c r="G42" i="7"/>
  <c r="G14" i="6"/>
  <c r="G34" i="6"/>
  <c r="G37" i="6"/>
  <c r="G30" i="6"/>
  <c r="G16" i="6"/>
  <c r="G19" i="6"/>
  <c r="G24" i="6"/>
  <c r="G4" i="6"/>
  <c r="G128" i="5"/>
  <c r="G85" i="5"/>
  <c r="G76" i="5"/>
  <c r="G33" i="5"/>
  <c r="G26" i="5"/>
  <c r="G103" i="5"/>
  <c r="G47" i="5"/>
  <c r="G2" i="5"/>
  <c r="G74" i="5"/>
  <c r="G83" i="5"/>
  <c r="G15" i="5"/>
  <c r="G37" i="3"/>
  <c r="G57" i="3"/>
  <c r="G101" i="3"/>
  <c r="G120" i="3"/>
  <c r="G59" i="3"/>
  <c r="G183" i="3"/>
  <c r="G119" i="3"/>
  <c r="G212" i="3"/>
  <c r="G180" i="3"/>
  <c r="G86" i="3"/>
  <c r="G38" i="3"/>
  <c r="G208" i="3"/>
  <c r="G160" i="3"/>
  <c r="G16" i="3"/>
  <c r="G60" i="3"/>
  <c r="G101" i="2"/>
  <c r="G5" i="2"/>
  <c r="G41" i="2"/>
  <c r="G76" i="2"/>
  <c r="G131" i="2"/>
  <c r="G16" i="2"/>
  <c r="G14" i="2"/>
  <c r="G72" i="2"/>
  <c r="G40" i="2"/>
  <c r="G127" i="2"/>
  <c r="G47" i="2"/>
  <c r="G31" i="2"/>
  <c r="G70" i="2"/>
  <c r="G26" i="2"/>
  <c r="G107" i="2"/>
  <c r="G43" i="2"/>
  <c r="G11" i="2"/>
  <c r="G101" i="1"/>
  <c r="G153" i="1"/>
  <c r="G105" i="1"/>
  <c r="G41" i="1"/>
  <c r="G109" i="1"/>
  <c r="G124" i="1"/>
  <c r="G44" i="1"/>
  <c r="G56" i="1"/>
  <c r="G90" i="1"/>
  <c r="G123" i="1"/>
  <c r="G91" i="1"/>
  <c r="G11" i="1"/>
  <c r="G144" i="1"/>
  <c r="G128" i="1"/>
  <c r="G17" i="12"/>
  <c r="G97" i="12"/>
  <c r="G67" i="12"/>
  <c r="G82" i="12"/>
  <c r="G55" i="12"/>
  <c r="G111" i="12"/>
  <c r="G42" i="12"/>
  <c r="G30" i="12"/>
  <c r="G6" i="12"/>
  <c r="G50" i="12"/>
  <c r="G83" i="12" a="1"/>
  <c r="G98" i="12" a="1"/>
  <c r="G43" i="12" a="1"/>
  <c r="G31" i="12" a="1"/>
  <c r="G68" i="12" a="1"/>
  <c r="G112" i="12" a="1"/>
  <c r="G18" i="12" a="1"/>
  <c r="G7" i="12" a="1"/>
  <c r="G56" i="12" a="1"/>
  <c r="G29" i="11" l="1"/>
  <c r="G73" i="11"/>
  <c r="G169" i="11"/>
  <c r="G205" i="11"/>
  <c r="G36" i="11"/>
  <c r="G147" i="11"/>
  <c r="G82" i="11"/>
  <c r="G206" i="11"/>
  <c r="G144" i="11"/>
  <c r="G79" i="11"/>
  <c r="G46" i="11"/>
  <c r="G156" i="11"/>
  <c r="G108" i="11"/>
  <c r="G91" i="11"/>
  <c r="G186" i="11"/>
  <c r="G19" i="10"/>
  <c r="G22" i="10"/>
  <c r="G31" i="10"/>
  <c r="G55" i="10"/>
  <c r="G116" i="10"/>
  <c r="G68" i="10"/>
  <c r="G91" i="10"/>
  <c r="G83" i="10"/>
  <c r="G21" i="9"/>
  <c r="G121" i="9"/>
  <c r="G173" i="9"/>
  <c r="G83" i="9"/>
  <c r="G68" i="9"/>
  <c r="G46" i="9"/>
  <c r="G73" i="8"/>
  <c r="G64" i="8"/>
  <c r="G130" i="8"/>
  <c r="G2" i="8"/>
  <c r="G118" i="8"/>
  <c r="G100" i="8"/>
  <c r="G43" i="8"/>
  <c r="G87" i="8"/>
  <c r="G88" i="7"/>
  <c r="G103" i="7"/>
  <c r="G87" i="7"/>
  <c r="G77" i="7"/>
  <c r="G13" i="7"/>
  <c r="G100" i="7"/>
  <c r="G178" i="7"/>
  <c r="G115" i="7"/>
  <c r="G99" i="7"/>
  <c r="G19" i="7"/>
  <c r="G30" i="7"/>
  <c r="G28" i="7"/>
  <c r="G169" i="7"/>
  <c r="G86" i="7"/>
  <c r="G171" i="7"/>
  <c r="G49" i="7"/>
  <c r="G32" i="7"/>
  <c r="G158" i="7"/>
  <c r="G5" i="7"/>
  <c r="G102" i="7"/>
  <c r="G2" i="6"/>
  <c r="G10" i="6"/>
  <c r="G5" i="6"/>
  <c r="G21" i="6"/>
  <c r="G28" i="6"/>
  <c r="G12" i="6"/>
  <c r="G35" i="6"/>
  <c r="G7" i="6"/>
  <c r="G3" i="6"/>
  <c r="G116" i="5"/>
  <c r="G61" i="5"/>
  <c r="G69" i="5"/>
  <c r="G77" i="5"/>
  <c r="G8" i="5"/>
  <c r="G72" i="5"/>
  <c r="G80" i="5"/>
  <c r="G5" i="5"/>
  <c r="G13" i="5"/>
  <c r="G17" i="5"/>
  <c r="G21" i="5"/>
  <c r="G57" i="5"/>
  <c r="G113" i="5"/>
  <c r="G119" i="5"/>
  <c r="G115" i="5"/>
  <c r="G106" i="5"/>
  <c r="G51" i="5"/>
  <c r="G54" i="5"/>
  <c r="G118" i="5"/>
  <c r="G18" i="5"/>
  <c r="G3" i="5"/>
  <c r="G46" i="5"/>
  <c r="G35" i="5"/>
  <c r="G34" i="5"/>
  <c r="G127" i="5"/>
  <c r="G129" i="3"/>
  <c r="G97" i="3"/>
  <c r="G157" i="3"/>
  <c r="G210" i="3"/>
  <c r="G203" i="3"/>
  <c r="G76" i="3"/>
  <c r="G122" i="3"/>
  <c r="G106" i="3"/>
  <c r="G74" i="3"/>
  <c r="G121" i="2"/>
  <c r="G136" i="2"/>
  <c r="G28" i="2"/>
  <c r="G115" i="2"/>
  <c r="G15" i="2"/>
  <c r="G30" i="2"/>
  <c r="G56" i="2"/>
  <c r="G106" i="2"/>
  <c r="G74" i="2"/>
  <c r="G100" i="2"/>
  <c r="G113" i="1"/>
  <c r="G85" i="1"/>
  <c r="G135" i="1"/>
  <c r="G71" i="1"/>
  <c r="G82" i="1"/>
  <c r="G147" i="1"/>
  <c r="G99" i="1"/>
  <c r="G120" i="1"/>
  <c r="G15" i="1"/>
  <c r="G170" i="1"/>
  <c r="G42" i="1"/>
  <c r="G84" i="1"/>
  <c r="G22" i="1"/>
  <c r="G160" i="1"/>
  <c r="G7" i="12"/>
  <c r="G56" i="12"/>
  <c r="G83" i="12"/>
  <c r="G68" i="12"/>
  <c r="G18" i="12"/>
  <c r="G31" i="12"/>
  <c r="G43" i="12"/>
  <c r="G112" i="12"/>
  <c r="G98" i="12"/>
  <c r="G99" i="12" a="1"/>
  <c r="G32" i="12" a="1"/>
  <c r="G69" i="12" a="1"/>
  <c r="G84" i="12" a="1"/>
  <c r="G19" i="12" a="1"/>
  <c r="G8" i="12" a="1"/>
  <c r="G113" i="12" a="1"/>
  <c r="G57" i="12" a="1"/>
  <c r="G44" i="12" a="1"/>
  <c r="G41" i="11" l="1"/>
  <c r="G141" i="11"/>
  <c r="G177" i="11"/>
  <c r="G189" i="11"/>
  <c r="G65" i="11"/>
  <c r="G117" i="11"/>
  <c r="G196" i="11"/>
  <c r="G55" i="11"/>
  <c r="G23" i="11"/>
  <c r="G178" i="11"/>
  <c r="G70" i="11"/>
  <c r="G150" i="11"/>
  <c r="G200" i="11"/>
  <c r="G164" i="11"/>
  <c r="G199" i="11"/>
  <c r="G110" i="11"/>
  <c r="G160" i="11"/>
  <c r="G32" i="11"/>
  <c r="G162" i="11"/>
  <c r="G94" i="11"/>
  <c r="G102" i="10"/>
  <c r="G101" i="10"/>
  <c r="G21" i="10"/>
  <c r="G128" i="10"/>
  <c r="G82" i="10"/>
  <c r="G2" i="10"/>
  <c r="G96" i="10"/>
  <c r="G62" i="10"/>
  <c r="G129" i="9"/>
  <c r="G137" i="9"/>
  <c r="G170" i="9"/>
  <c r="G184" i="9"/>
  <c r="G42" i="9"/>
  <c r="G96" i="9"/>
  <c r="G108" i="9"/>
  <c r="G63" i="9"/>
  <c r="G166" i="9"/>
  <c r="G43" i="9"/>
  <c r="G74" i="9"/>
  <c r="G92" i="9"/>
  <c r="G12" i="9"/>
  <c r="G113" i="8"/>
  <c r="G125" i="8"/>
  <c r="G13" i="8"/>
  <c r="G77" i="8"/>
  <c r="G42" i="8"/>
  <c r="G30" i="8"/>
  <c r="G108" i="8"/>
  <c r="G123" i="8"/>
  <c r="G58" i="8"/>
  <c r="G8" i="8"/>
  <c r="G74" i="8"/>
  <c r="G63" i="8"/>
  <c r="G39" i="7"/>
  <c r="G157" i="7"/>
  <c r="G107" i="7"/>
  <c r="G118" i="7"/>
  <c r="G177" i="7"/>
  <c r="G92" i="7"/>
  <c r="G72" i="7"/>
  <c r="G156" i="7"/>
  <c r="G176" i="7"/>
  <c r="G148" i="7"/>
  <c r="G6" i="7"/>
  <c r="G101" i="5"/>
  <c r="G117" i="5"/>
  <c r="G16" i="5"/>
  <c r="G24" i="5"/>
  <c r="G84" i="5"/>
  <c r="G92" i="5"/>
  <c r="G104" i="5"/>
  <c r="G49" i="5"/>
  <c r="G121" i="5"/>
  <c r="G129" i="5"/>
  <c r="G71" i="5"/>
  <c r="G62" i="5"/>
  <c r="G99" i="5"/>
  <c r="G110" i="5"/>
  <c r="G6" i="5"/>
  <c r="G38" i="5"/>
  <c r="G111" i="5"/>
  <c r="G114" i="5"/>
  <c r="G82" i="5"/>
  <c r="G79" i="5"/>
  <c r="G50" i="5"/>
  <c r="G42" i="5"/>
  <c r="G27" i="5"/>
  <c r="G98" i="5"/>
  <c r="G30" i="5"/>
  <c r="G61" i="3"/>
  <c r="G161" i="3"/>
  <c r="G77" i="3"/>
  <c r="G5" i="3"/>
  <c r="G181" i="3"/>
  <c r="G174" i="3"/>
  <c r="G62" i="3"/>
  <c r="G200" i="3"/>
  <c r="G88" i="3"/>
  <c r="G55" i="3"/>
  <c r="G90" i="3"/>
  <c r="G164" i="3"/>
  <c r="G52" i="3"/>
  <c r="G7" i="3"/>
  <c r="G140" i="3"/>
  <c r="G159" i="3"/>
  <c r="G111" i="3"/>
  <c r="G6" i="3"/>
  <c r="G176" i="3"/>
  <c r="G80" i="3"/>
  <c r="G13" i="2"/>
  <c r="G77" i="2"/>
  <c r="G114" i="2"/>
  <c r="G60" i="2"/>
  <c r="G119" i="2"/>
  <c r="G120" i="2"/>
  <c r="G24" i="2"/>
  <c r="G95" i="2"/>
  <c r="G138" i="2"/>
  <c r="G90" i="2"/>
  <c r="G139" i="2"/>
  <c r="G125" i="1"/>
  <c r="G13" i="1"/>
  <c r="G37" i="1"/>
  <c r="G81" i="1"/>
  <c r="G117" i="1"/>
  <c r="G73" i="1"/>
  <c r="G145" i="1"/>
  <c r="G119" i="1"/>
  <c r="G114" i="1"/>
  <c r="G140" i="1"/>
  <c r="G63" i="1"/>
  <c r="G58" i="1"/>
  <c r="G52" i="1"/>
  <c r="G32" i="12"/>
  <c r="G57" i="12"/>
  <c r="G99" i="12"/>
  <c r="G19" i="12"/>
  <c r="G8" i="12"/>
  <c r="G113" i="12"/>
  <c r="G69" i="12"/>
  <c r="G44" i="12"/>
  <c r="G84" i="12"/>
  <c r="G58" i="12" a="1"/>
  <c r="G45" i="12" a="1"/>
  <c r="G100" i="12" a="1"/>
  <c r="G33" i="12" a="1"/>
  <c r="G85" i="12" a="1"/>
  <c r="G9" i="12" a="1"/>
  <c r="G114" i="12" a="1"/>
  <c r="G20" i="12" a="1"/>
  <c r="G70" i="12" a="1"/>
  <c r="G181" i="11" l="1"/>
  <c r="G93" i="11"/>
  <c r="G175" i="11"/>
  <c r="G90" i="11"/>
  <c r="G180" i="11"/>
  <c r="G51" i="11"/>
  <c r="G34" i="11"/>
  <c r="G16" i="11"/>
  <c r="G76" i="11"/>
  <c r="G44" i="11"/>
  <c r="G139" i="11"/>
  <c r="G122" i="11"/>
  <c r="G129" i="10"/>
  <c r="G49" i="10"/>
  <c r="G39" i="10"/>
  <c r="G23" i="10"/>
  <c r="G9" i="10"/>
  <c r="G32" i="10"/>
  <c r="G110" i="10"/>
  <c r="G7" i="10"/>
  <c r="G90" i="10"/>
  <c r="G89" i="10"/>
  <c r="G57" i="9"/>
  <c r="G117" i="9"/>
  <c r="G141" i="9"/>
  <c r="G169" i="9"/>
  <c r="G61" i="9"/>
  <c r="G73" i="9"/>
  <c r="G103" i="9"/>
  <c r="G70" i="9"/>
  <c r="G104" i="9"/>
  <c r="G72" i="9"/>
  <c r="G6" i="9"/>
  <c r="G142" i="9"/>
  <c r="G64" i="9"/>
  <c r="G2" i="9"/>
  <c r="G47" i="9"/>
  <c r="G95" i="9"/>
  <c r="G123" i="9"/>
  <c r="G87" i="9"/>
  <c r="G94" i="9"/>
  <c r="G109" i="8"/>
  <c r="G133" i="8"/>
  <c r="G45" i="8"/>
  <c r="G39" i="8"/>
  <c r="G7" i="8"/>
  <c r="G104" i="8"/>
  <c r="G131" i="8"/>
  <c r="G86" i="8"/>
  <c r="G54" i="8"/>
  <c r="G110" i="8"/>
  <c r="G112" i="8"/>
  <c r="G47" i="8"/>
  <c r="G31" i="8"/>
  <c r="G48" i="8"/>
  <c r="G18" i="8"/>
  <c r="G44" i="8"/>
  <c r="G40" i="7"/>
  <c r="G135" i="7"/>
  <c r="G16" i="7"/>
  <c r="G98" i="7"/>
  <c r="G61" i="7"/>
  <c r="G45" i="7"/>
  <c r="G76" i="7"/>
  <c r="G162" i="7"/>
  <c r="G94" i="7"/>
  <c r="G62" i="7"/>
  <c r="G137" i="7"/>
  <c r="G4" i="7"/>
  <c r="G111" i="7"/>
  <c r="G149" i="7"/>
  <c r="G175" i="7"/>
  <c r="G109" i="5"/>
  <c r="G36" i="5"/>
  <c r="G48" i="5"/>
  <c r="G60" i="5"/>
  <c r="G96" i="5"/>
  <c r="G120" i="5"/>
  <c r="G25" i="5"/>
  <c r="G73" i="5"/>
  <c r="G105" i="5"/>
  <c r="G10" i="5"/>
  <c r="G102" i="5"/>
  <c r="G81" i="3"/>
  <c r="G197" i="3"/>
  <c r="G209" i="3"/>
  <c r="G45" i="3"/>
  <c r="G165" i="3"/>
  <c r="G177" i="3"/>
  <c r="G85" i="3"/>
  <c r="G205" i="3"/>
  <c r="G158" i="3"/>
  <c r="G126" i="3"/>
  <c r="G206" i="3"/>
  <c r="G152" i="3"/>
  <c r="G40" i="3"/>
  <c r="G155" i="3"/>
  <c r="G11" i="3"/>
  <c r="G151" i="3"/>
  <c r="G36" i="3"/>
  <c r="G20" i="3"/>
  <c r="G166" i="3"/>
  <c r="G70" i="3"/>
  <c r="G112" i="3"/>
  <c r="G179" i="3"/>
  <c r="G19" i="3"/>
  <c r="G21" i="2"/>
  <c r="G137" i="2"/>
  <c r="G108" i="2"/>
  <c r="G64" i="2"/>
  <c r="G63" i="2"/>
  <c r="G48" i="2"/>
  <c r="G10" i="2"/>
  <c r="G68" i="2"/>
  <c r="G91" i="2"/>
  <c r="G134" i="2"/>
  <c r="G9" i="1"/>
  <c r="G89" i="1"/>
  <c r="G23" i="1"/>
  <c r="G7" i="1"/>
  <c r="G163" i="1"/>
  <c r="G67" i="1"/>
  <c r="G142" i="1"/>
  <c r="G95" i="1"/>
  <c r="G138" i="1"/>
  <c r="G36" i="1"/>
  <c r="G75" i="1"/>
  <c r="G16" i="1"/>
  <c r="G114" i="12"/>
  <c r="G58" i="12"/>
  <c r="G85" i="12"/>
  <c r="G9" i="12"/>
  <c r="G33" i="12"/>
  <c r="G45" i="12"/>
  <c r="G20" i="12"/>
  <c r="G70" i="12"/>
  <c r="G100" i="12"/>
  <c r="G86" i="12" a="1"/>
  <c r="G101" i="12" a="1"/>
  <c r="G115" i="12" a="1"/>
  <c r="G10" i="12" a="1"/>
  <c r="G59" i="12" a="1"/>
  <c r="G21" i="12" a="1"/>
  <c r="G34" i="12" a="1"/>
  <c r="G71" i="12" a="1"/>
  <c r="G89" i="11" l="1"/>
  <c r="G129" i="11"/>
  <c r="G185" i="11"/>
  <c r="G158" i="11"/>
  <c r="G84" i="11"/>
  <c r="G194" i="11"/>
  <c r="G28" i="11"/>
  <c r="G75" i="11"/>
  <c r="G43" i="11"/>
  <c r="G58" i="11"/>
  <c r="G92" i="10"/>
  <c r="G51" i="10"/>
  <c r="G134" i="10"/>
  <c r="G86" i="10"/>
  <c r="G54" i="10"/>
  <c r="G52" i="10"/>
  <c r="G40" i="10"/>
  <c r="G8" i="10"/>
  <c r="G93" i="10"/>
  <c r="G104" i="10"/>
  <c r="G25" i="10"/>
  <c r="G78" i="10"/>
  <c r="G46" i="10"/>
  <c r="G171" i="9"/>
  <c r="G8" i="9"/>
  <c r="G59" i="9"/>
  <c r="G144" i="9"/>
  <c r="G122" i="9"/>
  <c r="G98" i="9"/>
  <c r="G119" i="9"/>
  <c r="G11" i="9"/>
  <c r="G54" i="9"/>
  <c r="G57" i="8"/>
  <c r="G69" i="8"/>
  <c r="G93" i="8"/>
  <c r="G36" i="8"/>
  <c r="G55" i="8"/>
  <c r="G98" i="8"/>
  <c r="G90" i="8"/>
  <c r="G88" i="8"/>
  <c r="G56" i="7"/>
  <c r="G96" i="7"/>
  <c r="G168" i="7"/>
  <c r="G131" i="7"/>
  <c r="G140" i="7"/>
  <c r="G8" i="7"/>
  <c r="G64" i="7"/>
  <c r="G133" i="7"/>
  <c r="G101" i="7"/>
  <c r="G65" i="7"/>
  <c r="G53" i="5"/>
  <c r="G20" i="5"/>
  <c r="G28" i="5"/>
  <c r="G44" i="5"/>
  <c r="G64" i="5"/>
  <c r="G68" i="5"/>
  <c r="G108" i="5"/>
  <c r="G124" i="5"/>
  <c r="G37" i="5"/>
  <c r="G41" i="5"/>
  <c r="G93" i="5"/>
  <c r="G19" i="5"/>
  <c r="G107" i="5"/>
  <c r="G11" i="5"/>
  <c r="G70" i="5"/>
  <c r="G126" i="5"/>
  <c r="G123" i="5"/>
  <c r="G75" i="5"/>
  <c r="G31" i="5"/>
  <c r="G66" i="5"/>
  <c r="G73" i="3"/>
  <c r="G173" i="3"/>
  <c r="G185" i="3"/>
  <c r="G113" i="3"/>
  <c r="G137" i="3"/>
  <c r="G153" i="3"/>
  <c r="G94" i="3"/>
  <c r="G168" i="3"/>
  <c r="G56" i="3"/>
  <c r="G8" i="3"/>
  <c r="G91" i="3"/>
  <c r="G43" i="3"/>
  <c r="G172" i="3"/>
  <c r="G124" i="3"/>
  <c r="G47" i="3"/>
  <c r="G92" i="3"/>
  <c r="G44" i="3"/>
  <c r="G63" i="3"/>
  <c r="G15" i="3"/>
  <c r="G96" i="3"/>
  <c r="G32" i="3"/>
  <c r="G163" i="3"/>
  <c r="G67" i="3"/>
  <c r="G178" i="3"/>
  <c r="G25" i="2"/>
  <c r="G113" i="2"/>
  <c r="G17" i="2"/>
  <c r="G29" i="2"/>
  <c r="G105" i="2"/>
  <c r="G124" i="2"/>
  <c r="G44" i="2"/>
  <c r="G67" i="2"/>
  <c r="G3" i="2"/>
  <c r="G8" i="2"/>
  <c r="G122" i="2"/>
  <c r="G27" i="2"/>
  <c r="G38" i="2"/>
  <c r="G137" i="1"/>
  <c r="G69" i="1"/>
  <c r="G93" i="1"/>
  <c r="G156" i="1"/>
  <c r="G12" i="1"/>
  <c r="G51" i="1"/>
  <c r="G152" i="1"/>
  <c r="G159" i="1"/>
  <c r="G10" i="1"/>
  <c r="G20" i="1"/>
  <c r="G155" i="1"/>
  <c r="G166" i="1"/>
  <c r="G150" i="1"/>
  <c r="G59" i="12"/>
  <c r="G101" i="12"/>
  <c r="G34" i="12"/>
  <c r="G115" i="12"/>
  <c r="G71" i="12"/>
  <c r="G10" i="12"/>
  <c r="G21" i="12"/>
  <c r="G86" i="12"/>
  <c r="G87" i="12" a="1"/>
  <c r="G72" i="12" a="1"/>
  <c r="G35" i="12" a="1"/>
  <c r="G11" i="12" a="1"/>
  <c r="G22" i="12" a="1"/>
  <c r="G60" i="12" a="1"/>
  <c r="G102" i="12" a="1"/>
  <c r="G116" i="12" a="1"/>
  <c r="G85" i="11" l="1"/>
  <c r="G77" i="11"/>
  <c r="G137" i="11"/>
  <c r="G126" i="11"/>
  <c r="G72" i="11"/>
  <c r="G40" i="11"/>
  <c r="G151" i="11"/>
  <c r="G22" i="11"/>
  <c r="G99" i="11"/>
  <c r="G35" i="11"/>
  <c r="G19" i="11"/>
  <c r="G138" i="11"/>
  <c r="G62" i="11"/>
  <c r="G198" i="11"/>
  <c r="G102" i="11"/>
  <c r="G123" i="11"/>
  <c r="G27" i="11"/>
  <c r="G74" i="11"/>
  <c r="G6" i="10"/>
  <c r="G103" i="10"/>
  <c r="G149" i="10"/>
  <c r="G69" i="10"/>
  <c r="G15" i="10"/>
  <c r="G120" i="10"/>
  <c r="G114" i="10"/>
  <c r="G113" i="10"/>
  <c r="G115" i="10"/>
  <c r="G106" i="10"/>
  <c r="G14" i="10"/>
  <c r="G119" i="10"/>
  <c r="G101" i="9"/>
  <c r="G9" i="9"/>
  <c r="G165" i="9"/>
  <c r="G53" i="9"/>
  <c r="G65" i="9"/>
  <c r="G77" i="9"/>
  <c r="G89" i="9"/>
  <c r="G102" i="9"/>
  <c r="G139" i="9"/>
  <c r="G152" i="9"/>
  <c r="G120" i="9"/>
  <c r="G24" i="9"/>
  <c r="G146" i="9"/>
  <c r="G155" i="9"/>
  <c r="G138" i="9"/>
  <c r="G159" i="9"/>
  <c r="G99" i="9"/>
  <c r="G79" i="9"/>
  <c r="G148" i="9"/>
  <c r="G84" i="9"/>
  <c r="G75" i="9"/>
  <c r="G168" i="9"/>
  <c r="G143" i="9"/>
  <c r="G61" i="8"/>
  <c r="G103" i="8"/>
  <c r="G28" i="8"/>
  <c r="G67" i="8"/>
  <c r="G51" i="8"/>
  <c r="G46" i="8"/>
  <c r="G14" i="8"/>
  <c r="G15" i="8"/>
  <c r="G6" i="8"/>
  <c r="G107" i="8"/>
  <c r="G66" i="7"/>
  <c r="G34" i="7"/>
  <c r="G22" i="7"/>
  <c r="G83" i="7"/>
  <c r="G89" i="7"/>
  <c r="G73" i="7"/>
  <c r="G143" i="7"/>
  <c r="G47" i="7"/>
  <c r="G154" i="7"/>
  <c r="G10" i="7"/>
  <c r="G75" i="7"/>
  <c r="G27" i="7"/>
  <c r="G150" i="7"/>
  <c r="G54" i="7"/>
  <c r="G13" i="3"/>
  <c r="G29" i="3"/>
  <c r="G41" i="3"/>
  <c r="G109" i="3"/>
  <c r="G121" i="3"/>
  <c r="G193" i="3"/>
  <c r="G72" i="3"/>
  <c r="G23" i="3"/>
  <c r="G50" i="3"/>
  <c r="G2" i="3"/>
  <c r="G143" i="3"/>
  <c r="G58" i="3"/>
  <c r="G84" i="3"/>
  <c r="G188" i="3"/>
  <c r="G150" i="3"/>
  <c r="G48" i="3"/>
  <c r="G147" i="3"/>
  <c r="G115" i="3"/>
  <c r="G83" i="3"/>
  <c r="G66" i="3"/>
  <c r="G34" i="3"/>
  <c r="G204" i="3"/>
  <c r="G89" i="2"/>
  <c r="G130" i="2"/>
  <c r="G50" i="2"/>
  <c r="G12" i="2"/>
  <c r="G86" i="2"/>
  <c r="G62" i="2"/>
  <c r="G46" i="2"/>
  <c r="G96" i="2"/>
  <c r="G102" i="2"/>
  <c r="G49" i="1"/>
  <c r="G169" i="1"/>
  <c r="G39" i="1"/>
  <c r="G162" i="1"/>
  <c r="G98" i="1"/>
  <c r="G18" i="1"/>
  <c r="G35" i="1"/>
  <c r="G126" i="1"/>
  <c r="G94" i="1"/>
  <c r="G30" i="1"/>
  <c r="G136" i="1"/>
  <c r="G127" i="1"/>
  <c r="G111" i="1"/>
  <c r="G31" i="1"/>
  <c r="G106" i="1"/>
  <c r="G74" i="1"/>
  <c r="G100" i="1"/>
  <c r="G4" i="1"/>
  <c r="G134" i="1"/>
  <c r="G80" i="1"/>
  <c r="G64" i="1"/>
  <c r="G11" i="12"/>
  <c r="G102" i="12"/>
  <c r="G72" i="12"/>
  <c r="G60" i="12"/>
  <c r="G87" i="12"/>
  <c r="G116" i="12"/>
  <c r="G22" i="12"/>
  <c r="G35" i="12"/>
  <c r="G88" i="12" a="1"/>
  <c r="G61" i="12" a="1"/>
  <c r="G103" i="12" a="1"/>
  <c r="G23" i="12" a="1"/>
  <c r="G117" i="12" a="1"/>
  <c r="G73" i="12" a="1"/>
  <c r="G36" i="12" a="1"/>
  <c r="G12" i="12" a="1"/>
  <c r="G61" i="11" l="1"/>
  <c r="G81" i="11"/>
  <c r="G197" i="11"/>
  <c r="G5" i="11"/>
  <c r="G165" i="11"/>
  <c r="G135" i="11"/>
  <c r="G100" i="11"/>
  <c r="G170" i="11"/>
  <c r="G106" i="11"/>
  <c r="G18" i="11"/>
  <c r="G188" i="11"/>
  <c r="G128" i="11"/>
  <c r="G171" i="11"/>
  <c r="G143" i="11"/>
  <c r="G31" i="11"/>
  <c r="G179" i="11"/>
  <c r="G98" i="11"/>
  <c r="G187" i="11"/>
  <c r="G84" i="10"/>
  <c r="G5" i="10"/>
  <c r="G47" i="10"/>
  <c r="G72" i="10"/>
  <c r="G145" i="10"/>
  <c r="G65" i="10"/>
  <c r="G56" i="10"/>
  <c r="G36" i="10"/>
  <c r="G4" i="10"/>
  <c r="G141" i="10"/>
  <c r="G13" i="9"/>
  <c r="G25" i="9"/>
  <c r="G51" i="9"/>
  <c r="G174" i="9"/>
  <c r="G78" i="9"/>
  <c r="G131" i="9"/>
  <c r="G118" i="9"/>
  <c r="G151" i="9"/>
  <c r="G158" i="9"/>
  <c r="G89" i="8"/>
  <c r="G129" i="8"/>
  <c r="G91" i="8"/>
  <c r="G102" i="8"/>
  <c r="G119" i="7"/>
  <c r="G71" i="7"/>
  <c r="G23" i="7"/>
  <c r="G152" i="7"/>
  <c r="G104" i="7"/>
  <c r="G114" i="7"/>
  <c r="G84" i="7"/>
  <c r="G109" i="7"/>
  <c r="G59" i="7"/>
  <c r="G81" i="7"/>
  <c r="G51" i="7"/>
  <c r="G142" i="7"/>
  <c r="G126" i="7"/>
  <c r="G172" i="7"/>
  <c r="G153" i="7"/>
  <c r="G52" i="7"/>
  <c r="G43" i="7"/>
  <c r="G24" i="7"/>
  <c r="G134" i="7"/>
  <c r="G38" i="7"/>
  <c r="G144" i="7"/>
  <c r="G145" i="7"/>
  <c r="G63" i="7"/>
  <c r="G31" i="7"/>
  <c r="G90" i="7"/>
  <c r="G160" i="7"/>
  <c r="G117" i="7"/>
  <c r="G69" i="7"/>
  <c r="G53" i="7"/>
  <c r="G161" i="7"/>
  <c r="G25" i="3"/>
  <c r="G33" i="3"/>
  <c r="G89" i="3"/>
  <c r="G213" i="3"/>
  <c r="G145" i="3"/>
  <c r="G46" i="3"/>
  <c r="G104" i="3"/>
  <c r="G24" i="3"/>
  <c r="G107" i="3"/>
  <c r="G186" i="3"/>
  <c r="G132" i="3"/>
  <c r="G4" i="3"/>
  <c r="G135" i="3"/>
  <c r="G54" i="3"/>
  <c r="G192" i="3"/>
  <c r="G144" i="3"/>
  <c r="G211" i="3"/>
  <c r="G99" i="3"/>
  <c r="G3" i="3"/>
  <c r="G162" i="3"/>
  <c r="G130" i="3"/>
  <c r="G37" i="2"/>
  <c r="G98" i="2"/>
  <c r="G66" i="2"/>
  <c r="G18" i="2"/>
  <c r="G92" i="2"/>
  <c r="G112" i="2"/>
  <c r="G135" i="2"/>
  <c r="G20" i="2"/>
  <c r="G75" i="2"/>
  <c r="G7" i="2"/>
  <c r="G17" i="1"/>
  <c r="G3" i="1"/>
  <c r="G158" i="1"/>
  <c r="G88" i="1"/>
  <c r="G164" i="1"/>
  <c r="G54" i="1"/>
  <c r="G112" i="1"/>
  <c r="G96" i="1"/>
  <c r="G117" i="12"/>
  <c r="G103" i="12"/>
  <c r="G88" i="12"/>
  <c r="G12" i="12"/>
  <c r="G36" i="12"/>
  <c r="G61" i="12"/>
  <c r="G23" i="12"/>
  <c r="G73" i="12"/>
  <c r="G24" i="12" a="1"/>
  <c r="G118" i="12" a="1"/>
  <c r="G89" i="12" a="1"/>
  <c r="G37" i="12" a="1"/>
  <c r="G74" i="12" a="1"/>
  <c r="G62" i="12" a="1"/>
  <c r="G104" i="12" a="1"/>
  <c r="G190" i="11" l="1"/>
  <c r="G136" i="11"/>
  <c r="G83" i="11"/>
  <c r="G50" i="11"/>
  <c r="G14" i="11"/>
  <c r="G166" i="11"/>
  <c r="G172" i="11"/>
  <c r="G35" i="10"/>
  <c r="G20" i="10"/>
  <c r="G133" i="10"/>
  <c r="G37" i="10"/>
  <c r="G80" i="10"/>
  <c r="G121" i="10"/>
  <c r="G43" i="10"/>
  <c r="G126" i="10"/>
  <c r="G122" i="10"/>
  <c r="G111" i="10"/>
  <c r="G17" i="9"/>
  <c r="G157" i="9"/>
  <c r="G113" i="9"/>
  <c r="G66" i="9"/>
  <c r="G182" i="9"/>
  <c r="G62" i="9"/>
  <c r="G52" i="9"/>
  <c r="G16" i="9"/>
  <c r="G179" i="9"/>
  <c r="G5" i="8"/>
  <c r="G17" i="8"/>
  <c r="G117" i="8"/>
  <c r="G92" i="8"/>
  <c r="G127" i="8"/>
  <c r="G79" i="8"/>
  <c r="G62" i="8"/>
  <c r="G96" i="8"/>
  <c r="G20" i="8"/>
  <c r="G167" i="7"/>
  <c r="G151" i="7"/>
  <c r="G130" i="7"/>
  <c r="G93" i="7"/>
  <c r="G29" i="7"/>
  <c r="G70" i="7"/>
  <c r="G129" i="7"/>
  <c r="G35" i="7"/>
  <c r="G110" i="7"/>
  <c r="G166" i="7"/>
  <c r="G25" i="7"/>
  <c r="G91" i="7"/>
  <c r="G164" i="7"/>
  <c r="G95" i="7"/>
  <c r="G74" i="7"/>
  <c r="G108" i="7"/>
  <c r="G60" i="7"/>
  <c r="G20" i="7"/>
  <c r="G21" i="7"/>
  <c r="G48" i="7"/>
  <c r="G113" i="7"/>
  <c r="G9" i="3"/>
  <c r="G49" i="3"/>
  <c r="G105" i="3"/>
  <c r="G65" i="3"/>
  <c r="G125" i="3"/>
  <c r="G189" i="3"/>
  <c r="G69" i="3"/>
  <c r="G190" i="3"/>
  <c r="G110" i="3"/>
  <c r="G171" i="3"/>
  <c r="G139" i="3"/>
  <c r="G68" i="3"/>
  <c r="G71" i="3"/>
  <c r="G82" i="3"/>
  <c r="G18" i="3"/>
  <c r="G207" i="3"/>
  <c r="G182" i="3"/>
  <c r="G102" i="3"/>
  <c r="G128" i="3"/>
  <c r="G64" i="3"/>
  <c r="G195" i="3"/>
  <c r="G51" i="3"/>
  <c r="G194" i="3"/>
  <c r="G114" i="3"/>
  <c r="G9" i="2"/>
  <c r="G33" i="2"/>
  <c r="G57" i="2"/>
  <c r="G133" i="2"/>
  <c r="G82" i="2"/>
  <c r="G2" i="2"/>
  <c r="G22" i="2"/>
  <c r="G87" i="2"/>
  <c r="G6" i="2"/>
  <c r="G132" i="2"/>
  <c r="G116" i="2"/>
  <c r="G128" i="2"/>
  <c r="G39" i="2"/>
  <c r="G33" i="1"/>
  <c r="G45" i="1"/>
  <c r="G77" i="1"/>
  <c r="G5" i="1"/>
  <c r="G29" i="1"/>
  <c r="G53" i="1"/>
  <c r="G129" i="1"/>
  <c r="G103" i="1"/>
  <c r="G55" i="1"/>
  <c r="G108" i="1"/>
  <c r="G60" i="1"/>
  <c r="G28" i="1"/>
  <c r="G83" i="1"/>
  <c r="G78" i="1"/>
  <c r="G62" i="1"/>
  <c r="G14" i="1"/>
  <c r="G132" i="1"/>
  <c r="G43" i="1"/>
  <c r="G70" i="1"/>
  <c r="G6" i="1"/>
  <c r="G48" i="1"/>
  <c r="G32" i="1"/>
  <c r="G62" i="12"/>
  <c r="G104" i="12"/>
  <c r="G37" i="12"/>
  <c r="G118" i="12"/>
  <c r="G74" i="12"/>
  <c r="G24" i="12"/>
  <c r="G89" i="12"/>
  <c r="G119" i="12" a="1"/>
  <c r="G75" i="12" a="1"/>
  <c r="G90" i="12" a="1"/>
  <c r="G25" i="12" a="1"/>
  <c r="G105" i="12" a="1"/>
  <c r="G13" i="11" l="1"/>
  <c r="G49" i="11"/>
  <c r="G97" i="11"/>
  <c r="G9" i="11"/>
  <c r="G21" i="11"/>
  <c r="G57" i="11"/>
  <c r="G125" i="11"/>
  <c r="G161" i="11"/>
  <c r="G17" i="11"/>
  <c r="G53" i="11"/>
  <c r="G195" i="11"/>
  <c r="G119" i="11"/>
  <c r="G103" i="11"/>
  <c r="G146" i="11"/>
  <c r="G159" i="11"/>
  <c r="G118" i="11"/>
  <c r="G4" i="11"/>
  <c r="G183" i="11"/>
  <c r="G115" i="11"/>
  <c r="G67" i="11"/>
  <c r="G96" i="11"/>
  <c r="G111" i="11"/>
  <c r="G78" i="11"/>
  <c r="G124" i="11"/>
  <c r="G12" i="11"/>
  <c r="G184" i="11"/>
  <c r="G11" i="11"/>
  <c r="G167" i="11"/>
  <c r="G48" i="10"/>
  <c r="G118" i="10"/>
  <c r="G53" i="10"/>
  <c r="G130" i="10"/>
  <c r="G18" i="10"/>
  <c r="G29" i="10"/>
  <c r="G138" i="10"/>
  <c r="G42" i="10"/>
  <c r="G94" i="10"/>
  <c r="G87" i="10"/>
  <c r="G33" i="9"/>
  <c r="G85" i="9"/>
  <c r="G45" i="9"/>
  <c r="G105" i="9"/>
  <c r="G180" i="9"/>
  <c r="G67" i="9"/>
  <c r="G107" i="9"/>
  <c r="G90" i="9"/>
  <c r="G162" i="9"/>
  <c r="G7" i="9"/>
  <c r="G22" i="9"/>
  <c r="G44" i="9"/>
  <c r="G127" i="9"/>
  <c r="G31" i="9"/>
  <c r="G176" i="9"/>
  <c r="G164" i="9"/>
  <c r="G36" i="9"/>
  <c r="G20" i="9"/>
  <c r="G114" i="9"/>
  <c r="G26" i="9"/>
  <c r="G110" i="9"/>
  <c r="G128" i="9"/>
  <c r="G97" i="8"/>
  <c r="G33" i="8"/>
  <c r="G72" i="8"/>
  <c r="G32" i="8"/>
  <c r="G22" i="8"/>
  <c r="G56" i="8"/>
  <c r="G122" i="8"/>
  <c r="G26" i="8"/>
  <c r="G132" i="8"/>
  <c r="G82" i="8"/>
  <c r="G59" i="8"/>
  <c r="G106" i="8"/>
  <c r="G136" i="7"/>
  <c r="G132" i="7"/>
  <c r="G46" i="7"/>
  <c r="G105" i="7"/>
  <c r="G15" i="7"/>
  <c r="G26" i="7"/>
  <c r="G116" i="7"/>
  <c r="G201" i="3"/>
  <c r="G53" i="3"/>
  <c r="G133" i="3"/>
  <c r="G169" i="3"/>
  <c r="G30" i="3"/>
  <c r="G14" i="3"/>
  <c r="G184" i="3"/>
  <c r="G187" i="3"/>
  <c r="G123" i="3"/>
  <c r="G75" i="3"/>
  <c r="G27" i="3"/>
  <c r="G28" i="3"/>
  <c r="G95" i="3"/>
  <c r="G10" i="3"/>
  <c r="G196" i="3"/>
  <c r="G148" i="3"/>
  <c r="G116" i="3"/>
  <c r="G118" i="3"/>
  <c r="G22" i="3"/>
  <c r="G108" i="3"/>
  <c r="G175" i="3"/>
  <c r="G127" i="3"/>
  <c r="G79" i="3"/>
  <c r="G129" i="2"/>
  <c r="G65" i="2"/>
  <c r="G99" i="2"/>
  <c r="G51" i="2"/>
  <c r="G104" i="2"/>
  <c r="G111" i="2"/>
  <c r="G36" i="2"/>
  <c r="G59" i="2"/>
  <c r="G25" i="12"/>
  <c r="G105" i="12"/>
  <c r="G75" i="12"/>
  <c r="G119" i="12"/>
  <c r="G90" i="12"/>
  <c r="G76" i="12" a="1"/>
  <c r="G120" i="12" a="1"/>
  <c r="G106" i="12" a="1"/>
  <c r="G91" i="12" a="1"/>
  <c r="G133" i="11" l="1"/>
  <c r="G145" i="11"/>
  <c r="G105" i="11"/>
  <c r="G101" i="11"/>
  <c r="G201" i="11"/>
  <c r="G120" i="11"/>
  <c r="G87" i="11"/>
  <c r="G68" i="11"/>
  <c r="G112" i="11"/>
  <c r="G204" i="11"/>
  <c r="G95" i="11"/>
  <c r="G63" i="11"/>
  <c r="G47" i="11"/>
  <c r="G134" i="11"/>
  <c r="G92" i="11"/>
  <c r="G42" i="11"/>
  <c r="G26" i="11"/>
  <c r="G117" i="10"/>
  <c r="G131" i="10"/>
  <c r="G50" i="10"/>
  <c r="G132" i="10"/>
  <c r="G95" i="10"/>
  <c r="G97" i="10"/>
  <c r="G17" i="10"/>
  <c r="G10" i="10"/>
  <c r="G112" i="10"/>
  <c r="G143" i="10"/>
  <c r="G147" i="10"/>
  <c r="G153" i="9"/>
  <c r="G177" i="9"/>
  <c r="G49" i="9"/>
  <c r="G135" i="9"/>
  <c r="G40" i="9"/>
  <c r="G150" i="9"/>
  <c r="G10" i="9"/>
  <c r="G85" i="8"/>
  <c r="G121" i="8"/>
  <c r="G53" i="8"/>
  <c r="G65" i="8"/>
  <c r="G23" i="8"/>
  <c r="G66" i="8"/>
  <c r="G126" i="8"/>
  <c r="G80" i="8"/>
  <c r="G128" i="8"/>
  <c r="G10" i="8"/>
  <c r="G61" i="2"/>
  <c r="G93" i="2"/>
  <c r="G35" i="2"/>
  <c r="G55" i="2"/>
  <c r="G94" i="2"/>
  <c r="G88" i="2"/>
  <c r="G58" i="2"/>
  <c r="G84" i="2"/>
  <c r="G4" i="2"/>
  <c r="G71" i="2"/>
  <c r="G106" i="12"/>
  <c r="G91" i="12"/>
  <c r="G120" i="12"/>
  <c r="G76" i="12"/>
  <c r="G77" i="12" a="1"/>
  <c r="G92" i="12" a="1"/>
  <c r="G136" i="10" l="1"/>
  <c r="G67" i="10"/>
  <c r="G3" i="10"/>
  <c r="G98" i="10"/>
  <c r="G88" i="10"/>
  <c r="G71" i="10"/>
  <c r="G64" i="10"/>
  <c r="G123" i="10"/>
  <c r="G109" i="10"/>
  <c r="G45" i="10"/>
  <c r="G58" i="10"/>
  <c r="G137" i="10"/>
  <c r="G29" i="9"/>
  <c r="G167" i="9"/>
  <c r="G18" i="9"/>
  <c r="G27" i="9"/>
  <c r="G140" i="9"/>
  <c r="G172" i="9"/>
  <c r="G100" i="9"/>
  <c r="G30" i="9"/>
  <c r="G49" i="8"/>
  <c r="G19" i="8"/>
  <c r="G70" i="8"/>
  <c r="G111" i="8"/>
  <c r="G94" i="8"/>
  <c r="G92" i="12"/>
  <c r="G77" i="12"/>
  <c r="G41" i="9" l="1"/>
  <c r="G69" i="9"/>
  <c r="G97" i="9"/>
  <c r="G181" i="9"/>
  <c r="G19" i="9"/>
  <c r="G38" i="9"/>
  <c r="G58" i="9"/>
  <c r="G86" i="9"/>
  <c r="G48" i="9"/>
  <c r="G71" i="9"/>
  <c r="G82" i="9"/>
  <c r="G4" i="9"/>
  <c r="G178" i="9"/>
  <c r="G160" i="9"/>
  <c r="G112" i="9"/>
  <c r="G80" i="9"/>
  <c r="G23" i="9"/>
  <c r="G106" i="9"/>
  <c r="G111" i="9"/>
  <c r="G124" i="9"/>
  <c r="G21" i="8"/>
  <c r="G116" i="8"/>
  <c r="G4" i="8"/>
  <c r="G34" i="8"/>
  <c r="G52" i="8"/>
  <c r="G68" i="8"/>
  <c r="G27" i="8"/>
  <c r="G40" i="8"/>
  <c r="J930" i="13" l="1"/>
  <c r="J981" i="13"/>
  <c r="J947" i="13"/>
  <c r="J850" i="13"/>
  <c r="J1110" i="13"/>
  <c r="J1429" i="13"/>
  <c r="J924" i="13"/>
  <c r="J775" i="13"/>
  <c r="K242" i="13"/>
  <c r="K775" i="13"/>
  <c r="K1449" i="13"/>
  <c r="K1327" i="13"/>
  <c r="K1172" i="13"/>
  <c r="K1185" i="13"/>
  <c r="K1092" i="13"/>
  <c r="K1021" i="13"/>
  <c r="K929" i="13"/>
  <c r="K834" i="13"/>
  <c r="K756" i="13"/>
  <c r="K713" i="13"/>
  <c r="K637" i="13"/>
  <c r="K508" i="13"/>
  <c r="K533" i="13"/>
  <c r="K447" i="13"/>
  <c r="K411" i="13"/>
  <c r="K389" i="13"/>
  <c r="K330" i="13"/>
  <c r="K271" i="13"/>
  <c r="K227" i="13"/>
  <c r="K170" i="13"/>
  <c r="K41" i="13"/>
  <c r="K1520" i="13"/>
  <c r="K1452" i="13"/>
  <c r="K1392" i="13"/>
  <c r="K1343" i="13"/>
  <c r="K1268" i="13"/>
  <c r="K1124" i="13"/>
  <c r="K1069" i="13"/>
  <c r="K971" i="13"/>
  <c r="K869" i="13"/>
  <c r="K826" i="13"/>
  <c r="K773" i="13"/>
  <c r="K676" i="13"/>
  <c r="K606" i="13"/>
  <c r="K529" i="13"/>
  <c r="K445" i="13"/>
  <c r="K337" i="13"/>
  <c r="K253" i="13"/>
  <c r="K98" i="13"/>
  <c r="K18" i="13"/>
  <c r="K1525" i="13"/>
  <c r="K1439" i="13"/>
  <c r="K1395" i="13"/>
  <c r="K1284" i="13"/>
  <c r="K1254" i="13"/>
  <c r="K1210" i="13"/>
  <c r="K1144" i="13"/>
  <c r="K1109" i="13"/>
  <c r="K1044" i="13"/>
  <c r="K954" i="13"/>
  <c r="K889" i="13"/>
  <c r="K807" i="13"/>
  <c r="K738" i="13"/>
  <c r="K653" i="13"/>
  <c r="K577" i="13"/>
  <c r="K493" i="13"/>
  <c r="K444" i="13"/>
  <c r="K347" i="13"/>
  <c r="K276" i="13"/>
  <c r="K225" i="13"/>
  <c r="K167" i="13"/>
  <c r="K89" i="13"/>
  <c r="K54" i="13"/>
  <c r="K1499" i="13"/>
  <c r="K1443" i="13"/>
  <c r="K1345" i="13"/>
  <c r="K1278" i="13"/>
  <c r="K1216" i="13"/>
  <c r="K1132" i="13"/>
  <c r="K1038" i="13"/>
  <c r="K912" i="13"/>
  <c r="K872" i="13"/>
  <c r="K742" i="13"/>
  <c r="K654" i="13"/>
  <c r="K584" i="13"/>
  <c r="J672" i="13"/>
  <c r="J1325" i="13"/>
  <c r="J436" i="13"/>
  <c r="J242" i="13"/>
  <c r="J870" i="13"/>
  <c r="J1295" i="13"/>
  <c r="J441" i="13"/>
  <c r="K1497" i="13"/>
  <c r="K1146" i="13"/>
  <c r="J1470" i="13"/>
  <c r="J1411" i="13"/>
  <c r="J1298" i="13"/>
  <c r="J1202" i="13"/>
  <c r="J1157" i="13"/>
  <c r="J1059" i="13"/>
  <c r="J950" i="13"/>
  <c r="J899" i="13"/>
  <c r="J785" i="13"/>
  <c r="J736" i="13"/>
  <c r="J673" i="13"/>
  <c r="J596" i="13"/>
  <c r="J562" i="13"/>
  <c r="J475" i="13"/>
  <c r="J425" i="13"/>
  <c r="J404" i="13"/>
  <c r="J323" i="13"/>
  <c r="J294" i="13"/>
  <c r="J226" i="13"/>
  <c r="J192" i="13"/>
  <c r="J99" i="13"/>
  <c r="J20" i="13"/>
  <c r="J1482" i="13"/>
  <c r="J1423" i="13"/>
  <c r="J1371" i="13"/>
  <c r="J1320" i="13"/>
  <c r="J1154" i="13"/>
  <c r="J1116" i="13"/>
  <c r="J1010" i="13"/>
  <c r="J938" i="13"/>
  <c r="J846" i="13"/>
  <c r="J782" i="13"/>
  <c r="J708" i="13"/>
  <c r="J636" i="13"/>
  <c r="J548" i="13"/>
  <c r="J506" i="13"/>
  <c r="J376" i="13"/>
  <c r="J309" i="13"/>
  <c r="J206" i="13"/>
  <c r="J49" i="13"/>
  <c r="J2" i="13"/>
  <c r="J1483" i="13"/>
  <c r="J1425" i="13"/>
  <c r="J1337" i="13"/>
  <c r="J1270" i="13"/>
  <c r="J1231" i="13"/>
  <c r="J1170" i="13"/>
  <c r="J1127" i="13"/>
  <c r="J1087" i="13"/>
  <c r="J1030" i="13"/>
  <c r="J911" i="13"/>
  <c r="J856" i="13"/>
  <c r="J772" i="13"/>
  <c r="J690" i="13"/>
  <c r="J598" i="13"/>
  <c r="J527" i="13"/>
  <c r="J463" i="13"/>
  <c r="J369" i="13"/>
  <c r="J314" i="13"/>
  <c r="J245" i="13"/>
  <c r="J201" i="13"/>
  <c r="J106" i="13"/>
  <c r="J69" i="13"/>
  <c r="J1521" i="13"/>
  <c r="J1459" i="13"/>
  <c r="J1394" i="13"/>
  <c r="J1296" i="13"/>
  <c r="J1263" i="13"/>
  <c r="J1156" i="13"/>
  <c r="J1095" i="13"/>
  <c r="J964" i="13"/>
  <c r="J891" i="13"/>
  <c r="J821" i="13"/>
  <c r="J721" i="13"/>
  <c r="J625" i="13"/>
  <c r="J412" i="13"/>
  <c r="J480" i="13"/>
  <c r="J1198" i="13"/>
  <c r="J375" i="13"/>
  <c r="J1497" i="13"/>
  <c r="J1468" i="13"/>
  <c r="J1146" i="13"/>
  <c r="J424" i="13"/>
  <c r="K672" i="13"/>
  <c r="K800" i="13"/>
  <c r="K1470" i="13"/>
  <c r="K1411" i="13"/>
  <c r="K1298" i="13"/>
  <c r="K1202" i="13"/>
  <c r="K1157" i="13"/>
  <c r="K1059" i="13"/>
  <c r="K950" i="13"/>
  <c r="K899" i="13"/>
  <c r="K785" i="13"/>
  <c r="K736" i="13"/>
  <c r="K673" i="13"/>
  <c r="K596" i="13"/>
  <c r="K562" i="13"/>
  <c r="K475" i="13"/>
  <c r="K425" i="13"/>
  <c r="K404" i="13"/>
  <c r="K323" i="13"/>
  <c r="K294" i="13"/>
  <c r="K226" i="13"/>
  <c r="K192" i="13"/>
  <c r="K99" i="13"/>
  <c r="K20" i="13"/>
  <c r="K1482" i="13"/>
  <c r="K1423" i="13"/>
  <c r="K1371" i="13"/>
  <c r="K1320" i="13"/>
  <c r="K1154" i="13"/>
  <c r="K1116" i="13"/>
  <c r="K1010" i="13"/>
  <c r="K938" i="13"/>
  <c r="K846" i="13"/>
  <c r="K782" i="13"/>
  <c r="K708" i="13"/>
  <c r="K636" i="13"/>
  <c r="K548" i="13"/>
  <c r="K506" i="13"/>
  <c r="K376" i="13"/>
  <c r="K309" i="13"/>
  <c r="K206" i="13"/>
  <c r="K49" i="13"/>
  <c r="K2" i="13"/>
  <c r="K1483" i="13"/>
  <c r="K1425" i="13"/>
  <c r="K1337" i="13"/>
  <c r="K1270" i="13"/>
  <c r="K1231" i="13"/>
  <c r="K1170" i="13"/>
  <c r="K1127" i="13"/>
  <c r="K1087" i="13"/>
  <c r="K1030" i="13"/>
  <c r="K911" i="13"/>
  <c r="K856" i="13"/>
  <c r="K772" i="13"/>
  <c r="K690" i="13"/>
  <c r="K598" i="13"/>
  <c r="K527" i="13"/>
  <c r="K463" i="13"/>
  <c r="K369" i="13"/>
  <c r="K314" i="13"/>
  <c r="K245" i="13"/>
  <c r="K201" i="13"/>
  <c r="K106" i="13"/>
  <c r="K69" i="13"/>
  <c r="K1521" i="13"/>
  <c r="K1459" i="13"/>
  <c r="K1394" i="13"/>
  <c r="K1296" i="13"/>
  <c r="K1263" i="13"/>
  <c r="K1156" i="13"/>
  <c r="K1095" i="13"/>
  <c r="K964" i="13"/>
  <c r="K891" i="13"/>
  <c r="K821" i="13"/>
  <c r="K721" i="13"/>
  <c r="K625" i="13"/>
  <c r="K412" i="13"/>
  <c r="J1377" i="13"/>
  <c r="J1518" i="13"/>
  <c r="K981" i="13"/>
  <c r="J1185" i="13"/>
  <c r="J834" i="13"/>
  <c r="J508" i="13"/>
  <c r="J389" i="13"/>
  <c r="J170" i="13"/>
  <c r="J1392" i="13"/>
  <c r="J1069" i="13"/>
  <c r="J773" i="13"/>
  <c r="J445" i="13"/>
  <c r="J18" i="13"/>
  <c r="J1284" i="13"/>
  <c r="J1109" i="13"/>
  <c r="J807" i="13"/>
  <c r="J493" i="13"/>
  <c r="J225" i="13"/>
  <c r="J1499" i="13"/>
  <c r="J1216" i="13"/>
  <c r="J872" i="13"/>
  <c r="J316" i="13"/>
  <c r="J246" i="13"/>
  <c r="J193" i="13"/>
  <c r="J129" i="13"/>
  <c r="J1531" i="13"/>
  <c r="J1458" i="13"/>
  <c r="J1354" i="13"/>
  <c r="J1289" i="13"/>
  <c r="J1238" i="13"/>
  <c r="J1135" i="13"/>
  <c r="J1035" i="13"/>
  <c r="J973" i="13"/>
  <c r="J852" i="13"/>
  <c r="J814" i="13"/>
  <c r="J745" i="13"/>
  <c r="J680" i="13"/>
  <c r="J641" i="13"/>
  <c r="J573" i="13"/>
  <c r="J526" i="13"/>
  <c r="J413" i="13"/>
  <c r="J358" i="13"/>
  <c r="J306" i="13"/>
  <c r="J269" i="13"/>
  <c r="J203" i="13"/>
  <c r="J152" i="13"/>
  <c r="J78" i="13"/>
  <c r="J22" i="13"/>
  <c r="J1355" i="13"/>
  <c r="J1057" i="13"/>
  <c r="J860" i="13"/>
  <c r="J461" i="13"/>
  <c r="J15" i="13"/>
  <c r="J1384" i="13"/>
  <c r="J1333" i="13"/>
  <c r="J1222" i="13"/>
  <c r="J1120" i="13"/>
  <c r="J1005" i="13"/>
  <c r="J951" i="13"/>
  <c r="J868" i="13"/>
  <c r="J757" i="13"/>
  <c r="J700" i="13"/>
  <c r="J639" i="13"/>
  <c r="J511" i="13"/>
  <c r="J452" i="13"/>
  <c r="J324" i="13"/>
  <c r="J210" i="13"/>
  <c r="J95" i="13"/>
  <c r="J35" i="13"/>
  <c r="J1487" i="13"/>
  <c r="J1398" i="13"/>
  <c r="J1339" i="13"/>
  <c r="J1304" i="13"/>
  <c r="J1249" i="13"/>
  <c r="J1197" i="13"/>
  <c r="J1161" i="13"/>
  <c r="J1081" i="13"/>
  <c r="J997" i="13"/>
  <c r="J919" i="13"/>
  <c r="J887" i="13"/>
  <c r="J822" i="13"/>
  <c r="J737" i="13"/>
  <c r="J682" i="13"/>
  <c r="J635" i="13"/>
  <c r="J609" i="13"/>
  <c r="J556" i="13"/>
  <c r="J494" i="13"/>
  <c r="J453" i="13"/>
  <c r="J390" i="13"/>
  <c r="J340" i="13"/>
  <c r="J259" i="13"/>
  <c r="J190" i="13"/>
  <c r="J114" i="13"/>
  <c r="J60" i="13"/>
  <c r="J32" i="13"/>
  <c r="J1500" i="13"/>
  <c r="J1370" i="13"/>
  <c r="J1259" i="13"/>
  <c r="J1145" i="13"/>
  <c r="J1060" i="13"/>
  <c r="J994" i="13"/>
  <c r="J884" i="13"/>
  <c r="J823" i="13"/>
  <c r="J789" i="13"/>
  <c r="J591" i="13"/>
  <c r="J552" i="13"/>
  <c r="J469" i="13"/>
  <c r="J401" i="13"/>
  <c r="J308" i="13"/>
  <c r="J257" i="13"/>
  <c r="J151" i="13"/>
  <c r="J100" i="13"/>
  <c r="J9" i="13"/>
  <c r="J1478" i="13"/>
  <c r="J1419" i="13"/>
  <c r="J1341" i="13"/>
  <c r="J1234" i="13"/>
  <c r="J1184" i="13"/>
  <c r="J1061" i="13"/>
  <c r="J1012" i="13"/>
  <c r="J982" i="13"/>
  <c r="J960" i="13"/>
  <c r="J827" i="13"/>
  <c r="J755" i="13"/>
  <c r="J696" i="13"/>
  <c r="J608" i="13"/>
  <c r="J523" i="13"/>
  <c r="J464" i="13"/>
  <c r="J416" i="13"/>
  <c r="J354" i="13"/>
  <c r="J224" i="13"/>
  <c r="J148" i="13"/>
  <c r="J140" i="13"/>
  <c r="J19" i="13"/>
  <c r="K1110" i="13"/>
  <c r="J1407" i="13"/>
  <c r="J1297" i="13"/>
  <c r="J1239" i="13"/>
  <c r="J1128" i="13"/>
  <c r="J1054" i="13"/>
  <c r="J976" i="13"/>
  <c r="J898" i="13"/>
  <c r="J808" i="13"/>
  <c r="J754" i="13"/>
  <c r="J711" i="13"/>
  <c r="J613" i="13"/>
  <c r="J583" i="13"/>
  <c r="J491" i="13"/>
  <c r="J440" i="13"/>
  <c r="J408" i="13"/>
  <c r="J384" i="13"/>
  <c r="J329" i="13"/>
  <c r="J260" i="13"/>
  <c r="J204" i="13"/>
  <c r="J153" i="13"/>
  <c r="J34" i="13"/>
  <c r="J1513" i="13"/>
  <c r="J1451" i="13"/>
  <c r="J1391" i="13"/>
  <c r="J1338" i="13"/>
  <c r="J1244" i="13"/>
  <c r="J1123" i="13"/>
  <c r="J1033" i="13"/>
  <c r="J967" i="13"/>
  <c r="J857" i="13"/>
  <c r="J816" i="13"/>
  <c r="J753" i="13"/>
  <c r="J662" i="13"/>
  <c r="J582" i="13"/>
  <c r="J524" i="13"/>
  <c r="J1079" i="13"/>
  <c r="J1047" i="13"/>
  <c r="J1449" i="13"/>
  <c r="J1092" i="13"/>
  <c r="J756" i="13"/>
  <c r="J533" i="13"/>
  <c r="J330" i="13"/>
  <c r="J41" i="13"/>
  <c r="J1343" i="13"/>
  <c r="J971" i="13"/>
  <c r="J676" i="13"/>
  <c r="J337" i="13"/>
  <c r="J1525" i="13"/>
  <c r="J1254" i="13"/>
  <c r="J1044" i="13"/>
  <c r="J738" i="13"/>
  <c r="J444" i="13"/>
  <c r="J167" i="13"/>
  <c r="J1443" i="13"/>
  <c r="J1132" i="13"/>
  <c r="J742" i="13"/>
  <c r="K316" i="13"/>
  <c r="K246" i="13"/>
  <c r="K193" i="13"/>
  <c r="K129" i="13"/>
  <c r="K1531" i="13"/>
  <c r="K1458" i="13"/>
  <c r="K1354" i="13"/>
  <c r="K1289" i="13"/>
  <c r="K1238" i="13"/>
  <c r="K1135" i="13"/>
  <c r="K1035" i="13"/>
  <c r="K973" i="13"/>
  <c r="K852" i="13"/>
  <c r="K814" i="13"/>
  <c r="K745" i="13"/>
  <c r="K680" i="13"/>
  <c r="K641" i="13"/>
  <c r="K573" i="13"/>
  <c r="K526" i="13"/>
  <c r="K413" i="13"/>
  <c r="K358" i="13"/>
  <c r="K306" i="13"/>
  <c r="K269" i="13"/>
  <c r="K203" i="13"/>
  <c r="K152" i="13"/>
  <c r="K78" i="13"/>
  <c r="K22" i="13"/>
  <c r="K1355" i="13"/>
  <c r="K1057" i="13"/>
  <c r="K860" i="13"/>
  <c r="K461" i="13"/>
  <c r="K15" i="13"/>
  <c r="K1384" i="13"/>
  <c r="K1333" i="13"/>
  <c r="K1222" i="13"/>
  <c r="K1120" i="13"/>
  <c r="K1005" i="13"/>
  <c r="K951" i="13"/>
  <c r="K868" i="13"/>
  <c r="K757" i="13"/>
  <c r="K700" i="13"/>
  <c r="K639" i="13"/>
  <c r="K511" i="13"/>
  <c r="K452" i="13"/>
  <c r="K324" i="13"/>
  <c r="K210" i="13"/>
  <c r="K95" i="13"/>
  <c r="K35" i="13"/>
  <c r="K1487" i="13"/>
  <c r="K1398" i="13"/>
  <c r="K1339" i="13"/>
  <c r="K1304" i="13"/>
  <c r="K1249" i="13"/>
  <c r="K1197" i="13"/>
  <c r="K1161" i="13"/>
  <c r="K1081" i="13"/>
  <c r="K997" i="13"/>
  <c r="K919" i="13"/>
  <c r="K887" i="13"/>
  <c r="K822" i="13"/>
  <c r="K737" i="13"/>
  <c r="K682" i="13"/>
  <c r="K635" i="13"/>
  <c r="K609" i="13"/>
  <c r="K556" i="13"/>
  <c r="K494" i="13"/>
  <c r="K453" i="13"/>
  <c r="K390" i="13"/>
  <c r="K340" i="13"/>
  <c r="K259" i="13"/>
  <c r="K190" i="13"/>
  <c r="K114" i="13"/>
  <c r="K60" i="13"/>
  <c r="K32" i="13"/>
  <c r="K1500" i="13"/>
  <c r="K1370" i="13"/>
  <c r="K1259" i="13"/>
  <c r="K1145" i="13"/>
  <c r="K1060" i="13"/>
  <c r="K994" i="13"/>
  <c r="K884" i="13"/>
  <c r="K823" i="13"/>
  <c r="K789" i="13"/>
  <c r="K591" i="13"/>
  <c r="K552" i="13"/>
  <c r="K469" i="13"/>
  <c r="K401" i="13"/>
  <c r="K308" i="13"/>
  <c r="K257" i="13"/>
  <c r="K151" i="13"/>
  <c r="K100" i="13"/>
  <c r="K9" i="13"/>
  <c r="K1478" i="13"/>
  <c r="K1419" i="13"/>
  <c r="K1341" i="13"/>
  <c r="K1234" i="13"/>
  <c r="K1184" i="13"/>
  <c r="K1061" i="13"/>
  <c r="K1012" i="13"/>
  <c r="K982" i="13"/>
  <c r="K960" i="13"/>
  <c r="K827" i="13"/>
  <c r="K755" i="13"/>
  <c r="K696" i="13"/>
  <c r="K608" i="13"/>
  <c r="K523" i="13"/>
  <c r="K464" i="13"/>
  <c r="K416" i="13"/>
  <c r="K354" i="13"/>
  <c r="K224" i="13"/>
  <c r="K148" i="13"/>
  <c r="K140" i="13"/>
  <c r="K19" i="13"/>
  <c r="K947" i="13"/>
  <c r="K1407" i="13"/>
  <c r="K1297" i="13"/>
  <c r="K1239" i="13"/>
  <c r="K1128" i="13"/>
  <c r="K1054" i="13"/>
  <c r="K976" i="13"/>
  <c r="K898" i="13"/>
  <c r="K808" i="13"/>
  <c r="K754" i="13"/>
  <c r="K711" i="13"/>
  <c r="K613" i="13"/>
  <c r="K583" i="13"/>
  <c r="K491" i="13"/>
  <c r="K440" i="13"/>
  <c r="K408" i="13"/>
  <c r="K384" i="13"/>
  <c r="K329" i="13"/>
  <c r="K260" i="13"/>
  <c r="K204" i="13"/>
  <c r="K153" i="13"/>
  <c r="K34" i="13"/>
  <c r="K1513" i="13"/>
  <c r="K1451" i="13"/>
  <c r="K1391" i="13"/>
  <c r="K1338" i="13"/>
  <c r="K1244" i="13"/>
  <c r="K1123" i="13"/>
  <c r="K1033" i="13"/>
  <c r="K967" i="13"/>
  <c r="K857" i="13"/>
  <c r="K816" i="13"/>
  <c r="K753" i="13"/>
  <c r="K662" i="13"/>
  <c r="K582" i="13"/>
  <c r="K524" i="13"/>
  <c r="J1088" i="13"/>
  <c r="J800" i="13"/>
  <c r="J1327" i="13"/>
  <c r="J1021" i="13"/>
  <c r="J713" i="13"/>
  <c r="J447" i="13"/>
  <c r="J271" i="13"/>
  <c r="J1520" i="13"/>
  <c r="J1268" i="13"/>
  <c r="J869" i="13"/>
  <c r="J606" i="13"/>
  <c r="J253" i="13"/>
  <c r="J1439" i="13"/>
  <c r="J1210" i="13"/>
  <c r="J954" i="13"/>
  <c r="J653" i="13"/>
  <c r="J347" i="13"/>
  <c r="J89" i="13"/>
  <c r="J1345" i="13"/>
  <c r="J1038" i="13"/>
  <c r="J654" i="13"/>
  <c r="J288" i="13"/>
  <c r="J231" i="13"/>
  <c r="J162" i="13"/>
  <c r="J108" i="13"/>
  <c r="J1486" i="13"/>
  <c r="J1406" i="13"/>
  <c r="J1313" i="13"/>
  <c r="J1266" i="13"/>
  <c r="J1187" i="13"/>
  <c r="J1086" i="13"/>
  <c r="J1017" i="13"/>
  <c r="J918" i="13"/>
  <c r="J833" i="13"/>
  <c r="J783" i="13"/>
  <c r="J695" i="13"/>
  <c r="J664" i="13"/>
  <c r="J614" i="13"/>
  <c r="J545" i="13"/>
  <c r="J490" i="13"/>
  <c r="J398" i="13"/>
  <c r="J344" i="13"/>
  <c r="J287" i="13"/>
  <c r="J237" i="13"/>
  <c r="J171" i="13"/>
  <c r="J127" i="13"/>
  <c r="J68" i="13"/>
  <c r="J1465" i="13"/>
  <c r="J1160" i="13"/>
  <c r="J970" i="13"/>
  <c r="J595" i="13"/>
  <c r="J258" i="13"/>
  <c r="J1440" i="13"/>
  <c r="J1359" i="13"/>
  <c r="J1288" i="13"/>
  <c r="J1180" i="13"/>
  <c r="J1091" i="13"/>
  <c r="J961" i="13"/>
  <c r="J917" i="13"/>
  <c r="J778" i="13"/>
  <c r="J729" i="13"/>
  <c r="J668" i="13"/>
  <c r="J570" i="13"/>
  <c r="J489" i="13"/>
  <c r="J368" i="13"/>
  <c r="J261" i="13"/>
  <c r="J134" i="13"/>
  <c r="J50" i="13"/>
  <c r="J1530" i="13"/>
  <c r="J1409" i="13"/>
  <c r="J1378" i="13"/>
  <c r="J1322" i="13"/>
  <c r="J1265" i="13"/>
  <c r="J1217" i="13"/>
  <c r="J1186" i="13"/>
  <c r="J1142" i="13"/>
  <c r="J1034" i="13"/>
  <c r="J945" i="13"/>
  <c r="J907" i="13"/>
  <c r="J866" i="13"/>
  <c r="J780" i="13"/>
  <c r="J718" i="13"/>
  <c r="J665" i="13"/>
  <c r="J621" i="13"/>
  <c r="J586" i="13"/>
  <c r="J513" i="13"/>
  <c r="J477" i="13"/>
  <c r="J420" i="13"/>
  <c r="J371" i="13"/>
  <c r="J284" i="13"/>
  <c r="J209" i="13"/>
  <c r="J156" i="13"/>
  <c r="J92" i="13"/>
  <c r="J51" i="13"/>
  <c r="J24" i="13"/>
  <c r="J1437" i="13"/>
  <c r="J1344" i="13"/>
  <c r="J1183" i="13"/>
  <c r="J1094" i="13"/>
  <c r="J1043" i="13"/>
  <c r="J944" i="13"/>
  <c r="J854" i="13"/>
  <c r="J806" i="13"/>
  <c r="J661" i="13"/>
  <c r="J567" i="13"/>
  <c r="J509" i="13"/>
  <c r="J437" i="13"/>
  <c r="J387" i="13"/>
  <c r="J286" i="13"/>
  <c r="J218" i="13"/>
  <c r="J118" i="13"/>
  <c r="J81" i="13"/>
  <c r="J1505" i="13"/>
  <c r="J1436" i="13"/>
  <c r="J1368" i="13"/>
  <c r="J1285" i="13"/>
  <c r="J1195" i="13"/>
  <c r="J1085" i="13"/>
  <c r="J1042" i="13"/>
  <c r="J992" i="13"/>
  <c r="J974" i="13"/>
  <c r="J913" i="13"/>
  <c r="J797" i="13"/>
  <c r="J731" i="13"/>
  <c r="J649" i="13"/>
  <c r="J547" i="13"/>
  <c r="J500" i="13"/>
  <c r="J443" i="13"/>
  <c r="J365" i="13"/>
  <c r="J322" i="13"/>
  <c r="J187" i="13"/>
  <c r="J144" i="13"/>
  <c r="J57" i="13"/>
  <c r="K1468" i="13"/>
  <c r="J1446" i="13"/>
  <c r="J1364" i="13"/>
  <c r="J1262" i="13"/>
  <c r="J1147" i="13"/>
  <c r="J1103" i="13"/>
  <c r="J1015" i="13"/>
  <c r="J927" i="13"/>
  <c r="J867" i="13"/>
  <c r="J769" i="13"/>
  <c r="J726" i="13"/>
  <c r="J670" i="13"/>
  <c r="J594" i="13"/>
  <c r="J544" i="13"/>
  <c r="J467" i="13"/>
  <c r="J405" i="13"/>
  <c r="J402" i="13"/>
  <c r="J338" i="13"/>
  <c r="J289" i="13"/>
  <c r="J232" i="13"/>
  <c r="J182" i="13"/>
  <c r="J94" i="13"/>
  <c r="J14" i="13"/>
  <c r="J1480" i="13"/>
  <c r="J1413" i="13"/>
  <c r="J1358" i="13"/>
  <c r="J1312" i="13"/>
  <c r="J1149" i="13"/>
  <c r="J1107" i="13"/>
  <c r="J998" i="13"/>
  <c r="J896" i="13"/>
  <c r="J842" i="13"/>
  <c r="J779" i="13"/>
  <c r="J701" i="13"/>
  <c r="J618" i="13"/>
  <c r="J540" i="13"/>
  <c r="J497" i="13"/>
  <c r="J1241" i="13"/>
  <c r="J637" i="13"/>
  <c r="J1124" i="13"/>
  <c r="J1395" i="13"/>
  <c r="J276" i="13"/>
  <c r="J584" i="13"/>
  <c r="K108" i="13"/>
  <c r="K1266" i="13"/>
  <c r="K918" i="13"/>
  <c r="K664" i="13"/>
  <c r="K398" i="13"/>
  <c r="K171" i="13"/>
  <c r="K1160" i="13"/>
  <c r="K1440" i="13"/>
  <c r="K1091" i="13"/>
  <c r="K729" i="13"/>
  <c r="K368" i="13"/>
  <c r="K1530" i="13"/>
  <c r="K1265" i="13"/>
  <c r="K1034" i="13"/>
  <c r="K780" i="13"/>
  <c r="K586" i="13"/>
  <c r="K371" i="13"/>
  <c r="K92" i="13"/>
  <c r="K1344" i="13"/>
  <c r="K944" i="13"/>
  <c r="K567" i="13"/>
  <c r="K286" i="13"/>
  <c r="K1505" i="13"/>
  <c r="K1195" i="13"/>
  <c r="K974" i="13"/>
  <c r="K649" i="13"/>
  <c r="K365" i="13"/>
  <c r="K57" i="13"/>
  <c r="K1262" i="13"/>
  <c r="K927" i="13"/>
  <c r="K670" i="13"/>
  <c r="K405" i="13"/>
  <c r="K232" i="13"/>
  <c r="K1480" i="13"/>
  <c r="K1149" i="13"/>
  <c r="K842" i="13"/>
  <c r="K540" i="13"/>
  <c r="J370" i="13"/>
  <c r="J303" i="13"/>
  <c r="J202" i="13"/>
  <c r="J38" i="13"/>
  <c r="J1534" i="13"/>
  <c r="J1477" i="13"/>
  <c r="J1414" i="13"/>
  <c r="J1307" i="13"/>
  <c r="J1267" i="13"/>
  <c r="J1225" i="13"/>
  <c r="J1168" i="13"/>
  <c r="J1126" i="13"/>
  <c r="J1074" i="13"/>
  <c r="J1013" i="13"/>
  <c r="J909" i="13"/>
  <c r="J853" i="13"/>
  <c r="J761" i="13"/>
  <c r="J687" i="13"/>
  <c r="J597" i="13"/>
  <c r="J525" i="13"/>
  <c r="J457" i="13"/>
  <c r="J361" i="13"/>
  <c r="J299" i="13"/>
  <c r="J244" i="13"/>
  <c r="J195" i="13"/>
  <c r="J105" i="13"/>
  <c r="J64" i="13"/>
  <c r="J1517" i="13"/>
  <c r="J1467" i="13"/>
  <c r="J1390" i="13"/>
  <c r="J1287" i="13"/>
  <c r="J1250" i="13"/>
  <c r="J1151" i="13"/>
  <c r="J1078" i="13"/>
  <c r="J962" i="13"/>
  <c r="J885" i="13"/>
  <c r="J810" i="13"/>
  <c r="J710" i="13"/>
  <c r="J619" i="13"/>
  <c r="J386" i="13"/>
  <c r="J274" i="13"/>
  <c r="J223" i="13"/>
  <c r="J161" i="13"/>
  <c r="J109" i="13"/>
  <c r="J1485" i="13"/>
  <c r="J1400" i="13"/>
  <c r="J1306" i="13"/>
  <c r="J1243" i="13"/>
  <c r="J1177" i="13"/>
  <c r="J1082" i="13"/>
  <c r="J1006" i="13"/>
  <c r="J916" i="13"/>
  <c r="J830" i="13"/>
  <c r="J781" i="13"/>
  <c r="J694" i="13"/>
  <c r="J660" i="13"/>
  <c r="J612" i="13"/>
  <c r="J534" i="13"/>
  <c r="J442" i="13"/>
  <c r="J397" i="13"/>
  <c r="J342" i="13"/>
  <c r="J277" i="13"/>
  <c r="J215" i="13"/>
  <c r="J168" i="13"/>
  <c r="J133" i="13"/>
  <c r="J66" i="13"/>
  <c r="J1421" i="13"/>
  <c r="J1119" i="13"/>
  <c r="J910" i="13"/>
  <c r="J572" i="13"/>
  <c r="J157" i="13"/>
  <c r="J1420" i="13"/>
  <c r="J1356" i="13"/>
  <c r="J1280" i="13"/>
  <c r="J1176" i="13"/>
  <c r="J1077" i="13"/>
  <c r="J958" i="13"/>
  <c r="J914" i="13"/>
  <c r="J770" i="13"/>
  <c r="J725" i="13"/>
  <c r="J667" i="13"/>
  <c r="J565" i="13"/>
  <c r="J483" i="13"/>
  <c r="J351" i="13"/>
  <c r="J238" i="13"/>
  <c r="J123" i="13"/>
  <c r="J48" i="13"/>
  <c r="J1526" i="13"/>
  <c r="J1404" i="13"/>
  <c r="J1351" i="13"/>
  <c r="J1318" i="13"/>
  <c r="J1256" i="13"/>
  <c r="J1215" i="13"/>
  <c r="J1174" i="13"/>
  <c r="J1139" i="13"/>
  <c r="J1022" i="13"/>
  <c r="J942" i="13"/>
  <c r="J905" i="13"/>
  <c r="J862" i="13"/>
  <c r="J766" i="13"/>
  <c r="J707" i="13"/>
  <c r="J663" i="13"/>
  <c r="J623" i="13"/>
  <c r="J569" i="13"/>
  <c r="J507" i="13"/>
  <c r="J474" i="13"/>
  <c r="J419" i="13"/>
  <c r="J362" i="13"/>
  <c r="J281" i="13"/>
  <c r="J194" i="13"/>
  <c r="J155" i="13"/>
  <c r="J87" i="13"/>
  <c r="J43" i="13"/>
  <c r="J10" i="13"/>
  <c r="J1428" i="13"/>
  <c r="J1328" i="13"/>
  <c r="J1181" i="13"/>
  <c r="J1067" i="13"/>
  <c r="J1040" i="13"/>
  <c r="J937" i="13"/>
  <c r="J840" i="13"/>
  <c r="J804" i="13"/>
  <c r="J656" i="13"/>
  <c r="J564" i="13"/>
  <c r="J498" i="13"/>
  <c r="J435" i="13"/>
  <c r="J343" i="13"/>
  <c r="J278" i="13"/>
  <c r="J178" i="13"/>
  <c r="J117" i="13"/>
  <c r="J73" i="13"/>
  <c r="J1494" i="13"/>
  <c r="J1434" i="13"/>
  <c r="J1366" i="13"/>
  <c r="J1248" i="13"/>
  <c r="J1190" i="13"/>
  <c r="J1083" i="13"/>
  <c r="J1039" i="13"/>
  <c r="J989" i="13"/>
  <c r="J965" i="13"/>
  <c r="J888" i="13"/>
  <c r="J788" i="13"/>
  <c r="J727" i="13"/>
  <c r="J634" i="13"/>
  <c r="J546" i="13"/>
  <c r="J488" i="13"/>
  <c r="K1429" i="13"/>
  <c r="J1523" i="13"/>
  <c r="J1496" i="13"/>
  <c r="J1450" i="13"/>
  <c r="J1393" i="13"/>
  <c r="J1311" i="13"/>
  <c r="J1257" i="13"/>
  <c r="J1191" i="13"/>
  <c r="J1113" i="13"/>
  <c r="J1062" i="13"/>
  <c r="J993" i="13"/>
  <c r="J936" i="13"/>
  <c r="J873" i="13"/>
  <c r="J795" i="13"/>
  <c r="J704" i="13"/>
  <c r="J686" i="13"/>
  <c r="J602" i="13"/>
  <c r="J563" i="13"/>
  <c r="J478" i="13"/>
  <c r="J431" i="13"/>
  <c r="J406" i="13"/>
  <c r="J377" i="13"/>
  <c r="J296" i="13"/>
  <c r="J240" i="13"/>
  <c r="J198" i="13"/>
  <c r="J116" i="13"/>
  <c r="J21" i="13"/>
  <c r="J1488" i="13"/>
  <c r="J1432" i="13"/>
  <c r="J1379" i="13"/>
  <c r="J1323" i="13"/>
  <c r="J1163" i="13"/>
  <c r="J1118" i="13"/>
  <c r="J1011" i="13"/>
  <c r="J959" i="13"/>
  <c r="J847" i="13"/>
  <c r="J799" i="13"/>
  <c r="J714" i="13"/>
  <c r="J640" i="13"/>
  <c r="J558" i="13"/>
  <c r="J510" i="13"/>
  <c r="J379" i="13"/>
  <c r="J311" i="13"/>
  <c r="J207" i="13"/>
  <c r="J53" i="13"/>
  <c r="J6" i="13"/>
  <c r="J1498" i="13"/>
  <c r="J1426" i="13"/>
  <c r="J1347" i="13"/>
  <c r="J1276" i="13"/>
  <c r="J1242" i="13"/>
  <c r="J1182" i="13"/>
  <c r="J1131" i="13"/>
  <c r="J1090" i="13"/>
  <c r="J1031" i="13"/>
  <c r="J926" i="13"/>
  <c r="J861" i="13"/>
  <c r="J787" i="13"/>
  <c r="J699" i="13"/>
  <c r="J601" i="13"/>
  <c r="J535" i="13"/>
  <c r="J465" i="13"/>
  <c r="J392" i="13"/>
  <c r="J318" i="13"/>
  <c r="J249" i="13"/>
  <c r="J214" i="13"/>
  <c r="J112" i="13"/>
  <c r="J70" i="13"/>
  <c r="J5" i="13"/>
  <c r="J1476" i="13"/>
  <c r="J1424" i="13"/>
  <c r="J1319" i="13"/>
  <c r="J1269" i="13"/>
  <c r="J1164" i="13"/>
  <c r="J1101" i="13"/>
  <c r="J995" i="13"/>
  <c r="J894" i="13"/>
  <c r="J825" i="13"/>
  <c r="J722" i="13"/>
  <c r="J646" i="13"/>
  <c r="J449" i="13"/>
  <c r="J301" i="13"/>
  <c r="J233" i="13"/>
  <c r="J179" i="13"/>
  <c r="J137" i="13"/>
  <c r="J1491" i="13"/>
  <c r="J1417" i="13"/>
  <c r="J1317" i="13"/>
  <c r="J1273" i="13"/>
  <c r="J1209" i="13"/>
  <c r="J1100" i="13"/>
  <c r="J1018" i="13"/>
  <c r="J932" i="13"/>
  <c r="J843" i="13"/>
  <c r="J786" i="13"/>
  <c r="J698" i="13"/>
  <c r="J669" i="13"/>
  <c r="J627" i="13"/>
  <c r="J549" i="13"/>
  <c r="J492" i="13"/>
  <c r="J399" i="13"/>
  <c r="J352" i="13"/>
  <c r="J291" i="13"/>
  <c r="J248" i="13"/>
  <c r="J173" i="13"/>
  <c r="J128" i="13"/>
  <c r="J71" i="13"/>
  <c r="J1479" i="13"/>
  <c r="J1178" i="13"/>
  <c r="J1023" i="13"/>
  <c r="J758" i="13"/>
  <c r="J363" i="13"/>
  <c r="J1461" i="13"/>
  <c r="J1369" i="13"/>
  <c r="J1301" i="13"/>
  <c r="J1200" i="13"/>
  <c r="J1096" i="13"/>
  <c r="J975" i="13"/>
  <c r="J921" i="13"/>
  <c r="J828" i="13"/>
  <c r="J730" i="13"/>
  <c r="J679" i="13"/>
  <c r="J578" i="13"/>
  <c r="J495" i="13"/>
  <c r="J385" i="13"/>
  <c r="J285" i="13"/>
  <c r="J124" i="13"/>
  <c r="J67" i="13"/>
  <c r="J1533" i="13"/>
  <c r="J1435" i="13"/>
  <c r="J1385" i="13"/>
  <c r="J1329" i="13"/>
  <c r="J1274" i="13"/>
  <c r="J1220" i="13"/>
  <c r="J1192" i="13"/>
  <c r="J1150" i="13"/>
  <c r="K1325" i="13"/>
  <c r="J411" i="13"/>
  <c r="J826" i="13"/>
  <c r="J1144" i="13"/>
  <c r="J54" i="13"/>
  <c r="K288" i="13"/>
  <c r="K1486" i="13"/>
  <c r="K1187" i="13"/>
  <c r="K833" i="13"/>
  <c r="K614" i="13"/>
  <c r="K344" i="13"/>
  <c r="K127" i="13"/>
  <c r="K970" i="13"/>
  <c r="K1359" i="13"/>
  <c r="K961" i="13"/>
  <c r="K668" i="13"/>
  <c r="K261" i="13"/>
  <c r="K1409" i="13"/>
  <c r="K1217" i="13"/>
  <c r="K945" i="13"/>
  <c r="K718" i="13"/>
  <c r="K513" i="13"/>
  <c r="K284" i="13"/>
  <c r="K51" i="13"/>
  <c r="K1183" i="13"/>
  <c r="K854" i="13"/>
  <c r="K509" i="13"/>
  <c r="K218" i="13"/>
  <c r="K1436" i="13"/>
  <c r="K1085" i="13"/>
  <c r="K913" i="13"/>
  <c r="K547" i="13"/>
  <c r="K322" i="13"/>
  <c r="K1295" i="13"/>
  <c r="K1147" i="13"/>
  <c r="K867" i="13"/>
  <c r="K594" i="13"/>
  <c r="K402" i="13"/>
  <c r="K182" i="13"/>
  <c r="K1413" i="13"/>
  <c r="K1107" i="13"/>
  <c r="K779" i="13"/>
  <c r="K497" i="13"/>
  <c r="K370" i="13"/>
  <c r="K303" i="13"/>
  <c r="K202" i="13"/>
  <c r="K38" i="13"/>
  <c r="K1534" i="13"/>
  <c r="K1477" i="13"/>
  <c r="K1414" i="13"/>
  <c r="K1307" i="13"/>
  <c r="K1267" i="13"/>
  <c r="K1225" i="13"/>
  <c r="K1168" i="13"/>
  <c r="K1126" i="13"/>
  <c r="K1074" i="13"/>
  <c r="K1013" i="13"/>
  <c r="K909" i="13"/>
  <c r="K853" i="13"/>
  <c r="K761" i="13"/>
  <c r="K687" i="13"/>
  <c r="K597" i="13"/>
  <c r="K525" i="13"/>
  <c r="K457" i="13"/>
  <c r="K361" i="13"/>
  <c r="K299" i="13"/>
  <c r="K244" i="13"/>
  <c r="K195" i="13"/>
  <c r="K105" i="13"/>
  <c r="K64" i="13"/>
  <c r="K1517" i="13"/>
  <c r="K1467" i="13"/>
  <c r="K1390" i="13"/>
  <c r="K1287" i="13"/>
  <c r="K1250" i="13"/>
  <c r="K1151" i="13"/>
  <c r="K1078" i="13"/>
  <c r="K962" i="13"/>
  <c r="K885" i="13"/>
  <c r="K810" i="13"/>
  <c r="K710" i="13"/>
  <c r="K619" i="13"/>
  <c r="K386" i="13"/>
  <c r="K274" i="13"/>
  <c r="K223" i="13"/>
  <c r="K161" i="13"/>
  <c r="K109" i="13"/>
  <c r="K1485" i="13"/>
  <c r="K1400" i="13"/>
  <c r="K1306" i="13"/>
  <c r="K1243" i="13"/>
  <c r="K1177" i="13"/>
  <c r="K1082" i="13"/>
  <c r="K1006" i="13"/>
  <c r="K916" i="13"/>
  <c r="K830" i="13"/>
  <c r="K781" i="13"/>
  <c r="K694" i="13"/>
  <c r="K660" i="13"/>
  <c r="K612" i="13"/>
  <c r="K534" i="13"/>
  <c r="K442" i="13"/>
  <c r="K397" i="13"/>
  <c r="K342" i="13"/>
  <c r="K277" i="13"/>
  <c r="K215" i="13"/>
  <c r="K168" i="13"/>
  <c r="K133" i="13"/>
  <c r="K66" i="13"/>
  <c r="K1421" i="13"/>
  <c r="K1119" i="13"/>
  <c r="K910" i="13"/>
  <c r="K572" i="13"/>
  <c r="K157" i="13"/>
  <c r="K1420" i="13"/>
  <c r="K1356" i="13"/>
  <c r="K1280" i="13"/>
  <c r="K1176" i="13"/>
  <c r="K1077" i="13"/>
  <c r="K958" i="13"/>
  <c r="K914" i="13"/>
  <c r="K770" i="13"/>
  <c r="K725" i="13"/>
  <c r="K667" i="13"/>
  <c r="K565" i="13"/>
  <c r="K483" i="13"/>
  <c r="K351" i="13"/>
  <c r="K238" i="13"/>
  <c r="K123" i="13"/>
  <c r="K48" i="13"/>
  <c r="K1526" i="13"/>
  <c r="K1404" i="13"/>
  <c r="K1351" i="13"/>
  <c r="K1318" i="13"/>
  <c r="K1256" i="13"/>
  <c r="K1215" i="13"/>
  <c r="K1174" i="13"/>
  <c r="K1139" i="13"/>
  <c r="K1022" i="13"/>
  <c r="K942" i="13"/>
  <c r="K905" i="13"/>
  <c r="K862" i="13"/>
  <c r="K766" i="13"/>
  <c r="K707" i="13"/>
  <c r="K663" i="13"/>
  <c r="K623" i="13"/>
  <c r="K569" i="13"/>
  <c r="K507" i="13"/>
  <c r="K474" i="13"/>
  <c r="K419" i="13"/>
  <c r="K362" i="13"/>
  <c r="K281" i="13"/>
  <c r="K194" i="13"/>
  <c r="K155" i="13"/>
  <c r="K87" i="13"/>
  <c r="K43" i="13"/>
  <c r="K10" i="13"/>
  <c r="K1428" i="13"/>
  <c r="K1328" i="13"/>
  <c r="K1181" i="13"/>
  <c r="K1067" i="13"/>
  <c r="K1040" i="13"/>
  <c r="K937" i="13"/>
  <c r="K840" i="13"/>
  <c r="K804" i="13"/>
  <c r="K656" i="13"/>
  <c r="K564" i="13"/>
  <c r="K498" i="13"/>
  <c r="K435" i="13"/>
  <c r="K343" i="13"/>
  <c r="K278" i="13"/>
  <c r="K178" i="13"/>
  <c r="K117" i="13"/>
  <c r="K73" i="13"/>
  <c r="K1494" i="13"/>
  <c r="K1434" i="13"/>
  <c r="K1366" i="13"/>
  <c r="K1248" i="13"/>
  <c r="K1190" i="13"/>
  <c r="K1083" i="13"/>
  <c r="K1039" i="13"/>
  <c r="K989" i="13"/>
  <c r="K965" i="13"/>
  <c r="K888" i="13"/>
  <c r="K788" i="13"/>
  <c r="K727" i="13"/>
  <c r="K634" i="13"/>
  <c r="K546" i="13"/>
  <c r="K488" i="13"/>
  <c r="K1241" i="13"/>
  <c r="K1523" i="13"/>
  <c r="K1496" i="13"/>
  <c r="K1450" i="13"/>
  <c r="K1393" i="13"/>
  <c r="K1311" i="13"/>
  <c r="K1257" i="13"/>
  <c r="K1191" i="13"/>
  <c r="K1113" i="13"/>
  <c r="K1062" i="13"/>
  <c r="K993" i="13"/>
  <c r="K936" i="13"/>
  <c r="K873" i="13"/>
  <c r="K795" i="13"/>
  <c r="K704" i="13"/>
  <c r="K686" i="13"/>
  <c r="K602" i="13"/>
  <c r="K563" i="13"/>
  <c r="K478" i="13"/>
  <c r="K431" i="13"/>
  <c r="K406" i="13"/>
  <c r="K377" i="13"/>
  <c r="K296" i="13"/>
  <c r="K240" i="13"/>
  <c r="K198" i="13"/>
  <c r="K116" i="13"/>
  <c r="K21" i="13"/>
  <c r="K1488" i="13"/>
  <c r="K1432" i="13"/>
  <c r="K1379" i="13"/>
  <c r="K1323" i="13"/>
  <c r="K1163" i="13"/>
  <c r="K1118" i="13"/>
  <c r="K1011" i="13"/>
  <c r="K959" i="13"/>
  <c r="K847" i="13"/>
  <c r="K799" i="13"/>
  <c r="K714" i="13"/>
  <c r="K640" i="13"/>
  <c r="K558" i="13"/>
  <c r="K510" i="13"/>
  <c r="K379" i="13"/>
  <c r="K311" i="13"/>
  <c r="K207" i="13"/>
  <c r="K53" i="13"/>
  <c r="K6" i="13"/>
  <c r="K1498" i="13"/>
  <c r="K1426" i="13"/>
  <c r="K1347" i="13"/>
  <c r="K1276" i="13"/>
  <c r="K1242" i="13"/>
  <c r="K1182" i="13"/>
  <c r="K1131" i="13"/>
  <c r="K1090" i="13"/>
  <c r="K1031" i="13"/>
  <c r="K926" i="13"/>
  <c r="K861" i="13"/>
  <c r="K787" i="13"/>
  <c r="K699" i="13"/>
  <c r="K601" i="13"/>
  <c r="K535" i="13"/>
  <c r="K465" i="13"/>
  <c r="K392" i="13"/>
  <c r="K318" i="13"/>
  <c r="K249" i="13"/>
  <c r="K214" i="13"/>
  <c r="K112" i="13"/>
  <c r="K70" i="13"/>
  <c r="K5" i="13"/>
  <c r="K1476" i="13"/>
  <c r="K1424" i="13"/>
  <c r="K1319" i="13"/>
  <c r="K1269" i="13"/>
  <c r="K1164" i="13"/>
  <c r="K1101" i="13"/>
  <c r="K995" i="13"/>
  <c r="K894" i="13"/>
  <c r="K825" i="13"/>
  <c r="K722" i="13"/>
  <c r="K646" i="13"/>
  <c r="K449" i="13"/>
  <c r="K301" i="13"/>
  <c r="K233" i="13"/>
  <c r="K179" i="13"/>
  <c r="K137" i="13"/>
  <c r="K1491" i="13"/>
  <c r="K1417" i="13"/>
  <c r="K1317" i="13"/>
  <c r="K1273" i="13"/>
  <c r="K1209" i="13"/>
  <c r="K1100" i="13"/>
  <c r="K1018" i="13"/>
  <c r="K932" i="13"/>
  <c r="K843" i="13"/>
  <c r="K786" i="13"/>
  <c r="K698" i="13"/>
  <c r="K669" i="13"/>
  <c r="K627" i="13"/>
  <c r="K549" i="13"/>
  <c r="K492" i="13"/>
  <c r="K399" i="13"/>
  <c r="K352" i="13"/>
  <c r="K291" i="13"/>
  <c r="K248" i="13"/>
  <c r="K173" i="13"/>
  <c r="K128" i="13"/>
  <c r="K71" i="13"/>
  <c r="K1479" i="13"/>
  <c r="K1178" i="13"/>
  <c r="K1023" i="13"/>
  <c r="K758" i="13"/>
  <c r="K363" i="13"/>
  <c r="K1461" i="13"/>
  <c r="K1369" i="13"/>
  <c r="K1301" i="13"/>
  <c r="K1200" i="13"/>
  <c r="K1096" i="13"/>
  <c r="K975" i="13"/>
  <c r="K921" i="13"/>
  <c r="K828" i="13"/>
  <c r="K730" i="13"/>
  <c r="K679" i="13"/>
  <c r="K578" i="13"/>
  <c r="K495" i="13"/>
  <c r="K385" i="13"/>
  <c r="K285" i="13"/>
  <c r="K124" i="13"/>
  <c r="K67" i="13"/>
  <c r="K1533" i="13"/>
  <c r="K1435" i="13"/>
  <c r="K1385" i="13"/>
  <c r="K1329" i="13"/>
  <c r="K1274" i="13"/>
  <c r="K1220" i="13"/>
  <c r="K1192" i="13"/>
  <c r="K1150" i="13"/>
  <c r="K1509" i="13"/>
  <c r="K1508" i="13"/>
  <c r="K1501" i="13"/>
  <c r="K1457" i="13"/>
  <c r="J1172" i="13"/>
  <c r="J227" i="13"/>
  <c r="J529" i="13"/>
  <c r="J889" i="13"/>
  <c r="J1278" i="13"/>
  <c r="K231" i="13"/>
  <c r="K1406" i="13"/>
  <c r="K1086" i="13"/>
  <c r="K783" i="13"/>
  <c r="K545" i="13"/>
  <c r="K287" i="13"/>
  <c r="K68" i="13"/>
  <c r="K595" i="13"/>
  <c r="K1288" i="13"/>
  <c r="K917" i="13"/>
  <c r="K570" i="13"/>
  <c r="K134" i="13"/>
  <c r="K1378" i="13"/>
  <c r="K1186" i="13"/>
  <c r="K907" i="13"/>
  <c r="K665" i="13"/>
  <c r="K477" i="13"/>
  <c r="K209" i="13"/>
  <c r="K24" i="13"/>
  <c r="K1094" i="13"/>
  <c r="K806" i="13"/>
  <c r="K437" i="13"/>
  <c r="K118" i="13"/>
  <c r="K1368" i="13"/>
  <c r="K1042" i="13"/>
  <c r="K797" i="13"/>
  <c r="K500" i="13"/>
  <c r="K187" i="13"/>
  <c r="K1446" i="13"/>
  <c r="K1103" i="13"/>
  <c r="K769" i="13"/>
  <c r="K544" i="13"/>
  <c r="K338" i="13"/>
  <c r="K94" i="13"/>
  <c r="K1358" i="13"/>
  <c r="K998" i="13"/>
  <c r="K701" i="13"/>
  <c r="J433" i="13"/>
  <c r="J325" i="13"/>
  <c r="J230" i="13"/>
  <c r="J93" i="13"/>
  <c r="J8" i="13"/>
  <c r="J1511" i="13"/>
  <c r="J1438" i="13"/>
  <c r="J1387" i="13"/>
  <c r="J1281" i="13"/>
  <c r="J1252" i="13"/>
  <c r="J1211" i="13"/>
  <c r="J1136" i="13"/>
  <c r="J1105" i="13"/>
  <c r="J1037" i="13"/>
  <c r="J949" i="13"/>
  <c r="J883" i="13"/>
  <c r="J801" i="13"/>
  <c r="J709" i="13"/>
  <c r="J648" i="13"/>
  <c r="J555" i="13"/>
  <c r="J482" i="13"/>
  <c r="J414" i="13"/>
  <c r="J334" i="13"/>
  <c r="J267" i="13"/>
  <c r="J221" i="13"/>
  <c r="J158" i="13"/>
  <c r="J90" i="13"/>
  <c r="J44" i="13"/>
  <c r="J1490" i="13"/>
  <c r="J1433" i="13"/>
  <c r="J1334" i="13"/>
  <c r="J1272" i="13"/>
  <c r="J1194" i="13"/>
  <c r="J1125" i="13"/>
  <c r="J1027" i="13"/>
  <c r="J900" i="13"/>
  <c r="J841" i="13"/>
  <c r="J739" i="13"/>
  <c r="J650" i="13"/>
  <c r="J522" i="13"/>
  <c r="J305" i="13"/>
  <c r="J241" i="13"/>
  <c r="J186" i="13"/>
  <c r="J139" i="13"/>
  <c r="J1516" i="13"/>
  <c r="J1454" i="13"/>
  <c r="J1349" i="13"/>
  <c r="J1286" i="13"/>
  <c r="J1223" i="13"/>
  <c r="J1130" i="13"/>
  <c r="J1029" i="13"/>
  <c r="J946" i="13"/>
  <c r="J848" i="13"/>
  <c r="J803" i="13"/>
  <c r="J743" i="13"/>
  <c r="J675" i="13"/>
  <c r="J632" i="13"/>
  <c r="J560" i="13"/>
  <c r="J501" i="13"/>
  <c r="J403" i="13"/>
  <c r="J356" i="13"/>
  <c r="J307" i="13"/>
  <c r="J265" i="13"/>
  <c r="J200" i="13"/>
  <c r="J135" i="13"/>
  <c r="J76" i="13"/>
  <c r="J12" i="13"/>
  <c r="J1353" i="13"/>
  <c r="J1051" i="13"/>
  <c r="J819" i="13"/>
  <c r="J456" i="13"/>
  <c r="J1524" i="13"/>
  <c r="J1383" i="13"/>
  <c r="J1316" i="13"/>
  <c r="J1208" i="13"/>
  <c r="J1117" i="13"/>
  <c r="J1002" i="13"/>
  <c r="J943" i="13"/>
  <c r="J863" i="13"/>
  <c r="J752" i="13"/>
  <c r="J691" i="13"/>
  <c r="J631" i="13"/>
  <c r="J505" i="13"/>
  <c r="J430" i="13"/>
  <c r="J315" i="13"/>
  <c r="J197" i="13"/>
  <c r="J88" i="13"/>
  <c r="J25" i="13"/>
  <c r="J1474" i="13"/>
  <c r="J1397" i="13"/>
  <c r="J1336" i="13"/>
  <c r="J1303" i="13"/>
  <c r="J1228" i="13"/>
  <c r="J1201" i="13"/>
  <c r="J1155" i="13"/>
  <c r="J1075" i="13"/>
  <c r="J996" i="13"/>
  <c r="J920" i="13"/>
  <c r="J878" i="13"/>
  <c r="J811" i="13"/>
  <c r="J732" i="13"/>
  <c r="J681" i="13"/>
  <c r="J633" i="13"/>
  <c r="J603" i="13"/>
  <c r="J541" i="13"/>
  <c r="J485" i="13"/>
  <c r="J439" i="13"/>
  <c r="J383" i="13"/>
  <c r="J326" i="13"/>
  <c r="J254" i="13"/>
  <c r="J184" i="13"/>
  <c r="J107" i="13"/>
  <c r="J56" i="13"/>
  <c r="J31" i="13"/>
  <c r="J1471" i="13"/>
  <c r="J1367" i="13"/>
  <c r="J1245" i="13"/>
  <c r="J1143" i="13"/>
  <c r="J1058" i="13"/>
  <c r="J987" i="13"/>
  <c r="J829" i="13"/>
  <c r="J817" i="13"/>
  <c r="J771" i="13"/>
  <c r="J587" i="13"/>
  <c r="J551" i="13"/>
  <c r="J448" i="13"/>
  <c r="J395" i="13"/>
  <c r="J302" i="13"/>
  <c r="J251" i="13"/>
  <c r="J150" i="13"/>
  <c r="J85" i="13"/>
  <c r="J1535" i="13"/>
  <c r="J1469" i="13"/>
  <c r="J1416" i="13"/>
  <c r="J1309" i="13"/>
  <c r="J1227" i="13"/>
  <c r="J1159" i="13"/>
  <c r="J1056" i="13"/>
  <c r="J1004" i="13"/>
  <c r="J979" i="13"/>
  <c r="J935" i="13"/>
  <c r="J813" i="13"/>
  <c r="J749" i="13"/>
  <c r="J692" i="13"/>
  <c r="J599" i="13"/>
  <c r="J517" i="13"/>
  <c r="J458" i="13"/>
  <c r="K1079" i="13"/>
  <c r="J1512" i="13"/>
  <c r="J1473" i="13"/>
  <c r="J1415" i="13"/>
  <c r="J1330" i="13"/>
  <c r="J1294" i="13"/>
  <c r="J1232" i="13"/>
  <c r="J1162" i="13"/>
  <c r="J1093" i="13"/>
  <c r="J1028" i="13"/>
  <c r="J968" i="13"/>
  <c r="J923" i="13"/>
  <c r="J849" i="13"/>
  <c r="J762" i="13"/>
  <c r="J715" i="13"/>
  <c r="J638" i="13"/>
  <c r="J589" i="13"/>
  <c r="J537" i="13"/>
  <c r="J451" i="13"/>
  <c r="J421" i="13"/>
  <c r="J394" i="13"/>
  <c r="J331" i="13"/>
  <c r="J272" i="13"/>
  <c r="J228" i="13"/>
  <c r="J177" i="13"/>
  <c r="J75" i="13"/>
  <c r="J3" i="13"/>
  <c r="J1455" i="13"/>
  <c r="J1399" i="13"/>
  <c r="J1348" i="13"/>
  <c r="J1275" i="13"/>
  <c r="J1138" i="13"/>
  <c r="J1071" i="13"/>
  <c r="J978" i="13"/>
  <c r="J879" i="13"/>
  <c r="J832" i="13"/>
  <c r="J776" i="13"/>
  <c r="J688" i="13"/>
  <c r="J607" i="13"/>
  <c r="J528" i="13"/>
  <c r="J460" i="13"/>
  <c r="J339" i="13"/>
  <c r="J293" i="13"/>
  <c r="J102" i="13"/>
  <c r="J26" i="13"/>
  <c r="J1528" i="13"/>
  <c r="J1445" i="13"/>
  <c r="J1401" i="13"/>
  <c r="J1300" i="13"/>
  <c r="J1255" i="13"/>
  <c r="J1218" i="13"/>
  <c r="J1165" i="13"/>
  <c r="J1112" i="13"/>
  <c r="J1046" i="13"/>
  <c r="J991" i="13"/>
  <c r="J892" i="13"/>
  <c r="J824" i="13"/>
  <c r="J741" i="13"/>
  <c r="J655" i="13"/>
  <c r="J579" i="13"/>
  <c r="J503" i="13"/>
  <c r="J454" i="13"/>
  <c r="J348" i="13"/>
  <c r="J283" i="13"/>
  <c r="J234" i="13"/>
  <c r="J169" i="13"/>
  <c r="J97" i="13"/>
  <c r="J59" i="13"/>
  <c r="J1506" i="13"/>
  <c r="J1462" i="13"/>
  <c r="J1363" i="13"/>
  <c r="J1282" i="13"/>
  <c r="J1230" i="13"/>
  <c r="J1134" i="13"/>
  <c r="J1041" i="13"/>
  <c r="J940" i="13"/>
  <c r="J880" i="13"/>
  <c r="J774" i="13"/>
  <c r="J677" i="13"/>
  <c r="J585" i="13"/>
  <c r="J320" i="13"/>
  <c r="J247" i="13"/>
  <c r="J216" i="13"/>
  <c r="J130" i="13"/>
  <c r="J13" i="13"/>
  <c r="J1463" i="13"/>
  <c r="J1357" i="13"/>
  <c r="J1293" i="13"/>
  <c r="J1240" i="13"/>
  <c r="J1137" i="13"/>
  <c r="J1050" i="13"/>
  <c r="J985" i="13"/>
  <c r="J890" i="13"/>
  <c r="J818" i="13"/>
  <c r="J750" i="13"/>
  <c r="J685" i="13"/>
  <c r="J642" i="13"/>
  <c r="J605" i="13"/>
  <c r="J531" i="13"/>
  <c r="J427" i="13"/>
  <c r="J366" i="13"/>
  <c r="J319" i="13"/>
  <c r="J273" i="13"/>
  <c r="J205" i="13"/>
  <c r="J160" i="13"/>
  <c r="J84" i="13"/>
  <c r="J28" i="13"/>
  <c r="J1375" i="13"/>
  <c r="J1104" i="13"/>
  <c r="J876" i="13"/>
  <c r="J473" i="13"/>
  <c r="J125" i="13"/>
  <c r="J1405" i="13"/>
  <c r="J1335" i="13"/>
  <c r="J1229" i="13"/>
  <c r="J1152" i="13"/>
  <c r="J1070" i="13"/>
  <c r="J953" i="13"/>
  <c r="J871" i="13"/>
  <c r="J760" i="13"/>
  <c r="J717" i="13"/>
  <c r="J644" i="13"/>
  <c r="J542" i="13"/>
  <c r="J462" i="13"/>
  <c r="J327" i="13"/>
  <c r="J211" i="13"/>
  <c r="J119" i="13"/>
  <c r="J39" i="13"/>
  <c r="J1502" i="13"/>
  <c r="J1402" i="13"/>
  <c r="J1340" i="13"/>
  <c r="J1310" i="13"/>
  <c r="J1253" i="13"/>
  <c r="J1205" i="13"/>
  <c r="J1167" i="13"/>
  <c r="J1522" i="13"/>
  <c r="J1519" i="13"/>
  <c r="J1481" i="13"/>
  <c r="J1475" i="13"/>
  <c r="J1408" i="13"/>
  <c r="J1321" i="13"/>
  <c r="J1233" i="13"/>
  <c r="J1098" i="13"/>
  <c r="J1068" i="13"/>
  <c r="J969" i="13"/>
  <c r="J874" i="13"/>
  <c r="J796" i="13"/>
  <c r="J748" i="13"/>
  <c r="J705" i="13"/>
  <c r="J604" i="13"/>
  <c r="J566" i="13"/>
  <c r="J487" i="13"/>
  <c r="J929" i="13"/>
  <c r="J912" i="13"/>
  <c r="K695" i="13"/>
  <c r="K258" i="13"/>
  <c r="K50" i="13"/>
  <c r="K621" i="13"/>
  <c r="K1043" i="13"/>
  <c r="K1285" i="13"/>
  <c r="K144" i="13"/>
  <c r="K467" i="13"/>
  <c r="K896" i="13"/>
  <c r="K230" i="13"/>
  <c r="K1438" i="13"/>
  <c r="K1211" i="13"/>
  <c r="K949" i="13"/>
  <c r="K648" i="13"/>
  <c r="K334" i="13"/>
  <c r="K90" i="13"/>
  <c r="K1334" i="13"/>
  <c r="K1027" i="13"/>
  <c r="K650" i="13"/>
  <c r="K186" i="13"/>
  <c r="K1349" i="13"/>
  <c r="K1029" i="13"/>
  <c r="K743" i="13"/>
  <c r="K501" i="13"/>
  <c r="K265" i="13"/>
  <c r="K12" i="13"/>
  <c r="K456" i="13"/>
  <c r="K1208" i="13"/>
  <c r="K863" i="13"/>
  <c r="K505" i="13"/>
  <c r="K88" i="13"/>
  <c r="K1336" i="13"/>
  <c r="K1155" i="13"/>
  <c r="K878" i="13"/>
  <c r="K633" i="13"/>
  <c r="K439" i="13"/>
  <c r="K184" i="13"/>
  <c r="K1471" i="13"/>
  <c r="K1058" i="13"/>
  <c r="K771" i="13"/>
  <c r="K395" i="13"/>
  <c r="K85" i="13"/>
  <c r="K1309" i="13"/>
  <c r="K1004" i="13"/>
  <c r="K749" i="13"/>
  <c r="K458" i="13"/>
  <c r="K1415" i="13"/>
  <c r="K1162" i="13"/>
  <c r="K923" i="13"/>
  <c r="K638" i="13"/>
  <c r="K421" i="13"/>
  <c r="K228" i="13"/>
  <c r="K1455" i="13"/>
  <c r="K1138" i="13"/>
  <c r="K832" i="13"/>
  <c r="K528" i="13"/>
  <c r="K102" i="13"/>
  <c r="K1401" i="13"/>
  <c r="K1165" i="13"/>
  <c r="K892" i="13"/>
  <c r="K579" i="13"/>
  <c r="K283" i="13"/>
  <c r="K59" i="13"/>
  <c r="K1282" i="13"/>
  <c r="K940" i="13"/>
  <c r="K585" i="13"/>
  <c r="K130" i="13"/>
  <c r="K1293" i="13"/>
  <c r="K985" i="13"/>
  <c r="K685" i="13"/>
  <c r="K427" i="13"/>
  <c r="K205" i="13"/>
  <c r="K1375" i="13"/>
  <c r="K125" i="13"/>
  <c r="K1152" i="13"/>
  <c r="K760" i="13"/>
  <c r="K462" i="13"/>
  <c r="K39" i="13"/>
  <c r="K1310" i="13"/>
  <c r="K1522" i="13"/>
  <c r="K1481" i="13"/>
  <c r="K1408" i="13"/>
  <c r="J1264" i="13"/>
  <c r="K1196" i="13"/>
  <c r="K1068" i="13"/>
  <c r="J941" i="13"/>
  <c r="K864" i="13"/>
  <c r="K748" i="13"/>
  <c r="J658" i="13"/>
  <c r="K592" i="13"/>
  <c r="K487" i="13"/>
  <c r="K432" i="13"/>
  <c r="K407" i="13"/>
  <c r="K382" i="13"/>
  <c r="K313" i="13"/>
  <c r="K243" i="13"/>
  <c r="K199" i="13"/>
  <c r="K132" i="13"/>
  <c r="K29" i="13"/>
  <c r="K1489" i="13"/>
  <c r="K1441" i="13"/>
  <c r="K1389" i="13"/>
  <c r="K1331" i="13"/>
  <c r="K1213" i="13"/>
  <c r="K1122" i="13"/>
  <c r="K1016" i="13"/>
  <c r="K963" i="13"/>
  <c r="K851" i="13"/>
  <c r="K805" i="13"/>
  <c r="K744" i="13"/>
  <c r="K652" i="13"/>
  <c r="K580" i="13"/>
  <c r="K521" i="13"/>
  <c r="K429" i="13"/>
  <c r="K317" i="13"/>
  <c r="K219" i="13"/>
  <c r="K61" i="13"/>
  <c r="K7" i="13"/>
  <c r="K1503" i="13"/>
  <c r="K1431" i="13"/>
  <c r="K1376" i="13"/>
  <c r="K1279" i="13"/>
  <c r="K1247" i="13"/>
  <c r="K1203" i="13"/>
  <c r="K1133" i="13"/>
  <c r="K1099" i="13"/>
  <c r="K1036" i="13"/>
  <c r="K928" i="13"/>
  <c r="K875" i="13"/>
  <c r="K790" i="13"/>
  <c r="K703" i="13"/>
  <c r="K643" i="13"/>
  <c r="K553" i="13"/>
  <c r="K470" i="13"/>
  <c r="K409" i="13"/>
  <c r="K321" i="13"/>
  <c r="K255" i="13"/>
  <c r="K217" i="13"/>
  <c r="K154" i="13"/>
  <c r="K72" i="13"/>
  <c r="K33" i="13"/>
  <c r="K1484" i="13"/>
  <c r="K1427" i="13"/>
  <c r="K1326" i="13"/>
  <c r="K1271" i="13"/>
  <c r="K1179" i="13"/>
  <c r="K1111" i="13"/>
  <c r="K1019" i="13"/>
  <c r="K895" i="13"/>
  <c r="K831" i="13"/>
  <c r="K735" i="13"/>
  <c r="K647" i="13"/>
  <c r="K516" i="13"/>
  <c r="K304" i="13"/>
  <c r="K239" i="13"/>
  <c r="K183" i="13"/>
  <c r="K138" i="13"/>
  <c r="K1515" i="13"/>
  <c r="K1444" i="13"/>
  <c r="K1324" i="13"/>
  <c r="K1277" i="13"/>
  <c r="K1214" i="13"/>
  <c r="K1121" i="13"/>
  <c r="K1020" i="13"/>
  <c r="K939" i="13"/>
  <c r="K845" i="13"/>
  <c r="K793" i="13"/>
  <c r="K719" i="13"/>
  <c r="K674" i="13"/>
  <c r="K629" i="13"/>
  <c r="K557" i="13"/>
  <c r="K496" i="13"/>
  <c r="K400" i="13"/>
  <c r="K355" i="13"/>
  <c r="K295" i="13"/>
  <c r="K264" i="13"/>
  <c r="K196" i="13"/>
  <c r="K136" i="13"/>
  <c r="K74" i="13"/>
  <c r="K11" i="13"/>
  <c r="K1206" i="13"/>
  <c r="K1024" i="13"/>
  <c r="K809" i="13"/>
  <c r="K378" i="13"/>
  <c r="K1495" i="13"/>
  <c r="K1372" i="13"/>
  <c r="K1314" i="13"/>
  <c r="K1204" i="13"/>
  <c r="K1108" i="13"/>
  <c r="K1001" i="13"/>
  <c r="K925" i="13"/>
  <c r="K839" i="13"/>
  <c r="K734" i="13"/>
  <c r="K684" i="13"/>
  <c r="K624" i="13"/>
  <c r="K499" i="13"/>
  <c r="K393" i="13"/>
  <c r="K298" i="13"/>
  <c r="K159" i="13"/>
  <c r="K80" i="13"/>
  <c r="K1536" i="13"/>
  <c r="K1448" i="13"/>
  <c r="K1396" i="13"/>
  <c r="K1332" i="13"/>
  <c r="K1299" i="13"/>
  <c r="K1221" i="13"/>
  <c r="K1193" i="13"/>
  <c r="K1153" i="13"/>
  <c r="K1064" i="13"/>
  <c r="K990" i="13"/>
  <c r="K915" i="13"/>
  <c r="K877" i="13"/>
  <c r="K802" i="13"/>
  <c r="K728" i="13"/>
  <c r="K678" i="13"/>
  <c r="K630" i="13"/>
  <c r="K600" i="13"/>
  <c r="K536" i="13"/>
  <c r="K481" i="13"/>
  <c r="K428" i="13"/>
  <c r="K372" i="13"/>
  <c r="K312" i="13"/>
  <c r="K250" i="13"/>
  <c r="K180" i="13"/>
  <c r="K103" i="13"/>
  <c r="K55" i="13"/>
  <c r="K30" i="13"/>
  <c r="K1464" i="13"/>
  <c r="K1361" i="13"/>
  <c r="K1224" i="13"/>
  <c r="K1141" i="13"/>
  <c r="K1048" i="13"/>
  <c r="K972" i="13"/>
  <c r="K858" i="13"/>
  <c r="K815" i="13"/>
  <c r="K759" i="13"/>
  <c r="K576" i="13"/>
  <c r="K520" i="13"/>
  <c r="K1377" i="13"/>
  <c r="J364" i="13"/>
  <c r="J270" i="13"/>
  <c r="J185" i="13"/>
  <c r="J143" i="13"/>
  <c r="J47" i="13"/>
  <c r="K930" i="13"/>
  <c r="K333" i="13"/>
  <c r="K268" i="13"/>
  <c r="K176" i="13"/>
  <c r="K111" i="13"/>
  <c r="K58" i="13"/>
  <c r="K1493" i="13"/>
  <c r="K1430" i="13"/>
  <c r="K1365" i="13"/>
  <c r="K1237" i="13"/>
  <c r="K1189" i="13"/>
  <c r="K1080" i="13"/>
  <c r="K1032" i="13"/>
  <c r="K986" i="13"/>
  <c r="K966" i="13"/>
  <c r="K886" i="13"/>
  <c r="K723" i="13"/>
  <c r="K620" i="13"/>
  <c r="K543" i="13"/>
  <c r="K486" i="13"/>
  <c r="K422" i="13"/>
  <c r="K360" i="13"/>
  <c r="K262" i="13"/>
  <c r="K174" i="13"/>
  <c r="K142" i="13"/>
  <c r="K441" i="13"/>
  <c r="J1000" i="13"/>
  <c r="J908" i="13"/>
  <c r="J865" i="13"/>
  <c r="J751" i="13"/>
  <c r="J697" i="13"/>
  <c r="J626" i="13"/>
  <c r="J593" i="13"/>
  <c r="J518" i="13"/>
  <c r="J468" i="13"/>
  <c r="J415" i="13"/>
  <c r="J346" i="13"/>
  <c r="J279" i="13"/>
  <c r="J164" i="13"/>
  <c r="J101" i="13"/>
  <c r="J52" i="13"/>
  <c r="J27" i="13"/>
  <c r="J1453" i="13"/>
  <c r="J1350" i="13"/>
  <c r="J1212" i="13"/>
  <c r="J1106" i="13"/>
  <c r="J1045" i="13"/>
  <c r="J952" i="13"/>
  <c r="J855" i="13"/>
  <c r="J812" i="13"/>
  <c r="J740" i="13"/>
  <c r="J575" i="13"/>
  <c r="J519" i="13"/>
  <c r="J438" i="13"/>
  <c r="J388" i="13"/>
  <c r="J292" i="13"/>
  <c r="J236" i="13"/>
  <c r="J121" i="13"/>
  <c r="J83" i="13"/>
  <c r="J1527" i="13"/>
  <c r="J1442" i="13"/>
  <c r="J1374" i="13"/>
  <c r="J1290" i="13"/>
  <c r="J1199" i="13"/>
  <c r="J1084" i="13"/>
  <c r="J1049" i="13"/>
  <c r="J999" i="13"/>
  <c r="J977" i="13"/>
  <c r="J931" i="13"/>
  <c r="J798" i="13"/>
  <c r="J733" i="13"/>
  <c r="J666" i="13"/>
  <c r="J574" i="13"/>
  <c r="J512" i="13"/>
  <c r="J446" i="13"/>
  <c r="J367" i="13"/>
  <c r="J336" i="13"/>
  <c r="J188" i="13"/>
  <c r="J145" i="13"/>
  <c r="J82" i="13"/>
  <c r="K1088" i="13"/>
  <c r="J40" i="13"/>
  <c r="J1014" i="13"/>
  <c r="J616" i="13"/>
  <c r="J418" i="13"/>
  <c r="J163" i="13"/>
  <c r="K424" i="13"/>
  <c r="K1017" i="13"/>
  <c r="K325" i="13"/>
  <c r="K1037" i="13"/>
  <c r="J1452" i="13"/>
  <c r="K162" i="13"/>
  <c r="K490" i="13"/>
  <c r="K1180" i="13"/>
  <c r="K1322" i="13"/>
  <c r="K420" i="13"/>
  <c r="K661" i="13"/>
  <c r="K992" i="13"/>
  <c r="K1364" i="13"/>
  <c r="K289" i="13"/>
  <c r="K618" i="13"/>
  <c r="K93" i="13"/>
  <c r="K1387" i="13"/>
  <c r="K1136" i="13"/>
  <c r="K883" i="13"/>
  <c r="K555" i="13"/>
  <c r="K267" i="13"/>
  <c r="K44" i="13"/>
  <c r="K1272" i="13"/>
  <c r="K900" i="13"/>
  <c r="K522" i="13"/>
  <c r="K139" i="13"/>
  <c r="K1286" i="13"/>
  <c r="K946" i="13"/>
  <c r="K675" i="13"/>
  <c r="K403" i="13"/>
  <c r="K200" i="13"/>
  <c r="K1353" i="13"/>
  <c r="K1524" i="13"/>
  <c r="K1117" i="13"/>
  <c r="K752" i="13"/>
  <c r="K430" i="13"/>
  <c r="K25" i="13"/>
  <c r="K1303" i="13"/>
  <c r="K1075" i="13"/>
  <c r="K811" i="13"/>
  <c r="K603" i="13"/>
  <c r="K383" i="13"/>
  <c r="K107" i="13"/>
  <c r="K1367" i="13"/>
  <c r="K987" i="13"/>
  <c r="K587" i="13"/>
  <c r="K302" i="13"/>
  <c r="K1535" i="13"/>
  <c r="K1227" i="13"/>
  <c r="K979" i="13"/>
  <c r="K692" i="13"/>
  <c r="K924" i="13"/>
  <c r="K1330" i="13"/>
  <c r="K1093" i="13"/>
  <c r="K849" i="13"/>
  <c r="K589" i="13"/>
  <c r="K394" i="13"/>
  <c r="K177" i="13"/>
  <c r="K1399" i="13"/>
  <c r="K1071" i="13"/>
  <c r="K776" i="13"/>
  <c r="K460" i="13"/>
  <c r="K26" i="13"/>
  <c r="K1300" i="13"/>
  <c r="K1112" i="13"/>
  <c r="K824" i="13"/>
  <c r="K503" i="13"/>
  <c r="K234" i="13"/>
  <c r="K1506" i="13"/>
  <c r="K1230" i="13"/>
  <c r="K880" i="13"/>
  <c r="K320" i="13"/>
  <c r="K13" i="13"/>
  <c r="K1240" i="13"/>
  <c r="K890" i="13"/>
  <c r="K642" i="13"/>
  <c r="K366" i="13"/>
  <c r="K160" i="13"/>
  <c r="K1104" i="13"/>
  <c r="K1405" i="13"/>
  <c r="K1070" i="13"/>
  <c r="K717" i="13"/>
  <c r="K327" i="13"/>
  <c r="K1502" i="13"/>
  <c r="K1253" i="13"/>
  <c r="J1509" i="13"/>
  <c r="J1501" i="13"/>
  <c r="J1362" i="13"/>
  <c r="K1264" i="13"/>
  <c r="K1098" i="13"/>
  <c r="J1008" i="13"/>
  <c r="K941" i="13"/>
  <c r="K796" i="13"/>
  <c r="J716" i="13"/>
  <c r="K658" i="13"/>
  <c r="K566" i="13"/>
  <c r="J459" i="13"/>
  <c r="J423" i="13"/>
  <c r="J396" i="13"/>
  <c r="J332" i="13"/>
  <c r="J282" i="13"/>
  <c r="J229" i="13"/>
  <c r="J181" i="13"/>
  <c r="J79" i="13"/>
  <c r="J4" i="13"/>
  <c r="J1460" i="13"/>
  <c r="J1412" i="13"/>
  <c r="J1352" i="13"/>
  <c r="J1292" i="13"/>
  <c r="J1148" i="13"/>
  <c r="J1089" i="13"/>
  <c r="J983" i="13"/>
  <c r="J893" i="13"/>
  <c r="J837" i="13"/>
  <c r="J777" i="13"/>
  <c r="J689" i="13"/>
  <c r="J610" i="13"/>
  <c r="J530" i="13"/>
  <c r="J466" i="13"/>
  <c r="J350" i="13"/>
  <c r="J300" i="13"/>
  <c r="J172" i="13"/>
  <c r="J36" i="13"/>
  <c r="J1529" i="13"/>
  <c r="J1447" i="13"/>
  <c r="J1410" i="13"/>
  <c r="J1305" i="13"/>
  <c r="J1258" i="13"/>
  <c r="J1219" i="13"/>
  <c r="J1166" i="13"/>
  <c r="J1115" i="13"/>
  <c r="J1053" i="13"/>
  <c r="J1009" i="13"/>
  <c r="J903" i="13"/>
  <c r="J838" i="13"/>
  <c r="J747" i="13"/>
  <c r="J671" i="13"/>
  <c r="J581" i="13"/>
  <c r="J515" i="13"/>
  <c r="J455" i="13"/>
  <c r="J349" i="13"/>
  <c r="J290" i="13"/>
  <c r="J235" i="13"/>
  <c r="J175" i="13"/>
  <c r="J104" i="13"/>
  <c r="J62" i="13"/>
  <c r="J1507" i="13"/>
  <c r="J1466" i="13"/>
  <c r="J1386" i="13"/>
  <c r="J1283" i="13"/>
  <c r="J1235" i="13"/>
  <c r="J1140" i="13"/>
  <c r="J1076" i="13"/>
  <c r="J955" i="13"/>
  <c r="J882" i="13"/>
  <c r="J784" i="13"/>
  <c r="J702" i="13"/>
  <c r="J590" i="13"/>
  <c r="J380" i="13"/>
  <c r="J266" i="13"/>
  <c r="J220" i="13"/>
  <c r="J131" i="13"/>
  <c r="J65" i="13"/>
  <c r="J1472" i="13"/>
  <c r="J1382" i="13"/>
  <c r="J1291" i="13"/>
  <c r="J1246" i="13"/>
  <c r="J1173" i="13"/>
  <c r="J1065" i="13"/>
  <c r="J988" i="13"/>
  <c r="J901" i="13"/>
  <c r="J820" i="13"/>
  <c r="J764" i="13"/>
  <c r="J693" i="13"/>
  <c r="J657" i="13"/>
  <c r="J611" i="13"/>
  <c r="J532" i="13"/>
  <c r="J434" i="13"/>
  <c r="J381" i="13"/>
  <c r="J335" i="13"/>
  <c r="J275" i="13"/>
  <c r="J208" i="13"/>
  <c r="J166" i="13"/>
  <c r="J115" i="13"/>
  <c r="J46" i="13"/>
  <c r="J1380" i="13"/>
  <c r="J1114" i="13"/>
  <c r="J881" i="13"/>
  <c r="J571" i="13"/>
  <c r="J126" i="13"/>
  <c r="J1418" i="13"/>
  <c r="J1342" i="13"/>
  <c r="J1251" i="13"/>
  <c r="J1171" i="13"/>
  <c r="J1072" i="13"/>
  <c r="J956" i="13"/>
  <c r="J897" i="13"/>
  <c r="J768" i="13"/>
  <c r="J720" i="13"/>
  <c r="J645" i="13"/>
  <c r="J550" i="13"/>
  <c r="J479" i="13"/>
  <c r="J345" i="13"/>
  <c r="J222" i="13"/>
  <c r="J122" i="13"/>
  <c r="J45" i="13"/>
  <c r="J1510" i="13"/>
  <c r="J1403" i="13"/>
  <c r="J1346" i="13"/>
  <c r="J1315" i="13"/>
  <c r="J1261" i="13"/>
  <c r="J1207" i="13"/>
  <c r="J1175" i="13"/>
  <c r="J1129" i="13"/>
  <c r="J1007" i="13"/>
  <c r="J934" i="13"/>
  <c r="J906" i="13"/>
  <c r="J859" i="13"/>
  <c r="J765" i="13"/>
  <c r="J706" i="13"/>
  <c r="J659" i="13"/>
  <c r="J622" i="13"/>
  <c r="J568" i="13"/>
  <c r="J504" i="13"/>
  <c r="J471" i="13"/>
  <c r="J417" i="13"/>
  <c r="J357" i="13"/>
  <c r="J280" i="13"/>
  <c r="J189" i="13"/>
  <c r="J120" i="13"/>
  <c r="J77" i="13"/>
  <c r="J42" i="13"/>
  <c r="J1514" i="13"/>
  <c r="J1381" i="13"/>
  <c r="J1308" i="13"/>
  <c r="J1169" i="13"/>
  <c r="J1066" i="13"/>
  <c r="J1025" i="13"/>
  <c r="J922" i="13"/>
  <c r="J844" i="13"/>
  <c r="J792" i="13"/>
  <c r="J628" i="13"/>
  <c r="J559" i="13"/>
  <c r="J484" i="13"/>
  <c r="K1198" i="13"/>
  <c r="K364" i="13"/>
  <c r="K270" i="13"/>
  <c r="K185" i="13"/>
  <c r="K143" i="13"/>
  <c r="K47" i="13"/>
  <c r="J391" i="13"/>
  <c r="J297" i="13"/>
  <c r="J252" i="13"/>
  <c r="J149" i="13"/>
  <c r="J86" i="13"/>
  <c r="J1532" i="13"/>
  <c r="J1456" i="13"/>
  <c r="J1388" i="13"/>
  <c r="J1302" i="13"/>
  <c r="J1226" i="13"/>
  <c r="J1097" i="13"/>
  <c r="J1052" i="13"/>
  <c r="J1003" i="13"/>
  <c r="J980" i="13"/>
  <c r="J933" i="13"/>
  <c r="J746" i="13"/>
  <c r="J683" i="13"/>
  <c r="J588" i="13"/>
  <c r="J514" i="13"/>
  <c r="J450" i="13"/>
  <c r="J373" i="13"/>
  <c r="J341" i="13"/>
  <c r="J212" i="13"/>
  <c r="J146" i="13"/>
  <c r="J96" i="13"/>
  <c r="K436" i="13"/>
  <c r="K1000" i="13"/>
  <c r="K908" i="13"/>
  <c r="K865" i="13"/>
  <c r="K751" i="13"/>
  <c r="K697" i="13"/>
  <c r="K626" i="13"/>
  <c r="K593" i="13"/>
  <c r="K518" i="13"/>
  <c r="K468" i="13"/>
  <c r="K415" i="13"/>
  <c r="K346" i="13"/>
  <c r="K279" i="13"/>
  <c r="K164" i="13"/>
  <c r="K101" i="13"/>
  <c r="K52" i="13"/>
  <c r="K27" i="13"/>
  <c r="K1453" i="13"/>
  <c r="K1350" i="13"/>
  <c r="K1212" i="13"/>
  <c r="K1106" i="13"/>
  <c r="K1045" i="13"/>
  <c r="K952" i="13"/>
  <c r="K855" i="13"/>
  <c r="K812" i="13"/>
  <c r="K740" i="13"/>
  <c r="K575" i="13"/>
  <c r="K519" i="13"/>
  <c r="K438" i="13"/>
  <c r="K388" i="13"/>
  <c r="K292" i="13"/>
  <c r="K236" i="13"/>
  <c r="K121" i="13"/>
  <c r="K83" i="13"/>
  <c r="K1527" i="13"/>
  <c r="K1442" i="13"/>
  <c r="K1374" i="13"/>
  <c r="K1290" i="13"/>
  <c r="K1199" i="13"/>
  <c r="K1084" i="13"/>
  <c r="K1049" i="13"/>
  <c r="K999" i="13"/>
  <c r="K977" i="13"/>
  <c r="K931" i="13"/>
  <c r="K798" i="13"/>
  <c r="K733" i="13"/>
  <c r="K666" i="13"/>
  <c r="K574" i="13"/>
  <c r="K512" i="13"/>
  <c r="K446" i="13"/>
  <c r="K367" i="13"/>
  <c r="K336" i="13"/>
  <c r="K188" i="13"/>
  <c r="K145" i="13"/>
  <c r="K82" i="13"/>
  <c r="K850" i="13"/>
  <c r="K40" i="13"/>
  <c r="J1073" i="13"/>
  <c r="J763" i="13"/>
  <c r="J539" i="13"/>
  <c r="J256" i="13"/>
  <c r="J23" i="13"/>
  <c r="J577" i="13"/>
  <c r="K489" i="13"/>
  <c r="K866" i="13"/>
  <c r="K1437" i="13"/>
  <c r="K81" i="13"/>
  <c r="K443" i="13"/>
  <c r="K1312" i="13"/>
  <c r="K1511" i="13"/>
  <c r="J98" i="13"/>
  <c r="K1313" i="13"/>
  <c r="K237" i="13"/>
  <c r="K778" i="13"/>
  <c r="K1142" i="13"/>
  <c r="K156" i="13"/>
  <c r="K387" i="13"/>
  <c r="K731" i="13"/>
  <c r="K1015" i="13"/>
  <c r="K14" i="13"/>
  <c r="K433" i="13"/>
  <c r="K8" i="13"/>
  <c r="K1281" i="13"/>
  <c r="K1105" i="13"/>
  <c r="K801" i="13"/>
  <c r="K482" i="13"/>
  <c r="K221" i="13"/>
  <c r="K1490" i="13"/>
  <c r="K1194" i="13"/>
  <c r="K841" i="13"/>
  <c r="K305" i="13"/>
  <c r="K1516" i="13"/>
  <c r="K1223" i="13"/>
  <c r="K848" i="13"/>
  <c r="K632" i="13"/>
  <c r="K356" i="13"/>
  <c r="K135" i="13"/>
  <c r="K1051" i="13"/>
  <c r="K1383" i="13"/>
  <c r="K1002" i="13"/>
  <c r="K691" i="13"/>
  <c r="K315" i="13"/>
  <c r="K1474" i="13"/>
  <c r="K1228" i="13"/>
  <c r="K996" i="13"/>
  <c r="K732" i="13"/>
  <c r="K541" i="13"/>
  <c r="K326" i="13"/>
  <c r="K56" i="13"/>
  <c r="K1245" i="13"/>
  <c r="K829" i="13"/>
  <c r="K551" i="13"/>
  <c r="K251" i="13"/>
  <c r="K1469" i="13"/>
  <c r="K1159" i="13"/>
  <c r="K935" i="13"/>
  <c r="K599" i="13"/>
  <c r="K1512" i="13"/>
  <c r="K1294" i="13"/>
  <c r="K1028" i="13"/>
  <c r="K762" i="13"/>
  <c r="K537" i="13"/>
  <c r="K331" i="13"/>
  <c r="K75" i="13"/>
  <c r="K1348" i="13"/>
  <c r="K978" i="13"/>
  <c r="K688" i="13"/>
  <c r="K339" i="13"/>
  <c r="K1528" i="13"/>
  <c r="K1255" i="13"/>
  <c r="K1046" i="13"/>
  <c r="K741" i="13"/>
  <c r="K454" i="13"/>
  <c r="K169" i="13"/>
  <c r="K1462" i="13"/>
  <c r="K1134" i="13"/>
  <c r="K774" i="13"/>
  <c r="K247" i="13"/>
  <c r="K1463" i="13"/>
  <c r="K1137" i="13"/>
  <c r="K818" i="13"/>
  <c r="K605" i="13"/>
  <c r="K319" i="13"/>
  <c r="K84" i="13"/>
  <c r="K876" i="13"/>
  <c r="K1335" i="13"/>
  <c r="K953" i="13"/>
  <c r="K644" i="13"/>
  <c r="K211" i="13"/>
  <c r="K1402" i="13"/>
  <c r="K1205" i="13"/>
  <c r="K1519" i="13"/>
  <c r="K1475" i="13"/>
  <c r="K1362" i="13"/>
  <c r="K1233" i="13"/>
  <c r="J1102" i="13"/>
  <c r="K1008" i="13"/>
  <c r="K874" i="13"/>
  <c r="J767" i="13"/>
  <c r="K716" i="13"/>
  <c r="K604" i="13"/>
  <c r="J538" i="13"/>
  <c r="K459" i="13"/>
  <c r="K423" i="13"/>
  <c r="K396" i="13"/>
  <c r="K332" i="13"/>
  <c r="K282" i="13"/>
  <c r="K229" i="13"/>
  <c r="K181" i="13"/>
  <c r="K79" i="13"/>
  <c r="K4" i="13"/>
  <c r="K1460" i="13"/>
  <c r="K1412" i="13"/>
  <c r="K1352" i="13"/>
  <c r="K1292" i="13"/>
  <c r="K1148" i="13"/>
  <c r="K1089" i="13"/>
  <c r="K983" i="13"/>
  <c r="K893" i="13"/>
  <c r="K837" i="13"/>
  <c r="K777" i="13"/>
  <c r="K689" i="13"/>
  <c r="K610" i="13"/>
  <c r="K530" i="13"/>
  <c r="K466" i="13"/>
  <c r="K350" i="13"/>
  <c r="K300" i="13"/>
  <c r="K172" i="13"/>
  <c r="K36" i="13"/>
  <c r="K1529" i="13"/>
  <c r="K1447" i="13"/>
  <c r="K1410" i="13"/>
  <c r="K1305" i="13"/>
  <c r="K1258" i="13"/>
  <c r="K1219" i="13"/>
  <c r="K1166" i="13"/>
  <c r="K1115" i="13"/>
  <c r="K1053" i="13"/>
  <c r="K1009" i="13"/>
  <c r="K903" i="13"/>
  <c r="K838" i="13"/>
  <c r="K747" i="13"/>
  <c r="K671" i="13"/>
  <c r="K581" i="13"/>
  <c r="K515" i="13"/>
  <c r="K455" i="13"/>
  <c r="K349" i="13"/>
  <c r="K290" i="13"/>
  <c r="K235" i="13"/>
  <c r="K175" i="13"/>
  <c r="K104" i="13"/>
  <c r="K62" i="13"/>
  <c r="K1507" i="13"/>
  <c r="K1466" i="13"/>
  <c r="K1386" i="13"/>
  <c r="K1283" i="13"/>
  <c r="K1235" i="13"/>
  <c r="K1140" i="13"/>
  <c r="K1076" i="13"/>
  <c r="K955" i="13"/>
  <c r="K882" i="13"/>
  <c r="K784" i="13"/>
  <c r="K702" i="13"/>
  <c r="K590" i="13"/>
  <c r="K380" i="13"/>
  <c r="K266" i="13"/>
  <c r="K220" i="13"/>
  <c r="K131" i="13"/>
  <c r="K65" i="13"/>
  <c r="K1472" i="13"/>
  <c r="K1382" i="13"/>
  <c r="K1291" i="13"/>
  <c r="K1246" i="13"/>
  <c r="K1173" i="13"/>
  <c r="K1065" i="13"/>
  <c r="K988" i="13"/>
  <c r="K901" i="13"/>
  <c r="K820" i="13"/>
  <c r="K764" i="13"/>
  <c r="K693" i="13"/>
  <c r="K657" i="13"/>
  <c r="K611" i="13"/>
  <c r="K532" i="13"/>
  <c r="K434" i="13"/>
  <c r="K381" i="13"/>
  <c r="K335" i="13"/>
  <c r="K275" i="13"/>
  <c r="K208" i="13"/>
  <c r="K166" i="13"/>
  <c r="K115" i="13"/>
  <c r="K46" i="13"/>
  <c r="K1380" i="13"/>
  <c r="K1114" i="13"/>
  <c r="K881" i="13"/>
  <c r="K571" i="13"/>
  <c r="K126" i="13"/>
  <c r="K1418" i="13"/>
  <c r="K1342" i="13"/>
  <c r="K1251" i="13"/>
  <c r="K1171" i="13"/>
  <c r="K1072" i="13"/>
  <c r="K956" i="13"/>
  <c r="K897" i="13"/>
  <c r="K768" i="13"/>
  <c r="K720" i="13"/>
  <c r="K645" i="13"/>
  <c r="K550" i="13"/>
  <c r="K479" i="13"/>
  <c r="K345" i="13"/>
  <c r="K222" i="13"/>
  <c r="K122" i="13"/>
  <c r="K45" i="13"/>
  <c r="K1510" i="13"/>
  <c r="K1403" i="13"/>
  <c r="K1346" i="13"/>
  <c r="K1315" i="13"/>
  <c r="K1261" i="13"/>
  <c r="K1207" i="13"/>
  <c r="K1175" i="13"/>
  <c r="K1129" i="13"/>
  <c r="K1007" i="13"/>
  <c r="K934" i="13"/>
  <c r="K906" i="13"/>
  <c r="K859" i="13"/>
  <c r="K765" i="13"/>
  <c r="K706" i="13"/>
  <c r="K659" i="13"/>
  <c r="K622" i="13"/>
  <c r="K568" i="13"/>
  <c r="K504" i="13"/>
  <c r="K471" i="13"/>
  <c r="K417" i="13"/>
  <c r="K357" i="13"/>
  <c r="K280" i="13"/>
  <c r="K189" i="13"/>
  <c r="K120" i="13"/>
  <c r="K77" i="13"/>
  <c r="K42" i="13"/>
  <c r="K1514" i="13"/>
  <c r="K1381" i="13"/>
  <c r="K1308" i="13"/>
  <c r="K1169" i="13"/>
  <c r="K1066" i="13"/>
  <c r="K1025" i="13"/>
  <c r="K922" i="13"/>
  <c r="K844" i="13"/>
  <c r="K792" i="13"/>
  <c r="K628" i="13"/>
  <c r="K559" i="13"/>
  <c r="K484" i="13"/>
  <c r="K1047" i="13"/>
  <c r="J353" i="13"/>
  <c r="J213" i="13"/>
  <c r="J147" i="13"/>
  <c r="J113" i="13"/>
  <c r="J17" i="13"/>
  <c r="K391" i="13"/>
  <c r="K297" i="13"/>
  <c r="K252" i="13"/>
  <c r="K149" i="13"/>
  <c r="K86" i="13"/>
  <c r="K1532" i="13"/>
  <c r="K1456" i="13"/>
  <c r="K1388" i="13"/>
  <c r="K1302" i="13"/>
  <c r="K1226" i="13"/>
  <c r="K1097" i="13"/>
  <c r="K1052" i="13"/>
  <c r="K1003" i="13"/>
  <c r="K980" i="13"/>
  <c r="K933" i="13"/>
  <c r="K746" i="13"/>
  <c r="K683" i="13"/>
  <c r="K588" i="13"/>
  <c r="K514" i="13"/>
  <c r="K450" i="13"/>
  <c r="K373" i="13"/>
  <c r="K341" i="13"/>
  <c r="K212" i="13"/>
  <c r="K146" i="13"/>
  <c r="K96" i="13"/>
  <c r="J1055" i="13"/>
  <c r="J948" i="13"/>
  <c r="J904" i="13"/>
  <c r="J794" i="13"/>
  <c r="J724" i="13"/>
  <c r="J651" i="13"/>
  <c r="J617" i="13"/>
  <c r="J561" i="13"/>
  <c r="J502" i="13"/>
  <c r="J426" i="13"/>
  <c r="J374" i="13"/>
  <c r="J310" i="13"/>
  <c r="J191" i="13"/>
  <c r="J91" i="13"/>
  <c r="J63" i="13"/>
  <c r="J37" i="13"/>
  <c r="J1504" i="13"/>
  <c r="J1373" i="13"/>
  <c r="J1260" i="13"/>
  <c r="J1158" i="13"/>
  <c r="J1063" i="13"/>
  <c r="J1026" i="13"/>
  <c r="J902" i="13"/>
  <c r="J835" i="13"/>
  <c r="J791" i="13"/>
  <c r="J615" i="13"/>
  <c r="J554" i="13"/>
  <c r="J472" i="13"/>
  <c r="J410" i="13"/>
  <c r="J328" i="13"/>
  <c r="J263" i="13"/>
  <c r="J165" i="13"/>
  <c r="J110" i="13"/>
  <c r="J16" i="13"/>
  <c r="J1492" i="13"/>
  <c r="J1422" i="13"/>
  <c r="J1360" i="13"/>
  <c r="J1236" i="13"/>
  <c r="J1188" i="13"/>
  <c r="J984" i="13"/>
  <c r="J957" i="13"/>
  <c r="J836" i="13"/>
  <c r="J712" i="13"/>
  <c r="J476" i="13"/>
  <c r="J359" i="13"/>
  <c r="J141" i="13"/>
  <c r="K1465" i="13"/>
  <c r="K726" i="13"/>
  <c r="K1252" i="13"/>
  <c r="K414" i="13"/>
  <c r="K709" i="13"/>
  <c r="K739" i="13"/>
  <c r="K803" i="13"/>
  <c r="K819" i="13"/>
  <c r="K197" i="13"/>
  <c r="K681" i="13"/>
  <c r="K1143" i="13"/>
  <c r="K1416" i="13"/>
  <c r="K1473" i="13"/>
  <c r="K451" i="13"/>
  <c r="K879" i="13"/>
  <c r="K1218" i="13"/>
  <c r="K97" i="13"/>
  <c r="K216" i="13"/>
  <c r="K531" i="13"/>
  <c r="K1229" i="13"/>
  <c r="K1340" i="13"/>
  <c r="K1321" i="13"/>
  <c r="J864" i="13"/>
  <c r="K538" i="13"/>
  <c r="J313" i="13"/>
  <c r="J29" i="13"/>
  <c r="J1331" i="13"/>
  <c r="J963" i="13"/>
  <c r="J652" i="13"/>
  <c r="J317" i="13"/>
  <c r="J1503" i="13"/>
  <c r="J1247" i="13"/>
  <c r="J1036" i="13"/>
  <c r="J703" i="13"/>
  <c r="J409" i="13"/>
  <c r="J154" i="13"/>
  <c r="J1427" i="13"/>
  <c r="J1111" i="13"/>
  <c r="J735" i="13"/>
  <c r="J239" i="13"/>
  <c r="J1444" i="13"/>
  <c r="J1121" i="13"/>
  <c r="J793" i="13"/>
  <c r="J557" i="13"/>
  <c r="J295" i="13"/>
  <c r="J74" i="13"/>
  <c r="J809" i="13"/>
  <c r="J1314" i="13"/>
  <c r="J925" i="13"/>
  <c r="J624" i="13"/>
  <c r="J159" i="13"/>
  <c r="J1396" i="13"/>
  <c r="J1193" i="13"/>
  <c r="J915" i="13"/>
  <c r="J678" i="13"/>
  <c r="J481" i="13"/>
  <c r="J250" i="13"/>
  <c r="J30" i="13"/>
  <c r="J1141" i="13"/>
  <c r="J815" i="13"/>
  <c r="K1518" i="13"/>
  <c r="K147" i="13"/>
  <c r="J268" i="13"/>
  <c r="J1493" i="13"/>
  <c r="J1189" i="13"/>
  <c r="J966" i="13"/>
  <c r="J543" i="13"/>
  <c r="J262" i="13"/>
  <c r="K1055" i="13"/>
  <c r="K724" i="13"/>
  <c r="K502" i="13"/>
  <c r="K191" i="13"/>
  <c r="K1504" i="13"/>
  <c r="K1063" i="13"/>
  <c r="K791" i="13"/>
  <c r="K410" i="13"/>
  <c r="K110" i="13"/>
  <c r="K1360" i="13"/>
  <c r="K1014" i="13"/>
  <c r="K763" i="13"/>
  <c r="K476" i="13"/>
  <c r="K163" i="13"/>
  <c r="K348" i="13"/>
  <c r="J382" i="13"/>
  <c r="J744" i="13"/>
  <c r="J1279" i="13"/>
  <c r="J470" i="13"/>
  <c r="J1179" i="13"/>
  <c r="J1515" i="13"/>
  <c r="J629" i="13"/>
  <c r="J1024" i="13"/>
  <c r="J684" i="13"/>
  <c r="J1221" i="13"/>
  <c r="J536" i="13"/>
  <c r="J1224" i="13"/>
  <c r="J333" i="13"/>
  <c r="J986" i="13"/>
  <c r="K480" i="13"/>
  <c r="K310" i="13"/>
  <c r="K835" i="13"/>
  <c r="K1422" i="13"/>
  <c r="K539" i="13"/>
  <c r="K158" i="13"/>
  <c r="K241" i="13"/>
  <c r="K560" i="13"/>
  <c r="K1316" i="13"/>
  <c r="K1397" i="13"/>
  <c r="K485" i="13"/>
  <c r="K817" i="13"/>
  <c r="K1056" i="13"/>
  <c r="K1232" i="13"/>
  <c r="K272" i="13"/>
  <c r="K607" i="13"/>
  <c r="K991" i="13"/>
  <c r="K1363" i="13"/>
  <c r="K1357" i="13"/>
  <c r="K273" i="13"/>
  <c r="K871" i="13"/>
  <c r="K1167" i="13"/>
  <c r="J1196" i="13"/>
  <c r="K767" i="13"/>
  <c r="J432" i="13"/>
  <c r="J243" i="13"/>
  <c r="J1489" i="13"/>
  <c r="J1213" i="13"/>
  <c r="J851" i="13"/>
  <c r="J580" i="13"/>
  <c r="J219" i="13"/>
  <c r="J1431" i="13"/>
  <c r="J1203" i="13"/>
  <c r="J928" i="13"/>
  <c r="J643" i="13"/>
  <c r="J321" i="13"/>
  <c r="J72" i="13"/>
  <c r="J1326" i="13"/>
  <c r="J1019" i="13"/>
  <c r="J647" i="13"/>
  <c r="J183" i="13"/>
  <c r="J1324" i="13"/>
  <c r="J1020" i="13"/>
  <c r="J719" i="13"/>
  <c r="J496" i="13"/>
  <c r="J264" i="13"/>
  <c r="J11" i="13"/>
  <c r="J378" i="13"/>
  <c r="J1204" i="13"/>
  <c r="J839" i="13"/>
  <c r="J499" i="13"/>
  <c r="J80" i="13"/>
  <c r="J1332" i="13"/>
  <c r="J1153" i="13"/>
  <c r="J877" i="13"/>
  <c r="J630" i="13"/>
  <c r="J428" i="13"/>
  <c r="J180" i="13"/>
  <c r="J1464" i="13"/>
  <c r="J1048" i="13"/>
  <c r="J759" i="13"/>
  <c r="K870" i="13"/>
  <c r="K113" i="13"/>
  <c r="J176" i="13"/>
  <c r="J1430" i="13"/>
  <c r="J1080" i="13"/>
  <c r="J886" i="13"/>
  <c r="J486" i="13"/>
  <c r="J174" i="13"/>
  <c r="K948" i="13"/>
  <c r="K651" i="13"/>
  <c r="K426" i="13"/>
  <c r="K91" i="13"/>
  <c r="K1373" i="13"/>
  <c r="K1026" i="13"/>
  <c r="K615" i="13"/>
  <c r="K328" i="13"/>
  <c r="K16" i="13"/>
  <c r="K1236" i="13"/>
  <c r="K984" i="13"/>
  <c r="K712" i="13"/>
  <c r="K418" i="13"/>
  <c r="K141" i="13"/>
  <c r="K677" i="13"/>
  <c r="K969" i="13"/>
  <c r="J1389" i="13"/>
  <c r="J429" i="13"/>
  <c r="J1099" i="13"/>
  <c r="J217" i="13"/>
  <c r="J831" i="13"/>
  <c r="J1214" i="13"/>
  <c r="J355" i="13"/>
  <c r="J1372" i="13"/>
  <c r="J298" i="13"/>
  <c r="J990" i="13"/>
  <c r="J55" i="13"/>
  <c r="J520" i="13"/>
  <c r="J58" i="13"/>
  <c r="J620" i="13"/>
  <c r="K794" i="13"/>
  <c r="K37" i="13"/>
  <c r="K472" i="13"/>
  <c r="K1073" i="13"/>
  <c r="K256" i="13"/>
  <c r="K1433" i="13"/>
  <c r="K1454" i="13"/>
  <c r="K307" i="13"/>
  <c r="K943" i="13"/>
  <c r="K1201" i="13"/>
  <c r="K254" i="13"/>
  <c r="K448" i="13"/>
  <c r="K813" i="13"/>
  <c r="K968" i="13"/>
  <c r="K3" i="13"/>
  <c r="K293" i="13"/>
  <c r="K655" i="13"/>
  <c r="K1041" i="13"/>
  <c r="K1050" i="13"/>
  <c r="K28" i="13"/>
  <c r="K542" i="13"/>
  <c r="J1508" i="13"/>
  <c r="K1102" i="13"/>
  <c r="K705" i="13"/>
  <c r="J407" i="13"/>
  <c r="J199" i="13"/>
  <c r="J1441" i="13"/>
  <c r="J1122" i="13"/>
  <c r="J805" i="13"/>
  <c r="J521" i="13"/>
  <c r="J61" i="13"/>
  <c r="J1376" i="13"/>
  <c r="J1133" i="13"/>
  <c r="J875" i="13"/>
  <c r="J553" i="13"/>
  <c r="J255" i="13"/>
  <c r="J33" i="13"/>
  <c r="J1271" i="13"/>
  <c r="J895" i="13"/>
  <c r="J516" i="13"/>
  <c r="J138" i="13"/>
  <c r="J1277" i="13"/>
  <c r="J939" i="13"/>
  <c r="J674" i="13"/>
  <c r="J400" i="13"/>
  <c r="J196" i="13"/>
  <c r="J1206" i="13"/>
  <c r="J1495" i="13"/>
  <c r="J1108" i="13"/>
  <c r="J734" i="13"/>
  <c r="J393" i="13"/>
  <c r="J1536" i="13"/>
  <c r="J1299" i="13"/>
  <c r="J1064" i="13"/>
  <c r="J802" i="13"/>
  <c r="J600" i="13"/>
  <c r="J372" i="13"/>
  <c r="J103" i="13"/>
  <c r="J1361" i="13"/>
  <c r="J972" i="13"/>
  <c r="J576" i="13"/>
  <c r="K353" i="13"/>
  <c r="K17" i="13"/>
  <c r="J111" i="13"/>
  <c r="J1365" i="13"/>
  <c r="J1032" i="13"/>
  <c r="J723" i="13"/>
  <c r="J422" i="13"/>
  <c r="J142" i="13"/>
  <c r="K904" i="13"/>
  <c r="K617" i="13"/>
  <c r="K374" i="13"/>
  <c r="K63" i="13"/>
  <c r="K1260" i="13"/>
  <c r="K902" i="13"/>
  <c r="K554" i="13"/>
  <c r="K263" i="13"/>
  <c r="K1492" i="13"/>
  <c r="K1188" i="13"/>
  <c r="K957" i="13"/>
  <c r="K616" i="13"/>
  <c r="K359" i="13"/>
  <c r="K23" i="13"/>
  <c r="K1125" i="13"/>
  <c r="K1130" i="13"/>
  <c r="K76" i="13"/>
  <c r="K631" i="13"/>
  <c r="K920" i="13"/>
  <c r="K31" i="13"/>
  <c r="K150" i="13"/>
  <c r="K517" i="13"/>
  <c r="K715" i="13"/>
  <c r="K1275" i="13"/>
  <c r="K1445" i="13"/>
  <c r="K750" i="13"/>
  <c r="K473" i="13"/>
  <c r="K119" i="13"/>
  <c r="J1457" i="13"/>
  <c r="J592" i="13"/>
  <c r="J132" i="13"/>
  <c r="J1016" i="13"/>
  <c r="J7" i="13"/>
  <c r="J790" i="13"/>
  <c r="J1484" i="13"/>
  <c r="J304" i="13"/>
  <c r="J845" i="13"/>
  <c r="J136" i="13"/>
  <c r="J1001" i="13"/>
  <c r="J1448" i="13"/>
  <c r="J728" i="13"/>
  <c r="J312" i="13"/>
  <c r="J858" i="13"/>
  <c r="K213" i="13"/>
  <c r="J1237" i="13"/>
  <c r="J360" i="13"/>
  <c r="K561" i="13"/>
  <c r="K1158" i="13"/>
  <c r="K165" i="13"/>
  <c r="K836" i="13"/>
  <c r="K37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<sst xmlns="http://schemas.openxmlformats.org/spreadsheetml/2006/main" count="21990" uniqueCount="5732">
  <si>
    <t>Name</t>
  </si>
  <si>
    <t>Native</t>
  </si>
  <si>
    <t>Status</t>
  </si>
  <si>
    <t>City / District / County</t>
  </si>
  <si>
    <t>Population</t>
  </si>
  <si>
    <t>Bàhé Zhèn</t>
  </si>
  <si>
    <t>坝河镇</t>
  </si>
  <si>
    <t>Town</t>
  </si>
  <si>
    <t>Hànbīn Qū</t>
  </si>
  <si>
    <t>Báijiā Xiāng</t>
  </si>
  <si>
    <t>白家乡</t>
  </si>
  <si>
    <t>Rural Township</t>
  </si>
  <si>
    <t>Zhènpíng Xiàn</t>
  </si>
  <si>
    <t>Báiliŭ Zhèn [incl. Zhāngpíng Xiāng]</t>
  </si>
  <si>
    <t>白柳镇</t>
  </si>
  <si>
    <t>Xúnyáng Xiàn</t>
  </si>
  <si>
    <t>Bājiāo Xiāng</t>
  </si>
  <si>
    <t>芭蕉乡</t>
  </si>
  <si>
    <t>Zĭyáng Xiàn</t>
  </si>
  <si>
    <t>Bāntáo Zhèn [→ Huíshuĭ Zhèn, Jièlĭng Zhèn]</t>
  </si>
  <si>
    <t>斑桃镇</t>
  </si>
  <si>
    <t>Bāxiān Zhèn</t>
  </si>
  <si>
    <t>八仙镇</t>
  </si>
  <si>
    <t>Pínglì Xiàn</t>
  </si>
  <si>
    <t>Cāngshàng Zhèn</t>
  </si>
  <si>
    <t>仓上镇</t>
  </si>
  <si>
    <t>Báihé Xiàn</t>
  </si>
  <si>
    <t>Cháng'ān Zhèn</t>
  </si>
  <si>
    <t>长安镇</t>
  </si>
  <si>
    <t>Chángyáng Xiāng</t>
  </si>
  <si>
    <t>长阳乡</t>
  </si>
  <si>
    <t>Shíquán Xiàn</t>
  </si>
  <si>
    <t>Chéngguān Zhèn</t>
  </si>
  <si>
    <t>城关镇</t>
  </si>
  <si>
    <t>Hànyīn Xiàn</t>
  </si>
  <si>
    <t>Níngshăn Xiàn</t>
  </si>
  <si>
    <t>Lángāo Xiàn</t>
  </si>
  <si>
    <t>Chíhé Zhèn</t>
  </si>
  <si>
    <t>池河镇</t>
  </si>
  <si>
    <t>Cígōu Zhèn [incl. Dōngzhèn Xiāng]</t>
  </si>
  <si>
    <t>茨沟镇</t>
  </si>
  <si>
    <t>Dàdàohé Zhèn</t>
  </si>
  <si>
    <t>大道河镇</t>
  </si>
  <si>
    <t>Dàguì Zhèn</t>
  </si>
  <si>
    <t>大贵镇</t>
  </si>
  <si>
    <t>Dàhé Zhèn</t>
  </si>
  <si>
    <t>大河镇</t>
  </si>
  <si>
    <t>Dàshuāng Xiāng</t>
  </si>
  <si>
    <t>大双乡</t>
  </si>
  <si>
    <t>Dàtóng Zhèn</t>
  </si>
  <si>
    <t>大同镇</t>
  </si>
  <si>
    <t>Dàzhúyuán Zhèn</t>
  </si>
  <si>
    <t>大竹园镇</t>
  </si>
  <si>
    <t>Dònghé Zhèn</t>
  </si>
  <si>
    <t>洞河镇</t>
  </si>
  <si>
    <t>Dōngmù Zhèn</t>
  </si>
  <si>
    <t>东木镇</t>
  </si>
  <si>
    <t>Duànjiāhé Zhèn</t>
  </si>
  <si>
    <t>段家河镇</t>
  </si>
  <si>
    <t>Gānxī Zhèn</t>
  </si>
  <si>
    <t>甘溪镇</t>
  </si>
  <si>
    <t>Gāoqiáo Zhèn</t>
  </si>
  <si>
    <t>高桥镇</t>
  </si>
  <si>
    <t>Gāotān Zhèn [incl. Guăngchéng Xiāng, Răoxī Xiāng]</t>
  </si>
  <si>
    <t>高滩镇</t>
  </si>
  <si>
    <t>Gòubā Zhèn</t>
  </si>
  <si>
    <t>构扒镇</t>
  </si>
  <si>
    <t>Gòuyuán Zhèn</t>
  </si>
  <si>
    <t>构元镇</t>
  </si>
  <si>
    <t>Guăngfó Zhèn</t>
  </si>
  <si>
    <t>广佛镇</t>
  </si>
  <si>
    <t>Guănghuòjiē Zhèn [incl. Fēngfù Xiāng]</t>
  </si>
  <si>
    <t>广货街镇</t>
  </si>
  <si>
    <t>Guānjiā Zhèn</t>
  </si>
  <si>
    <t>关家镇</t>
  </si>
  <si>
    <t>Guānkŏu Zhèn</t>
  </si>
  <si>
    <t>关口镇</t>
  </si>
  <si>
    <t>Guānmiào Zhèn</t>
  </si>
  <si>
    <t>关庙镇</t>
  </si>
  <si>
    <t>Guānyīnhé Zhèn</t>
  </si>
  <si>
    <t>观音河镇</t>
  </si>
  <si>
    <t>Guānyuán Zhèn</t>
  </si>
  <si>
    <t>官元镇</t>
  </si>
  <si>
    <t>Hànwáng Zhèn</t>
  </si>
  <si>
    <t>汉王镇</t>
  </si>
  <si>
    <t>Hànyáng Zhèn [incl. Shuāngpíng Xiāng]</t>
  </si>
  <si>
    <t>汉阳镇</t>
  </si>
  <si>
    <t>Hāopíng Zhèn</t>
  </si>
  <si>
    <t>蒿坪镇</t>
  </si>
  <si>
    <t>Héngkŏu Zhèn</t>
  </si>
  <si>
    <t>恒口镇</t>
  </si>
  <si>
    <t>Héxī Zhèn</t>
  </si>
  <si>
    <t>河西镇</t>
  </si>
  <si>
    <t>Hóngchūn Zhèn</t>
  </si>
  <si>
    <t>红椿镇</t>
  </si>
  <si>
    <t>Hóngjūn Zhèn</t>
  </si>
  <si>
    <t>红军镇</t>
  </si>
  <si>
    <t>Hóngshān Zhèn [incl. Shízhuăn Zhèn]</t>
  </si>
  <si>
    <t>洪山镇</t>
  </si>
  <si>
    <t>Hòuliŭ Zhèn [incl. Zhōngbà Xiāng]</t>
  </si>
  <si>
    <t>后柳镇</t>
  </si>
  <si>
    <t>Huángguān Zhèn</t>
  </si>
  <si>
    <t>皇冠镇</t>
  </si>
  <si>
    <t>Huàngŭ Zhèn</t>
  </si>
  <si>
    <t>焕古镇</t>
  </si>
  <si>
    <t>Huápíng Zhèn</t>
  </si>
  <si>
    <t>华坪镇</t>
  </si>
  <si>
    <t>Huíshuĭ Zhèn</t>
  </si>
  <si>
    <t>洄水镇</t>
  </si>
  <si>
    <t>Jiànchí Zhèn</t>
  </si>
  <si>
    <t>涧池镇</t>
  </si>
  <si>
    <t>Jiāngbĕi Jiēdào</t>
  </si>
  <si>
    <t>江北街道</t>
  </si>
  <si>
    <t>Urban Subdistrict</t>
  </si>
  <si>
    <t>Jiāngkŏu Zhèn</t>
  </si>
  <si>
    <t>江口镇</t>
  </si>
  <si>
    <t>Jiànmín Jiēdào</t>
  </si>
  <si>
    <t>建民街道</t>
  </si>
  <si>
    <t>Jièlĭng Zhèn</t>
  </si>
  <si>
    <t>界岭镇</t>
  </si>
  <si>
    <t>Jíhé Zhèn</t>
  </si>
  <si>
    <t>吉河镇</t>
  </si>
  <si>
    <t>Jīnchuān Xiāng</t>
  </si>
  <si>
    <t>金川乡</t>
  </si>
  <si>
    <t>Jīnchuān Zhèn</t>
  </si>
  <si>
    <t>金川镇</t>
  </si>
  <si>
    <t>Jīnzhài Zhèn</t>
  </si>
  <si>
    <t>金寨镇</t>
  </si>
  <si>
    <t>Kăzi Zhèn</t>
  </si>
  <si>
    <t>卡子镇</t>
  </si>
  <si>
    <t>Lăochéng Jiēdào</t>
  </si>
  <si>
    <t>老城街道</t>
  </si>
  <si>
    <t>Lăoxiàn Zhèn</t>
  </si>
  <si>
    <t>老县镇</t>
  </si>
  <si>
    <t>Lĕngshuĭ Zhèn [incl. Xiăoshuāng Xiāng]</t>
  </si>
  <si>
    <t>冷水镇</t>
  </si>
  <si>
    <t>Liănghé Zhèn</t>
  </si>
  <si>
    <t>两河镇</t>
  </si>
  <si>
    <t>Liáoyuán Xiāng</t>
  </si>
  <si>
    <t>燎原乡</t>
  </si>
  <si>
    <t>Lìnhé Zhèn</t>
  </si>
  <si>
    <t>蔺河镇</t>
  </si>
  <si>
    <t>Liúshuĭ Zhèn</t>
  </si>
  <si>
    <t>流水镇</t>
  </si>
  <si>
    <t>Lóngwáng Zhèn</t>
  </si>
  <si>
    <t>龙王镇</t>
  </si>
  <si>
    <t>Lǚhé Zhèn [incl. Guìhuā Xiāng]</t>
  </si>
  <si>
    <t>吕河镇</t>
  </si>
  <si>
    <t>Luòhé Zhèn</t>
  </si>
  <si>
    <t>洛河镇</t>
  </si>
  <si>
    <t>Máhŭ Zhèn</t>
  </si>
  <si>
    <t>麻虎镇</t>
  </si>
  <si>
    <t>Máliŭ Zhèn</t>
  </si>
  <si>
    <t>麻柳镇</t>
  </si>
  <si>
    <t>Máobà Zhèn [incl. Liánhé Xiāng]</t>
  </si>
  <si>
    <t>毛坝镇</t>
  </si>
  <si>
    <t>Máopíng Zhèn</t>
  </si>
  <si>
    <t>茅坪镇</t>
  </si>
  <si>
    <t>Mápíng Zhèn</t>
  </si>
  <si>
    <t>麻坪镇</t>
  </si>
  <si>
    <t>Méizi Zhèn</t>
  </si>
  <si>
    <t>梅子镇</t>
  </si>
  <si>
    <t>Mèngshílĭng Zhèn</t>
  </si>
  <si>
    <t>孟石岭镇</t>
  </si>
  <si>
    <t>Miáohé Xiāng</t>
  </si>
  <si>
    <t>苗河乡</t>
  </si>
  <si>
    <t>Mínzhŭ Zhèn [incl. Tiĕlú Xiāng]</t>
  </si>
  <si>
    <t>民主镇</t>
  </si>
  <si>
    <t>Nángōngshān Zhèn [incl. Huālĭ Zhèn, Yìhé Xiāng]</t>
  </si>
  <si>
    <t>南宫山镇</t>
  </si>
  <si>
    <t>Nánxī Xiāng</t>
  </si>
  <si>
    <t>南溪乡</t>
  </si>
  <si>
    <t>Niútí Zhèn</t>
  </si>
  <si>
    <t>牛蹄镇</t>
  </si>
  <si>
    <t>Niútóudiàn Zhèn</t>
  </si>
  <si>
    <t>牛头店镇</t>
  </si>
  <si>
    <t>Nǚwāshān Xiāng</t>
  </si>
  <si>
    <t>女娲山乡</t>
  </si>
  <si>
    <t>Píngliáng Zhèn [incl. Jiŭdiàn Zhèn]</t>
  </si>
  <si>
    <t>平梁镇</t>
  </si>
  <si>
    <t>Púxī Zhèn</t>
  </si>
  <si>
    <t>蒲溪镇</t>
  </si>
  <si>
    <t>Qiánjìn Xiāng</t>
  </si>
  <si>
    <t>前进乡</t>
  </si>
  <si>
    <t>Ráofēng Zhèn</t>
  </si>
  <si>
    <t>饶峰镇</t>
  </si>
  <si>
    <t>Rénhékŏu Zhèn</t>
  </si>
  <si>
    <t>仁河口镇</t>
  </si>
  <si>
    <t>Sānyáng Zhèn</t>
  </si>
  <si>
    <t>三阳镇</t>
  </si>
  <si>
    <t>Shàngzhú Zhèn</t>
  </si>
  <si>
    <t>上竹镇</t>
  </si>
  <si>
    <t>Shĕnbà Zhèn</t>
  </si>
  <si>
    <t>沈坝镇</t>
  </si>
  <si>
    <t>Shénhé Zhèn</t>
  </si>
  <si>
    <t>神河镇</t>
  </si>
  <si>
    <t>Shímén Zhèn [incl. Héngxī Xiāng]</t>
  </si>
  <si>
    <t>石门镇</t>
  </si>
  <si>
    <t>Shímén Zhèn</t>
  </si>
  <si>
    <t>Shítiáojiē Xiāng</t>
  </si>
  <si>
    <t>石条街乡</t>
  </si>
  <si>
    <t>Shítī Zhèn</t>
  </si>
  <si>
    <t>石梯镇</t>
  </si>
  <si>
    <t>Shuāng'ān Zhèn</t>
  </si>
  <si>
    <t>双安镇</t>
  </si>
  <si>
    <t>Shuāngfēng Zhèn [Shuānghé Xiāng]</t>
  </si>
  <si>
    <t>双丰镇</t>
  </si>
  <si>
    <t>Shuānghékŏu Zhèn [incl. Lóngyā Zhèn]</t>
  </si>
  <si>
    <t>双河口镇</t>
  </si>
  <si>
    <t>Shuānghé Zhèn [incl. Miàopíng Xiāng]</t>
  </si>
  <si>
    <t>双河镇</t>
  </si>
  <si>
    <t>Shuānglóng Zhèn</t>
  </si>
  <si>
    <t>双龙镇</t>
  </si>
  <si>
    <t>Shuāngqiáo Zhèn</t>
  </si>
  <si>
    <t>双桥镇</t>
  </si>
  <si>
    <t>Shuāngrŭ Zhèn</t>
  </si>
  <si>
    <t>双乳镇</t>
  </si>
  <si>
    <t>Shuāngxī Xiāng</t>
  </si>
  <si>
    <t>双溪乡</t>
  </si>
  <si>
    <t>Shŭhé Zhèn [incl. Lántān Xiāng]</t>
  </si>
  <si>
    <t>蜀河镇</t>
  </si>
  <si>
    <t>Shŭpíng Zhèn [incl. Xiăoshŭhé Xiāng]</t>
  </si>
  <si>
    <t>曙坪镇</t>
  </si>
  <si>
    <t>Sìjì Zhèn</t>
  </si>
  <si>
    <t>四季镇</t>
  </si>
  <si>
    <t>Sìmŭdì Zhèn</t>
  </si>
  <si>
    <t>四亩地镇</t>
  </si>
  <si>
    <t>Sìxīn Xiāng</t>
  </si>
  <si>
    <t>四新乡</t>
  </si>
  <si>
    <t>Sòngjiā Zhèn</t>
  </si>
  <si>
    <t>宋家镇</t>
  </si>
  <si>
    <t>Tàishānmiào Zhèn</t>
  </si>
  <si>
    <t>太山庙镇</t>
  </si>
  <si>
    <t>Tánbà Zhèn</t>
  </si>
  <si>
    <t>谭坝镇</t>
  </si>
  <si>
    <t>Tāngpíng Zhèn</t>
  </si>
  <si>
    <t>汤坪镇</t>
  </si>
  <si>
    <t>Tāohé Zhèn</t>
  </si>
  <si>
    <t>滔河镇</t>
  </si>
  <si>
    <t>Táoyuán Xiāng</t>
  </si>
  <si>
    <t>桃元乡</t>
  </si>
  <si>
    <t>Tiánbà Xiāng [→ Jíhé Zhèn, Yànbà Zhèn]</t>
  </si>
  <si>
    <t>田坝乡</t>
  </si>
  <si>
    <t>Tiánhé Xiāng</t>
  </si>
  <si>
    <t>田禾乡</t>
  </si>
  <si>
    <t>Tiĕfósì Zhèn</t>
  </si>
  <si>
    <t>铁佛寺镇</t>
  </si>
  <si>
    <t>Tŏngchēwān Zhèn</t>
  </si>
  <si>
    <t>筒车湾镇</t>
  </si>
  <si>
    <t>Tóngmù Zhèn</t>
  </si>
  <si>
    <t>桐木镇</t>
  </si>
  <si>
    <t>Tóngqiánguān Zhèn [incl. Chìyán Zhèn, Shāyáng Xiāng]</t>
  </si>
  <si>
    <t>铜钱关镇</t>
  </si>
  <si>
    <t>Tóngqián Xiāng</t>
  </si>
  <si>
    <t>铜钱乡</t>
  </si>
  <si>
    <t>Wămiào Zhèn</t>
  </si>
  <si>
    <t>瓦庙镇</t>
  </si>
  <si>
    <t>Wŭlĭ Zhèn [incl. Huāyuán Xiāng, Fùqiáng Xiāng]</t>
  </si>
  <si>
    <t>五里镇</t>
  </si>
  <si>
    <t>Xiāngshān Xiāng [→ Dàtóng Zhèn, Liúshuĭ Zhèn]</t>
  </si>
  <si>
    <t>香山乡</t>
  </si>
  <si>
    <t>Xiàngyáng Zhèn</t>
  </si>
  <si>
    <t>向阳镇</t>
  </si>
  <si>
    <t>Xiànhé Zhèn</t>
  </si>
  <si>
    <t>县河镇</t>
  </si>
  <si>
    <t>Xiānhé Zhèn</t>
  </si>
  <si>
    <t>仙河镇</t>
  </si>
  <si>
    <t>Xiăodào Xiāng</t>
  </si>
  <si>
    <t>晓道乡</t>
  </si>
  <si>
    <t>Xiăohé Zhèn [incl. Gōngguăn Xiāng]</t>
  </si>
  <si>
    <t>小河镇</t>
  </si>
  <si>
    <t>Xĭhé Zhèn</t>
  </si>
  <si>
    <t>喜河镇</t>
  </si>
  <si>
    <t>Xīhé Zhèn</t>
  </si>
  <si>
    <t>西河镇</t>
  </si>
  <si>
    <t>Xīnbà Xiāng</t>
  </si>
  <si>
    <t>新坝乡</t>
  </si>
  <si>
    <t>Xīnchăng Zhèn</t>
  </si>
  <si>
    <t>新场镇</t>
  </si>
  <si>
    <t>Xīnchéng Jiēdào</t>
  </si>
  <si>
    <t>新城街道</t>
  </si>
  <si>
    <t>Xīnglóng Zhèn</t>
  </si>
  <si>
    <t>兴隆镇</t>
  </si>
  <si>
    <t>Xīyíng Zhèn</t>
  </si>
  <si>
    <t>西营镇</t>
  </si>
  <si>
    <t>Xuánwō Zhèn [incl. Shàngqī Zhèn]</t>
  </si>
  <si>
    <t>漩涡镇</t>
  </si>
  <si>
    <t>Xúnyángbà Zhèn</t>
  </si>
  <si>
    <t>旬阳坝镇</t>
  </si>
  <si>
    <t>Yànbà Zhèn</t>
  </si>
  <si>
    <t>晏坝镇</t>
  </si>
  <si>
    <t>Yànmén Zhèn</t>
  </si>
  <si>
    <t>堰门镇</t>
  </si>
  <si>
    <t>Yèpíng Zhèn</t>
  </si>
  <si>
    <t>叶坪镇</t>
  </si>
  <si>
    <t>Yíngfēng Xiāng</t>
  </si>
  <si>
    <t>迎风乡</t>
  </si>
  <si>
    <t>Yíngfēng Zhèn</t>
  </si>
  <si>
    <t>迎丰镇</t>
  </si>
  <si>
    <t>Yínghú Zhèn</t>
  </si>
  <si>
    <t>瀛湖镇</t>
  </si>
  <si>
    <t>Yínlóng Xiāng</t>
  </si>
  <si>
    <t>银龙乡</t>
  </si>
  <si>
    <t>Yŏngníng Xiāng</t>
  </si>
  <si>
    <t>永宁乡</t>
  </si>
  <si>
    <t>Yùlán Xiāng</t>
  </si>
  <si>
    <t>玉岚乡</t>
  </si>
  <si>
    <t>Yùndòu Zhèn</t>
  </si>
  <si>
    <t>熨斗镇</t>
  </si>
  <si>
    <t>Yúnwùshān Zhèn</t>
  </si>
  <si>
    <t>云雾山镇</t>
  </si>
  <si>
    <t>Zăoyáng Zhèn [incl. Gòngjìn Xiāng]</t>
  </si>
  <si>
    <t>早阳镇</t>
  </si>
  <si>
    <t>Zēngjiā Zhèn [incl. Hóngshí Xiāng]</t>
  </si>
  <si>
    <t>曾家镇</t>
  </si>
  <si>
    <t>Zēngxī Zhèn</t>
  </si>
  <si>
    <t>曾溪镇</t>
  </si>
  <si>
    <t>Zhānghé Xiāng</t>
  </si>
  <si>
    <t>漳河乡</t>
  </si>
  <si>
    <t>Zhāngtān Zhèn</t>
  </si>
  <si>
    <t>张滩镇</t>
  </si>
  <si>
    <t>Zhàowān Zhèn</t>
  </si>
  <si>
    <t>赵湾镇</t>
  </si>
  <si>
    <t>Zhèngyáng Zhèn</t>
  </si>
  <si>
    <t>正阳镇</t>
  </si>
  <si>
    <t>Zhōngbăo Zhèn</t>
  </si>
  <si>
    <t>钟宝镇</t>
  </si>
  <si>
    <t>Zhōngchăng Zhèn</t>
  </si>
  <si>
    <t>中厂镇</t>
  </si>
  <si>
    <t>Zhōngchí Zhèn</t>
  </si>
  <si>
    <t>中池镇</t>
  </si>
  <si>
    <t>Zhōngyuán Zhèn</t>
  </si>
  <si>
    <t>中原镇</t>
  </si>
  <si>
    <t>Zǐjīng Zhèn [incl. Shābà Xiāng, Jīnghé Xiāng]</t>
  </si>
  <si>
    <t>紫荆镇</t>
  </si>
  <si>
    <t>Zōngxī Zhèn</t>
  </si>
  <si>
    <t>棕溪镇</t>
  </si>
  <si>
    <t>Zuŏlóng Zhèn</t>
  </si>
  <si>
    <t>佐龙镇</t>
  </si>
  <si>
    <t>Ānlè Zhèn</t>
  </si>
  <si>
    <t>安乐镇</t>
  </si>
  <si>
    <t>Qíshān Xiàn</t>
  </si>
  <si>
    <t>Bādù Zhèn</t>
  </si>
  <si>
    <t>八渡镇</t>
  </si>
  <si>
    <t>Lŏng Xiàn</t>
  </si>
  <si>
    <t>Bāyú Zhèn</t>
  </si>
  <si>
    <t>八鱼镇</t>
  </si>
  <si>
    <t>Wèibīn Qū</t>
  </si>
  <si>
    <t>Biāojiăo Zhèn</t>
  </si>
  <si>
    <t>彪角镇</t>
  </si>
  <si>
    <t>Fèngxiáng Qū</t>
  </si>
  <si>
    <t>Càijiāpō Zhèn</t>
  </si>
  <si>
    <t>蔡家坡镇</t>
  </si>
  <si>
    <t>Căobì Zhèn</t>
  </si>
  <si>
    <t>草碧镇</t>
  </si>
  <si>
    <t>Qiānyáng Xiàn</t>
  </si>
  <si>
    <t>Cáojiāwān Zhèn</t>
  </si>
  <si>
    <t>曹家湾镇</t>
  </si>
  <si>
    <t>Cáojiā Zhèn</t>
  </si>
  <si>
    <t>曹家镇</t>
  </si>
  <si>
    <t>Chángfēng Zhèn</t>
  </si>
  <si>
    <t>常丰镇</t>
  </si>
  <si>
    <t>Línyóu Xiàn</t>
  </si>
  <si>
    <t>Chángqīng Zhèn</t>
  </si>
  <si>
    <t>长青镇</t>
  </si>
  <si>
    <t>Chángxīng Zhèn [incl. Măjiā Zhèn]</t>
  </si>
  <si>
    <t>常兴镇</t>
  </si>
  <si>
    <t>Méi Xiàn</t>
  </si>
  <si>
    <t>Chéncāng Zhèn</t>
  </si>
  <si>
    <t>陈仓镇</t>
  </si>
  <si>
    <t>Jīntái Qū</t>
  </si>
  <si>
    <t>Chéncūn Zhèn</t>
  </si>
  <si>
    <t>陈村镇</t>
  </si>
  <si>
    <t>Chéngguān Jiēdào</t>
  </si>
  <si>
    <t>城关街道</t>
  </si>
  <si>
    <t>Fúfēng Xiàn</t>
  </si>
  <si>
    <t>Chìshā Zhèn</t>
  </si>
  <si>
    <t>赤沙镇</t>
  </si>
  <si>
    <t>Chéncāng Qū</t>
  </si>
  <si>
    <t>Cuījiātóu Zhèn</t>
  </si>
  <si>
    <t>崔家头镇</t>
  </si>
  <si>
    <t>Cuīmù Zhèn</t>
  </si>
  <si>
    <t>崔木镇</t>
  </si>
  <si>
    <t>Dàyíng Xiāng</t>
  </si>
  <si>
    <t>大营乡</t>
  </si>
  <si>
    <t>Diàowèi Zhèn</t>
  </si>
  <si>
    <t>钓渭镇</t>
  </si>
  <si>
    <t>Dōngfēnglù Jiēdào</t>
  </si>
  <si>
    <t>东风路街道</t>
  </si>
  <si>
    <t>Dōngfēng Zhèn</t>
  </si>
  <si>
    <t>东风镇</t>
  </si>
  <si>
    <t>Dŏngjiāhé Xiāng</t>
  </si>
  <si>
    <t>董家河乡</t>
  </si>
  <si>
    <t>Dōngnán Zhèn</t>
  </si>
  <si>
    <t>东南镇</t>
  </si>
  <si>
    <t>Duànjiā Zhèn</t>
  </si>
  <si>
    <t>段家镇</t>
  </si>
  <si>
    <t>Dùyáng Zhèn</t>
  </si>
  <si>
    <t>杜阳镇</t>
  </si>
  <si>
    <t>Fămén Zhèn</t>
  </si>
  <si>
    <t>法门镇</t>
  </si>
  <si>
    <t>Fànjiāzhài Zhèn</t>
  </si>
  <si>
    <t>范家寨镇</t>
  </si>
  <si>
    <t>Fènggélĭng Zhèn</t>
  </si>
  <si>
    <t>凤阁岭镇</t>
  </si>
  <si>
    <t>Fèngmíng Zhèn</t>
  </si>
  <si>
    <t>凤鸣镇</t>
  </si>
  <si>
    <t>Fèngzhōu Zhèn</t>
  </si>
  <si>
    <t>凤州镇</t>
  </si>
  <si>
    <t>Fèng Xiàn</t>
  </si>
  <si>
    <t>Gāojiā Zhèn [incl. Cháoyù Xiāng]</t>
  </si>
  <si>
    <t>高家镇</t>
  </si>
  <si>
    <t>Gāolóng Xiāng</t>
  </si>
  <si>
    <t>高龙乡</t>
  </si>
  <si>
    <t>Tàibái Xiàn</t>
  </si>
  <si>
    <t>Gāoyá Zhèn</t>
  </si>
  <si>
    <t>高崖镇</t>
  </si>
  <si>
    <t>Gùguān Zhèn</t>
  </si>
  <si>
    <t>固关镇</t>
  </si>
  <si>
    <t>Gùjùn Zhèn</t>
  </si>
  <si>
    <t>故郡镇</t>
  </si>
  <si>
    <t>Guōdiàn Zhèn</t>
  </si>
  <si>
    <t>郭店镇</t>
  </si>
  <si>
    <t>Guówáng Zhèn</t>
  </si>
  <si>
    <t>虢王镇</t>
  </si>
  <si>
    <t>Guózhèn Jiēdào [ncl. Dōngguān Jiēdào, Qiānwèi Jiēdào]</t>
  </si>
  <si>
    <t>虢镇街道</t>
  </si>
  <si>
    <t>Hànfēng Xiāng</t>
  </si>
  <si>
    <t>汉封乡</t>
  </si>
  <si>
    <t>Hébĕi Zhèn</t>
  </si>
  <si>
    <t>河北镇</t>
  </si>
  <si>
    <t>Hékŏu Zhèn</t>
  </si>
  <si>
    <t>河口镇</t>
  </si>
  <si>
    <t>Héngqú Zhèn</t>
  </si>
  <si>
    <t>横渠镇</t>
  </si>
  <si>
    <t>Héngshuĭ Zhèn</t>
  </si>
  <si>
    <t>横水镇</t>
  </si>
  <si>
    <t>Héxī Xiāng</t>
  </si>
  <si>
    <t>河西乡</t>
  </si>
  <si>
    <t>Hónghuāpū Zhèn</t>
  </si>
  <si>
    <t>红花铺镇</t>
  </si>
  <si>
    <t>Huáiyá Zhèn</t>
  </si>
  <si>
    <t>槐芽镇</t>
  </si>
  <si>
    <t>Huángbǎiyuán Zhèn</t>
  </si>
  <si>
    <t>黄柏塬镇</t>
  </si>
  <si>
    <t>Huángniúpū Zhèn</t>
  </si>
  <si>
    <t>黄牛铺镇</t>
  </si>
  <si>
    <t>Húdiàn Xiāng</t>
  </si>
  <si>
    <t>胡店乡</t>
  </si>
  <si>
    <t>Jiăcūn Zhèn</t>
  </si>
  <si>
    <t>贾村镇</t>
  </si>
  <si>
    <t>Jiāngtán Jiēdào</t>
  </si>
  <si>
    <t>姜谭街道</t>
  </si>
  <si>
    <t>Jiàngzhàng Zhèn [incl. Shàngsòng Xiāng]</t>
  </si>
  <si>
    <t>绛帐镇</t>
  </si>
  <si>
    <t>Jīngdāng Zhèn [incl. Zhùjiāzhuāng Zhèn]</t>
  </si>
  <si>
    <t>京当镇</t>
  </si>
  <si>
    <t>Jīng'èrlù Jiēdào</t>
  </si>
  <si>
    <t>经二路街道</t>
  </si>
  <si>
    <t>Jìngkŏu Zhèn</t>
  </si>
  <si>
    <t>靖口镇</t>
  </si>
  <si>
    <t>Jīnhé Zhèn [incl. Língyuán Xiāng]</t>
  </si>
  <si>
    <t>金河镇</t>
  </si>
  <si>
    <t>Jīnlíng Jiēdào</t>
  </si>
  <si>
    <t>金陵街道</t>
  </si>
  <si>
    <t>Jīnqú Zhèn</t>
  </si>
  <si>
    <t>金渠镇</t>
  </si>
  <si>
    <t>Jiŭchénggōng Zhèn</t>
  </si>
  <si>
    <t>九成宫镇</t>
  </si>
  <si>
    <t>Jiŭfáng Zhèn</t>
  </si>
  <si>
    <t>酒房镇</t>
  </si>
  <si>
    <t>Jŭtóu Zhèn</t>
  </si>
  <si>
    <t>咀头镇</t>
  </si>
  <si>
    <t>Kòujiāhé Xiāng</t>
  </si>
  <si>
    <t>寇家河乡</t>
  </si>
  <si>
    <t>Lèngdĭxià Zhèn</t>
  </si>
  <si>
    <t>堎底下镇</t>
  </si>
  <si>
    <t>Liăngtíng Zhèn</t>
  </si>
  <si>
    <t>两亭镇</t>
  </si>
  <si>
    <t>Liúfèngguān Zhèn [incl. Nánxīng Zhèn, Sānchà Zhèn, Wēnjiāngsì Xiāng]</t>
  </si>
  <si>
    <t>留凤关镇</t>
  </si>
  <si>
    <t>Liŭlín Zhèn</t>
  </si>
  <si>
    <t>柳林镇</t>
  </si>
  <si>
    <t>Măyíng Zhèn</t>
  </si>
  <si>
    <t>马营镇</t>
  </si>
  <si>
    <t>Mígānqiáo Zhèn</t>
  </si>
  <si>
    <t>糜杆桥镇</t>
  </si>
  <si>
    <t>Mùyí Zhèn</t>
  </si>
  <si>
    <t>慕仪镇</t>
  </si>
  <si>
    <t>Nányáng Zhèn</t>
  </si>
  <si>
    <t>南阳镇</t>
  </si>
  <si>
    <t>Nánzhài Zhèn</t>
  </si>
  <si>
    <t>南寨镇</t>
  </si>
  <si>
    <t>Nánzhĭhuī Zhèn</t>
  </si>
  <si>
    <t>南指挥镇</t>
  </si>
  <si>
    <t>Pánlóng Zhèn</t>
  </si>
  <si>
    <t>蟠龙镇</t>
  </si>
  <si>
    <t>Pánxī Zhèn</t>
  </si>
  <si>
    <t>磻溪镇</t>
  </si>
  <si>
    <t>Píngkăn Zhèn</t>
  </si>
  <si>
    <t>坪坎镇</t>
  </si>
  <si>
    <t>Píngmù Zhèn</t>
  </si>
  <si>
    <t>平木镇</t>
  </si>
  <si>
    <t>Píngtóu Zhèn</t>
  </si>
  <si>
    <t>坪头镇</t>
  </si>
  <si>
    <t>Púcūn Zhèn</t>
  </si>
  <si>
    <t>蒲村镇</t>
  </si>
  <si>
    <t>Qiānhé Zhèn</t>
  </si>
  <si>
    <t>千河镇</t>
  </si>
  <si>
    <t>Qiáonán Jiēdào</t>
  </si>
  <si>
    <t>桥南街道</t>
  </si>
  <si>
    <t>Qiáo Zhèn</t>
  </si>
  <si>
    <t>桥镇</t>
  </si>
  <si>
    <t>Qīnghuà Xiāng</t>
  </si>
  <si>
    <t>青化乡</t>
  </si>
  <si>
    <t>Qīnghuà Zhèn</t>
  </si>
  <si>
    <t>青化镇</t>
  </si>
  <si>
    <t>Qīngjiāng Jiēdào</t>
  </si>
  <si>
    <t>清姜街道</t>
  </si>
  <si>
    <t>Qí Zhèn</t>
  </si>
  <si>
    <t>齐镇</t>
  </si>
  <si>
    <t>Qúnzhònglù Jiēdào</t>
  </si>
  <si>
    <t>群众路街道</t>
  </si>
  <si>
    <t>Sāngshùyuán Xiāng</t>
  </si>
  <si>
    <t>桑树塬乡</t>
  </si>
  <si>
    <t>Shājiā'ào Xiāng</t>
  </si>
  <si>
    <t>沙家坳乡</t>
  </si>
  <si>
    <t>Shénnóng Zhèn</t>
  </si>
  <si>
    <t>神农镇</t>
  </si>
  <si>
    <t>Shígŭ Zhèn</t>
  </si>
  <si>
    <t>石鼓镇</t>
  </si>
  <si>
    <t>Shílĭpū Jiēdào</t>
  </si>
  <si>
    <t>十里铺街道</t>
  </si>
  <si>
    <t>Shŏushàn Jiēdào</t>
  </si>
  <si>
    <t>首善街道</t>
  </si>
  <si>
    <t>Shuāngshípū Zhèn</t>
  </si>
  <si>
    <t>双石铺镇</t>
  </si>
  <si>
    <t>Shuĭgōu Zhèn [incl. Shìgōu Xiāng]</t>
  </si>
  <si>
    <t>水沟镇</t>
  </si>
  <si>
    <t>Tàibáihé Zhèn</t>
  </si>
  <si>
    <t>太白河镇</t>
  </si>
  <si>
    <t>Tàibái Xiāng</t>
  </si>
  <si>
    <t>太白乡</t>
  </si>
  <si>
    <t>Tángcūn Xiāng</t>
  </si>
  <si>
    <t>唐村乡</t>
  </si>
  <si>
    <t>Tāngyù Zhèn</t>
  </si>
  <si>
    <t>汤峪镇</t>
  </si>
  <si>
    <t>Tángzàng Zhèn</t>
  </si>
  <si>
    <t>唐藏镇</t>
  </si>
  <si>
    <t>Táochuān Zhèn</t>
  </si>
  <si>
    <t>桃川镇</t>
  </si>
  <si>
    <t>Tiānchéng Zhèn</t>
  </si>
  <si>
    <t>天成镇</t>
  </si>
  <si>
    <t>Tiāndù Zhèn</t>
  </si>
  <si>
    <t>天度镇</t>
  </si>
  <si>
    <t>Tiánjiāzhuāng Zhèn</t>
  </si>
  <si>
    <t>田家庄镇</t>
  </si>
  <si>
    <t>Tiāntáng Zhèn</t>
  </si>
  <si>
    <t>天堂镇</t>
  </si>
  <si>
    <t>Tiānwáng Zhèn</t>
  </si>
  <si>
    <t>天王镇</t>
  </si>
  <si>
    <t>Tuòshí Zhèn</t>
  </si>
  <si>
    <t>拓石镇</t>
  </si>
  <si>
    <t>Wángjiāléng Zhèn</t>
  </si>
  <si>
    <t>王家堎镇</t>
  </si>
  <si>
    <t>Wénjiāpō Xiāng</t>
  </si>
  <si>
    <t>文家坡乡</t>
  </si>
  <si>
    <t>Wēnshuĭ Zhèn [incl. Huŏshāozhài Zhèn, Lĭjiāhé Xiāng]</t>
  </si>
  <si>
    <t>温水镇</t>
  </si>
  <si>
    <t>Wòlóngsì Jiēdào</t>
  </si>
  <si>
    <t>卧龙寺街道</t>
  </si>
  <si>
    <t>Wŭjĭng Zhèn</t>
  </si>
  <si>
    <t>午井镇</t>
  </si>
  <si>
    <t>Wŭzhàngyuán Zhèn</t>
  </si>
  <si>
    <t>五丈原镇</t>
  </si>
  <si>
    <t>Xiàngōng Zhèn</t>
  </si>
  <si>
    <t>县功镇</t>
  </si>
  <si>
    <t>Xiāngquán Zhèn</t>
  </si>
  <si>
    <t>香泉镇</t>
  </si>
  <si>
    <t>Xiáshí Zhèn</t>
  </si>
  <si>
    <t>硖石镇</t>
  </si>
  <si>
    <t>Xīguān Jiēdào</t>
  </si>
  <si>
    <t>西关街道</t>
  </si>
  <si>
    <t>Xìnglín Zhèn</t>
  </si>
  <si>
    <t>杏林镇</t>
  </si>
  <si>
    <t>Xīnjíchuān Zhèn</t>
  </si>
  <si>
    <t>新集川镇</t>
  </si>
  <si>
    <t>Xīnjiē Zhèn</t>
  </si>
  <si>
    <t>新街镇</t>
  </si>
  <si>
    <t>Yákē Xiāng</t>
  </si>
  <si>
    <t>牙科乡</t>
  </si>
  <si>
    <t>Yángpíng Zhèn</t>
  </si>
  <si>
    <t>阳平镇</t>
  </si>
  <si>
    <t>Yánwān Xiāng</t>
  </si>
  <si>
    <t>岩湾乡</t>
  </si>
  <si>
    <t>Yáojiāgōu Zhèn</t>
  </si>
  <si>
    <t>姚家沟镇</t>
  </si>
  <si>
    <t>Yìdiàn Zhèn</t>
  </si>
  <si>
    <t>益店镇</t>
  </si>
  <si>
    <t>Yīnggē Zhèn</t>
  </si>
  <si>
    <t>鹦鸽镇</t>
  </si>
  <si>
    <t>Yíngtóu Zhèn</t>
  </si>
  <si>
    <t>营头镇</t>
  </si>
  <si>
    <t>Yĭnjiāwù Xiāng</t>
  </si>
  <si>
    <t>尹家务乡</t>
  </si>
  <si>
    <t>Yōngchuān Zhèn</t>
  </si>
  <si>
    <t>雍川镇</t>
  </si>
  <si>
    <t>Zăolín Zhèn</t>
  </si>
  <si>
    <t>枣林镇</t>
  </si>
  <si>
    <t>Zhàngbā Zhèn</t>
  </si>
  <si>
    <t>丈八镇</t>
  </si>
  <si>
    <t>Zhāngjiāyuán Zhèn</t>
  </si>
  <si>
    <t>张家塬镇</t>
  </si>
  <si>
    <t>Zhàogōng Zhèn</t>
  </si>
  <si>
    <t>召公镇</t>
  </si>
  <si>
    <t>Zhāoxián Zhèn</t>
  </si>
  <si>
    <t>招贤镇</t>
  </si>
  <si>
    <t>Zhōngshāndōnglù Jiēdào</t>
  </si>
  <si>
    <t>中山东路街道</t>
  </si>
  <si>
    <t>Zhōngshānxīlù Jiēdào</t>
  </si>
  <si>
    <t>中山西路街道</t>
  </si>
  <si>
    <t>Zhōuyuán Zhèn</t>
  </si>
  <si>
    <t>周原镇</t>
  </si>
  <si>
    <t>Ānlèhé Zhèn</t>
  </si>
  <si>
    <t>安乐河镇</t>
  </si>
  <si>
    <t>Níngqiáng Xiàn</t>
  </si>
  <si>
    <t>Báilóngtáng Zhèn</t>
  </si>
  <si>
    <t>白龙塘镇</t>
  </si>
  <si>
    <t>Xīxiāng Xiàn</t>
  </si>
  <si>
    <t>Báimiănxiá Zhèn</t>
  </si>
  <si>
    <t>白勉峡镇</t>
  </si>
  <si>
    <t>Báiquèsì Zhèn</t>
  </si>
  <si>
    <t>白雀寺镇</t>
  </si>
  <si>
    <t>Lüèyáng Xiàn</t>
  </si>
  <si>
    <t>Báishígōu Xiāng</t>
  </si>
  <si>
    <t>白石沟乡</t>
  </si>
  <si>
    <t>Báishuĭjiāng Zhèn</t>
  </si>
  <si>
    <t>白水江镇</t>
  </si>
  <si>
    <t>Báiyù Xiāng</t>
  </si>
  <si>
    <t>白玉乡</t>
  </si>
  <si>
    <t>Nánzhèng Qū</t>
  </si>
  <si>
    <t>Bālĭguān Zhèn</t>
  </si>
  <si>
    <t>八里关镇</t>
  </si>
  <si>
    <t>Yáng Xiàn</t>
  </si>
  <si>
    <t>Bāmiào Zhèn</t>
  </si>
  <si>
    <t>巴庙镇</t>
  </si>
  <si>
    <t>Zhènbā Xiàn</t>
  </si>
  <si>
    <t>Bāochéng Zhèn</t>
  </si>
  <si>
    <t>褒城镇</t>
  </si>
  <si>
    <t>Miăn Xiàn</t>
  </si>
  <si>
    <t>Băoshān Zhèn</t>
  </si>
  <si>
    <t>宝山镇</t>
  </si>
  <si>
    <t>Chénggù Xiàn</t>
  </si>
  <si>
    <t>Bāshān Zhèn</t>
  </si>
  <si>
    <t>巴山镇</t>
  </si>
  <si>
    <t>Bēibà Zhèn [incl. Xīhé Zhèn]</t>
  </si>
  <si>
    <t>碑坝镇</t>
  </si>
  <si>
    <t>Bĕiguān Jiēdào</t>
  </si>
  <si>
    <t>北关街道</t>
  </si>
  <si>
    <t>Hàntái Qū</t>
  </si>
  <si>
    <t>Bówàng Jiēdào</t>
  </si>
  <si>
    <t>博望街道</t>
  </si>
  <si>
    <t>Căomiào Xiāng</t>
  </si>
  <si>
    <t>草庙乡</t>
  </si>
  <si>
    <t>Chádiàn Zhèn</t>
  </si>
  <si>
    <t>茶店镇</t>
  </si>
  <si>
    <t>Chánggōuhé Zhèn</t>
  </si>
  <si>
    <t>长沟河镇</t>
  </si>
  <si>
    <t>Chángjiăobà Zhèn</t>
  </si>
  <si>
    <t>长角坝镇</t>
  </si>
  <si>
    <t>Fópíng Xiàn</t>
  </si>
  <si>
    <t>Chánglĭng Zhèn</t>
  </si>
  <si>
    <t>长岭镇</t>
  </si>
  <si>
    <t>Chánjiāyán Zhèn</t>
  </si>
  <si>
    <t>禅家岩镇</t>
  </si>
  <si>
    <t>Chá Zhèn</t>
  </si>
  <si>
    <t>茶镇</t>
  </si>
  <si>
    <t>Chéngběi Jiēdào [Chéngguān Zhèn]</t>
  </si>
  <si>
    <t>城北街道</t>
  </si>
  <si>
    <t>Chénjiābà Zhèn</t>
  </si>
  <si>
    <t>陈家坝镇</t>
  </si>
  <si>
    <t>Chénjiātān Xiāng</t>
  </si>
  <si>
    <t>陈家滩乡</t>
  </si>
  <si>
    <t>Chìnán Zhèn</t>
  </si>
  <si>
    <t>赤南镇</t>
  </si>
  <si>
    <t>Dà'ān Zhèn [incl. Miàobà Xiāng]</t>
  </si>
  <si>
    <t>大安镇</t>
  </si>
  <si>
    <t>Dàchí Zhèn</t>
  </si>
  <si>
    <t>大池镇</t>
  </si>
  <si>
    <t>Dàhébà Zhèn [incl. Shímŭdì Xiāng]</t>
  </si>
  <si>
    <t>大河坝镇</t>
  </si>
  <si>
    <t>Dàhékăn Zhèn</t>
  </si>
  <si>
    <t>大河坎镇</t>
  </si>
  <si>
    <t>Dàijiābà Zhèn [incl. Gŏngjiāhé Xiāng, Dōnghuánggōu Xiāng]</t>
  </si>
  <si>
    <t>代家坝镇</t>
  </si>
  <si>
    <t>Dàpán Xiāng</t>
  </si>
  <si>
    <t>大盘乡</t>
  </si>
  <si>
    <t>Dìngjūnshān Zhèn</t>
  </si>
  <si>
    <t>定军山镇</t>
  </si>
  <si>
    <t>Dōngdàjiē Jiēdào</t>
  </si>
  <si>
    <t>东大街街道</t>
  </si>
  <si>
    <t>Dōngguān Jiēdào</t>
  </si>
  <si>
    <t>东关街道</t>
  </si>
  <si>
    <t>Dŏngjiāyíng Zhèn</t>
  </si>
  <si>
    <t>董家营镇</t>
  </si>
  <si>
    <t>Èrdàohé Xiāng</t>
  </si>
  <si>
    <t>二道河乡</t>
  </si>
  <si>
    <t>Èrlángbà Zhèn</t>
  </si>
  <si>
    <t>二郎坝镇</t>
  </si>
  <si>
    <t>Èrlĭ Zhèn</t>
  </si>
  <si>
    <t>二里镇</t>
  </si>
  <si>
    <t>Fă Zhèn</t>
  </si>
  <si>
    <t>法镇</t>
  </si>
  <si>
    <t>Fúchéng Zhèn</t>
  </si>
  <si>
    <t>福成镇</t>
  </si>
  <si>
    <t>Fùchuān Zhèn</t>
  </si>
  <si>
    <t>阜川镇</t>
  </si>
  <si>
    <t>Gāochuān Zhèn [incl. Wŭlĭbà Zhèn]</t>
  </si>
  <si>
    <t>高川镇</t>
  </si>
  <si>
    <t>Gāotái Zhèn</t>
  </si>
  <si>
    <t>高台镇</t>
  </si>
  <si>
    <t>Gāozhàizi Jiēdào</t>
  </si>
  <si>
    <t>高寨子街道</t>
  </si>
  <si>
    <t>Guāndì Zhèn</t>
  </si>
  <si>
    <t>关帝镇</t>
  </si>
  <si>
    <t>Guăngpíng Zhèn</t>
  </si>
  <si>
    <t>广坪镇</t>
  </si>
  <si>
    <t>Guànxī Zhèn</t>
  </si>
  <si>
    <t>贯溪镇</t>
  </si>
  <si>
    <t>Guānyīnsì Zhèn</t>
  </si>
  <si>
    <t>观音寺镇</t>
  </si>
  <si>
    <t>Guānyīn Zhèn</t>
  </si>
  <si>
    <t>观音镇</t>
  </si>
  <si>
    <t>Gŭchéng Zhèn</t>
  </si>
  <si>
    <t>古城镇</t>
  </si>
  <si>
    <t>Guō Zhèn</t>
  </si>
  <si>
    <t>郭镇</t>
  </si>
  <si>
    <t>Hànshān Jiēdào [Chéngguān Zhèn]</t>
  </si>
  <si>
    <t>汉山街道</t>
  </si>
  <si>
    <t>Hànyuán Jiēdào</t>
  </si>
  <si>
    <t>汉源街道</t>
  </si>
  <si>
    <t>Hànzhōnglù Jiēdào</t>
  </si>
  <si>
    <t>汉中路街道</t>
  </si>
  <si>
    <t>Hédōngdiàn Zhèn</t>
  </si>
  <si>
    <t>河东店镇</t>
  </si>
  <si>
    <t>Hēihé Zhèn</t>
  </si>
  <si>
    <t>黑河镇</t>
  </si>
  <si>
    <t>Héngxiànhé Jiēdào</t>
  </si>
  <si>
    <t>横现河街道</t>
  </si>
  <si>
    <t>Hóngmiào Zhèn [incl. Xĭshénbà Xiāng]</t>
  </si>
  <si>
    <t>红庙镇</t>
  </si>
  <si>
    <t>Huáishùguān Zhèn</t>
  </si>
  <si>
    <t>槐树关镇</t>
  </si>
  <si>
    <t>Huáng'ān Zhèn</t>
  </si>
  <si>
    <t>黄安镇</t>
  </si>
  <si>
    <t>Huángbàyì Xiāng</t>
  </si>
  <si>
    <t>黄坝驿乡</t>
  </si>
  <si>
    <t>Huángguān Zhèn [incl. Tángkŏu Xiāng]</t>
  </si>
  <si>
    <t>黄官镇</t>
  </si>
  <si>
    <t>Huángjiāyíng Zhèn</t>
  </si>
  <si>
    <t>黄家营镇</t>
  </si>
  <si>
    <t>Huángjīnxiá Zhèn</t>
  </si>
  <si>
    <t>黄金峡镇</t>
  </si>
  <si>
    <t>Huángshā Zhèn</t>
  </si>
  <si>
    <t>黄沙镇</t>
  </si>
  <si>
    <t>Huáyáng Zhèn</t>
  </si>
  <si>
    <t>华阳镇</t>
  </si>
  <si>
    <t>Hújiābà Zhèn</t>
  </si>
  <si>
    <t>胡家坝镇</t>
  </si>
  <si>
    <t>Hújiāyíng Zhèn</t>
  </si>
  <si>
    <t>胡家营镇</t>
  </si>
  <si>
    <t>Huŏshāodiàn Zhèn</t>
  </si>
  <si>
    <t>火烧店镇</t>
  </si>
  <si>
    <t>Liúbà Xiàn</t>
  </si>
  <si>
    <t>Jiănchí Zhèn [incl. Sānxī Xiāng]</t>
  </si>
  <si>
    <t>简池镇</t>
  </si>
  <si>
    <t>Jiēguāntíng Zhèn [incl. Héjiāyán Zhèn]</t>
  </si>
  <si>
    <t>接官亭镇</t>
  </si>
  <si>
    <t>Jiéyuán Zhèn</t>
  </si>
  <si>
    <t>桔园镇</t>
  </si>
  <si>
    <t>Jīngyáng Jiēdào</t>
  </si>
  <si>
    <t>泾洋街道</t>
  </si>
  <si>
    <t>Jīnjiāhé Zhèn</t>
  </si>
  <si>
    <t>金家河镇</t>
  </si>
  <si>
    <t>Jīnquán Zhèn</t>
  </si>
  <si>
    <t>金泉镇</t>
  </si>
  <si>
    <t>Jīnshuĭ Zhèn</t>
  </si>
  <si>
    <t>金水镇</t>
  </si>
  <si>
    <t>Jùtíng Zhèn</t>
  </si>
  <si>
    <t>巨亭镇</t>
  </si>
  <si>
    <t>Kuānchuān Xiāng</t>
  </si>
  <si>
    <t>宽川乡</t>
  </si>
  <si>
    <t>Lăodàosì Zhèn [incl. Chánglín Zhèn]</t>
  </si>
  <si>
    <t>老道寺镇</t>
  </si>
  <si>
    <t>Lăojūn Zhèn</t>
  </si>
  <si>
    <t>老君镇</t>
  </si>
  <si>
    <t>Lăozhuāng Zhèn</t>
  </si>
  <si>
    <t>老庄镇</t>
  </si>
  <si>
    <t>Lèsùhé Zhèn</t>
  </si>
  <si>
    <t>乐素河镇</t>
  </si>
  <si>
    <t>Liănghékŏu Zhèn</t>
  </si>
  <si>
    <t>两河口镇</t>
  </si>
  <si>
    <t>Liángshān Zhèn [incl. Guōtān Xiāng]</t>
  </si>
  <si>
    <t>梁山镇</t>
  </si>
  <si>
    <t>Liánhuā Jiēdào [Wŭlángmiào Zhèn]</t>
  </si>
  <si>
    <t>莲花街道</t>
  </si>
  <si>
    <t>Liánshuĭ Zhèn</t>
  </si>
  <si>
    <t>濂水镇</t>
  </si>
  <si>
    <t>Líbà Zhèn</t>
  </si>
  <si>
    <t>黎坝镇</t>
  </si>
  <si>
    <t>Lípíng Zhèn [Yuánbà Zhèn]</t>
  </si>
  <si>
    <t>元坝镇</t>
  </si>
  <si>
    <t>Liúhòu Zhèn</t>
  </si>
  <si>
    <t>留侯镇</t>
  </si>
  <si>
    <t>Liŭlín Zhèn [incl. Cuījiāshān Zhèn]</t>
  </si>
  <si>
    <t>Liŭshù Zhèn</t>
  </si>
  <si>
    <t>柳树镇</t>
  </si>
  <si>
    <t>Lìzibà Xiāng</t>
  </si>
  <si>
    <t>栗子坝乡</t>
  </si>
  <si>
    <t>Lóngjiāng Jiēdào [incl. Shūjiāyíng Jiēdào]</t>
  </si>
  <si>
    <t>龙江街道</t>
  </si>
  <si>
    <t>Lóngtíng Zhèn [incl. Chángxī Xiāng]</t>
  </si>
  <si>
    <t>龙亭镇</t>
  </si>
  <si>
    <t>Lóngtóu Zhèn</t>
  </si>
  <si>
    <t>龙头镇</t>
  </si>
  <si>
    <t>Luòjiābà Zhèn</t>
  </si>
  <si>
    <t>骆家坝镇</t>
  </si>
  <si>
    <t>Măchàng Zhèn</t>
  </si>
  <si>
    <t>马畅镇</t>
  </si>
  <si>
    <t>Mădào Zhèn</t>
  </si>
  <si>
    <t>马道镇</t>
  </si>
  <si>
    <t>Măjiāwān Xiāng</t>
  </si>
  <si>
    <t>马家湾乡</t>
  </si>
  <si>
    <t>Máliŭtān Xiāng</t>
  </si>
  <si>
    <t>麻柳滩乡</t>
  </si>
  <si>
    <t>Máobàhé Zhèn</t>
  </si>
  <si>
    <t>毛坝河镇</t>
  </si>
  <si>
    <t>Mătíwān Zhèn</t>
  </si>
  <si>
    <t>马蹄湾镇</t>
  </si>
  <si>
    <t>Miănyáng Jiēdào</t>
  </si>
  <si>
    <t>勉阳街道</t>
  </si>
  <si>
    <t>Móujiābà Zhèn [incl. Gāojiālĭng Xiāng]</t>
  </si>
  <si>
    <t>牟家坝镇</t>
  </si>
  <si>
    <t>Móziqiáo Zhèn</t>
  </si>
  <si>
    <t>磨子桥镇</t>
  </si>
  <si>
    <t>Nánpíng Xiāng</t>
  </si>
  <si>
    <t>南屏乡</t>
  </si>
  <si>
    <t>Niănzi Zhèn</t>
  </si>
  <si>
    <t>碾子镇</t>
  </si>
  <si>
    <t>Pánlóng Xiāng</t>
  </si>
  <si>
    <t>盘龙乡</t>
  </si>
  <si>
    <t>Píng'ān Zhèn</t>
  </si>
  <si>
    <t>平安镇</t>
  </si>
  <si>
    <t>Pū Zhèn</t>
  </si>
  <si>
    <t>铺镇</t>
  </si>
  <si>
    <t>Qīlĭ Jiēdào</t>
  </si>
  <si>
    <t>七里街道</t>
  </si>
  <si>
    <t>Qīngmùchuān Zhèn</t>
  </si>
  <si>
    <t>青木川镇</t>
  </si>
  <si>
    <t>Qīngqiáoyì Zhèn</t>
  </si>
  <si>
    <t>青桥驿镇</t>
  </si>
  <si>
    <t>Qīngshuĭ Zhèn</t>
  </si>
  <si>
    <t>青水镇</t>
  </si>
  <si>
    <t>Qīngshù Zhèn</t>
  </si>
  <si>
    <t>青树镇</t>
  </si>
  <si>
    <t>Qīshì Jiēdào</t>
  </si>
  <si>
    <t>戚氏街道</t>
  </si>
  <si>
    <t>Qīshùbà Zhèn</t>
  </si>
  <si>
    <t>漆树坝镇</t>
  </si>
  <si>
    <t>Réncūn Zhèn</t>
  </si>
  <si>
    <t>仁村镇</t>
  </si>
  <si>
    <t>Sāngxī Zhèn</t>
  </si>
  <si>
    <t>桑溪镇</t>
  </si>
  <si>
    <t>Sāngyuánbà Xiāng</t>
  </si>
  <si>
    <t>桑元坝乡</t>
  </si>
  <si>
    <t>Sāngyuán Zhèn</t>
  </si>
  <si>
    <t>桑园镇</t>
  </si>
  <si>
    <t>Sānhé Zhèn</t>
  </si>
  <si>
    <t>三合镇</t>
  </si>
  <si>
    <t>Sānhuāshí Xiāng</t>
  </si>
  <si>
    <t>三花石乡</t>
  </si>
  <si>
    <t>Sānyuán Zhèn</t>
  </si>
  <si>
    <t>三元镇</t>
  </si>
  <si>
    <t>Shāhéyíng Zhèn</t>
  </si>
  <si>
    <t>沙河营镇</t>
  </si>
  <si>
    <t>Shāhé Zhèn</t>
  </si>
  <si>
    <t>沙河镇</t>
  </si>
  <si>
    <t>Shàngyuánguān Zhèn</t>
  </si>
  <si>
    <t>上元观镇</t>
  </si>
  <si>
    <t>Shèngshuĭ Zhèn</t>
  </si>
  <si>
    <t>圣水镇</t>
  </si>
  <si>
    <t>Shídūnhé Zhèn</t>
  </si>
  <si>
    <t>石墩河镇</t>
  </si>
  <si>
    <t>Shíguān Xiāng</t>
  </si>
  <si>
    <t>石关乡</t>
  </si>
  <si>
    <t>Shĭjiāyuàn Xiāng</t>
  </si>
  <si>
    <t>史家院乡</t>
  </si>
  <si>
    <t>Shuāngxī Zhèn</t>
  </si>
  <si>
    <t>双溪镇</t>
  </si>
  <si>
    <t>Shuĭmó Zhèn</t>
  </si>
  <si>
    <t>水磨镇</t>
  </si>
  <si>
    <t>Shūjiābà Zhèn</t>
  </si>
  <si>
    <t>舒家坝镇</t>
  </si>
  <si>
    <t>Sīdù Zhèn</t>
  </si>
  <si>
    <t>私渡镇</t>
  </si>
  <si>
    <t>Sīshàng Xiāng</t>
  </si>
  <si>
    <t>司上乡</t>
  </si>
  <si>
    <t>Sūnpíng Zhèn</t>
  </si>
  <si>
    <t>孙坪镇</t>
  </si>
  <si>
    <t>Tàiyánglĭng Zhèn [incl. Cāngshè Xiāng]</t>
  </si>
  <si>
    <t>太阳岭镇</t>
  </si>
  <si>
    <t>Tiánbà Xiāng</t>
  </si>
  <si>
    <t>Tiānmíng Zhèn</t>
  </si>
  <si>
    <t>天明镇</t>
  </si>
  <si>
    <t>Tiĕsuŏguān Zhèn</t>
  </si>
  <si>
    <t>铁锁关镇</t>
  </si>
  <si>
    <t>Tónggōusì Zhèn</t>
  </si>
  <si>
    <t>同沟寺镇</t>
  </si>
  <si>
    <t>Tŭguānpū Xiāng</t>
  </si>
  <si>
    <t>土关铺乡</t>
  </si>
  <si>
    <t>Wèijiāqiáo Xiāng</t>
  </si>
  <si>
    <t>魏家桥乡</t>
  </si>
  <si>
    <t>Wénchuān Zhèn</t>
  </si>
  <si>
    <t>文川镇</t>
  </si>
  <si>
    <t>Wēnquán Zhèn</t>
  </si>
  <si>
    <t>温泉镇</t>
  </si>
  <si>
    <t>Wŭdŭ Zhèn</t>
  </si>
  <si>
    <t>五堵镇</t>
  </si>
  <si>
    <t>Wŭguānyì Zhèn</t>
  </si>
  <si>
    <t>武关驿镇</t>
  </si>
  <si>
    <t>Wŭhòu Zhèn</t>
  </si>
  <si>
    <t>武侯镇</t>
  </si>
  <si>
    <t>Wǔlóngdòng Zhèn [Jiŭzhōngjīn Xiāng]</t>
  </si>
  <si>
    <t>五龙洞镇</t>
  </si>
  <si>
    <t>Wŭxiāng Zhèn</t>
  </si>
  <si>
    <t>武乡镇</t>
  </si>
  <si>
    <t>Xiákŏuyì Zhèn</t>
  </si>
  <si>
    <t>硖口驿镇</t>
  </si>
  <si>
    <t>Xiákŏu Zhèn</t>
  </si>
  <si>
    <t>峡口镇</t>
  </si>
  <si>
    <t>Xiāngshuĭ Zhèn</t>
  </si>
  <si>
    <t>湘水镇</t>
  </si>
  <si>
    <t>Xiāntáibà Zhèn</t>
  </si>
  <si>
    <t>仙台坝镇</t>
  </si>
  <si>
    <t>Xiăobiānhé Xiāng</t>
  </si>
  <si>
    <t>小砭河乡</t>
  </si>
  <si>
    <t>Xiăohémiào Xiāng</t>
  </si>
  <si>
    <t>小河庙乡</t>
  </si>
  <si>
    <t>Xiăohé Zhèn</t>
  </si>
  <si>
    <t>Xiăonánhăi Zhèn</t>
  </si>
  <si>
    <t>小南海镇</t>
  </si>
  <si>
    <t>Xiăoyáng Zhèn</t>
  </si>
  <si>
    <t>小洋镇</t>
  </si>
  <si>
    <t>Xīchàhé Zhèn</t>
  </si>
  <si>
    <t>西岔河镇</t>
  </si>
  <si>
    <t>Xiècūn Zhèn</t>
  </si>
  <si>
    <t>谢村镇</t>
  </si>
  <si>
    <t>Xiēmă Xiāng</t>
  </si>
  <si>
    <t>歇马乡</t>
  </si>
  <si>
    <t>Xiéshuì Zhèn</t>
  </si>
  <si>
    <t>协税镇</t>
  </si>
  <si>
    <t>Xīhuáibà Zhèn</t>
  </si>
  <si>
    <t>西淮坝镇</t>
  </si>
  <si>
    <t>Xìngzhōu Jiēdào [Chéngguān Zhèn]</t>
  </si>
  <si>
    <t>兴州街道</t>
  </si>
  <si>
    <t>Xīnjiēzi Zhèn</t>
  </si>
  <si>
    <t>新街子镇</t>
  </si>
  <si>
    <t>Xīnjí Zhèn [incl. Rĕnshuĭ Xiāng]</t>
  </si>
  <si>
    <t>新集镇</t>
  </si>
  <si>
    <t>Xīnpū Zhèn [incl. Qīngyángyì Zhèn]</t>
  </si>
  <si>
    <t>新铺镇</t>
  </si>
  <si>
    <t>Xīnyuán Jiēdào</t>
  </si>
  <si>
    <t>鑫源街道</t>
  </si>
  <si>
    <t>Xújiāpíng Zhèn</t>
  </si>
  <si>
    <t>徐家坪镇</t>
  </si>
  <si>
    <t>Xūshuĭ Zhèn</t>
  </si>
  <si>
    <t>胥水镇</t>
  </si>
  <si>
    <t>Xúwàng Zhèn [incl. Xújiāpō Xiāng, Wàngjiāng Xiāng]</t>
  </si>
  <si>
    <t>徐望镇</t>
  </si>
  <si>
    <t>Yánchăng Zhèn</t>
  </si>
  <si>
    <t>盐场镇</t>
  </si>
  <si>
    <t>Yángchūn Zhèn</t>
  </si>
  <si>
    <t>阳春镇</t>
  </si>
  <si>
    <t>Yánghé Zhèn</t>
  </si>
  <si>
    <t>杨河镇</t>
  </si>
  <si>
    <t>Yángjiāhé Zhèn</t>
  </si>
  <si>
    <t>杨家河镇</t>
  </si>
  <si>
    <t>Yángpíngguān Zhèn</t>
  </si>
  <si>
    <t>阳平关镇</t>
  </si>
  <si>
    <t>Yāngtián Xiāng</t>
  </si>
  <si>
    <t>秧田乡</t>
  </si>
  <si>
    <t>Yángzhōu Jiēdào</t>
  </si>
  <si>
    <t>洋州街道</t>
  </si>
  <si>
    <t>Yánjĭng Xiāng</t>
  </si>
  <si>
    <t>盐井乡</t>
  </si>
  <si>
    <t>Yànkŏu Zhèn [incl. Luó Zhèn]</t>
  </si>
  <si>
    <t>堰口镇</t>
  </si>
  <si>
    <t>Yànzibiān Zhèn</t>
  </si>
  <si>
    <t>燕子砭镇</t>
  </si>
  <si>
    <t>Yáopíng Xiāng</t>
  </si>
  <si>
    <t>窑坪乡</t>
  </si>
  <si>
    <t>Yìshuĭ Zhèn</t>
  </si>
  <si>
    <t>溢水镇</t>
  </si>
  <si>
    <t>Yŏnglè Zhèn</t>
  </si>
  <si>
    <t>永乐镇</t>
  </si>
  <si>
    <t>Yuándūn Zhèn</t>
  </si>
  <si>
    <t>元墩镇</t>
  </si>
  <si>
    <t>Yuángōng Zhèn</t>
  </si>
  <si>
    <t>原公镇</t>
  </si>
  <si>
    <t>Yuánjiāzhuāng Jiēdào</t>
  </si>
  <si>
    <t>袁家庄街道</t>
  </si>
  <si>
    <t>Yúdòngzi Xiāng</t>
  </si>
  <si>
    <t>鱼洞子乡</t>
  </si>
  <si>
    <t>Yúdù Zhèn</t>
  </si>
  <si>
    <t>渔渡镇</t>
  </si>
  <si>
    <t>Yuèbà Zhèn</t>
  </si>
  <si>
    <t>岳坝镇</t>
  </si>
  <si>
    <t>Yùhuángmiào Zhèn</t>
  </si>
  <si>
    <t>玉皇庙镇</t>
  </si>
  <si>
    <t>Zēngjiāhé Xiāng</t>
  </si>
  <si>
    <t>曾家河乡</t>
  </si>
  <si>
    <t>Zhāngjiāhé Zhèn</t>
  </si>
  <si>
    <t>张家河镇</t>
  </si>
  <si>
    <t>Zhènchuān Zhèn</t>
  </si>
  <si>
    <t>镇川镇</t>
  </si>
  <si>
    <t>Zhǐfāng Jiēdào [incl. Báishí Xiāng, Sìláng Xiāng]</t>
  </si>
  <si>
    <t>纸坊街道</t>
  </si>
  <si>
    <t>Zhōngshānjiē Jiēdào</t>
  </si>
  <si>
    <t>中山街街道</t>
  </si>
  <si>
    <t>Zhōujiāshān Zhèn</t>
  </si>
  <si>
    <t>周家山镇</t>
  </si>
  <si>
    <t>Zǐbǎi Jiēdào [Chéngguān Zhèn]</t>
  </si>
  <si>
    <t>紫柏街道</t>
  </si>
  <si>
    <t>Ziwŭ Zhèn</t>
  </si>
  <si>
    <t>子午镇</t>
  </si>
  <si>
    <t>Zōngyíng Zhèn</t>
  </si>
  <si>
    <t>宗营镇</t>
  </si>
  <si>
    <t>Zuŏxī Xiāng</t>
  </si>
  <si>
    <t>左溪乡</t>
  </si>
  <si>
    <t>Báilŭchŭ Xiāng</t>
  </si>
  <si>
    <t>白鲁础乡</t>
  </si>
  <si>
    <t>Shāngnán Xiàn</t>
  </si>
  <si>
    <t>Báiyángdiàn Zhèn</t>
  </si>
  <si>
    <t>白杨店镇</t>
  </si>
  <si>
    <t>Shāngzhōu Qū</t>
  </si>
  <si>
    <t>Bǎiyùsì Zhèn</t>
  </si>
  <si>
    <t>柏峪寺镇</t>
  </si>
  <si>
    <t>Luònán Xiàn</t>
  </si>
  <si>
    <t>Bănqiáo Zhèn</t>
  </si>
  <si>
    <t>板桥镇</t>
  </si>
  <si>
    <t>Bănyán Zhèn</t>
  </si>
  <si>
    <t>板岩镇</t>
  </si>
  <si>
    <t>Shānyáng Xiàn</t>
  </si>
  <si>
    <t>Băo'ān Zhèn</t>
  </si>
  <si>
    <t>保安镇</t>
  </si>
  <si>
    <t>Bĕikuānpíng Zhèn</t>
  </si>
  <si>
    <t>北宽坪镇</t>
  </si>
  <si>
    <t>Càichuān Zhèn</t>
  </si>
  <si>
    <t>蔡川镇</t>
  </si>
  <si>
    <t>Dānfèng Xiàn</t>
  </si>
  <si>
    <t>Cáopíng Zhèn [incl. Càiyùyáo Zhèn]</t>
  </si>
  <si>
    <t>曹坪镇</t>
  </si>
  <si>
    <t>Zhàshuĭ Xiàn</t>
  </si>
  <si>
    <t>Cháipíng Zhèn [incl. Lóngshèng Xiāng, Yúshī Xiāng]</t>
  </si>
  <si>
    <t>柴坪镇</t>
  </si>
  <si>
    <t>Zhèn'ān Xiàn</t>
  </si>
  <si>
    <t>Chén'ĕr Zhèn</t>
  </si>
  <si>
    <t>陈耳镇</t>
  </si>
  <si>
    <t>Chéngguān Jiēdào [incl. Dăngmă Xiāng]</t>
  </si>
  <si>
    <t>Chényuán Jiēdào</t>
  </si>
  <si>
    <t>陈塬街道</t>
  </si>
  <si>
    <t>Dàjīng Zhèn [incl. Xījīng Xiāng]</t>
  </si>
  <si>
    <t>大荆镇</t>
  </si>
  <si>
    <t>Dàpíng Zhèn</t>
  </si>
  <si>
    <t>大坪镇</t>
  </si>
  <si>
    <t>Dárén Zhèn</t>
  </si>
  <si>
    <t>达仁镇</t>
  </si>
  <si>
    <t>Dàzhàoyù Jiēdào</t>
  </si>
  <si>
    <t>大赵峪街道</t>
  </si>
  <si>
    <t>Dìhuā Zhèn</t>
  </si>
  <si>
    <t>棣花镇</t>
  </si>
  <si>
    <t>Dōnglĭng Xiāng</t>
  </si>
  <si>
    <t>东岭乡</t>
  </si>
  <si>
    <t>Făguān Zhèn</t>
  </si>
  <si>
    <t>法官镇</t>
  </si>
  <si>
    <t>Fènghuáng Zhèn</t>
  </si>
  <si>
    <t>凤凰镇</t>
  </si>
  <si>
    <t>Fùshuĭ Zhèn</t>
  </si>
  <si>
    <t>富水镇</t>
  </si>
  <si>
    <t>Gāobàdiàn Zhèn [incl. Shēnjiādié]</t>
  </si>
  <si>
    <t>高坝店镇</t>
  </si>
  <si>
    <t>Gāofēng Zhèn [incl. Zhāngjiā Xiāng]</t>
  </si>
  <si>
    <t>高峰镇</t>
  </si>
  <si>
    <t>Gāoyào Zhèn</t>
  </si>
  <si>
    <t>高耀镇</t>
  </si>
  <si>
    <t>Gĕtiáo Xiāng</t>
  </si>
  <si>
    <t>葛条乡</t>
  </si>
  <si>
    <t>Guānpínghé Xiāng [→ Máopíng Zhèn, Xīkŏu Zhèn]</t>
  </si>
  <si>
    <t>关坪河乡</t>
  </si>
  <si>
    <t>Gŭchéng Zhèn [incl. Sìpō Xiāng]</t>
  </si>
  <si>
    <t>Guòfēnglóu Zhèn [incl. Shuĭgōu Xiāng]</t>
  </si>
  <si>
    <t>过风楼镇</t>
  </si>
  <si>
    <t>Hēishān Zhèn</t>
  </si>
  <si>
    <t>黑山镇</t>
  </si>
  <si>
    <t>Hóngménhé Xiāng</t>
  </si>
  <si>
    <t>红门河乡</t>
  </si>
  <si>
    <t>Hóngyánsì Zhèn</t>
  </si>
  <si>
    <t>红岩寺镇</t>
  </si>
  <si>
    <t>Huángjiāwān Xiāng</t>
  </si>
  <si>
    <t>黄家湾乡</t>
  </si>
  <si>
    <t>Huánglóng Xiāng</t>
  </si>
  <si>
    <t>黄龙乡</t>
  </si>
  <si>
    <t>Huāpíngzi Zhèn</t>
  </si>
  <si>
    <t>花瓶子镇</t>
  </si>
  <si>
    <t>Huāyuán Xiāng</t>
  </si>
  <si>
    <t>花园乡</t>
  </si>
  <si>
    <t>Huílóng Zhèn</t>
  </si>
  <si>
    <t>回龙镇</t>
  </si>
  <si>
    <t>Hùjiāyuán Zhèn [incl. Niú'ĕrchuān Zhèn]</t>
  </si>
  <si>
    <t>户家塬镇</t>
  </si>
  <si>
    <t>Jiàlù Xiāng</t>
  </si>
  <si>
    <t>驾鹿乡</t>
  </si>
  <si>
    <t>Jiézi Xiāng</t>
  </si>
  <si>
    <t>结子乡</t>
  </si>
  <si>
    <t>Jĭngcūn Zhèn</t>
  </si>
  <si>
    <t>景村镇</t>
  </si>
  <si>
    <t>Jīnlíngsì Zhèn</t>
  </si>
  <si>
    <t>金陵寺镇</t>
  </si>
  <si>
    <t>Jīnsīxiá Zhèn [incl. Liángjiāwān Zhèn, Tàijíhé Zhèn]</t>
  </si>
  <si>
    <t>金丝峡镇</t>
  </si>
  <si>
    <t>Jiŭjiānfáng Xiāng</t>
  </si>
  <si>
    <t>九间房乡</t>
  </si>
  <si>
    <t>Liănglĭng Zhèn</t>
  </si>
  <si>
    <t>两岭镇</t>
  </si>
  <si>
    <t>Liánhuāchí Xiāng</t>
  </si>
  <si>
    <t>莲花池乡</t>
  </si>
  <si>
    <t>Lĭmiào Xiāng</t>
  </si>
  <si>
    <t>李庙乡</t>
  </si>
  <si>
    <t>Língkŏu Zhèn [incl. Miàotái Xiāng, Shàngsìdiàn Xiāng]</t>
  </si>
  <si>
    <t>灵口镇</t>
  </si>
  <si>
    <t>Línglóng Xiāng [→ Mĭliáng Zhèn, Dàpíng Zhèn]</t>
  </si>
  <si>
    <t>灵龙乡</t>
  </si>
  <si>
    <t>Liúwān Jiēdào</t>
  </si>
  <si>
    <t>刘湾街道</t>
  </si>
  <si>
    <t>Liúxiānpíng Xiāng</t>
  </si>
  <si>
    <t>留仙坪乡</t>
  </si>
  <si>
    <t>Lóngjūzhài Jiēdào [incl. Yuèrì Xiāng, Zīyù Xiāng]</t>
  </si>
  <si>
    <t>龙驹寨街道</t>
  </si>
  <si>
    <t>Lóngwángmiào Xiāng</t>
  </si>
  <si>
    <t>龙王庙乡</t>
  </si>
  <si>
    <t>Luánzhuāng Zhèn [incl. Táopíng Xiāng]</t>
  </si>
  <si>
    <t>峦庄镇</t>
  </si>
  <si>
    <t>Luòyuán Zhèn</t>
  </si>
  <si>
    <t>洛源镇</t>
  </si>
  <si>
    <t>Măjiātái Xiāng</t>
  </si>
  <si>
    <t>马家台乡</t>
  </si>
  <si>
    <t>Májiē Zhèn</t>
  </si>
  <si>
    <t>麻街镇</t>
  </si>
  <si>
    <t>Mànchuānguān Zhèn</t>
  </si>
  <si>
    <t>漫川关镇</t>
  </si>
  <si>
    <t>Máolĭgăng Xiāng</t>
  </si>
  <si>
    <t>毛里岗乡</t>
  </si>
  <si>
    <t>Máopíng Huízú Zhèn</t>
  </si>
  <si>
    <t>茅坪回族镇</t>
  </si>
  <si>
    <t>Miàogōu Zhèn</t>
  </si>
  <si>
    <t>庙沟镇</t>
  </si>
  <si>
    <t>Miàopíng Xiāng</t>
  </si>
  <si>
    <t>庙坪乡</t>
  </si>
  <si>
    <t>Mĭliáng Zhèn</t>
  </si>
  <si>
    <t>米粮镇</t>
  </si>
  <si>
    <t>Mùhùguān Zhèn [incl. Hēilóngkŏu Zhèn]</t>
  </si>
  <si>
    <t>牧护关镇</t>
  </si>
  <si>
    <t>Mùwáng Zhèn [incl. Yángsì Xiāng]</t>
  </si>
  <si>
    <t>木王镇</t>
  </si>
  <si>
    <t>Nánkuānpíng Zhèn</t>
  </si>
  <si>
    <t>南宽坪镇</t>
  </si>
  <si>
    <t>Púyù Xiāng</t>
  </si>
  <si>
    <t>蒲峪乡</t>
  </si>
  <si>
    <t>Qiányòu Jiēdào</t>
  </si>
  <si>
    <t>乾佑街道</t>
  </si>
  <si>
    <t>Qīngshān Zhèn</t>
  </si>
  <si>
    <t>青山镇</t>
  </si>
  <si>
    <t>Qīngtóngguān Zhèn</t>
  </si>
  <si>
    <t>青铜关镇</t>
  </si>
  <si>
    <t>Qīngyóuhé Zhèn</t>
  </si>
  <si>
    <t>清油河镇</t>
  </si>
  <si>
    <t>Sānchàhé Zhèn</t>
  </si>
  <si>
    <t>三岔河镇</t>
  </si>
  <si>
    <t>Sānyào Zhèn</t>
  </si>
  <si>
    <t>三要镇</t>
  </si>
  <si>
    <t>Sèhépū Zhèn [incl. Yuánzijiē Zhèn]</t>
  </si>
  <si>
    <t>色河铺镇</t>
  </si>
  <si>
    <t>Shāhézi Zhèn</t>
  </si>
  <si>
    <t>沙河子镇</t>
  </si>
  <si>
    <t>Shāng Zhèn</t>
  </si>
  <si>
    <t>商镇</t>
  </si>
  <si>
    <t>Shífósì Xiāng [→ Xīzhàochuān Zhèn, Mànchuānguān Zhèn]</t>
  </si>
  <si>
    <t>石佛寺乡</t>
  </si>
  <si>
    <t>Shílĭpíng Zhèn</t>
  </si>
  <si>
    <t>十里坪镇</t>
  </si>
  <si>
    <t>Shìmă Zhèn</t>
  </si>
  <si>
    <t>试马镇</t>
  </si>
  <si>
    <t>Shípō Zhèn</t>
  </si>
  <si>
    <t>石坡镇</t>
  </si>
  <si>
    <t>Shuāngcáo Xiāng</t>
  </si>
  <si>
    <t>双槽乡</t>
  </si>
  <si>
    <t>Sì'ĕr Zhèn</t>
  </si>
  <si>
    <t>寺耳镇</t>
  </si>
  <si>
    <t>Sìhào Jiēdào [incl. Xièwān Xiāng]</t>
  </si>
  <si>
    <t>四皓街道</t>
  </si>
  <si>
    <t>Sìpíng Zhèn</t>
  </si>
  <si>
    <t>寺坪镇</t>
  </si>
  <si>
    <t>Tiānzhúshān Zhèn [Chánggōu Zhèn]</t>
  </si>
  <si>
    <t>天竺山镇</t>
  </si>
  <si>
    <t>Tiĕchăng Zhèn</t>
  </si>
  <si>
    <t>铁厂镇</t>
  </si>
  <si>
    <t>Tiĕyùpū Zhèn</t>
  </si>
  <si>
    <t>铁峪铺镇</t>
  </si>
  <si>
    <t>Tŭmén Zhèn</t>
  </si>
  <si>
    <t>土门镇</t>
  </si>
  <si>
    <t>Wăfángkŏu Zhèn</t>
  </si>
  <si>
    <t>瓦房口镇</t>
  </si>
  <si>
    <t>Wánglĭng Xiāng</t>
  </si>
  <si>
    <t>王岭乡</t>
  </si>
  <si>
    <t>Wángyán Zhèn [incl. Tiānqiáo Xiāng]</t>
  </si>
  <si>
    <t>王阎镇</t>
  </si>
  <si>
    <t>Wángzhuāng Xiāng</t>
  </si>
  <si>
    <t>王庄乡</t>
  </si>
  <si>
    <t>Wŭguān Zhèn [incl. Bĕizhàochuān Xiāng]</t>
  </si>
  <si>
    <t>武关镇</t>
  </si>
  <si>
    <t>Wŭzhú Xiāng</t>
  </si>
  <si>
    <t>伍竹乡</t>
  </si>
  <si>
    <t>Xiàliáng Zhèn [incl. Shíwèng Zhèn]</t>
  </si>
  <si>
    <t>下梁镇</t>
  </si>
  <si>
    <t>Xiānghé Zhèn [incl. Báilàng Zhèn]</t>
  </si>
  <si>
    <t>湘河镇</t>
  </si>
  <si>
    <t>Xiăohékŏu Zhèn [incl. Èryùhé Xiāng]</t>
  </si>
  <si>
    <t>小河口镇</t>
  </si>
  <si>
    <t>Xiăolĭng Zhèn</t>
  </si>
  <si>
    <t>小岭镇</t>
  </si>
  <si>
    <t>Xiàoyì Zhèn</t>
  </si>
  <si>
    <t>孝义镇</t>
  </si>
  <si>
    <t>Xīgōu Xiāng</t>
  </si>
  <si>
    <t>西沟乡</t>
  </si>
  <si>
    <t>Xīkŏu Huízú Zhèn</t>
  </si>
  <si>
    <t>西口回族镇</t>
  </si>
  <si>
    <t>Xìngpíng Zhèn [incl. Cháizhuāng Xiāng]</t>
  </si>
  <si>
    <t>杏坪镇</t>
  </si>
  <si>
    <t>Xīquán Xiāng</t>
  </si>
  <si>
    <t>西泉乡</t>
  </si>
  <si>
    <t>Xīzhàochuān Zhèn</t>
  </si>
  <si>
    <t>西照川镇</t>
  </si>
  <si>
    <t>Xúnjiăn Zhèn</t>
  </si>
  <si>
    <t>巡检镇</t>
  </si>
  <si>
    <t>Yáncūn Zhèn [incl. Shàngguānfāng Xiāng]</t>
  </si>
  <si>
    <t>闫村镇</t>
  </si>
  <si>
    <t>Yángdì Zhèn</t>
  </si>
  <si>
    <t>杨地镇</t>
  </si>
  <si>
    <t>Yángxié Zhèn [incl. Yànchíhé Xiāng, Máchíhé Xiāng]</t>
  </si>
  <si>
    <t>杨斜镇</t>
  </si>
  <si>
    <t>Yángyùhé Zhèn</t>
  </si>
  <si>
    <t>杨峪河镇</t>
  </si>
  <si>
    <t>Yánpíng Zhèn</t>
  </si>
  <si>
    <t>延坪镇</t>
  </si>
  <si>
    <t>Yāoshì Zhèn</t>
  </si>
  <si>
    <t>腰市镇</t>
  </si>
  <si>
    <t>Yècūn Zhèn</t>
  </si>
  <si>
    <t>夜村镇</t>
  </si>
  <si>
    <t>Yíngpán Zhèn [incl. Liănghé Xiāng, Fēngbĕihé Xiāng]</t>
  </si>
  <si>
    <t>营盘镇</t>
  </si>
  <si>
    <t>Yínhuā Zhèn</t>
  </si>
  <si>
    <t>银花镇</t>
  </si>
  <si>
    <t>Yŏngfēng Zhèn [Zhèn]</t>
  </si>
  <si>
    <t>永丰镇</t>
  </si>
  <si>
    <t>Yŏnglè Jiēdào</t>
  </si>
  <si>
    <t>永乐街道</t>
  </si>
  <si>
    <t>Yuèhé Zhèn [incl. Dōngchuān Zhèn]</t>
  </si>
  <si>
    <t>月河镇</t>
  </si>
  <si>
    <t>Yŭlĭng Zhèn</t>
  </si>
  <si>
    <t>庾岭镇</t>
  </si>
  <si>
    <t>Yúngàisì Zhèn</t>
  </si>
  <si>
    <t>云盖寺镇</t>
  </si>
  <si>
    <t>Zhāngcūn Zhèn</t>
  </si>
  <si>
    <t>张村镇</t>
  </si>
  <si>
    <t>Zhàochuān Zhèn [incl. Wèijiātái Xiāng]</t>
  </si>
  <si>
    <t>赵川镇</t>
  </si>
  <si>
    <t>Zhōngcūn Zhèn</t>
  </si>
  <si>
    <t>中村镇</t>
  </si>
  <si>
    <t>Zhúlínguān Zhèn</t>
  </si>
  <si>
    <t>竹林关镇</t>
  </si>
  <si>
    <t>Āzhuāng Zhèn</t>
  </si>
  <si>
    <t>阿庄镇</t>
  </si>
  <si>
    <t>Yìntái Qū</t>
  </si>
  <si>
    <t>宜阳街道</t>
  </si>
  <si>
    <t>Yíjūn Xiàn</t>
  </si>
  <si>
    <t>Chénlú Zhèn</t>
  </si>
  <si>
    <t>陈炉镇</t>
  </si>
  <si>
    <t>Dŏngjiāhé Zhèn</t>
  </si>
  <si>
    <t>董家河镇</t>
  </si>
  <si>
    <t>Yàozhōu Qū</t>
  </si>
  <si>
    <t>Guăngyáng Zhèn [incl. Gāolóuhé Xiāng]</t>
  </si>
  <si>
    <t>广阳镇</t>
  </si>
  <si>
    <t>Guānzhuāng Zhèn</t>
  </si>
  <si>
    <t>关庄镇</t>
  </si>
  <si>
    <t>Hóngqíjiē Jiēdào [Hóngqí Jiēdào]</t>
  </si>
  <si>
    <t>红旗街街道</t>
  </si>
  <si>
    <t>Wángyì Qū</t>
  </si>
  <si>
    <t>Hóngtŭ Zhèn</t>
  </si>
  <si>
    <t>红土镇</t>
  </si>
  <si>
    <t>Huángbăo Zhèn</t>
  </si>
  <si>
    <t>黄堡镇</t>
  </si>
  <si>
    <t>Jīnsuŏguān Zhèn [incl. Yùhuá Zhèn]</t>
  </si>
  <si>
    <t>金锁关镇</t>
  </si>
  <si>
    <t>Jǐnyánglù Jiēdào [Sìgōu Zhèn]</t>
  </si>
  <si>
    <t>锦阳路街道</t>
  </si>
  <si>
    <t>Kūquán Zhèn</t>
  </si>
  <si>
    <t>哭泉镇</t>
  </si>
  <si>
    <t>Miàowān Zhèn [incl. Liŭlín Zhèn]</t>
  </si>
  <si>
    <t>庙湾镇</t>
  </si>
  <si>
    <t>Péng Zhèn</t>
  </si>
  <si>
    <t>彭镇</t>
  </si>
  <si>
    <t>Pōtóu Jiēdào</t>
  </si>
  <si>
    <t>坡头街道</t>
  </si>
  <si>
    <t>Qīngniánlù Jiēdào</t>
  </si>
  <si>
    <t>青年路街道</t>
  </si>
  <si>
    <t>Qípán Zhèn</t>
  </si>
  <si>
    <t>棋盘镇</t>
  </si>
  <si>
    <t>Qīyīlù Jiēdào</t>
  </si>
  <si>
    <t>七一路街道</t>
  </si>
  <si>
    <t>Sānlĭdòng Jiēdào</t>
  </si>
  <si>
    <t>三里洞街道</t>
  </si>
  <si>
    <t>Shízhù Zhèn [incl. Yănchí Xiāng]</t>
  </si>
  <si>
    <t>石柱镇</t>
  </si>
  <si>
    <t>Sūnyuán Zhèn</t>
  </si>
  <si>
    <t>孙原镇</t>
  </si>
  <si>
    <t>Tài'ān Zhèn</t>
  </si>
  <si>
    <t>太安镇</t>
  </si>
  <si>
    <t>Táoyuán Jiēdào</t>
  </si>
  <si>
    <t>桃园街道</t>
  </si>
  <si>
    <t>Tiānbăolù Jiēdào</t>
  </si>
  <si>
    <t>天宝路街道</t>
  </si>
  <si>
    <t>Wángjiāhé Jiēdào</t>
  </si>
  <si>
    <t>王家河街道</t>
  </si>
  <si>
    <t>Wángshí'āo Jiēdào</t>
  </si>
  <si>
    <t>王石凹街道</t>
  </si>
  <si>
    <t>Wángyì Jiēdào</t>
  </si>
  <si>
    <t>王益街道</t>
  </si>
  <si>
    <t>Wŭlĭ Zhèn [incl. Xīcūn Xiāng]</t>
  </si>
  <si>
    <t>Xiánfēnglù Jiēdào</t>
  </si>
  <si>
    <t>咸丰路街道</t>
  </si>
  <si>
    <t>Xiăoqiū Zhèn</t>
  </si>
  <si>
    <t>小丘镇</t>
  </si>
  <si>
    <t>Yáoqŭ Zhèn</t>
  </si>
  <si>
    <t>瑶曲镇</t>
  </si>
  <si>
    <t>Yáoshēng Zhèn [incl. Léiyuán Xiāng]</t>
  </si>
  <si>
    <t>尧生镇</t>
  </si>
  <si>
    <t>Yìntái Jiēdào</t>
  </si>
  <si>
    <t>印台街道</t>
  </si>
  <si>
    <t>Yŏng'ānlù Jiēdào</t>
  </si>
  <si>
    <t>永安路街道</t>
  </si>
  <si>
    <t>Yúnmèng Xiāng</t>
  </si>
  <si>
    <t>云梦乡</t>
  </si>
  <si>
    <t>Zhàojīn Zhèn</t>
  </si>
  <si>
    <t>照金镇</t>
  </si>
  <si>
    <t>Zhèngyánglù Jiēdào</t>
  </si>
  <si>
    <t>正阳路街道</t>
  </si>
  <si>
    <t>Ānlĭ Zhèn</t>
  </si>
  <si>
    <t>安里镇</t>
  </si>
  <si>
    <t>Chéngchéng Xiàn</t>
  </si>
  <si>
    <t>Ānrén Zhèn</t>
  </si>
  <si>
    <t>安仁镇</t>
  </si>
  <si>
    <t>Dàlì Xiàn</t>
  </si>
  <si>
    <t>Băiliáng Zhèn</t>
  </si>
  <si>
    <t>百良镇</t>
  </si>
  <si>
    <t>Héyáng Xiàn</t>
  </si>
  <si>
    <t>Báimiào Xiāng</t>
  </si>
  <si>
    <t>白庙乡</t>
  </si>
  <si>
    <t>Fùpíng Xiàn</t>
  </si>
  <si>
    <t>Hánchéng Shì</t>
  </si>
  <si>
    <t>Bĕijĭngtóu Xiāng</t>
  </si>
  <si>
    <t>北井头乡</t>
  </si>
  <si>
    <t>Báishuĭ Xiàn</t>
  </si>
  <si>
    <t>Bĕishè Xiāng</t>
  </si>
  <si>
    <t>北社乡</t>
  </si>
  <si>
    <t>Huáyīn Shì</t>
  </si>
  <si>
    <t>Bĕiyuán Zhèn</t>
  </si>
  <si>
    <t>北塬镇</t>
  </si>
  <si>
    <t>Bìjiā Xiāng</t>
  </si>
  <si>
    <t>毕家乡</t>
  </si>
  <si>
    <t>Huázhōu Qū</t>
  </si>
  <si>
    <t>Bóshì Xiāng</t>
  </si>
  <si>
    <t>伯士乡</t>
  </si>
  <si>
    <t>Bùchāng Xiāng</t>
  </si>
  <si>
    <t>步昌乡</t>
  </si>
  <si>
    <t>Cáocūn Zhèn</t>
  </si>
  <si>
    <t>曹村镇</t>
  </si>
  <si>
    <t>Cháoyì Zhèn</t>
  </si>
  <si>
    <t>朝邑镇</t>
  </si>
  <si>
    <t>Chéngguān Jiēdào [incl. Ānlè Xiāng]</t>
  </si>
  <si>
    <t>Tóngguān Xiàn</t>
  </si>
  <si>
    <t>Chéngguān Jiēdào [incl. Féngléi Zhèn]</t>
  </si>
  <si>
    <t>Chéngguān Jiēdào [incl. Dùcūn Zhèn, Huázhū Xiāng, Dōngshàngguān Xiāng]</t>
  </si>
  <si>
    <t>Chéngguān Zhèn [→ Fèngxiān Jiēdào, Zǐjīng Jiēdào]</t>
  </si>
  <si>
    <t>Púchéng Xiàn</t>
  </si>
  <si>
    <t>Chénzhuāng Zhèn</t>
  </si>
  <si>
    <t>陈庄镇</t>
  </si>
  <si>
    <t>Chìshuĭ Zhèn</t>
  </si>
  <si>
    <t>赤水镇</t>
  </si>
  <si>
    <t>Chóngníng Zhèn</t>
  </si>
  <si>
    <t>崇宁镇</t>
  </si>
  <si>
    <t>Línwèi Qū</t>
  </si>
  <si>
    <t>Chóngyèlù Jiēdào</t>
  </si>
  <si>
    <t>崇业路街道</t>
  </si>
  <si>
    <t>Chūnlín Zhèn</t>
  </si>
  <si>
    <t>椿林镇</t>
  </si>
  <si>
    <t>Dàizìyíng Zhèn</t>
  </si>
  <si>
    <t>代字营镇</t>
  </si>
  <si>
    <t>Dàmíng Zhèn</t>
  </si>
  <si>
    <t>大明镇</t>
  </si>
  <si>
    <t>Dàncūn Zhèn</t>
  </si>
  <si>
    <t>淡村镇</t>
  </si>
  <si>
    <t>Dăngmù Zhèn</t>
  </si>
  <si>
    <t>党睦镇</t>
  </si>
  <si>
    <t>Dàoxián Zhèn [incl. Xiăohuì Xiāng]</t>
  </si>
  <si>
    <t>到贤镇</t>
  </si>
  <si>
    <t>Dàwáng Xiāng</t>
  </si>
  <si>
    <t>大王乡</t>
  </si>
  <si>
    <t>Dĭdiàn Xiāng</t>
  </si>
  <si>
    <t>底店乡</t>
  </si>
  <si>
    <t>Dōngchéng Jiēdào [Chéngguān Zhèn]</t>
  </si>
  <si>
    <t>东城街道</t>
  </si>
  <si>
    <t>Dōngyáng Xiāng</t>
  </si>
  <si>
    <t>东阳乡</t>
  </si>
  <si>
    <t>Dùkāng Zhèn</t>
  </si>
  <si>
    <t>杜康镇</t>
  </si>
  <si>
    <t>Dùqiáo Jiēdào</t>
  </si>
  <si>
    <t>杜桥街道</t>
  </si>
  <si>
    <t>Dúquán Xiāng</t>
  </si>
  <si>
    <t>独泉乡</t>
  </si>
  <si>
    <t>Fāng Zhèn</t>
  </si>
  <si>
    <t>坊镇</t>
  </si>
  <si>
    <t>Fànjiā Zhèn</t>
  </si>
  <si>
    <t>范家镇</t>
  </si>
  <si>
    <t>Féngcūn Zhèn</t>
  </si>
  <si>
    <t>冯村镇</t>
  </si>
  <si>
    <t>Fēngyuán Zhèn</t>
  </si>
  <si>
    <t>丰原镇</t>
  </si>
  <si>
    <t>Féngyuán Zhèn</t>
  </si>
  <si>
    <t>冯原镇</t>
  </si>
  <si>
    <t>Gānjĭng Zhèn</t>
  </si>
  <si>
    <t>甘井镇</t>
  </si>
  <si>
    <t>Gāoqiáo Xiāng</t>
  </si>
  <si>
    <t>高桥乡</t>
  </si>
  <si>
    <t>Gāotáng Zhèn</t>
  </si>
  <si>
    <t>高塘镇</t>
  </si>
  <si>
    <t>Gāoyáng Zhèn</t>
  </si>
  <si>
    <t>高阳镇</t>
  </si>
  <si>
    <t>Gōnglĭ Zhèn</t>
  </si>
  <si>
    <t>宫里镇</t>
  </si>
  <si>
    <t>Guānchí Zhèn</t>
  </si>
  <si>
    <t>官池镇</t>
  </si>
  <si>
    <t>Guāndào Zhèn</t>
  </si>
  <si>
    <t>官道镇</t>
  </si>
  <si>
    <t>Guāndĭ Zhèn</t>
  </si>
  <si>
    <t>官底镇</t>
  </si>
  <si>
    <t>Guānlù Zhèn</t>
  </si>
  <si>
    <t>官路镇</t>
  </si>
  <si>
    <t>Guāpō Zhèn</t>
  </si>
  <si>
    <t>瓜坡镇</t>
  </si>
  <si>
    <t>Guóyíng Shănxī Huánghé Qĭyè Gōngsī</t>
  </si>
  <si>
    <t>国营陕西黄河企业公司</t>
  </si>
  <si>
    <t>Township-like Area</t>
  </si>
  <si>
    <t>Guóyíng Shănxī Huáshān Qĭyè Gōngsī</t>
  </si>
  <si>
    <t>国营陕西华山企业公司</t>
  </si>
  <si>
    <t>Guóyíng Shănxī Lìbĕi Qĭyè Gōngsī</t>
  </si>
  <si>
    <t>国营陕西荔北企业公司</t>
  </si>
  <si>
    <t>Guóyíng Shănxī Shāyuàn Qĭyè Gōngsī</t>
  </si>
  <si>
    <t>国营陕西沙苑企业公司</t>
  </si>
  <si>
    <t>Gùshì Zhèn</t>
  </si>
  <si>
    <t>故市镇</t>
  </si>
  <si>
    <t>Hănjĭng Zhèn</t>
  </si>
  <si>
    <t>罕井镇</t>
  </si>
  <si>
    <t>Hēichí Zhèn</t>
  </si>
  <si>
    <t>黑池镇</t>
  </si>
  <si>
    <t>Héjiāzhuāng Zhèn</t>
  </si>
  <si>
    <t>和家庄镇</t>
  </si>
  <si>
    <t>Huàshān Zhèn [incl. Yùquán Jiēdào, Wŭfāng Xiāng]</t>
  </si>
  <si>
    <t>华山镇</t>
  </si>
  <si>
    <t>Huáxī Zhèn</t>
  </si>
  <si>
    <t>华西镇</t>
  </si>
  <si>
    <t>Huázhōu Jiēdào</t>
  </si>
  <si>
    <t>华州街道</t>
  </si>
  <si>
    <t>Hùjiā Xiāng</t>
  </si>
  <si>
    <t>户家乡</t>
  </si>
  <si>
    <t>Jiāodào Zhèn</t>
  </si>
  <si>
    <t>交道镇</t>
  </si>
  <si>
    <t>Jiāoxié Zhèn</t>
  </si>
  <si>
    <t>交斜镇</t>
  </si>
  <si>
    <t>Jiăqŭ Xiāng</t>
  </si>
  <si>
    <t>贾曲乡</t>
  </si>
  <si>
    <t>Jiĕfàng Jiēdào</t>
  </si>
  <si>
    <t>解放街道</t>
  </si>
  <si>
    <t>Jīnchéng Jiēdào</t>
  </si>
  <si>
    <t>金城街道</t>
  </si>
  <si>
    <t>Jīnduī Zhèn</t>
  </si>
  <si>
    <t>金堆镇</t>
  </si>
  <si>
    <t>Jīngyáo Zhèn</t>
  </si>
  <si>
    <t>荆姚镇</t>
  </si>
  <si>
    <t>Jīnhuì Xiāng</t>
  </si>
  <si>
    <t>金惠乡</t>
  </si>
  <si>
    <t>Jīnyù Zhèn [incl. Huángfŭzhuāng Zhèn, Fánglŭzhài Xiāng]</t>
  </si>
  <si>
    <t>金峪镇</t>
  </si>
  <si>
    <t>Lăomiào Zhèn</t>
  </si>
  <si>
    <t>老庙镇</t>
  </si>
  <si>
    <t>Léicūn Xiāng</t>
  </si>
  <si>
    <t>雷村乡</t>
  </si>
  <si>
    <t>Léijiāwā Xiāng</t>
  </si>
  <si>
    <t>雷家洼乡</t>
  </si>
  <si>
    <t>Léiyá Zhèn</t>
  </si>
  <si>
    <t>雷牙镇</t>
  </si>
  <si>
    <t>Liángtián Jiēdào</t>
  </si>
  <si>
    <t>良田街道</t>
  </si>
  <si>
    <t>Liăngyí Zhèn [incl. Gāomíng Zhèn]</t>
  </si>
  <si>
    <t>两宜镇</t>
  </si>
  <si>
    <t>Liánhuāsì Zhèn</t>
  </si>
  <si>
    <t>莲花寺镇</t>
  </si>
  <si>
    <t>Lìndiàn Zhèn</t>
  </si>
  <si>
    <t>吝店镇</t>
  </si>
  <si>
    <t>Língāo Zhèn [incl. Yúntái Xiāng]</t>
  </si>
  <si>
    <t>林皋镇</t>
  </si>
  <si>
    <t>Liúgŭ Zhèn</t>
  </si>
  <si>
    <t>留古镇</t>
  </si>
  <si>
    <t>Liújí Zhèn</t>
  </si>
  <si>
    <t>刘集镇</t>
  </si>
  <si>
    <t>Liúqŭ Zhèn [incl. Wángliáo Zhèn]</t>
  </si>
  <si>
    <t>流曲镇</t>
  </si>
  <si>
    <t>Liŭzhī Zhèn</t>
  </si>
  <si>
    <t>柳枝镇</t>
  </si>
  <si>
    <t>Lóngbèi Jiēdào</t>
  </si>
  <si>
    <t>龙背街道</t>
  </si>
  <si>
    <t>Lóngchí Zhèn</t>
  </si>
  <si>
    <t>龙池镇</t>
  </si>
  <si>
    <t>Lóngmén Zhèn</t>
  </si>
  <si>
    <t>龙门镇</t>
  </si>
  <si>
    <t>Lóngyáng Zhèn</t>
  </si>
  <si>
    <t>龙阳镇</t>
  </si>
  <si>
    <t>Lùjĭng Zhèn</t>
  </si>
  <si>
    <t>路井镇</t>
  </si>
  <si>
    <t>Luòbīn Zhèn</t>
  </si>
  <si>
    <t>洛滨镇</t>
  </si>
  <si>
    <t>Luōfū Zhèn [Fūshuĭ Zhèn]</t>
  </si>
  <si>
    <t>罗敷镇</t>
  </si>
  <si>
    <t>Luójiāwā Xiāng</t>
  </si>
  <si>
    <t>罗家洼乡</t>
  </si>
  <si>
    <t>Măjiāzhuāng Xiāng</t>
  </si>
  <si>
    <t>马家庄乡</t>
  </si>
  <si>
    <t>Méijiāpíng Zhèn</t>
  </si>
  <si>
    <t>梅家坪镇</t>
  </si>
  <si>
    <t>Mĕiyuán Zhèn</t>
  </si>
  <si>
    <t>美原镇</t>
  </si>
  <si>
    <t>Mèngyuán Zhèn</t>
  </si>
  <si>
    <t>孟塬镇</t>
  </si>
  <si>
    <t>Mìzi Xiāng</t>
  </si>
  <si>
    <t>觅子乡</t>
  </si>
  <si>
    <t>Nánshè Xiāng</t>
  </si>
  <si>
    <t>南社乡</t>
  </si>
  <si>
    <t>Nánshī Xiāng</t>
  </si>
  <si>
    <t>南师乡</t>
  </si>
  <si>
    <t>Nántóu Xiāng</t>
  </si>
  <si>
    <t>南头乡</t>
  </si>
  <si>
    <t>Niànqiáo Zhèn</t>
  </si>
  <si>
    <t>埝桥镇</t>
  </si>
  <si>
    <t>Pínglùmiào Xiāng</t>
  </si>
  <si>
    <t>平路庙乡</t>
  </si>
  <si>
    <t>Píngxìn Xiāng</t>
  </si>
  <si>
    <t>凭信乡</t>
  </si>
  <si>
    <t>Pōtóu Zhèn</t>
  </si>
  <si>
    <t>坡头镇</t>
  </si>
  <si>
    <t>Qiàchuān Zhèn</t>
  </si>
  <si>
    <t>洽川镇</t>
  </si>
  <si>
    <t>Qiāngbái Zhèn [incl. Bāyú Xiāng]</t>
  </si>
  <si>
    <t>羌白镇</t>
  </si>
  <si>
    <t>Qiáolíng Zhèn [incl. Sānhé Xiāng, Dàkŏng Xiāng]</t>
  </si>
  <si>
    <t>桥陵镇</t>
  </si>
  <si>
    <t>Qiáonán Zhèn</t>
  </si>
  <si>
    <t>桥南镇</t>
  </si>
  <si>
    <t>Qícūn Zhèn</t>
  </si>
  <si>
    <t>齐村镇</t>
  </si>
  <si>
    <t>Qíndōng Zhèn</t>
  </si>
  <si>
    <t>秦东镇</t>
  </si>
  <si>
    <t>Rénmín Jiēdào</t>
  </si>
  <si>
    <t>人民街道</t>
  </si>
  <si>
    <t>Sāngshùpíng Zhèn [incl. Wángfēng Xiāng]</t>
  </si>
  <si>
    <t>桑树坪镇</t>
  </si>
  <si>
    <t>Sānzhāng Zhèn</t>
  </si>
  <si>
    <t>三张镇</t>
  </si>
  <si>
    <t>Shādĭ Xiāng</t>
  </si>
  <si>
    <t>沙底乡</t>
  </si>
  <si>
    <t>Shànhuà Xiāng</t>
  </si>
  <si>
    <t>善化乡</t>
  </si>
  <si>
    <t>Shícáo Xiāng</t>
  </si>
  <si>
    <t>石槽乡</t>
  </si>
  <si>
    <t>Shĭguān Zhèn</t>
  </si>
  <si>
    <t>史官镇</t>
  </si>
  <si>
    <t>Shōushuĭ Xiāng</t>
  </si>
  <si>
    <t>收水乡</t>
  </si>
  <si>
    <t>Shuāngquán Zhèn</t>
  </si>
  <si>
    <t>双泉镇</t>
  </si>
  <si>
    <t>Shuāngwáng Jiēdào</t>
  </si>
  <si>
    <t>双王街道</t>
  </si>
  <si>
    <t>Sìqián Zhèn</t>
  </si>
  <si>
    <t>寺前镇</t>
  </si>
  <si>
    <t>Sūcūn Zhèn</t>
  </si>
  <si>
    <t>苏村镇</t>
  </si>
  <si>
    <t>Sūfāng Zhèn</t>
  </si>
  <si>
    <t>苏坊镇</t>
  </si>
  <si>
    <t>Sūn Zhèn [incl. Dōngchén Zhèn]</t>
  </si>
  <si>
    <t>孙镇</t>
  </si>
  <si>
    <t>Tàihuálù Jiēdào</t>
  </si>
  <si>
    <t>太华路街道</t>
  </si>
  <si>
    <t>Tàiyào Zhèn</t>
  </si>
  <si>
    <t>太要镇</t>
  </si>
  <si>
    <t>Táoxià Zhèn</t>
  </si>
  <si>
    <t>桃下镇</t>
  </si>
  <si>
    <t>Tiánshì Zhèn</t>
  </si>
  <si>
    <t>田市镇</t>
  </si>
  <si>
    <t>Tóngjiāzhuāng Zhèn</t>
  </si>
  <si>
    <t>同家庄镇</t>
  </si>
  <si>
    <t>Tóngyù Zhèn</t>
  </si>
  <si>
    <t>桐峪镇</t>
  </si>
  <si>
    <t>Wángcūn Zhèn</t>
  </si>
  <si>
    <t>王村镇</t>
  </si>
  <si>
    <t>Wángzhuāng Zhèn [incl. Liújiāwā Xiāng]</t>
  </si>
  <si>
    <t>王庄镇</t>
  </si>
  <si>
    <t>Wéilín Zhèn</t>
  </si>
  <si>
    <t>韦林镇</t>
  </si>
  <si>
    <t>Wèiyù Xiāng</t>
  </si>
  <si>
    <t>卫峪乡</t>
  </si>
  <si>
    <t>Wéizhuāng Zhèn</t>
  </si>
  <si>
    <t>韦庄镇</t>
  </si>
  <si>
    <t>Xiàguī Zhèn [Xiàjí Zhèn]</t>
  </si>
  <si>
    <t>下邽镇</t>
  </si>
  <si>
    <t>Xiàmiào Zhèn</t>
  </si>
  <si>
    <t>下庙镇</t>
  </si>
  <si>
    <t>Xiàngyáng Jiēdào</t>
  </si>
  <si>
    <t>向阳街道</t>
  </si>
  <si>
    <t>Xiàzhài Zhèn</t>
  </si>
  <si>
    <t>下寨镇</t>
  </si>
  <si>
    <t>Xīgù Zhèn</t>
  </si>
  <si>
    <t>西固镇</t>
  </si>
  <si>
    <t>Xīnchí Zhèn</t>
  </si>
  <si>
    <t>新池镇</t>
  </si>
  <si>
    <t>Xīng Zhèn</t>
  </si>
  <si>
    <t>兴镇</t>
  </si>
  <si>
    <t>Xīnshì Jiēdào</t>
  </si>
  <si>
    <t>辛市街道</t>
  </si>
  <si>
    <t>Xìnyì Jiēdào</t>
  </si>
  <si>
    <t>信义街道</t>
  </si>
  <si>
    <t>Xīnzhuāng Xiāng</t>
  </si>
  <si>
    <t>辛庄乡</t>
  </si>
  <si>
    <t>Xīzhài Jiēdào</t>
  </si>
  <si>
    <t>西城街道</t>
  </si>
  <si>
    <t>Xīzhuāng Zhèn [incl. Zăncūn Zhèn]</t>
  </si>
  <si>
    <t>西庄镇</t>
  </si>
  <si>
    <t>Xuēfēng Xiāng</t>
  </si>
  <si>
    <t>薛峰乡</t>
  </si>
  <si>
    <t>Xuē Zhèn</t>
  </si>
  <si>
    <t>薛镇</t>
  </si>
  <si>
    <t>Xŭzhuāng Zhèn</t>
  </si>
  <si>
    <t>许庄镇</t>
  </si>
  <si>
    <t>Yáncūn Zhèn</t>
  </si>
  <si>
    <t>阎村镇</t>
  </si>
  <si>
    <t>Yángguō Zhèn</t>
  </si>
  <si>
    <t>阳郭镇</t>
  </si>
  <si>
    <t>Yángjiāzhuāng Xiāng</t>
  </si>
  <si>
    <t>杨家庄乡</t>
  </si>
  <si>
    <t>Yáohé Zhèn</t>
  </si>
  <si>
    <t>尧禾镇</t>
  </si>
  <si>
    <t>Yáoshān Zhèn [incl. Shàngwáng Xiāng, Xiángcūn Xiāng]</t>
  </si>
  <si>
    <t>尧山镇</t>
  </si>
  <si>
    <t>Yáotóu Zhèn</t>
  </si>
  <si>
    <t>尧头镇</t>
  </si>
  <si>
    <t>Yŏngfēng Zhèn</t>
  </si>
  <si>
    <t>Yuánrèn Xiāng</t>
  </si>
  <si>
    <t>原任乡</t>
  </si>
  <si>
    <t>Yuèmiào Jiēdào</t>
  </si>
  <si>
    <t>岳庙街道</t>
  </si>
  <si>
    <t>Yùlĭng Xiāng</t>
  </si>
  <si>
    <t>峪岭乡</t>
  </si>
  <si>
    <t>Zhāngjiā Xiāng</t>
  </si>
  <si>
    <t>张家乡</t>
  </si>
  <si>
    <t>Zhāngqiáo Zhèn</t>
  </si>
  <si>
    <t>张桥镇</t>
  </si>
  <si>
    <t>Zhànnán Jiēdào</t>
  </si>
  <si>
    <t>站南街道</t>
  </si>
  <si>
    <t>Zhàodù Zhèn [incl. Píngmín Xiāng]</t>
  </si>
  <si>
    <t>赵渡镇</t>
  </si>
  <si>
    <t>Zhàozhuāng Zhèn</t>
  </si>
  <si>
    <t>赵庄镇</t>
  </si>
  <si>
    <t>Zhībăo Xiāng</t>
  </si>
  <si>
    <t>知堡乡</t>
  </si>
  <si>
    <t>Zhīchuān Zhèn [incl. Lóngtíng Zhèn, Wéidōng Xiāng]</t>
  </si>
  <si>
    <t>芝川镇</t>
  </si>
  <si>
    <t>Zhīyáng Zhèn [incl. Qiáozixuán Xiāng]</t>
  </si>
  <si>
    <t>芝阳镇</t>
  </si>
  <si>
    <t>Zhuānglĭ Zhèn</t>
  </si>
  <si>
    <t>庄里镇</t>
  </si>
  <si>
    <t>Zhuāngtóu Zhèn</t>
  </si>
  <si>
    <t>庄头镇</t>
  </si>
  <si>
    <t>Zòngmù Xiāng</t>
  </si>
  <si>
    <t>纵目乡</t>
  </si>
  <si>
    <t>Ānwú Zhèn [incl. Jiănglù Xiāng, Lóngquán Xiāng]</t>
  </si>
  <si>
    <t>安吴镇</t>
  </si>
  <si>
    <t>Jīngyáng Xiàn</t>
  </si>
  <si>
    <t>Bĕijí Zhèn</t>
  </si>
  <si>
    <t>北极镇</t>
  </si>
  <si>
    <t>Bīnzhōu Shì</t>
  </si>
  <si>
    <t>Chángníng Zhèn [incl. Shàngyì Xiāng]</t>
  </si>
  <si>
    <t>常宁镇</t>
  </si>
  <si>
    <t>Yŏngshòu Xiàn</t>
  </si>
  <si>
    <t>Chángníng Zhèn [incl. Hédào Xiāng]</t>
  </si>
  <si>
    <t>长宁镇</t>
  </si>
  <si>
    <t>Wŭgōng Xiàn</t>
  </si>
  <si>
    <t>Chéngguān Jiēdào [incl. Gāoqú Xiāng]</t>
  </si>
  <si>
    <t>Sānyuán Xiàn</t>
  </si>
  <si>
    <t>Chéngguān Jiēdào [incl. Mòxī Xiāng]</t>
  </si>
  <si>
    <t>Qián Xiàn</t>
  </si>
  <si>
    <t>Chéngguān Jiēdào [incl. Yàowángdòng Xiāng, Xīnshí Xiāng]</t>
  </si>
  <si>
    <t>Lĭquán Xiàn</t>
  </si>
  <si>
    <t>Xúnyì Xiàn</t>
  </si>
  <si>
    <t>Chúnhuà Xiàn</t>
  </si>
  <si>
    <t>Chēwù Zhèn</t>
  </si>
  <si>
    <t>车坞镇</t>
  </si>
  <si>
    <t>Chìgān Zhèn</t>
  </si>
  <si>
    <t>叱干镇</t>
  </si>
  <si>
    <t>Cuó'é Zhèn</t>
  </si>
  <si>
    <t>嵯峨镇</t>
  </si>
  <si>
    <t>Dàchéng Zhèn [incl. Xúmù Xiāng]</t>
  </si>
  <si>
    <t>大程镇</t>
  </si>
  <si>
    <t>Dàdiàn Xiāng</t>
  </si>
  <si>
    <t>大店乡</t>
  </si>
  <si>
    <t>Dàijiā Xiāng</t>
  </si>
  <si>
    <t>代家乡</t>
  </si>
  <si>
    <t>Dàyáng Zhèn</t>
  </si>
  <si>
    <t>大杨镇</t>
  </si>
  <si>
    <t>Dàzhài Jiēdào</t>
  </si>
  <si>
    <t>大寨街道</t>
  </si>
  <si>
    <t>Yánglíng Qū</t>
  </si>
  <si>
    <t>Dàzhuāng Zhèn</t>
  </si>
  <si>
    <t>大庄镇</t>
  </si>
  <si>
    <t>Diàntóu Zhèn [incl. Yíjĭng Zhèn]</t>
  </si>
  <si>
    <t>店头镇</t>
  </si>
  <si>
    <t>Diànzhāng Jiēdào</t>
  </si>
  <si>
    <t>店张街道</t>
  </si>
  <si>
    <t>Xīngpíng Shì</t>
  </si>
  <si>
    <t>Dĭmiào Zhèn</t>
  </si>
  <si>
    <t>底庙镇</t>
  </si>
  <si>
    <t>Dīngjiā Zhèn</t>
  </si>
  <si>
    <t>丁家镇</t>
  </si>
  <si>
    <t>Chángwŭ Xiàn</t>
  </si>
  <si>
    <t>Dìzhăng Xiāng</t>
  </si>
  <si>
    <t>地掌乡</t>
  </si>
  <si>
    <t>Dōngchéng Jiēdào</t>
  </si>
  <si>
    <t>Dòujiā Zhèn</t>
  </si>
  <si>
    <t>豆家镇</t>
  </si>
  <si>
    <t>Dúlĭ Zhèn</t>
  </si>
  <si>
    <t>独李镇</t>
  </si>
  <si>
    <t>Fānglĭ Zhèn [incl. Gùxián Xiāng]</t>
  </si>
  <si>
    <t>方里镇</t>
  </si>
  <si>
    <t>Fēnghuŏ Zhèn</t>
  </si>
  <si>
    <t>烽火镇</t>
  </si>
  <si>
    <t>Fēngyáng Zhèn</t>
  </si>
  <si>
    <t>峰阳镇</t>
  </si>
  <si>
    <t>Fēngyí Zhèn</t>
  </si>
  <si>
    <t>丰仪镇</t>
  </si>
  <si>
    <t>Fùzhài Zhèn [incl. Tiánfù Xiāng]</t>
  </si>
  <si>
    <t>阜寨镇</t>
  </si>
  <si>
    <t>Guānzhuāng Zhèn [incl. Hújiāmiào Xiāng]</t>
  </si>
  <si>
    <t>官庄镇</t>
  </si>
  <si>
    <t>Gŭdù Jiēdào</t>
  </si>
  <si>
    <t>古渡街道</t>
  </si>
  <si>
    <t>Qíndū Qū</t>
  </si>
  <si>
    <t>Hánjiā Zhèn [incl. Chējiāzhuāng Xiāng]</t>
  </si>
  <si>
    <t>韩家镇</t>
  </si>
  <si>
    <t>Hóngjiā Zhèn</t>
  </si>
  <si>
    <t>洪家镇</t>
  </si>
  <si>
    <t>Jiāngcūn Zhèn</t>
  </si>
  <si>
    <t>姜村镇</t>
  </si>
  <si>
    <t>Jiānjūn Jiēdào</t>
  </si>
  <si>
    <t>监军街道</t>
  </si>
  <si>
    <t>Jùjiā Zhèn</t>
  </si>
  <si>
    <t>巨家镇</t>
  </si>
  <si>
    <t>Jùnmă Zhèn</t>
  </si>
  <si>
    <t>骏马镇</t>
  </si>
  <si>
    <t>Kŏu Zhèn</t>
  </si>
  <si>
    <t>口镇</t>
  </si>
  <si>
    <t>Liángcūn Zhèn</t>
  </si>
  <si>
    <t>梁村镇</t>
  </si>
  <si>
    <t>Liángshān Zhèn [incl. Guāntóu Xiāng]</t>
  </si>
  <si>
    <t>Língqián Zhèn [incl. Mă'é Zhèn]</t>
  </si>
  <si>
    <t>陵前镇</t>
  </si>
  <si>
    <t>Língyuán Zhèn</t>
  </si>
  <si>
    <t>灵源镇</t>
  </si>
  <si>
    <t>Línpíng Zhèn [incl. Shíniú Xiāng]</t>
  </si>
  <si>
    <t>临平镇</t>
  </si>
  <si>
    <t>Lĭtái Jiēdào [incl. Yángcūn Jiēdào]</t>
  </si>
  <si>
    <t>李台街道</t>
  </si>
  <si>
    <t>Lónggāo Zhèn [incl. Xiāngmiào Xiāng]</t>
  </si>
  <si>
    <t>龙高镇</t>
  </si>
  <si>
    <t>Lŭqiáo Zhèn</t>
  </si>
  <si>
    <t>鲁桥镇</t>
  </si>
  <si>
    <t>Măfāng Zhèn [incl. Yùjiàgōng Xiāng, Dùmă Xiāng]</t>
  </si>
  <si>
    <t>马坊镇</t>
  </si>
  <si>
    <t>Mălán Zhèn</t>
  </si>
  <si>
    <t>马栏镇</t>
  </si>
  <si>
    <t>Mălián Zhèn</t>
  </si>
  <si>
    <t>马连镇</t>
  </si>
  <si>
    <t>Măquán Jiēdào</t>
  </si>
  <si>
    <t>马泉街道</t>
  </si>
  <si>
    <t>Măwéi Jiēdào</t>
  </si>
  <si>
    <t>马嵬街道</t>
  </si>
  <si>
    <t>Măzhuāng Jiēdào</t>
  </si>
  <si>
    <t>马庄街道</t>
  </si>
  <si>
    <t>Nánfāng Zhèn</t>
  </si>
  <si>
    <t>南坊镇</t>
  </si>
  <si>
    <t>Nánshì Zhèn</t>
  </si>
  <si>
    <t>南市镇</t>
  </si>
  <si>
    <t>Pénggōng Zhèn</t>
  </si>
  <si>
    <t>彭公镇</t>
  </si>
  <si>
    <t>Pōxī Zhèn [incl. Ānlè Zhèn]</t>
  </si>
  <si>
    <t>陂西镇</t>
  </si>
  <si>
    <t>Pŭjí Jiēdào [incl. Nánrén Xiāng]</t>
  </si>
  <si>
    <t>普集街道</t>
  </si>
  <si>
    <t>Qiāndōng Zhèn</t>
  </si>
  <si>
    <t>阡东镇</t>
  </si>
  <si>
    <t>Qiáodĭ Zhèn</t>
  </si>
  <si>
    <t>桥底镇</t>
  </si>
  <si>
    <t>Qīngyuán Zhèn</t>
  </si>
  <si>
    <t>清塬镇</t>
  </si>
  <si>
    <t>Qiūpōtóu Zhèn</t>
  </si>
  <si>
    <t>湫坡头镇</t>
  </si>
  <si>
    <t>Qú'àn Zhèn</t>
  </si>
  <si>
    <t>渠岸镇</t>
  </si>
  <si>
    <t>Qúzi Zhèn [incl. Yŏngtài Xiāng]</t>
  </si>
  <si>
    <t>渠子镇</t>
  </si>
  <si>
    <t>Rénmínlù Jiēdào</t>
  </si>
  <si>
    <t>人民路街道</t>
  </si>
  <si>
    <t>Róugŭ Zhèn</t>
  </si>
  <si>
    <t>揉谷镇</t>
  </si>
  <si>
    <t>Rùn Zhèn [incl. Bŭjiā Xiāng]</t>
  </si>
  <si>
    <t>润镇</t>
  </si>
  <si>
    <t>Sāng Zhèn</t>
  </si>
  <si>
    <t>桑镇</t>
  </si>
  <si>
    <t>Sānqú Zhèn</t>
  </si>
  <si>
    <t>三渠镇</t>
  </si>
  <si>
    <t>Shĭdé Zhèn</t>
  </si>
  <si>
    <t>史德镇</t>
  </si>
  <si>
    <t>Shílĭyuán Zhèn [incl. Măjiā Zhèn]</t>
  </si>
  <si>
    <t>十里塬镇</t>
  </si>
  <si>
    <t>Shíqiáo Zhèn [incl. Qínzhuāng Zhèn]</t>
  </si>
  <si>
    <t>石桥镇</t>
  </si>
  <si>
    <t>Shítán Zhèn</t>
  </si>
  <si>
    <t>石潭镇</t>
  </si>
  <si>
    <t>Shuĭkŏu Zhèn [incl. Dĭdiàn Xiāng]</t>
  </si>
  <si>
    <t>水口镇</t>
  </si>
  <si>
    <t>Tàicūn Zhèn [incl. Chìdào Xiāng]</t>
  </si>
  <si>
    <t>太村镇</t>
  </si>
  <si>
    <t>Tàiyù Zhèn</t>
  </si>
  <si>
    <t>太峪镇</t>
  </si>
  <si>
    <t>Tāngfāng Zhèn</t>
  </si>
  <si>
    <t>汤坊镇</t>
  </si>
  <si>
    <t>Tiĕwáng Zhèn [incl. Qínhé Xiāng]</t>
  </si>
  <si>
    <t>铁王镇</t>
  </si>
  <si>
    <t>Tíngkŏu Zhèn [incl. Răndiàn Xiāng]</t>
  </si>
  <si>
    <t>亭口镇</t>
  </si>
  <si>
    <t>Tŭqiáo Zhèn [incl. Zhàngbāsì Zhèn, Páixià Xiāng]</t>
  </si>
  <si>
    <t>土桥镇</t>
  </si>
  <si>
    <t>Wángqiáo Zhèn</t>
  </si>
  <si>
    <t>王桥镇</t>
  </si>
  <si>
    <t>Wèibīn Jiēdào</t>
  </si>
  <si>
    <t>渭滨街道</t>
  </si>
  <si>
    <t>Wèiyáng Jiēdào</t>
  </si>
  <si>
    <t>渭阳街道</t>
  </si>
  <si>
    <t>Wèichéng Qū</t>
  </si>
  <si>
    <t>Wèiyángxīlù Jiēdào</t>
  </si>
  <si>
    <t>渭阳西路街道</t>
  </si>
  <si>
    <t>Wénhuì Jiēdào [Wénhuìlù Jiēdào]</t>
  </si>
  <si>
    <t>文汇街道</t>
  </si>
  <si>
    <t>Wŭgōng Zhèn</t>
  </si>
  <si>
    <t>武功镇</t>
  </si>
  <si>
    <t>Wújiābăo Jiēdào</t>
  </si>
  <si>
    <t>吴家堡街道</t>
  </si>
  <si>
    <t>Wŭquán Zhèn</t>
  </si>
  <si>
    <t>五泉镇</t>
  </si>
  <si>
    <t>Xiānggōng Zhèn</t>
  </si>
  <si>
    <t>相公镇</t>
  </si>
  <si>
    <t>Xiăocūn Zhèn [incl. Pŭjíjiē Xiāng]</t>
  </si>
  <si>
    <t>小村镇</t>
  </si>
  <si>
    <t>Xīchéng Jiēdào</t>
  </si>
  <si>
    <t>Xīlánlù Jiēdào</t>
  </si>
  <si>
    <t>西兰路街道</t>
  </si>
  <si>
    <t>Xīnbăozi Xiāng</t>
  </si>
  <si>
    <t>新堡子乡</t>
  </si>
  <si>
    <t>Xīnglóng Zhèn [incl. Báiwáng Zhèn]</t>
  </si>
  <si>
    <t>Xīnmín Zhèn [incl. Xiăozhāng Zhèn, Tàndiàn Xiāng]</t>
  </si>
  <si>
    <t>新民镇</t>
  </si>
  <si>
    <t>Xīnxīng Jiēdào</t>
  </si>
  <si>
    <t>新兴街道</t>
  </si>
  <si>
    <t>Xīnxīng Zhèn</t>
  </si>
  <si>
    <t>新兴镇</t>
  </si>
  <si>
    <t>Xīnyáng Zhèn</t>
  </si>
  <si>
    <t>新阳镇</t>
  </si>
  <si>
    <t>Xīpō Xiāng</t>
  </si>
  <si>
    <t>西坡乡</t>
  </si>
  <si>
    <t>Xīwú Jiēdào</t>
  </si>
  <si>
    <t>西吴街道</t>
  </si>
  <si>
    <t>Xīyáng Zhèn</t>
  </si>
  <si>
    <t>西阳镇</t>
  </si>
  <si>
    <t>Xīzhāngbăo Zhèn</t>
  </si>
  <si>
    <t>西张堡镇</t>
  </si>
  <si>
    <t>Xuēlù Zhèn [incl. Dàqiáng Xiāng]</t>
  </si>
  <si>
    <t>薛录镇</t>
  </si>
  <si>
    <t>Yánghóng Zhèn</t>
  </si>
  <si>
    <t>阳洪镇</t>
  </si>
  <si>
    <t>Yánglíng Jiēdào</t>
  </si>
  <si>
    <t>杨陵街道</t>
  </si>
  <si>
    <t>Yángyù Zhèn</t>
  </si>
  <si>
    <t>阳峪镇</t>
  </si>
  <si>
    <t>Yānxiá Zhèn</t>
  </si>
  <si>
    <t>烟霞镇</t>
  </si>
  <si>
    <t>Yìmén Zhèn</t>
  </si>
  <si>
    <t>义门镇</t>
  </si>
  <si>
    <t>Yŏngpíng Zhèn</t>
  </si>
  <si>
    <t>永平镇</t>
  </si>
  <si>
    <t>Yóufèng Zhèn</t>
  </si>
  <si>
    <t>游凤镇</t>
  </si>
  <si>
    <t>Yúnyáng Zhèn</t>
  </si>
  <si>
    <t>云阳镇</t>
  </si>
  <si>
    <t>Yùyuán Xiāng</t>
  </si>
  <si>
    <t>芋园乡</t>
  </si>
  <si>
    <t>Zăoyuán Zhèn</t>
  </si>
  <si>
    <t>枣园镇</t>
  </si>
  <si>
    <t>Zhānghóng Zhèn [incl. Yuándĭ Xiāng]</t>
  </si>
  <si>
    <t>张洪镇</t>
  </si>
  <si>
    <t>Zhàocūn Zhèn</t>
  </si>
  <si>
    <t>赵村镇</t>
  </si>
  <si>
    <t>Zhāolíng Zhèn [incl. Jiànlíng Zhèn]</t>
  </si>
  <si>
    <t>昭陵镇</t>
  </si>
  <si>
    <t>Zhāorén Jiēdào</t>
  </si>
  <si>
    <t>昭仁街道</t>
  </si>
  <si>
    <t>Zhào Zhèn</t>
  </si>
  <si>
    <t>赵镇</t>
  </si>
  <si>
    <t>Zhèngjiā Zhèn</t>
  </si>
  <si>
    <t>郑家镇</t>
  </si>
  <si>
    <t>Zhēnyuán Zhèn</t>
  </si>
  <si>
    <t>贞元镇</t>
  </si>
  <si>
    <t>Zhítián Zhèn</t>
  </si>
  <si>
    <t>职田镇</t>
  </si>
  <si>
    <t>Zhōngshān Jiēdào</t>
  </si>
  <si>
    <t>中山街道</t>
  </si>
  <si>
    <t>Zhōngzhāng Zhèn [incl. Yànwáng Xiāng]</t>
  </si>
  <si>
    <t>中张镇</t>
  </si>
  <si>
    <t>Zhōuchéng Zhèn</t>
  </si>
  <si>
    <t>周城镇</t>
  </si>
  <si>
    <t>Zhùgān Zhèn</t>
  </si>
  <si>
    <t>注泔镇</t>
  </si>
  <si>
    <t>Āncūn Zhèn</t>
  </si>
  <si>
    <t>安村镇</t>
  </si>
  <si>
    <t>Lántián Xiàn</t>
  </si>
  <si>
    <t>Bǎishùlín Jiēdào</t>
  </si>
  <si>
    <t>柏树林街道</t>
  </si>
  <si>
    <t>Bēilín Qū</t>
  </si>
  <si>
    <t>Bănfángzi Zhèn</t>
  </si>
  <si>
    <t>板房子镇</t>
  </si>
  <si>
    <t>Zhōuzhì Xiàn</t>
  </si>
  <si>
    <t>Bàqiáo Jiēdào</t>
  </si>
  <si>
    <t>灞桥街道</t>
  </si>
  <si>
    <t>Bàqiáo Qū</t>
  </si>
  <si>
    <t>Bàyuán Zhèn</t>
  </si>
  <si>
    <t>灞源镇</t>
  </si>
  <si>
    <t>Bĕidù Jiēdào</t>
  </si>
  <si>
    <t>北杜街道</t>
  </si>
  <si>
    <t>Xīxián Xīnqū</t>
  </si>
  <si>
    <t>Liánhú Qū</t>
  </si>
  <si>
    <t>Bĕitián Jiēdào</t>
  </si>
  <si>
    <t>北田街道</t>
  </si>
  <si>
    <t>Líntóng Qū</t>
  </si>
  <si>
    <t>Bĕitún Jiēdào</t>
  </si>
  <si>
    <t>北屯街道</t>
  </si>
  <si>
    <t>Yánliáng Qū</t>
  </si>
  <si>
    <t>Bĕiyuànmén Jiēdào</t>
  </si>
  <si>
    <t>北院门街道</t>
  </si>
  <si>
    <t>Căotáng Jiēdào</t>
  </si>
  <si>
    <t>草堂街道</t>
  </si>
  <si>
    <t>Hùyì Qū</t>
  </si>
  <si>
    <t>Căotān Jiēdào</t>
  </si>
  <si>
    <t>草滩街道</t>
  </si>
  <si>
    <t>Wèiyāng Qū</t>
  </si>
  <si>
    <t>Cháng'ānlù Jiēdào</t>
  </si>
  <si>
    <t>长安路街道</t>
  </si>
  <si>
    <t>Chánglèfāng Jiēdào</t>
  </si>
  <si>
    <t>长乐坊街道</t>
  </si>
  <si>
    <t>Chánglèxīlù Jiēdào</t>
  </si>
  <si>
    <t>长乐西路街道</t>
  </si>
  <si>
    <t>Xīnchéng Qū</t>
  </si>
  <si>
    <t>Chánglèzhōnglù Jiēdào</t>
  </si>
  <si>
    <t>长乐中路街道</t>
  </si>
  <si>
    <t>Chángyánbăo Jiēdào</t>
  </si>
  <si>
    <t>长延堡街道</t>
  </si>
  <si>
    <t>Yàntă Qū</t>
  </si>
  <si>
    <t>Chénhé Zhèn</t>
  </si>
  <si>
    <t>陈河镇</t>
  </si>
  <si>
    <t>Chényángzhài Jiēdào</t>
  </si>
  <si>
    <t>陈杨寨街道</t>
  </si>
  <si>
    <t>Chónghuáng Jiēdào</t>
  </si>
  <si>
    <t>崇皇街道</t>
  </si>
  <si>
    <t>Gāolíng Qū</t>
  </si>
  <si>
    <t>Chóngwén Zhèn</t>
  </si>
  <si>
    <t>崇文镇</t>
  </si>
  <si>
    <t>Cuìfēng Zhèn</t>
  </si>
  <si>
    <t>翠峰镇</t>
  </si>
  <si>
    <t>Dàiwáng Jiēdào</t>
  </si>
  <si>
    <t>代王街道</t>
  </si>
  <si>
    <t>Dàmínggōng Jiēdào</t>
  </si>
  <si>
    <t>大明宫街道</t>
  </si>
  <si>
    <t>Dàwáng Jiēdào</t>
  </si>
  <si>
    <t>大王街道</t>
  </si>
  <si>
    <t>Dàyàntă Jiēdào</t>
  </si>
  <si>
    <t>大雁塔街道</t>
  </si>
  <si>
    <t>Dàzhào Jiēdào</t>
  </si>
  <si>
    <t>大兆街道</t>
  </si>
  <si>
    <t>Cháng'ān Qū</t>
  </si>
  <si>
    <t>Dĕngjiàpō Jiēdào</t>
  </si>
  <si>
    <t>等驾坡街道</t>
  </si>
  <si>
    <t>Diànzichéng Jiēdào</t>
  </si>
  <si>
    <t>电子城街道</t>
  </si>
  <si>
    <t>Diàotái Jiēdào</t>
  </si>
  <si>
    <t>钓台街道</t>
  </si>
  <si>
    <t>Dízhài Jiēdào</t>
  </si>
  <si>
    <t>狄寨街道</t>
  </si>
  <si>
    <t>Dĭzhāng Jiēdào</t>
  </si>
  <si>
    <t>底张街道</t>
  </si>
  <si>
    <t>Dōngdà Jiēdào</t>
  </si>
  <si>
    <t>东大街道</t>
  </si>
  <si>
    <t>Dōngguānnánjiē Jiēdào</t>
  </si>
  <si>
    <t>东关南街街道</t>
  </si>
  <si>
    <t>Dòumén Jiēdào</t>
  </si>
  <si>
    <t>斗门街道</t>
  </si>
  <si>
    <t>Dùqŭ Jiēdào</t>
  </si>
  <si>
    <t>杜曲街道</t>
  </si>
  <si>
    <t>Èrqŭ Jiēdào</t>
  </si>
  <si>
    <t>二曲街道</t>
  </si>
  <si>
    <t>Făngzhīchéng Jiēdào</t>
  </si>
  <si>
    <t>纺织城街道</t>
  </si>
  <si>
    <t>Fènghuánglù Jiēdào</t>
  </si>
  <si>
    <t>凤凰路街道</t>
  </si>
  <si>
    <t>Fùrén Zhèn [incl. Xīnjiāzhài Zhèn]</t>
  </si>
  <si>
    <t>富仁镇</t>
  </si>
  <si>
    <t>Gānhé Zhèn</t>
  </si>
  <si>
    <t>甘河镇</t>
  </si>
  <si>
    <t>Gāntíng Jiēdào</t>
  </si>
  <si>
    <t>甘亭街道</t>
  </si>
  <si>
    <t>Gāoqiáo Jiēdào</t>
  </si>
  <si>
    <t>高桥街道</t>
  </si>
  <si>
    <t>Gāozhuāng Zhèn</t>
  </si>
  <si>
    <t>高庄镇</t>
  </si>
  <si>
    <t>Gĕngzhèn Jiēdào [incl. Yúchŭ Xiāng]</t>
  </si>
  <si>
    <t>耿镇街道</t>
  </si>
  <si>
    <t>Gĕpái Zhèn</t>
  </si>
  <si>
    <t>葛牌镇</t>
  </si>
  <si>
    <t>Guăngjì Zhèn</t>
  </si>
  <si>
    <t>广济镇</t>
  </si>
  <si>
    <t>Guānshān Jiēdào</t>
  </si>
  <si>
    <t>关山街道</t>
  </si>
  <si>
    <t>Guōdù Jiēdào</t>
  </si>
  <si>
    <t>郭杜街道</t>
  </si>
  <si>
    <t>Hànchéng Jiēdào</t>
  </si>
  <si>
    <t>汉城街道</t>
  </si>
  <si>
    <t>Hánsēnzhài Jiēdào</t>
  </si>
  <si>
    <t>韩森寨街道</t>
  </si>
  <si>
    <t>Hézhài Jiēdào</t>
  </si>
  <si>
    <t>何寨街道</t>
  </si>
  <si>
    <t>Hóngmiàopō Jiēdào</t>
  </si>
  <si>
    <t>红庙坡街道</t>
  </si>
  <si>
    <t>Hóngqí Jiēdào</t>
  </si>
  <si>
    <t>红旗街道</t>
  </si>
  <si>
    <t>Hóngqìng Jiēdào</t>
  </si>
  <si>
    <t>洪庆街道</t>
  </si>
  <si>
    <t>Hòu Zhèn</t>
  </si>
  <si>
    <t>厚镇</t>
  </si>
  <si>
    <t>Hòuzhĕnzi Zhèn</t>
  </si>
  <si>
    <t>厚畛子镇</t>
  </si>
  <si>
    <t>Huánchéngxīlù Jiēdào</t>
  </si>
  <si>
    <t>环城西路街道</t>
  </si>
  <si>
    <t>Huángliáng Jiēdào</t>
  </si>
  <si>
    <t>黄良街道</t>
  </si>
  <si>
    <t>Huáxū Zhèn</t>
  </si>
  <si>
    <t>华胥镇</t>
  </si>
  <si>
    <t>Hújiāmiào Jiēdào</t>
  </si>
  <si>
    <t>胡家庙街道</t>
  </si>
  <si>
    <t>Jiăngcūn Zhèn</t>
  </si>
  <si>
    <t>蒋村镇</t>
  </si>
  <si>
    <t>Jiāodài Zhèn</t>
  </si>
  <si>
    <t>焦岱镇</t>
  </si>
  <si>
    <t>Jiāokŏu Jiēdào</t>
  </si>
  <si>
    <t>交口街道</t>
  </si>
  <si>
    <t>Jiĕfàngmén Jiēdào</t>
  </si>
  <si>
    <t>解放门街道</t>
  </si>
  <si>
    <t>Jīnggān Jiēdào</t>
  </si>
  <si>
    <t>泾干街道</t>
  </si>
  <si>
    <t>Jīngwèi Jiēdào</t>
  </si>
  <si>
    <t>泾渭街道</t>
  </si>
  <si>
    <t>Jiŭfēng Zhèn</t>
  </si>
  <si>
    <t>九峰镇</t>
  </si>
  <si>
    <t>Jiŭjiānfáng Zhèn</t>
  </si>
  <si>
    <t>九间房镇</t>
  </si>
  <si>
    <t>Jíxián Zhèn</t>
  </si>
  <si>
    <t>集贤镇</t>
  </si>
  <si>
    <t>Lánguān Jiēdào</t>
  </si>
  <si>
    <t>蓝关街道</t>
  </si>
  <si>
    <t>Lánqiáo Zhèn</t>
  </si>
  <si>
    <t>蓝桥镇</t>
  </si>
  <si>
    <t>Làodiàn Zhèn</t>
  </si>
  <si>
    <t>涝店镇</t>
  </si>
  <si>
    <t>Língkŏu Jiēdào</t>
  </si>
  <si>
    <t>零口街道</t>
  </si>
  <si>
    <t>Língzhăo Jiēdào</t>
  </si>
  <si>
    <t>灵沼街道</t>
  </si>
  <si>
    <t>Líshān Jiēdào</t>
  </si>
  <si>
    <t>骊山街道</t>
  </si>
  <si>
    <t>Liùcūnbăo Jiēdào</t>
  </si>
  <si>
    <t>六村堡街道</t>
  </si>
  <si>
    <t>Lìyáng Jiēdào</t>
  </si>
  <si>
    <t>栎阳街道</t>
  </si>
  <si>
    <t>Lóuguān Zhèn</t>
  </si>
  <si>
    <t>楼观镇</t>
  </si>
  <si>
    <t>Luánzhèn Jiēdào</t>
  </si>
  <si>
    <t>滦镇街道</t>
  </si>
  <si>
    <t>Luòyù Zhèn</t>
  </si>
  <si>
    <t>骆峪镇</t>
  </si>
  <si>
    <t>Lùyuàn Jiēdào</t>
  </si>
  <si>
    <t>鹿苑街道</t>
  </si>
  <si>
    <t>Mă'é Jiēdào</t>
  </si>
  <si>
    <t>马额街道</t>
  </si>
  <si>
    <t>Măwáng Jiēdào</t>
  </si>
  <si>
    <t>马王街道</t>
  </si>
  <si>
    <t>Măzhào Zhèn</t>
  </si>
  <si>
    <t>马召镇</t>
  </si>
  <si>
    <t>Mèngcūn Zhèn</t>
  </si>
  <si>
    <t>孟村镇</t>
  </si>
  <si>
    <t>Míngdú Jiēdào</t>
  </si>
  <si>
    <t>鸣犊街道</t>
  </si>
  <si>
    <t>Mùzhài Jiēdào</t>
  </si>
  <si>
    <t>穆寨街道</t>
  </si>
  <si>
    <t>Nánwèi Zhèn</t>
  </si>
  <si>
    <t>南位镇</t>
  </si>
  <si>
    <t>Nányuànmén Jiēdào</t>
  </si>
  <si>
    <t>南院门街道</t>
  </si>
  <si>
    <t>Pángguāng Jiēdào</t>
  </si>
  <si>
    <t>庞光街道</t>
  </si>
  <si>
    <t>Pàolĭ Jiēdào</t>
  </si>
  <si>
    <t>砲里街道</t>
  </si>
  <si>
    <t>Pŭhuà Zhèn</t>
  </si>
  <si>
    <t>普化镇</t>
  </si>
  <si>
    <t>Qiánwèi Zhèn</t>
  </si>
  <si>
    <t>前卫镇</t>
  </si>
  <si>
    <t>Qíndù Jiēdào</t>
  </si>
  <si>
    <t>秦渡街道</t>
  </si>
  <si>
    <t>Qínlíng Jiēdào</t>
  </si>
  <si>
    <t>秦陵街道</t>
  </si>
  <si>
    <t>Qŭjiāng Jiēdào</t>
  </si>
  <si>
    <t>曲江街道</t>
  </si>
  <si>
    <t>Rènliú Jiēdào</t>
  </si>
  <si>
    <t>任留街道</t>
  </si>
  <si>
    <t>Rénzōng Jiēdào</t>
  </si>
  <si>
    <t>仁宗街道</t>
  </si>
  <si>
    <t>Sānguānmiào Zhèn [incl. Jīnshān Xiāng]</t>
  </si>
  <si>
    <t>三官庙镇</t>
  </si>
  <si>
    <t>Sānlĭ Zhèn</t>
  </si>
  <si>
    <t>三里镇</t>
  </si>
  <si>
    <t>Sānqiáo Jiēdào</t>
  </si>
  <si>
    <t>三桥街道</t>
  </si>
  <si>
    <t>Shàngcūn Zhèn</t>
  </si>
  <si>
    <t>尚村镇</t>
  </si>
  <si>
    <t>Shànglín Jiēdào [Fēngdōng Jiēdào]</t>
  </si>
  <si>
    <t>上林街道</t>
  </si>
  <si>
    <t>Shíjĭng Zhèn</t>
  </si>
  <si>
    <t>石井镇</t>
  </si>
  <si>
    <t>Shuāngzhào Jiēdào</t>
  </si>
  <si>
    <t>双照街道</t>
  </si>
  <si>
    <t>Sìtún Zhèn [incl. Hòujiācūn Xiāng]</t>
  </si>
  <si>
    <t>四屯镇</t>
  </si>
  <si>
    <t>Sīzhú Zhèn</t>
  </si>
  <si>
    <t>司竹镇</t>
  </si>
  <si>
    <t>Tàipíng Zhèn</t>
  </si>
  <si>
    <t>太平镇</t>
  </si>
  <si>
    <t>Tàiyĭgōng Jiēdào</t>
  </si>
  <si>
    <t>太乙宫街道</t>
  </si>
  <si>
    <t>Tàiyĭlù Jiēdào</t>
  </si>
  <si>
    <t>太乙路街道</t>
  </si>
  <si>
    <t>Tāngyù Zhèn [incl. Shĭjiāzhài Xiāng]</t>
  </si>
  <si>
    <t>Tánjiā Jiēdào</t>
  </si>
  <si>
    <t>谭家街道</t>
  </si>
  <si>
    <t>Táoyuánlù Jiēdào</t>
  </si>
  <si>
    <t>桃园路街道</t>
  </si>
  <si>
    <t>Tiĕlú Jiēdào</t>
  </si>
  <si>
    <t>铁炉街道</t>
  </si>
  <si>
    <t>Tōngyuăn Jiēdào [incl. Wānzi Xiāng]</t>
  </si>
  <si>
    <t>通远街道</t>
  </si>
  <si>
    <t>Tŭmén Jiēdào</t>
  </si>
  <si>
    <t>土门街道</t>
  </si>
  <si>
    <t>Wăngchuān Zhèn [incl. Yùchuān Xiāng]</t>
  </si>
  <si>
    <t>辋川镇</t>
  </si>
  <si>
    <t>Wángjiāhé Zhèn</t>
  </si>
  <si>
    <t>王家河镇</t>
  </si>
  <si>
    <t>Wángmăng Jiēdào</t>
  </si>
  <si>
    <t>王莽街道</t>
  </si>
  <si>
    <t>Wángqŭ Jiēdào</t>
  </si>
  <si>
    <t>王曲街道</t>
  </si>
  <si>
    <t>Wángsì Jiēdào</t>
  </si>
  <si>
    <t>王寺街道</t>
  </si>
  <si>
    <t>Wèichéng Jiēdào</t>
  </si>
  <si>
    <t>渭城街道</t>
  </si>
  <si>
    <t>Wèifēng Zhèn</t>
  </si>
  <si>
    <t>渭丰镇</t>
  </si>
  <si>
    <t>Wéiqŭ Jiēdào</t>
  </si>
  <si>
    <t>韦曲街道</t>
  </si>
  <si>
    <t>Wèiyānggōng Jiēdào</t>
  </si>
  <si>
    <t>未央宫街道</t>
  </si>
  <si>
    <t>Wèizhài Jiēdào</t>
  </si>
  <si>
    <t>魏寨街道</t>
  </si>
  <si>
    <t>Wényìlù Jiēdào</t>
  </si>
  <si>
    <t>文艺路街道</t>
  </si>
  <si>
    <t>Wŭtái Jiēdào</t>
  </si>
  <si>
    <t>五台街道</t>
  </si>
  <si>
    <t>Wŭtún Jiēdào</t>
  </si>
  <si>
    <t>武屯街道</t>
  </si>
  <si>
    <t>Wŭxīng Jiēdào</t>
  </si>
  <si>
    <t>五星街道</t>
  </si>
  <si>
    <t>Wŭzhú Jiēdào [incl. Cāngyóu Xiāng]</t>
  </si>
  <si>
    <t>五竹街道</t>
  </si>
  <si>
    <t>Xiāngqiáo Jiēdào</t>
  </si>
  <si>
    <t>相桥街道</t>
  </si>
  <si>
    <t>Xiăojīn Jiēdào</t>
  </si>
  <si>
    <t>小金街道</t>
  </si>
  <si>
    <t>Xiăozhàilù Jiēdào</t>
  </si>
  <si>
    <t>小寨路街道</t>
  </si>
  <si>
    <t>Xiăozhài Zhèn</t>
  </si>
  <si>
    <t>小寨镇</t>
  </si>
  <si>
    <t>Xièhú Zhèn</t>
  </si>
  <si>
    <t>泄湖镇</t>
  </si>
  <si>
    <t>Xiékŏu Jiēdào</t>
  </si>
  <si>
    <t>斜口街道</t>
  </si>
  <si>
    <t>Xìliŭ Jiēdào</t>
  </si>
  <si>
    <t>细柳街道</t>
  </si>
  <si>
    <t>Xīnfēng Jiēdào</t>
  </si>
  <si>
    <t>新丰街道</t>
  </si>
  <si>
    <t>Xīnglóng Jiēdào</t>
  </si>
  <si>
    <t>兴隆街道</t>
  </si>
  <si>
    <t>Xíngzhĕ Jiēdào</t>
  </si>
  <si>
    <t>行者街道</t>
  </si>
  <si>
    <t>Xīnhé Jiēdào</t>
  </si>
  <si>
    <t>新合街道</t>
  </si>
  <si>
    <t>Xīnhuálù Jiēdào</t>
  </si>
  <si>
    <t>新华路街道</t>
  </si>
  <si>
    <t>Xīnjiāmiào Jiēdào</t>
  </si>
  <si>
    <t>辛家庙街道</t>
  </si>
  <si>
    <t>新市街道</t>
  </si>
  <si>
    <t>Xīnzhù Jiēdào</t>
  </si>
  <si>
    <t>新筑街道</t>
  </si>
  <si>
    <t>Xīquán Jiēdào</t>
  </si>
  <si>
    <t>西泉街道</t>
  </si>
  <si>
    <t>Xíwáng Jiēdào</t>
  </si>
  <si>
    <t>席王街道</t>
  </si>
  <si>
    <t>Xīyīlù Jiēdào</t>
  </si>
  <si>
    <t>西一路街道</t>
  </si>
  <si>
    <t>Xújiāwān Jiēdào</t>
  </si>
  <si>
    <t>徐家湾街道</t>
  </si>
  <si>
    <t>Xúyáng Jiēdào</t>
  </si>
  <si>
    <t>徐杨街道</t>
  </si>
  <si>
    <t>Yābǎi Zhèn</t>
  </si>
  <si>
    <t>哑柏镇</t>
  </si>
  <si>
    <t>Yángzhuāng Jiēdào</t>
  </si>
  <si>
    <t>杨庄街道</t>
  </si>
  <si>
    <t>Yáodiàn Jiēdào</t>
  </si>
  <si>
    <t>窑店街道</t>
  </si>
  <si>
    <t>Yĭnzhèn Jiēdào</t>
  </si>
  <si>
    <t>引镇街道</t>
  </si>
  <si>
    <t>Yóuhuái Jiēdào</t>
  </si>
  <si>
    <t>油槐街道</t>
  </si>
  <si>
    <t>Yùchán Jiēdào [incl. Tiānqiáo Xiāng]</t>
  </si>
  <si>
    <t>玉蝉街道</t>
  </si>
  <si>
    <t>Yúhuàzhài Jiēdào</t>
  </si>
  <si>
    <t>鱼化寨街道</t>
  </si>
  <si>
    <t>Yŭjīn Jiēdào</t>
  </si>
  <si>
    <t>雨金街道</t>
  </si>
  <si>
    <t>Yùshān Zhèn</t>
  </si>
  <si>
    <t>玉山镇</t>
  </si>
  <si>
    <t>Yúxià Jiēdào</t>
  </si>
  <si>
    <t>余下街道</t>
  </si>
  <si>
    <t>Zăoyuán Jiēdào</t>
  </si>
  <si>
    <t>枣园街道</t>
  </si>
  <si>
    <t>Zhàngbāgōu Jiēdào</t>
  </si>
  <si>
    <t>丈八沟街道</t>
  </si>
  <si>
    <t>Zhāngbŭ Jiēdào</t>
  </si>
  <si>
    <t>张卜街道</t>
  </si>
  <si>
    <t>Zhāngjiābăo Jiēdào</t>
  </si>
  <si>
    <t>张家堡街道</t>
  </si>
  <si>
    <t>Zhāngjiācūn Jiēdào</t>
  </si>
  <si>
    <t>张家村街道</t>
  </si>
  <si>
    <t>Zhèngyáng Jiēdào</t>
  </si>
  <si>
    <t>正阳街道</t>
  </si>
  <si>
    <t>Zhènxīng Jiēdào</t>
  </si>
  <si>
    <t>振兴街道</t>
  </si>
  <si>
    <t>Zhōngnán Zhèn</t>
  </si>
  <si>
    <t>终南镇</t>
  </si>
  <si>
    <t>Zhōngshānmén Jiēdào</t>
  </si>
  <si>
    <t>中山门街道</t>
  </si>
  <si>
    <t>Zhōulíng Jiēdào</t>
  </si>
  <si>
    <t>周陵街道</t>
  </si>
  <si>
    <t>Zhúyù Zhèn</t>
  </si>
  <si>
    <t>竹峪镇</t>
  </si>
  <si>
    <t>Zìqiánglù Jiēdào</t>
  </si>
  <si>
    <t>自强路街道</t>
  </si>
  <si>
    <t>Ziwŭ Jiēdào</t>
  </si>
  <si>
    <t>子午街道</t>
  </si>
  <si>
    <t>Zŭ'ān Zhèn</t>
  </si>
  <si>
    <t>祖庵镇</t>
  </si>
  <si>
    <t>Ādăng Zhèn</t>
  </si>
  <si>
    <t>阿党镇</t>
  </si>
  <si>
    <t>Huánglíng Xiàn</t>
  </si>
  <si>
    <t>Āndìng Zhèn</t>
  </si>
  <si>
    <t>安定镇</t>
  </si>
  <si>
    <t>Zicháng Shì</t>
  </si>
  <si>
    <t>Āngōu Zhèn</t>
  </si>
  <si>
    <t>安沟镇</t>
  </si>
  <si>
    <t>Yáncháng Xiàn</t>
  </si>
  <si>
    <t>Ānhé Zhèn</t>
  </si>
  <si>
    <t>安河镇</t>
  </si>
  <si>
    <t>Báibào Zhèn</t>
  </si>
  <si>
    <t>白豹镇</t>
  </si>
  <si>
    <t>Wúqĭ Xiàn</t>
  </si>
  <si>
    <t>Báimătān Zhèn</t>
  </si>
  <si>
    <t>白马滩镇</t>
  </si>
  <si>
    <t>Huánglóng Xiàn</t>
  </si>
  <si>
    <t>Băiyì Xiāng</t>
  </si>
  <si>
    <t>百益乡</t>
  </si>
  <si>
    <t>Luòchuān Xiàn</t>
  </si>
  <si>
    <t>Bǎiyù Xiāng</t>
  </si>
  <si>
    <t>柏峪乡</t>
  </si>
  <si>
    <t>Băo'ān Jiēdào</t>
  </si>
  <si>
    <t>保安街道</t>
  </si>
  <si>
    <t>Zhìdān Xiàn</t>
  </si>
  <si>
    <t>Băotăshān Jiēdào</t>
  </si>
  <si>
    <t>宝塔山街道</t>
  </si>
  <si>
    <t>Băotă Qū</t>
  </si>
  <si>
    <t>Bĕidàodé Xiāng</t>
  </si>
  <si>
    <t>北道德乡</t>
  </si>
  <si>
    <t>Fù Xiàn</t>
  </si>
  <si>
    <t>Cháfāng Jiēdào [incl. Jiāodào Zhèn]</t>
  </si>
  <si>
    <t>茶坊街道</t>
  </si>
  <si>
    <t>Chángchéng Zhèn</t>
  </si>
  <si>
    <t>长城镇</t>
  </si>
  <si>
    <t>Chángguānmiào Zhèn</t>
  </si>
  <si>
    <t>长官庙镇</t>
  </si>
  <si>
    <t>Chuānkŏu Zhèn</t>
  </si>
  <si>
    <t>川口镇</t>
  </si>
  <si>
    <t>Dànbā Zhèn</t>
  </si>
  <si>
    <t>旦八镇</t>
  </si>
  <si>
    <t>Dānzhōu Jiēdào</t>
  </si>
  <si>
    <t>丹州街道</t>
  </si>
  <si>
    <t>Yíchuān Xiàn</t>
  </si>
  <si>
    <t>Dào Zhèn</t>
  </si>
  <si>
    <t>道镇</t>
  </si>
  <si>
    <t>Gānquán Xiàn</t>
  </si>
  <si>
    <t>Dàyǔ Jiēdào [incl. Yánchuān Zhèn, Măjiāhé Xiāng]</t>
  </si>
  <si>
    <t>大禹街道</t>
  </si>
  <si>
    <t>Yánchuān Xiàn</t>
  </si>
  <si>
    <t>Diàntóu Zhèn</t>
  </si>
  <si>
    <t>Dōnggōu Xiāng</t>
  </si>
  <si>
    <t>东沟乡</t>
  </si>
  <si>
    <t>Fànjiāzhuózi Xiāng</t>
  </si>
  <si>
    <t>范家卓子乡</t>
  </si>
  <si>
    <t>Fènghuángshān Jiēdào</t>
  </si>
  <si>
    <t>凤凰山街道</t>
  </si>
  <si>
    <t>Fèngqī Jiēdào</t>
  </si>
  <si>
    <t>凤栖街道</t>
  </si>
  <si>
    <t>Féngzhuāng Xiāng</t>
  </si>
  <si>
    <t>冯庄乡</t>
  </si>
  <si>
    <t>Fùchéng Zhèn</t>
  </si>
  <si>
    <t>富城镇</t>
  </si>
  <si>
    <t>Gāngŭyì Zhèn</t>
  </si>
  <si>
    <t>甘谷驿镇</t>
  </si>
  <si>
    <t>Gāobǎi Xiāng</t>
  </si>
  <si>
    <t>高柏乡</t>
  </si>
  <si>
    <t>Ānsài Qū</t>
  </si>
  <si>
    <t>Gāoshào Xiāng</t>
  </si>
  <si>
    <t>高哨乡</t>
  </si>
  <si>
    <t>Gētái Xiāng</t>
  </si>
  <si>
    <t>圪台乡</t>
  </si>
  <si>
    <t>Guàntún Xiāng</t>
  </si>
  <si>
    <t>贯屯乡</t>
  </si>
  <si>
    <t>Guānzhuāng Xiāng</t>
  </si>
  <si>
    <t>官庄乡</t>
  </si>
  <si>
    <t>Hēijiābăo Zhèn</t>
  </si>
  <si>
    <t>黑家堡镇</t>
  </si>
  <si>
    <t>Hèjiāwān Xiāng</t>
  </si>
  <si>
    <t>贺家湾乡</t>
  </si>
  <si>
    <t>Hézhuāngpíng Zhèn</t>
  </si>
  <si>
    <t>河庄坪镇</t>
  </si>
  <si>
    <t>Hóngshíyá Xiāng</t>
  </si>
  <si>
    <t>红石崖乡</t>
  </si>
  <si>
    <t>Huáibǎi Zhèn</t>
  </si>
  <si>
    <t>槐柏镇</t>
  </si>
  <si>
    <t>Huàzipíng Zhèn</t>
  </si>
  <si>
    <t>化子坪镇</t>
  </si>
  <si>
    <t>Húkŏu Zhèn</t>
  </si>
  <si>
    <t>壶口镇</t>
  </si>
  <si>
    <t>Jiăjiāpíng Zhèn</t>
  </si>
  <si>
    <t>贾家坪镇</t>
  </si>
  <si>
    <t>Jiànhuá Zhèn</t>
  </si>
  <si>
    <t>建华镇</t>
  </si>
  <si>
    <t>Jiànyùchà Zhèn</t>
  </si>
  <si>
    <t>涧峪岔镇</t>
  </si>
  <si>
    <t>Jiāokŏuhé Zhèn</t>
  </si>
  <si>
    <t>交口河镇</t>
  </si>
  <si>
    <t>Jiāokŏu Zhèn [incl. Liújiāhé Xiāng]</t>
  </si>
  <si>
    <t>交口镇</t>
  </si>
  <si>
    <t>Jiāolĭ Xiāng</t>
  </si>
  <si>
    <t>交里乡</t>
  </si>
  <si>
    <t>Jiètóumiào Zhèn</t>
  </si>
  <si>
    <t>界头庙镇</t>
  </si>
  <si>
    <t>Jīndīng Zhèn</t>
  </si>
  <si>
    <t>金丁镇</t>
  </si>
  <si>
    <t>Jīngzhào Xiāng</t>
  </si>
  <si>
    <t>京兆乡</t>
  </si>
  <si>
    <t>Jiùxiàn Zhèn</t>
  </si>
  <si>
    <t>旧县镇</t>
  </si>
  <si>
    <t>Jíyì Zhèn</t>
  </si>
  <si>
    <t>集义镇</t>
  </si>
  <si>
    <t>Lăomiào Zhèn [incl. Yángshū Xiāng]</t>
  </si>
  <si>
    <t>Láoshān Xiāng</t>
  </si>
  <si>
    <t>劳山乡</t>
  </si>
  <si>
    <t>Léichì Zhèn</t>
  </si>
  <si>
    <t>雷赤镇</t>
  </si>
  <si>
    <t>Liándāowān Zhèn</t>
  </si>
  <si>
    <t>镰刀湾镇</t>
  </si>
  <si>
    <t>Lĭjiāchà Zhèn</t>
  </si>
  <si>
    <t>李家岔镇</t>
  </si>
  <si>
    <t>Lín Zhèn</t>
  </si>
  <si>
    <t>临镇</t>
  </si>
  <si>
    <t>Lĭqú Zhèn</t>
  </si>
  <si>
    <t>李渠镇</t>
  </si>
  <si>
    <t>Lóngfāng Zhèn [incl. Cāngcūn Xiāng]</t>
  </si>
  <si>
    <t>隆坊镇</t>
  </si>
  <si>
    <t>Lóupíng Xiāng</t>
  </si>
  <si>
    <t>楼坪乡</t>
  </si>
  <si>
    <t>Luánjiāpíng Xiāng</t>
  </si>
  <si>
    <t>栾家坪乡</t>
  </si>
  <si>
    <t>Luózishān Zhèn</t>
  </si>
  <si>
    <t>罗子山镇</t>
  </si>
  <si>
    <t>Mádòngchuān Zhèn</t>
  </si>
  <si>
    <t>麻洞川镇</t>
  </si>
  <si>
    <t>Măjiābiān Zhèn</t>
  </si>
  <si>
    <t>马家砭镇</t>
  </si>
  <si>
    <t>Měishuǐ Jiēdào [Chéngguān Zhèn]</t>
  </si>
  <si>
    <t>美水街道</t>
  </si>
  <si>
    <t>Nándàodé Xiāng</t>
  </si>
  <si>
    <t>南道德乡</t>
  </si>
  <si>
    <t>Nángōuchà Zhèn</t>
  </si>
  <si>
    <t>南沟岔镇</t>
  </si>
  <si>
    <t>Nánhégōu Xiāng</t>
  </si>
  <si>
    <t>南河沟乡</t>
  </si>
  <si>
    <t>Nánníwān Zhèn</t>
  </si>
  <si>
    <t>南泥湾镇</t>
  </si>
  <si>
    <t>Nánshì Jiēdào</t>
  </si>
  <si>
    <t>南市街道</t>
  </si>
  <si>
    <t>Niúwŭ Zhèn</t>
  </si>
  <si>
    <t>牛武镇</t>
  </si>
  <si>
    <t>Píngqiáo Zhèn</t>
  </si>
  <si>
    <t>坪桥镇</t>
  </si>
  <si>
    <t>Pútí Zhèn</t>
  </si>
  <si>
    <t>菩提镇</t>
  </si>
  <si>
    <t>Qián'èr Xiāng</t>
  </si>
  <si>
    <t>钳二乡</t>
  </si>
  <si>
    <t>Qiánkūnwān Zhèn [Tŭgăng Zhèn]</t>
  </si>
  <si>
    <t>乾坤湾镇</t>
  </si>
  <si>
    <t>Qiáogōu Jiēdào</t>
  </si>
  <si>
    <t>桥沟街道</t>
  </si>
  <si>
    <t>Qiáoshān Jiēdào</t>
  </si>
  <si>
    <t>桥山街道</t>
  </si>
  <si>
    <t>Qiáozhèn Xiāng</t>
  </si>
  <si>
    <t>桥镇乡</t>
  </si>
  <si>
    <t>Qīlĭcūn Jiēdào</t>
  </si>
  <si>
    <t>七里村街道</t>
  </si>
  <si>
    <t>Qīnghuàbiān Zhèn [incl. Liángcūn Xiāng]</t>
  </si>
  <si>
    <t>青化砭镇</t>
  </si>
  <si>
    <t>Qínguān Xiāng</t>
  </si>
  <si>
    <t>秦关乡</t>
  </si>
  <si>
    <t>Qiūlín Zhèn [incl. Niújiāxì Xiāng]</t>
  </si>
  <si>
    <t>秋林镇</t>
  </si>
  <si>
    <t>Rèsìwān Xiāng</t>
  </si>
  <si>
    <t>热寺湾乡</t>
  </si>
  <si>
    <t>Sānchà Zhèn</t>
  </si>
  <si>
    <t>三岔镇</t>
  </si>
  <si>
    <t>Shíbăo Zhèn</t>
  </si>
  <si>
    <t>石堡镇</t>
  </si>
  <si>
    <t>Shíquán Xiāng</t>
  </si>
  <si>
    <t>石泉乡</t>
  </si>
  <si>
    <t>Shítóu Zhèn [incl. Zhūniú Xiāng]</t>
  </si>
  <si>
    <t>石头镇</t>
  </si>
  <si>
    <t>Shòufēng Xiāng</t>
  </si>
  <si>
    <t>寿峰乡</t>
  </si>
  <si>
    <t>Shuānghé Zhèn</t>
  </si>
  <si>
    <t>Shùnníng Zhèn</t>
  </si>
  <si>
    <t>顺宁镇</t>
  </si>
  <si>
    <t>Sìwān Xiāng</t>
  </si>
  <si>
    <t>寺湾乡</t>
  </si>
  <si>
    <t>Sìxiān Zhèn</t>
  </si>
  <si>
    <t>寺仙镇</t>
  </si>
  <si>
    <t>Sōngshùlín Xiāng</t>
  </si>
  <si>
    <t>松树林乡</t>
  </si>
  <si>
    <t>Tàixián Xiāng</t>
  </si>
  <si>
    <t>太贤乡</t>
  </si>
  <si>
    <t>Tiánzhuāng Zhèn [incl. Hòuzhuāng Xiāng]</t>
  </si>
  <si>
    <t>田庄镇</t>
  </si>
  <si>
    <t>Tiĕbiānchéng Zhèn</t>
  </si>
  <si>
    <t>铁边城镇</t>
  </si>
  <si>
    <t>Tŭjī Zhèn</t>
  </si>
  <si>
    <t>土基镇</t>
  </si>
  <si>
    <t>Wángjiāwān Xiāng</t>
  </si>
  <si>
    <t>王家湾乡</t>
  </si>
  <si>
    <t>Wángwāzi Xiāng</t>
  </si>
  <si>
    <t>王洼子乡</t>
  </si>
  <si>
    <t>Wángyáo Xiāng</t>
  </si>
  <si>
    <t>王窑乡</t>
  </si>
  <si>
    <t>Wànhuāshān Zhèn</t>
  </si>
  <si>
    <t>万花山镇</t>
  </si>
  <si>
    <t>Wăyáobăo Jiēdào</t>
  </si>
  <si>
    <t>瓦窑堡街道</t>
  </si>
  <si>
    <t>Wăzijiē Zhèn</t>
  </si>
  <si>
    <t>瓦子街镇</t>
  </si>
  <si>
    <t>Wén'ānyì Zhèn [incl. Yŭjū Zhèn]</t>
  </si>
  <si>
    <t>文安驿镇</t>
  </si>
  <si>
    <t>Wúbăo Xiāng</t>
  </si>
  <si>
    <t>吴堡乡</t>
  </si>
  <si>
    <t>Wúcāngbăo Zhèn</t>
  </si>
  <si>
    <t>吴仓堡镇</t>
  </si>
  <si>
    <t>Wŭgŭchéng Zhèn</t>
  </si>
  <si>
    <t>五谷城镇</t>
  </si>
  <si>
    <t>Wúqí Jiēdào</t>
  </si>
  <si>
    <t>吴起街道</t>
  </si>
  <si>
    <t>Xiàsìwān Zhèn</t>
  </si>
  <si>
    <t>下寺湾镇</t>
  </si>
  <si>
    <t>Xìnghé Zhèn</t>
  </si>
  <si>
    <t>杏河镇</t>
  </si>
  <si>
    <t>Xīnshìhé Xiāng</t>
  </si>
  <si>
    <t>新市河乡</t>
  </si>
  <si>
    <t>Xīnzhài Xiāng</t>
  </si>
  <si>
    <t>新寨乡</t>
  </si>
  <si>
    <t>Xuēchà Xiāng</t>
  </si>
  <si>
    <t>薛岔乡</t>
  </si>
  <si>
    <t>Yănchàsì Xiāng</t>
  </si>
  <si>
    <t>眼岔寺乡</t>
  </si>
  <si>
    <t>Yángjiāgētái Zhèn</t>
  </si>
  <si>
    <t>杨家圪台镇</t>
  </si>
  <si>
    <t>Yángjiāyuánzé Zhèn [incl. Shĭjiāpàn Xiāng]</t>
  </si>
  <si>
    <t>杨家园则镇</t>
  </si>
  <si>
    <t>Yángquán Zhèn [incl. Jízixiàn Zhèn]</t>
  </si>
  <si>
    <t>羊泉镇</t>
  </si>
  <si>
    <t>Yánhéwān Zhèn</t>
  </si>
  <si>
    <t>沿河湾镇</t>
  </si>
  <si>
    <t>Yánshuĭguān Zhèn</t>
  </si>
  <si>
    <t>延水关镇</t>
  </si>
  <si>
    <t>Yáodiàn Zhèn</t>
  </si>
  <si>
    <t>姚店镇</t>
  </si>
  <si>
    <t>Yāopíng Xiāng</t>
  </si>
  <si>
    <t>腰坪乡</t>
  </si>
  <si>
    <t>Yăoxiān Xiāng</t>
  </si>
  <si>
    <t>崾先乡</t>
  </si>
  <si>
    <t>Yīngwàng Xiāng</t>
  </si>
  <si>
    <t>英旺乡</t>
  </si>
  <si>
    <t>Yìzhèng Zhèn</t>
  </si>
  <si>
    <t>义正镇</t>
  </si>
  <si>
    <t>Yŏngníng Zhèn</t>
  </si>
  <si>
    <t>永宁镇</t>
  </si>
  <si>
    <t>Yŏngpíng Zhèn [incl. Gāojiātún Xiāng, Féngjiāpíng Xiāng]</t>
  </si>
  <si>
    <t>永坪镇</t>
  </si>
  <si>
    <t>Yŏngxiāng Zhèn [incl. Huángzhāng Xiāng]</t>
  </si>
  <si>
    <t>永乡镇</t>
  </si>
  <si>
    <t>Yuánlóngsì Xiāng</t>
  </si>
  <si>
    <t>元龙寺乡</t>
  </si>
  <si>
    <t>Yújiāpíng Zhèn</t>
  </si>
  <si>
    <t>余家坪镇</t>
  </si>
  <si>
    <t>Yùjiāwān Zhèn</t>
  </si>
  <si>
    <t>玉家湾镇</t>
  </si>
  <si>
    <t>Yúnyán Zhèn [incl. Gélóu Zhèn]</t>
  </si>
  <si>
    <t>云岩镇</t>
  </si>
  <si>
    <t>Zhāngcūnyì Zhèn</t>
  </si>
  <si>
    <t>张村驿镇</t>
  </si>
  <si>
    <t>Zhāngjiātān Zhèn</t>
  </si>
  <si>
    <t>张家滩镇</t>
  </si>
  <si>
    <t>Zhāngjiāwān Zhèn</t>
  </si>
  <si>
    <t>张家湾镇</t>
  </si>
  <si>
    <t>Zhāngqú Xiāng</t>
  </si>
  <si>
    <t>张渠乡</t>
  </si>
  <si>
    <t>Zhāo'ān Zhèn</t>
  </si>
  <si>
    <t>招安镇</t>
  </si>
  <si>
    <t>Zhèngzhuāng Zhèn [incl. Guōqí Xiāng]</t>
  </si>
  <si>
    <t>郑庄镇</t>
  </si>
  <si>
    <t>Zhēnwŭdòng Jiēdào</t>
  </si>
  <si>
    <t>真武洞街道</t>
  </si>
  <si>
    <t>Zhĭfāng Xiāng</t>
  </si>
  <si>
    <t>纸坊乡</t>
  </si>
  <si>
    <t>Zhíluó Zhèn</t>
  </si>
  <si>
    <t>直罗镇</t>
  </si>
  <si>
    <t>Zhōuwān Zhèn</t>
  </si>
  <si>
    <t>周湾镇</t>
  </si>
  <si>
    <t>Zhuānyáowān Zhèn</t>
  </si>
  <si>
    <t>砖窑湾镇</t>
  </si>
  <si>
    <t>Àihăomăo Xiāng</t>
  </si>
  <si>
    <t>艾好峁乡</t>
  </si>
  <si>
    <t>Héngshān Qū</t>
  </si>
  <si>
    <t>Ānbiān Zhèn</t>
  </si>
  <si>
    <t>安边镇</t>
  </si>
  <si>
    <t>Dìngbiān Xiàn</t>
  </si>
  <si>
    <t>Ānyá Zhèn</t>
  </si>
  <si>
    <t>安崖镇</t>
  </si>
  <si>
    <t>Yúyáng Qū</t>
  </si>
  <si>
    <t>Báijiājiăn Zhèn</t>
  </si>
  <si>
    <t>白家硷镇</t>
  </si>
  <si>
    <t>Suídé Xiàn</t>
  </si>
  <si>
    <t>Báijiè Zhèn</t>
  </si>
  <si>
    <t>白界镇</t>
  </si>
  <si>
    <t>Báiníjĭng Zhèn</t>
  </si>
  <si>
    <t>白泥井镇</t>
  </si>
  <si>
    <t>Báiwānzi Zhèn</t>
  </si>
  <si>
    <t>白湾子镇</t>
  </si>
  <si>
    <t>Bālāsù Zhèn</t>
  </si>
  <si>
    <t>巴拉素镇</t>
  </si>
  <si>
    <t>Bōluó Zhèn</t>
  </si>
  <si>
    <t>波罗镇</t>
  </si>
  <si>
    <t>Bŭlànghé Xiāng</t>
  </si>
  <si>
    <t>补浪河乡</t>
  </si>
  <si>
    <t>Chàhézé Xiāng</t>
  </si>
  <si>
    <t>岔河则乡</t>
  </si>
  <si>
    <t>Chángchénglù Jiēdào [Yúyáng Zhèn]</t>
  </si>
  <si>
    <t>长城路街道</t>
  </si>
  <si>
    <t>Chàshàng Zhèn [incl. Dīngjiāwān Xiāng]</t>
  </si>
  <si>
    <t>岔上镇</t>
  </si>
  <si>
    <t>Wúbǔ Xiàn</t>
  </si>
  <si>
    <t>Chéngguān Jiēdào [Héngshān Zhèn]</t>
  </si>
  <si>
    <t>Chéngjiāo Zhèn [Shílĭpū Zhèn]</t>
  </si>
  <si>
    <t>城郊镇</t>
  </si>
  <si>
    <t>Mĭzhī Xiàn</t>
  </si>
  <si>
    <t>Chóngwénlù Jiēdào</t>
  </si>
  <si>
    <t>崇文路街道</t>
  </si>
  <si>
    <t>Cuījiāwān Zhèn</t>
  </si>
  <si>
    <t>崔家湾镇</t>
  </si>
  <si>
    <t>Dàbăodāng Zhèn</t>
  </si>
  <si>
    <t>大保当镇</t>
  </si>
  <si>
    <t>Shénmù Shì</t>
  </si>
  <si>
    <t>Dàchānghàn Zhèn</t>
  </si>
  <si>
    <t>大昌汗镇</t>
  </si>
  <si>
    <t>Fŭgŭ Xiàn</t>
  </si>
  <si>
    <t>Dàhétă Zhèn</t>
  </si>
  <si>
    <t>大河塔镇</t>
  </si>
  <si>
    <t>Dàliŭtă Zhèn</t>
  </si>
  <si>
    <t>大柳塔镇</t>
  </si>
  <si>
    <t>Dàlùgōu Xiāng</t>
  </si>
  <si>
    <t>大路沟乡</t>
  </si>
  <si>
    <t>Jìngbiān Xiàn</t>
  </si>
  <si>
    <t>Dăngchà Zhèn</t>
  </si>
  <si>
    <t>党岔镇</t>
  </si>
  <si>
    <t>Diànshì Zhèn</t>
  </si>
  <si>
    <t>殿市镇</t>
  </si>
  <si>
    <t>电市镇</t>
  </si>
  <si>
    <t>Zizhōu Xiàn</t>
  </si>
  <si>
    <t>Diàntă Zhèn</t>
  </si>
  <si>
    <t>店塔镇</t>
  </si>
  <si>
    <t>Diànzégōu Zhèn</t>
  </si>
  <si>
    <t>店则沟镇</t>
  </si>
  <si>
    <t>Qīngjiàn Xiàn</t>
  </si>
  <si>
    <t>Diàn Zhèn</t>
  </si>
  <si>
    <t>店镇</t>
  </si>
  <si>
    <t>Jiā Xiàn</t>
  </si>
  <si>
    <t>Dìngbiān Jiēdào</t>
  </si>
  <si>
    <t>定边街道</t>
  </si>
  <si>
    <t>Dìngxiānyàn Zhèn</t>
  </si>
  <si>
    <t>定仙墕镇</t>
  </si>
  <si>
    <t>Dōngkēng Zhèn</t>
  </si>
  <si>
    <t>东坑镇</t>
  </si>
  <si>
    <t>Duīziliáng Zhèn</t>
  </si>
  <si>
    <t>堆子梁镇</t>
  </si>
  <si>
    <t>Dùjiāshígōu Zhèn</t>
  </si>
  <si>
    <t>杜家石沟镇</t>
  </si>
  <si>
    <t>Ĕrlíntù Zhèn</t>
  </si>
  <si>
    <t>尔林兔镇</t>
  </si>
  <si>
    <t>Fāngtā Zhèn</t>
  </si>
  <si>
    <t>方塌镇</t>
  </si>
  <si>
    <t>Fánxué Zhèn</t>
  </si>
  <si>
    <t>樊学镇</t>
  </si>
  <si>
    <t>Féngdìkēng Zhèn</t>
  </si>
  <si>
    <t>冯地坑镇</t>
  </si>
  <si>
    <t>Fŭgŭ Zhèn</t>
  </si>
  <si>
    <t>府谷镇</t>
  </si>
  <si>
    <t>Gāojiābăo Zhèn [incl. Qiáochàtān Xiāng]</t>
  </si>
  <si>
    <t>高家堡镇</t>
  </si>
  <si>
    <t>Gāojiāgōu Xiāng</t>
  </si>
  <si>
    <t>高家沟乡</t>
  </si>
  <si>
    <t>Gāojiāpíng Xiāng</t>
  </si>
  <si>
    <t>高家坪乡</t>
  </si>
  <si>
    <t>Gāojiécūn Zhèn</t>
  </si>
  <si>
    <t>高杰村镇</t>
  </si>
  <si>
    <t>Gāoqú Xiāng</t>
  </si>
  <si>
    <t>高渠乡</t>
  </si>
  <si>
    <t>Gāo Zhèn</t>
  </si>
  <si>
    <t>高镇</t>
  </si>
  <si>
    <t>Guāyuánzéwān Xiāng</t>
  </si>
  <si>
    <t>瓜园则湾乡</t>
  </si>
  <si>
    <t>Gŭlóu Jiēdào</t>
  </si>
  <si>
    <t>鼓楼街道</t>
  </si>
  <si>
    <t>Guōjiāgōu Zhèn</t>
  </si>
  <si>
    <t>郭家沟镇</t>
  </si>
  <si>
    <t>Guōxīngzhuāng Zhèn</t>
  </si>
  <si>
    <t>郭兴庄镇</t>
  </si>
  <si>
    <t>Gūshān Zhèn</t>
  </si>
  <si>
    <t>孤山镇</t>
  </si>
  <si>
    <t>Gŭtă Zhèn [incl. Yúxīngzhuāng Xiāng]</t>
  </si>
  <si>
    <t>古塔镇</t>
  </si>
  <si>
    <t>Hăizémiào Xiāng</t>
  </si>
  <si>
    <t>海则庙乡</t>
  </si>
  <si>
    <t>Hăizétān Zhèn</t>
  </si>
  <si>
    <t>海则滩镇</t>
  </si>
  <si>
    <t>Hánchà Zhèn</t>
  </si>
  <si>
    <t>韩岔镇</t>
  </si>
  <si>
    <t>Hángyŭlù Jiēdào</t>
  </si>
  <si>
    <t>航宇路街道</t>
  </si>
  <si>
    <t>Hăojiāyàn Xiāng</t>
  </si>
  <si>
    <t>郝家墕乡</t>
  </si>
  <si>
    <t>Hăotān Zhèn</t>
  </si>
  <si>
    <t>郝滩镇</t>
  </si>
  <si>
    <t>Hā Zhèn</t>
  </si>
  <si>
    <t>哈镇</t>
  </si>
  <si>
    <t>Hédĭ Xiāng</t>
  </si>
  <si>
    <t>河底乡</t>
  </si>
  <si>
    <t>Hèjiāchuān Zhèn</t>
  </si>
  <si>
    <t>贺家川镇</t>
  </si>
  <si>
    <t>Héjiājí Zhèn</t>
  </si>
  <si>
    <t>何家集镇</t>
  </si>
  <si>
    <t>Hèquān Zhèn [incl. Jìpàn Xiāng]</t>
  </si>
  <si>
    <t>贺圈镇</t>
  </si>
  <si>
    <t>Hóngdūnjiè Zhèn</t>
  </si>
  <si>
    <t>红墩界镇</t>
  </si>
  <si>
    <t>Hóngliŭgōu Zhèn</t>
  </si>
  <si>
    <t>红柳沟镇</t>
  </si>
  <si>
    <t>Hóngshíqiáo Xiāng</t>
  </si>
  <si>
    <t>红石桥乡</t>
  </si>
  <si>
    <t>Huáiníngwān Zhèn</t>
  </si>
  <si>
    <t>淮宁湾镇</t>
  </si>
  <si>
    <t>Huángfŭ Zhèn</t>
  </si>
  <si>
    <t>黄甫镇</t>
  </si>
  <si>
    <t>Huánghāojiè Zhèn</t>
  </si>
  <si>
    <t>黄蒿界镇</t>
  </si>
  <si>
    <t>Huángwān Xiāng</t>
  </si>
  <si>
    <t>黄湾乡</t>
  </si>
  <si>
    <t>Huāshíyá Zhèn</t>
  </si>
  <si>
    <t>花石崖镇</t>
  </si>
  <si>
    <t>Jiāzhōu Jiēdào</t>
  </si>
  <si>
    <t>佳州街道</t>
  </si>
  <si>
    <t>Jiĕjiābăo Xiāng</t>
  </si>
  <si>
    <t>解家堡乡</t>
  </si>
  <si>
    <t>Jiĕjiāgōu Zhèn [incl. Èrlángshān Xiāng, Shípán Xiāng]</t>
  </si>
  <si>
    <t>解家沟镇</t>
  </si>
  <si>
    <t>Jījiāchà Xiāng</t>
  </si>
  <si>
    <t>姬家岔乡</t>
  </si>
  <si>
    <t>Jĭnjiè Zhèn</t>
  </si>
  <si>
    <t>锦界镇</t>
  </si>
  <si>
    <t>Jīnjītān Zhèn</t>
  </si>
  <si>
    <t>金鸡滩镇</t>
  </si>
  <si>
    <t>Jīnmíngsì Zhèn</t>
  </si>
  <si>
    <t>金明寺镇</t>
  </si>
  <si>
    <t>Jīyuán Zhèn</t>
  </si>
  <si>
    <t>姬塬镇</t>
  </si>
  <si>
    <t>Jí Zhèn</t>
  </si>
  <si>
    <t>吉镇</t>
  </si>
  <si>
    <t>Kēng Zhèn [incl. Dàfósì Xiāng]</t>
  </si>
  <si>
    <t>坑镇</t>
  </si>
  <si>
    <t>Kòujiāyuán Zhèn</t>
  </si>
  <si>
    <t>寇家塬镇</t>
  </si>
  <si>
    <t>Kuānzhōu Zhèn [incl. Lètángbăo Xiāng]</t>
  </si>
  <si>
    <t>宽州镇</t>
  </si>
  <si>
    <t>Lángānbăo Zhèn</t>
  </si>
  <si>
    <t>栏杆堡镇</t>
  </si>
  <si>
    <t>Lăogāochuān Zhèn</t>
  </si>
  <si>
    <t>老高川镇</t>
  </si>
  <si>
    <t>Lăojūndiàn Zhèn</t>
  </si>
  <si>
    <t>老君殿镇</t>
  </si>
  <si>
    <t>Léilóngwān Zhèn</t>
  </si>
  <si>
    <t>雷龙湾镇</t>
  </si>
  <si>
    <t>Lĭjiātă Zhèn</t>
  </si>
  <si>
    <t>李家塔镇</t>
  </si>
  <si>
    <t>Lĭjiāzhàn Xiāng</t>
  </si>
  <si>
    <t>李家站乡</t>
  </si>
  <si>
    <t>Liúguójù Zhèn [incl. Shànggāozhài Xiāng]</t>
  </si>
  <si>
    <t>刘国具镇</t>
  </si>
  <si>
    <t>Lĭxiàohé Xiāng</t>
  </si>
  <si>
    <t>李孝河乡</t>
  </si>
  <si>
    <t>Lóng Zhèn</t>
  </si>
  <si>
    <t>龙镇</t>
  </si>
  <si>
    <t>Lóngzhōu Zhèn</t>
  </si>
  <si>
    <t>龙洲镇</t>
  </si>
  <si>
    <t>Măchà Zhèn [incl. Huáishùchà Xiāng]</t>
  </si>
  <si>
    <t>马岔镇</t>
  </si>
  <si>
    <t>Măhé Zhèn</t>
  </si>
  <si>
    <t>马合镇</t>
  </si>
  <si>
    <t>Máhuángliáng Zhèn</t>
  </si>
  <si>
    <t>麻黄梁镇</t>
  </si>
  <si>
    <t>Măjiāchuān Xiāng</t>
  </si>
  <si>
    <t>马家川乡</t>
  </si>
  <si>
    <t>Májiātă Xiāng</t>
  </si>
  <si>
    <t>麻家塔乡</t>
  </si>
  <si>
    <t>Măntángchuān Zhèn</t>
  </si>
  <si>
    <t>满堂川镇</t>
  </si>
  <si>
    <t>Mătígōu Zhèn</t>
  </si>
  <si>
    <t>马蹄沟镇</t>
  </si>
  <si>
    <t>Mă Zhèn</t>
  </si>
  <si>
    <t>马镇</t>
  </si>
  <si>
    <t>Mèngjiāwān Xiāng</t>
  </si>
  <si>
    <t>孟家湾乡</t>
  </si>
  <si>
    <t>Miàogōumén Zhèn</t>
  </si>
  <si>
    <t>庙沟门镇</t>
  </si>
  <si>
    <t>Miáojiāpíng Zhèn</t>
  </si>
  <si>
    <t>苗家坪镇</t>
  </si>
  <si>
    <t>Míngzhōu Zhèn [incl. Jiŭyuángōu Xiāng]</t>
  </si>
  <si>
    <t>名州镇</t>
  </si>
  <si>
    <t>Mùguā Zhèn</t>
  </si>
  <si>
    <t>木瓜镇</t>
  </si>
  <si>
    <t>Mùtóuyù Zhèn</t>
  </si>
  <si>
    <t>木头峪镇</t>
  </si>
  <si>
    <t>Nántă Xiāng</t>
  </si>
  <si>
    <t>南塔乡</t>
  </si>
  <si>
    <t>Níngtiáoliáng Zhèn</t>
  </si>
  <si>
    <t>宁条梁镇</t>
  </si>
  <si>
    <t>Niújiāliáng Zhèn</t>
  </si>
  <si>
    <t>牛家梁镇</t>
  </si>
  <si>
    <t>Péijiāwān Zhèn</t>
  </si>
  <si>
    <t>裴家湾镇</t>
  </si>
  <si>
    <t>Qiángtóu Xiāng</t>
  </si>
  <si>
    <t>墙头乡</t>
  </si>
  <si>
    <t>Qìléng Xiāng</t>
  </si>
  <si>
    <t>碛塄乡</t>
  </si>
  <si>
    <t>Qīngshānlù Jiēdào</t>
  </si>
  <si>
    <t>青山路街道</t>
  </si>
  <si>
    <t>清水镇</t>
  </si>
  <si>
    <t>Qīngyángchà Zhèn</t>
  </si>
  <si>
    <t>青阳岔镇</t>
  </si>
  <si>
    <t>Qīngyún Zhèn [incl. Liúqiānhé Xiāng]</t>
  </si>
  <si>
    <t>青云镇</t>
  </si>
  <si>
    <t>Qínhé Zhèn</t>
  </si>
  <si>
    <t>芹河镇</t>
  </si>
  <si>
    <t>Sānchuānkŏu Zhèn</t>
  </si>
  <si>
    <t>三川口镇</t>
  </si>
  <si>
    <t>Sāndàogōu Zhèn</t>
  </si>
  <si>
    <t>三道沟镇</t>
  </si>
  <si>
    <t>Shājiādiàn Zhèn</t>
  </si>
  <si>
    <t>沙家店镇</t>
  </si>
  <si>
    <t>Shāmăo Zhèn</t>
  </si>
  <si>
    <t>沙峁镇</t>
  </si>
  <si>
    <t>Shàngjùnlù Jiēdào</t>
  </si>
  <si>
    <t>上郡路街道</t>
  </si>
  <si>
    <t>Shàngyánwān Zhèn [incl. Qīngquán Zhèn]</t>
  </si>
  <si>
    <t>上盐湾镇</t>
  </si>
  <si>
    <t>Shénmù Zhèn</t>
  </si>
  <si>
    <t>神木镇</t>
  </si>
  <si>
    <t>Shídònggōu Zhèn</t>
  </si>
  <si>
    <t>石洞沟镇</t>
  </si>
  <si>
    <t>Shíjiāwān Zhèn</t>
  </si>
  <si>
    <t>石家湾镇</t>
  </si>
  <si>
    <t>Shíjŭyì Zhèn</t>
  </si>
  <si>
    <t>石咀驿镇</t>
  </si>
  <si>
    <t>Shíwān Zhèn</t>
  </si>
  <si>
    <t>石湾镇</t>
  </si>
  <si>
    <t>Shíyáogōu Xiāng</t>
  </si>
  <si>
    <t>石窑沟乡</t>
  </si>
  <si>
    <t>Shuāngchéng Xiāng</t>
  </si>
  <si>
    <t>双城乡</t>
  </si>
  <si>
    <t>Shuānghúyù Jiēdào</t>
  </si>
  <si>
    <t>双湖峪街道</t>
  </si>
  <si>
    <t>Shuĭdìwān Xiāng</t>
  </si>
  <si>
    <t>水地湾乡</t>
  </si>
  <si>
    <t>Sìshílǐpù Zhèn [incl. Sìshípū Zhèn, Zhàojiābiān Xiāng]</t>
  </si>
  <si>
    <t>四十里铺镇</t>
  </si>
  <si>
    <t>Sòngjiāchuān Jiēdào</t>
  </si>
  <si>
    <t>宋家川街道</t>
  </si>
  <si>
    <t>Sūnjiāchà Zhèn</t>
  </si>
  <si>
    <t>孙家岔镇</t>
  </si>
  <si>
    <t>Tàihézhài Xiāng</t>
  </si>
  <si>
    <t>太和寨乡</t>
  </si>
  <si>
    <t>Táo Zhèn</t>
  </si>
  <si>
    <t>桃镇</t>
  </si>
  <si>
    <t>Tăwān Zhèn</t>
  </si>
  <si>
    <t>塔湾镇</t>
  </si>
  <si>
    <t>Tiāncìwān Zhèn [incl. Qiáogōuwān Xiāng]</t>
  </si>
  <si>
    <t>天赐湾镇</t>
  </si>
  <si>
    <t>Tiánjiāzhài Zhèn</t>
  </si>
  <si>
    <t>田家寨镇</t>
  </si>
  <si>
    <t>Tiánzhuāng Zhèn</t>
  </si>
  <si>
    <t>Tōng Zhèn</t>
  </si>
  <si>
    <t>通镇</t>
  </si>
  <si>
    <t>Tuó'ĕrxiàng Xiāng</t>
  </si>
  <si>
    <t>驼耳巷乡</t>
  </si>
  <si>
    <t>Tuófēnglù Jiēdào</t>
  </si>
  <si>
    <t>驼峰路街道</t>
  </si>
  <si>
    <t>Wángjiābiān Zhèn</t>
  </si>
  <si>
    <t>王家砭镇</t>
  </si>
  <si>
    <t>Wángjiādūn Xiāng</t>
  </si>
  <si>
    <t>王家墩乡</t>
  </si>
  <si>
    <t>Wángpánshān Xiāng</t>
  </si>
  <si>
    <t>王盘山乡</t>
  </si>
  <si>
    <t>Wángqúzé Zhèn</t>
  </si>
  <si>
    <t>王渠则镇</t>
  </si>
  <si>
    <t>Wàn Zhèn</t>
  </si>
  <si>
    <t>万镇</t>
  </si>
  <si>
    <t>Wèijiālóu Zhèn</t>
  </si>
  <si>
    <t>魏家楼镇</t>
  </si>
  <si>
    <t>Wŭjiāzhuāng Zhèn</t>
  </si>
  <si>
    <t>武家庄镇</t>
  </si>
  <si>
    <t>Wŭmăozi Xiāng</t>
  </si>
  <si>
    <t>武峁子乡</t>
  </si>
  <si>
    <t>Wŭ Zhèn</t>
  </si>
  <si>
    <t>武镇</t>
  </si>
  <si>
    <t>Wū Zhèn [incl. Liújiāshān Xiāng]</t>
  </si>
  <si>
    <t>乌镇</t>
  </si>
  <si>
    <t>Xiăngshuĭ Zhèn</t>
  </si>
  <si>
    <t>响水镇</t>
  </si>
  <si>
    <t>Xiàniànlĭpū Zhèn [incl. Shuāngmiàohé Xiāng]</t>
  </si>
  <si>
    <t>下廿里铺镇</t>
  </si>
  <si>
    <t>Xiăoháotù Xiāng</t>
  </si>
  <si>
    <t>小壕兔乡</t>
  </si>
  <si>
    <t>Xiăojìhàn Zhèn</t>
  </si>
  <si>
    <t>小纪汗镇</t>
  </si>
  <si>
    <t>Xímáwān Zhèn</t>
  </si>
  <si>
    <t>席麻湾镇</t>
  </si>
  <si>
    <t>Xīn'ānbiān Zhèn</t>
  </si>
  <si>
    <t>新安边镇</t>
  </si>
  <si>
    <t>Xīnchéng Xiāng</t>
  </si>
  <si>
    <t>新城乡</t>
  </si>
  <si>
    <t>Xīndiàn Xiāng</t>
  </si>
  <si>
    <t>辛店乡</t>
  </si>
  <si>
    <t>Xīnjiāgōu Zhèn</t>
  </si>
  <si>
    <t>辛家沟镇</t>
  </si>
  <si>
    <t>Xīnmínglóu Jiēdào</t>
  </si>
  <si>
    <t>新明楼街道</t>
  </si>
  <si>
    <t>Xīnmín Zhèn</t>
  </si>
  <si>
    <t>Xī Zhèn [incl. Kāngjiāgăng Xiāng]</t>
  </si>
  <si>
    <t>螅镇</t>
  </si>
  <si>
    <t>Xuējiāhé Zhèn</t>
  </si>
  <si>
    <t>薛家河镇</t>
  </si>
  <si>
    <t>Xuējiāmăo Zhèn</t>
  </si>
  <si>
    <t>薛家峁镇</t>
  </si>
  <si>
    <t>Xuēxiàcūn Xiāng</t>
  </si>
  <si>
    <t>薛下村乡</t>
  </si>
  <si>
    <t>Xuézhuāng Xiāng</t>
  </si>
  <si>
    <t>学庄乡</t>
  </si>
  <si>
    <t>Yánchăngbăo Zhèn</t>
  </si>
  <si>
    <t>盐场堡镇</t>
  </si>
  <si>
    <t>Yángjiāgōu Zhèn</t>
  </si>
  <si>
    <t>杨家沟镇</t>
  </si>
  <si>
    <t>Yángjĭng Zhèn</t>
  </si>
  <si>
    <t>杨井镇</t>
  </si>
  <si>
    <t>Yángmĭjiàn Zhèn</t>
  </si>
  <si>
    <t>杨米涧镇</t>
  </si>
  <si>
    <t>Yángqiáopàn Zhèn</t>
  </si>
  <si>
    <t>杨桥畔镇</t>
  </si>
  <si>
    <t>Yìhé Zhèn</t>
  </si>
  <si>
    <t>义合镇</t>
  </si>
  <si>
    <t>Yìndòu Zhèn [incl. Qiáohéchà Xiāng]</t>
  </si>
  <si>
    <t>印斗镇</t>
  </si>
  <si>
    <t>Yínzhōu Jiēdào</t>
  </si>
  <si>
    <t>银州街道</t>
  </si>
  <si>
    <t>Yóufángzhuāng Xiāng</t>
  </si>
  <si>
    <t>油房庄乡</t>
  </si>
  <si>
    <t>Yúhémăo Zhèn</t>
  </si>
  <si>
    <t>鱼河峁镇</t>
  </si>
  <si>
    <t>Yúhé Zhèn</t>
  </si>
  <si>
    <t>鱼河镇</t>
  </si>
  <si>
    <t>Yùjiāhé Zhèn [incl. Lăoshèkē Xiāng]</t>
  </si>
  <si>
    <t>玉家河镇</t>
  </si>
  <si>
    <t>Yùkŏu Xiāng</t>
  </si>
  <si>
    <t>峪口乡</t>
  </si>
  <si>
    <t>Zăolínpíng Zhèn</t>
  </si>
  <si>
    <t>枣林坪镇</t>
  </si>
  <si>
    <t>Zhāngjiābiān Zhèn</t>
  </si>
  <si>
    <t>张家砭镇</t>
  </si>
  <si>
    <t>Zhāngjiāpàn Jiēdào</t>
  </si>
  <si>
    <t>张家畔街道</t>
  </si>
  <si>
    <t>Zhāngjiāshān Zhèn</t>
  </si>
  <si>
    <t>张家山镇</t>
  </si>
  <si>
    <t>Zhāngyàoxiān Zhèn [incl. Báimăyàoxiān Xiāng]</t>
  </si>
  <si>
    <t>张崾先镇</t>
  </si>
  <si>
    <t>Zhàoshípàn Zhèn</t>
  </si>
  <si>
    <t>赵石畔镇</t>
  </si>
  <si>
    <t>Zhàowŭjiāwān Xiāng</t>
  </si>
  <si>
    <t>赵五家湾乡</t>
  </si>
  <si>
    <t>Zhéjiāpíng Zhèn</t>
  </si>
  <si>
    <t>折家坪镇</t>
  </si>
  <si>
    <t>Zhènjìng Zhèn</t>
  </si>
  <si>
    <t>镇靖镇</t>
  </si>
  <si>
    <t>Zhōngjiăo Zhèn</t>
  </si>
  <si>
    <t>中角镇</t>
  </si>
  <si>
    <t>Zhōngjī Zhèn</t>
  </si>
  <si>
    <t>中鸡镇</t>
  </si>
  <si>
    <t>Zhōngshānjiàn Zhèn</t>
  </si>
  <si>
    <t>中山涧镇</t>
  </si>
  <si>
    <t>Zhōuhé Zhèn [incl. Wŭlĭwān Xiāng]</t>
  </si>
  <si>
    <t>周河镇</t>
  </si>
  <si>
    <t>Zhōujiājiăn Zhèn</t>
  </si>
  <si>
    <t>周家硷镇</t>
  </si>
  <si>
    <t>Zhōutáizi Xiāng</t>
  </si>
  <si>
    <t>周台子乡</t>
  </si>
  <si>
    <t>Zhuānjĭng Zhèn</t>
  </si>
  <si>
    <t>砖井镇</t>
  </si>
  <si>
    <t>Zhuānmiào Zhèn</t>
  </si>
  <si>
    <t>砖庙镇</t>
  </si>
  <si>
    <t>Zhūguānzhài Zhèn [incl. Xīnglóngsì Xiāng]</t>
  </si>
  <si>
    <t>朱官寨镇</t>
  </si>
  <si>
    <t>Zhūjiāwā Zhèn</t>
  </si>
  <si>
    <t>朱家坬镇</t>
  </si>
  <si>
    <t>Ānkāng Shì</t>
  </si>
  <si>
    <t>Prefecture-level City</t>
  </si>
  <si>
    <t>安康市</t>
  </si>
  <si>
    <t>County</t>
  </si>
  <si>
    <t>白河县</t>
  </si>
  <si>
    <t>District</t>
  </si>
  <si>
    <t>汉滨区</t>
  </si>
  <si>
    <t>汉阴县</t>
  </si>
  <si>
    <t>岚皋县</t>
  </si>
  <si>
    <t>宁陕县</t>
  </si>
  <si>
    <t>平利县</t>
  </si>
  <si>
    <t>石泉县</t>
  </si>
  <si>
    <t>旬阳县</t>
  </si>
  <si>
    <t>镇坪县</t>
  </si>
  <si>
    <t>紫阳县</t>
  </si>
  <si>
    <t>Băojī Shì</t>
  </si>
  <si>
    <t>宝鸡市</t>
  </si>
  <si>
    <t>陈仓区</t>
  </si>
  <si>
    <t>凤县</t>
  </si>
  <si>
    <t>凤翔区</t>
  </si>
  <si>
    <t>扶风县</t>
  </si>
  <si>
    <t>金台区</t>
  </si>
  <si>
    <t>麟游县</t>
  </si>
  <si>
    <t>陇县</t>
  </si>
  <si>
    <t>眉县</t>
  </si>
  <si>
    <t>千阳县</t>
  </si>
  <si>
    <t>岐山县</t>
  </si>
  <si>
    <t>太白县</t>
  </si>
  <si>
    <t>渭滨区</t>
  </si>
  <si>
    <t>Hànzhōng Shì</t>
  </si>
  <si>
    <t>汉中市</t>
  </si>
  <si>
    <t>城固县</t>
  </si>
  <si>
    <t>佛坪县</t>
  </si>
  <si>
    <t>汉台区</t>
  </si>
  <si>
    <t>留坝县</t>
  </si>
  <si>
    <t>略阳县</t>
  </si>
  <si>
    <t>勉县</t>
  </si>
  <si>
    <t>南郑区</t>
  </si>
  <si>
    <t>宁强县</t>
  </si>
  <si>
    <t>西乡县</t>
  </si>
  <si>
    <t>洋县</t>
  </si>
  <si>
    <t>镇巴县</t>
  </si>
  <si>
    <t>Shāngluò Shì</t>
  </si>
  <si>
    <t>商洛市</t>
  </si>
  <si>
    <t>丹凤县</t>
  </si>
  <si>
    <t>洛南县</t>
  </si>
  <si>
    <t>商南县</t>
  </si>
  <si>
    <t>商州区</t>
  </si>
  <si>
    <t>山阳县</t>
  </si>
  <si>
    <t>柞水县</t>
  </si>
  <si>
    <t>镇安县</t>
  </si>
  <si>
    <t>Tóngchuān Shì</t>
  </si>
  <si>
    <t>铜川市</t>
  </si>
  <si>
    <t>王益区</t>
  </si>
  <si>
    <t>耀州区</t>
  </si>
  <si>
    <t>宜君县</t>
  </si>
  <si>
    <t>印台区</t>
  </si>
  <si>
    <t>Wèinán Shì</t>
  </si>
  <si>
    <t>渭南市</t>
  </si>
  <si>
    <t>白水县</t>
  </si>
  <si>
    <t>澄城县</t>
  </si>
  <si>
    <t>大荔县</t>
  </si>
  <si>
    <t>富平县</t>
  </si>
  <si>
    <t>County-level City</t>
  </si>
  <si>
    <t>韩城市</t>
  </si>
  <si>
    <t>合阳县</t>
  </si>
  <si>
    <t>华阴市</t>
  </si>
  <si>
    <t>华州区</t>
  </si>
  <si>
    <t>临渭区</t>
  </si>
  <si>
    <t>蒲城县</t>
  </si>
  <si>
    <t>潼关县</t>
  </si>
  <si>
    <t>Xī'ān Shì</t>
  </si>
  <si>
    <t>Sub-provincial City</t>
  </si>
  <si>
    <t>西安市</t>
  </si>
  <si>
    <t>灞桥区</t>
  </si>
  <si>
    <t>碑林区</t>
  </si>
  <si>
    <t>长安区</t>
  </si>
  <si>
    <t>高陵区</t>
  </si>
  <si>
    <t>鄠邑区</t>
  </si>
  <si>
    <t>蓝田县</t>
  </si>
  <si>
    <t>莲湖区</t>
  </si>
  <si>
    <t>临潼区</t>
  </si>
  <si>
    <t>未央区</t>
  </si>
  <si>
    <t>新城区</t>
  </si>
  <si>
    <t>阎良区</t>
  </si>
  <si>
    <t>雁塔区</t>
  </si>
  <si>
    <t>周至县</t>
  </si>
  <si>
    <t>Xiányáng Shì</t>
  </si>
  <si>
    <t>咸阳市</t>
  </si>
  <si>
    <t>彬州市</t>
  </si>
  <si>
    <t>长武县</t>
  </si>
  <si>
    <t>淳化县</t>
  </si>
  <si>
    <t>泾阳县</t>
  </si>
  <si>
    <t>礼泉县</t>
  </si>
  <si>
    <t>乾县</t>
  </si>
  <si>
    <t>秦都区</t>
  </si>
  <si>
    <t>三原县</t>
  </si>
  <si>
    <t>渭城区</t>
  </si>
  <si>
    <t>武功县</t>
  </si>
  <si>
    <t>兴平市</t>
  </si>
  <si>
    <t>旬邑县</t>
  </si>
  <si>
    <t>杨陵区</t>
  </si>
  <si>
    <t>永寿县</t>
  </si>
  <si>
    <t>Yán'ān Shì</t>
  </si>
  <si>
    <t>延安市</t>
  </si>
  <si>
    <t>安塞区</t>
  </si>
  <si>
    <t>宝塔区</t>
  </si>
  <si>
    <t>富县</t>
  </si>
  <si>
    <t>甘泉县</t>
  </si>
  <si>
    <t>黄陵县</t>
  </si>
  <si>
    <t>黄龙县</t>
  </si>
  <si>
    <t>洛川县</t>
  </si>
  <si>
    <t>吴起县</t>
  </si>
  <si>
    <t>延长县</t>
  </si>
  <si>
    <t>延川县</t>
  </si>
  <si>
    <t>宜川县</t>
  </si>
  <si>
    <t>志丹县</t>
  </si>
  <si>
    <t>子长市</t>
  </si>
  <si>
    <t>Yúlín Shì</t>
  </si>
  <si>
    <t>榆林市</t>
  </si>
  <si>
    <t>定边县</t>
  </si>
  <si>
    <t>府谷县</t>
  </si>
  <si>
    <t>横山区</t>
  </si>
  <si>
    <t>佳县</t>
  </si>
  <si>
    <t>靖边县</t>
  </si>
  <si>
    <t>米脂县</t>
  </si>
  <si>
    <t>清涧县</t>
  </si>
  <si>
    <t>神木市</t>
  </si>
  <si>
    <t>绥德县</t>
  </si>
  <si>
    <t>吴堡县</t>
  </si>
  <si>
    <t>榆阳区</t>
  </si>
  <si>
    <t>子洲县</t>
  </si>
  <si>
    <t>Province</t>
  </si>
  <si>
    <t>陕西省</t>
  </si>
  <si>
    <t>Population2</t>
  </si>
  <si>
    <t>Population3</t>
  </si>
  <si>
    <t>Shănxī</t>
  </si>
  <si>
    <t>Column1</t>
  </si>
  <si>
    <t>西咸新区</t>
  </si>
  <si>
    <t>…</t>
  </si>
  <si>
    <t>Population4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</si>
  <si>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</si>
  <si>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</si>
  <si>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</si>
  <si>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</si>
  <si>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</si>
  <si>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</si>
  <si>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</si>
  <si>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</si>
  <si>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</si>
  <si>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{"name":"</t>
  </si>
  <si>
    <t>,"longitude":</t>
  </si>
  <si>
    <t>,"population":</t>
  </si>
  <si>
    <t xml:space="preserve">,"stateCapital":false,"nationalCapital":false,"pk":null,"quiz":"asia","code":null,"archived":false,"percentageOfSessions":null}, </t>
  </si>
  <si>
    <t>","state":"Shănxī","territory":"","country":"China","latitude":</t>
  </si>
  <si>
    <t>Bàhé</t>
  </si>
  <si>
    <t>Báiliŭ</t>
  </si>
  <si>
    <t>Bāntáo</t>
  </si>
  <si>
    <t>Bāxiān</t>
  </si>
  <si>
    <t>Cāngshàng</t>
  </si>
  <si>
    <t>Cháng'ān</t>
  </si>
  <si>
    <t>Chéngguān</t>
  </si>
  <si>
    <t>Chíhé</t>
  </si>
  <si>
    <t>Cígōu</t>
  </si>
  <si>
    <t>Dàdàohé</t>
  </si>
  <si>
    <t>Dàguì</t>
  </si>
  <si>
    <t>Dàtóng</t>
  </si>
  <si>
    <t>Dàzhúyuán</t>
  </si>
  <si>
    <t>Dònghé</t>
  </si>
  <si>
    <t>Dōngmù</t>
  </si>
  <si>
    <t>Duànjiāhé</t>
  </si>
  <si>
    <t>Gānxī</t>
  </si>
  <si>
    <t>Gāotān</t>
  </si>
  <si>
    <t>Gòubā</t>
  </si>
  <si>
    <t>Gòuyuán</t>
  </si>
  <si>
    <t>Guăngfó</t>
  </si>
  <si>
    <t>Guănghuòjiē</t>
  </si>
  <si>
    <t>Guānjiā</t>
  </si>
  <si>
    <t>Guānkŏu</t>
  </si>
  <si>
    <t>Guānmiào</t>
  </si>
  <si>
    <t>Guānyīnhé</t>
  </si>
  <si>
    <t>Guānyuán</t>
  </si>
  <si>
    <t>Hànyáng</t>
  </si>
  <si>
    <t>Hāopíng</t>
  </si>
  <si>
    <t>Héngkŏu</t>
  </si>
  <si>
    <t>Héxī</t>
  </si>
  <si>
    <t>Hóngchūn</t>
  </si>
  <si>
    <t>Hóngjūn</t>
  </si>
  <si>
    <t>Hóngshān</t>
  </si>
  <si>
    <t>Hòuliŭ</t>
  </si>
  <si>
    <t>Huángguān</t>
  </si>
  <si>
    <t>Huàngŭ</t>
  </si>
  <si>
    <t>Huápíng</t>
  </si>
  <si>
    <t>Huíshuĭ</t>
  </si>
  <si>
    <t>Jiànchí</t>
  </si>
  <si>
    <t>Jièlĭng</t>
  </si>
  <si>
    <t>Jíhé</t>
  </si>
  <si>
    <t>Jīnchuān</t>
  </si>
  <si>
    <t>Jīnzhài</t>
  </si>
  <si>
    <t>Kăzi</t>
  </si>
  <si>
    <t>Lăoxiàn</t>
  </si>
  <si>
    <t>Lĕngshuĭ</t>
  </si>
  <si>
    <t>Lìnhé</t>
  </si>
  <si>
    <t>Liúshuĭ</t>
  </si>
  <si>
    <t>Lóngwáng</t>
  </si>
  <si>
    <t>Lǚhé</t>
  </si>
  <si>
    <t>Luòhé</t>
  </si>
  <si>
    <t>Máhŭ</t>
  </si>
  <si>
    <t>Máliŭ</t>
  </si>
  <si>
    <t>Máobà</t>
  </si>
  <si>
    <t>Méizi</t>
  </si>
  <si>
    <t>Mèngshílĭng</t>
  </si>
  <si>
    <t>Mínzhŭ</t>
  </si>
  <si>
    <t>Nángōngshān</t>
  </si>
  <si>
    <t>Niútí</t>
  </si>
  <si>
    <t>Niútóudiàn</t>
  </si>
  <si>
    <t>Píngliáng</t>
  </si>
  <si>
    <t>Púxī</t>
  </si>
  <si>
    <t>Ráofēng</t>
  </si>
  <si>
    <t>Rénhékŏu</t>
  </si>
  <si>
    <t>Sānyáng</t>
  </si>
  <si>
    <t>Shàngzhú</t>
  </si>
  <si>
    <t>Shĕnbà</t>
  </si>
  <si>
    <t>Shénhé</t>
  </si>
  <si>
    <t>Shímén</t>
  </si>
  <si>
    <t>Shítī</t>
  </si>
  <si>
    <t>Shuāng'ān</t>
  </si>
  <si>
    <t>Shuāngfēng</t>
  </si>
  <si>
    <t>Shuānghékŏu</t>
  </si>
  <si>
    <t>Shuānghé</t>
  </si>
  <si>
    <t>Shuāngqiáo</t>
  </si>
  <si>
    <t>Shuāngrŭ</t>
  </si>
  <si>
    <t>Shŭhé</t>
  </si>
  <si>
    <t>Shŭpíng</t>
  </si>
  <si>
    <t>Sìjì</t>
  </si>
  <si>
    <t>Sìmŭdì</t>
  </si>
  <si>
    <t>Sòngjiā</t>
  </si>
  <si>
    <t>Tàishānmiào</t>
  </si>
  <si>
    <t>Tánbà</t>
  </si>
  <si>
    <t>Tāngpíng</t>
  </si>
  <si>
    <t>Tāohé</t>
  </si>
  <si>
    <t>Tiĕfósì</t>
  </si>
  <si>
    <t>Tŏngchēwān</t>
  </si>
  <si>
    <t>Tóngmù</t>
  </si>
  <si>
    <t>Tóngqiánguān</t>
  </si>
  <si>
    <t>Wămiào</t>
  </si>
  <si>
    <t>Wŭlĭ</t>
  </si>
  <si>
    <t>Xiàngyáng</t>
  </si>
  <si>
    <t>Xiànhé</t>
  </si>
  <si>
    <t>Xiānhé</t>
  </si>
  <si>
    <t>Xiăohé</t>
  </si>
  <si>
    <t>Xĭhé</t>
  </si>
  <si>
    <t>Xīhé</t>
  </si>
  <si>
    <t>Xīnchăng</t>
  </si>
  <si>
    <t>Xīnglóng</t>
  </si>
  <si>
    <t>Xīyíng</t>
  </si>
  <si>
    <t>Xuánwō</t>
  </si>
  <si>
    <t>Xúnyángbà</t>
  </si>
  <si>
    <t>Yànbà</t>
  </si>
  <si>
    <t>Yànmén</t>
  </si>
  <si>
    <t>Yèpíng</t>
  </si>
  <si>
    <t>Yíngfēng</t>
  </si>
  <si>
    <t>Yínghú</t>
  </si>
  <si>
    <t>Yùndòu</t>
  </si>
  <si>
    <t>Yúnwùshān</t>
  </si>
  <si>
    <t>Zăoyáng</t>
  </si>
  <si>
    <t>Zēngjiā</t>
  </si>
  <si>
    <t>Zēngxī</t>
  </si>
  <si>
    <t>Zhāngtān</t>
  </si>
  <si>
    <t>Zhàowān</t>
  </si>
  <si>
    <t>Zhèngyáng</t>
  </si>
  <si>
    <t>Zhōngbăo</t>
  </si>
  <si>
    <t>Zhōngchăng</t>
  </si>
  <si>
    <t>Zhōngchí</t>
  </si>
  <si>
    <t>Zhōngyuán</t>
  </si>
  <si>
    <t>Zǐjīng</t>
  </si>
  <si>
    <t>Zōngxī</t>
  </si>
  <si>
    <t>Zuŏlóng</t>
  </si>
  <si>
    <t>Ānlè</t>
  </si>
  <si>
    <t>Bādù</t>
  </si>
  <si>
    <t>Bāyú</t>
  </si>
  <si>
    <t>Biāojiăo</t>
  </si>
  <si>
    <t>Càijiāpō</t>
  </si>
  <si>
    <t>Căobì</t>
  </si>
  <si>
    <t>Cáojiāwān</t>
  </si>
  <si>
    <t>Cáojiā</t>
  </si>
  <si>
    <t>Chángfēng</t>
  </si>
  <si>
    <t>Chángqīng</t>
  </si>
  <si>
    <t>Chángxīng</t>
  </si>
  <si>
    <t>Chéncāng</t>
  </si>
  <si>
    <t>Chéncūn</t>
  </si>
  <si>
    <t>Chìshā</t>
  </si>
  <si>
    <t>Cuījiātóu</t>
  </si>
  <si>
    <t>Cuīmù</t>
  </si>
  <si>
    <t>Diàowèi</t>
  </si>
  <si>
    <t>Dōngfēng</t>
  </si>
  <si>
    <t>Dōngnán</t>
  </si>
  <si>
    <t>Dùyáng</t>
  </si>
  <si>
    <t>Fămén</t>
  </si>
  <si>
    <t>Fànjiāzhài</t>
  </si>
  <si>
    <t>Fènggélĭng</t>
  </si>
  <si>
    <t>Fèngmíng</t>
  </si>
  <si>
    <t>Fèngzhōu</t>
  </si>
  <si>
    <t>Gāojiā</t>
  </si>
  <si>
    <t>Gāoyá</t>
  </si>
  <si>
    <t>Gùguān</t>
  </si>
  <si>
    <t>Gùjùn</t>
  </si>
  <si>
    <t>Guōdiàn</t>
  </si>
  <si>
    <t>Guówáng</t>
  </si>
  <si>
    <t>Hébĕi</t>
  </si>
  <si>
    <t>Hékŏu</t>
  </si>
  <si>
    <t>Héngqú</t>
  </si>
  <si>
    <t>Héngshuĭ</t>
  </si>
  <si>
    <t>Hónghuāpū</t>
  </si>
  <si>
    <t>Huáiyá</t>
  </si>
  <si>
    <t>Huángbǎiyuán</t>
  </si>
  <si>
    <t>Huángniúpū</t>
  </si>
  <si>
    <t>Jiăcūn</t>
  </si>
  <si>
    <t>Jiàngzhàng</t>
  </si>
  <si>
    <t>Jīngdāng</t>
  </si>
  <si>
    <t>Jìngkŏu</t>
  </si>
  <si>
    <t>Jīnhé</t>
  </si>
  <si>
    <t>Jīnqú</t>
  </si>
  <si>
    <t>Jiŭchénggōng</t>
  </si>
  <si>
    <t>Jiŭfáng</t>
  </si>
  <si>
    <t>Jŭtóu</t>
  </si>
  <si>
    <t>Lèngdĭxià</t>
  </si>
  <si>
    <t>Liăngtíng</t>
  </si>
  <si>
    <t>Liúfèngguān</t>
  </si>
  <si>
    <t>Liŭlín</t>
  </si>
  <si>
    <t>Măyíng</t>
  </si>
  <si>
    <t>Mígānqiáo</t>
  </si>
  <si>
    <t>Mùyí</t>
  </si>
  <si>
    <t>Nányáng</t>
  </si>
  <si>
    <t>Nánzhài</t>
  </si>
  <si>
    <t>Nánzhĭhuī</t>
  </si>
  <si>
    <t>Pánxī</t>
  </si>
  <si>
    <t>Píngkăn</t>
  </si>
  <si>
    <t>Píngmù</t>
  </si>
  <si>
    <t>Píngtóu</t>
  </si>
  <si>
    <t>Púcūn</t>
  </si>
  <si>
    <t>Qiānhé</t>
  </si>
  <si>
    <t>Qiáo</t>
  </si>
  <si>
    <t>Qí</t>
  </si>
  <si>
    <t>Shénnóng</t>
  </si>
  <si>
    <t>Shígŭ</t>
  </si>
  <si>
    <t>Shuāngshípū</t>
  </si>
  <si>
    <t>Shuĭgōu</t>
  </si>
  <si>
    <t>Tàibáihé</t>
  </si>
  <si>
    <t>Tāngyù</t>
  </si>
  <si>
    <t>Tángzàng</t>
  </si>
  <si>
    <t>Táochuān</t>
  </si>
  <si>
    <t>Tiānchéng</t>
  </si>
  <si>
    <t>Tiāndù</t>
  </si>
  <si>
    <t>Tiánjiāzhuāng</t>
  </si>
  <si>
    <t>Tiāntáng</t>
  </si>
  <si>
    <t>Tiānwáng</t>
  </si>
  <si>
    <t>Tuòshí</t>
  </si>
  <si>
    <t>Wángjiāléng</t>
  </si>
  <si>
    <t>Wēnshuĭ</t>
  </si>
  <si>
    <t>Wŭjĭng</t>
  </si>
  <si>
    <t>Wŭzhàngyuán</t>
  </si>
  <si>
    <t>Xiàngōng</t>
  </si>
  <si>
    <t>Xiāngquán</t>
  </si>
  <si>
    <t>Xiáshí</t>
  </si>
  <si>
    <t>Xīnjíchuān</t>
  </si>
  <si>
    <t>Xīnjiē</t>
  </si>
  <si>
    <t>Yángpíng</t>
  </si>
  <si>
    <t>Yáojiāgōu</t>
  </si>
  <si>
    <t>Yìdiàn</t>
  </si>
  <si>
    <t>Yīnggē</t>
  </si>
  <si>
    <t>Yíngtóu</t>
  </si>
  <si>
    <t>Yōngchuān</t>
  </si>
  <si>
    <t>Zăolín</t>
  </si>
  <si>
    <t>Zhàngbā</t>
  </si>
  <si>
    <t>Zhāngjiāyuán</t>
  </si>
  <si>
    <t>Zhàogōng</t>
  </si>
  <si>
    <t>Zhāoxián</t>
  </si>
  <si>
    <t>Zhōuyuán</t>
  </si>
  <si>
    <t>Ānlèhé</t>
  </si>
  <si>
    <t>Báilóngtáng</t>
  </si>
  <si>
    <t>Báimiănxiá</t>
  </si>
  <si>
    <t>Báiquèsì</t>
  </si>
  <si>
    <t>Báishuĭjiāng</t>
  </si>
  <si>
    <t>Bālĭguān</t>
  </si>
  <si>
    <t>Bāmiào</t>
  </si>
  <si>
    <t>Bāochéng</t>
  </si>
  <si>
    <t>Băoshān</t>
  </si>
  <si>
    <t>Bēibà</t>
  </si>
  <si>
    <t>Chádiàn</t>
  </si>
  <si>
    <t>Chánggōuhé</t>
  </si>
  <si>
    <t>Chángjiăobà</t>
  </si>
  <si>
    <t>Chánglĭng</t>
  </si>
  <si>
    <t>Chánjiāyán</t>
  </si>
  <si>
    <t>Chá</t>
  </si>
  <si>
    <t>Chénjiābà</t>
  </si>
  <si>
    <t>Chìnán</t>
  </si>
  <si>
    <t>Dà'ān</t>
  </si>
  <si>
    <t>Dàchí</t>
  </si>
  <si>
    <t>Dàhébà</t>
  </si>
  <si>
    <t>Dàhékăn</t>
  </si>
  <si>
    <t>Dàijiābà</t>
  </si>
  <si>
    <t>Dìngjūnshān</t>
  </si>
  <si>
    <t>Dŏngjiāyíng</t>
  </si>
  <si>
    <t>Èrlángbà</t>
  </si>
  <si>
    <t>Èrlĭ</t>
  </si>
  <si>
    <t>Fă</t>
  </si>
  <si>
    <t>Fúchéng</t>
  </si>
  <si>
    <t>Fùchuān</t>
  </si>
  <si>
    <t>Gāochuān</t>
  </si>
  <si>
    <t>Gāotái</t>
  </si>
  <si>
    <t>Guāndì</t>
  </si>
  <si>
    <t>Guăngpíng</t>
  </si>
  <si>
    <t>Guànxī</t>
  </si>
  <si>
    <t>Guānyīnsì</t>
  </si>
  <si>
    <t>Guānyīn</t>
  </si>
  <si>
    <t>Gŭchéng</t>
  </si>
  <si>
    <t>Guō</t>
  </si>
  <si>
    <t>Hédōngdiàn</t>
  </si>
  <si>
    <t>Hēihé</t>
  </si>
  <si>
    <t>Hóngmiào</t>
  </si>
  <si>
    <t>Huáishùguān</t>
  </si>
  <si>
    <t>Huáng'ān</t>
  </si>
  <si>
    <t>Huángjiāyíng</t>
  </si>
  <si>
    <t>Huángjīnxiá</t>
  </si>
  <si>
    <t>Huángshā</t>
  </si>
  <si>
    <t>Huáyáng</t>
  </si>
  <si>
    <t>Hújiābà</t>
  </si>
  <si>
    <t>Hújiāyíng</t>
  </si>
  <si>
    <t>Huŏshāodiàn</t>
  </si>
  <si>
    <t>Jiănchí</t>
  </si>
  <si>
    <t>Jiēguāntíng</t>
  </si>
  <si>
    <t>Jiéyuán</t>
  </si>
  <si>
    <t>Jīnjiāhé</t>
  </si>
  <si>
    <t>Jīnquán</t>
  </si>
  <si>
    <t>Jīnshuĭ</t>
  </si>
  <si>
    <t>Jùtíng</t>
  </si>
  <si>
    <t>Lăodàosì</t>
  </si>
  <si>
    <t>Lăojūn</t>
  </si>
  <si>
    <t>Lăozhuāng</t>
  </si>
  <si>
    <t>Lèsùhé</t>
  </si>
  <si>
    <t>Liángshān</t>
  </si>
  <si>
    <t>Liánshuĭ</t>
  </si>
  <si>
    <t>Líbà</t>
  </si>
  <si>
    <t>Lípíng</t>
  </si>
  <si>
    <t>Liúhòu</t>
  </si>
  <si>
    <t>Liŭshù</t>
  </si>
  <si>
    <t>Lóngtíng</t>
  </si>
  <si>
    <t>Lóngtóu</t>
  </si>
  <si>
    <t>Luòjiābà</t>
  </si>
  <si>
    <t>Măchàng</t>
  </si>
  <si>
    <t>Mădào</t>
  </si>
  <si>
    <t>Máobàhé</t>
  </si>
  <si>
    <t>Mătíwān</t>
  </si>
  <si>
    <t>Móujiābà</t>
  </si>
  <si>
    <t>Móziqiáo</t>
  </si>
  <si>
    <t>Niănzi</t>
  </si>
  <si>
    <t>Píng'ān</t>
  </si>
  <si>
    <t>Pū</t>
  </si>
  <si>
    <t>Qīngmùchuān</t>
  </si>
  <si>
    <t>Qīngqiáoyì</t>
  </si>
  <si>
    <t>Qīngshù</t>
  </si>
  <si>
    <t>Qīshùbà</t>
  </si>
  <si>
    <t>Réncūn</t>
  </si>
  <si>
    <t>Sāngxī</t>
  </si>
  <si>
    <t>Sāngyuán</t>
  </si>
  <si>
    <t>Sānhé</t>
  </si>
  <si>
    <t>Sānyuán</t>
  </si>
  <si>
    <t>Shāhéyíng</t>
  </si>
  <si>
    <t>Shāhé</t>
  </si>
  <si>
    <t>Shàngyuánguān</t>
  </si>
  <si>
    <t>Shèngshuĭ</t>
  </si>
  <si>
    <t>Shídūnhé</t>
  </si>
  <si>
    <t>Shuāngxī</t>
  </si>
  <si>
    <t>Shuĭmó</t>
  </si>
  <si>
    <t>Shūjiābà</t>
  </si>
  <si>
    <t>Sīdù</t>
  </si>
  <si>
    <t>Sūnpíng</t>
  </si>
  <si>
    <t>Tàiyánglĭng</t>
  </si>
  <si>
    <t>Tiānmíng</t>
  </si>
  <si>
    <t>Tiĕsuŏguān</t>
  </si>
  <si>
    <t>Tónggōusì</t>
  </si>
  <si>
    <t>Wénchuān</t>
  </si>
  <si>
    <t>Wēnquán</t>
  </si>
  <si>
    <t>Wŭdŭ</t>
  </si>
  <si>
    <t>Wŭguānyì</t>
  </si>
  <si>
    <t>Wŭhòu</t>
  </si>
  <si>
    <t>Wǔlóngdòng</t>
  </si>
  <si>
    <t>Wŭxiāng</t>
  </si>
  <si>
    <t>Xiákŏuyì</t>
  </si>
  <si>
    <t>Xiákŏu</t>
  </si>
  <si>
    <t>Xiāngshuĭ</t>
  </si>
  <si>
    <t>Xiāntáibà</t>
  </si>
  <si>
    <t>Xiăonánhăi</t>
  </si>
  <si>
    <t>Xiăoyáng</t>
  </si>
  <si>
    <t>Xīchàhé</t>
  </si>
  <si>
    <t>Xiècūn</t>
  </si>
  <si>
    <t>Xiéshuì</t>
  </si>
  <si>
    <t>Xīhuáibà</t>
  </si>
  <si>
    <t>Xīnjiēzi</t>
  </si>
  <si>
    <t>Xīnjí</t>
  </si>
  <si>
    <t>Xīnpū</t>
  </si>
  <si>
    <t>Xújiāpíng</t>
  </si>
  <si>
    <t>Xūshuĭ</t>
  </si>
  <si>
    <t>Xúwàng</t>
  </si>
  <si>
    <t>Yánchăng</t>
  </si>
  <si>
    <t>Yángchūn</t>
  </si>
  <si>
    <t>Yánghé</t>
  </si>
  <si>
    <t>Yángjiāhé</t>
  </si>
  <si>
    <t>Yángpíngguān</t>
  </si>
  <si>
    <t>Yànkŏu</t>
  </si>
  <si>
    <t>Yànzibiān</t>
  </si>
  <si>
    <t>Yìshuĭ</t>
  </si>
  <si>
    <t>Yuándūn</t>
  </si>
  <si>
    <t>Yuángōng</t>
  </si>
  <si>
    <t>Yúdù</t>
  </si>
  <si>
    <t>Yuèbà</t>
  </si>
  <si>
    <t>Yùhuángmiào</t>
  </si>
  <si>
    <t>Zhāngjiāhé</t>
  </si>
  <si>
    <t>Zhōujiāshān</t>
  </si>
  <si>
    <t>Ziwŭ</t>
  </si>
  <si>
    <t>Zōngyíng</t>
  </si>
  <si>
    <t>Báiyángdiàn</t>
  </si>
  <si>
    <t>Bǎiyùsì</t>
  </si>
  <si>
    <t>Bănyán</t>
  </si>
  <si>
    <t>Băo'ān</t>
  </si>
  <si>
    <t>Bĕikuānpíng</t>
  </si>
  <si>
    <t>Càichuān</t>
  </si>
  <si>
    <t>Cáopíng</t>
  </si>
  <si>
    <t>Cháipíng</t>
  </si>
  <si>
    <t>Chén'ĕr</t>
  </si>
  <si>
    <t>Dàjīng</t>
  </si>
  <si>
    <t>Dàpíng</t>
  </si>
  <si>
    <t>Dárén</t>
  </si>
  <si>
    <t>Dìhuā</t>
  </si>
  <si>
    <t>Făguān</t>
  </si>
  <si>
    <t>Fènghuáng</t>
  </si>
  <si>
    <t>Fùshuĭ</t>
  </si>
  <si>
    <t>Gāobàdiàn</t>
  </si>
  <si>
    <t>Gāofēng</t>
  </si>
  <si>
    <t>Gāoyào</t>
  </si>
  <si>
    <t>Guòfēnglóu</t>
  </si>
  <si>
    <t>Hēishān</t>
  </si>
  <si>
    <t>Hóngyánsì</t>
  </si>
  <si>
    <t>Huāpíngzi</t>
  </si>
  <si>
    <t>Huílóng</t>
  </si>
  <si>
    <t>Hùjiāyuán</t>
  </si>
  <si>
    <t>Jĭngcūn</t>
  </si>
  <si>
    <t>Jīnlíngsì</t>
  </si>
  <si>
    <t>Jīnsīxiá</t>
  </si>
  <si>
    <t>Liănglĭng</t>
  </si>
  <si>
    <t>Língkŏu</t>
  </si>
  <si>
    <t>Luánzhuāng</t>
  </si>
  <si>
    <t>Luòyuán</t>
  </si>
  <si>
    <t>Májiē</t>
  </si>
  <si>
    <t>Mànchuānguān</t>
  </si>
  <si>
    <t>Máopíng Huízú</t>
  </si>
  <si>
    <t>Mĭliáng</t>
  </si>
  <si>
    <t>Mùhùguān</t>
  </si>
  <si>
    <t>Mùwáng</t>
  </si>
  <si>
    <t>Nánkuānpíng</t>
  </si>
  <si>
    <t>Qīngshān</t>
  </si>
  <si>
    <t>Qīngtóngguān</t>
  </si>
  <si>
    <t>Qīngyóuhé</t>
  </si>
  <si>
    <t>Sānchàhé</t>
  </si>
  <si>
    <t>Sānyào</t>
  </si>
  <si>
    <t>Sèhépū</t>
  </si>
  <si>
    <t>Shāhézi</t>
  </si>
  <si>
    <t>Shāng</t>
  </si>
  <si>
    <t>Shílĭpíng</t>
  </si>
  <si>
    <t>Shìmă</t>
  </si>
  <si>
    <t>Shípō</t>
  </si>
  <si>
    <t>Sì'ĕr</t>
  </si>
  <si>
    <t>Sìpíng</t>
  </si>
  <si>
    <t>Tiānzhúshān</t>
  </si>
  <si>
    <t>Tiĕchăng</t>
  </si>
  <si>
    <t>Tiĕyùpū</t>
  </si>
  <si>
    <t>Tŭmén</t>
  </si>
  <si>
    <t>Wăfángkŏu</t>
  </si>
  <si>
    <t>Wángyán</t>
  </si>
  <si>
    <t>Wŭguān</t>
  </si>
  <si>
    <t>Xiàliáng</t>
  </si>
  <si>
    <t>Xiānghé</t>
  </si>
  <si>
    <t>Xiăohékŏu</t>
  </si>
  <si>
    <t>Xiăolĭng</t>
  </si>
  <si>
    <t>Xīkŏu Huízú</t>
  </si>
  <si>
    <t>Xìngpíng</t>
  </si>
  <si>
    <t>Xīzhàochuān</t>
  </si>
  <si>
    <t>Xúnjiăn</t>
  </si>
  <si>
    <t>Yáncūn</t>
  </si>
  <si>
    <t>Yángdì</t>
  </si>
  <si>
    <t>Yángxié</t>
  </si>
  <si>
    <t>Yángyùhé</t>
  </si>
  <si>
    <t>Yánpíng</t>
  </si>
  <si>
    <t>Yāoshì</t>
  </si>
  <si>
    <t>Yècūn</t>
  </si>
  <si>
    <t>Yíngpán</t>
  </si>
  <si>
    <t>Yínhuā</t>
  </si>
  <si>
    <t>Yŏngfēng</t>
  </si>
  <si>
    <t>Yuèhé</t>
  </si>
  <si>
    <t>Yŭlĭng</t>
  </si>
  <si>
    <t>Yúngàisì</t>
  </si>
  <si>
    <t>Zhāngcūn</t>
  </si>
  <si>
    <t>Zhàochuān</t>
  </si>
  <si>
    <t>Zhōngcūn</t>
  </si>
  <si>
    <t>Zhúlínguān</t>
  </si>
  <si>
    <t>Āzhuāng</t>
  </si>
  <si>
    <t>Chénlú</t>
  </si>
  <si>
    <t>Dŏngjiāhé</t>
  </si>
  <si>
    <t>Guăngyáng</t>
  </si>
  <si>
    <t>Guānzhuāng</t>
  </si>
  <si>
    <t>Hóngtŭ</t>
  </si>
  <si>
    <t>Huángbăo</t>
  </si>
  <si>
    <t>Jīnsuŏguān</t>
  </si>
  <si>
    <t>Kūquán</t>
  </si>
  <si>
    <t>Miàowān</t>
  </si>
  <si>
    <t>Péng</t>
  </si>
  <si>
    <t>Qípán</t>
  </si>
  <si>
    <t>Shízhù</t>
  </si>
  <si>
    <t>Sūnyuán</t>
  </si>
  <si>
    <t>Tài'ān</t>
  </si>
  <si>
    <t>Xiăoqiū</t>
  </si>
  <si>
    <t>Yáoqŭ</t>
  </si>
  <si>
    <t>Yáoshēng</t>
  </si>
  <si>
    <t>Zhàojīn</t>
  </si>
  <si>
    <t>Ānlĭ</t>
  </si>
  <si>
    <t>Ānrén</t>
  </si>
  <si>
    <t>Băiliáng</t>
  </si>
  <si>
    <t>Bĕiyuán</t>
  </si>
  <si>
    <t>Cáocūn</t>
  </si>
  <si>
    <t>Cháoyì</t>
  </si>
  <si>
    <t>Chénzhuāng</t>
  </si>
  <si>
    <t>Chìshuĭ</t>
  </si>
  <si>
    <t>Chóngníng</t>
  </si>
  <si>
    <t>Chūnlín</t>
  </si>
  <si>
    <t>Dàizìyíng</t>
  </si>
  <si>
    <t>Dàmíng</t>
  </si>
  <si>
    <t>Dàncūn</t>
  </si>
  <si>
    <t>Dăngmù</t>
  </si>
  <si>
    <t>Dàoxián</t>
  </si>
  <si>
    <t>Dùkāng</t>
  </si>
  <si>
    <t>Fāng</t>
  </si>
  <si>
    <t>Fànjiā</t>
  </si>
  <si>
    <t>Féngcūn</t>
  </si>
  <si>
    <t>Fēngyuán</t>
  </si>
  <si>
    <t>Féngyuán</t>
  </si>
  <si>
    <t>Gāotáng</t>
  </si>
  <si>
    <t>Gāoyáng</t>
  </si>
  <si>
    <t>Gōnglĭ</t>
  </si>
  <si>
    <t>Guānchí</t>
  </si>
  <si>
    <t>Guāndào</t>
  </si>
  <si>
    <t>Guāndĭ</t>
  </si>
  <si>
    <t>Guānlù</t>
  </si>
  <si>
    <t>Guāpō</t>
  </si>
  <si>
    <t>Gùshì</t>
  </si>
  <si>
    <t>Hănjĭng</t>
  </si>
  <si>
    <t>Hēichí</t>
  </si>
  <si>
    <t>Héjiāzhuāng</t>
  </si>
  <si>
    <t>Huàshān</t>
  </si>
  <si>
    <t>Huáxī</t>
  </si>
  <si>
    <t>Jiāodào</t>
  </si>
  <si>
    <t>Jiāoxié</t>
  </si>
  <si>
    <t>Jīnduī</t>
  </si>
  <si>
    <t>Jīngyáo</t>
  </si>
  <si>
    <t>Jīnyù</t>
  </si>
  <si>
    <t>Lăomiào</t>
  </si>
  <si>
    <t>Léiyá</t>
  </si>
  <si>
    <t>Liăngyí</t>
  </si>
  <si>
    <t>Liánhuāsì</t>
  </si>
  <si>
    <t>Lìndiàn</t>
  </si>
  <si>
    <t>Língāo</t>
  </si>
  <si>
    <t>Liúgŭ</t>
  </si>
  <si>
    <t>Liújí</t>
  </si>
  <si>
    <t>Liúqŭ</t>
  </si>
  <si>
    <t>Liŭzhī</t>
  </si>
  <si>
    <t>Lóngchí</t>
  </si>
  <si>
    <t>Lóngmén</t>
  </si>
  <si>
    <t>Lóngyáng</t>
  </si>
  <si>
    <t>Lùjĭng</t>
  </si>
  <si>
    <t>Luòbīn</t>
  </si>
  <si>
    <t>Luōfū</t>
  </si>
  <si>
    <t>Méijiāpíng</t>
  </si>
  <si>
    <t>Mĕiyuán</t>
  </si>
  <si>
    <t>Mèngyuán</t>
  </si>
  <si>
    <t>Niànqiáo</t>
  </si>
  <si>
    <t>Pōtóu</t>
  </si>
  <si>
    <t>Qiàchuān</t>
  </si>
  <si>
    <t>Qiāngbái</t>
  </si>
  <si>
    <t>Qiáolíng</t>
  </si>
  <si>
    <t>Qiáonán</t>
  </si>
  <si>
    <t>Qícūn</t>
  </si>
  <si>
    <t>Qíndōng</t>
  </si>
  <si>
    <t>Sāngshùpíng</t>
  </si>
  <si>
    <t>Sānzhāng</t>
  </si>
  <si>
    <t>Shĭguān</t>
  </si>
  <si>
    <t>Shuāngquán</t>
  </si>
  <si>
    <t>Sìqián</t>
  </si>
  <si>
    <t>Sūcūn</t>
  </si>
  <si>
    <t>Sūn</t>
  </si>
  <si>
    <t>Tàiyào</t>
  </si>
  <si>
    <t>Táoxià</t>
  </si>
  <si>
    <t>Tiánshì</t>
  </si>
  <si>
    <t>Tóngjiāzhuāng</t>
  </si>
  <si>
    <t>Tóngyù</t>
  </si>
  <si>
    <t>Wángzhuāng</t>
  </si>
  <si>
    <t>Wéilín</t>
  </si>
  <si>
    <t>Wéizhuāng</t>
  </si>
  <si>
    <t>Xiàguī</t>
  </si>
  <si>
    <t>Xiàmiào</t>
  </si>
  <si>
    <t>Xiàzhài</t>
  </si>
  <si>
    <t>Xīgù</t>
  </si>
  <si>
    <t>Xīnchí</t>
  </si>
  <si>
    <t>Xīng</t>
  </si>
  <si>
    <t>Xīzhuāng</t>
  </si>
  <si>
    <t>Xuē</t>
  </si>
  <si>
    <t>Xŭzhuāng</t>
  </si>
  <si>
    <t>Yángguō</t>
  </si>
  <si>
    <t>Yáohé</t>
  </si>
  <si>
    <t>Yáoshān</t>
  </si>
  <si>
    <t>Yáotóu</t>
  </si>
  <si>
    <t>Zhāngqiáo</t>
  </si>
  <si>
    <t>Zhàodù</t>
  </si>
  <si>
    <t>Zhàozhuāng</t>
  </si>
  <si>
    <t>Zhīchuān</t>
  </si>
  <si>
    <t>Zhīyáng</t>
  </si>
  <si>
    <t>Zhuānglĭ</t>
  </si>
  <si>
    <t>Ānwú</t>
  </si>
  <si>
    <t>Bĕijí</t>
  </si>
  <si>
    <t>Chángníng</t>
  </si>
  <si>
    <t>Chēwù</t>
  </si>
  <si>
    <t>Chìgān</t>
  </si>
  <si>
    <t>Cuó'é</t>
  </si>
  <si>
    <t>Dàchéng</t>
  </si>
  <si>
    <t>Dàyáng</t>
  </si>
  <si>
    <t>Dàzhuāng</t>
  </si>
  <si>
    <t>Diàntóu</t>
  </si>
  <si>
    <t>Dĭmiào</t>
  </si>
  <si>
    <t>Dīngjiā</t>
  </si>
  <si>
    <t>Dòujiā</t>
  </si>
  <si>
    <t>Dúlĭ</t>
  </si>
  <si>
    <t>Fānglĭ</t>
  </si>
  <si>
    <t>Fēnghuŏ</t>
  </si>
  <si>
    <t>Fēngyáng</t>
  </si>
  <si>
    <t>Fēngyí</t>
  </si>
  <si>
    <t>Fùzhài</t>
  </si>
  <si>
    <t>Hánjiā</t>
  </si>
  <si>
    <t>Hóngjiā</t>
  </si>
  <si>
    <t>Jiāngcūn</t>
  </si>
  <si>
    <t>Jùjiā</t>
  </si>
  <si>
    <t>Jùnmă</t>
  </si>
  <si>
    <t>Kŏu</t>
  </si>
  <si>
    <t>Liángcūn</t>
  </si>
  <si>
    <t>Língqián</t>
  </si>
  <si>
    <t>Língyuán</t>
  </si>
  <si>
    <t>Línpíng</t>
  </si>
  <si>
    <t>Lónggāo</t>
  </si>
  <si>
    <t>Lŭqiáo</t>
  </si>
  <si>
    <t>Măfāng</t>
  </si>
  <si>
    <t>Mălán</t>
  </si>
  <si>
    <t>Mălián</t>
  </si>
  <si>
    <t>Nánfāng</t>
  </si>
  <si>
    <t>Nánshì</t>
  </si>
  <si>
    <t>Pénggōng</t>
  </si>
  <si>
    <t>Pōxī</t>
  </si>
  <si>
    <t>Qiāndōng</t>
  </si>
  <si>
    <t>Qiáodĭ</t>
  </si>
  <si>
    <t>Qīngyuán</t>
  </si>
  <si>
    <t>Qiūpōtóu</t>
  </si>
  <si>
    <t>Qú'àn</t>
  </si>
  <si>
    <t>Qúzi</t>
  </si>
  <si>
    <t>Róugŭ</t>
  </si>
  <si>
    <t>Rùn</t>
  </si>
  <si>
    <t>Sāng</t>
  </si>
  <si>
    <t>Sānqú</t>
  </si>
  <si>
    <t>Shĭdé</t>
  </si>
  <si>
    <t>Shílĭyuán</t>
  </si>
  <si>
    <t>Shíqiáo</t>
  </si>
  <si>
    <t>Shítán</t>
  </si>
  <si>
    <t>Shuĭkŏu</t>
  </si>
  <si>
    <t>Tàicūn</t>
  </si>
  <si>
    <t>Tàiyù</t>
  </si>
  <si>
    <t>Tāngfāng</t>
  </si>
  <si>
    <t>Tiĕwáng</t>
  </si>
  <si>
    <t>Tíngkŏu</t>
  </si>
  <si>
    <t>Tŭqiáo</t>
  </si>
  <si>
    <t>Wángqiáo</t>
  </si>
  <si>
    <t>Wŭgōng</t>
  </si>
  <si>
    <t>Wŭquán</t>
  </si>
  <si>
    <t>Xiānggōng</t>
  </si>
  <si>
    <t>Xiăocūn</t>
  </si>
  <si>
    <t>Xīnmín</t>
  </si>
  <si>
    <t>Xīnxīng</t>
  </si>
  <si>
    <t>Xīnyáng</t>
  </si>
  <si>
    <t>Xīyáng</t>
  </si>
  <si>
    <t>Xīzhāngbăo</t>
  </si>
  <si>
    <t>Xuēlù</t>
  </si>
  <si>
    <t>Yánghóng</t>
  </si>
  <si>
    <t>Yángyù</t>
  </si>
  <si>
    <t>Yānxiá</t>
  </si>
  <si>
    <t>Yìmén</t>
  </si>
  <si>
    <t>Yŏngpíng</t>
  </si>
  <si>
    <t>Yóufèng</t>
  </si>
  <si>
    <t>Yúnyáng</t>
  </si>
  <si>
    <t>Zăoyuán</t>
  </si>
  <si>
    <t>Zhānghóng</t>
  </si>
  <si>
    <t>Zhàocūn</t>
  </si>
  <si>
    <t>Zhāolíng</t>
  </si>
  <si>
    <t>Zhào</t>
  </si>
  <si>
    <t>Zhèngjiā</t>
  </si>
  <si>
    <t>Zhēnyuán</t>
  </si>
  <si>
    <t>Zhítián</t>
  </si>
  <si>
    <t>Zhōngzhāng</t>
  </si>
  <si>
    <t>Zhōuchéng</t>
  </si>
  <si>
    <t>Zhùgān</t>
  </si>
  <si>
    <t>Āncūn</t>
  </si>
  <si>
    <t>Bănfángzi</t>
  </si>
  <si>
    <t>Bàyuán</t>
  </si>
  <si>
    <t>Chénhé</t>
  </si>
  <si>
    <t>Chóngwén</t>
  </si>
  <si>
    <t>Cuìfēng</t>
  </si>
  <si>
    <t>Fùrén</t>
  </si>
  <si>
    <t>Gānhé</t>
  </si>
  <si>
    <t>Gāozhuāng</t>
  </si>
  <si>
    <t>Gĕpái</t>
  </si>
  <si>
    <t>Guăngjì</t>
  </si>
  <si>
    <t>Hòu</t>
  </si>
  <si>
    <t>Hòuzhĕnzi</t>
  </si>
  <si>
    <t>Huáxū</t>
  </si>
  <si>
    <t>Jiăngcūn</t>
  </si>
  <si>
    <t>Jiāodài</t>
  </si>
  <si>
    <t>Jiŭfēng</t>
  </si>
  <si>
    <t>Jiŭjiānfáng</t>
  </si>
  <si>
    <t>Jíxián</t>
  </si>
  <si>
    <t>Lánqiáo</t>
  </si>
  <si>
    <t>Làodiàn</t>
  </si>
  <si>
    <t>Lóuguān</t>
  </si>
  <si>
    <t>Luòyù</t>
  </si>
  <si>
    <t>Măzhào</t>
  </si>
  <si>
    <t>Mèngcūn</t>
  </si>
  <si>
    <t>Nánwèi</t>
  </si>
  <si>
    <t>Pŭhuà</t>
  </si>
  <si>
    <t>Qiánwèi</t>
  </si>
  <si>
    <t>Sānguānmiào</t>
  </si>
  <si>
    <t>Sānlĭ</t>
  </si>
  <si>
    <t>Shàngcūn</t>
  </si>
  <si>
    <t>Shíjĭng</t>
  </si>
  <si>
    <t>Sìtún</t>
  </si>
  <si>
    <t>Sīzhú</t>
  </si>
  <si>
    <t>Tàipíng</t>
  </si>
  <si>
    <t>Wăngchuān</t>
  </si>
  <si>
    <t>Wángjiāhé</t>
  </si>
  <si>
    <t>Wèifēng</t>
  </si>
  <si>
    <t>Xiăozhài</t>
  </si>
  <si>
    <t>Xièhú</t>
  </si>
  <si>
    <t>Yābǎi</t>
  </si>
  <si>
    <t>Yùshān</t>
  </si>
  <si>
    <t>Zhōngnán</t>
  </si>
  <si>
    <t>Zhúyù</t>
  </si>
  <si>
    <t>Zŭ'ān</t>
  </si>
  <si>
    <t>Ādăng</t>
  </si>
  <si>
    <t>Āndìng</t>
  </si>
  <si>
    <t>Āngōu</t>
  </si>
  <si>
    <t>Ānhé</t>
  </si>
  <si>
    <t>Báibào</t>
  </si>
  <si>
    <t>Báimătān</t>
  </si>
  <si>
    <t>Chángchéng</t>
  </si>
  <si>
    <t>Chángguānmiào</t>
  </si>
  <si>
    <t>Chuānkŏu</t>
  </si>
  <si>
    <t>Dànbā</t>
  </si>
  <si>
    <t>Dào</t>
  </si>
  <si>
    <t>Fùchéng</t>
  </si>
  <si>
    <t>Gāngŭyì</t>
  </si>
  <si>
    <t>Hēijiābăo</t>
  </si>
  <si>
    <t>Hézhuāngpíng</t>
  </si>
  <si>
    <t>Huáibǎi</t>
  </si>
  <si>
    <t>Huàzipíng</t>
  </si>
  <si>
    <t>Húkŏu</t>
  </si>
  <si>
    <t>Jiăjiāpíng</t>
  </si>
  <si>
    <t>Jiànhuá</t>
  </si>
  <si>
    <t>Jiànyùchà</t>
  </si>
  <si>
    <t>Jiāokŏuhé</t>
  </si>
  <si>
    <t>Jiāokŏu</t>
  </si>
  <si>
    <t>Jiètóumiào</t>
  </si>
  <si>
    <t>Jīndīng</t>
  </si>
  <si>
    <t>Jiùxiàn</t>
  </si>
  <si>
    <t>Jíyì</t>
  </si>
  <si>
    <t>Léichì</t>
  </si>
  <si>
    <t>Liándāowān</t>
  </si>
  <si>
    <t>Lĭjiāchà</t>
  </si>
  <si>
    <t>Lín</t>
  </si>
  <si>
    <t>Lĭqú</t>
  </si>
  <si>
    <t>Lóngfāng</t>
  </si>
  <si>
    <t>Luózishān</t>
  </si>
  <si>
    <t>Mádòngchuān</t>
  </si>
  <si>
    <t>Măjiābiān</t>
  </si>
  <si>
    <t>Nángōuchà</t>
  </si>
  <si>
    <t>Nánníwān</t>
  </si>
  <si>
    <t>Niúwŭ</t>
  </si>
  <si>
    <t>Píngqiáo</t>
  </si>
  <si>
    <t>Pútí</t>
  </si>
  <si>
    <t>Qiánkūnwān</t>
  </si>
  <si>
    <t>Qīnghuàbiān</t>
  </si>
  <si>
    <t>Qiūlín</t>
  </si>
  <si>
    <t>Sānchà</t>
  </si>
  <si>
    <t>Shíbăo</t>
  </si>
  <si>
    <t>Shítóu</t>
  </si>
  <si>
    <t>Shùnníng</t>
  </si>
  <si>
    <t>Sìxiān</t>
  </si>
  <si>
    <t>Tiánzhuāng</t>
  </si>
  <si>
    <t>Tiĕbiānchéng</t>
  </si>
  <si>
    <t>Tŭjī</t>
  </si>
  <si>
    <t>Wànhuāshān</t>
  </si>
  <si>
    <t>Wăzijiē</t>
  </si>
  <si>
    <t>Wén'ānyì</t>
  </si>
  <si>
    <t>Wúcāngbăo</t>
  </si>
  <si>
    <t>Wŭgŭchéng</t>
  </si>
  <si>
    <t>Xiàsìwān</t>
  </si>
  <si>
    <t>Xìnghé</t>
  </si>
  <si>
    <t>Yángjiāgētái</t>
  </si>
  <si>
    <t>Yángjiāyuánzé</t>
  </si>
  <si>
    <t>Yángquán</t>
  </si>
  <si>
    <t>Yánhéwān</t>
  </si>
  <si>
    <t>Yánshuĭguān</t>
  </si>
  <si>
    <t>Yáodiàn</t>
  </si>
  <si>
    <t>Yìzhèng</t>
  </si>
  <si>
    <t>Yŏngníng</t>
  </si>
  <si>
    <t>Yŏngxiāng</t>
  </si>
  <si>
    <t>Yújiāpíng</t>
  </si>
  <si>
    <t>Yùjiāwān</t>
  </si>
  <si>
    <t>Yúnyán</t>
  </si>
  <si>
    <t>Zhāngcūnyì</t>
  </si>
  <si>
    <t>Zhāngjiātān</t>
  </si>
  <si>
    <t>Zhāngjiāwān</t>
  </si>
  <si>
    <t>Zhāo'ān</t>
  </si>
  <si>
    <t>Zhèngzhuāng</t>
  </si>
  <si>
    <t>Zhíluó</t>
  </si>
  <si>
    <t>Zhōuwān</t>
  </si>
  <si>
    <t>Zhuānyáowān</t>
  </si>
  <si>
    <t>Ānbiān</t>
  </si>
  <si>
    <t>Ānyá</t>
  </si>
  <si>
    <t>Báijiājiăn</t>
  </si>
  <si>
    <t>Báijiè</t>
  </si>
  <si>
    <t>Báiníjĭng</t>
  </si>
  <si>
    <t>Báiwānzi</t>
  </si>
  <si>
    <t>Bālāsù</t>
  </si>
  <si>
    <t>Bōluó</t>
  </si>
  <si>
    <t>Chàshàng</t>
  </si>
  <si>
    <t>Chéngjiāo</t>
  </si>
  <si>
    <t>Cuījiāwān</t>
  </si>
  <si>
    <t>Dàbăodāng</t>
  </si>
  <si>
    <t>Dàchānghàn</t>
  </si>
  <si>
    <t>Dàhétă</t>
  </si>
  <si>
    <t>Dàliŭtă</t>
  </si>
  <si>
    <t>Dăngchà</t>
  </si>
  <si>
    <t>Diàntă</t>
  </si>
  <si>
    <t>Diànzégōu</t>
  </si>
  <si>
    <t>Diàn</t>
  </si>
  <si>
    <t>Dìngxiānyàn</t>
  </si>
  <si>
    <t>Dōngkēng</t>
  </si>
  <si>
    <t>Duīziliáng</t>
  </si>
  <si>
    <t>Dùjiāshígōu</t>
  </si>
  <si>
    <t>Ĕrlíntù</t>
  </si>
  <si>
    <t>Fāngtā</t>
  </si>
  <si>
    <t>Fánxué</t>
  </si>
  <si>
    <t>Féngdìkēng</t>
  </si>
  <si>
    <t>Fŭgŭ</t>
  </si>
  <si>
    <t>Gāojiābăo</t>
  </si>
  <si>
    <t>Gāojiécūn</t>
  </si>
  <si>
    <t>Gāo</t>
  </si>
  <si>
    <t>Guōjiāgōu</t>
  </si>
  <si>
    <t>Guōxīngzhuāng</t>
  </si>
  <si>
    <t>Gūshān</t>
  </si>
  <si>
    <t>Gŭtă</t>
  </si>
  <si>
    <t>Hăizétān</t>
  </si>
  <si>
    <t>Hánchà</t>
  </si>
  <si>
    <t>Hăotān</t>
  </si>
  <si>
    <t>Hā</t>
  </si>
  <si>
    <t>Hèjiāchuān</t>
  </si>
  <si>
    <t>Héjiājí</t>
  </si>
  <si>
    <t>Hèquān</t>
  </si>
  <si>
    <t>Hóngdūnjiè</t>
  </si>
  <si>
    <t>Hóngliŭgōu</t>
  </si>
  <si>
    <t>Huáiníngwān</t>
  </si>
  <si>
    <t>Huángfŭ</t>
  </si>
  <si>
    <t>Huánghāojiè</t>
  </si>
  <si>
    <t>Huāshíyá</t>
  </si>
  <si>
    <t>Jiĕjiāgōu</t>
  </si>
  <si>
    <t>Jĭnjiè</t>
  </si>
  <si>
    <t>Jīnjītān</t>
  </si>
  <si>
    <t>Jīnmíngsì</t>
  </si>
  <si>
    <t>Jīyuán</t>
  </si>
  <si>
    <t>Jí</t>
  </si>
  <si>
    <t>Kēng</t>
  </si>
  <si>
    <t>Kòujiāyuán</t>
  </si>
  <si>
    <t>Kuānzhōu</t>
  </si>
  <si>
    <t>Lángānbăo</t>
  </si>
  <si>
    <t>Lăogāochuān</t>
  </si>
  <si>
    <t>Lăojūndiàn</t>
  </si>
  <si>
    <t>Léilóngwān</t>
  </si>
  <si>
    <t>Lĭjiātă</t>
  </si>
  <si>
    <t>Liúguójù</t>
  </si>
  <si>
    <t>Lóng</t>
  </si>
  <si>
    <t>Lóngzhōu</t>
  </si>
  <si>
    <t>Măchà</t>
  </si>
  <si>
    <t>Măhé</t>
  </si>
  <si>
    <t>Máhuángliáng</t>
  </si>
  <si>
    <t>Măntángchuān</t>
  </si>
  <si>
    <t>Mătígōu</t>
  </si>
  <si>
    <t>Mă</t>
  </si>
  <si>
    <t>Miàogōumén</t>
  </si>
  <si>
    <t>Miáojiāpíng</t>
  </si>
  <si>
    <t>Míngzhōu</t>
  </si>
  <si>
    <t>Mùguā</t>
  </si>
  <si>
    <t>Mùtóuyù</t>
  </si>
  <si>
    <t>Níngtiáoliáng</t>
  </si>
  <si>
    <t>Niújiāliáng</t>
  </si>
  <si>
    <t>Péijiāwān</t>
  </si>
  <si>
    <t>Qīngyángchà</t>
  </si>
  <si>
    <t>Qīngyún</t>
  </si>
  <si>
    <t>Qínhé</t>
  </si>
  <si>
    <t>Sānchuānkŏu</t>
  </si>
  <si>
    <t>Sāndàogōu</t>
  </si>
  <si>
    <t>Shājiādiàn</t>
  </si>
  <si>
    <t>Shāmăo</t>
  </si>
  <si>
    <t>Shàngyánwān</t>
  </si>
  <si>
    <t>Shénmù</t>
  </si>
  <si>
    <t>Shídònggōu</t>
  </si>
  <si>
    <t>Shíjiāwān</t>
  </si>
  <si>
    <t>Shíjŭyì</t>
  </si>
  <si>
    <t>Shíwān</t>
  </si>
  <si>
    <t>Sìshílǐpù</t>
  </si>
  <si>
    <t>Sūnjiāchà</t>
  </si>
  <si>
    <t>Táo</t>
  </si>
  <si>
    <t>Tăwān</t>
  </si>
  <si>
    <t>Tiāncìwān</t>
  </si>
  <si>
    <t>Tiánjiāzhài</t>
  </si>
  <si>
    <t>Tōng</t>
  </si>
  <si>
    <t>Wángjiābiān</t>
  </si>
  <si>
    <t>Wángqúzé</t>
  </si>
  <si>
    <t>Wàn</t>
  </si>
  <si>
    <t>Wèijiālóu</t>
  </si>
  <si>
    <t>Wŭjiāzhuāng</t>
  </si>
  <si>
    <t>Wŭ</t>
  </si>
  <si>
    <t>Wū</t>
  </si>
  <si>
    <t>Xiăngshuĭ</t>
  </si>
  <si>
    <t>Xiàniànlĭpū</t>
  </si>
  <si>
    <t>Xiăojìhàn</t>
  </si>
  <si>
    <t>Xímáwān</t>
  </si>
  <si>
    <t>Xīn'ānbiān</t>
  </si>
  <si>
    <t>Xīnjiāgōu</t>
  </si>
  <si>
    <t>Xī</t>
  </si>
  <si>
    <t>Xuējiāhé</t>
  </si>
  <si>
    <t>Xuējiāmăo</t>
  </si>
  <si>
    <t>Yánchăngbăo</t>
  </si>
  <si>
    <t>Yángjiāgōu</t>
  </si>
  <si>
    <t>Yángjĭng</t>
  </si>
  <si>
    <t>Yángmĭjiàn</t>
  </si>
  <si>
    <t>Yángqiáopàn</t>
  </si>
  <si>
    <t>Yìhé</t>
  </si>
  <si>
    <t>Yìndòu</t>
  </si>
  <si>
    <t>Yúhémăo</t>
  </si>
  <si>
    <t>Yúhé</t>
  </si>
  <si>
    <t>Yùjiāhé</t>
  </si>
  <si>
    <t>Zăolínpíng</t>
  </si>
  <si>
    <t>Zhāngjiābiān</t>
  </si>
  <si>
    <t>Zhāngjiāshān</t>
  </si>
  <si>
    <t>Zhāngyàoxiān</t>
  </si>
  <si>
    <t>Zhàoshípàn</t>
  </si>
  <si>
    <t>Zhéjiāpíng</t>
  </si>
  <si>
    <t>Zhènjìng</t>
  </si>
  <si>
    <t>Zhōngjiăo</t>
  </si>
  <si>
    <t>Zhōngjī</t>
  </si>
  <si>
    <t>Zhōngshānjiàn</t>
  </si>
  <si>
    <t>Zhōuhé</t>
  </si>
  <si>
    <t>Zhōujiājiăn</t>
  </si>
  <si>
    <t>Zhuānjĭng</t>
  </si>
  <si>
    <t>Zhuānmiào</t>
  </si>
  <si>
    <t>Zhūguānzhài</t>
  </si>
  <si>
    <t>Zhūjiāwā</t>
  </si>
  <si>
    <t>Xīngpíng</t>
  </si>
  <si>
    <t>Bīnzhōu</t>
  </si>
  <si>
    <t>Xiányáng</t>
  </si>
  <si>
    <t>Shāngluò</t>
  </si>
  <si>
    <t>Ānkāng</t>
  </si>
  <si>
    <t>Băojī</t>
  </si>
  <si>
    <t>Zicháng</t>
  </si>
  <si>
    <t>Yán'ān</t>
  </si>
  <si>
    <t>Yúlín</t>
  </si>
  <si>
    <t>Hànzhōng</t>
  </si>
  <si>
    <t>Huáyīn</t>
  </si>
  <si>
    <t>Hánchéng</t>
  </si>
  <si>
    <t>Wèinán</t>
  </si>
  <si>
    <t>Xī'ān</t>
  </si>
  <si>
    <t>Tóngchuān</t>
  </si>
  <si>
    <t xml:space="preserve">,"stateCapital":true,"nationalCapital":false,"pk":null,"quiz":"asia","code":null,"archived":false,"percentageOfSessions":null}, </t>
  </si>
  <si>
    <t>Column13</t>
  </si>
  <si>
    <t>Column10</t>
  </si>
  <si>
    <t>Column11</t>
  </si>
  <si>
    <t>Column112</t>
  </si>
  <si>
    <t>Adang Zhen</t>
  </si>
  <si>
    <t>Aihaomao Xiang</t>
  </si>
  <si>
    <t>Anbian Zhen</t>
  </si>
  <si>
    <t>Ancun Zhen</t>
  </si>
  <si>
    <t>Anding Zhen</t>
  </si>
  <si>
    <t>Angou Zhen</t>
  </si>
  <si>
    <t>Anhe Zhen</t>
  </si>
  <si>
    <t>Anle Zhen</t>
  </si>
  <si>
    <t>Anlehe Zhen</t>
  </si>
  <si>
    <t>Anli Zhen</t>
  </si>
  <si>
    <t>Anren Zhen</t>
  </si>
  <si>
    <t>Anwu Zhen [incl. Jianglu Xiang, Longquan Xiang]</t>
  </si>
  <si>
    <t>Anya Zhen</t>
  </si>
  <si>
    <t>Azhuang Zhen</t>
  </si>
  <si>
    <t>Badu Zhen</t>
  </si>
  <si>
    <t>Bahe Zhen</t>
  </si>
  <si>
    <t>Baibao Zhen</t>
  </si>
  <si>
    <t>Baijia Xiang</t>
  </si>
  <si>
    <t>Baijiajian Zhen</t>
  </si>
  <si>
    <t>Baijie Zhen</t>
  </si>
  <si>
    <t>Bailiang Zhen</t>
  </si>
  <si>
    <t>Bailiu Zhen [incl. Zhangping Xiang]</t>
  </si>
  <si>
    <t>Bailongtang Zhen</t>
  </si>
  <si>
    <t>Bailuchu Xiang</t>
  </si>
  <si>
    <t>Baimatan Zhen</t>
  </si>
  <si>
    <t>Baimianxia Zhen</t>
  </si>
  <si>
    <t>Baimiao Xiang</t>
  </si>
  <si>
    <t>Bainijing Zhen</t>
  </si>
  <si>
    <t>Baiquesi Zhen</t>
  </si>
  <si>
    <t>Baishigou Xiang</t>
  </si>
  <si>
    <t>Baishuijiang Zhen</t>
  </si>
  <si>
    <t>Baishulin Jiedao</t>
  </si>
  <si>
    <t>Baiwanzi Zhen</t>
  </si>
  <si>
    <t>Baiyangdian Zhen</t>
  </si>
  <si>
    <t>Baiyi Xiang</t>
  </si>
  <si>
    <t>Baiyu Xiang</t>
  </si>
  <si>
    <t>Baiyusi Zhen</t>
  </si>
  <si>
    <t>Bajiao Xiang</t>
  </si>
  <si>
    <t>Balasu Zhen</t>
  </si>
  <si>
    <t>Baliguan Zhen</t>
  </si>
  <si>
    <t>Bamiao Zhen</t>
  </si>
  <si>
    <t>Banfangzi Zhen</t>
  </si>
  <si>
    <t>Banqiao Zhen (Shangluo Shi)</t>
  </si>
  <si>
    <t>Banqiao Zhen (Weinan Shi)</t>
  </si>
  <si>
    <t>Bantao Zhen [→ Huishui Zhen, Jieling Zhen]</t>
  </si>
  <si>
    <t>Banyan Zhen</t>
  </si>
  <si>
    <t>Bao'an Jiedao</t>
  </si>
  <si>
    <t>Bao'an Zhen</t>
  </si>
  <si>
    <t>Baocheng Zhen</t>
  </si>
  <si>
    <t>Baoshan Zhen</t>
  </si>
  <si>
    <t>Baotashan Jiedao</t>
  </si>
  <si>
    <t>Baqiao Jiedao</t>
  </si>
  <si>
    <t>Bashan Zhen (Ningqiang Xian)</t>
  </si>
  <si>
    <t>Bashan Zhen (Zhenba Xian)</t>
  </si>
  <si>
    <t>Baxian Zhen</t>
  </si>
  <si>
    <t>Bayu Zhen</t>
  </si>
  <si>
    <t>Bayuan Zhen</t>
  </si>
  <si>
    <t>Beiba Zhen [incl. Xihe Zhen]</t>
  </si>
  <si>
    <t>Beidaode Xiang</t>
  </si>
  <si>
    <t>Beidu Jiedao</t>
  </si>
  <si>
    <t>Beiguan Jiedao (Hanzhong Shi)</t>
  </si>
  <si>
    <t>Beiguan Jiedao (Xi'an Shi)</t>
  </si>
  <si>
    <t>Beiji Zhen</t>
  </si>
  <si>
    <t>Beijingtou Xiang</t>
  </si>
  <si>
    <t>Beikuanping Zhen</t>
  </si>
  <si>
    <t>Beishe Xiang</t>
  </si>
  <si>
    <t>Beitian Jiedao</t>
  </si>
  <si>
    <t>Beitun Jiedao</t>
  </si>
  <si>
    <t>Beiyuan Zhen</t>
  </si>
  <si>
    <t>Beiyuanmen Jiedao</t>
  </si>
  <si>
    <t>Biaojiao Zhen</t>
  </si>
  <si>
    <t>Bijia Xiang</t>
  </si>
  <si>
    <t>Boluo Zhen</t>
  </si>
  <si>
    <t>Boshi Xiang</t>
  </si>
  <si>
    <t>Bowang Jiedao</t>
  </si>
  <si>
    <t>Buchang Xiang</t>
  </si>
  <si>
    <t>Bulanghe Xiang</t>
  </si>
  <si>
    <t>Caichuan Zhen</t>
  </si>
  <si>
    <t>Caijiapo Zhen</t>
  </si>
  <si>
    <t>Cangshang Zhen</t>
  </si>
  <si>
    <t>Caobi Zhen</t>
  </si>
  <si>
    <t>Caocun Zhen</t>
  </si>
  <si>
    <t>Caojia Zhen</t>
  </si>
  <si>
    <t>Caojiawan Zhen</t>
  </si>
  <si>
    <t>Caomiao Xiang</t>
  </si>
  <si>
    <t>Caoping Zhen [incl. Caiyuyao Zhen]</t>
  </si>
  <si>
    <t>Caotan Jiedao</t>
  </si>
  <si>
    <t>Caotang Jiedao</t>
  </si>
  <si>
    <t>Cha Zhen</t>
  </si>
  <si>
    <t>Chadian Zhen</t>
  </si>
  <si>
    <t>Chafang Jiedao [incl. Jiaodao Zhen]</t>
  </si>
  <si>
    <t>Chaheze Xiang</t>
  </si>
  <si>
    <t>Chaiping Zhen [incl. Longsheng Xiang, Yushi Xiang]</t>
  </si>
  <si>
    <t>Chang'an Zhen</t>
  </si>
  <si>
    <t>Chang'anlu Jiedao</t>
  </si>
  <si>
    <t>Changcheng Zhen</t>
  </si>
  <si>
    <t>Changchenglu Jiedao [Yuyang Zhen]</t>
  </si>
  <si>
    <t>Changfeng Zhen</t>
  </si>
  <si>
    <t>Changgouhe Zhen</t>
  </si>
  <si>
    <t>Changguanmiao Zhen</t>
  </si>
  <si>
    <t>Changjiaoba Zhen</t>
  </si>
  <si>
    <t>Changlefang Jiedao</t>
  </si>
  <si>
    <t>Changlexilu Jiedao</t>
  </si>
  <si>
    <t>Changlezhonglu Jiedao</t>
  </si>
  <si>
    <t>Changling Zhen</t>
  </si>
  <si>
    <t>Changning Zhen [incl. Hedao Xiang]</t>
  </si>
  <si>
    <t>Changning Zhen [incl. Shangyi Xiang]</t>
  </si>
  <si>
    <t>Changqing Zhen</t>
  </si>
  <si>
    <t>Changxing Zhen [incl. Majia Zhen]</t>
  </si>
  <si>
    <t>Changyanbao Jiedao</t>
  </si>
  <si>
    <t>Changyang Xiang</t>
  </si>
  <si>
    <t>Chanjiayan Zhen</t>
  </si>
  <si>
    <t>Chaoyi Zhen</t>
  </si>
  <si>
    <t>Chashang Zhen [incl. Dingjiawan Xiang]</t>
  </si>
  <si>
    <t>Chencang Zhen</t>
  </si>
  <si>
    <t>Chencun Zhen</t>
  </si>
  <si>
    <t>Chen'er Zhen</t>
  </si>
  <si>
    <t>Chengbei Jiedao [Chengguan Zhen]</t>
  </si>
  <si>
    <t>Chengguan Jiedao (Baoji Shi)</t>
  </si>
  <si>
    <t>Chengguan Jiedao (Shangzhou Qu)</t>
  </si>
  <si>
    <t>Chengguan Jiedao (Luonan Xian)</t>
  </si>
  <si>
    <t>Chengguan Jiedao (Shanyang Xian)</t>
  </si>
  <si>
    <t>Chengguan Jiedao (Yintai Qu)</t>
  </si>
  <si>
    <t>Chengguan Jiedao (Yijun Xian)</t>
  </si>
  <si>
    <t>Chengguan Jiedao (Heyang Xian)</t>
  </si>
  <si>
    <t>Chengguan Jiedao (Chengcheng Xian)</t>
  </si>
  <si>
    <t>Chengguan Jiedao (Binzhou Shi)</t>
  </si>
  <si>
    <t>Chengguan Jiedao (Xunyi Xian)</t>
  </si>
  <si>
    <t>Chengguan Jiedao (Chunhua Xian)</t>
  </si>
  <si>
    <t>Chengguan Jiedao [Hengshan Zhen]</t>
  </si>
  <si>
    <t>Chengguan Jiedao [incl. Anle Xiang]</t>
  </si>
  <si>
    <t>Chengguan Jiedao [incl. Dangma Xiang]</t>
  </si>
  <si>
    <t>Chengguan Jiedao [incl. Ducun Zhen, Huazhu Xiang, Dongshangguan Xiang]</t>
  </si>
  <si>
    <t>Chengguan Jiedao [incl. Fenglei Zhen]</t>
  </si>
  <si>
    <t>Chengguan Jiedao [incl. Gaoqu Xiang]</t>
  </si>
  <si>
    <t>Chengguan Jiedao [incl. Moxi Xiang]</t>
  </si>
  <si>
    <t>Chengguan Jiedao [incl. Yaowangdong Xiang, Xinshi Xiang]</t>
  </si>
  <si>
    <t>Chengguan Zhen (Hanyin Xian)</t>
  </si>
  <si>
    <t>Chengguan Zhen (Shiquan Xian)</t>
  </si>
  <si>
    <t>Chengguan Zhen (Ningshan Xian)</t>
  </si>
  <si>
    <t>Chengguan Zhen (Ziyang Xian)</t>
  </si>
  <si>
    <t>Chengguan Zhen (Langao Xian)</t>
  </si>
  <si>
    <t>Chengguan Zhen (Pingli Xian)</t>
  </si>
  <si>
    <t>Chengguan Zhen (Zhenping Xian)</t>
  </si>
  <si>
    <t>Chengguan Zhen (Xunyang Xian)</t>
  </si>
  <si>
    <t>Chengguan Zhen (Baihe Xian)</t>
  </si>
  <si>
    <t>Chengguan Zhen (Fengxiang Qu)</t>
  </si>
  <si>
    <t>Chengguan Zhen (Long Xian)</t>
  </si>
  <si>
    <t>Chengguan Zhen (Qianyang Xian)</t>
  </si>
  <si>
    <t>Chengguan Zhen [→ Fengxian Jiedao, Zijing Jiedao]</t>
  </si>
  <si>
    <t>Chengjiao Zhen [Shilipu Zhen]</t>
  </si>
  <si>
    <t>Chenhe Zhen</t>
  </si>
  <si>
    <t>Chenjiaba Zhen</t>
  </si>
  <si>
    <t>Chenjiatan Xiang</t>
  </si>
  <si>
    <t>Chenlu Zhen</t>
  </si>
  <si>
    <t>Chenyangzhai Jiedao</t>
  </si>
  <si>
    <t>Chenyuan Jiedao</t>
  </si>
  <si>
    <t>Chenzhuang Zhen</t>
  </si>
  <si>
    <t>Chewu Zhen</t>
  </si>
  <si>
    <t>Chigan Zhen</t>
  </si>
  <si>
    <t>Chihe Zhen</t>
  </si>
  <si>
    <t>Chinan Zhen</t>
  </si>
  <si>
    <t>Chisha Zhen</t>
  </si>
  <si>
    <t>Chishui Zhen</t>
  </si>
  <si>
    <t>Chonghuang Jiedao</t>
  </si>
  <si>
    <t>Chongning Zhen</t>
  </si>
  <si>
    <t>Chongwen Zhen</t>
  </si>
  <si>
    <t>Chongwenlu Jiedao</t>
  </si>
  <si>
    <t>Chongyelu Jiedao</t>
  </si>
  <si>
    <t>Chuankou Zhen</t>
  </si>
  <si>
    <t>Chunlin Zhen</t>
  </si>
  <si>
    <t>Cigou Zhen [incl. Dongzhen Xiang]</t>
  </si>
  <si>
    <t>Cuifeng Zhen</t>
  </si>
  <si>
    <t>Cuijiatou Zhen</t>
  </si>
  <si>
    <t>Cuijiawan Zhen</t>
  </si>
  <si>
    <t>Cuimu Zhen</t>
  </si>
  <si>
    <t>Cuo'e Zhen</t>
  </si>
  <si>
    <t>Da'an Zhen [incl. Miaoba Xiang]</t>
  </si>
  <si>
    <t>Dabaodang Zhen</t>
  </si>
  <si>
    <t>Dachanghan Zhen</t>
  </si>
  <si>
    <t>Dacheng Zhen [incl. Xumu Xiang]</t>
  </si>
  <si>
    <t>Dachi Zhen</t>
  </si>
  <si>
    <t>Dadaohe Zhen</t>
  </si>
  <si>
    <t>Dadian Xiang</t>
  </si>
  <si>
    <t>Dagui Zhen</t>
  </si>
  <si>
    <t>Dahe Zhen (Ankang Shi)</t>
  </si>
  <si>
    <t>Dahe Zhen (Hanzhong Shi)</t>
  </si>
  <si>
    <t>Daheba Zhen [incl. Shimudi Xiang]</t>
  </si>
  <si>
    <t>Dahekan Zhen</t>
  </si>
  <si>
    <t>Daheta Zhen</t>
  </si>
  <si>
    <t>Daijia Xiang</t>
  </si>
  <si>
    <t>Daijiaba Zhen [incl. Gongjiahe Xiang, Donghuanggou Xiang]</t>
  </si>
  <si>
    <t>Daiwang Jiedao</t>
  </si>
  <si>
    <t>Daiziying Zhen</t>
  </si>
  <si>
    <t>Dajing Zhen [incl. Xijing Xiang]</t>
  </si>
  <si>
    <t>Daliuta Zhen</t>
  </si>
  <si>
    <t>Dalugou Xiang</t>
  </si>
  <si>
    <t>Daming Zhen</t>
  </si>
  <si>
    <t>Daminggong Jiedao</t>
  </si>
  <si>
    <t>Danba Zhen</t>
  </si>
  <si>
    <t>Dancun Zhen</t>
  </si>
  <si>
    <t>Dangcha Zhen</t>
  </si>
  <si>
    <t>Dangmu Zhen</t>
  </si>
  <si>
    <t>Danzhou Jiedao</t>
  </si>
  <si>
    <t>Dao Zhen</t>
  </si>
  <si>
    <t>Daoxian Zhen [incl. Xiaohui Xiang]</t>
  </si>
  <si>
    <t>Dapan Xiang</t>
  </si>
  <si>
    <t>Daping Zhen</t>
  </si>
  <si>
    <t>Daren Zhen</t>
  </si>
  <si>
    <t>Dashuang Xiang</t>
  </si>
  <si>
    <t>Datong Zhen</t>
  </si>
  <si>
    <t>Dawang Jiedao</t>
  </si>
  <si>
    <t>Dawang Xiang</t>
  </si>
  <si>
    <t>Dayang Zhen</t>
  </si>
  <si>
    <t>Dayanta Jiedao</t>
  </si>
  <si>
    <t>Daying Xiang</t>
  </si>
  <si>
    <t>Dayu Jiedao [incl. Yanchuan Zhen, Majiahe Xiang]</t>
  </si>
  <si>
    <t>Dazhai Jiedao</t>
  </si>
  <si>
    <t>Dazhao Jiedao</t>
  </si>
  <si>
    <t>Dazhaoyu Jiedao</t>
  </si>
  <si>
    <t>Dazhuang Zhen</t>
  </si>
  <si>
    <t>Dazhuyuan Zhen</t>
  </si>
  <si>
    <t>Dengjiapo Jiedao</t>
  </si>
  <si>
    <t>Dian Zhen</t>
  </si>
  <si>
    <t>Dianshi Zhen (Hengshan Qu)</t>
  </si>
  <si>
    <t>Dianshi Zhen (Zizhou Xian)</t>
  </si>
  <si>
    <t>Dianta Zhen</t>
  </si>
  <si>
    <t>Diantou Zhen</t>
  </si>
  <si>
    <t>Diantou Zhen [incl. Yijing Zhen]</t>
  </si>
  <si>
    <t>Dianzegou Zhen</t>
  </si>
  <si>
    <t>Dianzhang Jiedao</t>
  </si>
  <si>
    <t>Dianzicheng Jiedao</t>
  </si>
  <si>
    <t>Diaotai Jiedao</t>
  </si>
  <si>
    <t>Diaowei Zhen</t>
  </si>
  <si>
    <t>Didian Xiang</t>
  </si>
  <si>
    <t>Dihua Zhen</t>
  </si>
  <si>
    <t>Dimiao Zhen</t>
  </si>
  <si>
    <t>Dingbian Jiedao</t>
  </si>
  <si>
    <t>Dingjia Zhen</t>
  </si>
  <si>
    <t>Dingjunshan Zhen</t>
  </si>
  <si>
    <t>Dingxianyan Zhen</t>
  </si>
  <si>
    <t>Dizhai Jiedao</t>
  </si>
  <si>
    <t>Dizhang Jiedao</t>
  </si>
  <si>
    <t>Dizhang Xiang</t>
  </si>
  <si>
    <t>Dongcheng Jiedao</t>
  </si>
  <si>
    <t>Dongcheng Jiedao [Chengguan Zhen]</t>
  </si>
  <si>
    <t>Dongda Jiedao</t>
  </si>
  <si>
    <t>Dongdajie Jiedao</t>
  </si>
  <si>
    <t>Dongfeng Zhen</t>
  </si>
  <si>
    <t>Dongfenglu Jiedao</t>
  </si>
  <si>
    <t>Donggou Xiang</t>
  </si>
  <si>
    <t>Dongguan Jiedao</t>
  </si>
  <si>
    <t>Dongguannanjie Jiedao</t>
  </si>
  <si>
    <t>Donghe Zhen</t>
  </si>
  <si>
    <t>Dongjiahe Xiang</t>
  </si>
  <si>
    <t>Dongjiahe Zhen</t>
  </si>
  <si>
    <t>Dongjiaying Zhen</t>
  </si>
  <si>
    <t>Dongkeng Zhen</t>
  </si>
  <si>
    <t>Dongling Xiang</t>
  </si>
  <si>
    <t>Dongmu Zhen</t>
  </si>
  <si>
    <t>Dongnan Zhen</t>
  </si>
  <si>
    <t>Dongyang Xiang (Huazhou Qu)</t>
  </si>
  <si>
    <t>Dongyang Xiang (Pucheng Xian)</t>
  </si>
  <si>
    <t>Doujia Zhen</t>
  </si>
  <si>
    <t>Doumen Jiedao</t>
  </si>
  <si>
    <t>Duanjia Zhen (Baoji Shi)</t>
  </si>
  <si>
    <t>Duanjia Zhen (Weinan Shi)</t>
  </si>
  <si>
    <t>Duanjiahe Zhen</t>
  </si>
  <si>
    <t>Duiziliang Zhen</t>
  </si>
  <si>
    <t>Dujiashigou Zhen</t>
  </si>
  <si>
    <t>Dukang Zhen</t>
  </si>
  <si>
    <t>Duli Zhen</t>
  </si>
  <si>
    <t>Duqiao Jiedao</t>
  </si>
  <si>
    <t>Duqu Jiedao</t>
  </si>
  <si>
    <t>Duquan Xiang</t>
  </si>
  <si>
    <t>Duyang Zhen</t>
  </si>
  <si>
    <t>Erdaohe Xiang</t>
  </si>
  <si>
    <t>Erlangba Zhen</t>
  </si>
  <si>
    <t>Erli Zhen</t>
  </si>
  <si>
    <t>Ĕrlintu Zhen</t>
  </si>
  <si>
    <t>Erqu Jiedao</t>
  </si>
  <si>
    <t>Fa Zhen</t>
  </si>
  <si>
    <t>Faguan Zhen</t>
  </si>
  <si>
    <t>Famen Zhen</t>
  </si>
  <si>
    <t>Fang Zhen</t>
  </si>
  <si>
    <t>Fangli Zhen [incl. Guxian Xiang]</t>
  </si>
  <si>
    <t>Fangta Zhen</t>
  </si>
  <si>
    <t>Fangzhicheng Jiedao</t>
  </si>
  <si>
    <t>Fanjia Zhen</t>
  </si>
  <si>
    <t>Fanjiazhai Zhen</t>
  </si>
  <si>
    <t>Fanjiazhuozi Xiang</t>
  </si>
  <si>
    <t>Fanxue Zhen</t>
  </si>
  <si>
    <t>Fengcun Zhen</t>
  </si>
  <si>
    <t>Fengdikeng Zhen</t>
  </si>
  <si>
    <t>Fenggeling Zhen</t>
  </si>
  <si>
    <t>Fenghuang Zhen</t>
  </si>
  <si>
    <t>Fenghuanglu Jiedao</t>
  </si>
  <si>
    <t>Fenghuangshan Jiedao</t>
  </si>
  <si>
    <t>Fenghuo Zhen</t>
  </si>
  <si>
    <t>Fengming Zhen</t>
  </si>
  <si>
    <t>Fengqi Jiedao</t>
  </si>
  <si>
    <t>Fengyang Zhen</t>
  </si>
  <si>
    <t>Fengyi Zhen</t>
  </si>
  <si>
    <t>Fengyuan Zhen</t>
  </si>
  <si>
    <t>Fengzhou Zhen</t>
  </si>
  <si>
    <t>Fengzhuang Xiang</t>
  </si>
  <si>
    <t>Fucheng Zhen</t>
  </si>
  <si>
    <t>Fuchuan Zhen</t>
  </si>
  <si>
    <t>Fugu Zhen</t>
  </si>
  <si>
    <t>Furen Zhen [incl. Xinjiazhai Zhen]</t>
  </si>
  <si>
    <t>Fushui Zhen</t>
  </si>
  <si>
    <t>Fuzhai Zhen [incl. Tianfu Xiang]</t>
  </si>
  <si>
    <t>Ganguyi Zhen</t>
  </si>
  <si>
    <t>Ganhe Zhen</t>
  </si>
  <si>
    <t>Ganjing Zhen (Weinan Shi)</t>
  </si>
  <si>
    <t>Ganjing Zhen (Xianyang Shi)</t>
  </si>
  <si>
    <t>Ganting Jiedao</t>
  </si>
  <si>
    <t>Ganxi Zhen</t>
  </si>
  <si>
    <t>Gao Zhen</t>
  </si>
  <si>
    <t>Gaobadian Zhen [incl. Shenjiadie]</t>
  </si>
  <si>
    <t>Gaobai Xiang</t>
  </si>
  <si>
    <t>Gaochuan Zhen [incl. Wuliba Zhen]</t>
  </si>
  <si>
    <t>Gaofeng Zhen [incl. Zhangjia Xiang]</t>
  </si>
  <si>
    <t>Gaojia Zhen [incl. Chaoyu Xiang]</t>
  </si>
  <si>
    <t>Gaojiabao Zhen [incl. Qiaochatan Xiang]</t>
  </si>
  <si>
    <t>Gaojiagou Xiang</t>
  </si>
  <si>
    <t>Gaojiaping Xiang</t>
  </si>
  <si>
    <t>Gaojiecun Zhen</t>
  </si>
  <si>
    <t>Gaolong Xiang</t>
  </si>
  <si>
    <t>Gaoqiao Jiedao</t>
  </si>
  <si>
    <t>Gaoqiao Xiang</t>
  </si>
  <si>
    <t>Gaoqiao Zhen (Ankang Shi)</t>
  </si>
  <si>
    <t>Gaoqiao Zhen (Yan'an Shi)</t>
  </si>
  <si>
    <t>Gaoqu Xiang</t>
  </si>
  <si>
    <t>Gaoshao Xiang</t>
  </si>
  <si>
    <t>Gaotai Zhen</t>
  </si>
  <si>
    <t>Gaotan Zhen [incl. Guangcheng Xiang, Raoxi Xiang]</t>
  </si>
  <si>
    <t>Gaotang Zhen</t>
  </si>
  <si>
    <t>Gaoya Zhen</t>
  </si>
  <si>
    <t>Gaoyang Zhen</t>
  </si>
  <si>
    <t>Gaoyao Zhen</t>
  </si>
  <si>
    <t>Gaozhaizi Jiedao</t>
  </si>
  <si>
    <t>Gaozhuang Zhen</t>
  </si>
  <si>
    <t>Gengzhen Jiedao [incl. Yuchu Xiang]</t>
  </si>
  <si>
    <t>Gepai Zhen</t>
  </si>
  <si>
    <t>Getai Xiang</t>
  </si>
  <si>
    <t>Getiao Xiang</t>
  </si>
  <si>
    <t>Gongli Zhen</t>
  </si>
  <si>
    <t>Gouba Zhen</t>
  </si>
  <si>
    <t>Gouyuan Zhen</t>
  </si>
  <si>
    <t>Guanchi Zhen</t>
  </si>
  <si>
    <t>Guandao Zhen</t>
  </si>
  <si>
    <t>Guandi Zhen</t>
  </si>
  <si>
    <t>Guangfo Zhen</t>
  </si>
  <si>
    <t>Guanghuojie Zhen [incl. Fengfu Xiang]</t>
  </si>
  <si>
    <t>Guangji Zhen</t>
  </si>
  <si>
    <t>Guangping Zhen</t>
  </si>
  <si>
    <t>Guangyang Zhen [incl. Gaolouhe Xiang]</t>
  </si>
  <si>
    <t>Guanjia Zhen</t>
  </si>
  <si>
    <t>Guankou Zhen</t>
  </si>
  <si>
    <t>Guanlu Zhen</t>
  </si>
  <si>
    <t>Guanmiao Zhen</t>
  </si>
  <si>
    <t>Guanpinghe Xiang [→ Maoping Zhen, Xikou Zhen]</t>
  </si>
  <si>
    <t>Guanshan Jiedao</t>
  </si>
  <si>
    <t>Guantun Xiang</t>
  </si>
  <si>
    <t>Guanxi Zhen</t>
  </si>
  <si>
    <t>Guanyin Zhen</t>
  </si>
  <si>
    <t>Guanyinhe Zhen</t>
  </si>
  <si>
    <t>Guanyinsi Zhen</t>
  </si>
  <si>
    <t>Guanyuan Zhen</t>
  </si>
  <si>
    <t>Guanzhuang Xiang (Yan'an Shi)</t>
  </si>
  <si>
    <t>Guanzhuang Xiang (Yulin Shi)</t>
  </si>
  <si>
    <t>Guanzhuang Zhen (Tongchuan Shi)</t>
  </si>
  <si>
    <t>Guanzhuang Zhen (Yan'an Shi)</t>
  </si>
  <si>
    <t>Guanzhuang Zhen [incl. Hujiamiao Xiang]</t>
  </si>
  <si>
    <t>Guapo Zhen</t>
  </si>
  <si>
    <t>Guayuanzewan Xiang</t>
  </si>
  <si>
    <t>Gucheng Zhen (Hanzhong Shi)</t>
  </si>
  <si>
    <t>Gucheng Zhen (Yulin Shi)</t>
  </si>
  <si>
    <t>Gucheng Zhen [incl. Sipo Xiang]</t>
  </si>
  <si>
    <t>Gudu Jiedao</t>
  </si>
  <si>
    <t>Guguan Zhen</t>
  </si>
  <si>
    <t>Gujun Zhen</t>
  </si>
  <si>
    <t>Gulou Jiedao</t>
  </si>
  <si>
    <t>Guo Zhen</t>
  </si>
  <si>
    <t>Guodian Zhen</t>
  </si>
  <si>
    <t>Guodu Jiedao</t>
  </si>
  <si>
    <t>Guofenglou Zhen [incl. Shuigou Xiang]</t>
  </si>
  <si>
    <t>Guojiagou Zhen</t>
  </si>
  <si>
    <t>Guowang Zhen</t>
  </si>
  <si>
    <t>Guoxingzhuang Zhen</t>
  </si>
  <si>
    <t>Guoying Shanxi Huanghe Qiye Gongsi</t>
  </si>
  <si>
    <t>Guoying Shanxi Huashan Qiye Gongsi</t>
  </si>
  <si>
    <t>Guoying Shanxi Libei Qiye Gongsi</t>
  </si>
  <si>
    <t>Guoying Shanxi Shayuan Qiye Gongsi</t>
  </si>
  <si>
    <t>Guozhen Jiedao [ncl. Dongguan Jiedao, Qianwei Jiedao]</t>
  </si>
  <si>
    <t>Gushan Zhen</t>
  </si>
  <si>
    <t>Gushi Zhen</t>
  </si>
  <si>
    <t>Guta Zhen [incl. Yuxingzhuang Xiang]</t>
  </si>
  <si>
    <t>Ha Zhen</t>
  </si>
  <si>
    <t>Haizemiao Xiang</t>
  </si>
  <si>
    <t>Haizetan Zhen</t>
  </si>
  <si>
    <t>Hancha Zhen</t>
  </si>
  <si>
    <t>Hancheng Jiedao</t>
  </si>
  <si>
    <t>Hanfeng Xiang</t>
  </si>
  <si>
    <t>Hangyulu Jiedao</t>
  </si>
  <si>
    <t>Hanjia Zhen [incl. Chejiazhuang Xiang]</t>
  </si>
  <si>
    <t>Hanjing Zhen</t>
  </si>
  <si>
    <t>Hansenzhai Jiedao</t>
  </si>
  <si>
    <t>Hanshan Jiedao [Chengguan Zhen]</t>
  </si>
  <si>
    <t>Hanwang Zhen (Ankang Shi)</t>
  </si>
  <si>
    <t>Hanwang Zhen (Hanzhong Shi)</t>
  </si>
  <si>
    <t>Hanyang Zhen [incl. Shuangping Xiang]</t>
  </si>
  <si>
    <t>Hanyuan Jiedao</t>
  </si>
  <si>
    <t>Hanzhonglu Jiedao</t>
  </si>
  <si>
    <t>Haojiayan Xiang</t>
  </si>
  <si>
    <t>Haoping Zhen</t>
  </si>
  <si>
    <t>Haotan Zhen</t>
  </si>
  <si>
    <t>Hebei Zhen</t>
  </si>
  <si>
    <t>Hedi Xiang</t>
  </si>
  <si>
    <t>Hedongdian Zhen</t>
  </si>
  <si>
    <t>Heichi Zhen</t>
  </si>
  <si>
    <t>Heihe Zhen</t>
  </si>
  <si>
    <t>Heijiabao Zhen</t>
  </si>
  <si>
    <t>Heishan Zhen</t>
  </si>
  <si>
    <t>Hejiachuan Zhen</t>
  </si>
  <si>
    <t>Hejiaji Zhen</t>
  </si>
  <si>
    <t>Hejiawan Xiang</t>
  </si>
  <si>
    <t>Hejiazhuang Zhen</t>
  </si>
  <si>
    <t>Hekou Zhen</t>
  </si>
  <si>
    <t>Hengkou Zhen</t>
  </si>
  <si>
    <t>Hengqu Zhen</t>
  </si>
  <si>
    <t>Hengshui Zhen</t>
  </si>
  <si>
    <t>Hengxianhe Jiedao</t>
  </si>
  <si>
    <t>Hequan Zhen [incl. Jipan Xiang]</t>
  </si>
  <si>
    <t>Hexi Xiang (Baoji Shi)</t>
  </si>
  <si>
    <t>Hexi Xiang (Weinan Shi)</t>
  </si>
  <si>
    <t>Hexi Zhen</t>
  </si>
  <si>
    <t>Hezhai Jiedao</t>
  </si>
  <si>
    <t>Hezhuangping Zhen</t>
  </si>
  <si>
    <t>Hongchun Zhen</t>
  </si>
  <si>
    <t>Hongdunjie Zhen</t>
  </si>
  <si>
    <t>Honghuapu Zhen</t>
  </si>
  <si>
    <t>Hongjia Zhen</t>
  </si>
  <si>
    <t>Hongjun Zhen</t>
  </si>
  <si>
    <t>Hongliugou Zhen</t>
  </si>
  <si>
    <t>Hongmenhe Xiang</t>
  </si>
  <si>
    <t>Hongmiao Zhen [incl. Xishenba Xiang]</t>
  </si>
  <si>
    <t>Hongmiaopo Jiedao</t>
  </si>
  <si>
    <t>Hongqi Jiedao</t>
  </si>
  <si>
    <t>Hongqijie Jiedao [Hongqi Jiedao]</t>
  </si>
  <si>
    <t>Hongqing Jiedao</t>
  </si>
  <si>
    <t>Hongshan Zhen [incl. Shizhuan Zhen]</t>
  </si>
  <si>
    <t>Hongshiqiao Xiang</t>
  </si>
  <si>
    <t>Hongshiya Xiang</t>
  </si>
  <si>
    <t>Hongtu Zhen</t>
  </si>
  <si>
    <t>Hongyansi Zhen</t>
  </si>
  <si>
    <t>Hou Zhen</t>
  </si>
  <si>
    <t>Houliu Zhen [incl. Zhongba Xiang]</t>
  </si>
  <si>
    <t>Houzhenzi Zhen</t>
  </si>
  <si>
    <t>Huaibai Zhen</t>
  </si>
  <si>
    <t>Huainingwan Zhen</t>
  </si>
  <si>
    <t>Huaishuguan Zhen</t>
  </si>
  <si>
    <t>Huaiya Zhen</t>
  </si>
  <si>
    <t>Huanchengxilu Jiedao</t>
  </si>
  <si>
    <t>Huang'an Zhen</t>
  </si>
  <si>
    <t>Huangbaiyuan Zhen</t>
  </si>
  <si>
    <t>Huangbao Zhen</t>
  </si>
  <si>
    <t>Huangbayi Xiang</t>
  </si>
  <si>
    <t>Huangfu Zhen</t>
  </si>
  <si>
    <t>Huangguan Zhen</t>
  </si>
  <si>
    <t>Huangguan Zhen [incl. Tangkou Xiang]</t>
  </si>
  <si>
    <t>Huanghaojie Zhen</t>
  </si>
  <si>
    <t>Huangjiawan Xiang</t>
  </si>
  <si>
    <t>Huangjiaying Zhen</t>
  </si>
  <si>
    <t>Huangjinxia Zhen</t>
  </si>
  <si>
    <t>Huangliang Jiedao</t>
  </si>
  <si>
    <t>Huanglong Xiang</t>
  </si>
  <si>
    <t>Huangniupu Zhen</t>
  </si>
  <si>
    <t>Huangsha Zhen</t>
  </si>
  <si>
    <t>Huangu Zhen</t>
  </si>
  <si>
    <t>Huangwan Xiang</t>
  </si>
  <si>
    <t>Huaping Zhen</t>
  </si>
  <si>
    <t>Huapingzi Zhen</t>
  </si>
  <si>
    <t>Huashan Zhen [incl. Yuquan Jiedao, Wufang Xiang]</t>
  </si>
  <si>
    <t>Huashiya Zhen</t>
  </si>
  <si>
    <t>Huaxi Zhen</t>
  </si>
  <si>
    <t>Huaxu Zhen</t>
  </si>
  <si>
    <t>Huayang Zhen</t>
  </si>
  <si>
    <t>Huayuan Xiang</t>
  </si>
  <si>
    <t>Huazhou Jiedao</t>
  </si>
  <si>
    <t>Huaziping Zhen</t>
  </si>
  <si>
    <t>Hudian Xiang</t>
  </si>
  <si>
    <t>Huilong Zhen</t>
  </si>
  <si>
    <t>Huishui Zhen</t>
  </si>
  <si>
    <t>Hujia Xiang</t>
  </si>
  <si>
    <t>Hujiaba Zhen</t>
  </si>
  <si>
    <t>Hujiamiao Jiedao</t>
  </si>
  <si>
    <t>Hujiaying Zhen</t>
  </si>
  <si>
    <t>Hujiayuan Zhen [incl. Niu'erchuan Zhen]</t>
  </si>
  <si>
    <t>Hukou Zhen</t>
  </si>
  <si>
    <t>Huoshaodian Zhen</t>
  </si>
  <si>
    <t>Ji Zhen</t>
  </si>
  <si>
    <t>Jiacun Zhen</t>
  </si>
  <si>
    <t>Jiajiaping Zhen</t>
  </si>
  <si>
    <t>Jialu Xiang</t>
  </si>
  <si>
    <t>Jianchi Zhen</t>
  </si>
  <si>
    <t>Jianchi Zhen [incl. Sanxi Xiang]</t>
  </si>
  <si>
    <t>Jiangbei Jiedao</t>
  </si>
  <si>
    <t>Jiangcun Zhen</t>
  </si>
  <si>
    <t>Jiangkou Zhen (Ankang Shi)</t>
  </si>
  <si>
    <t>Jiangkou Zhen (Hanzhong Shi)</t>
  </si>
  <si>
    <t>Jiangtan Jiedao</t>
  </si>
  <si>
    <t>Jiangzhang Zhen [incl. Shangsong Xiang]</t>
  </si>
  <si>
    <t>Jianhua Zhen</t>
  </si>
  <si>
    <t>Jianjun Jiedao</t>
  </si>
  <si>
    <t>Jianmin Jiedao</t>
  </si>
  <si>
    <t>Jianyucha Zhen</t>
  </si>
  <si>
    <t>Jiaodai Zhen</t>
  </si>
  <si>
    <t>Jiaodao Zhen</t>
  </si>
  <si>
    <t>Jiaokou Jiedao</t>
  </si>
  <si>
    <t>Jiaokou Zhen [incl. Liujiahe Xiang]</t>
  </si>
  <si>
    <t>Jiaokouhe Zhen</t>
  </si>
  <si>
    <t>Jiaoli Xiang</t>
  </si>
  <si>
    <t>Jiaoxie Zhen</t>
  </si>
  <si>
    <t>Jiaqu Xiang</t>
  </si>
  <si>
    <t>Jiazhou Jiedao</t>
  </si>
  <si>
    <t>Jiefang Jiedao</t>
  </si>
  <si>
    <t>Jiefangmen Jiedao</t>
  </si>
  <si>
    <t>Jieguanting Zhen [incl. Hejiayan Zhen]</t>
  </si>
  <si>
    <t>Jiejiabao Xiang</t>
  </si>
  <si>
    <t>Jiejiagou Zhen [incl. Erlangshan Xiang, Shipan Xiang]</t>
  </si>
  <si>
    <t>Jieling Zhen</t>
  </si>
  <si>
    <t>Jietoumiao Zhen</t>
  </si>
  <si>
    <t>Jieyuan Zhen</t>
  </si>
  <si>
    <t>Jiezi Xiang</t>
  </si>
  <si>
    <t>Jihe Zhen</t>
  </si>
  <si>
    <t>Jijiacha Xiang</t>
  </si>
  <si>
    <t>Jincheng Jiedao</t>
  </si>
  <si>
    <t>Jinchuan Xiang</t>
  </si>
  <si>
    <t>Jinchuan Zhen</t>
  </si>
  <si>
    <t>Jinding Zhen</t>
  </si>
  <si>
    <t>Jindui Zhen</t>
  </si>
  <si>
    <t>Jingcun Zhen</t>
  </si>
  <si>
    <t>Jingdang Zhen [incl. Zhujiazhuang Zhen]</t>
  </si>
  <si>
    <t>Jing'erlu Jiedao</t>
  </si>
  <si>
    <t>Jinggan Jiedao</t>
  </si>
  <si>
    <t>Jingkou Zhen</t>
  </si>
  <si>
    <t>Jingwei Jiedao</t>
  </si>
  <si>
    <t>Jingyang Jiedao</t>
  </si>
  <si>
    <t>Jingyao Zhen</t>
  </si>
  <si>
    <t>Jingzhao Xiang</t>
  </si>
  <si>
    <t>Jinhe Zhen [incl. Lingyuan Xiang]</t>
  </si>
  <si>
    <t>Jinhui Xiang</t>
  </si>
  <si>
    <t>Jinjiahe Zhen</t>
  </si>
  <si>
    <t>Jinjie Zhen</t>
  </si>
  <si>
    <t>Jinjitan Zhen</t>
  </si>
  <si>
    <t>Jinling Jiedao</t>
  </si>
  <si>
    <t>Jinlingsi Zhen</t>
  </si>
  <si>
    <t>Jinmingsi Zhen</t>
  </si>
  <si>
    <t>Jinqu Zhen</t>
  </si>
  <si>
    <t>Jinquan Zhen</t>
  </si>
  <si>
    <t>Jinshui Zhen</t>
  </si>
  <si>
    <t>Jinsixia Zhen [incl. Liangjiawan Zhen, Taijihe Zhen]</t>
  </si>
  <si>
    <t>Jinsuoguan Zhen [incl. Yuhua Zhen]</t>
  </si>
  <si>
    <t>Jinyanglu Jiedao [Sigou Zhen]</t>
  </si>
  <si>
    <t>Jinyu Zhen [incl. Huangfuzhuang Zhen, Fangluzhai Xiang]</t>
  </si>
  <si>
    <t>Jinzhai Zhen</t>
  </si>
  <si>
    <t>Jiuchenggong Zhen</t>
  </si>
  <si>
    <t>Jiufang Zhen</t>
  </si>
  <si>
    <t>Jiufeng Zhen</t>
  </si>
  <si>
    <t>Jiujianfang Xiang</t>
  </si>
  <si>
    <t>Jiujianfang Zhen</t>
  </si>
  <si>
    <t>Jiuxian Zhen</t>
  </si>
  <si>
    <t>Jixian Zhen</t>
  </si>
  <si>
    <t>Jiyi Zhen</t>
  </si>
  <si>
    <t>Jiyuan Zhen</t>
  </si>
  <si>
    <t>Jujia Zhen</t>
  </si>
  <si>
    <t>Junma Zhen</t>
  </si>
  <si>
    <t>Juting Zhen</t>
  </si>
  <si>
    <t>Jutou Zhen</t>
  </si>
  <si>
    <t>Kazi Zhen</t>
  </si>
  <si>
    <t>Keng Zhen [incl. Dafosi Xiang]</t>
  </si>
  <si>
    <t>Kou Zhen</t>
  </si>
  <si>
    <t>Koujiahe Xiang</t>
  </si>
  <si>
    <t>Koujiayuan Zhen</t>
  </si>
  <si>
    <t>Kuanchuan Xiang</t>
  </si>
  <si>
    <t>Kuanzhou Zhen [incl. Letangbao Xiang]</t>
  </si>
  <si>
    <t>Kuquan Zhen</t>
  </si>
  <si>
    <t>Langanbao Zhen</t>
  </si>
  <si>
    <t>Languan Jiedao</t>
  </si>
  <si>
    <t>Lanqiao Zhen</t>
  </si>
  <si>
    <t>Laocheng Jiedao</t>
  </si>
  <si>
    <t>Laodaosi Zhen [incl. Changlin Zhen]</t>
  </si>
  <si>
    <t>Laodian Zhen</t>
  </si>
  <si>
    <t>Laogaochuan Zhen</t>
  </si>
  <si>
    <t>Laojun Zhen</t>
  </si>
  <si>
    <t>Laojundian Zhen</t>
  </si>
  <si>
    <t>Laomiao Zhen</t>
  </si>
  <si>
    <t>Laomiao Zhen [incl. Yangshu Xiang]</t>
  </si>
  <si>
    <t>Laoshan Xiang</t>
  </si>
  <si>
    <t>Laoxian Zhen</t>
  </si>
  <si>
    <t>Laozhuang Zhen</t>
  </si>
  <si>
    <t>Leichi Zhen</t>
  </si>
  <si>
    <t>Leicun Xiang</t>
  </si>
  <si>
    <t>Leijiawa Xiang</t>
  </si>
  <si>
    <t>Leilongwan Zhen</t>
  </si>
  <si>
    <t>Leiya Zhen</t>
  </si>
  <si>
    <t>Lengdixia Zhen</t>
  </si>
  <si>
    <t>Lengshui Zhen [incl. Xiaoshuang Xiang]</t>
  </si>
  <si>
    <t>Lesuhe Zhen</t>
  </si>
  <si>
    <t>Liandaowan Zhen</t>
  </si>
  <si>
    <t>Liangcun Zhen</t>
  </si>
  <si>
    <t>Lianghe Zhen (Ankang Shi)</t>
  </si>
  <si>
    <t>Lianghe Zhen (Hanzhong Shi)</t>
  </si>
  <si>
    <t>Lianghekou Zhen (Xixiang Xian)</t>
  </si>
  <si>
    <t>Lianghekou Zhen (Lueyang Xian)</t>
  </si>
  <si>
    <t>Liangling Zhen</t>
  </si>
  <si>
    <t>Liangshan Zhen [incl. Guantou Xiang]</t>
  </si>
  <si>
    <t>Liangshan Zhen [incl. Guotan Xiang]</t>
  </si>
  <si>
    <t>Liangtian Jiedao</t>
  </si>
  <si>
    <t>Liangting Zhen</t>
  </si>
  <si>
    <t>Liangyi Zhen [incl. Gaoming Zhen]</t>
  </si>
  <si>
    <t>Lianhua Jiedao [Wulangmiao Zhen]</t>
  </si>
  <si>
    <t>Lianhuachi Xiang</t>
  </si>
  <si>
    <t>Lianhuasi Zhen</t>
  </si>
  <si>
    <t>Lianshui Zhen</t>
  </si>
  <si>
    <t>Liaoyuan Xiang</t>
  </si>
  <si>
    <t>Liba Zhen</t>
  </si>
  <si>
    <t>Lijiacha Zhen</t>
  </si>
  <si>
    <t>Lijiata Zhen</t>
  </si>
  <si>
    <t>Lijiazhan Xiang</t>
  </si>
  <si>
    <t>Limiao Xiang</t>
  </si>
  <si>
    <t>Lin Zhen</t>
  </si>
  <si>
    <t>Lindian Zhen</t>
  </si>
  <si>
    <t>Lingao Zhen [incl. Yuntai Xiang]</t>
  </si>
  <si>
    <t>Lingkou Jiedao</t>
  </si>
  <si>
    <t>Lingkou Zhen [incl. Miaotai Xiang, Shangsidian Xiang]</t>
  </si>
  <si>
    <t>Linglong Xiang [→ Miliang Zhen, Daping Zhen]</t>
  </si>
  <si>
    <t>Lingqian Zhen [incl. Ma'e Zhen]</t>
  </si>
  <si>
    <t>Lingyuan Zhen</t>
  </si>
  <si>
    <t>Lingzhao Jiedao</t>
  </si>
  <si>
    <t>Linhe Zhen</t>
  </si>
  <si>
    <t>Linping Zhen [incl. Shiniu Xiang]</t>
  </si>
  <si>
    <t>Liping Zhen [Yuanba Zhen]</t>
  </si>
  <si>
    <t>Liqu Zhen</t>
  </si>
  <si>
    <t>Lishan Jiedao</t>
  </si>
  <si>
    <t>Litai Jiedao [incl. Yangcun Jiedao]</t>
  </si>
  <si>
    <t>Liucunbao Jiedao</t>
  </si>
  <si>
    <t>Liufengguan Zhen [incl. Nanxing Zhen, Sancha Zhen, Wenjiangsi Xiang]</t>
  </si>
  <si>
    <t>Liugu Zhen</t>
  </si>
  <si>
    <t>Liuguoju Zhen [incl. Shanggaozhai Xiang]</t>
  </si>
  <si>
    <t>Liuhou Zhen</t>
  </si>
  <si>
    <t>Liuji Zhen</t>
  </si>
  <si>
    <t>Liulin Zhen (Baoji Shi)</t>
  </si>
  <si>
    <t>Liulin Zhen (Yan'an Shi)</t>
  </si>
  <si>
    <t>Liulin Zhen [incl. Cuijiashan Zhen]</t>
  </si>
  <si>
    <t>Liuqu Zhen [incl. Wangliao Zhen]</t>
  </si>
  <si>
    <t>Liushu Zhen</t>
  </si>
  <si>
    <t>Liushui Zhen</t>
  </si>
  <si>
    <t>Liuwan Jiedao</t>
  </si>
  <si>
    <t>Liuxianping Xiang</t>
  </si>
  <si>
    <t>Liuzhi Zhen</t>
  </si>
  <si>
    <t>Lixiaohe Xiang</t>
  </si>
  <si>
    <t>Liyang Jiedao</t>
  </si>
  <si>
    <t>Liziba Xiang</t>
  </si>
  <si>
    <t>Long Zhen</t>
  </si>
  <si>
    <t>Longbei Jiedao</t>
  </si>
  <si>
    <t>Longchi Zhen</t>
  </si>
  <si>
    <t>Longfang Zhen [incl. Cangcun Xiang]</t>
  </si>
  <si>
    <t>Longgao Zhen [incl. Xiangmiao Xiang]</t>
  </si>
  <si>
    <t>Longjiang Jiedao [incl. Shujiaying Jiedao]</t>
  </si>
  <si>
    <t>Longjuzhai Jiedao [incl. Yueri Xiang, Ziyu Xiang]</t>
  </si>
  <si>
    <t>Longmen Zhen</t>
  </si>
  <si>
    <t>Longting Zhen [incl. Changxi Xiang]</t>
  </si>
  <si>
    <t>Longtou Zhen</t>
  </si>
  <si>
    <t>Longwang Zhen</t>
  </si>
  <si>
    <t>Longwangmiao Xiang</t>
  </si>
  <si>
    <t>Longyang Zhen</t>
  </si>
  <si>
    <t>Longzhou Zhen</t>
  </si>
  <si>
    <t>Louguan Zhen</t>
  </si>
  <si>
    <t>Louping Xiang</t>
  </si>
  <si>
    <t>Luanjiaping Xiang</t>
  </si>
  <si>
    <t>Luanzhen Jiedao</t>
  </si>
  <si>
    <t>Luanzhuang Zhen [incl. Taoping Xiang]</t>
  </si>
  <si>
    <t>Luhe Zhen [incl. Guihua Xiang]</t>
  </si>
  <si>
    <t>Lujing Zhen</t>
  </si>
  <si>
    <t>Luobin Zhen</t>
  </si>
  <si>
    <t>Luofu Zhen [Fushui Zhen]</t>
  </si>
  <si>
    <t>Luohe Zhen</t>
  </si>
  <si>
    <t>Luojiaba Zhen</t>
  </si>
  <si>
    <t>Luojiawa Xiang</t>
  </si>
  <si>
    <t>Luoyu Zhen</t>
  </si>
  <si>
    <t>Luoyuan Zhen</t>
  </si>
  <si>
    <t>Luozishan Zhen</t>
  </si>
  <si>
    <t>Luqiao Zhen</t>
  </si>
  <si>
    <t>Luyuan Jiedao</t>
  </si>
  <si>
    <t>Ma Zhen</t>
  </si>
  <si>
    <t>Macha Zhen [incl. Huaishucha Xiang]</t>
  </si>
  <si>
    <t>Machang Zhen</t>
  </si>
  <si>
    <t>Madao Zhen</t>
  </si>
  <si>
    <t>Madongchuan Zhen</t>
  </si>
  <si>
    <t>Ma'e Jiedao</t>
  </si>
  <si>
    <t>Mafang Zhen [incl. Yujiagong Xiang, Duma Xiang]</t>
  </si>
  <si>
    <t>Mahe Zhen</t>
  </si>
  <si>
    <t>Mahu Zhen</t>
  </si>
  <si>
    <t>Mahuangliang Zhen</t>
  </si>
  <si>
    <t>Majiabian Zhen</t>
  </si>
  <si>
    <t>Majiachuan Xiang</t>
  </si>
  <si>
    <t>Majiata Xiang</t>
  </si>
  <si>
    <t>Majiatai Xiang</t>
  </si>
  <si>
    <t>Majiawan Xiang</t>
  </si>
  <si>
    <t>Majiazhuang Xiang</t>
  </si>
  <si>
    <t>Majie Zhen</t>
  </si>
  <si>
    <t>Malan Zhen</t>
  </si>
  <si>
    <t>Malian Zhen</t>
  </si>
  <si>
    <t>Maliu Zhen</t>
  </si>
  <si>
    <t>Maliutan Xiang</t>
  </si>
  <si>
    <t>Manchuanguan Zhen</t>
  </si>
  <si>
    <t>Mantangchuan Zhen</t>
  </si>
  <si>
    <t>Maoba Zhen [incl. Lianhe Xiang]</t>
  </si>
  <si>
    <t>Maobahe Zhen</t>
  </si>
  <si>
    <t>Maoligang Xiang</t>
  </si>
  <si>
    <t>Maoping Huizu Zhen</t>
  </si>
  <si>
    <t>Maoping Zhen (Ankang Shi)</t>
  </si>
  <si>
    <t>Maoping Zhen (Hanzhong Shi)</t>
  </si>
  <si>
    <t>Maping Zhen (Ankang Shi)</t>
  </si>
  <si>
    <t>Maping Zhen (Shangluo Shi)</t>
  </si>
  <si>
    <t>Maquan Jiedao</t>
  </si>
  <si>
    <t>Matigou Zhen</t>
  </si>
  <si>
    <t>Matiwan Zhen</t>
  </si>
  <si>
    <t>Mawang Jiedao</t>
  </si>
  <si>
    <t>Mawei Jiedao</t>
  </si>
  <si>
    <t>Maying Zhen</t>
  </si>
  <si>
    <t>Mazhao Zhen</t>
  </si>
  <si>
    <t>Mazhuang Jiedao</t>
  </si>
  <si>
    <t>Meijiaping Zhen</t>
  </si>
  <si>
    <t>Meishui Jiedao [Chengguan Zhen]</t>
  </si>
  <si>
    <t>Meiyuan Zhen</t>
  </si>
  <si>
    <t>Meizi Zhen</t>
  </si>
  <si>
    <t>Mengcun Zhen</t>
  </si>
  <si>
    <t>Mengjiawan Xiang</t>
  </si>
  <si>
    <t>Mengshiling Zhen</t>
  </si>
  <si>
    <t>Mengyuan Zhen</t>
  </si>
  <si>
    <t>Mianyang Jiedao</t>
  </si>
  <si>
    <t>Miaogou Zhen (Shangluo Shi)</t>
  </si>
  <si>
    <t>Miaogou Zhen (Yan'an Shi)</t>
  </si>
  <si>
    <t>Miaogoumen Zhen</t>
  </si>
  <si>
    <t>Miaohe Xiang</t>
  </si>
  <si>
    <t>Miaojiaping Zhen</t>
  </si>
  <si>
    <t>Miaoping Xiang</t>
  </si>
  <si>
    <t>Miaowan Zhen [incl. Liulin Zhen]</t>
  </si>
  <si>
    <t>Miganqiao Zhen</t>
  </si>
  <si>
    <t>Miliang Zhen</t>
  </si>
  <si>
    <t>Mingdu Jiedao</t>
  </si>
  <si>
    <t>Mingzhou Zhen [incl. Jiuyuangou Xiang]</t>
  </si>
  <si>
    <t>Minzhu Zhen [incl. Tielu Xiang]</t>
  </si>
  <si>
    <t>Mizi Xiang</t>
  </si>
  <si>
    <t>Moujiaba Zhen [incl. Gaojialing Xiang]</t>
  </si>
  <si>
    <t>Moziqiao Zhen</t>
  </si>
  <si>
    <t>Mugua Zhen</t>
  </si>
  <si>
    <t>Muhuguan Zhen [incl. Heilongkou Zhen]</t>
  </si>
  <si>
    <t>Mutouyu Zhen</t>
  </si>
  <si>
    <t>Muwang Zhen [incl. Yangsi Xiang]</t>
  </si>
  <si>
    <t>Muyi Zhen</t>
  </si>
  <si>
    <t>Muzhai Jiedao</t>
  </si>
  <si>
    <t>Nandaode Xiang</t>
  </si>
  <si>
    <t>Nanfang Zhen</t>
  </si>
  <si>
    <t>Nangongshan Zhen [incl. Huali Zhen, Yihe Xiang]</t>
  </si>
  <si>
    <t>Nangoucha Zhen</t>
  </si>
  <si>
    <t>Nanhegou Xiang</t>
  </si>
  <si>
    <t>Nankuanping Zhen</t>
  </si>
  <si>
    <t>Nanniwan Zhen</t>
  </si>
  <si>
    <t>Nanping Xiang</t>
  </si>
  <si>
    <t>Nanshe Xiang</t>
  </si>
  <si>
    <t>Nanshi Jiedao</t>
  </si>
  <si>
    <t>Nanshi Xiang</t>
  </si>
  <si>
    <t>Nanshi Zhen</t>
  </si>
  <si>
    <t>Nanta Xiang</t>
  </si>
  <si>
    <t>Nantou Xiang</t>
  </si>
  <si>
    <t>Nanwei Zhen</t>
  </si>
  <si>
    <t>Nanxi Xiang</t>
  </si>
  <si>
    <t>Nanyang Zhen</t>
  </si>
  <si>
    <t>Nanyuanmen Jiedao</t>
  </si>
  <si>
    <t>Nanzhai Zhen</t>
  </si>
  <si>
    <t>Nanzhihui Zhen</t>
  </si>
  <si>
    <t>Nianqiao Zhen</t>
  </si>
  <si>
    <t>Nianzi Zhen</t>
  </si>
  <si>
    <t>Ningtiaoliang Zhen</t>
  </si>
  <si>
    <t>Niujialiang Zhen</t>
  </si>
  <si>
    <t>Niuti Zhen</t>
  </si>
  <si>
    <t>Niutoudian Zhen</t>
  </si>
  <si>
    <t>Niuwu Zhen</t>
  </si>
  <si>
    <t>Nuwashan Xiang</t>
  </si>
  <si>
    <t>Pangguang Jiedao</t>
  </si>
  <si>
    <t>Panlong Xiang (Hanzhong Shi)</t>
  </si>
  <si>
    <t>Panlong Xiang (Weinan Shi)</t>
  </si>
  <si>
    <t>Panlong Zhen (Baoji Shi)</t>
  </si>
  <si>
    <t>Panlong Zhen (Yan'an Shi)</t>
  </si>
  <si>
    <t>Panxi Zhen</t>
  </si>
  <si>
    <t>Paoli Jiedao</t>
  </si>
  <si>
    <t>Peijiawan Zhen</t>
  </si>
  <si>
    <t>Peng Zhen</t>
  </si>
  <si>
    <t>Penggong Zhen</t>
  </si>
  <si>
    <t>Ping'an Zhen</t>
  </si>
  <si>
    <t>Pingkan Zhen</t>
  </si>
  <si>
    <t>Pingliang Zhen [incl. Jiudian Zhen]</t>
  </si>
  <si>
    <t>Pinglumiao Xiang</t>
  </si>
  <si>
    <t>Pingmu Zhen</t>
  </si>
  <si>
    <t>Pingqiao Zhen</t>
  </si>
  <si>
    <t>Pingtou Zhen</t>
  </si>
  <si>
    <t>Pingxin Xiang</t>
  </si>
  <si>
    <t>Potou Jiedao</t>
  </si>
  <si>
    <t>Potou Zhen</t>
  </si>
  <si>
    <t>Poxi Zhen [incl. Anle Zhen]</t>
  </si>
  <si>
    <t>Pu Zhen</t>
  </si>
  <si>
    <t>Pucun Zhen</t>
  </si>
  <si>
    <t>Puhua Zhen</t>
  </si>
  <si>
    <t>Puji Jiedao [incl. Nanren Xiang]</t>
  </si>
  <si>
    <t>Puti Zhen</t>
  </si>
  <si>
    <t>Puxi Zhen</t>
  </si>
  <si>
    <t>Puyu Xiang</t>
  </si>
  <si>
    <t>Qi Zhen</t>
  </si>
  <si>
    <t>Qiachuan Zhen</t>
  </si>
  <si>
    <t>Qiandong Zhen</t>
  </si>
  <si>
    <t>Qian'er Xiang</t>
  </si>
  <si>
    <t>Qiangbai Zhen [incl. Bayu Xiang]</t>
  </si>
  <si>
    <t>Qiangtou Xiang</t>
  </si>
  <si>
    <t>Qianhe Zhen</t>
  </si>
  <si>
    <t>Qianjin Xiang</t>
  </si>
  <si>
    <t>Qiankunwan Zhen [Tugang Zhen]</t>
  </si>
  <si>
    <t>Qianwei Zhen</t>
  </si>
  <si>
    <t>Qianyou Jiedao</t>
  </si>
  <si>
    <t>Qiao Zhen</t>
  </si>
  <si>
    <t>Qiaodi Zhen</t>
  </si>
  <si>
    <t>Qiaogou Jiedao</t>
  </si>
  <si>
    <t>Qiaoling Zhen [incl. Sanhe Xiang, Dakong Xiang]</t>
  </si>
  <si>
    <t>Qiaonan Jiedao</t>
  </si>
  <si>
    <t>Qiaonan Zhen</t>
  </si>
  <si>
    <t>Qiaoshan Jiedao</t>
  </si>
  <si>
    <t>Qiaozhen Xiang</t>
  </si>
  <si>
    <t>Qicun Zhen</t>
  </si>
  <si>
    <t>Qileng Xiang</t>
  </si>
  <si>
    <t>Qili Jiedao</t>
  </si>
  <si>
    <t>Qilicun Jiedao</t>
  </si>
  <si>
    <t>Qindong Zhen</t>
  </si>
  <si>
    <t>Qindu Jiedao</t>
  </si>
  <si>
    <t>Qinghua Xiang</t>
  </si>
  <si>
    <t>Qinghua Zhen (Baoji Shi)</t>
  </si>
  <si>
    <t>Qinghua Zhen (Xi'an Shi)</t>
  </si>
  <si>
    <t>Qinghuabian Zhen [incl. Liangcun Xiang]</t>
  </si>
  <si>
    <t>Qingjiang Jiedao</t>
  </si>
  <si>
    <t>Qingmuchuan Zhen</t>
  </si>
  <si>
    <t>Qingnianlu Jiedao (Tongchuan Shi)</t>
  </si>
  <si>
    <t>Qingnianlu Jiedao (Xi'an Shi)</t>
  </si>
  <si>
    <t>Qingqiaoyi Zhen</t>
  </si>
  <si>
    <t>Qingshan Zhen</t>
  </si>
  <si>
    <t>Qingshanlu Jiedao</t>
  </si>
  <si>
    <t>Qingshu Zhen</t>
  </si>
  <si>
    <t>Qingshui Zhen (Hanzhong Shi)</t>
  </si>
  <si>
    <t>Qingshui Zhen (Yulin Shi)</t>
  </si>
  <si>
    <t>Qingtongguan Zhen</t>
  </si>
  <si>
    <t>Qinguan Xiang</t>
  </si>
  <si>
    <t>Qingyangcha Zhen</t>
  </si>
  <si>
    <t>Qingyouhe Zhen</t>
  </si>
  <si>
    <t>Qingyuan Zhen</t>
  </si>
  <si>
    <t>Qingyun Zhen [incl. Liuqianhe Xiang]</t>
  </si>
  <si>
    <t>Qinhe Zhen</t>
  </si>
  <si>
    <t>Qinling Jiedao</t>
  </si>
  <si>
    <t>Qipan Zhen</t>
  </si>
  <si>
    <t>Qishi Jiedao</t>
  </si>
  <si>
    <t>Qishuba Zhen</t>
  </si>
  <si>
    <t>Qiulin Zhen [incl. Niujiaxi Xiang]</t>
  </si>
  <si>
    <t>Qiupotou Zhen</t>
  </si>
  <si>
    <t>Qiyilu Jiedao</t>
  </si>
  <si>
    <t>Qu'an Zhen</t>
  </si>
  <si>
    <t>Qujiang Jiedao</t>
  </si>
  <si>
    <t>Qunzhonglu Jiedao</t>
  </si>
  <si>
    <t>Quzi Zhen [incl. Yongtai Xiang]</t>
  </si>
  <si>
    <t>Raofeng Zhen</t>
  </si>
  <si>
    <t>Rencun Zhen</t>
  </si>
  <si>
    <t>Renhekou Zhen</t>
  </si>
  <si>
    <t>Renliu Jiedao</t>
  </si>
  <si>
    <t>Renmin Jiedao</t>
  </si>
  <si>
    <t>Renminlu Jiedao</t>
  </si>
  <si>
    <t>Renzong Jiedao</t>
  </si>
  <si>
    <t>Resiwan Xiang</t>
  </si>
  <si>
    <t>Rougu Zhen</t>
  </si>
  <si>
    <t>Run Zhen [incl. Bujia Xiang]</t>
  </si>
  <si>
    <t>Sancha Zhen</t>
  </si>
  <si>
    <t>Sanchahe Zhen</t>
  </si>
  <si>
    <t>Sanchuankou Zhen</t>
  </si>
  <si>
    <t>Sandaogou Zhen</t>
  </si>
  <si>
    <t>Sang Zhen</t>
  </si>
  <si>
    <t>Sangshuping Zhen [incl. Wangfeng Xiang]</t>
  </si>
  <si>
    <t>Sangshuyuan Xiang</t>
  </si>
  <si>
    <t>Sanguanmiao Zhen [incl. Jinshan Xiang]</t>
  </si>
  <si>
    <t>Sangxi Zhen</t>
  </si>
  <si>
    <t>Sangyuan Zhen</t>
  </si>
  <si>
    <t>Sangyuanba Xiang</t>
  </si>
  <si>
    <t>Sanhe Zhen</t>
  </si>
  <si>
    <t>Sanhuashi Xiang</t>
  </si>
  <si>
    <t>Sanli Zhen</t>
  </si>
  <si>
    <t>Sanlidong Jiedao</t>
  </si>
  <si>
    <t>Sanqiao Jiedao</t>
  </si>
  <si>
    <t>Sanqu Zhen</t>
  </si>
  <si>
    <t>Sanyang Zhen</t>
  </si>
  <si>
    <t>Sanyao Zhen</t>
  </si>
  <si>
    <t>Sanyuan Zhen</t>
  </si>
  <si>
    <t>Sanzhang Zhen</t>
  </si>
  <si>
    <t>Sehepu Zhen [incl. Yuanzijie Zhen]</t>
  </si>
  <si>
    <t>Shadi Xiang</t>
  </si>
  <si>
    <t>Shahe Zhen</t>
  </si>
  <si>
    <t>Shaheying Zhen</t>
  </si>
  <si>
    <t>Shahezi Zhen</t>
  </si>
  <si>
    <t>Shajia'ao Xiang</t>
  </si>
  <si>
    <t>Shajiadian Zhen</t>
  </si>
  <si>
    <t>Shamao Zhen</t>
  </si>
  <si>
    <t>Shang Zhen</t>
  </si>
  <si>
    <t>Shangcun Zhen</t>
  </si>
  <si>
    <t>Shangjunlu Jiedao</t>
  </si>
  <si>
    <t>Shanglin Jiedao [Fengdong Jiedao]</t>
  </si>
  <si>
    <t>Shangyanwan Zhen [incl. Qingquan Zhen]</t>
  </si>
  <si>
    <t>Shangyuanguan Zhen</t>
  </si>
  <si>
    <t>Shangzhu Zhen</t>
  </si>
  <si>
    <t>Shanhua Xiang</t>
  </si>
  <si>
    <t>Shenba Zhen</t>
  </si>
  <si>
    <t>Shengshui Zhen</t>
  </si>
  <si>
    <t>Shenhe Zhen</t>
  </si>
  <si>
    <t>Shenmu Zhen</t>
  </si>
  <si>
    <t>Shennong Zhen</t>
  </si>
  <si>
    <t>Shibao Zhen</t>
  </si>
  <si>
    <t>Shicao Xiang</t>
  </si>
  <si>
    <t>Shide Zhen</t>
  </si>
  <si>
    <t>Shidonggou Zhen</t>
  </si>
  <si>
    <t>Shidunhe Zhen</t>
  </si>
  <si>
    <t>Shifosi Xiang [→ Xizhaochuan Zhen, Manchuanguan Zhen]</t>
  </si>
  <si>
    <t>Shigu Zhen</t>
  </si>
  <si>
    <t>Shiguan Xiang</t>
  </si>
  <si>
    <t>Shiguan Zhen</t>
  </si>
  <si>
    <t>Shijiawan Zhen</t>
  </si>
  <si>
    <t>Shijiayuan Xiang</t>
  </si>
  <si>
    <t>Shijing Zhen</t>
  </si>
  <si>
    <t>Shijuyi Zhen</t>
  </si>
  <si>
    <t>Shiliping Zhen</t>
  </si>
  <si>
    <t>Shilipu Jiedao (Baoji Shi)</t>
  </si>
  <si>
    <t>Shilipu Jiedao (Shangluo Shi)</t>
  </si>
  <si>
    <t>Shilipu Jiedao (Xi'an Shi)</t>
  </si>
  <si>
    <t>Shiliyuan Zhen [incl. Majia Zhen]</t>
  </si>
  <si>
    <t>Shima Zhen</t>
  </si>
  <si>
    <t>Shimen Zhen (Ankang Shi)</t>
  </si>
  <si>
    <t>Shimen Zhen (Shangluo Shi)</t>
  </si>
  <si>
    <t>Shimen Zhen (Yan'an Shi)</t>
  </si>
  <si>
    <t>Shimen Zhen [incl. Hengxi Xiang]</t>
  </si>
  <si>
    <t>Shipo Zhen</t>
  </si>
  <si>
    <t>Shiqiao Zhen [incl. Qinzhuang Zhen]</t>
  </si>
  <si>
    <t>Shiquan Xiang</t>
  </si>
  <si>
    <t>Shitan Zhen</t>
  </si>
  <si>
    <t>Shiti Zhen</t>
  </si>
  <si>
    <t>Shitiaojie Xiang</t>
  </si>
  <si>
    <t>Shitou Zhen [incl. Zhuniu Xiang]</t>
  </si>
  <si>
    <t>Shiwan Zhen</t>
  </si>
  <si>
    <t>Shiyaogou Xiang</t>
  </si>
  <si>
    <t>Shizhu Zhen [incl. Yanchi Xiang]</t>
  </si>
  <si>
    <t>Shoufeng Xiang</t>
  </si>
  <si>
    <t>Shoushan Jiedao</t>
  </si>
  <si>
    <t>Shoushui Xiang</t>
  </si>
  <si>
    <t>Shuang'an Zhen</t>
  </si>
  <si>
    <t>Shuangcao Xiang</t>
  </si>
  <si>
    <t>Shuangcheng Xiang</t>
  </si>
  <si>
    <t>Shuangfeng Zhen [Shuanghe Xiang]</t>
  </si>
  <si>
    <t>Shuanghe Zhen</t>
  </si>
  <si>
    <t>Shuanghe Zhen [incl. Miaoping Xiang]</t>
  </si>
  <si>
    <t>Shuanghekou Zhen [incl. Longya Zhen]</t>
  </si>
  <si>
    <t>Shuanghuyu Jiedao</t>
  </si>
  <si>
    <t>Shuanglong Zhen (Ankang Shi)</t>
  </si>
  <si>
    <t>Shuanglong Zhen (Yan'an Shi)</t>
  </si>
  <si>
    <t>Shuangqiao Zhen</t>
  </si>
  <si>
    <t>Shuangquan Zhen</t>
  </si>
  <si>
    <t>Shuangru Zhen</t>
  </si>
  <si>
    <t>Shuangshipu Zhen</t>
  </si>
  <si>
    <t>Shuangwang Jiedao</t>
  </si>
  <si>
    <t>Shuangxi Xiang</t>
  </si>
  <si>
    <t>Shuangxi Zhen</t>
  </si>
  <si>
    <t>Shuangzhao Jiedao</t>
  </si>
  <si>
    <t>Shuhe Zhen [incl. Lantan Xiang]</t>
  </si>
  <si>
    <t>Shuidiwan Xiang</t>
  </si>
  <si>
    <t>Shuigou Zhen [incl. Shigou Xiang]</t>
  </si>
  <si>
    <t>Shuikou Zhen [incl. Didian Xiang]</t>
  </si>
  <si>
    <t>Shuimo Zhen</t>
  </si>
  <si>
    <t>Shujiaba Zhen</t>
  </si>
  <si>
    <t>Shunning Zhen</t>
  </si>
  <si>
    <t>Shuping Zhen [incl. Xiaoshuhe Xiang]</t>
  </si>
  <si>
    <t>Sidu Zhen</t>
  </si>
  <si>
    <t>Si'er Zhen</t>
  </si>
  <si>
    <t>Sihao Jiedao [incl. Xiewan Xiang]</t>
  </si>
  <si>
    <t>Siji Zhen</t>
  </si>
  <si>
    <t>Simudi Zhen</t>
  </si>
  <si>
    <t>Siping Zhen</t>
  </si>
  <si>
    <t>Siqian Zhen</t>
  </si>
  <si>
    <t>Sishang Xiang</t>
  </si>
  <si>
    <t>Sishilipu Zhen [incl. Sishipu Zhen, Zhaojiabian Xiang]</t>
  </si>
  <si>
    <t>Situn Zhen [incl. Houjiacun Xiang]</t>
  </si>
  <si>
    <t>Siwan Xiang</t>
  </si>
  <si>
    <t>Sixian Zhen</t>
  </si>
  <si>
    <t>Sixin Xiang</t>
  </si>
  <si>
    <t>Sizhu Zhen</t>
  </si>
  <si>
    <t>Songjia Zhen</t>
  </si>
  <si>
    <t>Songjiachuan Jiedao</t>
  </si>
  <si>
    <t>Songshulin Xiang</t>
  </si>
  <si>
    <t>Sucun Zhen</t>
  </si>
  <si>
    <t>Sufang Zhen (Weinan Shi)</t>
  </si>
  <si>
    <t>Sufang Zhen (Xianyang Shi)</t>
  </si>
  <si>
    <t>Sun Zhen [incl. Dongchen Zhen]</t>
  </si>
  <si>
    <t>Sunjiacha Zhen</t>
  </si>
  <si>
    <t>Sunping Zhen</t>
  </si>
  <si>
    <t>Sunyuan Zhen</t>
  </si>
  <si>
    <t>Tai'an Zhen</t>
  </si>
  <si>
    <t>Taibai Xiang</t>
  </si>
  <si>
    <t>Taibaihe Zhen</t>
  </si>
  <si>
    <t>Taicun Zhen [incl. Chidao Xiang]</t>
  </si>
  <si>
    <t>Taihezhai Xiang</t>
  </si>
  <si>
    <t>Taihualu Jiedao (Weinan Shi)</t>
  </si>
  <si>
    <t>Taihualu Jiedao (Xi'an Shi)</t>
  </si>
  <si>
    <t>Taiping Zhen</t>
  </si>
  <si>
    <t>Taishanmiao Zhen</t>
  </si>
  <si>
    <t>Taixian Xiang</t>
  </si>
  <si>
    <t>Taiyangling Zhen [incl. Cangshe Xiang]</t>
  </si>
  <si>
    <t>Taiyao Zhen</t>
  </si>
  <si>
    <t>Taiyigong Jiedao</t>
  </si>
  <si>
    <t>Taiyilu Jiedao</t>
  </si>
  <si>
    <t>Taiyu Zhen</t>
  </si>
  <si>
    <t>Tanba Zhen</t>
  </si>
  <si>
    <t>Tangcun Xiang</t>
  </si>
  <si>
    <t>Tangfang Zhen</t>
  </si>
  <si>
    <t>Tangping Zhen</t>
  </si>
  <si>
    <t>Tangyu Zhen</t>
  </si>
  <si>
    <t>Tangyu Zhen [incl. Shijiazhai Xiang]</t>
  </si>
  <si>
    <t>Tangzang Zhen</t>
  </si>
  <si>
    <t>Tanjia Jiedao</t>
  </si>
  <si>
    <t>Tao Zhen</t>
  </si>
  <si>
    <t>Taochuan Zhen</t>
  </si>
  <si>
    <t>Taohe Zhen</t>
  </si>
  <si>
    <t>Taoxia Zhen</t>
  </si>
  <si>
    <t>Taoyuan Jiedao</t>
  </si>
  <si>
    <t>Taoyuan Xiang</t>
  </si>
  <si>
    <t>Taoyuanlu Jiedao</t>
  </si>
  <si>
    <t>Tawan Zhen</t>
  </si>
  <si>
    <t>Tianba Xiang</t>
  </si>
  <si>
    <t>Tianba Xiang [→ Jihe Zhen, Yanba Zhen]</t>
  </si>
  <si>
    <t>Tianbaolu Jiedao</t>
  </si>
  <si>
    <t>Tiancheng Zhen</t>
  </si>
  <si>
    <t>Tianciwan Zhen [incl. Qiaogouwan Xiang]</t>
  </si>
  <si>
    <t>Tiandu Zhen</t>
  </si>
  <si>
    <t>Tianhe Xiang</t>
  </si>
  <si>
    <t>Tianjiazhai Zhen</t>
  </si>
  <si>
    <t>Tianjiazhuang Zhen</t>
  </si>
  <si>
    <t>Tianming Zhen</t>
  </si>
  <si>
    <t>Tianshi Zhen</t>
  </si>
  <si>
    <t>Tiantang Zhen</t>
  </si>
  <si>
    <t>Tianwang Zhen</t>
  </si>
  <si>
    <t>Tianzhuang Zhen</t>
  </si>
  <si>
    <t>Tianzhuang Zhen [incl. Houzhuang Xiang]</t>
  </si>
  <si>
    <t>Tianzhushan Zhen [Changgou Zhen]</t>
  </si>
  <si>
    <t>Tiebiancheng Zhen</t>
  </si>
  <si>
    <t>Tiechang Zhen</t>
  </si>
  <si>
    <t>Tiefosi Zhen</t>
  </si>
  <si>
    <t>Tielu Jiedao</t>
  </si>
  <si>
    <t>Tiesuoguan Zhen</t>
  </si>
  <si>
    <t>Tiewang Zhen [incl. Qinhe Xiang]</t>
  </si>
  <si>
    <t>Tieyupu Zhen</t>
  </si>
  <si>
    <t>Tingkou Zhen [incl. Randian Xiang]</t>
  </si>
  <si>
    <t>Tong Zhen</t>
  </si>
  <si>
    <t>Tongchewan Zhen</t>
  </si>
  <si>
    <t>Tonggousi Zhen</t>
  </si>
  <si>
    <t>Tongjiazhuang Zhen</t>
  </si>
  <si>
    <t>Tongmu Zhen</t>
  </si>
  <si>
    <t>Tongqian Xiang</t>
  </si>
  <si>
    <t>Tongqianguan Zhen [incl. Chiyan Zhen, Shayang Xiang]</t>
  </si>
  <si>
    <t>Tongyu Zhen</t>
  </si>
  <si>
    <t>Tongyuan Jiedao [incl. Wanzi Xiang]</t>
  </si>
  <si>
    <t>Tuguanpu Xiang</t>
  </si>
  <si>
    <t>Tuji Zhen</t>
  </si>
  <si>
    <t>Tumen Jiedao</t>
  </si>
  <si>
    <t>Tumen Zhen</t>
  </si>
  <si>
    <t>Tuo'erxiang Xiang</t>
  </si>
  <si>
    <t>Tuofenglu Jiedao</t>
  </si>
  <si>
    <t>Tuoshi Zhen</t>
  </si>
  <si>
    <t>Tuqiao Zhen [incl. Zhangbasi Zhen, Paixia Xiang]</t>
  </si>
  <si>
    <t>Wafangkou Zhen</t>
  </si>
  <si>
    <t>Wamiao Zhen</t>
  </si>
  <si>
    <t>Wan Zhen</t>
  </si>
  <si>
    <t>Wangchuan Zhen [incl. Yuchuan Xiang]</t>
  </si>
  <si>
    <t>Wangcun Zhen (Weinan Shi)</t>
  </si>
  <si>
    <t>Wangcun Zhen (Xianyang Shi)</t>
  </si>
  <si>
    <t>Wangjiabian Zhen</t>
  </si>
  <si>
    <t>Wangjiadun Xiang</t>
  </si>
  <si>
    <t>Wangjiahe Jiedao</t>
  </si>
  <si>
    <t>Wangjiahe Zhen</t>
  </si>
  <si>
    <t>Wangjialeng Zhen</t>
  </si>
  <si>
    <t>Wangjiawan Xiang</t>
  </si>
  <si>
    <t>Wangling Xiang</t>
  </si>
  <si>
    <t>Wangmang Jiedao</t>
  </si>
  <si>
    <t>Wangpanshan Xiang</t>
  </si>
  <si>
    <t>Wangqiao Zhen</t>
  </si>
  <si>
    <t>Wangqu Jiedao</t>
  </si>
  <si>
    <t>Wangquze Zhen</t>
  </si>
  <si>
    <t>Wangshi'ao Jiedao</t>
  </si>
  <si>
    <t>Wangsi Jiedao</t>
  </si>
  <si>
    <t>Wangwazi Xiang</t>
  </si>
  <si>
    <t>Wangyan Zhen [incl. Tianqiao Xiang]</t>
  </si>
  <si>
    <t>Wangyao Xiang</t>
  </si>
  <si>
    <t>Wangyi Jiedao</t>
  </si>
  <si>
    <t>Wangzhuang Xiang</t>
  </si>
  <si>
    <t>Wangzhuang Zhen [incl. Liujiawa Xiang]</t>
  </si>
  <si>
    <t>Wanhuashan Zhen</t>
  </si>
  <si>
    <t>Wayaobao Jiedao</t>
  </si>
  <si>
    <t>Wazijie Zhen</t>
  </si>
  <si>
    <t>Weibin Jiedao</t>
  </si>
  <si>
    <t>Weicheng Jiedao</t>
  </si>
  <si>
    <t>Weifeng Zhen</t>
  </si>
  <si>
    <t>Weijialou Zhen</t>
  </si>
  <si>
    <t>Weijiaqiao Xiang</t>
  </si>
  <si>
    <t>Weilin Zhen</t>
  </si>
  <si>
    <t>Weiqu Jiedao</t>
  </si>
  <si>
    <t>Weiyang Jiedao</t>
  </si>
  <si>
    <t>Weiyanggong Jiedao</t>
  </si>
  <si>
    <t>Weiyangxilu Jiedao</t>
  </si>
  <si>
    <t>Weiyu Xiang</t>
  </si>
  <si>
    <t>Weizhai Jiedao</t>
  </si>
  <si>
    <t>Weizhuang Zhen</t>
  </si>
  <si>
    <t>Wen'anyi Zhen [incl. Yuju Zhen]</t>
  </si>
  <si>
    <t>Wenchuan Zhen</t>
  </si>
  <si>
    <t>Wenhui Jiedao [Wenhuilu Jiedao]</t>
  </si>
  <si>
    <t>Wenjiapo Xiang</t>
  </si>
  <si>
    <t>Wenquan Zhen</t>
  </si>
  <si>
    <t>Wenshui Zhen [incl. Huoshaozhai Zhen, Lijiahe Xiang]</t>
  </si>
  <si>
    <t>Wenyilu Jiedao</t>
  </si>
  <si>
    <t>Wolongsi Jiedao</t>
  </si>
  <si>
    <t>Wu Zhen</t>
  </si>
  <si>
    <t>Wu Zhen [incl. Liujiashan Xiang]</t>
  </si>
  <si>
    <t>Wubao Xiang</t>
  </si>
  <si>
    <t>Wucangbao Zhen</t>
  </si>
  <si>
    <t>Wudu Zhen</t>
  </si>
  <si>
    <t>Wugong Zhen</t>
  </si>
  <si>
    <t>Wuguan Zhen [incl. Beizhaochuan Xiang]</t>
  </si>
  <si>
    <t>Wuguanyi Zhen</t>
  </si>
  <si>
    <t>Wugucheng Zhen</t>
  </si>
  <si>
    <t>Wuhou Zhen</t>
  </si>
  <si>
    <t>Wujiabao Jiedao</t>
  </si>
  <si>
    <t>Wujiazhuang Zhen</t>
  </si>
  <si>
    <t>Wujing Zhen</t>
  </si>
  <si>
    <t>Wuli Zhen [incl. Huayuan Xiang, Fuqiang Xiang]</t>
  </si>
  <si>
    <t>Wuli Zhen [incl. Xicun Xiang]</t>
  </si>
  <si>
    <t>Wulongdong Zhen [Jiuzhongjin Xiang]</t>
  </si>
  <si>
    <t>Wumaozi Xiang</t>
  </si>
  <si>
    <t>Wuqi Jiedao</t>
  </si>
  <si>
    <t>Wuquan Zhen</t>
  </si>
  <si>
    <t>Wutai Jiedao</t>
  </si>
  <si>
    <t>Wutun Jiedao</t>
  </si>
  <si>
    <t>Wuxiang Zhen</t>
  </si>
  <si>
    <t>Wuxing Jiedao</t>
  </si>
  <si>
    <t>Wuzhangyuan Zhen</t>
  </si>
  <si>
    <t>Wuzhu Jiedao [incl. Cangyou Xiang]</t>
  </si>
  <si>
    <t>Wuzhu Xiang</t>
  </si>
  <si>
    <t>Xi Zhen [incl. Kangjiagang Xiang]</t>
  </si>
  <si>
    <t>Xiagui Zhen [Xiaji Zhen]</t>
  </si>
  <si>
    <t>Xiakou Zhen</t>
  </si>
  <si>
    <t>Xiakouyi Zhen</t>
  </si>
  <si>
    <t>Xialiang Zhen [incl. Shiweng Zhen]</t>
  </si>
  <si>
    <t>Xiamiao Zhen</t>
  </si>
  <si>
    <t>Xianfenglu Jiedao</t>
  </si>
  <si>
    <t>Xianggong Zhen</t>
  </si>
  <si>
    <t>Xianghe Zhen [incl. Bailang Zhen]</t>
  </si>
  <si>
    <t>Xiangong Zhen</t>
  </si>
  <si>
    <t>Xiangqiao Jiedao</t>
  </si>
  <si>
    <t>Xiangquan Zhen</t>
  </si>
  <si>
    <t>Xiangshan Xiang [→ Datong Zhen, Liushui Zhen]</t>
  </si>
  <si>
    <t>Xiangshui Zhen</t>
  </si>
  <si>
    <t>Xiangyang Jiedao</t>
  </si>
  <si>
    <t>Xiangyang Zhen</t>
  </si>
  <si>
    <t>Xianhe Zhen</t>
  </si>
  <si>
    <t>Xianianlipu Zhen [incl. Shuangmiaohe Xiang]</t>
  </si>
  <si>
    <t>Xiantaiba Zhen</t>
  </si>
  <si>
    <t>Xiaobianhe Xiang</t>
  </si>
  <si>
    <t>Xiaocun Zhen [incl. Pujijie Xiang]</t>
  </si>
  <si>
    <t>Xiaodao Xiang</t>
  </si>
  <si>
    <t>Xiaohaotu Xiang</t>
  </si>
  <si>
    <t>Xiaohe Zhen (Hanzhong Shi)</t>
  </si>
  <si>
    <t>Xiaohe Zhen (Yulin Shi)</t>
  </si>
  <si>
    <t>Xiaohe Zhen [incl. Gongguan Xiang]</t>
  </si>
  <si>
    <t>Xiaohekou Zhen [incl. Eryuhe Xiang]</t>
  </si>
  <si>
    <t>Xiaohemiao Xiang</t>
  </si>
  <si>
    <t>Xiaojihan Zhen</t>
  </si>
  <si>
    <t>Xiaojin Jiedao</t>
  </si>
  <si>
    <t>Xiaoling Zhen</t>
  </si>
  <si>
    <t>Xiaonanhai Zhen</t>
  </si>
  <si>
    <t>Xiaoqiu Zhen</t>
  </si>
  <si>
    <t>Xiaoyang Zhen</t>
  </si>
  <si>
    <t>Xiaoyi Zhen (Shangluo Shi)</t>
  </si>
  <si>
    <t>Xiaoyi Zhen (Weinan Shi)</t>
  </si>
  <si>
    <t>Xiaozhai Zhen</t>
  </si>
  <si>
    <t>Xiaozhailu Jiedao</t>
  </si>
  <si>
    <t>Xiashi Zhen</t>
  </si>
  <si>
    <t>Xiasiwan Zhen</t>
  </si>
  <si>
    <t>Xiazhai Zhen</t>
  </si>
  <si>
    <t>Xichahe Zhen</t>
  </si>
  <si>
    <t>Xicheng Jiedao</t>
  </si>
  <si>
    <t>Xiecun Zhen</t>
  </si>
  <si>
    <t>Xiehu Zhen</t>
  </si>
  <si>
    <t>Xiekou Jiedao</t>
  </si>
  <si>
    <t>Xiema Xiang</t>
  </si>
  <si>
    <t>Xieshui Zhen</t>
  </si>
  <si>
    <t>Xigou Xiang</t>
  </si>
  <si>
    <t>Xigu Zhen</t>
  </si>
  <si>
    <t>Xiguan Jiedao (Baoji Shi)</t>
  </si>
  <si>
    <t>Xiguan Jiedao (Xi'an Shi)</t>
  </si>
  <si>
    <t>Xihe Zhen</t>
  </si>
  <si>
    <t>Xihuaiba Zhen</t>
  </si>
  <si>
    <t>Xikou Huizu Zhen</t>
  </si>
  <si>
    <t>Xilanlu Jiedao</t>
  </si>
  <si>
    <t>Xiliu Jiedao</t>
  </si>
  <si>
    <t>Ximawan Zhen</t>
  </si>
  <si>
    <t>Xin'anbian Zhen</t>
  </si>
  <si>
    <t>Xinba Xiang</t>
  </si>
  <si>
    <t>Xinbaozi Xiang</t>
  </si>
  <si>
    <t>Xinchang Zhen</t>
  </si>
  <si>
    <t>Xincheng Jiedao (Ankang Shi)</t>
  </si>
  <si>
    <t>Xincheng Jiedao (Weinan Shi)</t>
  </si>
  <si>
    <t>Xincheng Xiang</t>
  </si>
  <si>
    <t>Xinchi Zhen</t>
  </si>
  <si>
    <t>Xindian Xiang</t>
  </si>
  <si>
    <t>Xinfeng Jiedao</t>
  </si>
  <si>
    <t>Xing Zhen</t>
  </si>
  <si>
    <t>Xinghe Zhen</t>
  </si>
  <si>
    <t>Xinglin Zhen (Baoji Shi)</t>
  </si>
  <si>
    <t>Xinglin Zhen (Weinan Shi)</t>
  </si>
  <si>
    <t>Xinglong Jiedao</t>
  </si>
  <si>
    <t>Xinglong Zhen (Ankang Shi)</t>
  </si>
  <si>
    <t>Xinglong Zhen (Hanzhong Shi)</t>
  </si>
  <si>
    <t>Xinglong Zhen [incl. Baiwang Zhen]</t>
  </si>
  <si>
    <t>Xingping Zhen [incl. Chaizhuang Xiang]</t>
  </si>
  <si>
    <t>Xingzhe Jiedao</t>
  </si>
  <si>
    <t>Xingzhou Jiedao [Chengguan Zhen]</t>
  </si>
  <si>
    <t>Xinhe Jiedao</t>
  </si>
  <si>
    <t>Xinhualu Jiedao</t>
  </si>
  <si>
    <t>Xinji Zhen [incl. Renshui Xiang]</t>
  </si>
  <si>
    <t>Xinjiagou Zhen</t>
  </si>
  <si>
    <t>Xinjiamiao Jiedao</t>
  </si>
  <si>
    <t>Xinjichuan Zhen</t>
  </si>
  <si>
    <t>Xinjie Zhen</t>
  </si>
  <si>
    <t>Xinjiezi Zhen</t>
  </si>
  <si>
    <t>Xinmin Zhen</t>
  </si>
  <si>
    <t>Xinmin Zhen [incl. Xiaozhang Zhen, Tandian Xiang]</t>
  </si>
  <si>
    <t>Xinminglou Jiedao</t>
  </si>
  <si>
    <t>Xinpu Zhen [incl. Qingyangyi Zhen]</t>
  </si>
  <si>
    <t>Xinshi Jiedao (Weinan Shi)</t>
  </si>
  <si>
    <t>Xinshi Jiedao (Xi'an Shi)</t>
  </si>
  <si>
    <t>Xinshihe Xiang</t>
  </si>
  <si>
    <t>Xinxing Jiedao (Xianyang Shi)</t>
  </si>
  <si>
    <t>Xinxing Jiedao (Xi'an Shi)</t>
  </si>
  <si>
    <t>Xinxing Zhen</t>
  </si>
  <si>
    <t>Xinyang Zhen</t>
  </si>
  <si>
    <t>Xinyi Jiedao</t>
  </si>
  <si>
    <t>Xinyuan Jiedao</t>
  </si>
  <si>
    <t>Xinzhai Xiang</t>
  </si>
  <si>
    <t>Xinzhu Jiedao</t>
  </si>
  <si>
    <t>Xinzhuang Xiang</t>
  </si>
  <si>
    <t>Xipo Xiang</t>
  </si>
  <si>
    <t>Xiquan Jiedao</t>
  </si>
  <si>
    <t>Xiquan Xiang</t>
  </si>
  <si>
    <t>Xiwang Jiedao</t>
  </si>
  <si>
    <t>Xiwu Jiedao</t>
  </si>
  <si>
    <t>Xiyang Zhen</t>
  </si>
  <si>
    <t>Xiyilu Jiedao</t>
  </si>
  <si>
    <t>Xiying Zhen</t>
  </si>
  <si>
    <t>Xizhai Jiedao</t>
  </si>
  <si>
    <t>Xizhangbao Zhen</t>
  </si>
  <si>
    <t>Xizhaochuan Zhen</t>
  </si>
  <si>
    <t>Xizhuang Zhen [incl. Zancun Zhen]</t>
  </si>
  <si>
    <t>Xuanwo Zhen [incl. Shangqi Zhen]</t>
  </si>
  <si>
    <t>Xue Zhen</t>
  </si>
  <si>
    <t>Xuecha Xiang</t>
  </si>
  <si>
    <t>Xuefeng Xiang</t>
  </si>
  <si>
    <t>Xuejiahe Zhen</t>
  </si>
  <si>
    <t>Xuejiamao Zhen</t>
  </si>
  <si>
    <t>Xuelu Zhen [incl. Daqiang Xiang]</t>
  </si>
  <si>
    <t>Xuexiacun Xiang</t>
  </si>
  <si>
    <t>Xuezhuang Xiang</t>
  </si>
  <si>
    <t>Xujiaping Zhen</t>
  </si>
  <si>
    <t>Xujiawan Jiedao</t>
  </si>
  <si>
    <t>Xunjian Zhen</t>
  </si>
  <si>
    <t>Xunyangba Zhen</t>
  </si>
  <si>
    <t>Xushui Zhen</t>
  </si>
  <si>
    <t>Xuwang Zhen [incl. Xujiapo Xiang, Wangjiang Xiang]</t>
  </si>
  <si>
    <t>Xuyang Jiedao</t>
  </si>
  <si>
    <t>Xuzhuang Zhen</t>
  </si>
  <si>
    <t>Yabai Zhen</t>
  </si>
  <si>
    <t>Yake Xiang</t>
  </si>
  <si>
    <t>Yanba Zhen</t>
  </si>
  <si>
    <t>Yanchang Zhen</t>
  </si>
  <si>
    <t>Yanchangbao Zhen</t>
  </si>
  <si>
    <t>Yanchasi Xiang</t>
  </si>
  <si>
    <t>Yancun Zhen</t>
  </si>
  <si>
    <t>Yancun Zhen [incl. Shangguanfang Xiang]</t>
  </si>
  <si>
    <t>Yangchun Zhen</t>
  </si>
  <si>
    <t>Yangdi Zhen</t>
  </si>
  <si>
    <t>Yangguo Zhen</t>
  </si>
  <si>
    <t>Yanghe Zhen</t>
  </si>
  <si>
    <t>Yanghong Zhen</t>
  </si>
  <si>
    <t>Yangjiagetai Zhen</t>
  </si>
  <si>
    <t>Yangjiagou Zhen</t>
  </si>
  <si>
    <t>Yangjiahe Zhen</t>
  </si>
  <si>
    <t>Yangjiayuanze Zhen [incl. Shijiapan Xiang]</t>
  </si>
  <si>
    <t>Yangjiazhuang Xiang</t>
  </si>
  <si>
    <t>Yangjing Zhen</t>
  </si>
  <si>
    <t>Yangling Jiedao</t>
  </si>
  <si>
    <t>Yangmijian Zhen</t>
  </si>
  <si>
    <t>Yangping Zhen</t>
  </si>
  <si>
    <t>Yangpingguan Zhen</t>
  </si>
  <si>
    <t>Yangqiaopan Zhen</t>
  </si>
  <si>
    <t>Yangquan Zhen [incl. Jizixian Zhen]</t>
  </si>
  <si>
    <t>Yangtian Xiang</t>
  </si>
  <si>
    <t>Yangxie Zhen [incl. Yanchihe Xiang, Machihe Xiang]</t>
  </si>
  <si>
    <t>Yangyu Zhen</t>
  </si>
  <si>
    <t>Yangyuhe Zhen</t>
  </si>
  <si>
    <t>Yangzhou Jiedao</t>
  </si>
  <si>
    <t>Yangzhuang Jiedao</t>
  </si>
  <si>
    <t>Yanhewan Zhen</t>
  </si>
  <si>
    <t>Yanjing Xiang</t>
  </si>
  <si>
    <t>Yankou Zhen [incl. Luo Zhen]</t>
  </si>
  <si>
    <t>Yanmen Zhen</t>
  </si>
  <si>
    <t>Yanping Zhen</t>
  </si>
  <si>
    <t>Yanshuiguan Zhen</t>
  </si>
  <si>
    <t>Yanwan Xiang</t>
  </si>
  <si>
    <t>Yanxia Zhen</t>
  </si>
  <si>
    <t>Yanzibian Zhen</t>
  </si>
  <si>
    <t>Yaodian Jiedao</t>
  </si>
  <si>
    <t>Yaodian Zhen</t>
  </si>
  <si>
    <t>Yaohe Zhen</t>
  </si>
  <si>
    <t>Yaojiagou Zhen</t>
  </si>
  <si>
    <t>Yaoping Xiang</t>
  </si>
  <si>
    <t>Yaoqu Zhen</t>
  </si>
  <si>
    <t>Yaoshan Zhen [incl. Shangwang Xiang, Xiangcun Xiang]</t>
  </si>
  <si>
    <t>Yaosheng Zhen [incl. Leiyuan Xiang]</t>
  </si>
  <si>
    <t>Yaoshi Zhen</t>
  </si>
  <si>
    <t>Yaotou Zhen</t>
  </si>
  <si>
    <t>Yaoxian Xiang</t>
  </si>
  <si>
    <t>Yecun Zhen</t>
  </si>
  <si>
    <t>Yeping Zhen</t>
  </si>
  <si>
    <t>Yidian Zhen</t>
  </si>
  <si>
    <t>Yihe Zhen</t>
  </si>
  <si>
    <t>Yimen Zhen</t>
  </si>
  <si>
    <t>Yindou Zhen [incl. Qiaohecha Xiang]</t>
  </si>
  <si>
    <t>Yingfeng Xiang</t>
  </si>
  <si>
    <t>Yingfeng Zhen</t>
  </si>
  <si>
    <t>Yingge Zhen</t>
  </si>
  <si>
    <t>Yinghu Zhen</t>
  </si>
  <si>
    <t>Yingpan Zhen [incl. Lianghe Xiang, Fengbeihe Xiang]</t>
  </si>
  <si>
    <t>Yingtou Zhen</t>
  </si>
  <si>
    <t>Yingwang Xiang</t>
  </si>
  <si>
    <t>Yinhua Zhen</t>
  </si>
  <si>
    <t>Yinjiawu Xiang</t>
  </si>
  <si>
    <t>Yinlong Xiang</t>
  </si>
  <si>
    <t>Yintai Jiedao</t>
  </si>
  <si>
    <t>Yinzhen Jiedao</t>
  </si>
  <si>
    <t>Yinzhou Jiedao</t>
  </si>
  <si>
    <t>Yishui Zhen</t>
  </si>
  <si>
    <t>Yizheng Zhen</t>
  </si>
  <si>
    <t>Yong'anlu Jiedao</t>
  </si>
  <si>
    <t>Yongchuan Zhen</t>
  </si>
  <si>
    <t>Yongfeng Zhen</t>
  </si>
  <si>
    <t>Yongfeng Zhen [Zhen]</t>
  </si>
  <si>
    <t>Yongle Jiedao</t>
  </si>
  <si>
    <t>Yongle Zhen (Hanzhong Shi)</t>
  </si>
  <si>
    <t>Yongle Zhen (Xianyang Shi)</t>
  </si>
  <si>
    <t>Yongle Zhen (Xi'an Shi)</t>
  </si>
  <si>
    <t>Yongning Xiang</t>
  </si>
  <si>
    <t>Yongning Zhen</t>
  </si>
  <si>
    <t>Yongping Zhen</t>
  </si>
  <si>
    <t>Yongping Zhen [incl. Gaojiatun Xiang, Fengjiaping Xiang]</t>
  </si>
  <si>
    <t>Yongxiang Zhen [incl. Huangzhang Xiang]</t>
  </si>
  <si>
    <t>Youfangzhuang Xiang</t>
  </si>
  <si>
    <t>Youfeng Zhen</t>
  </si>
  <si>
    <t>Youhuai Jiedao</t>
  </si>
  <si>
    <t>Yuandun Zhen</t>
  </si>
  <si>
    <t>Yuangong Zhen</t>
  </si>
  <si>
    <t>Yuanjiazhuang Jiedao</t>
  </si>
  <si>
    <t>Yuanlongsi Xiang</t>
  </si>
  <si>
    <t>Yuanren Xiang</t>
  </si>
  <si>
    <t>Yuchan Jiedao [incl. Tianqiao Xiang]</t>
  </si>
  <si>
    <t>Yudongzi Xiang</t>
  </si>
  <si>
    <t>Yudu Zhen</t>
  </si>
  <si>
    <t>Yueba Zhen</t>
  </si>
  <si>
    <t>Yuehe Zhen [incl. Dongchuan Zhen]</t>
  </si>
  <si>
    <t>Yuemiao Jiedao</t>
  </si>
  <si>
    <t>Yuhe Zhen</t>
  </si>
  <si>
    <t>Yuhemao Zhen</t>
  </si>
  <si>
    <t>Yuhuangmiao Zhen</t>
  </si>
  <si>
    <t>Yuhuazhai Jiedao</t>
  </si>
  <si>
    <t>Yujiahe Zhen [incl. Laosheke Xiang]</t>
  </si>
  <si>
    <t>Yujiaping Zhen</t>
  </si>
  <si>
    <t>Yujiawan Zhen</t>
  </si>
  <si>
    <t>Yujin Jiedao</t>
  </si>
  <si>
    <t>Yukou Xiang</t>
  </si>
  <si>
    <t>Yulan Xiang</t>
  </si>
  <si>
    <t>Yuling Xiang</t>
  </si>
  <si>
    <t>Yuling Zhen</t>
  </si>
  <si>
    <t>Yundou Zhen</t>
  </si>
  <si>
    <t>Yungaisi Zhen</t>
  </si>
  <si>
    <t>Yunmeng Xiang</t>
  </si>
  <si>
    <t>Yunwushan Zhen</t>
  </si>
  <si>
    <t>Yunyan Zhen [incl. Gelou Zhen]</t>
  </si>
  <si>
    <t>Yunyang Zhen</t>
  </si>
  <si>
    <t>Yushan Zhen</t>
  </si>
  <si>
    <t>Yuxia Jiedao</t>
  </si>
  <si>
    <t>Yuyuan Xiang</t>
  </si>
  <si>
    <t>Zaolin Zhen</t>
  </si>
  <si>
    <t>Zaolinping Zhen</t>
  </si>
  <si>
    <t>Zaoyang Zhen [incl. Gongjin Xiang]</t>
  </si>
  <si>
    <t>Zaoyuan Jiedao (Xi'an Shi)</t>
  </si>
  <si>
    <t>Zaoyuan Jiedao (Yan'an Shi)</t>
  </si>
  <si>
    <t>Zaoyuan Zhen</t>
  </si>
  <si>
    <t>Zengjia Zhen [incl. Hongshi Xiang]</t>
  </si>
  <si>
    <t>Zengjiahe Xiang</t>
  </si>
  <si>
    <t>Zengxi Zhen</t>
  </si>
  <si>
    <t>Zhangba Zhen</t>
  </si>
  <si>
    <t>Zhangbagou Jiedao</t>
  </si>
  <si>
    <t>Zhangbu Jiedao</t>
  </si>
  <si>
    <t>Zhangcun Zhen</t>
  </si>
  <si>
    <t>Zhangcunyi Zhen</t>
  </si>
  <si>
    <t>Zhanghe Xiang</t>
  </si>
  <si>
    <t>Zhanghong Zhen [incl. Yuandi Xiang]</t>
  </si>
  <si>
    <t>Zhangjia Xiang</t>
  </si>
  <si>
    <t>Zhangjiabao Jiedao</t>
  </si>
  <si>
    <t>Zhangjiabian Zhen</t>
  </si>
  <si>
    <t>Zhangjiacun Jiedao</t>
  </si>
  <si>
    <t>Zhangjiahe Zhen</t>
  </si>
  <si>
    <t>Zhangjiapan Jiedao</t>
  </si>
  <si>
    <t>Zhangjiashan Zhen</t>
  </si>
  <si>
    <t>Zhangjiatan Zhen</t>
  </si>
  <si>
    <t>Zhangjiawan Zhen</t>
  </si>
  <si>
    <t>Zhangjiayuan Zhen</t>
  </si>
  <si>
    <t>Zhangqiao Zhen</t>
  </si>
  <si>
    <t>Zhangqu Xiang</t>
  </si>
  <si>
    <t>Zhangtan Zhen</t>
  </si>
  <si>
    <t>Zhangyaoxian Zhen [incl. Baimayaoxian Xiang]</t>
  </si>
  <si>
    <t>Zhannan Jiedao</t>
  </si>
  <si>
    <t>Zhao Zhen</t>
  </si>
  <si>
    <t>Zhao'an Zhen</t>
  </si>
  <si>
    <t>Zhaochuan Zhen [incl. Weijiatai Xiang]</t>
  </si>
  <si>
    <t>Zhaocun Zhen</t>
  </si>
  <si>
    <t>Zhaodu Zhen [incl. Pingmin Xiang]</t>
  </si>
  <si>
    <t>Zhaogong Zhen</t>
  </si>
  <si>
    <t>Zhaojin Zhen</t>
  </si>
  <si>
    <t>Zhaoling Zhen [incl. Jianling Zhen]</t>
  </si>
  <si>
    <t>Zhaoren Jiedao</t>
  </si>
  <si>
    <t>Zhaoshipan Zhen</t>
  </si>
  <si>
    <t>Zhaowan Zhen</t>
  </si>
  <si>
    <t>Zhaowujiawan Xiang</t>
  </si>
  <si>
    <t>Zhaoxian Zhen</t>
  </si>
  <si>
    <t>Zhaozhuang Zhen</t>
  </si>
  <si>
    <t>Zhejiaping Zhen</t>
  </si>
  <si>
    <t>Zhenchuan Zhen (Hanzhong Shi)</t>
  </si>
  <si>
    <t>Zhenchuan Zhen (Yulin Shi)</t>
  </si>
  <si>
    <t>Zhengjia Zhen</t>
  </si>
  <si>
    <t>Zhengyang Jiedao</t>
  </si>
  <si>
    <t>Zhengyang Zhen</t>
  </si>
  <si>
    <t>Zhengyanglu Jiedao</t>
  </si>
  <si>
    <t>Zhengzhuang Zhen [incl. Guoqi Xiang]</t>
  </si>
  <si>
    <t>Zhenjing Zhen</t>
  </si>
  <si>
    <t>Zhenwudong Jiedao</t>
  </si>
  <si>
    <t>Zhenxing Jiedao</t>
  </si>
  <si>
    <t>Zhenyuan Zhen</t>
  </si>
  <si>
    <t>Zhibao Xiang</t>
  </si>
  <si>
    <t>Zhichuan Zhen [incl. Longting Zhen, Weidong Xiang]</t>
  </si>
  <si>
    <t>Zhifang Jiedao [incl. Baishi Xiang, Silang Xiang]</t>
  </si>
  <si>
    <t>Zhifang Xiang</t>
  </si>
  <si>
    <t>Zhiluo Zhen</t>
  </si>
  <si>
    <t>Zhitian Zhen</t>
  </si>
  <si>
    <t>Zhiyang Zhen [incl. Qiaozixuan Xiang]</t>
  </si>
  <si>
    <t>Zhongbao Zhen</t>
  </si>
  <si>
    <t>Zhongchang Zhen</t>
  </si>
  <si>
    <t>Zhongchi Zhen</t>
  </si>
  <si>
    <t>Zhongcun Zhen</t>
  </si>
  <si>
    <t>Zhongji Zhen</t>
  </si>
  <si>
    <t>Zhongjiao Zhen</t>
  </si>
  <si>
    <t>Zhongnan Zhen</t>
  </si>
  <si>
    <t>Zhongshan Jiedao</t>
  </si>
  <si>
    <t>Zhongshandonglu Jiedao</t>
  </si>
  <si>
    <t>Zhongshanjian Zhen</t>
  </si>
  <si>
    <t>Zhongshanjie Jiedao</t>
  </si>
  <si>
    <t>Zhongshanmen Jiedao</t>
  </si>
  <si>
    <t>Zhongshanxilu Jiedao</t>
  </si>
  <si>
    <t>Zhongyuan Zhen</t>
  </si>
  <si>
    <t>Zhongzhang Zhen [incl. Yanwang Xiang]</t>
  </si>
  <si>
    <t>Zhoucheng Zhen</t>
  </si>
  <si>
    <t>Zhouhe Zhen [incl. Wuliwan Xiang]</t>
  </si>
  <si>
    <t>Zhoujiajian Zhen</t>
  </si>
  <si>
    <t>Zhoujiashan Zhen</t>
  </si>
  <si>
    <t>Zhouling Jiedao</t>
  </si>
  <si>
    <t>Zhoutaizi Xiang</t>
  </si>
  <si>
    <t>Zhouwan Zhen</t>
  </si>
  <si>
    <t>Zhouyuan Zhen</t>
  </si>
  <si>
    <t>Zhuangli Zhen</t>
  </si>
  <si>
    <t>Zhuangtou Zhen (Weinan Shi)</t>
  </si>
  <si>
    <t>Zhuangtou Zhen (Xianyang Shi)</t>
  </si>
  <si>
    <t>Zhuanjing Zhen</t>
  </si>
  <si>
    <t>Zhuanmiao Zhen</t>
  </si>
  <si>
    <t>Zhuanyaowan Zhen</t>
  </si>
  <si>
    <t>Zhugan Zhen</t>
  </si>
  <si>
    <t>Zhuguanzhai Zhen [incl. Xinglongsi Xiang]</t>
  </si>
  <si>
    <t>Zhujiawa Zhen</t>
  </si>
  <si>
    <t>Zhulinguan Zhen</t>
  </si>
  <si>
    <t>Zhuyu Zhen</t>
  </si>
  <si>
    <t>Zibai Jiedao [Chengguan Zhen]</t>
  </si>
  <si>
    <t>Zijing Zhen [incl. Shaba Xiang, Jinghe Xiang]</t>
  </si>
  <si>
    <t>Ziqianglu Jiedao</t>
  </si>
  <si>
    <t>Ziwu Jiedao</t>
  </si>
  <si>
    <t>Ziwu Zhen</t>
  </si>
  <si>
    <t>Zongmu Xiang</t>
  </si>
  <si>
    <t>Zongxi Zhen</t>
  </si>
  <si>
    <t>Zongying Zhen</t>
  </si>
  <si>
    <t>Zu'an Zhen</t>
  </si>
  <si>
    <t>Zuolong Zhen</t>
  </si>
  <si>
    <t>Zuoxi Xiang</t>
  </si>
  <si>
    <t>Column113</t>
  </si>
  <si>
    <t>Column114</t>
  </si>
  <si>
    <t>Bănqiáo (Shāngluò)</t>
  </si>
  <si>
    <t>Bănqiáo (Wèinán)</t>
  </si>
  <si>
    <t>Bāshān (Níngqiáng)</t>
  </si>
  <si>
    <t>Bāshān (Zhènbā)</t>
  </si>
  <si>
    <t>Chéngguān (Hànyīn)</t>
  </si>
  <si>
    <t>Chéngguān (Shíquán)</t>
  </si>
  <si>
    <t>Chéngguān (Níngshăn)</t>
  </si>
  <si>
    <t>Chéngguān (Zĭyáng)</t>
  </si>
  <si>
    <t>Chéngguān (Lángāo)</t>
  </si>
  <si>
    <t>Chéngguān (Pínglì)</t>
  </si>
  <si>
    <t>Chéngguān (Zhènpíng)</t>
  </si>
  <si>
    <t>Chéngguān (Xúnyáng)</t>
  </si>
  <si>
    <t>Chéngguān (Báihé)</t>
  </si>
  <si>
    <t>Chéngguān (Fèngxiáng)</t>
  </si>
  <si>
    <t>Chéngguān (Lŏng)</t>
  </si>
  <si>
    <t>Chéngguān (Qiānyáng)</t>
  </si>
  <si>
    <t>Dàhé (Ānkāng)</t>
  </si>
  <si>
    <t>Dàhé (Hànzhōng)</t>
  </si>
  <si>
    <t>Diànshì (Héngshān)</t>
  </si>
  <si>
    <t>Diànshì (Zizhōu)</t>
  </si>
  <si>
    <t>Duànjiā (Băojī)</t>
  </si>
  <si>
    <t>Duànjiā (Wèinán)</t>
  </si>
  <si>
    <t>Gānjĭng (Wèinán)</t>
  </si>
  <si>
    <t>Gānjĭng (Xiányáng)</t>
  </si>
  <si>
    <t>Gāoqiáo (Ānkāng)</t>
  </si>
  <si>
    <t>Gāoqiáo (Yán'ān)</t>
  </si>
  <si>
    <t>Guānzhuāng (Tóngchuān)</t>
  </si>
  <si>
    <t>Guānzhuāng (Yán'ān)</t>
  </si>
  <si>
    <t>Gŭchéng (Hànzhōng)</t>
  </si>
  <si>
    <t>Gŭchéng (Yúlín)</t>
  </si>
  <si>
    <t>Hànwáng (Ānkāng)</t>
  </si>
  <si>
    <t>Hànwáng (Hànzhōng)</t>
  </si>
  <si>
    <t>Jiāngkŏu (Ānkāng)</t>
  </si>
  <si>
    <t>Jiāngkŏu (Hànzhōng)</t>
  </si>
  <si>
    <t>Liănghé (Ānkāng)</t>
  </si>
  <si>
    <t>Liănghé (Hànzhōng)</t>
  </si>
  <si>
    <t>Liănghékŏu (Xīxiāng)</t>
  </si>
  <si>
    <t>Liănghékŏu (Lüèyáng)</t>
  </si>
  <si>
    <t>Liŭlín (Băojī)</t>
  </si>
  <si>
    <t>Liŭlín (Yán'ān)</t>
  </si>
  <si>
    <t>Máopíng (Ānkāng)</t>
  </si>
  <si>
    <t>Máopíng (Hànzhōng)</t>
  </si>
  <si>
    <t>Mápíng (Ānkāng)</t>
  </si>
  <si>
    <t>Mápíng (Shāngluò)</t>
  </si>
  <si>
    <t>Miàogōu (Shāngluò)</t>
  </si>
  <si>
    <t>Miàogōu (Yán'ān)</t>
  </si>
  <si>
    <t>Pánlóng (Băojī)</t>
  </si>
  <si>
    <t>Pánlóng (Yán'ān)</t>
  </si>
  <si>
    <t>Qīnghuà (Băojī)</t>
  </si>
  <si>
    <t>Qīnghuà (Xī'ān)</t>
  </si>
  <si>
    <t>Qīngshuĭ (Hànzhōng)</t>
  </si>
  <si>
    <t>Qīngshuĭ (Yúlín)</t>
  </si>
  <si>
    <t>Shímén (Ānkāng)</t>
  </si>
  <si>
    <t>Shímén (Shāngluò)</t>
  </si>
  <si>
    <t>Shímén (Yán'ān)</t>
  </si>
  <si>
    <t>Shuānglóng (Ānkāng)</t>
  </si>
  <si>
    <t>Shuānglóng (Yán'ān)</t>
  </si>
  <si>
    <t>Sūfāng (Wèinán)</t>
  </si>
  <si>
    <t>Sūfāng (Xiányáng)</t>
  </si>
  <si>
    <t>Wángcūn (Wèinán)</t>
  </si>
  <si>
    <t>Wángcūn (Xiányáng)</t>
  </si>
  <si>
    <t>Xiăohé (Hànzhōng)</t>
  </si>
  <si>
    <t>Xiăohé (Yúlín)</t>
  </si>
  <si>
    <t>Xiàoyì (Shāngluò)</t>
  </si>
  <si>
    <t>Xiàoyì (Wèinán)</t>
  </si>
  <si>
    <t>Xìnglín (Băojī)</t>
  </si>
  <si>
    <t>Xìnglín (Wèinán)</t>
  </si>
  <si>
    <t>Xīnglóng (Ānkāng)</t>
  </si>
  <si>
    <t>Xīnglóng (Hànzhōng)</t>
  </si>
  <si>
    <t>Yŏnglè (Hànzhōng)</t>
  </si>
  <si>
    <t>Yŏnglè (Xiányáng)</t>
  </si>
  <si>
    <t>Yŏnglè (Xī'ān)</t>
  </si>
  <si>
    <t>Zhènchuān (Hànzhōng)</t>
  </si>
  <si>
    <t>Zhènchuān (Yúlín)</t>
  </si>
  <si>
    <t>Zhuāngtóu (Wèinán)</t>
  </si>
  <si>
    <t>Zhuāngtóu (Xiányáng)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</si>
</sst>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FFCC33"/>
        <bgColor indexed="64"/>
      </patternFill>
    </fill>
  </fills>
  <borders count="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left" vertical="top"/>
    </xf>
    <xf numFmtId="3" fontId="1" fillId="2" borderId="1" xfId="0" applyNumberFormat="1" applyFont="1" applyFill="1" applyBorder="1" applyAlignment="1">
      <alignment horizontal="right" vertical="top"/>
    </xf>
    <xf numFmtId="0" fontId="2" fillId="3" borderId="1" xfId="0" applyFont="1" applyFill="1" applyBorder="1" applyAlignment="1">
      <alignment horizontal="left" vertical="top"/>
    </xf>
    <xf numFmtId="3" fontId="2" fillId="3" borderId="1" xfId="0" applyNumberFormat="1" applyFont="1" applyFill="1" applyBorder="1" applyAlignment="1">
      <alignment horizontal="right" vertical="top"/>
    </xf>
    <xf numFmtId="0" fontId="2" fillId="4" borderId="2" xfId="0" applyFont="1" applyFill="1" applyBorder="1" applyAlignment="1">
      <alignment horizontal="left" vertical="top"/>
    </xf>
    <xf numFmtId="3" fontId="2" fillId="4" borderId="2" xfId="0" applyNumberFormat="1" applyFont="1" applyFill="1" applyBorder="1" applyAlignment="1">
      <alignment horizontal="right" vertical="top"/>
    </xf>
    <xf numFmtId="0" fontId="1" fillId="2" borderId="3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right" vertical="top"/>
    </xf>
    <xf numFmtId="3" fontId="1" fillId="2" borderId="3" xfId="0" applyNumberFormat="1" applyFont="1" applyFill="1" applyBorder="1" applyAlignment="1">
      <alignment horizontal="right" vertical="top"/>
    </xf>
    <xf numFmtId="3" fontId="1" fillId="2" borderId="2" xfId="0" applyNumberFormat="1" applyFont="1" applyFill="1" applyBorder="1" applyAlignment="1">
      <alignment horizontal="right" vertical="top"/>
    </xf>
    <xf numFmtId="0" fontId="1" fillId="2" borderId="0" xfId="0" applyFont="1" applyFill="1" applyAlignment="1">
      <alignment horizontal="left" vertical="top"/>
    </xf>
    <xf numFmtId="0" fontId="0" fillId="0" borderId="0" xfId="0" applyNumberFormat="1"/>
  </cellXfs>
  <cellStyles count="1">
    <cellStyle name="Normal" xfId="0" builtinId="0"/>
  </cellStyles>
  <dxfs count="141"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ght\OneDrive\Desktop\data\china\china-towns-xlsx.xlsx" TargetMode="External"/><Relationship Id="rId1" Type="http://schemas.openxmlformats.org/officeDocument/2006/relationships/externalLinkPath" Target="/Users/night/OneDrive/Desktop/data/china/china-towns-xls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na-towns-second (2)"/>
      <sheetName val="Sheet2"/>
      <sheetName val="Sheet1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64DEB5-4171-44B4-BFA9-33632EBF3264}" name="Table1" displayName="Table1" ref="A1:G170" totalsRowShown="0" headerRowDxfId="140" dataDxfId="139">
  <autoFilter ref="A1:G170" xr:uid="{8664DEB5-4171-44B4-BFA9-33632EBF3264}"/>
  <tableColumns count="7">
    <tableColumn id="1" xr3:uid="{C92E988A-1A55-42AA-BA95-6790190C5413}" name="Name" dataDxfId="138"/>
    <tableColumn id="2" xr3:uid="{202B2BF3-3D4D-43AA-8B64-70EC855A8D76}" name="Native" dataDxfId="137"/>
    <tableColumn id="3" xr3:uid="{97D12CF1-5C54-41FF-AEA1-687B8BA4F144}" name="Status" dataDxfId="136"/>
    <tableColumn id="4" xr3:uid="{B653953D-F0D1-41DD-B927-7A5879A67DA8}" name="City / District / County" dataDxfId="135"/>
    <tableColumn id="5" xr3:uid="{A9D0A0EF-42B4-4E3A-A24E-31786E741BA4}" name="Population" dataDxfId="134"/>
    <tableColumn id="6" xr3:uid="{03DDAFD7-0C51-4443-88EC-0E1A5B707074}" name="Column1" dataDxfId="133">
      <calculatedColumnFormula>VLOOKUP(D2,Table11[[Name]:[Native]],3,FALSE)</calculatedColumnFormula>
    </tableColumn>
    <tableColumn id="7" xr3:uid="{9A7B335F-DDCD-494D-ADFF-A03C08325D26}" name="Column2" dataDxfId="132">
      <calculatedColumnFormula>VLOOKUP(F2,Table11[[Native]:[Population4]],5,FALSE)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53685A-3835-4D1D-AC03-277241DD1A2A}" name="Table2" displayName="Table2" ref="A1:G140" totalsRowShown="0" headerRowDxfId="131" dataDxfId="130">
  <autoFilter ref="A1:G140" xr:uid="{7A53685A-3835-4D1D-AC03-277241DD1A2A}"/>
  <tableColumns count="7">
    <tableColumn id="1" xr3:uid="{8DCD4B86-D5C2-4F1C-A032-F60013539B6C}" name="Name" dataDxfId="129"/>
    <tableColumn id="2" xr3:uid="{0DD6D411-7210-473B-AEC6-567BFB1BBE09}" name="Native" dataDxfId="128"/>
    <tableColumn id="3" xr3:uid="{35911A15-78C4-45BE-BB1A-A3E0ED67AF0D}" name="Status" dataDxfId="127"/>
    <tableColumn id="4" xr3:uid="{91C0A888-D973-4520-9793-ECF8AE60579B}" name="City / District / County" dataDxfId="126"/>
    <tableColumn id="5" xr3:uid="{A0E17A40-4A8C-404A-9458-38B21476F23D}" name="Population" dataDxfId="125"/>
    <tableColumn id="6" xr3:uid="{283A1EAE-48B7-4241-B520-65FB25899FA2}" name="Column1" dataDxfId="124">
      <calculatedColumnFormula>VLOOKUP(D2,Table11[[Name]:[Native]],3,FALSE)</calculatedColumnFormula>
    </tableColumn>
    <tableColumn id="7" xr3:uid="{8F590130-C4C2-46F0-BFA1-678D70106FBB}" name="Column2" dataDxfId="123">
      <calculatedColumnFormula>VLOOKUP(F2,Table11[[Native]:[Population4]],5,FALSE)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3E78BC-84D7-4050-8156-28FE9CCB50A0}" name="Table3" displayName="Table3" ref="A1:G213" totalsRowShown="0" headerRowDxfId="122" dataDxfId="121">
  <autoFilter ref="A1:G213" xr:uid="{813E78BC-84D7-4050-8156-28FE9CCB50A0}"/>
  <tableColumns count="7">
    <tableColumn id="1" xr3:uid="{D8BA317B-CC67-47F0-99DF-E6F98A16AD49}" name="Name" dataDxfId="120"/>
    <tableColumn id="2" xr3:uid="{17C81CA9-7735-40ED-B5CF-91AC8C51A8ED}" name="Native" dataDxfId="119"/>
    <tableColumn id="3" xr3:uid="{55BC87EF-754A-40C8-84F0-EAFC5494A5E5}" name="Status" dataDxfId="118"/>
    <tableColumn id="4" xr3:uid="{42FFB869-75EC-46CA-A28E-ECA79E35DC94}" name="City / District / County" dataDxfId="117"/>
    <tableColumn id="5" xr3:uid="{681A7560-3681-4CDA-95BA-98BE7674192A}" name="Population" dataDxfId="116"/>
    <tableColumn id="6" xr3:uid="{BDAF25B8-5054-49AE-8E0A-3B8C5DD13D82}" name="Column1" dataDxfId="115">
      <calculatedColumnFormula>VLOOKUP(D2,Table11[[Name]:[Native]],3,FALSE)</calculatedColumnFormula>
    </tableColumn>
    <tableColumn id="7" xr3:uid="{F1184DE8-BB24-4184-867B-8102105B59B5}" name="Column2" dataDxfId="114">
      <calculatedColumnFormula>VLOOKUP(F2,Table11[[Native]:[Population4]],5,FALSE)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B06B252-2FCE-41EF-8AF7-8CE4912D69E6}" name="Table4" displayName="Table4" ref="A1:G130" totalsRowShown="0" headerRowDxfId="113" dataDxfId="112">
  <autoFilter ref="A1:G130" xr:uid="{7B06B252-2FCE-41EF-8AF7-8CE4912D69E6}"/>
  <tableColumns count="7">
    <tableColumn id="1" xr3:uid="{9C86FC24-1054-4376-A0CA-09DB3707CA56}" name="Name" dataDxfId="111"/>
    <tableColumn id="2" xr3:uid="{49B7F091-2DB7-4749-B836-8C77E07AD7BE}" name="Native" dataDxfId="110"/>
    <tableColumn id="3" xr3:uid="{0749F966-9A2D-4518-A548-EE6711A80AD9}" name="Status" dataDxfId="109"/>
    <tableColumn id="4" xr3:uid="{962D22A4-B0D3-4A33-9E2D-978780E31F96}" name="City / District / County" dataDxfId="108"/>
    <tableColumn id="5" xr3:uid="{DAF6DE82-6A32-445D-AA87-B9107F969A6A}" name="Population" dataDxfId="107"/>
    <tableColumn id="6" xr3:uid="{49004EB0-F1C9-4376-8C32-4C7423B9959C}" name="Column1" dataDxfId="106">
      <calculatedColumnFormula>VLOOKUP(D2,Table11[[Name]:[Native]],3,FALSE)</calculatedColumnFormula>
    </tableColumn>
    <tableColumn id="7" xr3:uid="{FD2F9A3C-86EB-43F5-B4D8-55C9E10D2679}" name="Column2" dataDxfId="105">
      <calculatedColumnFormula>VLOOKUP(F2,Table11[[Native]:[Population4]],5,FALSE)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406B6A-FC1A-4008-BC14-C9951E0C0CFA}" name="Table5" displayName="Table5" ref="A1:G39" totalsRowShown="0" headerRowDxfId="104" dataDxfId="103">
  <autoFilter ref="A1:G39" xr:uid="{03406B6A-FC1A-4008-BC14-C9951E0C0CFA}"/>
  <tableColumns count="7">
    <tableColumn id="1" xr3:uid="{DE7C4F8B-A21D-454F-8494-6681ED8EC7C8}" name="Name" dataDxfId="102"/>
    <tableColumn id="2" xr3:uid="{8B5838B4-4672-4C76-9D5C-74B550EA9FFB}" name="Native" dataDxfId="101"/>
    <tableColumn id="3" xr3:uid="{351E9116-7600-45E1-8376-0CB33CB39FD2}" name="Status" dataDxfId="100"/>
    <tableColumn id="4" xr3:uid="{CE37E845-0CCA-4682-AED0-B1DA61C329E9}" name="City / District / County" dataDxfId="99"/>
    <tableColumn id="5" xr3:uid="{5932416C-FAB1-4BD3-93B0-0E400622B08E}" name="Population" dataDxfId="98"/>
    <tableColumn id="6" xr3:uid="{84D0FF8D-26D8-4784-9E7D-84F75BBB2D67}" name="Column1" dataDxfId="97">
      <calculatedColumnFormula>VLOOKUP(D2,Table11[[Name]:[Native]],3,FALSE)</calculatedColumnFormula>
    </tableColumn>
    <tableColumn id="7" xr3:uid="{4E8844DB-ED55-4F55-902E-92FDFE8AB992}" name="Column2" dataDxfId="96">
      <calculatedColumnFormula>VLOOKUP(F2,Table11[[Native]:[Population4]],5,FALSE)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F81781C-FB6A-4ECE-9CCC-22CDDA22FA05}" name="Table6" displayName="Table6" ref="A1:G180" totalsRowShown="0" headerRowDxfId="95" dataDxfId="94">
  <autoFilter ref="A1:G180" xr:uid="{BF81781C-FB6A-4ECE-9CCC-22CDDA22FA05}"/>
  <tableColumns count="7">
    <tableColumn id="1" xr3:uid="{CFD8B1FF-A818-469B-9D7E-7BA1B8F3BBE9}" name="Name" dataDxfId="93"/>
    <tableColumn id="2" xr3:uid="{62E8ED25-07EC-4BF5-8E6F-A4046C458ED9}" name="Native" dataDxfId="92"/>
    <tableColumn id="3" xr3:uid="{067577C4-2A5E-468E-A253-3F2C8976170F}" name="Status" dataDxfId="91"/>
    <tableColumn id="4" xr3:uid="{33CCF7AE-037A-40E1-803B-05658BCD0651}" name="City / District / County" dataDxfId="90"/>
    <tableColumn id="5" xr3:uid="{EB9DB11E-ABB1-4581-B9A6-E2F681CD991D}" name="Population" dataDxfId="89"/>
    <tableColumn id="6" xr3:uid="{73F1899D-9E48-431E-9EA0-58F988923276}" name="Column1" dataDxfId="88">
      <calculatedColumnFormula>VLOOKUP(D2,Table11[[Name]:[Native]],3,FALSE)</calculatedColumnFormula>
    </tableColumn>
    <tableColumn id="7" xr3:uid="{61062648-1A6F-49F7-9F1A-D45C70F8E1A9}" name="Column2" dataDxfId="87">
      <calculatedColumnFormula>VLOOKUP(F2,Table11[[Native]:[Population4]],5,FALSE)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5CB3AEE-3767-479F-B62E-2258F6412376}" name="Table7" displayName="Table7" ref="A1:G133" totalsRowShown="0" headerRowDxfId="86" dataDxfId="85">
  <autoFilter ref="A1:G133" xr:uid="{05CB3AEE-3767-479F-B62E-2258F6412376}"/>
  <tableColumns count="7">
    <tableColumn id="1" xr3:uid="{29F17B3E-9986-4C9E-A0E0-A28CA05C2DD1}" name="Name" dataDxfId="84"/>
    <tableColumn id="2" xr3:uid="{81E60B8E-2A9C-4B29-B692-95F6A82A1898}" name="Native" dataDxfId="83"/>
    <tableColumn id="3" xr3:uid="{EEB38490-D2AF-4A16-A9B3-BE2C49EC17F5}" name="Status" dataDxfId="82"/>
    <tableColumn id="4" xr3:uid="{0D78F96D-D155-4D62-9BA0-F066D0603DD0}" name="City / District / County" dataDxfId="81"/>
    <tableColumn id="5" xr3:uid="{7BE1A22E-3BE6-441C-BA9C-6ED4AD8DDECF}" name="Population" dataDxfId="80"/>
    <tableColumn id="6" xr3:uid="{B1306D0C-1FE8-4C75-A05F-F113EE5EC1E4}" name="Column1" dataDxfId="79">
      <calculatedColumnFormula>VLOOKUP(D2,Table11[[Name]:[Native]],3,FALSE)</calculatedColumnFormula>
    </tableColumn>
    <tableColumn id="7" xr3:uid="{07BB7E65-9EB2-44A7-AA25-75DE980560AA}" name="Column2" dataDxfId="78">
      <calculatedColumnFormula>VLOOKUP(F2,Table11[[Native]:[Population4]],5,FALSE)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E7174F4-8F31-4403-808E-012F4A2F2BB8}" name="Table8" displayName="Table8" ref="A1:G184" totalsRowShown="0" headerRowDxfId="77" dataDxfId="76">
  <autoFilter ref="A1:G184" xr:uid="{3E7174F4-8F31-4403-808E-012F4A2F2BB8}"/>
  <tableColumns count="7">
    <tableColumn id="1" xr3:uid="{C8A91BA8-6C54-4284-ACEA-2964AE35B742}" name="Name" dataDxfId="75"/>
    <tableColumn id="2" xr3:uid="{2AF947F0-FA10-4B84-ACF4-36EA080573DF}" name="Native" dataDxfId="74"/>
    <tableColumn id="3" xr3:uid="{A306E960-937C-4BF0-AE02-9726CA655357}" name="Status" dataDxfId="73"/>
    <tableColumn id="4" xr3:uid="{557C176F-F214-4513-B2C3-49CDCD569E71}" name="City / District / County" dataDxfId="72"/>
    <tableColumn id="5" xr3:uid="{FBB7DEFB-A5A6-441E-816C-4D324FA5A904}" name="Population" dataDxfId="71"/>
    <tableColumn id="6" xr3:uid="{61992387-9EF9-467C-80EC-4D84A174E2E1}" name="Column1" dataDxfId="70">
      <calculatedColumnFormula>VLOOKUP(D2,Table11[[Name]:[Native]],3,FALSE)</calculatedColumnFormula>
    </tableColumn>
    <tableColumn id="7" xr3:uid="{3E28967A-2B60-4118-BAE3-8287727C9232}" name="Column2" dataDxfId="69">
      <calculatedColumnFormula>VLOOKUP(F2,Table11[[Native]:[Population4]],5,FALSE)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AC3D062-9B24-4C5A-9721-6124C57FBBFD}" name="Table9" displayName="Table9" ref="A1:G150" totalsRowShown="0" headerRowDxfId="68" dataDxfId="67">
  <autoFilter ref="A1:G150" xr:uid="{6AC3D062-9B24-4C5A-9721-6124C57FBBFD}"/>
  <tableColumns count="7">
    <tableColumn id="1" xr3:uid="{7D8F5DC6-6D1E-4D42-A357-55083C2B91E7}" name="Name" dataDxfId="66"/>
    <tableColumn id="2" xr3:uid="{DDC362F1-5323-49AB-884F-76296424162B}" name="Native" dataDxfId="65"/>
    <tableColumn id="3" xr3:uid="{52CBADA3-B412-43B2-BF4E-81E172FAE14F}" name="Status" dataDxfId="64"/>
    <tableColumn id="4" xr3:uid="{A5F882A2-303C-460F-BD17-A5260015620F}" name="City / District / County" dataDxfId="63"/>
    <tableColumn id="5" xr3:uid="{311E7958-7AA2-44DE-B3E6-031D9F54BE1E}" name="Population" dataDxfId="62"/>
    <tableColumn id="6" xr3:uid="{FAA2A122-703E-42E0-8172-283CF1FCA9A6}" name="Column1" dataDxfId="61">
      <calculatedColumnFormula>VLOOKUP(D2,Table11[[Name]:[Native]],3,FALSE)</calculatedColumnFormula>
    </tableColumn>
    <tableColumn id="7" xr3:uid="{92A27BC1-9D7F-4472-9422-988908B7B41F}" name="Column2" dataDxfId="60">
      <calculatedColumnFormula>VLOOKUP(F2,Table11[[Native]:[Population4]],5,FALSE)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0A6FEE1-46F6-4C10-AB29-1DEFD5DE3D5A}" name="Table10" displayName="Table10" ref="A1:G206" totalsRowShown="0" headerRowDxfId="59" dataDxfId="58">
  <autoFilter ref="A1:G206" xr:uid="{E0A6FEE1-46F6-4C10-AB29-1DEFD5DE3D5A}"/>
  <tableColumns count="7">
    <tableColumn id="1" xr3:uid="{DB2957F5-86B8-4E7F-BB5D-DB5E7BAD29F8}" name="Name" dataDxfId="57"/>
    <tableColumn id="2" xr3:uid="{7F135CAB-9700-497D-A57D-FF6858D95C7F}" name="Native" dataDxfId="56"/>
    <tableColumn id="3" xr3:uid="{8E2BA92C-0104-4126-8D94-D0DDE629AB96}" name="Status" dataDxfId="55"/>
    <tableColumn id="4" xr3:uid="{D025124D-91A3-4F95-B4D1-A23106A1107C}" name="City / District / County" dataDxfId="54"/>
    <tableColumn id="5" xr3:uid="{1C04B76A-A3A4-42A6-A907-D91934373023}" name="Population" dataDxfId="53"/>
    <tableColumn id="6" xr3:uid="{52D09DED-BE89-42A1-B8EE-3EA3CAE6518B}" name="Column1" dataDxfId="52">
      <calculatedColumnFormula>VLOOKUP(D2,Table11[[Name]:[Native]],3,FALSE)</calculatedColumnFormula>
    </tableColumn>
    <tableColumn id="7" xr3:uid="{C4968913-2C5F-4AF1-AB0F-1E9B061E9B18}" name="Column2" dataDxfId="51">
      <calculatedColumnFormula>VLOOKUP(F2,Table11[[Native]:[Population4]],5,FALSE)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A1FA3D-F116-4567-97F0-E08B16AB1BF2}" name="Table12" displayName="Table12" ref="A1:P1536" totalsRowShown="0">
  <autoFilter ref="A1:P1536" xr:uid="{08A1FA3D-F116-4567-97F0-E08B16AB1BF2}">
    <filterColumn colId="4">
      <filters>
        <filter val="Town"/>
      </filters>
    </filterColumn>
    <filterColumn colId="11">
      <colorFilter dxfId="0"/>
    </filterColumn>
  </autoFilter>
  <sortState xmlns:xlrd2="http://schemas.microsoft.com/office/spreadsheetml/2017/richdata2" ref="A2:K1536">
    <sortCondition ref="A1:A1536"/>
  </sortState>
  <tableColumns count="16">
    <tableColumn id="1" xr3:uid="{08C3A339-E264-48D5-907B-2345649EC280}" name="Column1"/>
    <tableColumn id="10" xr3:uid="{B53B8912-2F80-4783-A1DA-424C513EC7F5}" name="Column12" dataDxfId="32">
      <calculatedColumnFormula>IF(COUNTIF(A:A,A2)&gt;1,_xlfn.CONCAT(A2," (",N2,")"),A2)</calculatedColumnFormula>
    </tableColumn>
    <tableColumn id="11" xr3:uid="{5BF9A498-E91C-4A9B-84C0-71BCA6C4C2C7}" name="Column13" dataDxfId="31">
      <calculatedColumnFormula>IF(COUNTIF(B:B,B2)&gt;1,_xlfn.CONCAT(A2," (",M2,")"),B2)</calculatedColumnFormula>
    </tableColumn>
    <tableColumn id="2" xr3:uid="{DCDBF3EA-B519-457A-938C-AE8EDFAFEF84}" name="Column2"/>
    <tableColumn id="3" xr3:uid="{EF897FE4-5808-4A6A-B806-B2A485629B22}" name="Column3"/>
    <tableColumn id="4" xr3:uid="{FEF247F1-E7F9-46DD-8F21-F30595A74AAD}" name="Column4" dataDxfId="50">
      <calculatedColumnFormula>_xlfn.CONCAT(D2,", ",H2,", ",I2,", ","陕西省")</calculatedColumnFormula>
    </tableColumn>
    <tableColumn id="5" xr3:uid="{85CDBAE3-28C4-414D-A7FD-E65B1C42F3FE}" name="Column5"/>
    <tableColumn id="6" xr3:uid="{4995CBA8-DDAE-4040-B69C-02A98FAE4466}" name="Column6"/>
    <tableColumn id="7" xr3:uid="{2A40E132-139C-4E39-9852-74EF3F5C4C99}" name="Column7"/>
    <tableColumn id="8" xr3:uid="{F1DBFE4D-2B41-4A00-8567-3C99BCB9EF45}" name="Column8" dataDxfId="49">
      <calculatedColumnFormula>VLOOKUP(F2,[1]!china_towns_second__2[[Column1]:[Y]],3,FALSE)</calculatedColumnFormula>
    </tableColumn>
    <tableColumn id="9" xr3:uid="{5453C434-702A-4E4D-9331-8F6ECB4E9A01}" name="Column9" dataDxfId="48">
      <calculatedColumnFormula>VLOOKUP(F2,[1]!china_towns_second__2[[Column1]:[Y]],2,FALSE)</calculatedColumnFormula>
    </tableColumn>
    <tableColumn id="12" xr3:uid="{7C50B814-8A6A-467D-8DFD-12FF9101DA2F}" name="Column10"/>
    <tableColumn id="13" xr3:uid="{D640A8FE-30BB-42DE-9FFC-D415A8DE8E5E}" name="Column11" dataDxfId="34">
      <calculatedColumnFormula>VLOOKUP(H2,CHOOSE({1,2},Table11[Native],Table11[Name]),2,0)</calculatedColumnFormula>
    </tableColumn>
    <tableColumn id="14" xr3:uid="{2FF1FDC7-770A-4719-9D8F-B9FEDDC669A7}" name="Column112" dataDxfId="33">
      <calculatedColumnFormula>VLOOKUP(I2,CHOOSE({1,2},Table11[Native],Table11[Name]),2,0)</calculatedColumnFormula>
    </tableColumn>
    <tableColumn id="15" xr3:uid="{FC003ED9-3CC3-4E1B-BCB6-F0C52BE951AB}" name="Column113" dataDxfId="24">
      <calculatedColumnFormula>_xlfn.CONCAT(L2," (",N2,")")</calculatedColumnFormula>
    </tableColumn>
    <tableColumn id="16" xr3:uid="{53DA3750-F0D4-4C8F-AF2F-E0B96E8ED8F4}" name="Column114" dataDxfId="23">
      <calculatedColumnFormula>IF(COUNTIF(O:O,O2)&gt;1,_xlfn.CONCAT(L2," (",M2,")"),O2)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843364E-E34A-43BA-A0A1-2F78909A7F25}" name="Table13" displayName="Table13" ref="A1:E16" totalsRowShown="0">
  <autoFilter ref="A1:E16" xr:uid="{0843364E-E34A-43BA-A0A1-2F78909A7F25}"/>
  <tableColumns count="5">
    <tableColumn id="1" xr3:uid="{411D6029-4AEA-4582-A63A-4C4098056BA8}" name="Column1"/>
    <tableColumn id="3" xr3:uid="{1D173E6A-B30F-4949-8AFE-265FE2902290}" name="Column12" dataDxfId="47">
      <calculatedColumnFormula>VLOOKUP(A2,CHOOSE({1,2},Table11[Native],Table11[Name]),2,0)</calculatedColumnFormula>
    </tableColumn>
    <tableColumn id="2" xr3:uid="{399FC0D8-9F54-458C-918B-2E968E6CAA74}" name="Column2"/>
    <tableColumn id="4" xr3:uid="{5D3B8F5B-B690-4270-9F5B-78A9C4AFD0E8}" name="Column3" dataDxfId="46">
      <calculatedColumnFormula>VLOOKUP(A2,[1]!Table1[[name]:[@lon]],5,0)</calculatedColumnFormula>
    </tableColumn>
    <tableColumn id="5" xr3:uid="{3DA00936-D557-454D-A213-88AB062EDE28}" name="Column4" dataDxfId="45">
      <calculatedColumnFormula>VLOOKUP(A2,[1]!Table1[[name]:[@lon]],6,0)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2FD1530-7F46-44FB-921C-E8EC677F1242}" name="Table11" displayName="Table11" ref="A1:G120" totalsRowShown="0" headerRowDxfId="44" dataDxfId="43" tableBorderDxfId="42">
  <autoFilter ref="A1:G120" xr:uid="{82FD1530-7F46-44FB-921C-E8EC677F1242}"/>
  <tableColumns count="7">
    <tableColumn id="1" xr3:uid="{A1B7FC37-D731-47E0-985D-22F68C79A9A5}" name="Name" dataDxfId="41"/>
    <tableColumn id="2" xr3:uid="{5B8880E2-D9F5-4BB5-BAD4-0300191A178A}" name="Status" dataDxfId="40"/>
    <tableColumn id="3" xr3:uid="{AEBF4F6F-13F3-44CC-ACDD-EC729DAA8BFA}" name="Native" dataDxfId="39"/>
    <tableColumn id="4" xr3:uid="{8B8CD2DD-DD3E-4D2B-B528-EC9ECDC981E6}" name="Population" dataDxfId="38"/>
    <tableColumn id="5" xr3:uid="{BCE3368F-880F-4FEB-A7C3-CDCB8648CF97}" name="Population2" dataDxfId="37"/>
    <tableColumn id="6" xr3:uid="{75FBFAB3-04DE-41FF-97DF-D43897D7317E}" name="Population3" dataDxfId="36"/>
    <tableColumn id="7" xr3:uid="{5A398D55-F191-4516-9F18-F0811A9F2CB9}" name="Population4" dataDxfId="35">
      <calculatedColumnFormula array="1">IF(Background=36,C2,G1)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425D2-1C87-4758-B2DA-E9B0D2798580}">
  <dimension ref="A1:G170"/>
  <sheetViews>
    <sheetView workbookViewId="0">
      <selection activeCell="A2" sqref="A2:G170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3166</v>
      </c>
      <c r="G1" t="s">
        <v>3170</v>
      </c>
    </row>
    <row r="2" spans="1:7" ht="15.75" thickBot="1" x14ac:dyDescent="0.3">
      <c r="A2" t="s">
        <v>5</v>
      </c>
      <c r="B2" s="1" t="s">
        <v>6</v>
      </c>
      <c r="C2" s="1" t="s">
        <v>7</v>
      </c>
      <c r="D2" s="1" t="s">
        <v>8</v>
      </c>
      <c r="E2" s="9">
        <v>8437</v>
      </c>
      <c r="F2" s="7" t="str">
        <f>VLOOKUP(D2,Table11[[Name]:[Native]],3,FALSE)</f>
        <v>汉滨区</v>
      </c>
      <c r="G2" s="12" t="str">
        <f ca="1">VLOOKUP(F2,Table11[[Native]:[Population4]],5,FALSE)</f>
        <v>安康市</v>
      </c>
    </row>
    <row r="3" spans="1:7" ht="15.75" thickBot="1" x14ac:dyDescent="0.3">
      <c r="A3" t="s">
        <v>9</v>
      </c>
      <c r="B3" s="1" t="s">
        <v>10</v>
      </c>
      <c r="C3" s="1" t="s">
        <v>11</v>
      </c>
      <c r="D3" s="1" t="s">
        <v>12</v>
      </c>
      <c r="E3" s="9">
        <v>2595</v>
      </c>
      <c r="F3" s="1" t="str">
        <f>VLOOKUP(D3,Table11[[Name]:[Native]],3,FALSE)</f>
        <v>镇坪县</v>
      </c>
      <c r="G3" s="12" t="str">
        <f ca="1">VLOOKUP(F3,Table11[[Native]:[Population4]],5,FALSE)</f>
        <v>安康市</v>
      </c>
    </row>
    <row r="4" spans="1:7" ht="15.75" thickBot="1" x14ac:dyDescent="0.3">
      <c r="A4" t="s">
        <v>13</v>
      </c>
      <c r="B4" s="1" t="s">
        <v>14</v>
      </c>
      <c r="C4" s="1" t="s">
        <v>7</v>
      </c>
      <c r="D4" s="1" t="s">
        <v>15</v>
      </c>
      <c r="E4" s="9">
        <v>14484</v>
      </c>
      <c r="F4" s="1" t="str">
        <f>VLOOKUP(D4,Table11[[Name]:[Native]],3,FALSE)</f>
        <v>旬阳县</v>
      </c>
      <c r="G4" s="12" t="str">
        <f ca="1">VLOOKUP(F4,Table11[[Native]:[Population4]],5,FALSE)</f>
        <v>安康市</v>
      </c>
    </row>
    <row r="5" spans="1:7" ht="15.75" thickBot="1" x14ac:dyDescent="0.3">
      <c r="A5" t="s">
        <v>16</v>
      </c>
      <c r="B5" s="1" t="s">
        <v>17</v>
      </c>
      <c r="C5" s="1" t="s">
        <v>11</v>
      </c>
      <c r="D5" s="1" t="s">
        <v>18</v>
      </c>
      <c r="E5" s="9">
        <v>7564</v>
      </c>
      <c r="F5" s="1" t="str">
        <f>VLOOKUP(D5,Table11[[Name]:[Native]],3,FALSE)</f>
        <v>紫阳县</v>
      </c>
      <c r="G5" s="12" t="str">
        <f ca="1">VLOOKUP(F5,Table11[[Native]:[Population4]],5,FALSE)</f>
        <v>安康市</v>
      </c>
    </row>
    <row r="6" spans="1:7" ht="15.75" thickBot="1" x14ac:dyDescent="0.3">
      <c r="A6" t="s">
        <v>19</v>
      </c>
      <c r="B6" s="1" t="s">
        <v>20</v>
      </c>
      <c r="C6" s="1" t="s">
        <v>7</v>
      </c>
      <c r="D6" s="1" t="s">
        <v>18</v>
      </c>
      <c r="E6" s="9">
        <v>7461</v>
      </c>
      <c r="F6" s="1" t="str">
        <f>VLOOKUP(D6,Table11[[Name]:[Native]],3,FALSE)</f>
        <v>紫阳县</v>
      </c>
      <c r="G6" s="12" t="str">
        <f ca="1">VLOOKUP(F6,Table11[[Native]:[Population4]],5,FALSE)</f>
        <v>安康市</v>
      </c>
    </row>
    <row r="7" spans="1:7" ht="15.75" thickBot="1" x14ac:dyDescent="0.3">
      <c r="A7" t="s">
        <v>21</v>
      </c>
      <c r="B7" s="1" t="s">
        <v>22</v>
      </c>
      <c r="C7" s="1" t="s">
        <v>7</v>
      </c>
      <c r="D7" s="1" t="s">
        <v>23</v>
      </c>
      <c r="E7" s="9">
        <v>24654</v>
      </c>
      <c r="F7" s="1" t="str">
        <f>VLOOKUP(D7,Table11[[Name]:[Native]],3,FALSE)</f>
        <v>平利县</v>
      </c>
      <c r="G7" s="12" t="str">
        <f ca="1">VLOOKUP(F7,Table11[[Native]:[Population4]],5,FALSE)</f>
        <v>安康市</v>
      </c>
    </row>
    <row r="8" spans="1:7" ht="15.75" thickBot="1" x14ac:dyDescent="0.3">
      <c r="A8" t="s">
        <v>24</v>
      </c>
      <c r="B8" s="1" t="s">
        <v>25</v>
      </c>
      <c r="C8" s="1" t="s">
        <v>7</v>
      </c>
      <c r="D8" s="1" t="s">
        <v>26</v>
      </c>
      <c r="E8" s="9">
        <v>13567</v>
      </c>
      <c r="F8" s="1" t="str">
        <f>VLOOKUP(D8,Table11[[Name]:[Native]],3,FALSE)</f>
        <v>白河县</v>
      </c>
      <c r="G8" s="12" t="str">
        <f ca="1">VLOOKUP(F8,Table11[[Native]:[Population4]],5,FALSE)</f>
        <v>安康市</v>
      </c>
    </row>
    <row r="9" spans="1:7" ht="15.75" thickBot="1" x14ac:dyDescent="0.3">
      <c r="A9" t="s">
        <v>27</v>
      </c>
      <c r="B9" s="1" t="s">
        <v>28</v>
      </c>
      <c r="C9" s="1" t="s">
        <v>7</v>
      </c>
      <c r="D9" s="1" t="s">
        <v>23</v>
      </c>
      <c r="E9" s="9">
        <v>17406</v>
      </c>
      <c r="F9" s="1" t="str">
        <f>VLOOKUP(D9,Table11[[Name]:[Native]],3,FALSE)</f>
        <v>平利县</v>
      </c>
      <c r="G9" s="12" t="str">
        <f ca="1">VLOOKUP(F9,Table11[[Native]:[Population4]],5,FALSE)</f>
        <v>安康市</v>
      </c>
    </row>
    <row r="10" spans="1:7" ht="15.75" thickBot="1" x14ac:dyDescent="0.3">
      <c r="A10" t="s">
        <v>29</v>
      </c>
      <c r="B10" s="1" t="s">
        <v>30</v>
      </c>
      <c r="C10" s="1" t="s">
        <v>11</v>
      </c>
      <c r="D10" s="1" t="s">
        <v>31</v>
      </c>
      <c r="E10" s="9">
        <v>7023</v>
      </c>
      <c r="F10" s="1" t="str">
        <f>VLOOKUP(D10,Table11[[Name]:[Native]],3,FALSE)</f>
        <v>石泉县</v>
      </c>
      <c r="G10" s="12" t="str">
        <f ca="1">VLOOKUP(F10,Table11[[Native]:[Population4]],5,FALSE)</f>
        <v>安康市</v>
      </c>
    </row>
    <row r="11" spans="1:7" ht="15.75" thickBot="1" x14ac:dyDescent="0.3">
      <c r="A11" t="s">
        <v>32</v>
      </c>
      <c r="B11" s="1" t="s">
        <v>33</v>
      </c>
      <c r="C11" s="1" t="s">
        <v>7</v>
      </c>
      <c r="D11" s="1" t="s">
        <v>34</v>
      </c>
      <c r="E11" s="9">
        <v>66926</v>
      </c>
      <c r="F11" s="1" t="str">
        <f>VLOOKUP(D11,Table11[[Name]:[Native]],3,FALSE)</f>
        <v>汉阴县</v>
      </c>
      <c r="G11" s="12" t="str">
        <f ca="1">VLOOKUP(F11,Table11[[Native]:[Population4]],5,FALSE)</f>
        <v>安康市</v>
      </c>
    </row>
    <row r="12" spans="1:7" ht="15.75" thickBot="1" x14ac:dyDescent="0.3">
      <c r="A12" t="s">
        <v>32</v>
      </c>
      <c r="B12" s="1" t="s">
        <v>33</v>
      </c>
      <c r="C12" s="1" t="s">
        <v>7</v>
      </c>
      <c r="D12" s="1" t="s">
        <v>31</v>
      </c>
      <c r="E12" s="9">
        <v>53422</v>
      </c>
      <c r="F12" s="1" t="str">
        <f>VLOOKUP(D12,Table11[[Name]:[Native]],3,FALSE)</f>
        <v>石泉县</v>
      </c>
      <c r="G12" s="12" t="str">
        <f ca="1">VLOOKUP(F12,Table11[[Native]:[Population4]],5,FALSE)</f>
        <v>安康市</v>
      </c>
    </row>
    <row r="13" spans="1:7" ht="15.75" thickBot="1" x14ac:dyDescent="0.3">
      <c r="A13" t="s">
        <v>32</v>
      </c>
      <c r="B13" s="1" t="s">
        <v>33</v>
      </c>
      <c r="C13" s="1" t="s">
        <v>7</v>
      </c>
      <c r="D13" s="1" t="s">
        <v>35</v>
      </c>
      <c r="E13" s="9">
        <v>20515</v>
      </c>
      <c r="F13" s="1" t="str">
        <f>VLOOKUP(D13,Table11[[Name]:[Native]],3,FALSE)</f>
        <v>宁陕县</v>
      </c>
      <c r="G13" s="12" t="str">
        <f ca="1">VLOOKUP(F13,Table11[[Native]:[Population4]],5,FALSE)</f>
        <v>安康市</v>
      </c>
    </row>
    <row r="14" spans="1:7" ht="15.75" thickBot="1" x14ac:dyDescent="0.3">
      <c r="A14" t="s">
        <v>32</v>
      </c>
      <c r="B14" s="1" t="s">
        <v>33</v>
      </c>
      <c r="C14" s="1" t="s">
        <v>7</v>
      </c>
      <c r="D14" s="1" t="s">
        <v>18</v>
      </c>
      <c r="E14" s="9">
        <v>35496</v>
      </c>
      <c r="F14" s="1" t="str">
        <f>VLOOKUP(D14,Table11[[Name]:[Native]],3,FALSE)</f>
        <v>紫阳县</v>
      </c>
      <c r="G14" s="12" t="str">
        <f ca="1">VLOOKUP(F14,Table11[[Native]:[Population4]],5,FALSE)</f>
        <v>安康市</v>
      </c>
    </row>
    <row r="15" spans="1:7" ht="15.75" thickBot="1" x14ac:dyDescent="0.3">
      <c r="A15" t="s">
        <v>32</v>
      </c>
      <c r="B15" s="1" t="s">
        <v>33</v>
      </c>
      <c r="C15" s="1" t="s">
        <v>7</v>
      </c>
      <c r="D15" s="1" t="s">
        <v>36</v>
      </c>
      <c r="E15" s="9">
        <v>35348</v>
      </c>
      <c r="F15" s="1" t="str">
        <f>VLOOKUP(D15,Table11[[Name]:[Native]],3,FALSE)</f>
        <v>岚皋县</v>
      </c>
      <c r="G15" s="12" t="str">
        <f ca="1">VLOOKUP(F15,Table11[[Native]:[Population4]],5,FALSE)</f>
        <v>安康市</v>
      </c>
    </row>
    <row r="16" spans="1:7" ht="15.75" thickBot="1" x14ac:dyDescent="0.3">
      <c r="A16" t="s">
        <v>32</v>
      </c>
      <c r="B16" s="1" t="s">
        <v>33</v>
      </c>
      <c r="C16" s="1" t="s">
        <v>7</v>
      </c>
      <c r="D16" s="1" t="s">
        <v>23</v>
      </c>
      <c r="E16" s="9">
        <v>45493</v>
      </c>
      <c r="F16" s="1" t="str">
        <f>VLOOKUP(D16,Table11[[Name]:[Native]],3,FALSE)</f>
        <v>平利县</v>
      </c>
      <c r="G16" s="12" t="str">
        <f ca="1">VLOOKUP(F16,Table11[[Native]:[Population4]],5,FALSE)</f>
        <v>安康市</v>
      </c>
    </row>
    <row r="17" spans="1:7" ht="15.75" thickBot="1" x14ac:dyDescent="0.3">
      <c r="A17" t="s">
        <v>32</v>
      </c>
      <c r="B17" s="1" t="s">
        <v>33</v>
      </c>
      <c r="C17" s="1" t="s">
        <v>7</v>
      </c>
      <c r="D17" s="1" t="s">
        <v>12</v>
      </c>
      <c r="E17" s="9">
        <v>12932</v>
      </c>
      <c r="F17" s="1" t="str">
        <f>VLOOKUP(D17,Table11[[Name]:[Native]],3,FALSE)</f>
        <v>镇坪县</v>
      </c>
      <c r="G17" s="12" t="str">
        <f ca="1">VLOOKUP(F17,Table11[[Native]:[Population4]],5,FALSE)</f>
        <v>安康市</v>
      </c>
    </row>
    <row r="18" spans="1:7" ht="15.75" thickBot="1" x14ac:dyDescent="0.3">
      <c r="A18" t="s">
        <v>32</v>
      </c>
      <c r="B18" s="1" t="s">
        <v>33</v>
      </c>
      <c r="C18" s="1" t="s">
        <v>7</v>
      </c>
      <c r="D18" s="1" t="s">
        <v>15</v>
      </c>
      <c r="E18" s="9">
        <v>67929</v>
      </c>
      <c r="F18" s="1" t="str">
        <f>VLOOKUP(D18,Table11[[Name]:[Native]],3,FALSE)</f>
        <v>旬阳县</v>
      </c>
      <c r="G18" s="12" t="str">
        <f ca="1">VLOOKUP(F18,Table11[[Native]:[Population4]],5,FALSE)</f>
        <v>安康市</v>
      </c>
    </row>
    <row r="19" spans="1:7" ht="15.75" thickBot="1" x14ac:dyDescent="0.3">
      <c r="A19" t="s">
        <v>32</v>
      </c>
      <c r="B19" s="1" t="s">
        <v>33</v>
      </c>
      <c r="C19" s="1" t="s">
        <v>7</v>
      </c>
      <c r="D19" s="1" t="s">
        <v>26</v>
      </c>
      <c r="E19" s="9">
        <v>32379</v>
      </c>
      <c r="F19" s="1" t="str">
        <f>VLOOKUP(D19,Table11[[Name]:[Native]],3,FALSE)</f>
        <v>白河县</v>
      </c>
      <c r="G19" s="12" t="str">
        <f ca="1">VLOOKUP(F19,Table11[[Native]:[Population4]],5,FALSE)</f>
        <v>安康市</v>
      </c>
    </row>
    <row r="20" spans="1:7" ht="15.75" thickBot="1" x14ac:dyDescent="0.3">
      <c r="A20" t="s">
        <v>37</v>
      </c>
      <c r="B20" s="1" t="s">
        <v>38</v>
      </c>
      <c r="C20" s="1" t="s">
        <v>7</v>
      </c>
      <c r="D20" s="1" t="s">
        <v>31</v>
      </c>
      <c r="E20" s="9">
        <v>19866</v>
      </c>
      <c r="F20" s="1" t="str">
        <f>VLOOKUP(D20,Table11[[Name]:[Native]],3,FALSE)</f>
        <v>石泉县</v>
      </c>
      <c r="G20" s="12" t="str">
        <f ca="1">VLOOKUP(F20,Table11[[Native]:[Population4]],5,FALSE)</f>
        <v>安康市</v>
      </c>
    </row>
    <row r="21" spans="1:7" ht="15.75" thickBot="1" x14ac:dyDescent="0.3">
      <c r="A21" t="s">
        <v>39</v>
      </c>
      <c r="B21" s="1" t="s">
        <v>40</v>
      </c>
      <c r="C21" s="1" t="s">
        <v>7</v>
      </c>
      <c r="D21" s="1" t="s">
        <v>8</v>
      </c>
      <c r="E21" s="9">
        <v>18182</v>
      </c>
      <c r="F21" s="1" t="str">
        <f>VLOOKUP(D21,Table11[[Name]:[Native]],3,FALSE)</f>
        <v>汉滨区</v>
      </c>
      <c r="G21" s="12" t="str">
        <f ca="1">VLOOKUP(F21,Table11[[Native]:[Population4]],5,FALSE)</f>
        <v>安康市</v>
      </c>
    </row>
    <row r="22" spans="1:7" ht="15.75" thickBot="1" x14ac:dyDescent="0.3">
      <c r="A22" t="s">
        <v>41</v>
      </c>
      <c r="B22" s="1" t="s">
        <v>42</v>
      </c>
      <c r="C22" s="1" t="s">
        <v>7</v>
      </c>
      <c r="D22" s="1" t="s">
        <v>36</v>
      </c>
      <c r="E22" s="9">
        <v>5396</v>
      </c>
      <c r="F22" s="1" t="str">
        <f>VLOOKUP(D22,Table11[[Name]:[Native]],3,FALSE)</f>
        <v>岚皋县</v>
      </c>
      <c r="G22" s="12" t="str">
        <f ca="1">VLOOKUP(F22,Table11[[Native]:[Population4]],5,FALSE)</f>
        <v>安康市</v>
      </c>
    </row>
    <row r="23" spans="1:7" ht="15.75" thickBot="1" x14ac:dyDescent="0.3">
      <c r="A23" t="s">
        <v>43</v>
      </c>
      <c r="B23" s="1" t="s">
        <v>44</v>
      </c>
      <c r="C23" s="1" t="s">
        <v>7</v>
      </c>
      <c r="D23" s="1" t="s">
        <v>23</v>
      </c>
      <c r="E23" s="9">
        <v>11294</v>
      </c>
      <c r="F23" s="1" t="str">
        <f>VLOOKUP(D23,Table11[[Name]:[Native]],3,FALSE)</f>
        <v>平利县</v>
      </c>
      <c r="G23" s="12" t="str">
        <f ca="1">VLOOKUP(F23,Table11[[Native]:[Population4]],5,FALSE)</f>
        <v>安康市</v>
      </c>
    </row>
    <row r="24" spans="1:7" ht="15.75" thickBot="1" x14ac:dyDescent="0.3">
      <c r="A24" t="s">
        <v>45</v>
      </c>
      <c r="B24" s="1" t="s">
        <v>46</v>
      </c>
      <c r="C24" s="1" t="s">
        <v>7</v>
      </c>
      <c r="D24" s="1" t="s">
        <v>8</v>
      </c>
      <c r="E24" s="9">
        <v>17066</v>
      </c>
      <c r="F24" s="1" t="str">
        <f>VLOOKUP(D24,Table11[[Name]:[Native]],3,FALSE)</f>
        <v>汉滨区</v>
      </c>
      <c r="G24" s="12" t="str">
        <f ca="1">VLOOKUP(F24,Table11[[Native]:[Population4]],5,FALSE)</f>
        <v>安康市</v>
      </c>
    </row>
    <row r="25" spans="1:7" ht="15.75" thickBot="1" x14ac:dyDescent="0.3">
      <c r="A25" t="s">
        <v>47</v>
      </c>
      <c r="B25" s="1" t="s">
        <v>48</v>
      </c>
      <c r="C25" s="1" t="s">
        <v>11</v>
      </c>
      <c r="D25" s="1" t="s">
        <v>26</v>
      </c>
      <c r="E25" s="9">
        <v>5552</v>
      </c>
      <c r="F25" s="1" t="str">
        <f>VLOOKUP(D25,Table11[[Name]:[Native]],3,FALSE)</f>
        <v>白河县</v>
      </c>
      <c r="G25" s="12" t="str">
        <f ca="1">VLOOKUP(F25,Table11[[Native]:[Population4]],5,FALSE)</f>
        <v>安康市</v>
      </c>
    </row>
    <row r="26" spans="1:7" ht="15.75" thickBot="1" x14ac:dyDescent="0.3">
      <c r="A26" t="s">
        <v>49</v>
      </c>
      <c r="B26" s="1" t="s">
        <v>50</v>
      </c>
      <c r="C26" s="1" t="s">
        <v>7</v>
      </c>
      <c r="D26" s="1" t="s">
        <v>8</v>
      </c>
      <c r="E26" s="9">
        <v>37678</v>
      </c>
      <c r="F26" s="1" t="str">
        <f>VLOOKUP(D26,Table11[[Name]:[Native]],3,FALSE)</f>
        <v>汉滨区</v>
      </c>
      <c r="G26" s="12" t="str">
        <f ca="1">VLOOKUP(F26,Table11[[Native]:[Population4]],5,FALSE)</f>
        <v>安康市</v>
      </c>
    </row>
    <row r="27" spans="1:7" ht="15.75" thickBot="1" x14ac:dyDescent="0.3">
      <c r="A27" t="s">
        <v>51</v>
      </c>
      <c r="B27" s="1" t="s">
        <v>52</v>
      </c>
      <c r="C27" s="1" t="s">
        <v>7</v>
      </c>
      <c r="D27" s="1" t="s">
        <v>8</v>
      </c>
      <c r="E27" s="9">
        <v>10213</v>
      </c>
      <c r="F27" s="1" t="str">
        <f>VLOOKUP(D27,Table11[[Name]:[Native]],3,FALSE)</f>
        <v>汉滨区</v>
      </c>
      <c r="G27" s="12" t="str">
        <f ca="1">VLOOKUP(F27,Table11[[Native]:[Population4]],5,FALSE)</f>
        <v>安康市</v>
      </c>
    </row>
    <row r="28" spans="1:7" ht="15.75" thickBot="1" x14ac:dyDescent="0.3">
      <c r="A28" t="s">
        <v>53</v>
      </c>
      <c r="B28" s="1" t="s">
        <v>54</v>
      </c>
      <c r="C28" s="1" t="s">
        <v>7</v>
      </c>
      <c r="D28" s="1" t="s">
        <v>18</v>
      </c>
      <c r="E28" s="9">
        <v>14609</v>
      </c>
      <c r="F28" s="1" t="str">
        <f>VLOOKUP(D28,Table11[[Name]:[Native]],3,FALSE)</f>
        <v>紫阳县</v>
      </c>
      <c r="G28" s="12" t="str">
        <f ca="1">VLOOKUP(F28,Table11[[Native]:[Population4]],5,FALSE)</f>
        <v>安康市</v>
      </c>
    </row>
    <row r="29" spans="1:7" ht="15.75" thickBot="1" x14ac:dyDescent="0.3">
      <c r="A29" t="s">
        <v>55</v>
      </c>
      <c r="B29" s="1" t="s">
        <v>56</v>
      </c>
      <c r="C29" s="1" t="s">
        <v>7</v>
      </c>
      <c r="D29" s="1" t="s">
        <v>18</v>
      </c>
      <c r="E29" s="9">
        <v>8324</v>
      </c>
      <c r="F29" s="1" t="str">
        <f>VLOOKUP(D29,Table11[[Name]:[Native]],3,FALSE)</f>
        <v>紫阳县</v>
      </c>
      <c r="G29" s="12" t="str">
        <f ca="1">VLOOKUP(F29,Table11[[Native]:[Population4]],5,FALSE)</f>
        <v>安康市</v>
      </c>
    </row>
    <row r="30" spans="1:7" ht="15.75" thickBot="1" x14ac:dyDescent="0.3">
      <c r="A30" t="s">
        <v>57</v>
      </c>
      <c r="B30" s="1" t="s">
        <v>58</v>
      </c>
      <c r="C30" s="1" t="s">
        <v>7</v>
      </c>
      <c r="D30" s="1" t="s">
        <v>15</v>
      </c>
      <c r="E30" s="9">
        <v>16292</v>
      </c>
      <c r="F30" s="1" t="str">
        <f>VLOOKUP(D30,Table11[[Name]:[Native]],3,FALSE)</f>
        <v>旬阳县</v>
      </c>
      <c r="G30" s="12" t="str">
        <f ca="1">VLOOKUP(F30,Table11[[Native]:[Population4]],5,FALSE)</f>
        <v>安康市</v>
      </c>
    </row>
    <row r="31" spans="1:7" ht="15.75" thickBot="1" x14ac:dyDescent="0.3">
      <c r="A31" t="s">
        <v>59</v>
      </c>
      <c r="B31" s="1" t="s">
        <v>60</v>
      </c>
      <c r="C31" s="1" t="s">
        <v>7</v>
      </c>
      <c r="D31" s="1" t="s">
        <v>15</v>
      </c>
      <c r="E31" s="9">
        <v>16106</v>
      </c>
      <c r="F31" s="1" t="str">
        <f>VLOOKUP(D31,Table11[[Name]:[Native]],3,FALSE)</f>
        <v>旬阳县</v>
      </c>
      <c r="G31" s="12" t="str">
        <f ca="1">VLOOKUP(F31,Table11[[Native]:[Population4]],5,FALSE)</f>
        <v>安康市</v>
      </c>
    </row>
    <row r="32" spans="1:7" ht="15.75" thickBot="1" x14ac:dyDescent="0.3">
      <c r="A32" t="s">
        <v>61</v>
      </c>
      <c r="B32" s="1" t="s">
        <v>62</v>
      </c>
      <c r="C32" s="1" t="s">
        <v>7</v>
      </c>
      <c r="D32" s="1" t="s">
        <v>18</v>
      </c>
      <c r="E32" s="9">
        <v>18493</v>
      </c>
      <c r="F32" s="1" t="str">
        <f>VLOOKUP(D32,Table11[[Name]:[Native]],3,FALSE)</f>
        <v>紫阳县</v>
      </c>
      <c r="G32" s="12" t="str">
        <f ca="1">VLOOKUP(F32,Table11[[Native]:[Population4]],5,FALSE)</f>
        <v>安康市</v>
      </c>
    </row>
    <row r="33" spans="1:7" ht="15.75" thickBot="1" x14ac:dyDescent="0.3">
      <c r="A33" t="s">
        <v>63</v>
      </c>
      <c r="B33" s="1" t="s">
        <v>64</v>
      </c>
      <c r="C33" s="1" t="s">
        <v>7</v>
      </c>
      <c r="D33" s="1" t="s">
        <v>18</v>
      </c>
      <c r="E33" s="9">
        <v>28149</v>
      </c>
      <c r="F33" s="1" t="str">
        <f>VLOOKUP(D33,Table11[[Name]:[Native]],3,FALSE)</f>
        <v>紫阳县</v>
      </c>
      <c r="G33" s="12" t="str">
        <f ca="1">VLOOKUP(F33,Table11[[Native]:[Population4]],5,FALSE)</f>
        <v>安康市</v>
      </c>
    </row>
    <row r="34" spans="1:7" ht="15.75" thickBot="1" x14ac:dyDescent="0.3">
      <c r="A34" t="s">
        <v>65</v>
      </c>
      <c r="B34" s="1" t="s">
        <v>66</v>
      </c>
      <c r="C34" s="1" t="s">
        <v>7</v>
      </c>
      <c r="D34" s="1" t="s">
        <v>26</v>
      </c>
      <c r="E34" s="9">
        <v>8071</v>
      </c>
      <c r="F34" s="1" t="str">
        <f>VLOOKUP(D34,Table11[[Name]:[Native]],3,FALSE)</f>
        <v>白河县</v>
      </c>
      <c r="G34" s="12" t="str">
        <f ca="1">VLOOKUP(F34,Table11[[Native]:[Population4]],5,FALSE)</f>
        <v>安康市</v>
      </c>
    </row>
    <row r="35" spans="1:7" ht="15.75" thickBot="1" x14ac:dyDescent="0.3">
      <c r="A35" t="s">
        <v>67</v>
      </c>
      <c r="B35" s="1" t="s">
        <v>68</v>
      </c>
      <c r="C35" s="1" t="s">
        <v>7</v>
      </c>
      <c r="D35" s="1" t="s">
        <v>15</v>
      </c>
      <c r="E35" s="9">
        <v>11462</v>
      </c>
      <c r="F35" s="1" t="str">
        <f>VLOOKUP(D35,Table11[[Name]:[Native]],3,FALSE)</f>
        <v>旬阳县</v>
      </c>
      <c r="G35" s="12" t="str">
        <f ca="1">VLOOKUP(F35,Table11[[Native]:[Population4]],5,FALSE)</f>
        <v>安康市</v>
      </c>
    </row>
    <row r="36" spans="1:7" ht="15.75" thickBot="1" x14ac:dyDescent="0.3">
      <c r="A36" t="s">
        <v>69</v>
      </c>
      <c r="B36" s="1" t="s">
        <v>70</v>
      </c>
      <c r="C36" s="1" t="s">
        <v>7</v>
      </c>
      <c r="D36" s="1" t="s">
        <v>23</v>
      </c>
      <c r="E36" s="9">
        <v>20637</v>
      </c>
      <c r="F36" s="1" t="str">
        <f>VLOOKUP(D36,Table11[[Name]:[Native]],3,FALSE)</f>
        <v>平利县</v>
      </c>
      <c r="G36" s="12" t="str">
        <f ca="1">VLOOKUP(F36,Table11[[Native]:[Population4]],5,FALSE)</f>
        <v>安康市</v>
      </c>
    </row>
    <row r="37" spans="1:7" ht="15.75" thickBot="1" x14ac:dyDescent="0.3">
      <c r="A37" t="s">
        <v>71</v>
      </c>
      <c r="B37" s="1" t="s">
        <v>72</v>
      </c>
      <c r="C37" s="1" t="s">
        <v>7</v>
      </c>
      <c r="D37" s="1" t="s">
        <v>35</v>
      </c>
      <c r="E37" s="9">
        <v>4968</v>
      </c>
      <c r="F37" s="1" t="str">
        <f>VLOOKUP(D37,Table11[[Name]:[Native]],3,FALSE)</f>
        <v>宁陕县</v>
      </c>
      <c r="G37" s="12" t="str">
        <f ca="1">VLOOKUP(F37,Table11[[Native]:[Population4]],5,FALSE)</f>
        <v>安康市</v>
      </c>
    </row>
    <row r="38" spans="1:7" ht="15.75" thickBot="1" x14ac:dyDescent="0.3">
      <c r="A38" t="s">
        <v>73</v>
      </c>
      <c r="B38" s="1" t="s">
        <v>74</v>
      </c>
      <c r="C38" s="1" t="s">
        <v>7</v>
      </c>
      <c r="D38" s="1" t="s">
        <v>8</v>
      </c>
      <c r="E38" s="9">
        <v>15743</v>
      </c>
      <c r="F38" s="1" t="str">
        <f>VLOOKUP(D38,Table11[[Name]:[Native]],3,FALSE)</f>
        <v>汉滨区</v>
      </c>
      <c r="G38" s="12" t="str">
        <f ca="1">VLOOKUP(F38,Table11[[Native]:[Population4]],5,FALSE)</f>
        <v>安康市</v>
      </c>
    </row>
    <row r="39" spans="1:7" ht="15.75" thickBot="1" x14ac:dyDescent="0.3">
      <c r="A39" t="s">
        <v>75</v>
      </c>
      <c r="B39" s="1" t="s">
        <v>76</v>
      </c>
      <c r="C39" s="1" t="s">
        <v>7</v>
      </c>
      <c r="D39" s="1" t="s">
        <v>15</v>
      </c>
      <c r="E39" s="9">
        <v>14352</v>
      </c>
      <c r="F39" s="1" t="str">
        <f>VLOOKUP(D39,Table11[[Name]:[Native]],3,FALSE)</f>
        <v>旬阳县</v>
      </c>
      <c r="G39" s="12" t="str">
        <f ca="1">VLOOKUP(F39,Table11[[Native]:[Population4]],5,FALSE)</f>
        <v>安康市</v>
      </c>
    </row>
    <row r="40" spans="1:7" ht="15.75" thickBot="1" x14ac:dyDescent="0.3">
      <c r="A40" t="s">
        <v>77</v>
      </c>
      <c r="B40" s="1" t="s">
        <v>78</v>
      </c>
      <c r="C40" s="1" t="s">
        <v>7</v>
      </c>
      <c r="D40" s="1" t="s">
        <v>8</v>
      </c>
      <c r="E40" s="9">
        <v>42200</v>
      </c>
      <c r="F40" s="1" t="str">
        <f>VLOOKUP(D40,Table11[[Name]:[Native]],3,FALSE)</f>
        <v>汉滨区</v>
      </c>
      <c r="G40" s="12" t="str">
        <f ca="1">VLOOKUP(F40,Table11[[Native]:[Population4]],5,FALSE)</f>
        <v>安康市</v>
      </c>
    </row>
    <row r="41" spans="1:7" ht="15.75" thickBot="1" x14ac:dyDescent="0.3">
      <c r="A41" t="s">
        <v>79</v>
      </c>
      <c r="B41" s="1" t="s">
        <v>80</v>
      </c>
      <c r="C41" s="1" t="s">
        <v>7</v>
      </c>
      <c r="D41" s="1" t="s">
        <v>34</v>
      </c>
      <c r="E41" s="9">
        <v>7292</v>
      </c>
      <c r="F41" s="1" t="str">
        <f>VLOOKUP(D41,Table11[[Name]:[Native]],3,FALSE)</f>
        <v>汉阴县</v>
      </c>
      <c r="G41" s="12" t="str">
        <f ca="1">VLOOKUP(F41,Table11[[Native]:[Population4]],5,FALSE)</f>
        <v>安康市</v>
      </c>
    </row>
    <row r="42" spans="1:7" ht="15.75" thickBot="1" x14ac:dyDescent="0.3">
      <c r="A42" t="s">
        <v>81</v>
      </c>
      <c r="B42" s="1" t="s">
        <v>82</v>
      </c>
      <c r="C42" s="1" t="s">
        <v>7</v>
      </c>
      <c r="D42" s="1" t="s">
        <v>36</v>
      </c>
      <c r="E42" s="9">
        <v>6590</v>
      </c>
      <c r="F42" s="1" t="str">
        <f>VLOOKUP(D42,Table11[[Name]:[Native]],3,FALSE)</f>
        <v>岚皋县</v>
      </c>
      <c r="G42" s="12" t="str">
        <f ca="1">VLOOKUP(F42,Table11[[Native]:[Population4]],5,FALSE)</f>
        <v>安康市</v>
      </c>
    </row>
    <row r="43" spans="1:7" ht="15.75" thickBot="1" x14ac:dyDescent="0.3">
      <c r="A43" t="s">
        <v>83</v>
      </c>
      <c r="B43" s="1" t="s">
        <v>84</v>
      </c>
      <c r="C43" s="1" t="s">
        <v>7</v>
      </c>
      <c r="D43" s="1" t="s">
        <v>18</v>
      </c>
      <c r="E43" s="9">
        <v>11800</v>
      </c>
      <c r="F43" s="1" t="str">
        <f>VLOOKUP(D43,Table11[[Name]:[Native]],3,FALSE)</f>
        <v>紫阳县</v>
      </c>
      <c r="G43" s="12" t="str">
        <f ca="1">VLOOKUP(F43,Table11[[Native]:[Population4]],5,FALSE)</f>
        <v>安康市</v>
      </c>
    </row>
    <row r="44" spans="1:7" ht="15.75" thickBot="1" x14ac:dyDescent="0.3">
      <c r="A44" t="s">
        <v>85</v>
      </c>
      <c r="B44" s="1" t="s">
        <v>86</v>
      </c>
      <c r="C44" s="1" t="s">
        <v>7</v>
      </c>
      <c r="D44" s="1" t="s">
        <v>34</v>
      </c>
      <c r="E44" s="9">
        <v>20400</v>
      </c>
      <c r="F44" s="1" t="str">
        <f>VLOOKUP(D44,Table11[[Name]:[Native]],3,FALSE)</f>
        <v>汉阴县</v>
      </c>
      <c r="G44" s="12" t="str">
        <f ca="1">VLOOKUP(F44,Table11[[Native]:[Population4]],5,FALSE)</f>
        <v>安康市</v>
      </c>
    </row>
    <row r="45" spans="1:7" ht="15.75" thickBot="1" x14ac:dyDescent="0.3">
      <c r="A45" t="s">
        <v>87</v>
      </c>
      <c r="B45" s="1" t="s">
        <v>88</v>
      </c>
      <c r="C45" s="1" t="s">
        <v>7</v>
      </c>
      <c r="D45" s="1" t="s">
        <v>18</v>
      </c>
      <c r="E45" s="9">
        <v>25903</v>
      </c>
      <c r="F45" s="1" t="str">
        <f>VLOOKUP(D45,Table11[[Name]:[Native]],3,FALSE)</f>
        <v>紫阳县</v>
      </c>
      <c r="G45" s="12" t="str">
        <f ca="1">VLOOKUP(F45,Table11[[Native]:[Population4]],5,FALSE)</f>
        <v>安康市</v>
      </c>
    </row>
    <row r="46" spans="1:7" ht="15.75" thickBot="1" x14ac:dyDescent="0.3">
      <c r="A46" t="s">
        <v>89</v>
      </c>
      <c r="B46" s="1" t="s">
        <v>90</v>
      </c>
      <c r="C46" s="1" t="s">
        <v>7</v>
      </c>
      <c r="D46" s="1" t="s">
        <v>8</v>
      </c>
      <c r="E46" s="9">
        <v>81086</v>
      </c>
      <c r="F46" s="1" t="str">
        <f>VLOOKUP(D46,Table11[[Name]:[Native]],3,FALSE)</f>
        <v>汉滨区</v>
      </c>
      <c r="G46" s="12" t="str">
        <f ca="1">VLOOKUP(F46,Table11[[Native]:[Population4]],5,FALSE)</f>
        <v>安康市</v>
      </c>
    </row>
    <row r="47" spans="1:7" ht="15.75" thickBot="1" x14ac:dyDescent="0.3">
      <c r="A47" t="s">
        <v>91</v>
      </c>
      <c r="B47" s="1" t="s">
        <v>92</v>
      </c>
      <c r="C47" s="1" t="s">
        <v>7</v>
      </c>
      <c r="D47" s="1" t="s">
        <v>8</v>
      </c>
      <c r="E47" s="9">
        <v>23678</v>
      </c>
      <c r="F47" s="1" t="str">
        <f>VLOOKUP(D47,Table11[[Name]:[Native]],3,FALSE)</f>
        <v>汉滨区</v>
      </c>
      <c r="G47" s="12" t="str">
        <f ca="1">VLOOKUP(F47,Table11[[Native]:[Population4]],5,FALSE)</f>
        <v>安康市</v>
      </c>
    </row>
    <row r="48" spans="1:7" ht="15.75" thickBot="1" x14ac:dyDescent="0.3">
      <c r="A48" t="s">
        <v>93</v>
      </c>
      <c r="B48" s="1" t="s">
        <v>94</v>
      </c>
      <c r="C48" s="1" t="s">
        <v>7</v>
      </c>
      <c r="D48" s="1" t="s">
        <v>18</v>
      </c>
      <c r="E48" s="9">
        <v>14193</v>
      </c>
      <c r="F48" s="1" t="str">
        <f>VLOOKUP(D48,Table11[[Name]:[Native]],3,FALSE)</f>
        <v>紫阳县</v>
      </c>
      <c r="G48" s="12" t="str">
        <f ca="1">VLOOKUP(F48,Table11[[Native]:[Population4]],5,FALSE)</f>
        <v>安康市</v>
      </c>
    </row>
    <row r="49" spans="1:7" ht="15.75" thickBot="1" x14ac:dyDescent="0.3">
      <c r="A49" t="s">
        <v>95</v>
      </c>
      <c r="B49" s="1" t="s">
        <v>96</v>
      </c>
      <c r="C49" s="1" t="s">
        <v>7</v>
      </c>
      <c r="D49" s="1" t="s">
        <v>15</v>
      </c>
      <c r="E49" s="9">
        <v>10986</v>
      </c>
      <c r="F49" s="1" t="str">
        <f>VLOOKUP(D49,Table11[[Name]:[Native]],3,FALSE)</f>
        <v>旬阳县</v>
      </c>
      <c r="G49" s="12" t="str">
        <f ca="1">VLOOKUP(F49,Table11[[Native]:[Population4]],5,FALSE)</f>
        <v>安康市</v>
      </c>
    </row>
    <row r="50" spans="1:7" ht="15.75" thickBot="1" x14ac:dyDescent="0.3">
      <c r="A50" t="s">
        <v>97</v>
      </c>
      <c r="B50" s="1" t="s">
        <v>98</v>
      </c>
      <c r="C50" s="1" t="s">
        <v>7</v>
      </c>
      <c r="D50" s="1" t="s">
        <v>8</v>
      </c>
      <c r="E50" s="9">
        <v>21378</v>
      </c>
      <c r="F50" s="1" t="str">
        <f>VLOOKUP(D50,Table11[[Name]:[Native]],3,FALSE)</f>
        <v>汉滨区</v>
      </c>
      <c r="G50" s="12" t="str">
        <f ca="1">VLOOKUP(F50,Table11[[Native]:[Population4]],5,FALSE)</f>
        <v>安康市</v>
      </c>
    </row>
    <row r="51" spans="1:7" ht="15.75" thickBot="1" x14ac:dyDescent="0.3">
      <c r="A51" t="s">
        <v>99</v>
      </c>
      <c r="B51" s="1" t="s">
        <v>100</v>
      </c>
      <c r="C51" s="1" t="s">
        <v>7</v>
      </c>
      <c r="D51" s="1" t="s">
        <v>31</v>
      </c>
      <c r="E51" s="9">
        <v>13214</v>
      </c>
      <c r="F51" s="1" t="str">
        <f>VLOOKUP(D51,Table11[[Name]:[Native]],3,FALSE)</f>
        <v>石泉县</v>
      </c>
      <c r="G51" s="12" t="str">
        <f ca="1">VLOOKUP(F51,Table11[[Native]:[Population4]],5,FALSE)</f>
        <v>安康市</v>
      </c>
    </row>
    <row r="52" spans="1:7" ht="15.75" thickBot="1" x14ac:dyDescent="0.3">
      <c r="A52" t="s">
        <v>101</v>
      </c>
      <c r="B52" s="1" t="s">
        <v>102</v>
      </c>
      <c r="C52" s="1" t="s">
        <v>7</v>
      </c>
      <c r="D52" s="1" t="s">
        <v>35</v>
      </c>
      <c r="E52" s="9">
        <v>2791</v>
      </c>
      <c r="F52" s="1" t="str">
        <f>VLOOKUP(D52,Table11[[Name]:[Native]],3,FALSE)</f>
        <v>宁陕县</v>
      </c>
      <c r="G52" s="12" t="str">
        <f ca="1">VLOOKUP(F52,Table11[[Native]:[Population4]],5,FALSE)</f>
        <v>安康市</v>
      </c>
    </row>
    <row r="53" spans="1:7" ht="15.75" thickBot="1" x14ac:dyDescent="0.3">
      <c r="A53" t="s">
        <v>103</v>
      </c>
      <c r="B53" s="1" t="s">
        <v>104</v>
      </c>
      <c r="C53" s="1" t="s">
        <v>7</v>
      </c>
      <c r="D53" s="1" t="s">
        <v>18</v>
      </c>
      <c r="E53" s="9">
        <v>9907</v>
      </c>
      <c r="F53" s="1" t="str">
        <f>VLOOKUP(D53,Table11[[Name]:[Native]],3,FALSE)</f>
        <v>紫阳县</v>
      </c>
      <c r="G53" s="12" t="str">
        <f ca="1">VLOOKUP(F53,Table11[[Native]:[Population4]],5,FALSE)</f>
        <v>安康市</v>
      </c>
    </row>
    <row r="54" spans="1:7" ht="15.75" thickBot="1" x14ac:dyDescent="0.3">
      <c r="A54" t="s">
        <v>105</v>
      </c>
      <c r="B54" s="1" t="s">
        <v>106</v>
      </c>
      <c r="C54" s="1" t="s">
        <v>7</v>
      </c>
      <c r="D54" s="1" t="s">
        <v>12</v>
      </c>
      <c r="E54" s="9">
        <v>2701</v>
      </c>
      <c r="F54" s="1" t="str">
        <f>VLOOKUP(D54,Table11[[Name]:[Native]],3,FALSE)</f>
        <v>镇坪县</v>
      </c>
      <c r="G54" s="12" t="str">
        <f ca="1">VLOOKUP(F54,Table11[[Native]:[Population4]],5,FALSE)</f>
        <v>安康市</v>
      </c>
    </row>
    <row r="55" spans="1:7" ht="15.75" thickBot="1" x14ac:dyDescent="0.3">
      <c r="A55" t="s">
        <v>107</v>
      </c>
      <c r="B55" s="1" t="s">
        <v>108</v>
      </c>
      <c r="C55" s="1" t="s">
        <v>7</v>
      </c>
      <c r="D55" s="1" t="s">
        <v>18</v>
      </c>
      <c r="E55" s="9">
        <v>7119</v>
      </c>
      <c r="F55" s="1" t="str">
        <f>VLOOKUP(D55,Table11[[Name]:[Native]],3,FALSE)</f>
        <v>紫阳县</v>
      </c>
      <c r="G55" s="12" t="str">
        <f ca="1">VLOOKUP(F55,Table11[[Native]:[Population4]],5,FALSE)</f>
        <v>安康市</v>
      </c>
    </row>
    <row r="56" spans="1:7" ht="15.75" thickBot="1" x14ac:dyDescent="0.3">
      <c r="A56" t="s">
        <v>109</v>
      </c>
      <c r="B56" s="1" t="s">
        <v>110</v>
      </c>
      <c r="C56" s="1" t="s">
        <v>7</v>
      </c>
      <c r="D56" s="1" t="s">
        <v>34</v>
      </c>
      <c r="E56" s="9">
        <v>21048</v>
      </c>
      <c r="F56" s="1" t="str">
        <f>VLOOKUP(D56,Table11[[Name]:[Native]],3,FALSE)</f>
        <v>汉阴县</v>
      </c>
      <c r="G56" s="12" t="str">
        <f ca="1">VLOOKUP(F56,Table11[[Native]:[Population4]],5,FALSE)</f>
        <v>安康市</v>
      </c>
    </row>
    <row r="57" spans="1:7" ht="15.75" thickBot="1" x14ac:dyDescent="0.3">
      <c r="A57" t="s">
        <v>111</v>
      </c>
      <c r="B57" s="1" t="s">
        <v>112</v>
      </c>
      <c r="C57" s="1" t="s">
        <v>113</v>
      </c>
      <c r="D57" s="1" t="s">
        <v>8</v>
      </c>
      <c r="E57" s="9">
        <v>53842</v>
      </c>
      <c r="F57" s="1" t="str">
        <f>VLOOKUP(D57,Table11[[Name]:[Native]],3,FALSE)</f>
        <v>汉滨区</v>
      </c>
      <c r="G57" s="12" t="str">
        <f ca="1">VLOOKUP(F57,Table11[[Native]:[Population4]],5,FALSE)</f>
        <v>安康市</v>
      </c>
    </row>
    <row r="58" spans="1:7" ht="15.75" thickBot="1" x14ac:dyDescent="0.3">
      <c r="A58" t="s">
        <v>114</v>
      </c>
      <c r="B58" s="1" t="s">
        <v>115</v>
      </c>
      <c r="C58" s="1" t="s">
        <v>7</v>
      </c>
      <c r="D58" s="1" t="s">
        <v>35</v>
      </c>
      <c r="E58" s="9">
        <v>8694</v>
      </c>
      <c r="F58" s="1" t="str">
        <f>VLOOKUP(D58,Table11[[Name]:[Native]],3,FALSE)</f>
        <v>宁陕县</v>
      </c>
      <c r="G58" s="12" t="str">
        <f ca="1">VLOOKUP(F58,Table11[[Native]:[Population4]],5,FALSE)</f>
        <v>安康市</v>
      </c>
    </row>
    <row r="59" spans="1:7" ht="15.75" thickBot="1" x14ac:dyDescent="0.3">
      <c r="A59" t="s">
        <v>116</v>
      </c>
      <c r="B59" s="1" t="s">
        <v>117</v>
      </c>
      <c r="C59" s="1" t="s">
        <v>113</v>
      </c>
      <c r="D59" s="1" t="s">
        <v>8</v>
      </c>
      <c r="E59" s="9">
        <v>40984</v>
      </c>
      <c r="F59" s="1" t="str">
        <f>VLOOKUP(D59,Table11[[Name]:[Native]],3,FALSE)</f>
        <v>汉滨区</v>
      </c>
      <c r="G59" s="12" t="str">
        <f ca="1">VLOOKUP(F59,Table11[[Native]:[Population4]],5,FALSE)</f>
        <v>安康市</v>
      </c>
    </row>
    <row r="60" spans="1:7" ht="15.75" thickBot="1" x14ac:dyDescent="0.3">
      <c r="A60" t="s">
        <v>118</v>
      </c>
      <c r="B60" s="1" t="s">
        <v>119</v>
      </c>
      <c r="C60" s="1" t="s">
        <v>7</v>
      </c>
      <c r="D60" s="1" t="s">
        <v>18</v>
      </c>
      <c r="E60" s="9">
        <v>5020</v>
      </c>
      <c r="F60" s="1" t="str">
        <f>VLOOKUP(D60,Table11[[Name]:[Native]],3,FALSE)</f>
        <v>紫阳县</v>
      </c>
      <c r="G60" s="12" t="str">
        <f ca="1">VLOOKUP(F60,Table11[[Native]:[Population4]],5,FALSE)</f>
        <v>安康市</v>
      </c>
    </row>
    <row r="61" spans="1:7" ht="15.75" thickBot="1" x14ac:dyDescent="0.3">
      <c r="A61" t="s">
        <v>120</v>
      </c>
      <c r="B61" s="1" t="s">
        <v>121</v>
      </c>
      <c r="C61" s="1" t="s">
        <v>7</v>
      </c>
      <c r="D61" s="1" t="s">
        <v>8</v>
      </c>
      <c r="E61" s="9">
        <v>13367</v>
      </c>
      <c r="F61" s="1" t="str">
        <f>VLOOKUP(D61,Table11[[Name]:[Native]],3,FALSE)</f>
        <v>汉滨区</v>
      </c>
      <c r="G61" s="12" t="str">
        <f ca="1">VLOOKUP(F61,Table11[[Native]:[Population4]],5,FALSE)</f>
        <v>安康市</v>
      </c>
    </row>
    <row r="62" spans="1:7" ht="15.75" thickBot="1" x14ac:dyDescent="0.3">
      <c r="A62" s="1" t="s">
        <v>122</v>
      </c>
      <c r="B62" s="1" t="s">
        <v>123</v>
      </c>
      <c r="C62" s="1" t="s">
        <v>11</v>
      </c>
      <c r="D62" s="1" t="s">
        <v>18</v>
      </c>
      <c r="E62" s="9">
        <v>5314</v>
      </c>
      <c r="F62" s="1" t="str">
        <f>VLOOKUP(D62,Table11[[Name]:[Native]],3,FALSE)</f>
        <v>紫阳县</v>
      </c>
      <c r="G62" s="12" t="str">
        <f ca="1">VLOOKUP(F62,Table11[[Native]:[Population4]],5,FALSE)</f>
        <v>安康市</v>
      </c>
    </row>
    <row r="63" spans="1:7" ht="15.75" thickBot="1" x14ac:dyDescent="0.3">
      <c r="A63" t="s">
        <v>124</v>
      </c>
      <c r="B63" s="1" t="s">
        <v>125</v>
      </c>
      <c r="C63" s="1" t="s">
        <v>7</v>
      </c>
      <c r="D63" s="1" t="s">
        <v>35</v>
      </c>
      <c r="E63" s="9">
        <v>3400</v>
      </c>
      <c r="F63" s="1" t="str">
        <f>VLOOKUP(D63,Table11[[Name]:[Native]],3,FALSE)</f>
        <v>宁陕县</v>
      </c>
      <c r="G63" s="12" t="str">
        <f ca="1">VLOOKUP(F63,Table11[[Native]:[Population4]],5,FALSE)</f>
        <v>安康市</v>
      </c>
    </row>
    <row r="64" spans="1:7" ht="15.75" thickBot="1" x14ac:dyDescent="0.3">
      <c r="A64" t="s">
        <v>126</v>
      </c>
      <c r="B64" s="1" t="s">
        <v>127</v>
      </c>
      <c r="C64" s="1" t="s">
        <v>7</v>
      </c>
      <c r="D64" s="1" t="s">
        <v>15</v>
      </c>
      <c r="E64" s="9">
        <v>13739</v>
      </c>
      <c r="F64" s="1" t="str">
        <f>VLOOKUP(D64,Table11[[Name]:[Native]],3,FALSE)</f>
        <v>旬阳县</v>
      </c>
      <c r="G64" s="12" t="str">
        <f ca="1">VLOOKUP(F64,Table11[[Native]:[Population4]],5,FALSE)</f>
        <v>安康市</v>
      </c>
    </row>
    <row r="65" spans="1:7" ht="15.75" thickBot="1" x14ac:dyDescent="0.3">
      <c r="A65" t="s">
        <v>128</v>
      </c>
      <c r="B65" s="1" t="s">
        <v>129</v>
      </c>
      <c r="C65" s="1" t="s">
        <v>7</v>
      </c>
      <c r="D65" s="1" t="s">
        <v>26</v>
      </c>
      <c r="E65" s="9">
        <v>9689</v>
      </c>
      <c r="F65" s="1" t="str">
        <f>VLOOKUP(D65,Table11[[Name]:[Native]],3,FALSE)</f>
        <v>白河县</v>
      </c>
      <c r="G65" s="12" t="str">
        <f ca="1">VLOOKUP(F65,Table11[[Native]:[Population4]],5,FALSE)</f>
        <v>安康市</v>
      </c>
    </row>
    <row r="66" spans="1:7" ht="15.75" thickBot="1" x14ac:dyDescent="0.3">
      <c r="A66" t="s">
        <v>130</v>
      </c>
      <c r="B66" s="1" t="s">
        <v>131</v>
      </c>
      <c r="C66" s="1" t="s">
        <v>113</v>
      </c>
      <c r="D66" s="1" t="s">
        <v>8</v>
      </c>
      <c r="E66" s="9">
        <v>41388</v>
      </c>
      <c r="F66" s="1" t="str">
        <f>VLOOKUP(D66,Table11[[Name]:[Native]],3,FALSE)</f>
        <v>汉滨区</v>
      </c>
      <c r="G66" s="12" t="str">
        <f ca="1">VLOOKUP(F66,Table11[[Native]:[Population4]],5,FALSE)</f>
        <v>安康市</v>
      </c>
    </row>
    <row r="67" spans="1:7" ht="15.75" thickBot="1" x14ac:dyDescent="0.3">
      <c r="A67" t="s">
        <v>132</v>
      </c>
      <c r="B67" s="1" t="s">
        <v>133</v>
      </c>
      <c r="C67" s="1" t="s">
        <v>7</v>
      </c>
      <c r="D67" s="1" t="s">
        <v>23</v>
      </c>
      <c r="E67" s="9">
        <v>14150</v>
      </c>
      <c r="F67" s="1" t="str">
        <f>VLOOKUP(D67,Table11[[Name]:[Native]],3,FALSE)</f>
        <v>平利县</v>
      </c>
      <c r="G67" s="12" t="str">
        <f ca="1">VLOOKUP(F67,Table11[[Native]:[Population4]],5,FALSE)</f>
        <v>安康市</v>
      </c>
    </row>
    <row r="68" spans="1:7" ht="15.75" thickBot="1" x14ac:dyDescent="0.3">
      <c r="A68" t="s">
        <v>134</v>
      </c>
      <c r="B68" s="1" t="s">
        <v>135</v>
      </c>
      <c r="C68" s="1" t="s">
        <v>7</v>
      </c>
      <c r="D68" s="1" t="s">
        <v>26</v>
      </c>
      <c r="E68" s="9">
        <v>16172</v>
      </c>
      <c r="F68" s="1" t="str">
        <f>VLOOKUP(D68,Table11[[Name]:[Native]],3,FALSE)</f>
        <v>白河县</v>
      </c>
      <c r="G68" s="12" t="str">
        <f ca="1">VLOOKUP(F68,Table11[[Native]:[Population4]],5,FALSE)</f>
        <v>安康市</v>
      </c>
    </row>
    <row r="69" spans="1:7" ht="15.75" thickBot="1" x14ac:dyDescent="0.3">
      <c r="A69" t="s">
        <v>136</v>
      </c>
      <c r="B69" s="1" t="s">
        <v>137</v>
      </c>
      <c r="C69" s="1" t="s">
        <v>7</v>
      </c>
      <c r="D69" s="1" t="s">
        <v>31</v>
      </c>
      <c r="E69" s="9">
        <v>8662</v>
      </c>
      <c r="F69" s="1" t="str">
        <f>VLOOKUP(D69,Table11[[Name]:[Native]],3,FALSE)</f>
        <v>石泉县</v>
      </c>
      <c r="G69" s="12" t="str">
        <f ca="1">VLOOKUP(F69,Table11[[Native]:[Population4]],5,FALSE)</f>
        <v>安康市</v>
      </c>
    </row>
    <row r="70" spans="1:7" ht="15.75" thickBot="1" x14ac:dyDescent="0.3">
      <c r="A70" t="s">
        <v>138</v>
      </c>
      <c r="B70" s="1" t="s">
        <v>139</v>
      </c>
      <c r="C70" s="1" t="s">
        <v>11</v>
      </c>
      <c r="D70" s="1" t="s">
        <v>18</v>
      </c>
      <c r="E70" s="9">
        <v>4244</v>
      </c>
      <c r="F70" s="1" t="str">
        <f>VLOOKUP(D70,Table11[[Name]:[Native]],3,FALSE)</f>
        <v>紫阳县</v>
      </c>
      <c r="G70" s="12" t="str">
        <f ca="1">VLOOKUP(F70,Table11[[Native]:[Population4]],5,FALSE)</f>
        <v>安康市</v>
      </c>
    </row>
    <row r="71" spans="1:7" ht="15.75" thickBot="1" x14ac:dyDescent="0.3">
      <c r="A71" t="s">
        <v>140</v>
      </c>
      <c r="B71" s="1" t="s">
        <v>141</v>
      </c>
      <c r="C71" s="1" t="s">
        <v>7</v>
      </c>
      <c r="D71" s="1" t="s">
        <v>36</v>
      </c>
      <c r="E71" s="9">
        <v>7668</v>
      </c>
      <c r="F71" s="1" t="str">
        <f>VLOOKUP(D71,Table11[[Name]:[Native]],3,FALSE)</f>
        <v>岚皋县</v>
      </c>
      <c r="G71" s="12" t="str">
        <f ca="1">VLOOKUP(F71,Table11[[Native]:[Population4]],5,FALSE)</f>
        <v>安康市</v>
      </c>
    </row>
    <row r="72" spans="1:7" ht="15.75" thickBot="1" x14ac:dyDescent="0.3">
      <c r="A72" t="s">
        <v>142</v>
      </c>
      <c r="B72" s="1" t="s">
        <v>143</v>
      </c>
      <c r="C72" s="1" t="s">
        <v>7</v>
      </c>
      <c r="D72" s="1" t="s">
        <v>8</v>
      </c>
      <c r="E72" s="9">
        <v>11744</v>
      </c>
      <c r="F72" s="1" t="str">
        <f>VLOOKUP(D72,Table11[[Name]:[Native]],3,FALSE)</f>
        <v>汉滨区</v>
      </c>
      <c r="G72" s="12" t="str">
        <f ca="1">VLOOKUP(F72,Table11[[Native]:[Population4]],5,FALSE)</f>
        <v>安康市</v>
      </c>
    </row>
    <row r="73" spans="1:7" ht="15.75" thickBot="1" x14ac:dyDescent="0.3">
      <c r="A73" t="s">
        <v>144</v>
      </c>
      <c r="B73" s="1" t="s">
        <v>145</v>
      </c>
      <c r="C73" s="1" t="s">
        <v>7</v>
      </c>
      <c r="D73" s="1" t="s">
        <v>35</v>
      </c>
      <c r="E73" s="9">
        <v>4683</v>
      </c>
      <c r="F73" s="1" t="str">
        <f>VLOOKUP(D73,Table11[[Name]:[Native]],3,FALSE)</f>
        <v>宁陕县</v>
      </c>
      <c r="G73" s="12" t="str">
        <f ca="1">VLOOKUP(F73,Table11[[Native]:[Population4]],5,FALSE)</f>
        <v>安康市</v>
      </c>
    </row>
    <row r="74" spans="1:7" ht="15.75" thickBot="1" x14ac:dyDescent="0.3">
      <c r="A74" t="s">
        <v>146</v>
      </c>
      <c r="B74" s="1" t="s">
        <v>147</v>
      </c>
      <c r="C74" s="1" t="s">
        <v>7</v>
      </c>
      <c r="D74" s="1" t="s">
        <v>15</v>
      </c>
      <c r="E74" s="9">
        <v>25506</v>
      </c>
      <c r="F74" s="1" t="str">
        <f>VLOOKUP(D74,Table11[[Name]:[Native]],3,FALSE)</f>
        <v>旬阳县</v>
      </c>
      <c r="G74" s="12" t="str">
        <f ca="1">VLOOKUP(F74,Table11[[Native]:[Population4]],5,FALSE)</f>
        <v>安康市</v>
      </c>
    </row>
    <row r="75" spans="1:7" ht="15.75" thickBot="1" x14ac:dyDescent="0.3">
      <c r="A75" t="s">
        <v>148</v>
      </c>
      <c r="B75" s="1" t="s">
        <v>149</v>
      </c>
      <c r="C75" s="1" t="s">
        <v>7</v>
      </c>
      <c r="D75" s="1" t="s">
        <v>23</v>
      </c>
      <c r="E75" s="9">
        <v>13101</v>
      </c>
      <c r="F75" s="1" t="str">
        <f>VLOOKUP(D75,Table11[[Name]:[Native]],3,FALSE)</f>
        <v>平利县</v>
      </c>
      <c r="G75" s="12" t="str">
        <f ca="1">VLOOKUP(F75,Table11[[Native]:[Population4]],5,FALSE)</f>
        <v>安康市</v>
      </c>
    </row>
    <row r="76" spans="1:7" ht="15.75" thickBot="1" x14ac:dyDescent="0.3">
      <c r="A76" t="s">
        <v>150</v>
      </c>
      <c r="B76" s="1" t="s">
        <v>151</v>
      </c>
      <c r="C76" s="1" t="s">
        <v>7</v>
      </c>
      <c r="D76" s="1" t="s">
        <v>26</v>
      </c>
      <c r="E76" s="9">
        <v>7944</v>
      </c>
      <c r="F76" s="1" t="str">
        <f>VLOOKUP(D76,Table11[[Name]:[Native]],3,FALSE)</f>
        <v>白河县</v>
      </c>
      <c r="G76" s="12" t="str">
        <f ca="1">VLOOKUP(F76,Table11[[Native]:[Population4]],5,FALSE)</f>
        <v>安康市</v>
      </c>
    </row>
    <row r="77" spans="1:7" ht="15.75" thickBot="1" x14ac:dyDescent="0.3">
      <c r="A77" t="s">
        <v>152</v>
      </c>
      <c r="B77" s="1" t="s">
        <v>153</v>
      </c>
      <c r="C77" s="1" t="s">
        <v>7</v>
      </c>
      <c r="D77" s="1" t="s">
        <v>18</v>
      </c>
      <c r="E77" s="9">
        <v>11912</v>
      </c>
      <c r="F77" s="1" t="str">
        <f>VLOOKUP(D77,Table11[[Name]:[Native]],3,FALSE)</f>
        <v>紫阳县</v>
      </c>
      <c r="G77" s="12" t="str">
        <f ca="1">VLOOKUP(F77,Table11[[Native]:[Population4]],5,FALSE)</f>
        <v>安康市</v>
      </c>
    </row>
    <row r="78" spans="1:7" ht="15.75" thickBot="1" x14ac:dyDescent="0.3">
      <c r="A78" t="s">
        <v>154</v>
      </c>
      <c r="B78" s="1" t="s">
        <v>155</v>
      </c>
      <c r="C78" s="1" t="s">
        <v>7</v>
      </c>
      <c r="D78" s="1" t="s">
        <v>18</v>
      </c>
      <c r="E78" s="9">
        <v>19008</v>
      </c>
      <c r="F78" s="1" t="str">
        <f>VLOOKUP(D78,Table11[[Name]:[Native]],3,FALSE)</f>
        <v>紫阳县</v>
      </c>
      <c r="G78" s="12" t="str">
        <f ca="1">VLOOKUP(F78,Table11[[Native]:[Population4]],5,FALSE)</f>
        <v>安康市</v>
      </c>
    </row>
    <row r="79" spans="1:7" ht="15.75" thickBot="1" x14ac:dyDescent="0.3">
      <c r="A79" t="s">
        <v>156</v>
      </c>
      <c r="B79" s="1" t="s">
        <v>157</v>
      </c>
      <c r="C79" s="1" t="s">
        <v>7</v>
      </c>
      <c r="D79" s="1" t="s">
        <v>26</v>
      </c>
      <c r="E79" s="9">
        <v>15293</v>
      </c>
      <c r="F79" s="1" t="str">
        <f>VLOOKUP(D79,Table11[[Name]:[Native]],3,FALSE)</f>
        <v>白河县</v>
      </c>
      <c r="G79" s="12" t="str">
        <f ca="1">VLOOKUP(F79,Table11[[Native]:[Population4]],5,FALSE)</f>
        <v>安康市</v>
      </c>
    </row>
    <row r="80" spans="1:7" ht="15.75" thickBot="1" x14ac:dyDescent="0.3">
      <c r="A80" t="s">
        <v>158</v>
      </c>
      <c r="B80" s="1" t="s">
        <v>159</v>
      </c>
      <c r="C80" s="1" t="s">
        <v>7</v>
      </c>
      <c r="D80" s="1" t="s">
        <v>15</v>
      </c>
      <c r="E80" s="9">
        <v>11385</v>
      </c>
      <c r="F80" s="1" t="str">
        <f>VLOOKUP(D80,Table11[[Name]:[Native]],3,FALSE)</f>
        <v>旬阳县</v>
      </c>
      <c r="G80" s="12" t="str">
        <f ca="1">VLOOKUP(F80,Table11[[Native]:[Population4]],5,FALSE)</f>
        <v>安康市</v>
      </c>
    </row>
    <row r="81" spans="1:7" ht="15.75" thickBot="1" x14ac:dyDescent="0.3">
      <c r="A81" t="s">
        <v>160</v>
      </c>
      <c r="B81" s="1" t="s">
        <v>161</v>
      </c>
      <c r="C81" s="1" t="s">
        <v>7</v>
      </c>
      <c r="D81" s="1" t="s">
        <v>35</v>
      </c>
      <c r="E81" s="9">
        <v>2401</v>
      </c>
      <c r="F81" s="1" t="str">
        <f>VLOOKUP(D81,Table11[[Name]:[Native]],3,FALSE)</f>
        <v>宁陕县</v>
      </c>
      <c r="G81" s="12" t="str">
        <f ca="1">VLOOKUP(F81,Table11[[Native]:[Population4]],5,FALSE)</f>
        <v>安康市</v>
      </c>
    </row>
    <row r="82" spans="1:7" ht="15.75" thickBot="1" x14ac:dyDescent="0.3">
      <c r="A82" t="s">
        <v>162</v>
      </c>
      <c r="B82" s="1" t="s">
        <v>163</v>
      </c>
      <c r="C82" s="1" t="s">
        <v>7</v>
      </c>
      <c r="D82" s="1" t="s">
        <v>36</v>
      </c>
      <c r="E82" s="9">
        <v>9113</v>
      </c>
      <c r="F82" s="1" t="str">
        <f>VLOOKUP(D82,Table11[[Name]:[Native]],3,FALSE)</f>
        <v>岚皋县</v>
      </c>
      <c r="G82" s="12" t="str">
        <f ca="1">VLOOKUP(F82,Table11[[Native]:[Population4]],5,FALSE)</f>
        <v>安康市</v>
      </c>
    </row>
    <row r="83" spans="1:7" ht="15.75" thickBot="1" x14ac:dyDescent="0.3">
      <c r="A83" t="s">
        <v>164</v>
      </c>
      <c r="B83" s="1" t="s">
        <v>165</v>
      </c>
      <c r="C83" s="1" t="s">
        <v>11</v>
      </c>
      <c r="D83" s="1" t="s">
        <v>18</v>
      </c>
      <c r="E83" s="9">
        <v>2811</v>
      </c>
      <c r="F83" s="1" t="str">
        <f>VLOOKUP(D83,Table11[[Name]:[Native]],3,FALSE)</f>
        <v>紫阳县</v>
      </c>
      <c r="G83" s="12" t="str">
        <f ca="1">VLOOKUP(F83,Table11[[Native]:[Population4]],5,FALSE)</f>
        <v>安康市</v>
      </c>
    </row>
    <row r="84" spans="1:7" ht="15.75" thickBot="1" x14ac:dyDescent="0.3">
      <c r="A84" t="s">
        <v>166</v>
      </c>
      <c r="B84" s="1" t="s">
        <v>167</v>
      </c>
      <c r="C84" s="1" t="s">
        <v>7</v>
      </c>
      <c r="D84" s="1" t="s">
        <v>36</v>
      </c>
      <c r="E84" s="9">
        <v>25786</v>
      </c>
      <c r="F84" s="1" t="str">
        <f>VLOOKUP(D84,Table11[[Name]:[Native]],3,FALSE)</f>
        <v>岚皋县</v>
      </c>
      <c r="G84" s="12" t="str">
        <f ca="1">VLOOKUP(F84,Table11[[Native]:[Population4]],5,FALSE)</f>
        <v>安康市</v>
      </c>
    </row>
    <row r="85" spans="1:7" ht="15.75" thickBot="1" x14ac:dyDescent="0.3">
      <c r="A85" t="s">
        <v>168</v>
      </c>
      <c r="B85" s="1" t="s">
        <v>169</v>
      </c>
      <c r="C85" s="1" t="s">
        <v>7</v>
      </c>
      <c r="D85" s="1" t="s">
        <v>36</v>
      </c>
      <c r="E85" s="9">
        <v>12228</v>
      </c>
      <c r="F85" s="1" t="str">
        <f>VLOOKUP(D85,Table11[[Name]:[Native]],3,FALSE)</f>
        <v>岚皋县</v>
      </c>
      <c r="G85" s="12" t="str">
        <f ca="1">VLOOKUP(F85,Table11[[Native]:[Population4]],5,FALSE)</f>
        <v>安康市</v>
      </c>
    </row>
    <row r="86" spans="1:7" ht="15.75" thickBot="1" x14ac:dyDescent="0.3">
      <c r="A86" t="s">
        <v>170</v>
      </c>
      <c r="B86" s="1" t="s">
        <v>171</v>
      </c>
      <c r="C86" s="1" t="s">
        <v>11</v>
      </c>
      <c r="D86" s="1" t="s">
        <v>8</v>
      </c>
      <c r="E86" s="9">
        <v>8619</v>
      </c>
      <c r="F86" s="1" t="str">
        <f>VLOOKUP(D86,Table11[[Name]:[Native]],3,FALSE)</f>
        <v>汉滨区</v>
      </c>
      <c r="G86" s="12" t="str">
        <f ca="1">VLOOKUP(F86,Table11[[Native]:[Population4]],5,FALSE)</f>
        <v>安康市</v>
      </c>
    </row>
    <row r="87" spans="1:7" ht="15.75" thickBot="1" x14ac:dyDescent="0.3">
      <c r="A87" t="s">
        <v>172</v>
      </c>
      <c r="B87" s="1" t="s">
        <v>173</v>
      </c>
      <c r="C87" s="1" t="s">
        <v>7</v>
      </c>
      <c r="D87" s="1" t="s">
        <v>8</v>
      </c>
      <c r="E87" s="9">
        <v>5999</v>
      </c>
      <c r="F87" s="1" t="str">
        <f>VLOOKUP(D87,Table11[[Name]:[Native]],3,FALSE)</f>
        <v>汉滨区</v>
      </c>
      <c r="G87" s="12" t="str">
        <f ca="1">VLOOKUP(F87,Table11[[Native]:[Population4]],5,FALSE)</f>
        <v>安康市</v>
      </c>
    </row>
    <row r="88" spans="1:7" ht="15.75" thickBot="1" x14ac:dyDescent="0.3">
      <c r="A88" t="s">
        <v>174</v>
      </c>
      <c r="B88" s="1" t="s">
        <v>175</v>
      </c>
      <c r="C88" s="1" t="s">
        <v>7</v>
      </c>
      <c r="D88" s="1" t="s">
        <v>12</v>
      </c>
      <c r="E88" s="9">
        <v>4386</v>
      </c>
      <c r="F88" s="1" t="str">
        <f>VLOOKUP(D88,Table11[[Name]:[Native]],3,FALSE)</f>
        <v>镇坪县</v>
      </c>
      <c r="G88" s="12" t="str">
        <f ca="1">VLOOKUP(F88,Table11[[Native]:[Population4]],5,FALSE)</f>
        <v>安康市</v>
      </c>
    </row>
    <row r="89" spans="1:7" ht="15.75" thickBot="1" x14ac:dyDescent="0.3">
      <c r="A89" t="s">
        <v>176</v>
      </c>
      <c r="B89" s="1" t="s">
        <v>177</v>
      </c>
      <c r="C89" s="1" t="s">
        <v>11</v>
      </c>
      <c r="D89" s="1" t="s">
        <v>23</v>
      </c>
      <c r="E89" s="9">
        <v>8099</v>
      </c>
      <c r="F89" s="1" t="str">
        <f>VLOOKUP(D89,Table11[[Name]:[Native]],3,FALSE)</f>
        <v>平利县</v>
      </c>
      <c r="G89" s="12" t="str">
        <f ca="1">VLOOKUP(F89,Table11[[Native]:[Population4]],5,FALSE)</f>
        <v>安康市</v>
      </c>
    </row>
    <row r="90" spans="1:7" ht="15.75" thickBot="1" x14ac:dyDescent="0.3">
      <c r="A90" t="s">
        <v>178</v>
      </c>
      <c r="B90" s="1" t="s">
        <v>179</v>
      </c>
      <c r="C90" s="1" t="s">
        <v>7</v>
      </c>
      <c r="D90" s="1" t="s">
        <v>34</v>
      </c>
      <c r="E90" s="9">
        <v>28237</v>
      </c>
      <c r="F90" s="1" t="str">
        <f>VLOOKUP(D90,Table11[[Name]:[Native]],3,FALSE)</f>
        <v>汉阴县</v>
      </c>
      <c r="G90" s="12" t="str">
        <f ca="1">VLOOKUP(F90,Table11[[Native]:[Population4]],5,FALSE)</f>
        <v>安康市</v>
      </c>
    </row>
    <row r="91" spans="1:7" ht="15.75" thickBot="1" x14ac:dyDescent="0.3">
      <c r="A91" t="s">
        <v>180</v>
      </c>
      <c r="B91" s="1" t="s">
        <v>181</v>
      </c>
      <c r="C91" s="1" t="s">
        <v>7</v>
      </c>
      <c r="D91" s="1" t="s">
        <v>34</v>
      </c>
      <c r="E91" s="9">
        <v>18898</v>
      </c>
      <c r="F91" s="1" t="str">
        <f>VLOOKUP(D91,Table11[[Name]:[Native]],3,FALSE)</f>
        <v>汉阴县</v>
      </c>
      <c r="G91" s="12" t="str">
        <f ca="1">VLOOKUP(F91,Table11[[Native]:[Population4]],5,FALSE)</f>
        <v>安康市</v>
      </c>
    </row>
    <row r="92" spans="1:7" ht="15.75" thickBot="1" x14ac:dyDescent="0.3">
      <c r="A92" t="s">
        <v>182</v>
      </c>
      <c r="B92" s="1" t="s">
        <v>183</v>
      </c>
      <c r="C92" s="1" t="s">
        <v>11</v>
      </c>
      <c r="D92" s="1" t="s">
        <v>8</v>
      </c>
      <c r="E92" s="9">
        <v>6113</v>
      </c>
      <c r="F92" s="1" t="str">
        <f>VLOOKUP(D92,Table11[[Name]:[Native]],3,FALSE)</f>
        <v>汉滨区</v>
      </c>
      <c r="G92" s="12" t="str">
        <f ca="1">VLOOKUP(F92,Table11[[Native]:[Population4]],5,FALSE)</f>
        <v>安康市</v>
      </c>
    </row>
    <row r="93" spans="1:7" ht="15.75" thickBot="1" x14ac:dyDescent="0.3">
      <c r="A93" t="s">
        <v>184</v>
      </c>
      <c r="B93" s="1" t="s">
        <v>185</v>
      </c>
      <c r="C93" s="1" t="s">
        <v>7</v>
      </c>
      <c r="D93" s="1" t="s">
        <v>31</v>
      </c>
      <c r="E93" s="9">
        <v>10586</v>
      </c>
      <c r="F93" s="1" t="str">
        <f>VLOOKUP(D93,Table11[[Name]:[Native]],3,FALSE)</f>
        <v>石泉县</v>
      </c>
      <c r="G93" s="12" t="str">
        <f ca="1">VLOOKUP(F93,Table11[[Native]:[Population4]],5,FALSE)</f>
        <v>安康市</v>
      </c>
    </row>
    <row r="94" spans="1:7" ht="15.75" thickBot="1" x14ac:dyDescent="0.3">
      <c r="A94" t="s">
        <v>186</v>
      </c>
      <c r="B94" s="1" t="s">
        <v>187</v>
      </c>
      <c r="C94" s="1" t="s">
        <v>7</v>
      </c>
      <c r="D94" s="1" t="s">
        <v>15</v>
      </c>
      <c r="E94" s="9">
        <v>6486</v>
      </c>
      <c r="F94" s="1" t="str">
        <f>VLOOKUP(D94,Table11[[Name]:[Native]],3,FALSE)</f>
        <v>旬阳县</v>
      </c>
      <c r="G94" s="12" t="str">
        <f ca="1">VLOOKUP(F94,Table11[[Native]:[Population4]],5,FALSE)</f>
        <v>安康市</v>
      </c>
    </row>
    <row r="95" spans="1:7" ht="15.75" thickBot="1" x14ac:dyDescent="0.3">
      <c r="A95" t="s">
        <v>188</v>
      </c>
      <c r="B95" s="1" t="s">
        <v>189</v>
      </c>
      <c r="C95" s="1" t="s">
        <v>7</v>
      </c>
      <c r="D95" s="1" t="s">
        <v>23</v>
      </c>
      <c r="E95" s="9">
        <v>11318</v>
      </c>
      <c r="F95" s="1" t="str">
        <f>VLOOKUP(D95,Table11[[Name]:[Native]],3,FALSE)</f>
        <v>平利县</v>
      </c>
      <c r="G95" s="12" t="str">
        <f ca="1">VLOOKUP(F95,Table11[[Native]:[Population4]],5,FALSE)</f>
        <v>安康市</v>
      </c>
    </row>
    <row r="96" spans="1:7" ht="15.75" thickBot="1" x14ac:dyDescent="0.3">
      <c r="A96" t="s">
        <v>190</v>
      </c>
      <c r="B96" s="1" t="s">
        <v>191</v>
      </c>
      <c r="C96" s="1" t="s">
        <v>7</v>
      </c>
      <c r="D96" s="1" t="s">
        <v>12</v>
      </c>
      <c r="E96" s="9">
        <v>3668</v>
      </c>
      <c r="F96" s="1" t="str">
        <f>VLOOKUP(D96,Table11[[Name]:[Native]],3,FALSE)</f>
        <v>镇坪县</v>
      </c>
      <c r="G96" s="12" t="str">
        <f ca="1">VLOOKUP(F96,Table11[[Native]:[Population4]],5,FALSE)</f>
        <v>安康市</v>
      </c>
    </row>
    <row r="97" spans="1:7" ht="15.75" thickBot="1" x14ac:dyDescent="0.3">
      <c r="A97" t="s">
        <v>192</v>
      </c>
      <c r="B97" s="1" t="s">
        <v>193</v>
      </c>
      <c r="C97" s="1" t="s">
        <v>7</v>
      </c>
      <c r="D97" s="1" t="s">
        <v>8</v>
      </c>
      <c r="E97" s="9">
        <v>10413</v>
      </c>
      <c r="F97" s="1" t="str">
        <f>VLOOKUP(D97,Table11[[Name]:[Native]],3,FALSE)</f>
        <v>汉滨区</v>
      </c>
      <c r="G97" s="12" t="str">
        <f ca="1">VLOOKUP(F97,Table11[[Native]:[Population4]],5,FALSE)</f>
        <v>安康市</v>
      </c>
    </row>
    <row r="98" spans="1:7" ht="15.75" thickBot="1" x14ac:dyDescent="0.3">
      <c r="A98" t="s">
        <v>194</v>
      </c>
      <c r="B98" s="1" t="s">
        <v>195</v>
      </c>
      <c r="C98" s="1" t="s">
        <v>7</v>
      </c>
      <c r="D98" s="1" t="s">
        <v>15</v>
      </c>
      <c r="E98" s="9">
        <v>18384</v>
      </c>
      <c r="F98" s="1" t="str">
        <f>VLOOKUP(D98,Table11[[Name]:[Native]],3,FALSE)</f>
        <v>旬阳县</v>
      </c>
      <c r="G98" s="12" t="str">
        <f ca="1">VLOOKUP(F98,Table11[[Native]:[Population4]],5,FALSE)</f>
        <v>安康市</v>
      </c>
    </row>
    <row r="99" spans="1:7" ht="15.75" thickBot="1" x14ac:dyDescent="0.3">
      <c r="A99" t="s">
        <v>196</v>
      </c>
      <c r="B99" s="1" t="s">
        <v>197</v>
      </c>
      <c r="C99" s="1" t="s">
        <v>7</v>
      </c>
      <c r="D99" s="1" t="s">
        <v>36</v>
      </c>
      <c r="E99" s="9">
        <v>12978</v>
      </c>
      <c r="F99" s="1" t="str">
        <f>VLOOKUP(D99,Table11[[Name]:[Native]],3,FALSE)</f>
        <v>岚皋县</v>
      </c>
      <c r="G99" s="12" t="str">
        <f ca="1">VLOOKUP(F99,Table11[[Native]:[Population4]],5,FALSE)</f>
        <v>安康市</v>
      </c>
    </row>
    <row r="100" spans="1:7" ht="15.75" thickBot="1" x14ac:dyDescent="0.3">
      <c r="A100" t="s">
        <v>198</v>
      </c>
      <c r="B100" s="1" t="s">
        <v>197</v>
      </c>
      <c r="C100" s="1" t="s">
        <v>7</v>
      </c>
      <c r="D100" s="1" t="s">
        <v>15</v>
      </c>
      <c r="E100" s="9">
        <v>11553</v>
      </c>
      <c r="F100" s="1" t="str">
        <f>VLOOKUP(D100,Table11[[Name]:[Native]],3,FALSE)</f>
        <v>旬阳县</v>
      </c>
      <c r="G100" s="12" t="str">
        <f ca="1">VLOOKUP(F100,Table11[[Native]:[Population4]],5,FALSE)</f>
        <v>安康市</v>
      </c>
    </row>
    <row r="101" spans="1:7" ht="15.75" thickBot="1" x14ac:dyDescent="0.3">
      <c r="A101" t="s">
        <v>199</v>
      </c>
      <c r="B101" s="1" t="s">
        <v>200</v>
      </c>
      <c r="C101" s="1" t="s">
        <v>11</v>
      </c>
      <c r="D101" s="1" t="s">
        <v>34</v>
      </c>
      <c r="E101" s="9">
        <v>2186</v>
      </c>
      <c r="F101" s="1" t="str">
        <f>VLOOKUP(D101,Table11[[Name]:[Native]],3,FALSE)</f>
        <v>汉阴县</v>
      </c>
      <c r="G101" s="12" t="str">
        <f ca="1">VLOOKUP(F101,Table11[[Native]:[Population4]],5,FALSE)</f>
        <v>安康市</v>
      </c>
    </row>
    <row r="102" spans="1:7" ht="15.75" thickBot="1" x14ac:dyDescent="0.3">
      <c r="A102" t="s">
        <v>201</v>
      </c>
      <c r="B102" s="1" t="s">
        <v>202</v>
      </c>
      <c r="C102" s="1" t="s">
        <v>7</v>
      </c>
      <c r="D102" s="1" t="s">
        <v>8</v>
      </c>
      <c r="E102" s="9">
        <v>14976</v>
      </c>
      <c r="F102" s="1" t="str">
        <f>VLOOKUP(D102,Table11[[Name]:[Native]],3,FALSE)</f>
        <v>汉滨区</v>
      </c>
      <c r="G102" s="12" t="str">
        <f ca="1">VLOOKUP(F102,Table11[[Native]:[Population4]],5,FALSE)</f>
        <v>安康市</v>
      </c>
    </row>
    <row r="103" spans="1:7" ht="15.75" thickBot="1" x14ac:dyDescent="0.3">
      <c r="A103" t="s">
        <v>203</v>
      </c>
      <c r="B103" s="1" t="s">
        <v>204</v>
      </c>
      <c r="C103" s="1" t="s">
        <v>7</v>
      </c>
      <c r="D103" s="1" t="s">
        <v>18</v>
      </c>
      <c r="E103" s="9">
        <v>10823</v>
      </c>
      <c r="F103" s="1" t="str">
        <f>VLOOKUP(D103,Table11[[Name]:[Native]],3,FALSE)</f>
        <v>紫阳县</v>
      </c>
      <c r="G103" s="12" t="str">
        <f ca="1">VLOOKUP(F103,Table11[[Native]:[Population4]],5,FALSE)</f>
        <v>安康市</v>
      </c>
    </row>
    <row r="104" spans="1:7" ht="15.75" thickBot="1" x14ac:dyDescent="0.3">
      <c r="A104" t="s">
        <v>205</v>
      </c>
      <c r="B104" s="1" t="s">
        <v>206</v>
      </c>
      <c r="C104" s="1" t="s">
        <v>7</v>
      </c>
      <c r="D104" s="1" t="s">
        <v>26</v>
      </c>
      <c r="E104" s="9">
        <v>6977</v>
      </c>
      <c r="F104" s="1" t="str">
        <f>VLOOKUP(D104,Table11[[Name]:[Native]],3,FALSE)</f>
        <v>白河县</v>
      </c>
      <c r="G104" s="12" t="str">
        <f ca="1">VLOOKUP(F104,Table11[[Native]:[Population4]],5,FALSE)</f>
        <v>安康市</v>
      </c>
    </row>
    <row r="105" spans="1:7" ht="15.75" thickBot="1" x14ac:dyDescent="0.3">
      <c r="A105" t="s">
        <v>207</v>
      </c>
      <c r="B105" s="1" t="s">
        <v>208</v>
      </c>
      <c r="C105" s="1" t="s">
        <v>7</v>
      </c>
      <c r="D105" s="1" t="s">
        <v>34</v>
      </c>
      <c r="E105" s="9">
        <v>12995</v>
      </c>
      <c r="F105" s="1" t="str">
        <f>VLOOKUP(D105,Table11[[Name]:[Native]],3,FALSE)</f>
        <v>汉阴县</v>
      </c>
      <c r="G105" s="12" t="str">
        <f ca="1">VLOOKUP(F105,Table11[[Native]:[Population4]],5,FALSE)</f>
        <v>安康市</v>
      </c>
    </row>
    <row r="106" spans="1:7" ht="15.75" thickBot="1" x14ac:dyDescent="0.3">
      <c r="A106" t="s">
        <v>209</v>
      </c>
      <c r="B106" s="1" t="s">
        <v>210</v>
      </c>
      <c r="C106" s="1" t="s">
        <v>7</v>
      </c>
      <c r="D106" s="1" t="s">
        <v>15</v>
      </c>
      <c r="E106" s="9">
        <v>26171</v>
      </c>
      <c r="F106" s="1" t="str">
        <f>VLOOKUP(D106,Table11[[Name]:[Native]],3,FALSE)</f>
        <v>旬阳县</v>
      </c>
      <c r="G106" s="12" t="str">
        <f ca="1">VLOOKUP(F106,Table11[[Native]:[Population4]],5,FALSE)</f>
        <v>安康市</v>
      </c>
    </row>
    <row r="107" spans="1:7" ht="15.75" thickBot="1" x14ac:dyDescent="0.3">
      <c r="A107" t="s">
        <v>211</v>
      </c>
      <c r="B107" s="1" t="s">
        <v>212</v>
      </c>
      <c r="C107" s="1" t="s">
        <v>7</v>
      </c>
      <c r="D107" s="1" t="s">
        <v>8</v>
      </c>
      <c r="E107" s="9">
        <v>14667</v>
      </c>
      <c r="F107" s="1" t="str">
        <f>VLOOKUP(D107,Table11[[Name]:[Native]],3,FALSE)</f>
        <v>汉滨区</v>
      </c>
      <c r="G107" s="12" t="str">
        <f ca="1">VLOOKUP(F107,Table11[[Native]:[Population4]],5,FALSE)</f>
        <v>安康市</v>
      </c>
    </row>
    <row r="108" spans="1:7" ht="15.75" thickBot="1" x14ac:dyDescent="0.3">
      <c r="A108" t="s">
        <v>213</v>
      </c>
      <c r="B108" s="1" t="s">
        <v>214</v>
      </c>
      <c r="C108" s="1" t="s">
        <v>7</v>
      </c>
      <c r="D108" s="1" t="s">
        <v>18</v>
      </c>
      <c r="E108" s="9">
        <v>11275</v>
      </c>
      <c r="F108" s="1" t="str">
        <f>VLOOKUP(D108,Table11[[Name]:[Native]],3,FALSE)</f>
        <v>紫阳县</v>
      </c>
      <c r="G108" s="12" t="str">
        <f ca="1">VLOOKUP(F108,Table11[[Native]:[Population4]],5,FALSE)</f>
        <v>安康市</v>
      </c>
    </row>
    <row r="109" spans="1:7" ht="15.75" thickBot="1" x14ac:dyDescent="0.3">
      <c r="A109" t="s">
        <v>215</v>
      </c>
      <c r="B109" s="1" t="s">
        <v>216</v>
      </c>
      <c r="C109" s="1" t="s">
        <v>7</v>
      </c>
      <c r="D109" s="1" t="s">
        <v>34</v>
      </c>
      <c r="E109" s="9">
        <v>11950</v>
      </c>
      <c r="F109" s="1" t="str">
        <f>VLOOKUP(D109,Table11[[Name]:[Native]],3,FALSE)</f>
        <v>汉阴县</v>
      </c>
      <c r="G109" s="12" t="str">
        <f ca="1">VLOOKUP(F109,Table11[[Native]:[Population4]],5,FALSE)</f>
        <v>安康市</v>
      </c>
    </row>
    <row r="110" spans="1:7" ht="15.75" thickBot="1" x14ac:dyDescent="0.3">
      <c r="A110" t="s">
        <v>217</v>
      </c>
      <c r="B110" s="1" t="s">
        <v>218</v>
      </c>
      <c r="C110" s="1" t="s">
        <v>11</v>
      </c>
      <c r="D110" s="1" t="s">
        <v>8</v>
      </c>
      <c r="E110" s="9">
        <v>7177</v>
      </c>
      <c r="F110" s="1" t="str">
        <f>VLOOKUP(D110,Table11[[Name]:[Native]],3,FALSE)</f>
        <v>汉滨区</v>
      </c>
      <c r="G110" s="12" t="str">
        <f ca="1">VLOOKUP(F110,Table11[[Native]:[Population4]],5,FALSE)</f>
        <v>安康市</v>
      </c>
    </row>
    <row r="111" spans="1:7" ht="15.75" thickBot="1" x14ac:dyDescent="0.3">
      <c r="A111" t="s">
        <v>219</v>
      </c>
      <c r="B111" s="1" t="s">
        <v>220</v>
      </c>
      <c r="C111" s="1" t="s">
        <v>7</v>
      </c>
      <c r="D111" s="1" t="s">
        <v>15</v>
      </c>
      <c r="E111" s="9">
        <v>37059</v>
      </c>
      <c r="F111" s="1" t="str">
        <f>VLOOKUP(D111,Table11[[Name]:[Native]],3,FALSE)</f>
        <v>旬阳县</v>
      </c>
      <c r="G111" s="12" t="str">
        <f ca="1">VLOOKUP(F111,Table11[[Native]:[Population4]],5,FALSE)</f>
        <v>安康市</v>
      </c>
    </row>
    <row r="112" spans="1:7" ht="15.75" thickBot="1" x14ac:dyDescent="0.3">
      <c r="A112" t="s">
        <v>221</v>
      </c>
      <c r="B112" s="1" t="s">
        <v>222</v>
      </c>
      <c r="C112" s="1" t="s">
        <v>7</v>
      </c>
      <c r="D112" s="1" t="s">
        <v>12</v>
      </c>
      <c r="E112" s="9">
        <v>7744</v>
      </c>
      <c r="F112" s="1" t="str">
        <f>VLOOKUP(D112,Table11[[Name]:[Native]],3,FALSE)</f>
        <v>镇坪县</v>
      </c>
      <c r="G112" s="12" t="str">
        <f ca="1">VLOOKUP(F112,Table11[[Native]:[Population4]],5,FALSE)</f>
        <v>安康市</v>
      </c>
    </row>
    <row r="113" spans="1:7" ht="15.75" thickBot="1" x14ac:dyDescent="0.3">
      <c r="A113" t="s">
        <v>223</v>
      </c>
      <c r="B113" s="1" t="s">
        <v>224</v>
      </c>
      <c r="C113" s="1" t="s">
        <v>7</v>
      </c>
      <c r="D113" s="1" t="s">
        <v>36</v>
      </c>
      <c r="E113" s="9">
        <v>5410</v>
      </c>
      <c r="F113" s="1" t="str">
        <f>VLOOKUP(D113,Table11[[Name]:[Native]],3,FALSE)</f>
        <v>岚皋县</v>
      </c>
      <c r="G113" s="12" t="str">
        <f ca="1">VLOOKUP(F113,Table11[[Native]:[Population4]],5,FALSE)</f>
        <v>安康市</v>
      </c>
    </row>
    <row r="114" spans="1:7" ht="15.75" thickBot="1" x14ac:dyDescent="0.3">
      <c r="A114" t="s">
        <v>225</v>
      </c>
      <c r="B114" s="1" t="s">
        <v>226</v>
      </c>
      <c r="C114" s="1" t="s">
        <v>7</v>
      </c>
      <c r="D114" s="1" t="s">
        <v>35</v>
      </c>
      <c r="E114" s="9">
        <v>4070</v>
      </c>
      <c r="F114" s="1" t="str">
        <f>VLOOKUP(D114,Table11[[Name]:[Native]],3,FALSE)</f>
        <v>宁陕县</v>
      </c>
      <c r="G114" s="12" t="str">
        <f ca="1">VLOOKUP(F114,Table11[[Native]:[Population4]],5,FALSE)</f>
        <v>安康市</v>
      </c>
    </row>
    <row r="115" spans="1:7" ht="15.75" thickBot="1" x14ac:dyDescent="0.3">
      <c r="A115" t="s">
        <v>227</v>
      </c>
      <c r="B115" s="1" t="s">
        <v>228</v>
      </c>
      <c r="C115" s="1" t="s">
        <v>11</v>
      </c>
      <c r="D115" s="1" t="s">
        <v>26</v>
      </c>
      <c r="E115" s="9">
        <v>3669</v>
      </c>
      <c r="F115" s="1" t="str">
        <f>VLOOKUP(D115,Table11[[Name]:[Native]],3,FALSE)</f>
        <v>白河县</v>
      </c>
      <c r="G115" s="12" t="str">
        <f ca="1">VLOOKUP(F115,Table11[[Native]:[Population4]],5,FALSE)</f>
        <v>安康市</v>
      </c>
    </row>
    <row r="116" spans="1:7" ht="15.75" thickBot="1" x14ac:dyDescent="0.3">
      <c r="A116" t="s">
        <v>229</v>
      </c>
      <c r="B116" s="1" t="s">
        <v>230</v>
      </c>
      <c r="C116" s="1" t="s">
        <v>7</v>
      </c>
      <c r="D116" s="1" t="s">
        <v>26</v>
      </c>
      <c r="E116" s="9">
        <v>13329</v>
      </c>
      <c r="F116" s="1" t="str">
        <f>VLOOKUP(D116,Table11[[Name]:[Native]],3,FALSE)</f>
        <v>白河县</v>
      </c>
      <c r="G116" s="12" t="str">
        <f ca="1">VLOOKUP(F116,Table11[[Native]:[Population4]],5,FALSE)</f>
        <v>安康市</v>
      </c>
    </row>
    <row r="117" spans="1:7" ht="15.75" thickBot="1" x14ac:dyDescent="0.3">
      <c r="A117" t="s">
        <v>231</v>
      </c>
      <c r="B117" s="1" t="s">
        <v>232</v>
      </c>
      <c r="C117" s="1" t="s">
        <v>7</v>
      </c>
      <c r="D117" s="1" t="s">
        <v>35</v>
      </c>
      <c r="E117" s="9">
        <v>5194</v>
      </c>
      <c r="F117" s="1" t="str">
        <f>VLOOKUP(D117,Table11[[Name]:[Native]],3,FALSE)</f>
        <v>宁陕县</v>
      </c>
      <c r="G117" s="12" t="str">
        <f ca="1">VLOOKUP(F117,Table11[[Native]:[Population4]],5,FALSE)</f>
        <v>安康市</v>
      </c>
    </row>
    <row r="118" spans="1:7" ht="15.75" thickBot="1" x14ac:dyDescent="0.3">
      <c r="A118" t="s">
        <v>233</v>
      </c>
      <c r="B118" s="1" t="s">
        <v>234</v>
      </c>
      <c r="C118" s="1" t="s">
        <v>7</v>
      </c>
      <c r="D118" s="1" t="s">
        <v>8</v>
      </c>
      <c r="E118" s="9">
        <v>10962</v>
      </c>
      <c r="F118" s="1" t="str">
        <f>VLOOKUP(D118,Table11[[Name]:[Native]],3,FALSE)</f>
        <v>汉滨区</v>
      </c>
      <c r="G118" s="12" t="str">
        <f ca="1">VLOOKUP(F118,Table11[[Native]:[Population4]],5,FALSE)</f>
        <v>安康市</v>
      </c>
    </row>
    <row r="119" spans="1:7" ht="15.75" thickBot="1" x14ac:dyDescent="0.3">
      <c r="A119" t="s">
        <v>235</v>
      </c>
      <c r="B119" s="1" t="s">
        <v>236</v>
      </c>
      <c r="C119" s="1" t="s">
        <v>7</v>
      </c>
      <c r="D119" s="1" t="s">
        <v>35</v>
      </c>
      <c r="E119" s="9">
        <v>5516</v>
      </c>
      <c r="F119" s="1" t="str">
        <f>VLOOKUP(D119,Table11[[Name]:[Native]],3,FALSE)</f>
        <v>宁陕县</v>
      </c>
      <c r="G119" s="12" t="str">
        <f ca="1">VLOOKUP(F119,Table11[[Native]:[Population4]],5,FALSE)</f>
        <v>安康市</v>
      </c>
    </row>
    <row r="120" spans="1:7" ht="15.75" thickBot="1" x14ac:dyDescent="0.3">
      <c r="A120" t="s">
        <v>237</v>
      </c>
      <c r="B120" s="1" t="s">
        <v>238</v>
      </c>
      <c r="C120" s="1" t="s">
        <v>7</v>
      </c>
      <c r="D120" s="1" t="s">
        <v>36</v>
      </c>
      <c r="E120" s="9">
        <v>5902</v>
      </c>
      <c r="F120" s="1" t="str">
        <f>VLOOKUP(D120,Table11[[Name]:[Native]],3,FALSE)</f>
        <v>岚皋县</v>
      </c>
      <c r="G120" s="12" t="str">
        <f ca="1">VLOOKUP(F120,Table11[[Native]:[Population4]],5,FALSE)</f>
        <v>安康市</v>
      </c>
    </row>
    <row r="121" spans="1:7" ht="15.75" thickBot="1" x14ac:dyDescent="0.3">
      <c r="A121" t="s">
        <v>239</v>
      </c>
      <c r="B121" s="1" t="s">
        <v>240</v>
      </c>
      <c r="C121" s="1" t="s">
        <v>11</v>
      </c>
      <c r="D121" s="1" t="s">
        <v>26</v>
      </c>
      <c r="E121" s="9">
        <v>5396</v>
      </c>
      <c r="F121" s="1" t="str">
        <f>VLOOKUP(D121,Table11[[Name]:[Native]],3,FALSE)</f>
        <v>白河县</v>
      </c>
      <c r="G121" s="12" t="str">
        <f ca="1">VLOOKUP(F121,Table11[[Native]:[Population4]],5,FALSE)</f>
        <v>安康市</v>
      </c>
    </row>
    <row r="122" spans="1:7" ht="15.75" thickBot="1" x14ac:dyDescent="0.3">
      <c r="A122" t="s">
        <v>241</v>
      </c>
      <c r="B122" s="1" t="s">
        <v>242</v>
      </c>
      <c r="C122" s="1" t="s">
        <v>11</v>
      </c>
      <c r="D122" s="1" t="s">
        <v>8</v>
      </c>
      <c r="E122" s="9">
        <v>9453</v>
      </c>
      <c r="F122" s="1" t="str">
        <f>VLOOKUP(D122,Table11[[Name]:[Native]],3,FALSE)</f>
        <v>汉滨区</v>
      </c>
      <c r="G122" s="12" t="str">
        <f ca="1">VLOOKUP(F122,Table11[[Native]:[Population4]],5,FALSE)</f>
        <v>安康市</v>
      </c>
    </row>
    <row r="123" spans="1:7" ht="15.75" thickBot="1" x14ac:dyDescent="0.3">
      <c r="A123" t="s">
        <v>243</v>
      </c>
      <c r="B123" s="1" t="s">
        <v>244</v>
      </c>
      <c r="C123" s="1" t="s">
        <v>11</v>
      </c>
      <c r="D123" s="1" t="s">
        <v>34</v>
      </c>
      <c r="E123" s="9">
        <v>4232</v>
      </c>
      <c r="F123" s="1" t="str">
        <f>VLOOKUP(D123,Table11[[Name]:[Native]],3,FALSE)</f>
        <v>汉阴县</v>
      </c>
      <c r="G123" s="12" t="str">
        <f ca="1">VLOOKUP(F123,Table11[[Native]:[Population4]],5,FALSE)</f>
        <v>安康市</v>
      </c>
    </row>
    <row r="124" spans="1:7" ht="15.75" thickBot="1" x14ac:dyDescent="0.3">
      <c r="A124" t="s">
        <v>245</v>
      </c>
      <c r="B124" s="1" t="s">
        <v>246</v>
      </c>
      <c r="C124" s="1" t="s">
        <v>7</v>
      </c>
      <c r="D124" s="1" t="s">
        <v>34</v>
      </c>
      <c r="E124" s="9">
        <v>9097</v>
      </c>
      <c r="F124" s="1" t="str">
        <f>VLOOKUP(D124,Table11[[Name]:[Native]],3,FALSE)</f>
        <v>汉阴县</v>
      </c>
      <c r="G124" s="12" t="str">
        <f ca="1">VLOOKUP(F124,Table11[[Native]:[Population4]],5,FALSE)</f>
        <v>安康市</v>
      </c>
    </row>
    <row r="125" spans="1:7" ht="15.75" thickBot="1" x14ac:dyDescent="0.3">
      <c r="A125" t="s">
        <v>247</v>
      </c>
      <c r="B125" s="1" t="s">
        <v>248</v>
      </c>
      <c r="C125" s="1" t="s">
        <v>7</v>
      </c>
      <c r="D125" s="1" t="s">
        <v>35</v>
      </c>
      <c r="E125" s="9">
        <v>5355</v>
      </c>
      <c r="F125" s="1" t="str">
        <f>VLOOKUP(D125,Table11[[Name]:[Native]],3,FALSE)</f>
        <v>宁陕县</v>
      </c>
      <c r="G125" s="12" t="str">
        <f ca="1">VLOOKUP(F125,Table11[[Native]:[Population4]],5,FALSE)</f>
        <v>安康市</v>
      </c>
    </row>
    <row r="126" spans="1:7" ht="15.75" thickBot="1" x14ac:dyDescent="0.3">
      <c r="A126" t="s">
        <v>249</v>
      </c>
      <c r="B126" s="1" t="s">
        <v>250</v>
      </c>
      <c r="C126" s="1" t="s">
        <v>7</v>
      </c>
      <c r="D126" s="1" t="s">
        <v>15</v>
      </c>
      <c r="E126" s="9">
        <v>12676</v>
      </c>
      <c r="F126" s="1" t="str">
        <f>VLOOKUP(D126,Table11[[Name]:[Native]],3,FALSE)</f>
        <v>旬阳县</v>
      </c>
      <c r="G126" s="12" t="str">
        <f ca="1">VLOOKUP(F126,Table11[[Native]:[Population4]],5,FALSE)</f>
        <v>安康市</v>
      </c>
    </row>
    <row r="127" spans="1:7" ht="15.75" thickBot="1" x14ac:dyDescent="0.3">
      <c r="A127" t="s">
        <v>251</v>
      </c>
      <c r="B127" s="1" t="s">
        <v>252</v>
      </c>
      <c r="C127" s="1" t="s">
        <v>7</v>
      </c>
      <c r="D127" s="1" t="s">
        <v>15</v>
      </c>
      <c r="E127" s="9">
        <v>24042</v>
      </c>
      <c r="F127" s="1" t="str">
        <f>VLOOKUP(D127,Table11[[Name]:[Native]],3,FALSE)</f>
        <v>旬阳县</v>
      </c>
      <c r="G127" s="12" t="str">
        <f ca="1">VLOOKUP(F127,Table11[[Native]:[Population4]],5,FALSE)</f>
        <v>安康市</v>
      </c>
    </row>
    <row r="128" spans="1:7" ht="15.75" thickBot="1" x14ac:dyDescent="0.3">
      <c r="A128" t="s">
        <v>253</v>
      </c>
      <c r="B128" s="1" t="s">
        <v>254</v>
      </c>
      <c r="C128" s="1" t="s">
        <v>11</v>
      </c>
      <c r="D128" s="1" t="s">
        <v>34</v>
      </c>
      <c r="E128" s="9">
        <v>1299</v>
      </c>
      <c r="F128" s="1" t="str">
        <f>VLOOKUP(D128,Table11[[Name]:[Native]],3,FALSE)</f>
        <v>汉阴县</v>
      </c>
      <c r="G128" s="12" t="str">
        <f ca="1">VLOOKUP(F128,Table11[[Native]:[Population4]],5,FALSE)</f>
        <v>安康市</v>
      </c>
    </row>
    <row r="129" spans="1:7" ht="15.75" thickBot="1" x14ac:dyDescent="0.3">
      <c r="A129" t="s">
        <v>255</v>
      </c>
      <c r="B129" s="1" t="s">
        <v>256</v>
      </c>
      <c r="C129" s="1" t="s">
        <v>7</v>
      </c>
      <c r="D129" s="1" t="s">
        <v>18</v>
      </c>
      <c r="E129" s="9">
        <v>11814</v>
      </c>
      <c r="F129" s="1" t="str">
        <f>VLOOKUP(D129,Table11[[Name]:[Native]],3,FALSE)</f>
        <v>紫阳县</v>
      </c>
      <c r="G129" s="12" t="str">
        <f ca="1">VLOOKUP(F129,Table11[[Native]:[Population4]],5,FALSE)</f>
        <v>安康市</v>
      </c>
    </row>
    <row r="130" spans="1:7" ht="15.75" thickBot="1" x14ac:dyDescent="0.3">
      <c r="A130" t="s">
        <v>257</v>
      </c>
      <c r="B130" s="1" t="s">
        <v>258</v>
      </c>
      <c r="C130" s="1" t="s">
        <v>7</v>
      </c>
      <c r="D130" s="1" t="s">
        <v>8</v>
      </c>
      <c r="E130" s="9">
        <v>57083</v>
      </c>
      <c r="F130" s="1" t="str">
        <f>VLOOKUP(D130,Table11[[Name]:[Native]],3,FALSE)</f>
        <v>汉滨区</v>
      </c>
      <c r="G130" s="12" t="str">
        <f ca="1">VLOOKUP(F130,Table11[[Native]:[Population4]],5,FALSE)</f>
        <v>安康市</v>
      </c>
    </row>
    <row r="131" spans="1:7" ht="15.75" thickBot="1" x14ac:dyDescent="0.3">
      <c r="A131" t="s">
        <v>259</v>
      </c>
      <c r="B131" s="1" t="s">
        <v>260</v>
      </c>
      <c r="C131" s="1" t="s">
        <v>11</v>
      </c>
      <c r="D131" s="1" t="s">
        <v>8</v>
      </c>
      <c r="E131" s="9">
        <v>4196</v>
      </c>
      <c r="F131" s="1" t="str">
        <f>VLOOKUP(D131,Table11[[Name]:[Native]],3,FALSE)</f>
        <v>汉滨区</v>
      </c>
      <c r="G131" s="12" t="str">
        <f ca="1">VLOOKUP(F131,Table11[[Native]:[Population4]],5,FALSE)</f>
        <v>安康市</v>
      </c>
    </row>
    <row r="132" spans="1:7" ht="15.75" thickBot="1" x14ac:dyDescent="0.3">
      <c r="A132" t="s">
        <v>261</v>
      </c>
      <c r="B132" s="1" t="s">
        <v>262</v>
      </c>
      <c r="C132" s="1" t="s">
        <v>7</v>
      </c>
      <c r="D132" s="1" t="s">
        <v>18</v>
      </c>
      <c r="E132" s="9">
        <v>12708</v>
      </c>
      <c r="F132" s="1" t="str">
        <f>VLOOKUP(D132,Table11[[Name]:[Native]],3,FALSE)</f>
        <v>紫阳县</v>
      </c>
      <c r="G132" s="12" t="str">
        <f ca="1">VLOOKUP(F132,Table11[[Native]:[Population4]],5,FALSE)</f>
        <v>安康市</v>
      </c>
    </row>
    <row r="133" spans="1:7" ht="15.75" thickBot="1" x14ac:dyDescent="0.3">
      <c r="A133" t="s">
        <v>263</v>
      </c>
      <c r="B133" s="1" t="s">
        <v>264</v>
      </c>
      <c r="C133" s="1" t="s">
        <v>7</v>
      </c>
      <c r="D133" s="1" t="s">
        <v>8</v>
      </c>
      <c r="E133" s="9">
        <v>12451</v>
      </c>
      <c r="F133" s="1" t="str">
        <f>VLOOKUP(D133,Table11[[Name]:[Native]],3,FALSE)</f>
        <v>汉滨区</v>
      </c>
      <c r="G133" s="12" t="str">
        <f ca="1">VLOOKUP(F133,Table11[[Native]:[Population4]],5,FALSE)</f>
        <v>安康市</v>
      </c>
    </row>
    <row r="134" spans="1:7" ht="15.75" thickBot="1" x14ac:dyDescent="0.3">
      <c r="A134" t="s">
        <v>265</v>
      </c>
      <c r="B134" s="1" t="s">
        <v>266</v>
      </c>
      <c r="C134" s="1" t="s">
        <v>7</v>
      </c>
      <c r="D134" s="1" t="s">
        <v>15</v>
      </c>
      <c r="E134" s="9">
        <v>21619</v>
      </c>
      <c r="F134" s="1" t="str">
        <f>VLOOKUP(D134,Table11[[Name]:[Native]],3,FALSE)</f>
        <v>旬阳县</v>
      </c>
      <c r="G134" s="12" t="str">
        <f ca="1">VLOOKUP(F134,Table11[[Native]:[Population4]],5,FALSE)</f>
        <v>安康市</v>
      </c>
    </row>
    <row r="135" spans="1:7" ht="15.75" thickBot="1" x14ac:dyDescent="0.3">
      <c r="A135" t="s">
        <v>267</v>
      </c>
      <c r="B135" s="1" t="s">
        <v>268</v>
      </c>
      <c r="C135" s="1" t="s">
        <v>11</v>
      </c>
      <c r="D135" s="1" t="s">
        <v>36</v>
      </c>
      <c r="E135" s="9">
        <v>4336</v>
      </c>
      <c r="F135" s="1" t="str">
        <f>VLOOKUP(D135,Table11[[Name]:[Native]],3,FALSE)</f>
        <v>岚皋县</v>
      </c>
      <c r="G135" s="12" t="str">
        <f ca="1">VLOOKUP(F135,Table11[[Native]:[Population4]],5,FALSE)</f>
        <v>安康市</v>
      </c>
    </row>
    <row r="136" spans="1:7" ht="15.75" thickBot="1" x14ac:dyDescent="0.3">
      <c r="A136" t="s">
        <v>269</v>
      </c>
      <c r="B136" s="1" t="s">
        <v>270</v>
      </c>
      <c r="C136" s="1" t="s">
        <v>7</v>
      </c>
      <c r="D136" s="1" t="s">
        <v>15</v>
      </c>
      <c r="E136" s="9">
        <v>24306</v>
      </c>
      <c r="F136" s="1" t="str">
        <f>VLOOKUP(D136,Table11[[Name]:[Native]],3,FALSE)</f>
        <v>旬阳县</v>
      </c>
      <c r="G136" s="12" t="str">
        <f ca="1">VLOOKUP(F136,Table11[[Native]:[Population4]],5,FALSE)</f>
        <v>安康市</v>
      </c>
    </row>
    <row r="137" spans="1:7" ht="15.75" thickBot="1" x14ac:dyDescent="0.3">
      <c r="A137" t="s">
        <v>271</v>
      </c>
      <c r="B137" s="1" t="s">
        <v>272</v>
      </c>
      <c r="C137" s="1" t="s">
        <v>7</v>
      </c>
      <c r="D137" s="1" t="s">
        <v>31</v>
      </c>
      <c r="E137" s="9">
        <v>8010</v>
      </c>
      <c r="F137" s="1" t="str">
        <f>VLOOKUP(D137,Table11[[Name]:[Native]],3,FALSE)</f>
        <v>石泉县</v>
      </c>
      <c r="G137" s="12" t="str">
        <f ca="1">VLOOKUP(F137,Table11[[Native]:[Population4]],5,FALSE)</f>
        <v>安康市</v>
      </c>
    </row>
    <row r="138" spans="1:7" ht="15.75" thickBot="1" x14ac:dyDescent="0.3">
      <c r="A138" t="s">
        <v>273</v>
      </c>
      <c r="B138" s="1" t="s">
        <v>274</v>
      </c>
      <c r="C138" s="1" t="s">
        <v>7</v>
      </c>
      <c r="D138" s="1" t="s">
        <v>23</v>
      </c>
      <c r="E138" s="9">
        <v>8386</v>
      </c>
      <c r="F138" s="1" t="str">
        <f>VLOOKUP(D138,Table11[[Name]:[Native]],3,FALSE)</f>
        <v>平利县</v>
      </c>
      <c r="G138" s="12" t="str">
        <f ca="1">VLOOKUP(F138,Table11[[Native]:[Population4]],5,FALSE)</f>
        <v>安康市</v>
      </c>
    </row>
    <row r="139" spans="1:7" ht="15.75" thickBot="1" x14ac:dyDescent="0.3">
      <c r="A139" t="s">
        <v>275</v>
      </c>
      <c r="B139" s="1" t="s">
        <v>276</v>
      </c>
      <c r="C139" s="1" t="s">
        <v>11</v>
      </c>
      <c r="D139" s="1" t="s">
        <v>8</v>
      </c>
      <c r="E139" s="9">
        <v>8209</v>
      </c>
      <c r="F139" s="1" t="str">
        <f>VLOOKUP(D139,Table11[[Name]:[Native]],3,FALSE)</f>
        <v>汉滨区</v>
      </c>
      <c r="G139" s="12" t="str">
        <f ca="1">VLOOKUP(F139,Table11[[Native]:[Population4]],5,FALSE)</f>
        <v>安康市</v>
      </c>
    </row>
    <row r="140" spans="1:7" ht="15.75" thickBot="1" x14ac:dyDescent="0.3">
      <c r="A140" t="s">
        <v>277</v>
      </c>
      <c r="B140" s="1" t="s">
        <v>278</v>
      </c>
      <c r="C140" s="1" t="s">
        <v>7</v>
      </c>
      <c r="D140" s="1" t="s">
        <v>35</v>
      </c>
      <c r="E140" s="9">
        <v>865</v>
      </c>
      <c r="F140" s="1" t="str">
        <f>VLOOKUP(D140,Table11[[Name]:[Native]],3,FALSE)</f>
        <v>宁陕县</v>
      </c>
      <c r="G140" s="12" t="str">
        <f ca="1">VLOOKUP(F140,Table11[[Native]:[Population4]],5,FALSE)</f>
        <v>安康市</v>
      </c>
    </row>
    <row r="141" spans="1:7" ht="15.75" thickBot="1" x14ac:dyDescent="0.3">
      <c r="A141" t="s">
        <v>279</v>
      </c>
      <c r="B141" s="1" t="s">
        <v>280</v>
      </c>
      <c r="C141" s="1" t="s">
        <v>113</v>
      </c>
      <c r="D141" s="1" t="s">
        <v>8</v>
      </c>
      <c r="E141" s="9">
        <v>145454</v>
      </c>
      <c r="F141" s="1" t="str">
        <f>VLOOKUP(D141,Table11[[Name]:[Native]],3,FALSE)</f>
        <v>汉滨区</v>
      </c>
      <c r="G141" s="12" t="str">
        <f ca="1">VLOOKUP(F141,Table11[[Native]:[Population4]],5,FALSE)</f>
        <v>安康市</v>
      </c>
    </row>
    <row r="142" spans="1:7" ht="15.75" thickBot="1" x14ac:dyDescent="0.3">
      <c r="A142" t="s">
        <v>281</v>
      </c>
      <c r="B142" s="1" t="s">
        <v>282</v>
      </c>
      <c r="C142" s="1" t="s">
        <v>7</v>
      </c>
      <c r="D142" s="1" t="s">
        <v>23</v>
      </c>
      <c r="E142" s="9">
        <v>11017</v>
      </c>
      <c r="F142" s="1" t="str">
        <f>VLOOKUP(D142,Table11[[Name]:[Native]],3,FALSE)</f>
        <v>平利县</v>
      </c>
      <c r="G142" s="12" t="str">
        <f ca="1">VLOOKUP(F142,Table11[[Native]:[Population4]],5,FALSE)</f>
        <v>安康市</v>
      </c>
    </row>
    <row r="143" spans="1:7" ht="15.75" thickBot="1" x14ac:dyDescent="0.3">
      <c r="A143" t="s">
        <v>283</v>
      </c>
      <c r="B143" s="1" t="s">
        <v>284</v>
      </c>
      <c r="C143" s="1" t="s">
        <v>7</v>
      </c>
      <c r="D143" s="1" t="s">
        <v>26</v>
      </c>
      <c r="E143" s="9">
        <v>12872</v>
      </c>
      <c r="F143" s="1" t="str">
        <f>VLOOKUP(D143,Table11[[Name]:[Native]],3,FALSE)</f>
        <v>白河县</v>
      </c>
      <c r="G143" s="12" t="str">
        <f ca="1">VLOOKUP(F143,Table11[[Native]:[Population4]],5,FALSE)</f>
        <v>安康市</v>
      </c>
    </row>
    <row r="144" spans="1:7" ht="15.75" thickBot="1" x14ac:dyDescent="0.3">
      <c r="A144" t="s">
        <v>285</v>
      </c>
      <c r="B144" s="1" t="s">
        <v>286</v>
      </c>
      <c r="C144" s="1" t="s">
        <v>7</v>
      </c>
      <c r="D144" s="1" t="s">
        <v>34</v>
      </c>
      <c r="E144" s="9">
        <v>28276</v>
      </c>
      <c r="F144" s="1" t="str">
        <f>VLOOKUP(D144,Table11[[Name]:[Native]],3,FALSE)</f>
        <v>汉阴县</v>
      </c>
      <c r="G144" s="12" t="str">
        <f ca="1">VLOOKUP(F144,Table11[[Native]:[Population4]],5,FALSE)</f>
        <v>安康市</v>
      </c>
    </row>
    <row r="145" spans="1:7" ht="15.75" thickBot="1" x14ac:dyDescent="0.3">
      <c r="A145" t="s">
        <v>287</v>
      </c>
      <c r="B145" s="1" t="s">
        <v>288</v>
      </c>
      <c r="C145" s="1" t="s">
        <v>7</v>
      </c>
      <c r="D145" s="1" t="s">
        <v>35</v>
      </c>
      <c r="E145" s="9">
        <v>1983</v>
      </c>
      <c r="F145" s="1" t="str">
        <f>VLOOKUP(D145,Table11[[Name]:[Native]],3,FALSE)</f>
        <v>宁陕县</v>
      </c>
      <c r="G145" s="12" t="str">
        <f ca="1">VLOOKUP(F145,Table11[[Native]:[Population4]],5,FALSE)</f>
        <v>安康市</v>
      </c>
    </row>
    <row r="146" spans="1:7" ht="15.75" thickBot="1" x14ac:dyDescent="0.3">
      <c r="A146" t="s">
        <v>289</v>
      </c>
      <c r="B146" s="1" t="s">
        <v>290</v>
      </c>
      <c r="C146" s="1" t="s">
        <v>7</v>
      </c>
      <c r="D146" s="1" t="s">
        <v>8</v>
      </c>
      <c r="E146" s="9">
        <v>8573</v>
      </c>
      <c r="F146" s="1" t="str">
        <f>VLOOKUP(D146,Table11[[Name]:[Native]],3,FALSE)</f>
        <v>汉滨区</v>
      </c>
      <c r="G146" s="12" t="str">
        <f ca="1">VLOOKUP(F146,Table11[[Native]:[Population4]],5,FALSE)</f>
        <v>安康市</v>
      </c>
    </row>
    <row r="147" spans="1:7" ht="15.75" thickBot="1" x14ac:dyDescent="0.3">
      <c r="A147" t="s">
        <v>291</v>
      </c>
      <c r="B147" s="1" t="s">
        <v>292</v>
      </c>
      <c r="C147" s="1" t="s">
        <v>7</v>
      </c>
      <c r="D147" s="1" t="s">
        <v>36</v>
      </c>
      <c r="E147" s="9">
        <v>8369</v>
      </c>
      <c r="F147" s="1" t="str">
        <f>VLOOKUP(D147,Table11[[Name]:[Native]],3,FALSE)</f>
        <v>岚皋县</v>
      </c>
      <c r="G147" s="12" t="str">
        <f ca="1">VLOOKUP(F147,Table11[[Native]:[Population4]],5,FALSE)</f>
        <v>安康市</v>
      </c>
    </row>
    <row r="148" spans="1:7" ht="15.75" thickBot="1" x14ac:dyDescent="0.3">
      <c r="A148" t="s">
        <v>293</v>
      </c>
      <c r="B148" s="1" t="s">
        <v>294</v>
      </c>
      <c r="C148" s="1" t="s">
        <v>7</v>
      </c>
      <c r="D148" s="1" t="s">
        <v>8</v>
      </c>
      <c r="E148" s="9">
        <v>3962</v>
      </c>
      <c r="F148" s="1" t="str">
        <f>VLOOKUP(D148,Table11[[Name]:[Native]],3,FALSE)</f>
        <v>汉滨区</v>
      </c>
      <c r="G148" s="12" t="str">
        <f ca="1">VLOOKUP(F148,Table11[[Native]:[Population4]],5,FALSE)</f>
        <v>安康市</v>
      </c>
    </row>
    <row r="149" spans="1:7" ht="15.75" thickBot="1" x14ac:dyDescent="0.3">
      <c r="A149" t="s">
        <v>295</v>
      </c>
      <c r="B149" s="1" t="s">
        <v>296</v>
      </c>
      <c r="C149" s="1" t="s">
        <v>11</v>
      </c>
      <c r="D149" s="1" t="s">
        <v>8</v>
      </c>
      <c r="E149" s="9">
        <v>10743</v>
      </c>
      <c r="F149" s="1" t="str">
        <f>VLOOKUP(D149,Table11[[Name]:[Native]],3,FALSE)</f>
        <v>汉滨区</v>
      </c>
      <c r="G149" s="12" t="str">
        <f ca="1">VLOOKUP(F149,Table11[[Native]:[Population4]],5,FALSE)</f>
        <v>安康市</v>
      </c>
    </row>
    <row r="150" spans="1:7" ht="15.75" thickBot="1" x14ac:dyDescent="0.3">
      <c r="A150" t="s">
        <v>297</v>
      </c>
      <c r="B150" s="1" t="s">
        <v>298</v>
      </c>
      <c r="C150" s="1" t="s">
        <v>7</v>
      </c>
      <c r="D150" s="1" t="s">
        <v>31</v>
      </c>
      <c r="E150" s="9">
        <v>6940</v>
      </c>
      <c r="F150" s="1" t="str">
        <f>VLOOKUP(D150,Table11[[Name]:[Native]],3,FALSE)</f>
        <v>石泉县</v>
      </c>
      <c r="G150" s="12" t="str">
        <f ca="1">VLOOKUP(F150,Table11[[Native]:[Population4]],5,FALSE)</f>
        <v>安康市</v>
      </c>
    </row>
    <row r="151" spans="1:7" ht="15.75" thickBot="1" x14ac:dyDescent="0.3">
      <c r="A151" t="s">
        <v>299</v>
      </c>
      <c r="B151" s="1" t="s">
        <v>300</v>
      </c>
      <c r="C151" s="1" t="s">
        <v>7</v>
      </c>
      <c r="D151" s="1" t="s">
        <v>8</v>
      </c>
      <c r="E151" s="9">
        <v>15759</v>
      </c>
      <c r="F151" s="1" t="str">
        <f>VLOOKUP(D151,Table11[[Name]:[Native]],3,FALSE)</f>
        <v>汉滨区</v>
      </c>
      <c r="G151" s="12" t="str">
        <f ca="1">VLOOKUP(F151,Table11[[Native]:[Population4]],5,FALSE)</f>
        <v>安康市</v>
      </c>
    </row>
    <row r="152" spans="1:7" ht="15.75" thickBot="1" x14ac:dyDescent="0.3">
      <c r="A152" t="s">
        <v>301</v>
      </c>
      <c r="B152" s="1" t="s">
        <v>302</v>
      </c>
      <c r="C152" s="1" t="s">
        <v>11</v>
      </c>
      <c r="D152" s="1" t="s">
        <v>31</v>
      </c>
      <c r="E152" s="9">
        <v>5507</v>
      </c>
      <c r="F152" s="1" t="str">
        <f>VLOOKUP(D152,Table11[[Name]:[Native]],3,FALSE)</f>
        <v>石泉县</v>
      </c>
      <c r="G152" s="12" t="str">
        <f ca="1">VLOOKUP(F152,Table11[[Native]:[Population4]],5,FALSE)</f>
        <v>安康市</v>
      </c>
    </row>
    <row r="153" spans="1:7" ht="15.75" thickBot="1" x14ac:dyDescent="0.3">
      <c r="A153" t="s">
        <v>303</v>
      </c>
      <c r="B153" s="1" t="s">
        <v>304</v>
      </c>
      <c r="C153" s="1" t="s">
        <v>11</v>
      </c>
      <c r="D153" s="1" t="s">
        <v>34</v>
      </c>
      <c r="E153" s="9">
        <v>13311</v>
      </c>
      <c r="F153" s="1" t="str">
        <f>VLOOKUP(D153,Table11[[Name]:[Native]],3,FALSE)</f>
        <v>汉阴县</v>
      </c>
      <c r="G153" s="12" t="str">
        <f ca="1">VLOOKUP(F153,Table11[[Native]:[Population4]],5,FALSE)</f>
        <v>安康市</v>
      </c>
    </row>
    <row r="154" spans="1:7" ht="15.75" thickBot="1" x14ac:dyDescent="0.3">
      <c r="A154" t="s">
        <v>305</v>
      </c>
      <c r="B154" s="1" t="s">
        <v>306</v>
      </c>
      <c r="C154" s="1" t="s">
        <v>11</v>
      </c>
      <c r="D154" s="1" t="s">
        <v>8</v>
      </c>
      <c r="E154" s="9">
        <v>8103</v>
      </c>
      <c r="F154" s="1" t="str">
        <f>VLOOKUP(D154,Table11[[Name]:[Native]],3,FALSE)</f>
        <v>汉滨区</v>
      </c>
      <c r="G154" s="12" t="str">
        <f ca="1">VLOOKUP(F154,Table11[[Native]:[Population4]],5,FALSE)</f>
        <v>安康市</v>
      </c>
    </row>
    <row r="155" spans="1:7" ht="15.75" thickBot="1" x14ac:dyDescent="0.3">
      <c r="A155" t="s">
        <v>307</v>
      </c>
      <c r="B155" s="1" t="s">
        <v>308</v>
      </c>
      <c r="C155" s="1" t="s">
        <v>7</v>
      </c>
      <c r="D155" s="1" t="s">
        <v>31</v>
      </c>
      <c r="E155" s="9">
        <v>12491</v>
      </c>
      <c r="F155" s="1" t="str">
        <f>VLOOKUP(D155,Table11[[Name]:[Native]],3,FALSE)</f>
        <v>石泉县</v>
      </c>
      <c r="G155" s="12" t="str">
        <f ca="1">VLOOKUP(F155,Table11[[Native]:[Population4]],5,FALSE)</f>
        <v>安康市</v>
      </c>
    </row>
    <row r="156" spans="1:7" ht="15.75" thickBot="1" x14ac:dyDescent="0.3">
      <c r="A156" t="s">
        <v>309</v>
      </c>
      <c r="B156" s="1" t="s">
        <v>310</v>
      </c>
      <c r="C156" s="1" t="s">
        <v>7</v>
      </c>
      <c r="D156" s="1" t="s">
        <v>31</v>
      </c>
      <c r="E156" s="9">
        <v>8676</v>
      </c>
      <c r="F156" s="1" t="str">
        <f>VLOOKUP(D156,Table11[[Name]:[Native]],3,FALSE)</f>
        <v>石泉县</v>
      </c>
      <c r="G156" s="12" t="str">
        <f ca="1">VLOOKUP(F156,Table11[[Native]:[Population4]],5,FALSE)</f>
        <v>安康市</v>
      </c>
    </row>
    <row r="157" spans="1:7" ht="15.75" thickBot="1" x14ac:dyDescent="0.3">
      <c r="A157" t="s">
        <v>311</v>
      </c>
      <c r="B157" s="1" t="s">
        <v>312</v>
      </c>
      <c r="C157" s="1" t="s">
        <v>7</v>
      </c>
      <c r="D157" s="1" t="s">
        <v>8</v>
      </c>
      <c r="E157" s="9">
        <v>22493</v>
      </c>
      <c r="F157" s="1" t="str">
        <f>VLOOKUP(D157,Table11[[Name]:[Native]],3,FALSE)</f>
        <v>汉滨区</v>
      </c>
      <c r="G157" s="12" t="str">
        <f ca="1">VLOOKUP(F157,Table11[[Native]:[Population4]],5,FALSE)</f>
        <v>安康市</v>
      </c>
    </row>
    <row r="158" spans="1:7" ht="15.75" thickBot="1" x14ac:dyDescent="0.3">
      <c r="A158" t="s">
        <v>313</v>
      </c>
      <c r="B158" s="1" t="s">
        <v>314</v>
      </c>
      <c r="C158" s="1" t="s">
        <v>7</v>
      </c>
      <c r="D158" s="1" t="s">
        <v>12</v>
      </c>
      <c r="E158" s="9">
        <v>9708</v>
      </c>
      <c r="F158" s="1" t="str">
        <f>VLOOKUP(D158,Table11[[Name]:[Native]],3,FALSE)</f>
        <v>镇坪县</v>
      </c>
      <c r="G158" s="12" t="str">
        <f ca="1">VLOOKUP(F158,Table11[[Native]:[Population4]],5,FALSE)</f>
        <v>安康市</v>
      </c>
    </row>
    <row r="159" spans="1:7" ht="15.75" thickBot="1" x14ac:dyDescent="0.3">
      <c r="A159" t="s">
        <v>315</v>
      </c>
      <c r="B159" s="1" t="s">
        <v>316</v>
      </c>
      <c r="C159" s="1" t="s">
        <v>7</v>
      </c>
      <c r="D159" s="1" t="s">
        <v>31</v>
      </c>
      <c r="E159" s="9">
        <v>5715</v>
      </c>
      <c r="F159" s="1" t="str">
        <f>VLOOKUP(D159,Table11[[Name]:[Native]],3,FALSE)</f>
        <v>石泉县</v>
      </c>
      <c r="G159" s="12" t="str">
        <f ca="1">VLOOKUP(F159,Table11[[Native]:[Population4]],5,FALSE)</f>
        <v>安康市</v>
      </c>
    </row>
    <row r="160" spans="1:7" ht="15.75" thickBot="1" x14ac:dyDescent="0.3">
      <c r="A160" t="s">
        <v>317</v>
      </c>
      <c r="B160" s="1" t="s">
        <v>318</v>
      </c>
      <c r="C160" s="1" t="s">
        <v>11</v>
      </c>
      <c r="D160" s="1" t="s">
        <v>36</v>
      </c>
      <c r="E160" s="9">
        <v>3443</v>
      </c>
      <c r="F160" s="1" t="str">
        <f>VLOOKUP(D160,Table11[[Name]:[Native]],3,FALSE)</f>
        <v>岚皋县</v>
      </c>
      <c r="G160" s="12" t="str">
        <f ca="1">VLOOKUP(F160,Table11[[Native]:[Population4]],5,FALSE)</f>
        <v>安康市</v>
      </c>
    </row>
    <row r="161" spans="1:7" ht="15.75" thickBot="1" x14ac:dyDescent="0.3">
      <c r="A161" t="s">
        <v>319</v>
      </c>
      <c r="B161" s="1" t="s">
        <v>320</v>
      </c>
      <c r="C161" s="1" t="s">
        <v>7</v>
      </c>
      <c r="D161" s="1" t="s">
        <v>8</v>
      </c>
      <c r="E161" s="9">
        <v>28079</v>
      </c>
      <c r="F161" s="1" t="str">
        <f>VLOOKUP(D161,Table11[[Name]:[Native]],3,FALSE)</f>
        <v>汉滨区</v>
      </c>
      <c r="G161" s="12" t="str">
        <f ca="1">VLOOKUP(F161,Table11[[Native]:[Population4]],5,FALSE)</f>
        <v>安康市</v>
      </c>
    </row>
    <row r="162" spans="1:7" ht="15.75" thickBot="1" x14ac:dyDescent="0.3">
      <c r="A162" t="s">
        <v>321</v>
      </c>
      <c r="B162" s="1" t="s">
        <v>322</v>
      </c>
      <c r="C162" s="1" t="s">
        <v>7</v>
      </c>
      <c r="D162" s="1" t="s">
        <v>15</v>
      </c>
      <c r="E162" s="9">
        <v>16329</v>
      </c>
      <c r="F162" s="1" t="str">
        <f>VLOOKUP(D162,Table11[[Name]:[Native]],3,FALSE)</f>
        <v>旬阳县</v>
      </c>
      <c r="G162" s="12" t="str">
        <f ca="1">VLOOKUP(F162,Table11[[Native]:[Population4]],5,FALSE)</f>
        <v>安康市</v>
      </c>
    </row>
    <row r="163" spans="1:7" ht="15.75" thickBot="1" x14ac:dyDescent="0.3">
      <c r="A163" t="s">
        <v>323</v>
      </c>
      <c r="B163" s="1" t="s">
        <v>324</v>
      </c>
      <c r="C163" s="1" t="s">
        <v>7</v>
      </c>
      <c r="D163" s="1" t="s">
        <v>23</v>
      </c>
      <c r="E163" s="9">
        <v>7404</v>
      </c>
      <c r="F163" s="1" t="str">
        <f>VLOOKUP(D163,Table11[[Name]:[Native]],3,FALSE)</f>
        <v>平利县</v>
      </c>
      <c r="G163" s="12" t="str">
        <f ca="1">VLOOKUP(F163,Table11[[Native]:[Population4]],5,FALSE)</f>
        <v>安康市</v>
      </c>
    </row>
    <row r="164" spans="1:7" ht="15.75" thickBot="1" x14ac:dyDescent="0.3">
      <c r="A164" t="s">
        <v>325</v>
      </c>
      <c r="B164" s="1" t="s">
        <v>326</v>
      </c>
      <c r="C164" s="1" t="s">
        <v>7</v>
      </c>
      <c r="D164" s="1" t="s">
        <v>12</v>
      </c>
      <c r="E164" s="9">
        <v>7232</v>
      </c>
      <c r="F164" s="1" t="str">
        <f>VLOOKUP(D164,Table11[[Name]:[Native]],3,FALSE)</f>
        <v>镇坪县</v>
      </c>
      <c r="G164" s="12" t="str">
        <f ca="1">VLOOKUP(F164,Table11[[Native]:[Population4]],5,FALSE)</f>
        <v>安康市</v>
      </c>
    </row>
    <row r="165" spans="1:7" ht="15.75" thickBot="1" x14ac:dyDescent="0.3">
      <c r="A165" t="s">
        <v>327</v>
      </c>
      <c r="B165" s="1" t="s">
        <v>328</v>
      </c>
      <c r="C165" s="1" t="s">
        <v>7</v>
      </c>
      <c r="D165" s="1" t="s">
        <v>26</v>
      </c>
      <c r="E165" s="9">
        <v>12485</v>
      </c>
      <c r="F165" s="1" t="str">
        <f>VLOOKUP(D165,Table11[[Name]:[Native]],3,FALSE)</f>
        <v>白河县</v>
      </c>
      <c r="G165" s="12" t="str">
        <f ca="1">VLOOKUP(F165,Table11[[Native]:[Population4]],5,FALSE)</f>
        <v>安康市</v>
      </c>
    </row>
    <row r="166" spans="1:7" ht="15.75" thickBot="1" x14ac:dyDescent="0.3">
      <c r="A166" t="s">
        <v>329</v>
      </c>
      <c r="B166" s="1" t="s">
        <v>330</v>
      </c>
      <c r="C166" s="1" t="s">
        <v>7</v>
      </c>
      <c r="D166" s="1" t="s">
        <v>31</v>
      </c>
      <c r="E166" s="9">
        <v>10985</v>
      </c>
      <c r="F166" s="1" t="str">
        <f>VLOOKUP(D166,Table11[[Name]:[Native]],3,FALSE)</f>
        <v>石泉县</v>
      </c>
      <c r="G166" s="12" t="str">
        <f ca="1">VLOOKUP(F166,Table11[[Native]:[Population4]],5,FALSE)</f>
        <v>安康市</v>
      </c>
    </row>
    <row r="167" spans="1:7" ht="15.75" thickBot="1" x14ac:dyDescent="0.3">
      <c r="A167" t="s">
        <v>331</v>
      </c>
      <c r="B167" s="1" t="s">
        <v>332</v>
      </c>
      <c r="C167" s="1" t="s">
        <v>7</v>
      </c>
      <c r="D167" s="1" t="s">
        <v>8</v>
      </c>
      <c r="E167" s="9">
        <v>11898</v>
      </c>
      <c r="F167" s="1" t="str">
        <f>VLOOKUP(D167,Table11[[Name]:[Native]],3,FALSE)</f>
        <v>汉滨区</v>
      </c>
      <c r="G167" s="12" t="str">
        <f ca="1">VLOOKUP(F167,Table11[[Native]:[Population4]],5,FALSE)</f>
        <v>安康市</v>
      </c>
    </row>
    <row r="168" spans="1:7" ht="15.75" thickBot="1" x14ac:dyDescent="0.3">
      <c r="A168" t="s">
        <v>333</v>
      </c>
      <c r="B168" s="1" t="s">
        <v>334</v>
      </c>
      <c r="C168" s="1" t="s">
        <v>7</v>
      </c>
      <c r="D168" s="1" t="s">
        <v>8</v>
      </c>
      <c r="E168" s="9">
        <v>7758</v>
      </c>
      <c r="F168" s="1" t="str">
        <f>VLOOKUP(D168,Table11[[Name]:[Native]],3,FALSE)</f>
        <v>汉滨区</v>
      </c>
      <c r="G168" s="12" t="str">
        <f ca="1">VLOOKUP(F168,Table11[[Native]:[Population4]],5,FALSE)</f>
        <v>安康市</v>
      </c>
    </row>
    <row r="169" spans="1:7" ht="15.75" thickBot="1" x14ac:dyDescent="0.3">
      <c r="A169" t="s">
        <v>335</v>
      </c>
      <c r="B169" s="1" t="s">
        <v>336</v>
      </c>
      <c r="C169" s="1" t="s">
        <v>7</v>
      </c>
      <c r="D169" s="1" t="s">
        <v>15</v>
      </c>
      <c r="E169" s="9">
        <v>25811</v>
      </c>
      <c r="F169" s="1" t="str">
        <f>VLOOKUP(D169,Table11[[Name]:[Native]],3,FALSE)</f>
        <v>旬阳县</v>
      </c>
      <c r="G169" s="12" t="str">
        <f ca="1">VLOOKUP(F169,Table11[[Native]:[Population4]],5,FALSE)</f>
        <v>安康市</v>
      </c>
    </row>
    <row r="170" spans="1:7" ht="15.75" thickBot="1" x14ac:dyDescent="0.3">
      <c r="A170" t="s">
        <v>337</v>
      </c>
      <c r="B170" s="1" t="s">
        <v>338</v>
      </c>
      <c r="C170" s="1" t="s">
        <v>7</v>
      </c>
      <c r="D170" s="1" t="s">
        <v>36</v>
      </c>
      <c r="E170" s="9">
        <v>11590</v>
      </c>
      <c r="F170" s="8" t="str">
        <f>VLOOKUP(D170,Table11[[Name]:[Native]],3,FALSE)</f>
        <v>岚皋县</v>
      </c>
      <c r="G170" s="12" t="str">
        <f ca="1">VLOOKUP(F170,Table11[[Native]:[Population4]],5,FALSE)</f>
        <v>安康市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5DA24-2483-4A44-8C88-E2658F0AD920}">
  <dimension ref="A1:G140"/>
  <sheetViews>
    <sheetView workbookViewId="0">
      <selection activeCell="A2" sqref="A2:G140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3166</v>
      </c>
      <c r="G1" t="s">
        <v>3170</v>
      </c>
    </row>
    <row r="2" spans="1:7" ht="15.75" thickBot="1" x14ac:dyDescent="0.3">
      <c r="A2" t="s">
        <v>339</v>
      </c>
      <c r="B2" s="1" t="s">
        <v>340</v>
      </c>
      <c r="C2" s="1" t="s">
        <v>7</v>
      </c>
      <c r="D2" s="1" t="s">
        <v>341</v>
      </c>
      <c r="E2" s="9">
        <v>26364</v>
      </c>
      <c r="F2" s="7" t="str">
        <f>VLOOKUP(D2,Table11[[Name]:[Native]],3,FALSE)</f>
        <v>岐山县</v>
      </c>
      <c r="G2" s="12" t="str">
        <f ca="1">VLOOKUP(F2,Table11[[Native]:[Population4]],5,FALSE)</f>
        <v>宝鸡市</v>
      </c>
    </row>
    <row r="3" spans="1:7" ht="15.75" thickBot="1" x14ac:dyDescent="0.3">
      <c r="A3" t="s">
        <v>342</v>
      </c>
      <c r="B3" s="1" t="s">
        <v>343</v>
      </c>
      <c r="C3" s="1" t="s">
        <v>7</v>
      </c>
      <c r="D3" s="1" t="s">
        <v>344</v>
      </c>
      <c r="E3" s="9">
        <v>8433</v>
      </c>
      <c r="F3" s="1" t="str">
        <f>VLOOKUP(D3,Table11[[Name]:[Native]],3,FALSE)</f>
        <v>陇县</v>
      </c>
      <c r="G3" s="12" t="str">
        <f ca="1">VLOOKUP(F3,Table11[[Native]:[Population4]],5,FALSE)</f>
        <v>宝鸡市</v>
      </c>
    </row>
    <row r="4" spans="1:7" ht="15.75" thickBot="1" x14ac:dyDescent="0.3">
      <c r="A4" t="s">
        <v>345</v>
      </c>
      <c r="B4" s="1" t="s">
        <v>346</v>
      </c>
      <c r="C4" s="1" t="s">
        <v>7</v>
      </c>
      <c r="D4" s="1" t="s">
        <v>347</v>
      </c>
      <c r="E4" s="9">
        <v>26601</v>
      </c>
      <c r="F4" s="1" t="str">
        <f>VLOOKUP(D4,Table11[[Name]:[Native]],3,FALSE)</f>
        <v>渭滨区</v>
      </c>
      <c r="G4" s="12" t="str">
        <f ca="1">VLOOKUP(F4,Table11[[Native]:[Population4]],5,FALSE)</f>
        <v>宝鸡市</v>
      </c>
    </row>
    <row r="5" spans="1:7" ht="15.75" thickBot="1" x14ac:dyDescent="0.3">
      <c r="A5" t="s">
        <v>348</v>
      </c>
      <c r="B5" s="1" t="s">
        <v>349</v>
      </c>
      <c r="C5" s="1" t="s">
        <v>7</v>
      </c>
      <c r="D5" s="1" t="s">
        <v>350</v>
      </c>
      <c r="E5" s="9">
        <v>31665</v>
      </c>
      <c r="F5" s="1" t="str">
        <f>VLOOKUP(D5,Table11[[Name]:[Native]],3,FALSE)</f>
        <v>凤翔区</v>
      </c>
      <c r="G5" s="12" t="str">
        <f ca="1">VLOOKUP(F5,Table11[[Native]:[Population4]],5,FALSE)</f>
        <v>宝鸡市</v>
      </c>
    </row>
    <row r="6" spans="1:7" ht="15.75" thickBot="1" x14ac:dyDescent="0.3">
      <c r="A6" t="s">
        <v>351</v>
      </c>
      <c r="B6" s="1" t="s">
        <v>352</v>
      </c>
      <c r="C6" s="1" t="s">
        <v>7</v>
      </c>
      <c r="D6" s="1" t="s">
        <v>341</v>
      </c>
      <c r="E6" s="9">
        <v>74031</v>
      </c>
      <c r="F6" s="1" t="str">
        <f>VLOOKUP(D6,Table11[[Name]:[Native]],3,FALSE)</f>
        <v>岐山县</v>
      </c>
      <c r="G6" s="12" t="str">
        <f ca="1">VLOOKUP(F6,Table11[[Native]:[Population4]],5,FALSE)</f>
        <v>宝鸡市</v>
      </c>
    </row>
    <row r="7" spans="1:7" ht="15.75" thickBot="1" x14ac:dyDescent="0.3">
      <c r="A7" t="s">
        <v>353</v>
      </c>
      <c r="B7" s="1" t="s">
        <v>354</v>
      </c>
      <c r="C7" s="1" t="s">
        <v>7</v>
      </c>
      <c r="D7" s="1" t="s">
        <v>355</v>
      </c>
      <c r="E7" s="9">
        <v>5938</v>
      </c>
      <c r="F7" s="1" t="str">
        <f>VLOOKUP(D7,Table11[[Name]:[Native]],3,FALSE)</f>
        <v>千阳县</v>
      </c>
      <c r="G7" s="12" t="str">
        <f ca="1">VLOOKUP(F7,Table11[[Native]:[Population4]],5,FALSE)</f>
        <v>宝鸡市</v>
      </c>
    </row>
    <row r="8" spans="1:7" ht="15.75" thickBot="1" x14ac:dyDescent="0.3">
      <c r="A8" t="s">
        <v>356</v>
      </c>
      <c r="B8" s="1" t="s">
        <v>357</v>
      </c>
      <c r="C8" s="1" t="s">
        <v>7</v>
      </c>
      <c r="D8" s="1" t="s">
        <v>344</v>
      </c>
      <c r="E8" s="9">
        <v>15835</v>
      </c>
      <c r="F8" s="1" t="str">
        <f>VLOOKUP(D8,Table11[[Name]:[Native]],3,FALSE)</f>
        <v>陇县</v>
      </c>
      <c r="G8" s="12" t="str">
        <f ca="1">VLOOKUP(F8,Table11[[Native]:[Population4]],5,FALSE)</f>
        <v>宝鸡市</v>
      </c>
    </row>
    <row r="9" spans="1:7" ht="15.75" thickBot="1" x14ac:dyDescent="0.3">
      <c r="A9" t="s">
        <v>358</v>
      </c>
      <c r="B9" s="1" t="s">
        <v>359</v>
      </c>
      <c r="C9" s="1" t="s">
        <v>7</v>
      </c>
      <c r="D9" s="1" t="s">
        <v>341</v>
      </c>
      <c r="E9" s="9">
        <v>19919</v>
      </c>
      <c r="F9" s="1" t="str">
        <f>VLOOKUP(D9,Table11[[Name]:[Native]],3,FALSE)</f>
        <v>岐山县</v>
      </c>
      <c r="G9" s="12" t="str">
        <f ca="1">VLOOKUP(F9,Table11[[Native]:[Population4]],5,FALSE)</f>
        <v>宝鸡市</v>
      </c>
    </row>
    <row r="10" spans="1:7" ht="15.75" thickBot="1" x14ac:dyDescent="0.3">
      <c r="A10" t="s">
        <v>360</v>
      </c>
      <c r="B10" s="1" t="s">
        <v>361</v>
      </c>
      <c r="C10" s="1" t="s">
        <v>7</v>
      </c>
      <c r="D10" s="1" t="s">
        <v>362</v>
      </c>
      <c r="E10" s="9">
        <v>8288</v>
      </c>
      <c r="F10" s="1" t="str">
        <f>VLOOKUP(D10,Table11[[Name]:[Native]],3,FALSE)</f>
        <v>麟游县</v>
      </c>
      <c r="G10" s="12" t="str">
        <f ca="1">VLOOKUP(F10,Table11[[Native]:[Population4]],5,FALSE)</f>
        <v>宝鸡市</v>
      </c>
    </row>
    <row r="11" spans="1:7" ht="15.75" thickBot="1" x14ac:dyDescent="0.3">
      <c r="A11" t="s">
        <v>363</v>
      </c>
      <c r="B11" s="1" t="s">
        <v>364</v>
      </c>
      <c r="C11" s="1" t="s">
        <v>7</v>
      </c>
      <c r="D11" s="1" t="s">
        <v>350</v>
      </c>
      <c r="E11" s="9">
        <v>24462</v>
      </c>
      <c r="F11" s="1" t="str">
        <f>VLOOKUP(D11,Table11[[Name]:[Native]],3,FALSE)</f>
        <v>凤翔区</v>
      </c>
      <c r="G11" s="12" t="str">
        <f ca="1">VLOOKUP(F11,Table11[[Native]:[Population4]],5,FALSE)</f>
        <v>宝鸡市</v>
      </c>
    </row>
    <row r="12" spans="1:7" ht="15.75" thickBot="1" x14ac:dyDescent="0.3">
      <c r="A12" t="s">
        <v>365</v>
      </c>
      <c r="B12" s="1" t="s">
        <v>366</v>
      </c>
      <c r="C12" s="1" t="s">
        <v>7</v>
      </c>
      <c r="D12" s="1" t="s">
        <v>367</v>
      </c>
      <c r="E12" s="9">
        <v>46853</v>
      </c>
      <c r="F12" s="1" t="str">
        <f>VLOOKUP(D12,Table11[[Name]:[Native]],3,FALSE)</f>
        <v>眉县</v>
      </c>
      <c r="G12" s="12" t="str">
        <f ca="1">VLOOKUP(F12,Table11[[Native]:[Population4]],5,FALSE)</f>
        <v>宝鸡市</v>
      </c>
    </row>
    <row r="13" spans="1:7" ht="15.75" thickBot="1" x14ac:dyDescent="0.3">
      <c r="A13" t="s">
        <v>368</v>
      </c>
      <c r="B13" s="1" t="s">
        <v>369</v>
      </c>
      <c r="C13" s="1" t="s">
        <v>7</v>
      </c>
      <c r="D13" s="1" t="s">
        <v>370</v>
      </c>
      <c r="E13" s="9">
        <v>49100</v>
      </c>
      <c r="F13" s="1" t="str">
        <f>VLOOKUP(D13,Table11[[Name]:[Native]],3,FALSE)</f>
        <v>金台区</v>
      </c>
      <c r="G13" s="12" t="str">
        <f ca="1">VLOOKUP(F13,Table11[[Native]:[Population4]],5,FALSE)</f>
        <v>宝鸡市</v>
      </c>
    </row>
    <row r="14" spans="1:7" ht="15.75" thickBot="1" x14ac:dyDescent="0.3">
      <c r="A14" t="s">
        <v>371</v>
      </c>
      <c r="B14" s="1" t="s">
        <v>372</v>
      </c>
      <c r="C14" s="1" t="s">
        <v>7</v>
      </c>
      <c r="D14" s="1" t="s">
        <v>350</v>
      </c>
      <c r="E14" s="9">
        <v>24328</v>
      </c>
      <c r="F14" s="1" t="str">
        <f>VLOOKUP(D14,Table11[[Name]:[Native]],3,FALSE)</f>
        <v>凤翔区</v>
      </c>
      <c r="G14" s="12" t="str">
        <f ca="1">VLOOKUP(F14,Table11[[Native]:[Population4]],5,FALSE)</f>
        <v>宝鸡市</v>
      </c>
    </row>
    <row r="15" spans="1:7" ht="15.75" thickBot="1" x14ac:dyDescent="0.3">
      <c r="A15" t="s">
        <v>373</v>
      </c>
      <c r="B15" s="1" t="s">
        <v>374</v>
      </c>
      <c r="C15" s="1" t="s">
        <v>113</v>
      </c>
      <c r="D15" s="1" t="s">
        <v>375</v>
      </c>
      <c r="E15" s="9">
        <v>89275</v>
      </c>
      <c r="F15" s="1" t="str">
        <f>VLOOKUP(D15,Table11[[Name]:[Native]],3,FALSE)</f>
        <v>扶风县</v>
      </c>
      <c r="G15" s="12" t="str">
        <f ca="1">VLOOKUP(F15,Table11[[Native]:[Population4]],5,FALSE)</f>
        <v>宝鸡市</v>
      </c>
    </row>
    <row r="16" spans="1:7" ht="15.75" thickBot="1" x14ac:dyDescent="0.3">
      <c r="A16" t="s">
        <v>32</v>
      </c>
      <c r="B16" s="1" t="s">
        <v>33</v>
      </c>
      <c r="C16" s="1" t="s">
        <v>7</v>
      </c>
      <c r="D16" s="1" t="s">
        <v>350</v>
      </c>
      <c r="E16" s="9">
        <v>100336</v>
      </c>
      <c r="F16" s="1" t="str">
        <f>VLOOKUP(D16,Table11[[Name]:[Native]],3,FALSE)</f>
        <v>凤翔区</v>
      </c>
      <c r="G16" s="12" t="str">
        <f ca="1">VLOOKUP(F16,Table11[[Native]:[Population4]],5,FALSE)</f>
        <v>宝鸡市</v>
      </c>
    </row>
    <row r="17" spans="1:7" ht="15.75" thickBot="1" x14ac:dyDescent="0.3">
      <c r="A17" t="s">
        <v>32</v>
      </c>
      <c r="B17" s="1" t="s">
        <v>33</v>
      </c>
      <c r="C17" s="1" t="s">
        <v>7</v>
      </c>
      <c r="D17" s="1" t="s">
        <v>344</v>
      </c>
      <c r="E17" s="9">
        <v>65967</v>
      </c>
      <c r="F17" s="1" t="str">
        <f>VLOOKUP(D17,Table11[[Name]:[Native]],3,FALSE)</f>
        <v>陇县</v>
      </c>
      <c r="G17" s="12" t="str">
        <f ca="1">VLOOKUP(F17,Table11[[Native]:[Population4]],5,FALSE)</f>
        <v>宝鸡市</v>
      </c>
    </row>
    <row r="18" spans="1:7" ht="15.75" thickBot="1" x14ac:dyDescent="0.3">
      <c r="A18" t="s">
        <v>32</v>
      </c>
      <c r="B18" s="1" t="s">
        <v>33</v>
      </c>
      <c r="C18" s="1" t="s">
        <v>7</v>
      </c>
      <c r="D18" s="1" t="s">
        <v>355</v>
      </c>
      <c r="E18" s="9">
        <v>35511</v>
      </c>
      <c r="F18" s="1" t="str">
        <f>VLOOKUP(D18,Table11[[Name]:[Native]],3,FALSE)</f>
        <v>千阳县</v>
      </c>
      <c r="G18" s="12" t="str">
        <f ca="1">VLOOKUP(F18,Table11[[Native]:[Population4]],5,FALSE)</f>
        <v>宝鸡市</v>
      </c>
    </row>
    <row r="19" spans="1:7" ht="15.75" thickBot="1" x14ac:dyDescent="0.3">
      <c r="A19" t="s">
        <v>376</v>
      </c>
      <c r="B19" s="1" t="s">
        <v>377</v>
      </c>
      <c r="C19" s="1" t="s">
        <v>7</v>
      </c>
      <c r="D19" s="1" t="s">
        <v>378</v>
      </c>
      <c r="E19" s="9">
        <v>14194</v>
      </c>
      <c r="F19" s="1" t="str">
        <f>VLOOKUP(D19,Table11[[Name]:[Native]],3,FALSE)</f>
        <v>陈仓区</v>
      </c>
      <c r="G19" s="12" t="str">
        <f ca="1">VLOOKUP(F19,Table11[[Native]:[Population4]],5,FALSE)</f>
        <v>宝鸡市</v>
      </c>
    </row>
    <row r="20" spans="1:7" ht="15.75" thickBot="1" x14ac:dyDescent="0.3">
      <c r="A20" t="s">
        <v>379</v>
      </c>
      <c r="B20" s="1" t="s">
        <v>380</v>
      </c>
      <c r="C20" s="1" t="s">
        <v>7</v>
      </c>
      <c r="D20" s="1" t="s">
        <v>355</v>
      </c>
      <c r="E20" s="9">
        <v>8020</v>
      </c>
      <c r="F20" s="1" t="str">
        <f>VLOOKUP(D20,Table11[[Name]:[Native]],3,FALSE)</f>
        <v>千阳县</v>
      </c>
      <c r="G20" s="12" t="str">
        <f ca="1">VLOOKUP(F20,Table11[[Native]:[Population4]],5,FALSE)</f>
        <v>宝鸡市</v>
      </c>
    </row>
    <row r="21" spans="1:7" ht="15.75" thickBot="1" x14ac:dyDescent="0.3">
      <c r="A21" t="s">
        <v>381</v>
      </c>
      <c r="B21" s="1" t="s">
        <v>382</v>
      </c>
      <c r="C21" s="1" t="s">
        <v>7</v>
      </c>
      <c r="D21" s="1" t="s">
        <v>362</v>
      </c>
      <c r="E21" s="9">
        <v>8369</v>
      </c>
      <c r="F21" s="1" t="str">
        <f>VLOOKUP(D21,Table11[[Name]:[Native]],3,FALSE)</f>
        <v>麟游县</v>
      </c>
      <c r="G21" s="12" t="str">
        <f ca="1">VLOOKUP(F21,Table11[[Native]:[Population4]],5,FALSE)</f>
        <v>宝鸡市</v>
      </c>
    </row>
    <row r="22" spans="1:7" ht="15.75" thickBot="1" x14ac:dyDescent="0.3">
      <c r="A22" t="s">
        <v>383</v>
      </c>
      <c r="B22" s="1" t="s">
        <v>384</v>
      </c>
      <c r="C22" s="1" t="s">
        <v>11</v>
      </c>
      <c r="D22" s="1" t="s">
        <v>341</v>
      </c>
      <c r="E22" s="9">
        <v>16846</v>
      </c>
      <c r="F22" s="1" t="str">
        <f>VLOOKUP(D22,Table11[[Name]:[Native]],3,FALSE)</f>
        <v>岐山县</v>
      </c>
      <c r="G22" s="12" t="str">
        <f ca="1">VLOOKUP(F22,Table11[[Native]:[Population4]],5,FALSE)</f>
        <v>宝鸡市</v>
      </c>
    </row>
    <row r="23" spans="1:7" ht="15.75" thickBot="1" x14ac:dyDescent="0.3">
      <c r="A23" t="s">
        <v>385</v>
      </c>
      <c r="B23" s="1" t="s">
        <v>386</v>
      </c>
      <c r="C23" s="1" t="s">
        <v>7</v>
      </c>
      <c r="D23" s="1" t="s">
        <v>378</v>
      </c>
      <c r="E23" s="9">
        <v>38486</v>
      </c>
      <c r="F23" s="1" t="str">
        <f>VLOOKUP(D23,Table11[[Name]:[Native]],3,FALSE)</f>
        <v>陈仓区</v>
      </c>
      <c r="G23" s="12" t="str">
        <f ca="1">VLOOKUP(F23,Table11[[Native]:[Population4]],5,FALSE)</f>
        <v>宝鸡市</v>
      </c>
    </row>
    <row r="24" spans="1:7" ht="15.75" thickBot="1" x14ac:dyDescent="0.3">
      <c r="A24" t="s">
        <v>387</v>
      </c>
      <c r="B24" s="1" t="s">
        <v>388</v>
      </c>
      <c r="C24" s="1" t="s">
        <v>113</v>
      </c>
      <c r="D24" s="1" t="s">
        <v>370</v>
      </c>
      <c r="E24" s="9">
        <v>60395</v>
      </c>
      <c r="F24" s="1" t="str">
        <f>VLOOKUP(D24,Table11[[Name]:[Native]],3,FALSE)</f>
        <v>金台区</v>
      </c>
      <c r="G24" s="12" t="str">
        <f ca="1">VLOOKUP(F24,Table11[[Native]:[Population4]],5,FALSE)</f>
        <v>宝鸡市</v>
      </c>
    </row>
    <row r="25" spans="1:7" ht="15.75" thickBot="1" x14ac:dyDescent="0.3">
      <c r="A25" t="s">
        <v>389</v>
      </c>
      <c r="B25" s="1" t="s">
        <v>390</v>
      </c>
      <c r="C25" s="1" t="s">
        <v>7</v>
      </c>
      <c r="D25" s="1" t="s">
        <v>344</v>
      </c>
      <c r="E25" s="9">
        <v>18308</v>
      </c>
      <c r="F25" s="1" t="str">
        <f>VLOOKUP(D25,Table11[[Name]:[Native]],3,FALSE)</f>
        <v>陇县</v>
      </c>
      <c r="G25" s="12" t="str">
        <f ca="1">VLOOKUP(F25,Table11[[Native]:[Population4]],5,FALSE)</f>
        <v>宝鸡市</v>
      </c>
    </row>
    <row r="26" spans="1:7" ht="15.75" thickBot="1" x14ac:dyDescent="0.3">
      <c r="A26" t="s">
        <v>391</v>
      </c>
      <c r="B26" s="1" t="s">
        <v>392</v>
      </c>
      <c r="C26" s="1" t="s">
        <v>11</v>
      </c>
      <c r="D26" s="1" t="s">
        <v>350</v>
      </c>
      <c r="E26" s="9">
        <v>14523</v>
      </c>
      <c r="F26" s="1" t="str">
        <f>VLOOKUP(D26,Table11[[Name]:[Native]],3,FALSE)</f>
        <v>凤翔区</v>
      </c>
      <c r="G26" s="12" t="str">
        <f ca="1">VLOOKUP(F26,Table11[[Native]:[Population4]],5,FALSE)</f>
        <v>宝鸡市</v>
      </c>
    </row>
    <row r="27" spans="1:7" ht="15.75" thickBot="1" x14ac:dyDescent="0.3">
      <c r="A27" t="s">
        <v>393</v>
      </c>
      <c r="B27" s="1" t="s">
        <v>394</v>
      </c>
      <c r="C27" s="1" t="s">
        <v>7</v>
      </c>
      <c r="D27" s="1" t="s">
        <v>344</v>
      </c>
      <c r="E27" s="9">
        <v>25848</v>
      </c>
      <c r="F27" s="1" t="str">
        <f>VLOOKUP(D27,Table11[[Name]:[Native]],3,FALSE)</f>
        <v>陇县</v>
      </c>
      <c r="G27" s="12" t="str">
        <f ca="1">VLOOKUP(F27,Table11[[Native]:[Population4]],5,FALSE)</f>
        <v>宝鸡市</v>
      </c>
    </row>
    <row r="28" spans="1:7" ht="15.75" thickBot="1" x14ac:dyDescent="0.3">
      <c r="A28" t="s">
        <v>395</v>
      </c>
      <c r="B28" s="1" t="s">
        <v>396</v>
      </c>
      <c r="C28" s="1" t="s">
        <v>7</v>
      </c>
      <c r="D28" s="1" t="s">
        <v>375</v>
      </c>
      <c r="E28" s="9">
        <v>24111</v>
      </c>
      <c r="F28" s="1" t="str">
        <f>VLOOKUP(D28,Table11[[Name]:[Native]],3,FALSE)</f>
        <v>扶风县</v>
      </c>
      <c r="G28" s="12" t="str">
        <f ca="1">VLOOKUP(F28,Table11[[Native]:[Population4]],5,FALSE)</f>
        <v>宝鸡市</v>
      </c>
    </row>
    <row r="29" spans="1:7" ht="15.75" thickBot="1" x14ac:dyDescent="0.3">
      <c r="A29" t="s">
        <v>397</v>
      </c>
      <c r="B29" s="1" t="s">
        <v>398</v>
      </c>
      <c r="C29" s="1" t="s">
        <v>7</v>
      </c>
      <c r="D29" s="1" t="s">
        <v>344</v>
      </c>
      <c r="E29" s="9">
        <v>13616</v>
      </c>
      <c r="F29" s="1" t="str">
        <f>VLOOKUP(D29,Table11[[Name]:[Native]],3,FALSE)</f>
        <v>陇县</v>
      </c>
      <c r="G29" s="12" t="str">
        <f ca="1">VLOOKUP(F29,Table11[[Native]:[Population4]],5,FALSE)</f>
        <v>宝鸡市</v>
      </c>
    </row>
    <row r="30" spans="1:7" ht="15.75" thickBot="1" x14ac:dyDescent="0.3">
      <c r="A30" t="s">
        <v>399</v>
      </c>
      <c r="B30" s="1" t="s">
        <v>400</v>
      </c>
      <c r="C30" s="1" t="s">
        <v>7</v>
      </c>
      <c r="D30" s="1" t="s">
        <v>375</v>
      </c>
      <c r="E30" s="9">
        <v>70852</v>
      </c>
      <c r="F30" s="1" t="str">
        <f>VLOOKUP(D30,Table11[[Name]:[Native]],3,FALSE)</f>
        <v>扶风县</v>
      </c>
      <c r="G30" s="12" t="str">
        <f ca="1">VLOOKUP(F30,Table11[[Native]:[Population4]],5,FALSE)</f>
        <v>宝鸡市</v>
      </c>
    </row>
    <row r="31" spans="1:7" ht="15.75" thickBot="1" x14ac:dyDescent="0.3">
      <c r="A31" t="s">
        <v>401</v>
      </c>
      <c r="B31" s="1" t="s">
        <v>402</v>
      </c>
      <c r="C31" s="1" t="s">
        <v>7</v>
      </c>
      <c r="D31" s="1" t="s">
        <v>350</v>
      </c>
      <c r="E31" s="9">
        <v>16325</v>
      </c>
      <c r="F31" s="1" t="str">
        <f>VLOOKUP(D31,Table11[[Name]:[Native]],3,FALSE)</f>
        <v>凤翔区</v>
      </c>
      <c r="G31" s="12" t="str">
        <f ca="1">VLOOKUP(F31,Table11[[Native]:[Population4]],5,FALSE)</f>
        <v>宝鸡市</v>
      </c>
    </row>
    <row r="32" spans="1:7" ht="15.75" thickBot="1" x14ac:dyDescent="0.3">
      <c r="A32" t="s">
        <v>403</v>
      </c>
      <c r="B32" s="1" t="s">
        <v>404</v>
      </c>
      <c r="C32" s="1" t="s">
        <v>7</v>
      </c>
      <c r="D32" s="1" t="s">
        <v>378</v>
      </c>
      <c r="E32" s="9">
        <v>10250</v>
      </c>
      <c r="F32" s="1" t="str">
        <f>VLOOKUP(D32,Table11[[Name]:[Native]],3,FALSE)</f>
        <v>陈仓区</v>
      </c>
      <c r="G32" s="12" t="str">
        <f ca="1">VLOOKUP(F32,Table11[[Native]:[Population4]],5,FALSE)</f>
        <v>宝鸡市</v>
      </c>
    </row>
    <row r="33" spans="1:7" ht="15.75" thickBot="1" x14ac:dyDescent="0.3">
      <c r="A33" t="s">
        <v>405</v>
      </c>
      <c r="B33" s="1" t="s">
        <v>406</v>
      </c>
      <c r="C33" s="1" t="s">
        <v>7</v>
      </c>
      <c r="D33" s="1" t="s">
        <v>341</v>
      </c>
      <c r="E33" s="9">
        <v>75936</v>
      </c>
      <c r="F33" s="1" t="str">
        <f>VLOOKUP(D33,Table11[[Name]:[Native]],3,FALSE)</f>
        <v>岐山县</v>
      </c>
      <c r="G33" s="12" t="str">
        <f ca="1">VLOOKUP(F33,Table11[[Native]:[Population4]],5,FALSE)</f>
        <v>宝鸡市</v>
      </c>
    </row>
    <row r="34" spans="1:7" ht="15.75" thickBot="1" x14ac:dyDescent="0.3">
      <c r="A34" t="s">
        <v>407</v>
      </c>
      <c r="B34" s="1" t="s">
        <v>408</v>
      </c>
      <c r="C34" s="1" t="s">
        <v>7</v>
      </c>
      <c r="D34" s="1" t="s">
        <v>409</v>
      </c>
      <c r="E34" s="9">
        <v>16260</v>
      </c>
      <c r="F34" s="1" t="str">
        <f>VLOOKUP(D34,Table11[[Name]:[Native]],3,FALSE)</f>
        <v>凤县</v>
      </c>
      <c r="G34" s="12" t="str">
        <f ca="1">VLOOKUP(F34,Table11[[Native]:[Population4]],5,FALSE)</f>
        <v>宝鸡市</v>
      </c>
    </row>
    <row r="35" spans="1:7" ht="15.75" thickBot="1" x14ac:dyDescent="0.3">
      <c r="A35" t="s">
        <v>410</v>
      </c>
      <c r="B35" s="1" t="s">
        <v>411</v>
      </c>
      <c r="C35" s="1" t="s">
        <v>7</v>
      </c>
      <c r="D35" s="1" t="s">
        <v>347</v>
      </c>
      <c r="E35" s="9">
        <v>31118</v>
      </c>
      <c r="F35" s="1" t="str">
        <f>VLOOKUP(D35,Table11[[Name]:[Native]],3,FALSE)</f>
        <v>渭滨区</v>
      </c>
      <c r="G35" s="12" t="str">
        <f ca="1">VLOOKUP(F35,Table11[[Native]:[Population4]],5,FALSE)</f>
        <v>宝鸡市</v>
      </c>
    </row>
    <row r="36" spans="1:7" ht="15.75" thickBot="1" x14ac:dyDescent="0.3">
      <c r="A36" t="s">
        <v>412</v>
      </c>
      <c r="B36" s="1" t="s">
        <v>413</v>
      </c>
      <c r="C36" s="1" t="s">
        <v>11</v>
      </c>
      <c r="D36" s="1" t="s">
        <v>414</v>
      </c>
      <c r="E36" s="9">
        <v>2144</v>
      </c>
      <c r="F36" s="1" t="str">
        <f>VLOOKUP(D36,Table11[[Name]:[Native]],3,FALSE)</f>
        <v>太白县</v>
      </c>
      <c r="G36" s="12" t="str">
        <f ca="1">VLOOKUP(F36,Table11[[Native]:[Population4]],5,FALSE)</f>
        <v>宝鸡市</v>
      </c>
    </row>
    <row r="37" spans="1:7" ht="15.75" thickBot="1" x14ac:dyDescent="0.3">
      <c r="A37" t="s">
        <v>415</v>
      </c>
      <c r="B37" s="1" t="s">
        <v>416</v>
      </c>
      <c r="C37" s="1" t="s">
        <v>7</v>
      </c>
      <c r="D37" s="1" t="s">
        <v>355</v>
      </c>
      <c r="E37" s="9">
        <v>4026</v>
      </c>
      <c r="F37" s="1" t="str">
        <f>VLOOKUP(D37,Table11[[Name]:[Native]],3,FALSE)</f>
        <v>千阳县</v>
      </c>
      <c r="G37" s="12" t="str">
        <f ca="1">VLOOKUP(F37,Table11[[Native]:[Population4]],5,FALSE)</f>
        <v>宝鸡市</v>
      </c>
    </row>
    <row r="38" spans="1:7" ht="15.75" thickBot="1" x14ac:dyDescent="0.3">
      <c r="A38" t="s">
        <v>417</v>
      </c>
      <c r="B38" s="1" t="s">
        <v>418</v>
      </c>
      <c r="C38" s="1" t="s">
        <v>7</v>
      </c>
      <c r="D38" s="1" t="s">
        <v>344</v>
      </c>
      <c r="E38" s="9">
        <v>8482</v>
      </c>
      <c r="F38" s="1" t="str">
        <f>VLOOKUP(D38,Table11[[Name]:[Native]],3,FALSE)</f>
        <v>陇县</v>
      </c>
      <c r="G38" s="12" t="str">
        <f ca="1">VLOOKUP(F38,Table11[[Native]:[Population4]],5,FALSE)</f>
        <v>宝鸡市</v>
      </c>
    </row>
    <row r="39" spans="1:7" ht="15.75" thickBot="1" x14ac:dyDescent="0.3">
      <c r="A39" t="s">
        <v>419</v>
      </c>
      <c r="B39" s="1" t="s">
        <v>420</v>
      </c>
      <c r="C39" s="1" t="s">
        <v>7</v>
      </c>
      <c r="D39" s="1" t="s">
        <v>341</v>
      </c>
      <c r="E39" s="9">
        <v>19565</v>
      </c>
      <c r="F39" s="1" t="str">
        <f>VLOOKUP(D39,Table11[[Name]:[Native]],3,FALSE)</f>
        <v>岐山县</v>
      </c>
      <c r="G39" s="12" t="str">
        <f ca="1">VLOOKUP(F39,Table11[[Native]:[Population4]],5,FALSE)</f>
        <v>宝鸡市</v>
      </c>
    </row>
    <row r="40" spans="1:7" ht="15.75" thickBot="1" x14ac:dyDescent="0.3">
      <c r="A40" t="s">
        <v>421</v>
      </c>
      <c r="B40" s="1" t="s">
        <v>422</v>
      </c>
      <c r="C40" s="1" t="s">
        <v>7</v>
      </c>
      <c r="D40" s="1" t="s">
        <v>350</v>
      </c>
      <c r="E40" s="9">
        <v>25146</v>
      </c>
      <c r="F40" s="1" t="str">
        <f>VLOOKUP(D40,Table11[[Name]:[Native]],3,FALSE)</f>
        <v>凤翔区</v>
      </c>
      <c r="G40" s="12" t="str">
        <f ca="1">VLOOKUP(F40,Table11[[Native]:[Population4]],5,FALSE)</f>
        <v>宝鸡市</v>
      </c>
    </row>
    <row r="41" spans="1:7" ht="15.75" thickBot="1" x14ac:dyDescent="0.3">
      <c r="A41" t="s">
        <v>423</v>
      </c>
      <c r="B41" s="1" t="s">
        <v>424</v>
      </c>
      <c r="C41" s="1" t="s">
        <v>7</v>
      </c>
      <c r="D41" s="1" t="s">
        <v>350</v>
      </c>
      <c r="E41" s="9">
        <v>31061</v>
      </c>
      <c r="F41" s="1" t="str">
        <f>VLOOKUP(D41,Table11[[Name]:[Native]],3,FALSE)</f>
        <v>凤翔区</v>
      </c>
      <c r="G41" s="12" t="str">
        <f ca="1">VLOOKUP(F41,Table11[[Native]:[Population4]],5,FALSE)</f>
        <v>宝鸡市</v>
      </c>
    </row>
    <row r="42" spans="1:7" ht="15.75" thickBot="1" x14ac:dyDescent="0.3">
      <c r="A42" t="s">
        <v>425</v>
      </c>
      <c r="B42" s="1" t="s">
        <v>426</v>
      </c>
      <c r="C42" s="1" t="s">
        <v>113</v>
      </c>
      <c r="D42" s="1" t="s">
        <v>378</v>
      </c>
      <c r="E42" s="9">
        <v>121714</v>
      </c>
      <c r="F42" s="1" t="str">
        <f>VLOOKUP(D42,Table11[[Name]:[Native]],3,FALSE)</f>
        <v>陈仓区</v>
      </c>
      <c r="G42" s="12" t="str">
        <f ca="1">VLOOKUP(F42,Table11[[Native]:[Population4]],5,FALSE)</f>
        <v>宝鸡市</v>
      </c>
    </row>
    <row r="43" spans="1:7" ht="15.75" thickBot="1" x14ac:dyDescent="0.3">
      <c r="A43" t="s">
        <v>427</v>
      </c>
      <c r="B43" s="1" t="s">
        <v>428</v>
      </c>
      <c r="C43" s="1" t="s">
        <v>11</v>
      </c>
      <c r="D43" s="1" t="s">
        <v>350</v>
      </c>
      <c r="E43" s="9">
        <v>7054</v>
      </c>
      <c r="F43" s="1" t="str">
        <f>VLOOKUP(D43,Table11[[Name]:[Native]],3,FALSE)</f>
        <v>凤翔区</v>
      </c>
      <c r="G43" s="12" t="str">
        <f ca="1">VLOOKUP(F43,Table11[[Native]:[Population4]],5,FALSE)</f>
        <v>宝鸡市</v>
      </c>
    </row>
    <row r="44" spans="1:7" ht="15.75" thickBot="1" x14ac:dyDescent="0.3">
      <c r="A44" t="s">
        <v>429</v>
      </c>
      <c r="B44" s="1" t="s">
        <v>430</v>
      </c>
      <c r="C44" s="1" t="s">
        <v>7</v>
      </c>
      <c r="D44" s="1" t="s">
        <v>344</v>
      </c>
      <c r="E44" s="9">
        <v>10256</v>
      </c>
      <c r="F44" s="1" t="str">
        <f>VLOOKUP(D44,Table11[[Name]:[Native]],3,FALSE)</f>
        <v>陇县</v>
      </c>
      <c r="G44" s="12" t="str">
        <f ca="1">VLOOKUP(F44,Table11[[Native]:[Population4]],5,FALSE)</f>
        <v>宝鸡市</v>
      </c>
    </row>
    <row r="45" spans="1:7" ht="15.75" thickBot="1" x14ac:dyDescent="0.3">
      <c r="A45" t="s">
        <v>431</v>
      </c>
      <c r="B45" s="1" t="s">
        <v>432</v>
      </c>
      <c r="C45" s="1" t="s">
        <v>7</v>
      </c>
      <c r="D45" s="1" t="s">
        <v>409</v>
      </c>
      <c r="E45" s="9">
        <v>6506</v>
      </c>
      <c r="F45" s="1" t="str">
        <f>VLOOKUP(D45,Table11[[Name]:[Native]],3,FALSE)</f>
        <v>凤县</v>
      </c>
      <c r="G45" s="12" t="str">
        <f ca="1">VLOOKUP(F45,Table11[[Native]:[Population4]],5,FALSE)</f>
        <v>宝鸡市</v>
      </c>
    </row>
    <row r="46" spans="1:7" ht="15.75" thickBot="1" x14ac:dyDescent="0.3">
      <c r="A46" t="s">
        <v>433</v>
      </c>
      <c r="B46" s="1" t="s">
        <v>434</v>
      </c>
      <c r="C46" s="1" t="s">
        <v>7</v>
      </c>
      <c r="D46" s="1" t="s">
        <v>367</v>
      </c>
      <c r="E46" s="9">
        <v>29020</v>
      </c>
      <c r="F46" s="1" t="str">
        <f>VLOOKUP(D46,Table11[[Name]:[Native]],3,FALSE)</f>
        <v>眉县</v>
      </c>
      <c r="G46" s="12" t="str">
        <f ca="1">VLOOKUP(F46,Table11[[Native]:[Population4]],5,FALSE)</f>
        <v>宝鸡市</v>
      </c>
    </row>
    <row r="47" spans="1:7" ht="15.75" thickBot="1" x14ac:dyDescent="0.3">
      <c r="A47" t="s">
        <v>435</v>
      </c>
      <c r="B47" s="1" t="s">
        <v>436</v>
      </c>
      <c r="C47" s="1" t="s">
        <v>7</v>
      </c>
      <c r="D47" s="1" t="s">
        <v>350</v>
      </c>
      <c r="E47" s="9">
        <v>39802</v>
      </c>
      <c r="F47" s="1" t="str">
        <f>VLOOKUP(D47,Table11[[Name]:[Native]],3,FALSE)</f>
        <v>凤翔区</v>
      </c>
      <c r="G47" s="12" t="str">
        <f ca="1">VLOOKUP(F47,Table11[[Native]:[Population4]],5,FALSE)</f>
        <v>宝鸡市</v>
      </c>
    </row>
    <row r="48" spans="1:7" ht="15.75" thickBot="1" x14ac:dyDescent="0.3">
      <c r="A48" t="s">
        <v>437</v>
      </c>
      <c r="B48" s="1" t="s">
        <v>438</v>
      </c>
      <c r="C48" s="1" t="s">
        <v>11</v>
      </c>
      <c r="D48" s="1" t="s">
        <v>362</v>
      </c>
      <c r="E48" s="9">
        <v>3496</v>
      </c>
      <c r="F48" s="1" t="str">
        <f>VLOOKUP(D48,Table11[[Name]:[Native]],3,FALSE)</f>
        <v>麟游县</v>
      </c>
      <c r="G48" s="12" t="str">
        <f ca="1">VLOOKUP(F48,Table11[[Native]:[Population4]],5,FALSE)</f>
        <v>宝鸡市</v>
      </c>
    </row>
    <row r="49" spans="1:7" ht="15.75" thickBot="1" x14ac:dyDescent="0.3">
      <c r="A49" t="s">
        <v>439</v>
      </c>
      <c r="B49" s="1" t="s">
        <v>440</v>
      </c>
      <c r="C49" s="1" t="s">
        <v>7</v>
      </c>
      <c r="D49" s="1" t="s">
        <v>409</v>
      </c>
      <c r="E49" s="9">
        <v>3729</v>
      </c>
      <c r="F49" s="1" t="str">
        <f>VLOOKUP(D49,Table11[[Name]:[Native]],3,FALSE)</f>
        <v>凤县</v>
      </c>
      <c r="G49" s="12" t="str">
        <f ca="1">VLOOKUP(F49,Table11[[Native]:[Population4]],5,FALSE)</f>
        <v>宝鸡市</v>
      </c>
    </row>
    <row r="50" spans="1:7" ht="15.75" thickBot="1" x14ac:dyDescent="0.3">
      <c r="A50" t="s">
        <v>441</v>
      </c>
      <c r="B50" s="1" t="s">
        <v>442</v>
      </c>
      <c r="C50" s="1" t="s">
        <v>7</v>
      </c>
      <c r="D50" s="1" t="s">
        <v>367</v>
      </c>
      <c r="E50" s="9">
        <v>21487</v>
      </c>
      <c r="F50" s="1" t="str">
        <f>VLOOKUP(D50,Table11[[Name]:[Native]],3,FALSE)</f>
        <v>眉县</v>
      </c>
      <c r="G50" s="12" t="str">
        <f ca="1">VLOOKUP(F50,Table11[[Native]:[Population4]],5,FALSE)</f>
        <v>宝鸡市</v>
      </c>
    </row>
    <row r="51" spans="1:7" ht="15.75" thickBot="1" x14ac:dyDescent="0.3">
      <c r="A51" t="s">
        <v>443</v>
      </c>
      <c r="B51" s="1" t="s">
        <v>444</v>
      </c>
      <c r="C51" s="1" t="s">
        <v>7</v>
      </c>
      <c r="D51" s="1" t="s">
        <v>414</v>
      </c>
      <c r="E51" s="9">
        <v>1768</v>
      </c>
      <c r="F51" s="1" t="str">
        <f>VLOOKUP(D51,Table11[[Name]:[Native]],3,FALSE)</f>
        <v>太白县</v>
      </c>
      <c r="G51" s="12" t="str">
        <f ca="1">VLOOKUP(F51,Table11[[Native]:[Population4]],5,FALSE)</f>
        <v>宝鸡市</v>
      </c>
    </row>
    <row r="52" spans="1:7" ht="15.75" thickBot="1" x14ac:dyDescent="0.3">
      <c r="A52" t="s">
        <v>445</v>
      </c>
      <c r="B52" s="1" t="s">
        <v>446</v>
      </c>
      <c r="C52" s="1" t="s">
        <v>7</v>
      </c>
      <c r="D52" s="1" t="s">
        <v>409</v>
      </c>
      <c r="E52" s="9">
        <v>6957</v>
      </c>
      <c r="F52" s="1" t="str">
        <f>VLOOKUP(D52,Table11[[Name]:[Native]],3,FALSE)</f>
        <v>凤县</v>
      </c>
      <c r="G52" s="12" t="str">
        <f ca="1">VLOOKUP(F52,Table11[[Native]:[Population4]],5,FALSE)</f>
        <v>宝鸡市</v>
      </c>
    </row>
    <row r="53" spans="1:7" ht="15.75" thickBot="1" x14ac:dyDescent="0.3">
      <c r="A53" s="1" t="s">
        <v>447</v>
      </c>
      <c r="B53" s="1" t="s">
        <v>448</v>
      </c>
      <c r="C53" s="1" t="s">
        <v>11</v>
      </c>
      <c r="D53" s="1" t="s">
        <v>378</v>
      </c>
      <c r="E53" s="9">
        <v>9995</v>
      </c>
      <c r="F53" s="1" t="str">
        <f>VLOOKUP(D53,Table11[[Name]:[Native]],3,FALSE)</f>
        <v>陈仓区</v>
      </c>
      <c r="G53" s="12" t="str">
        <f ca="1">VLOOKUP(F53,Table11[[Native]:[Population4]],5,FALSE)</f>
        <v>宝鸡市</v>
      </c>
    </row>
    <row r="54" spans="1:7" ht="15.75" thickBot="1" x14ac:dyDescent="0.3">
      <c r="A54" t="s">
        <v>449</v>
      </c>
      <c r="B54" s="1" t="s">
        <v>450</v>
      </c>
      <c r="C54" s="1" t="s">
        <v>7</v>
      </c>
      <c r="D54" s="1" t="s">
        <v>378</v>
      </c>
      <c r="E54" s="9">
        <v>25795</v>
      </c>
      <c r="F54" s="1" t="str">
        <f>VLOOKUP(D54,Table11[[Name]:[Native]],3,FALSE)</f>
        <v>陈仓区</v>
      </c>
      <c r="G54" s="12" t="str">
        <f ca="1">VLOOKUP(F54,Table11[[Native]:[Population4]],5,FALSE)</f>
        <v>宝鸡市</v>
      </c>
    </row>
    <row r="55" spans="1:7" ht="15.75" thickBot="1" x14ac:dyDescent="0.3">
      <c r="A55" t="s">
        <v>451</v>
      </c>
      <c r="B55" s="1" t="s">
        <v>452</v>
      </c>
      <c r="C55" s="1" t="s">
        <v>113</v>
      </c>
      <c r="D55" s="1" t="s">
        <v>347</v>
      </c>
      <c r="E55" s="9">
        <v>39401</v>
      </c>
      <c r="F55" s="1" t="str">
        <f>VLOOKUP(D55,Table11[[Name]:[Native]],3,FALSE)</f>
        <v>渭滨区</v>
      </c>
      <c r="G55" s="12" t="str">
        <f ca="1">VLOOKUP(F55,Table11[[Native]:[Population4]],5,FALSE)</f>
        <v>宝鸡市</v>
      </c>
    </row>
    <row r="56" spans="1:7" ht="15.75" thickBot="1" x14ac:dyDescent="0.3">
      <c r="A56" t="s">
        <v>453</v>
      </c>
      <c r="B56" s="1" t="s">
        <v>454</v>
      </c>
      <c r="C56" s="1" t="s">
        <v>7</v>
      </c>
      <c r="D56" s="1" t="s">
        <v>375</v>
      </c>
      <c r="E56" s="9">
        <v>76441</v>
      </c>
      <c r="F56" s="1" t="str">
        <f>VLOOKUP(D56,Table11[[Name]:[Native]],3,FALSE)</f>
        <v>扶风县</v>
      </c>
      <c r="G56" s="12" t="str">
        <f ca="1">VLOOKUP(F56,Table11[[Native]:[Population4]],5,FALSE)</f>
        <v>宝鸡市</v>
      </c>
    </row>
    <row r="57" spans="1:7" ht="15.75" thickBot="1" x14ac:dyDescent="0.3">
      <c r="A57" t="s">
        <v>455</v>
      </c>
      <c r="B57" s="1" t="s">
        <v>456</v>
      </c>
      <c r="C57" s="1" t="s">
        <v>7</v>
      </c>
      <c r="D57" s="1" t="s">
        <v>341</v>
      </c>
      <c r="E57" s="9">
        <v>31687</v>
      </c>
      <c r="F57" s="1" t="str">
        <f>VLOOKUP(D57,Table11[[Name]:[Native]],3,FALSE)</f>
        <v>岐山县</v>
      </c>
      <c r="G57" s="12" t="str">
        <f ca="1">VLOOKUP(F57,Table11[[Native]:[Population4]],5,FALSE)</f>
        <v>宝鸡市</v>
      </c>
    </row>
    <row r="58" spans="1:7" ht="15.75" thickBot="1" x14ac:dyDescent="0.3">
      <c r="A58" t="s">
        <v>457</v>
      </c>
      <c r="B58" s="1" t="s">
        <v>458</v>
      </c>
      <c r="C58" s="1" t="s">
        <v>113</v>
      </c>
      <c r="D58" s="1" t="s">
        <v>347</v>
      </c>
      <c r="E58" s="9">
        <v>49952</v>
      </c>
      <c r="F58" s="1" t="str">
        <f>VLOOKUP(D58,Table11[[Name]:[Native]],3,FALSE)</f>
        <v>渭滨区</v>
      </c>
      <c r="G58" s="12" t="str">
        <f ca="1">VLOOKUP(F58,Table11[[Native]:[Population4]],5,FALSE)</f>
        <v>宝鸡市</v>
      </c>
    </row>
    <row r="59" spans="1:7" ht="15.75" thickBot="1" x14ac:dyDescent="0.3">
      <c r="A59" t="s">
        <v>459</v>
      </c>
      <c r="B59" s="1" t="s">
        <v>460</v>
      </c>
      <c r="C59" s="1" t="s">
        <v>7</v>
      </c>
      <c r="D59" s="1" t="s">
        <v>414</v>
      </c>
      <c r="E59" s="9">
        <v>3260</v>
      </c>
      <c r="F59" s="1" t="str">
        <f>VLOOKUP(D59,Table11[[Name]:[Native]],3,FALSE)</f>
        <v>太白县</v>
      </c>
      <c r="G59" s="12" t="str">
        <f ca="1">VLOOKUP(F59,Table11[[Native]:[Population4]],5,FALSE)</f>
        <v>宝鸡市</v>
      </c>
    </row>
    <row r="60" spans="1:7" ht="15.75" thickBot="1" x14ac:dyDescent="0.3">
      <c r="A60" t="s">
        <v>461</v>
      </c>
      <c r="B60" s="1" t="s">
        <v>462</v>
      </c>
      <c r="C60" s="1" t="s">
        <v>7</v>
      </c>
      <c r="D60" s="1" t="s">
        <v>370</v>
      </c>
      <c r="E60" s="9">
        <v>30465</v>
      </c>
      <c r="F60" s="1" t="str">
        <f>VLOOKUP(D60,Table11[[Name]:[Native]],3,FALSE)</f>
        <v>金台区</v>
      </c>
      <c r="G60" s="12" t="str">
        <f ca="1">VLOOKUP(F60,Table11[[Native]:[Population4]],5,FALSE)</f>
        <v>宝鸡市</v>
      </c>
    </row>
    <row r="61" spans="1:7" ht="15.75" thickBot="1" x14ac:dyDescent="0.3">
      <c r="A61" t="s">
        <v>463</v>
      </c>
      <c r="B61" s="1" t="s">
        <v>464</v>
      </c>
      <c r="C61" s="1" t="s">
        <v>113</v>
      </c>
      <c r="D61" s="1" t="s">
        <v>347</v>
      </c>
      <c r="E61" s="9">
        <v>37677</v>
      </c>
      <c r="F61" s="1" t="str">
        <f>VLOOKUP(D61,Table11[[Name]:[Native]],3,FALSE)</f>
        <v>渭滨区</v>
      </c>
      <c r="G61" s="12" t="str">
        <f ca="1">VLOOKUP(F61,Table11[[Native]:[Population4]],5,FALSE)</f>
        <v>宝鸡市</v>
      </c>
    </row>
    <row r="62" spans="1:7" ht="15.75" thickBot="1" x14ac:dyDescent="0.3">
      <c r="A62" t="s">
        <v>465</v>
      </c>
      <c r="B62" s="1" t="s">
        <v>466</v>
      </c>
      <c r="C62" s="1" t="s">
        <v>7</v>
      </c>
      <c r="D62" s="1" t="s">
        <v>367</v>
      </c>
      <c r="E62" s="9">
        <v>33058</v>
      </c>
      <c r="F62" s="1" t="str">
        <f>VLOOKUP(D62,Table11[[Name]:[Native]],3,FALSE)</f>
        <v>眉县</v>
      </c>
      <c r="G62" s="12" t="str">
        <f ca="1">VLOOKUP(F62,Table11[[Native]:[Population4]],5,FALSE)</f>
        <v>宝鸡市</v>
      </c>
    </row>
    <row r="63" spans="1:7" ht="15.75" thickBot="1" x14ac:dyDescent="0.3">
      <c r="A63" t="s">
        <v>467</v>
      </c>
      <c r="B63" s="1" t="s">
        <v>468</v>
      </c>
      <c r="C63" s="1" t="s">
        <v>7</v>
      </c>
      <c r="D63" s="1" t="s">
        <v>362</v>
      </c>
      <c r="E63" s="9">
        <v>30180</v>
      </c>
      <c r="F63" s="1" t="str">
        <f>VLOOKUP(D63,Table11[[Name]:[Native]],3,FALSE)</f>
        <v>麟游县</v>
      </c>
      <c r="G63" s="12" t="str">
        <f ca="1">VLOOKUP(F63,Table11[[Native]:[Population4]],5,FALSE)</f>
        <v>宝鸡市</v>
      </c>
    </row>
    <row r="64" spans="1:7" ht="15.75" thickBot="1" x14ac:dyDescent="0.3">
      <c r="A64" t="s">
        <v>469</v>
      </c>
      <c r="B64" s="1" t="s">
        <v>470</v>
      </c>
      <c r="C64" s="1" t="s">
        <v>7</v>
      </c>
      <c r="D64" s="1" t="s">
        <v>362</v>
      </c>
      <c r="E64" s="9">
        <v>8207</v>
      </c>
      <c r="F64" s="1" t="str">
        <f>VLOOKUP(D64,Table11[[Name]:[Native]],3,FALSE)</f>
        <v>麟游县</v>
      </c>
      <c r="G64" s="12" t="str">
        <f ca="1">VLOOKUP(F64,Table11[[Native]:[Population4]],5,FALSE)</f>
        <v>宝鸡市</v>
      </c>
    </row>
    <row r="65" spans="1:7" ht="15.75" thickBot="1" x14ac:dyDescent="0.3">
      <c r="A65" t="s">
        <v>471</v>
      </c>
      <c r="B65" s="1" t="s">
        <v>472</v>
      </c>
      <c r="C65" s="1" t="s">
        <v>7</v>
      </c>
      <c r="D65" s="1" t="s">
        <v>414</v>
      </c>
      <c r="E65" s="9">
        <v>26948</v>
      </c>
      <c r="F65" s="1" t="str">
        <f>VLOOKUP(D65,Table11[[Name]:[Native]],3,FALSE)</f>
        <v>太白县</v>
      </c>
      <c r="G65" s="12" t="str">
        <f ca="1">VLOOKUP(F65,Table11[[Native]:[Population4]],5,FALSE)</f>
        <v>宝鸡市</v>
      </c>
    </row>
    <row r="66" spans="1:7" ht="15.75" thickBot="1" x14ac:dyDescent="0.3">
      <c r="A66" t="s">
        <v>473</v>
      </c>
      <c r="B66" s="1" t="s">
        <v>474</v>
      </c>
      <c r="C66" s="1" t="s">
        <v>11</v>
      </c>
      <c r="D66" s="1" t="s">
        <v>355</v>
      </c>
      <c r="E66" s="9">
        <v>10436</v>
      </c>
      <c r="F66" s="1" t="str">
        <f>VLOOKUP(D66,Table11[[Name]:[Native]],3,FALSE)</f>
        <v>千阳县</v>
      </c>
      <c r="G66" s="12" t="str">
        <f ca="1">VLOOKUP(F66,Table11[[Native]:[Population4]],5,FALSE)</f>
        <v>宝鸡市</v>
      </c>
    </row>
    <row r="67" spans="1:7" ht="15.75" thickBot="1" x14ac:dyDescent="0.3">
      <c r="A67" s="1" t="s">
        <v>475</v>
      </c>
      <c r="B67" s="1" t="s">
        <v>476</v>
      </c>
      <c r="C67" s="1" t="s">
        <v>7</v>
      </c>
      <c r="D67" s="1" t="s">
        <v>344</v>
      </c>
      <c r="E67" s="9">
        <v>14714</v>
      </c>
      <c r="F67" s="1" t="str">
        <f>VLOOKUP(D67,Table11[[Name]:[Native]],3,FALSE)</f>
        <v>陇县</v>
      </c>
      <c r="G67" s="12" t="str">
        <f ca="1">VLOOKUP(F67,Table11[[Native]:[Population4]],5,FALSE)</f>
        <v>宝鸡市</v>
      </c>
    </row>
    <row r="68" spans="1:7" ht="15.75" thickBot="1" x14ac:dyDescent="0.3">
      <c r="A68" t="s">
        <v>477</v>
      </c>
      <c r="B68" s="1" t="s">
        <v>478</v>
      </c>
      <c r="C68" s="1" t="s">
        <v>7</v>
      </c>
      <c r="D68" s="1" t="s">
        <v>362</v>
      </c>
      <c r="E68" s="9">
        <v>6778</v>
      </c>
      <c r="F68" s="1" t="str">
        <f>VLOOKUP(D68,Table11[[Name]:[Native]],3,FALSE)</f>
        <v>麟游县</v>
      </c>
      <c r="G68" s="12" t="str">
        <f ca="1">VLOOKUP(F68,Table11[[Native]:[Population4]],5,FALSE)</f>
        <v>宝鸡市</v>
      </c>
    </row>
    <row r="69" spans="1:7" ht="15.75" thickBot="1" x14ac:dyDescent="0.3">
      <c r="A69" t="s">
        <v>479</v>
      </c>
      <c r="B69" s="1" t="s">
        <v>480</v>
      </c>
      <c r="C69" s="1" t="s">
        <v>7</v>
      </c>
      <c r="D69" s="1" t="s">
        <v>409</v>
      </c>
      <c r="E69" s="9">
        <v>14127</v>
      </c>
      <c r="F69" s="1" t="str">
        <f>VLOOKUP(D69,Table11[[Name]:[Native]],3,FALSE)</f>
        <v>凤县</v>
      </c>
      <c r="G69" s="12" t="str">
        <f ca="1">VLOOKUP(F69,Table11[[Native]:[Population4]],5,FALSE)</f>
        <v>宝鸡市</v>
      </c>
    </row>
    <row r="70" spans="1:7" ht="15.75" thickBot="1" x14ac:dyDescent="0.3">
      <c r="A70" t="s">
        <v>481</v>
      </c>
      <c r="B70" s="1" t="s">
        <v>482</v>
      </c>
      <c r="C70" s="1" t="s">
        <v>7</v>
      </c>
      <c r="D70" s="1" t="s">
        <v>350</v>
      </c>
      <c r="E70" s="9">
        <v>28545</v>
      </c>
      <c r="F70" s="1" t="str">
        <f>VLOOKUP(D70,Table11[[Name]:[Native]],3,FALSE)</f>
        <v>凤翔区</v>
      </c>
      <c r="G70" s="12" t="str">
        <f ca="1">VLOOKUP(F70,Table11[[Native]:[Population4]],5,FALSE)</f>
        <v>宝鸡市</v>
      </c>
    </row>
    <row r="71" spans="1:7" ht="15.75" thickBot="1" x14ac:dyDescent="0.3">
      <c r="A71" t="s">
        <v>483</v>
      </c>
      <c r="B71" s="1" t="s">
        <v>484</v>
      </c>
      <c r="C71" s="1" t="s">
        <v>7</v>
      </c>
      <c r="D71" s="1" t="s">
        <v>347</v>
      </c>
      <c r="E71" s="9">
        <v>56854</v>
      </c>
      <c r="F71" s="1" t="str">
        <f>VLOOKUP(D71,Table11[[Name]:[Native]],3,FALSE)</f>
        <v>渭滨区</v>
      </c>
      <c r="G71" s="12" t="str">
        <f ca="1">VLOOKUP(F71,Table11[[Native]:[Population4]],5,FALSE)</f>
        <v>宝鸡市</v>
      </c>
    </row>
    <row r="72" spans="1:7" ht="15.75" thickBot="1" x14ac:dyDescent="0.3">
      <c r="A72" t="s">
        <v>485</v>
      </c>
      <c r="B72" s="1" t="s">
        <v>486</v>
      </c>
      <c r="C72" s="1" t="s">
        <v>7</v>
      </c>
      <c r="D72" s="1" t="s">
        <v>350</v>
      </c>
      <c r="E72" s="9">
        <v>32429</v>
      </c>
      <c r="F72" s="1" t="str">
        <f>VLOOKUP(D72,Table11[[Name]:[Native]],3,FALSE)</f>
        <v>凤翔区</v>
      </c>
      <c r="G72" s="12" t="str">
        <f ca="1">VLOOKUP(F72,Table11[[Native]:[Population4]],5,FALSE)</f>
        <v>宝鸡市</v>
      </c>
    </row>
    <row r="73" spans="1:7" ht="15.75" thickBot="1" x14ac:dyDescent="0.3">
      <c r="A73" t="s">
        <v>487</v>
      </c>
      <c r="B73" s="1" t="s">
        <v>488</v>
      </c>
      <c r="C73" s="1" t="s">
        <v>7</v>
      </c>
      <c r="D73" s="1" t="s">
        <v>378</v>
      </c>
      <c r="E73" s="9">
        <v>36483</v>
      </c>
      <c r="F73" s="1" t="str">
        <f>VLOOKUP(D73,Table11[[Name]:[Native]],3,FALSE)</f>
        <v>陈仓区</v>
      </c>
      <c r="G73" s="12" t="str">
        <f ca="1">VLOOKUP(F73,Table11[[Native]:[Population4]],5,FALSE)</f>
        <v>宝鸡市</v>
      </c>
    </row>
    <row r="74" spans="1:7" ht="15.75" thickBot="1" x14ac:dyDescent="0.3">
      <c r="A74" t="s">
        <v>489</v>
      </c>
      <c r="B74" s="1" t="s">
        <v>490</v>
      </c>
      <c r="C74" s="1" t="s">
        <v>7</v>
      </c>
      <c r="D74" s="1" t="s">
        <v>375</v>
      </c>
      <c r="E74" s="9">
        <v>20880</v>
      </c>
      <c r="F74" s="1" t="str">
        <f>VLOOKUP(D74,Table11[[Name]:[Native]],3,FALSE)</f>
        <v>扶风县</v>
      </c>
      <c r="G74" s="12" t="str">
        <f ca="1">VLOOKUP(F74,Table11[[Native]:[Population4]],5,FALSE)</f>
        <v>宝鸡市</v>
      </c>
    </row>
    <row r="75" spans="1:7" ht="15.75" thickBot="1" x14ac:dyDescent="0.3">
      <c r="A75" t="s">
        <v>491</v>
      </c>
      <c r="B75" s="1" t="s">
        <v>492</v>
      </c>
      <c r="C75" s="1" t="s">
        <v>7</v>
      </c>
      <c r="D75" s="1" t="s">
        <v>355</v>
      </c>
      <c r="E75" s="9">
        <v>20234</v>
      </c>
      <c r="F75" s="1" t="str">
        <f>VLOOKUP(D75,Table11[[Name]:[Native]],3,FALSE)</f>
        <v>千阳县</v>
      </c>
      <c r="G75" s="12" t="str">
        <f ca="1">VLOOKUP(F75,Table11[[Native]:[Population4]],5,FALSE)</f>
        <v>宝鸡市</v>
      </c>
    </row>
    <row r="76" spans="1:7" ht="15.75" thickBot="1" x14ac:dyDescent="0.3">
      <c r="A76" t="s">
        <v>493</v>
      </c>
      <c r="B76" s="1" t="s">
        <v>494</v>
      </c>
      <c r="C76" s="1" t="s">
        <v>7</v>
      </c>
      <c r="D76" s="1" t="s">
        <v>350</v>
      </c>
      <c r="E76" s="9">
        <v>33178</v>
      </c>
      <c r="F76" s="1" t="str">
        <f>VLOOKUP(D76,Table11[[Name]:[Native]],3,FALSE)</f>
        <v>凤翔区</v>
      </c>
      <c r="G76" s="12" t="str">
        <f ca="1">VLOOKUP(F76,Table11[[Native]:[Population4]],5,FALSE)</f>
        <v>宝鸡市</v>
      </c>
    </row>
    <row r="77" spans="1:7" ht="15.75" thickBot="1" x14ac:dyDescent="0.3">
      <c r="A77" t="s">
        <v>495</v>
      </c>
      <c r="B77" s="1" t="s">
        <v>496</v>
      </c>
      <c r="C77" s="1" t="s">
        <v>7</v>
      </c>
      <c r="D77" s="1" t="s">
        <v>370</v>
      </c>
      <c r="E77" s="9">
        <v>37902</v>
      </c>
      <c r="F77" s="1" t="str">
        <f>VLOOKUP(D77,Table11[[Name]:[Native]],3,FALSE)</f>
        <v>金台区</v>
      </c>
      <c r="G77" s="12" t="str">
        <f ca="1">VLOOKUP(F77,Table11[[Native]:[Population4]],5,FALSE)</f>
        <v>宝鸡市</v>
      </c>
    </row>
    <row r="78" spans="1:7" ht="15.75" thickBot="1" x14ac:dyDescent="0.3">
      <c r="A78" t="s">
        <v>497</v>
      </c>
      <c r="B78" s="1" t="s">
        <v>498</v>
      </c>
      <c r="C78" s="1" t="s">
        <v>7</v>
      </c>
      <c r="D78" s="1" t="s">
        <v>378</v>
      </c>
      <c r="E78" s="9">
        <v>44211</v>
      </c>
      <c r="F78" s="1" t="str">
        <f>VLOOKUP(D78,Table11[[Name]:[Native]],3,FALSE)</f>
        <v>陈仓区</v>
      </c>
      <c r="G78" s="12" t="str">
        <f ca="1">VLOOKUP(F78,Table11[[Native]:[Population4]],5,FALSE)</f>
        <v>宝鸡市</v>
      </c>
    </row>
    <row r="79" spans="1:7" ht="15.75" thickBot="1" x14ac:dyDescent="0.3">
      <c r="A79" t="s">
        <v>499</v>
      </c>
      <c r="B79" s="1" t="s">
        <v>500</v>
      </c>
      <c r="C79" s="1" t="s">
        <v>7</v>
      </c>
      <c r="D79" s="1" t="s">
        <v>409</v>
      </c>
      <c r="E79" s="9">
        <v>4042</v>
      </c>
      <c r="F79" s="1" t="str">
        <f>VLOOKUP(D79,Table11[[Name]:[Native]],3,FALSE)</f>
        <v>凤县</v>
      </c>
      <c r="G79" s="12" t="str">
        <f ca="1">VLOOKUP(F79,Table11[[Native]:[Population4]],5,FALSE)</f>
        <v>宝鸡市</v>
      </c>
    </row>
    <row r="80" spans="1:7" ht="15.75" thickBot="1" x14ac:dyDescent="0.3">
      <c r="A80" t="s">
        <v>501</v>
      </c>
      <c r="B80" s="1" t="s">
        <v>502</v>
      </c>
      <c r="C80" s="1" t="s">
        <v>7</v>
      </c>
      <c r="D80" s="1" t="s">
        <v>409</v>
      </c>
      <c r="E80" s="9">
        <v>8794</v>
      </c>
      <c r="F80" s="1" t="str">
        <f>VLOOKUP(D80,Table11[[Name]:[Native]],3,FALSE)</f>
        <v>凤县</v>
      </c>
      <c r="G80" s="12" t="str">
        <f ca="1">VLOOKUP(F80,Table11[[Native]:[Population4]],5,FALSE)</f>
        <v>宝鸡市</v>
      </c>
    </row>
    <row r="81" spans="1:7" ht="15.75" thickBot="1" x14ac:dyDescent="0.3">
      <c r="A81" t="s">
        <v>503</v>
      </c>
      <c r="B81" s="1" t="s">
        <v>504</v>
      </c>
      <c r="C81" s="1" t="s">
        <v>7</v>
      </c>
      <c r="D81" s="1" t="s">
        <v>378</v>
      </c>
      <c r="E81" s="9">
        <v>15161</v>
      </c>
      <c r="F81" s="1" t="str">
        <f>VLOOKUP(D81,Table11[[Name]:[Native]],3,FALSE)</f>
        <v>陈仓区</v>
      </c>
      <c r="G81" s="12" t="str">
        <f ca="1">VLOOKUP(F81,Table11[[Native]:[Population4]],5,FALSE)</f>
        <v>宝鸡市</v>
      </c>
    </row>
    <row r="82" spans="1:7" ht="15.75" thickBot="1" x14ac:dyDescent="0.3">
      <c r="A82" t="s">
        <v>505</v>
      </c>
      <c r="B82" s="1" t="s">
        <v>506</v>
      </c>
      <c r="C82" s="1" t="s">
        <v>7</v>
      </c>
      <c r="D82" s="1" t="s">
        <v>341</v>
      </c>
      <c r="E82" s="9">
        <v>24236</v>
      </c>
      <c r="F82" s="1" t="str">
        <f>VLOOKUP(D82,Table11[[Name]:[Native]],3,FALSE)</f>
        <v>岐山县</v>
      </c>
      <c r="G82" s="12" t="str">
        <f ca="1">VLOOKUP(F82,Table11[[Native]:[Population4]],5,FALSE)</f>
        <v>宝鸡市</v>
      </c>
    </row>
    <row r="83" spans="1:7" ht="15.75" thickBot="1" x14ac:dyDescent="0.3">
      <c r="A83" t="s">
        <v>507</v>
      </c>
      <c r="B83" s="1" t="s">
        <v>508</v>
      </c>
      <c r="C83" s="1" t="s">
        <v>7</v>
      </c>
      <c r="D83" s="1" t="s">
        <v>378</v>
      </c>
      <c r="E83" s="9">
        <v>45793</v>
      </c>
      <c r="F83" s="1" t="str">
        <f>VLOOKUP(D83,Table11[[Name]:[Native]],3,FALSE)</f>
        <v>陈仓区</v>
      </c>
      <c r="G83" s="12" t="str">
        <f ca="1">VLOOKUP(F83,Table11[[Native]:[Population4]],5,FALSE)</f>
        <v>宝鸡市</v>
      </c>
    </row>
    <row r="84" spans="1:7" ht="15.75" thickBot="1" x14ac:dyDescent="0.3">
      <c r="A84" t="s">
        <v>509</v>
      </c>
      <c r="B84" s="1" t="s">
        <v>510</v>
      </c>
      <c r="C84" s="1" t="s">
        <v>113</v>
      </c>
      <c r="D84" s="1" t="s">
        <v>347</v>
      </c>
      <c r="E84" s="9">
        <v>101381</v>
      </c>
      <c r="F84" s="1" t="str">
        <f>VLOOKUP(D84,Table11[[Name]:[Native]],3,FALSE)</f>
        <v>渭滨区</v>
      </c>
      <c r="G84" s="12" t="str">
        <f ca="1">VLOOKUP(F84,Table11[[Native]:[Population4]],5,FALSE)</f>
        <v>宝鸡市</v>
      </c>
    </row>
    <row r="85" spans="1:7" ht="15.75" thickBot="1" x14ac:dyDescent="0.3">
      <c r="A85" t="s">
        <v>511</v>
      </c>
      <c r="B85" s="1" t="s">
        <v>512</v>
      </c>
      <c r="C85" s="1" t="s">
        <v>7</v>
      </c>
      <c r="D85" s="1" t="s">
        <v>378</v>
      </c>
      <c r="E85" s="9">
        <v>25763</v>
      </c>
      <c r="F85" s="1" t="str">
        <f>VLOOKUP(D85,Table11[[Name]:[Native]],3,FALSE)</f>
        <v>陈仓区</v>
      </c>
      <c r="G85" s="12" t="str">
        <f ca="1">VLOOKUP(F85,Table11[[Native]:[Population4]],5,FALSE)</f>
        <v>宝鸡市</v>
      </c>
    </row>
    <row r="86" spans="1:7" ht="15.75" thickBot="1" x14ac:dyDescent="0.3">
      <c r="A86" t="s">
        <v>513</v>
      </c>
      <c r="B86" s="1" t="s">
        <v>514</v>
      </c>
      <c r="C86" s="1" t="s">
        <v>11</v>
      </c>
      <c r="D86" s="1" t="s">
        <v>367</v>
      </c>
      <c r="E86" s="9">
        <v>17214</v>
      </c>
      <c r="F86" s="1" t="str">
        <f>VLOOKUP(D86,Table11[[Name]:[Native]],3,FALSE)</f>
        <v>眉县</v>
      </c>
      <c r="G86" s="12" t="str">
        <f ca="1">VLOOKUP(F86,Table11[[Native]:[Population4]],5,FALSE)</f>
        <v>宝鸡市</v>
      </c>
    </row>
    <row r="87" spans="1:7" ht="15.75" thickBot="1" x14ac:dyDescent="0.3">
      <c r="A87" t="s">
        <v>515</v>
      </c>
      <c r="B87" s="1" t="s">
        <v>516</v>
      </c>
      <c r="C87" s="1" t="s">
        <v>7</v>
      </c>
      <c r="D87" s="1" t="s">
        <v>341</v>
      </c>
      <c r="E87" s="9">
        <v>26637</v>
      </c>
      <c r="F87" s="1" t="str">
        <f>VLOOKUP(D87,Table11[[Name]:[Native]],3,FALSE)</f>
        <v>岐山县</v>
      </c>
      <c r="G87" s="12" t="str">
        <f ca="1">VLOOKUP(F87,Table11[[Native]:[Population4]],5,FALSE)</f>
        <v>宝鸡市</v>
      </c>
    </row>
    <row r="88" spans="1:7" ht="15.75" thickBot="1" x14ac:dyDescent="0.3">
      <c r="A88" t="s">
        <v>517</v>
      </c>
      <c r="B88" s="1" t="s">
        <v>518</v>
      </c>
      <c r="C88" s="1" t="s">
        <v>113</v>
      </c>
      <c r="D88" s="1" t="s">
        <v>347</v>
      </c>
      <c r="E88" s="9">
        <v>58057</v>
      </c>
      <c r="F88" s="1" t="str">
        <f>VLOOKUP(D88,Table11[[Name]:[Native]],3,FALSE)</f>
        <v>渭滨区</v>
      </c>
      <c r="G88" s="12" t="str">
        <f ca="1">VLOOKUP(F88,Table11[[Native]:[Population4]],5,FALSE)</f>
        <v>宝鸡市</v>
      </c>
    </row>
    <row r="89" spans="1:7" ht="15.75" thickBot="1" x14ac:dyDescent="0.3">
      <c r="A89" t="s">
        <v>519</v>
      </c>
      <c r="B89" s="1" t="s">
        <v>520</v>
      </c>
      <c r="C89" s="1" t="s">
        <v>7</v>
      </c>
      <c r="D89" s="1" t="s">
        <v>367</v>
      </c>
      <c r="E89" s="9">
        <v>29683</v>
      </c>
      <c r="F89" s="1" t="str">
        <f>VLOOKUP(D89,Table11[[Name]:[Native]],3,FALSE)</f>
        <v>眉县</v>
      </c>
      <c r="G89" s="12" t="str">
        <f ca="1">VLOOKUP(F89,Table11[[Native]:[Population4]],5,FALSE)</f>
        <v>宝鸡市</v>
      </c>
    </row>
    <row r="90" spans="1:7" ht="15.75" thickBot="1" x14ac:dyDescent="0.3">
      <c r="A90" t="s">
        <v>521</v>
      </c>
      <c r="B90" s="1" t="s">
        <v>522</v>
      </c>
      <c r="C90" s="1" t="s">
        <v>113</v>
      </c>
      <c r="D90" s="1" t="s">
        <v>370</v>
      </c>
      <c r="E90" s="9">
        <v>28501</v>
      </c>
      <c r="F90" s="1" t="str">
        <f>VLOOKUP(D90,Table11[[Name]:[Native]],3,FALSE)</f>
        <v>金台区</v>
      </c>
      <c r="G90" s="12" t="str">
        <f ca="1">VLOOKUP(F90,Table11[[Native]:[Population4]],5,FALSE)</f>
        <v>宝鸡市</v>
      </c>
    </row>
    <row r="91" spans="1:7" ht="15.75" thickBot="1" x14ac:dyDescent="0.3">
      <c r="A91" t="s">
        <v>523</v>
      </c>
      <c r="B91" s="1" t="s">
        <v>524</v>
      </c>
      <c r="C91" s="1" t="s">
        <v>11</v>
      </c>
      <c r="D91" s="1" t="s">
        <v>362</v>
      </c>
      <c r="E91" s="9">
        <v>3665</v>
      </c>
      <c r="F91" s="1" t="str">
        <f>VLOOKUP(D91,Table11[[Name]:[Native]],3,FALSE)</f>
        <v>麟游县</v>
      </c>
      <c r="G91" s="12" t="str">
        <f ca="1">VLOOKUP(F91,Table11[[Native]:[Population4]],5,FALSE)</f>
        <v>宝鸡市</v>
      </c>
    </row>
    <row r="92" spans="1:7" ht="15.75" thickBot="1" x14ac:dyDescent="0.3">
      <c r="A92" t="s">
        <v>525</v>
      </c>
      <c r="B92" s="1" t="s">
        <v>526</v>
      </c>
      <c r="C92" s="1" t="s">
        <v>11</v>
      </c>
      <c r="D92" s="1" t="s">
        <v>355</v>
      </c>
      <c r="E92" s="9">
        <v>4402</v>
      </c>
      <c r="F92" s="1" t="str">
        <f>VLOOKUP(D92,Table11[[Name]:[Native]],3,FALSE)</f>
        <v>千阳县</v>
      </c>
      <c r="G92" s="12" t="str">
        <f ca="1">VLOOKUP(F92,Table11[[Native]:[Population4]],5,FALSE)</f>
        <v>宝鸡市</v>
      </c>
    </row>
    <row r="93" spans="1:7" ht="15.75" thickBot="1" x14ac:dyDescent="0.3">
      <c r="A93" t="s">
        <v>527</v>
      </c>
      <c r="B93" s="1" t="s">
        <v>528</v>
      </c>
      <c r="C93" s="1" t="s">
        <v>7</v>
      </c>
      <c r="D93" s="1" t="s">
        <v>347</v>
      </c>
      <c r="E93" s="9">
        <v>23277</v>
      </c>
      <c r="F93" s="1" t="str">
        <f>VLOOKUP(D93,Table11[[Name]:[Native]],3,FALSE)</f>
        <v>渭滨区</v>
      </c>
      <c r="G93" s="12" t="str">
        <f ca="1">VLOOKUP(F93,Table11[[Native]:[Population4]],5,FALSE)</f>
        <v>宝鸡市</v>
      </c>
    </row>
    <row r="94" spans="1:7" ht="15.75" thickBot="1" x14ac:dyDescent="0.3">
      <c r="A94" t="s">
        <v>529</v>
      </c>
      <c r="B94" s="1" t="s">
        <v>530</v>
      </c>
      <c r="C94" s="1" t="s">
        <v>7</v>
      </c>
      <c r="D94" s="1" t="s">
        <v>347</v>
      </c>
      <c r="E94" s="9">
        <v>23871</v>
      </c>
      <c r="F94" s="1" t="str">
        <f>VLOOKUP(D94,Table11[[Name]:[Native]],3,FALSE)</f>
        <v>渭滨区</v>
      </c>
      <c r="G94" s="12" t="str">
        <f ca="1">VLOOKUP(F94,Table11[[Native]:[Population4]],5,FALSE)</f>
        <v>宝鸡市</v>
      </c>
    </row>
    <row r="95" spans="1:7" ht="15.75" thickBot="1" x14ac:dyDescent="0.3">
      <c r="A95" t="s">
        <v>531</v>
      </c>
      <c r="B95" s="1" t="s">
        <v>532</v>
      </c>
      <c r="C95" s="1" t="s">
        <v>113</v>
      </c>
      <c r="D95" s="1" t="s">
        <v>370</v>
      </c>
      <c r="E95" s="9">
        <v>49989</v>
      </c>
      <c r="F95" s="1" t="str">
        <f>VLOOKUP(D95,Table11[[Name]:[Native]],3,FALSE)</f>
        <v>金台区</v>
      </c>
      <c r="G95" s="12" t="str">
        <f ca="1">VLOOKUP(F95,Table11[[Native]:[Population4]],5,FALSE)</f>
        <v>宝鸡市</v>
      </c>
    </row>
    <row r="96" spans="1:7" ht="15.75" thickBot="1" x14ac:dyDescent="0.3">
      <c r="A96" t="s">
        <v>533</v>
      </c>
      <c r="B96" s="1" t="s">
        <v>534</v>
      </c>
      <c r="C96" s="1" t="s">
        <v>113</v>
      </c>
      <c r="D96" s="1" t="s">
        <v>367</v>
      </c>
      <c r="E96" s="9">
        <v>65656</v>
      </c>
      <c r="F96" s="1" t="str">
        <f>VLOOKUP(D96,Table11[[Name]:[Native]],3,FALSE)</f>
        <v>眉县</v>
      </c>
      <c r="G96" s="12" t="str">
        <f ca="1">VLOOKUP(F96,Table11[[Native]:[Population4]],5,FALSE)</f>
        <v>宝鸡市</v>
      </c>
    </row>
    <row r="97" spans="1:7" ht="15.75" thickBot="1" x14ac:dyDescent="0.3">
      <c r="A97" t="s">
        <v>535</v>
      </c>
      <c r="B97" s="1" t="s">
        <v>536</v>
      </c>
      <c r="C97" s="1" t="s">
        <v>7</v>
      </c>
      <c r="D97" s="1" t="s">
        <v>409</v>
      </c>
      <c r="E97" s="9">
        <v>36030</v>
      </c>
      <c r="F97" s="1" t="str">
        <f>VLOOKUP(D97,Table11[[Name]:[Native]],3,FALSE)</f>
        <v>凤县</v>
      </c>
      <c r="G97" s="12" t="str">
        <f ca="1">VLOOKUP(F97,Table11[[Native]:[Population4]],5,FALSE)</f>
        <v>宝鸡市</v>
      </c>
    </row>
    <row r="98" spans="1:7" ht="15.75" thickBot="1" x14ac:dyDescent="0.3">
      <c r="A98" t="s">
        <v>537</v>
      </c>
      <c r="B98" s="1" t="s">
        <v>538</v>
      </c>
      <c r="C98" s="1" t="s">
        <v>7</v>
      </c>
      <c r="D98" s="1" t="s">
        <v>355</v>
      </c>
      <c r="E98" s="9">
        <v>18304</v>
      </c>
      <c r="F98" s="1" t="str">
        <f>VLOOKUP(D98,Table11[[Name]:[Native]],3,FALSE)</f>
        <v>千阳县</v>
      </c>
      <c r="G98" s="12" t="str">
        <f ca="1">VLOOKUP(F98,Table11[[Native]:[Population4]],5,FALSE)</f>
        <v>宝鸡市</v>
      </c>
    </row>
    <row r="99" spans="1:7" ht="15.75" thickBot="1" x14ac:dyDescent="0.3">
      <c r="A99" t="s">
        <v>539</v>
      </c>
      <c r="B99" s="1" t="s">
        <v>540</v>
      </c>
      <c r="C99" s="1" t="s">
        <v>7</v>
      </c>
      <c r="D99" s="1" t="s">
        <v>414</v>
      </c>
      <c r="E99" s="9">
        <v>2338</v>
      </c>
      <c r="F99" s="1" t="str">
        <f>VLOOKUP(D99,Table11[[Name]:[Native]],3,FALSE)</f>
        <v>太白县</v>
      </c>
      <c r="G99" s="12" t="str">
        <f ca="1">VLOOKUP(F99,Table11[[Native]:[Population4]],5,FALSE)</f>
        <v>宝鸡市</v>
      </c>
    </row>
    <row r="100" spans="1:7" ht="15.75" thickBot="1" x14ac:dyDescent="0.3">
      <c r="A100" t="s">
        <v>541</v>
      </c>
      <c r="B100" s="1" t="s">
        <v>542</v>
      </c>
      <c r="C100" s="1" t="s">
        <v>11</v>
      </c>
      <c r="D100" s="1" t="s">
        <v>375</v>
      </c>
      <c r="E100" s="9">
        <v>22037</v>
      </c>
      <c r="F100" s="1" t="str">
        <f>VLOOKUP(D100,Table11[[Name]:[Native]],3,FALSE)</f>
        <v>扶风县</v>
      </c>
      <c r="G100" s="12" t="str">
        <f ca="1">VLOOKUP(F100,Table11[[Native]:[Population4]],5,FALSE)</f>
        <v>宝鸡市</v>
      </c>
    </row>
    <row r="101" spans="1:7" ht="15.75" thickBot="1" x14ac:dyDescent="0.3">
      <c r="A101" t="s">
        <v>543</v>
      </c>
      <c r="B101" s="1" t="s">
        <v>544</v>
      </c>
      <c r="C101" s="1" t="s">
        <v>11</v>
      </c>
      <c r="D101" s="1" t="s">
        <v>350</v>
      </c>
      <c r="E101" s="9">
        <v>24182</v>
      </c>
      <c r="F101" s="1" t="str">
        <f>VLOOKUP(D101,Table11[[Name]:[Native]],3,FALSE)</f>
        <v>凤翔区</v>
      </c>
      <c r="G101" s="12" t="str">
        <f ca="1">VLOOKUP(F101,Table11[[Native]:[Population4]],5,FALSE)</f>
        <v>宝鸡市</v>
      </c>
    </row>
    <row r="102" spans="1:7" ht="15.75" thickBot="1" x14ac:dyDescent="0.3">
      <c r="A102" t="s">
        <v>545</v>
      </c>
      <c r="B102" s="1" t="s">
        <v>546</v>
      </c>
      <c r="C102" s="1" t="s">
        <v>7</v>
      </c>
      <c r="D102" s="1" t="s">
        <v>367</v>
      </c>
      <c r="E102" s="9">
        <v>36604</v>
      </c>
      <c r="F102" s="1" t="str">
        <f>VLOOKUP(D102,Table11[[Name]:[Native]],3,FALSE)</f>
        <v>眉县</v>
      </c>
      <c r="G102" s="12" t="str">
        <f ca="1">VLOOKUP(F102,Table11[[Native]:[Population4]],5,FALSE)</f>
        <v>宝鸡市</v>
      </c>
    </row>
    <row r="103" spans="1:7" ht="15.75" thickBot="1" x14ac:dyDescent="0.3">
      <c r="A103" t="s">
        <v>547</v>
      </c>
      <c r="B103" s="1" t="s">
        <v>548</v>
      </c>
      <c r="C103" s="1" t="s">
        <v>7</v>
      </c>
      <c r="D103" s="1" t="s">
        <v>409</v>
      </c>
      <c r="E103" s="9">
        <v>4720</v>
      </c>
      <c r="F103" s="1" t="str">
        <f>VLOOKUP(D103,Table11[[Name]:[Native]],3,FALSE)</f>
        <v>凤县</v>
      </c>
      <c r="G103" s="12" t="str">
        <f ca="1">VLOOKUP(F103,Table11[[Native]:[Population4]],5,FALSE)</f>
        <v>宝鸡市</v>
      </c>
    </row>
    <row r="104" spans="1:7" ht="15.75" thickBot="1" x14ac:dyDescent="0.3">
      <c r="A104" t="s">
        <v>549</v>
      </c>
      <c r="B104" s="1" t="s">
        <v>550</v>
      </c>
      <c r="C104" s="1" t="s">
        <v>7</v>
      </c>
      <c r="D104" s="1" t="s">
        <v>414</v>
      </c>
      <c r="E104" s="9">
        <v>6106</v>
      </c>
      <c r="F104" s="1" t="str">
        <f>VLOOKUP(D104,Table11[[Name]:[Native]],3,FALSE)</f>
        <v>太白县</v>
      </c>
      <c r="G104" s="12" t="str">
        <f ca="1">VLOOKUP(F104,Table11[[Native]:[Population4]],5,FALSE)</f>
        <v>宝鸡市</v>
      </c>
    </row>
    <row r="105" spans="1:7" ht="15.75" thickBot="1" x14ac:dyDescent="0.3">
      <c r="A105" t="s">
        <v>551</v>
      </c>
      <c r="B105" s="1" t="s">
        <v>552</v>
      </c>
      <c r="C105" s="1" t="s">
        <v>7</v>
      </c>
      <c r="D105" s="1" t="s">
        <v>344</v>
      </c>
      <c r="E105" s="9">
        <v>12641</v>
      </c>
      <c r="F105" s="1" t="str">
        <f>VLOOKUP(D105,Table11[[Name]:[Native]],3,FALSE)</f>
        <v>陇县</v>
      </c>
      <c r="G105" s="12" t="str">
        <f ca="1">VLOOKUP(F105,Table11[[Native]:[Population4]],5,FALSE)</f>
        <v>宝鸡市</v>
      </c>
    </row>
    <row r="106" spans="1:7" ht="15.75" thickBot="1" x14ac:dyDescent="0.3">
      <c r="A106" t="s">
        <v>553</v>
      </c>
      <c r="B106" s="1" t="s">
        <v>554</v>
      </c>
      <c r="C106" s="1" t="s">
        <v>7</v>
      </c>
      <c r="D106" s="1" t="s">
        <v>375</v>
      </c>
      <c r="E106" s="9">
        <v>20948</v>
      </c>
      <c r="F106" s="1" t="str">
        <f>VLOOKUP(D106,Table11[[Name]:[Native]],3,FALSE)</f>
        <v>扶风县</v>
      </c>
      <c r="G106" s="12" t="str">
        <f ca="1">VLOOKUP(F106,Table11[[Native]:[Population4]],5,FALSE)</f>
        <v>宝鸡市</v>
      </c>
    </row>
    <row r="107" spans="1:7" ht="15.75" thickBot="1" x14ac:dyDescent="0.3">
      <c r="A107" t="s">
        <v>555</v>
      </c>
      <c r="B107" s="1" t="s">
        <v>556</v>
      </c>
      <c r="C107" s="1" t="s">
        <v>7</v>
      </c>
      <c r="D107" s="1" t="s">
        <v>350</v>
      </c>
      <c r="E107" s="9">
        <v>22193</v>
      </c>
      <c r="F107" s="1" t="str">
        <f>VLOOKUP(D107,Table11[[Name]:[Native]],3,FALSE)</f>
        <v>凤翔区</v>
      </c>
      <c r="G107" s="12" t="str">
        <f ca="1">VLOOKUP(F107,Table11[[Native]:[Population4]],5,FALSE)</f>
        <v>宝鸡市</v>
      </c>
    </row>
    <row r="108" spans="1:7" ht="15.75" thickBot="1" x14ac:dyDescent="0.3">
      <c r="A108" t="s">
        <v>557</v>
      </c>
      <c r="B108" s="1" t="s">
        <v>558</v>
      </c>
      <c r="C108" s="1" t="s">
        <v>7</v>
      </c>
      <c r="D108" s="1" t="s">
        <v>362</v>
      </c>
      <c r="E108" s="9">
        <v>5908</v>
      </c>
      <c r="F108" s="1" t="str">
        <f>VLOOKUP(D108,Table11[[Name]:[Native]],3,FALSE)</f>
        <v>麟游县</v>
      </c>
      <c r="G108" s="12" t="str">
        <f ca="1">VLOOKUP(F108,Table11[[Native]:[Population4]],5,FALSE)</f>
        <v>宝鸡市</v>
      </c>
    </row>
    <row r="109" spans="1:7" ht="15.75" thickBot="1" x14ac:dyDescent="0.3">
      <c r="A109" t="s">
        <v>559</v>
      </c>
      <c r="B109" s="1" t="s">
        <v>560</v>
      </c>
      <c r="C109" s="1" t="s">
        <v>7</v>
      </c>
      <c r="D109" s="1" t="s">
        <v>378</v>
      </c>
      <c r="E109" s="9">
        <v>31365</v>
      </c>
      <c r="F109" s="1" t="str">
        <f>VLOOKUP(D109,Table11[[Name]:[Native]],3,FALSE)</f>
        <v>陈仓区</v>
      </c>
      <c r="G109" s="12" t="str">
        <f ca="1">VLOOKUP(F109,Table11[[Native]:[Population4]],5,FALSE)</f>
        <v>宝鸡市</v>
      </c>
    </row>
    <row r="110" spans="1:7" ht="15.75" thickBot="1" x14ac:dyDescent="0.3">
      <c r="A110" t="s">
        <v>561</v>
      </c>
      <c r="B110" s="1" t="s">
        <v>562</v>
      </c>
      <c r="C110" s="1" t="s">
        <v>7</v>
      </c>
      <c r="D110" s="1" t="s">
        <v>378</v>
      </c>
      <c r="E110" s="9">
        <v>12904</v>
      </c>
      <c r="F110" s="1" t="str">
        <f>VLOOKUP(D110,Table11[[Name]:[Native]],3,FALSE)</f>
        <v>陈仓区</v>
      </c>
      <c r="G110" s="12" t="str">
        <f ca="1">VLOOKUP(F110,Table11[[Native]:[Population4]],5,FALSE)</f>
        <v>宝鸡市</v>
      </c>
    </row>
    <row r="111" spans="1:7" ht="15.75" thickBot="1" x14ac:dyDescent="0.3">
      <c r="A111" t="s">
        <v>563</v>
      </c>
      <c r="B111" s="1" t="s">
        <v>564</v>
      </c>
      <c r="C111" s="1" t="s">
        <v>7</v>
      </c>
      <c r="D111" s="1" t="s">
        <v>414</v>
      </c>
      <c r="E111" s="9">
        <v>1460</v>
      </c>
      <c r="F111" s="1" t="str">
        <f>VLOOKUP(D111,Table11[[Name]:[Native]],3,FALSE)</f>
        <v>太白县</v>
      </c>
      <c r="G111" s="12" t="str">
        <f ca="1">VLOOKUP(F111,Table11[[Native]:[Population4]],5,FALSE)</f>
        <v>宝鸡市</v>
      </c>
    </row>
    <row r="112" spans="1:7" ht="15.75" thickBot="1" x14ac:dyDescent="0.3">
      <c r="A112" t="s">
        <v>565</v>
      </c>
      <c r="B112" s="1" t="s">
        <v>566</v>
      </c>
      <c r="C112" s="1" t="s">
        <v>11</v>
      </c>
      <c r="D112" s="1" t="s">
        <v>355</v>
      </c>
      <c r="E112" s="9">
        <v>8190</v>
      </c>
      <c r="F112" s="1" t="str">
        <f>VLOOKUP(D112,Table11[[Name]:[Native]],3,FALSE)</f>
        <v>千阳县</v>
      </c>
      <c r="G112" s="12" t="str">
        <f ca="1">VLOOKUP(F112,Table11[[Native]:[Population4]],5,FALSE)</f>
        <v>宝鸡市</v>
      </c>
    </row>
    <row r="113" spans="1:7" ht="15.75" thickBot="1" x14ac:dyDescent="0.3">
      <c r="A113" t="s">
        <v>567</v>
      </c>
      <c r="B113" s="1" t="s">
        <v>568</v>
      </c>
      <c r="C113" s="1" t="s">
        <v>7</v>
      </c>
      <c r="D113" s="1" t="s">
        <v>344</v>
      </c>
      <c r="E113" s="9">
        <v>36153</v>
      </c>
      <c r="F113" s="1" t="str">
        <f>VLOOKUP(D113,Table11[[Name]:[Native]],3,FALSE)</f>
        <v>陇县</v>
      </c>
      <c r="G113" s="12" t="str">
        <f ca="1">VLOOKUP(F113,Table11[[Native]:[Population4]],5,FALSE)</f>
        <v>宝鸡市</v>
      </c>
    </row>
    <row r="114" spans="1:7" ht="15.75" thickBot="1" x14ac:dyDescent="0.3">
      <c r="A114" t="s">
        <v>569</v>
      </c>
      <c r="B114" s="1" t="s">
        <v>570</v>
      </c>
      <c r="C114" s="1" t="s">
        <v>113</v>
      </c>
      <c r="D114" s="1" t="s">
        <v>370</v>
      </c>
      <c r="E114" s="9">
        <v>23718</v>
      </c>
      <c r="F114" s="1" t="str">
        <f>VLOOKUP(D114,Table11[[Name]:[Native]],3,FALSE)</f>
        <v>金台区</v>
      </c>
      <c r="G114" s="12" t="str">
        <f ca="1">VLOOKUP(F114,Table11[[Native]:[Population4]],5,FALSE)</f>
        <v>宝鸡市</v>
      </c>
    </row>
    <row r="115" spans="1:7" ht="15.75" thickBot="1" x14ac:dyDescent="0.3">
      <c r="A115" t="s">
        <v>571</v>
      </c>
      <c r="B115" s="1" t="s">
        <v>572</v>
      </c>
      <c r="C115" s="1" t="s">
        <v>7</v>
      </c>
      <c r="D115" s="1" t="s">
        <v>375</v>
      </c>
      <c r="E115" s="9">
        <v>35697</v>
      </c>
      <c r="F115" s="1" t="str">
        <f>VLOOKUP(D115,Table11[[Name]:[Native]],3,FALSE)</f>
        <v>扶风县</v>
      </c>
      <c r="G115" s="12" t="str">
        <f ca="1">VLOOKUP(F115,Table11[[Native]:[Population4]],5,FALSE)</f>
        <v>宝鸡市</v>
      </c>
    </row>
    <row r="116" spans="1:7" ht="15.75" thickBot="1" x14ac:dyDescent="0.3">
      <c r="A116" t="s">
        <v>573</v>
      </c>
      <c r="B116" s="1" t="s">
        <v>574</v>
      </c>
      <c r="C116" s="1" t="s">
        <v>7</v>
      </c>
      <c r="D116" s="1" t="s">
        <v>341</v>
      </c>
      <c r="E116" s="9">
        <v>28328</v>
      </c>
      <c r="F116" s="1" t="str">
        <f>VLOOKUP(D116,Table11[[Name]:[Native]],3,FALSE)</f>
        <v>岐山县</v>
      </c>
      <c r="G116" s="12" t="str">
        <f ca="1">VLOOKUP(F116,Table11[[Native]:[Population4]],5,FALSE)</f>
        <v>宝鸡市</v>
      </c>
    </row>
    <row r="117" spans="1:7" ht="15.75" thickBot="1" x14ac:dyDescent="0.3">
      <c r="A117" t="s">
        <v>575</v>
      </c>
      <c r="B117" s="1" t="s">
        <v>576</v>
      </c>
      <c r="C117" s="1" t="s">
        <v>7</v>
      </c>
      <c r="D117" s="1" t="s">
        <v>378</v>
      </c>
      <c r="E117" s="9">
        <v>49189</v>
      </c>
      <c r="F117" s="1" t="str">
        <f>VLOOKUP(D117,Table11[[Name]:[Native]],3,FALSE)</f>
        <v>陈仓区</v>
      </c>
      <c r="G117" s="12" t="str">
        <f ca="1">VLOOKUP(F117,Table11[[Native]:[Population4]],5,FALSE)</f>
        <v>宝鸡市</v>
      </c>
    </row>
    <row r="118" spans="1:7" ht="15.75" thickBot="1" x14ac:dyDescent="0.3">
      <c r="A118" t="s">
        <v>577</v>
      </c>
      <c r="B118" s="1" t="s">
        <v>578</v>
      </c>
      <c r="C118" s="1" t="s">
        <v>7</v>
      </c>
      <c r="D118" s="1" t="s">
        <v>378</v>
      </c>
      <c r="E118" s="9">
        <v>12244</v>
      </c>
      <c r="F118" s="1" t="str">
        <f>VLOOKUP(D118,Table11[[Name]:[Native]],3,FALSE)</f>
        <v>陈仓区</v>
      </c>
      <c r="G118" s="12" t="str">
        <f ca="1">VLOOKUP(F118,Table11[[Native]:[Population4]],5,FALSE)</f>
        <v>宝鸡市</v>
      </c>
    </row>
    <row r="119" spans="1:7" ht="15.75" thickBot="1" x14ac:dyDescent="0.3">
      <c r="A119" t="s">
        <v>579</v>
      </c>
      <c r="B119" s="1" t="s">
        <v>580</v>
      </c>
      <c r="C119" s="1" t="s">
        <v>7</v>
      </c>
      <c r="D119" s="1" t="s">
        <v>370</v>
      </c>
      <c r="E119" s="9">
        <v>16745</v>
      </c>
      <c r="F119" s="1" t="str">
        <f>VLOOKUP(D119,Table11[[Name]:[Native]],3,FALSE)</f>
        <v>金台区</v>
      </c>
      <c r="G119" s="12" t="str">
        <f ca="1">VLOOKUP(F119,Table11[[Native]:[Population4]],5,FALSE)</f>
        <v>宝鸡市</v>
      </c>
    </row>
    <row r="120" spans="1:7" ht="15.75" thickBot="1" x14ac:dyDescent="0.3">
      <c r="A120" t="s">
        <v>581</v>
      </c>
      <c r="B120" s="1" t="s">
        <v>582</v>
      </c>
      <c r="C120" s="1" t="s">
        <v>113</v>
      </c>
      <c r="D120" s="1" t="s">
        <v>370</v>
      </c>
      <c r="E120" s="9">
        <v>49682</v>
      </c>
      <c r="F120" s="1" t="str">
        <f>VLOOKUP(D120,Table11[[Name]:[Native]],3,FALSE)</f>
        <v>金台区</v>
      </c>
      <c r="G120" s="12" t="str">
        <f ca="1">VLOOKUP(F120,Table11[[Native]:[Population4]],5,FALSE)</f>
        <v>宝鸡市</v>
      </c>
    </row>
    <row r="121" spans="1:7" ht="15.75" thickBot="1" x14ac:dyDescent="0.3">
      <c r="A121" t="s">
        <v>583</v>
      </c>
      <c r="B121" s="1" t="s">
        <v>584</v>
      </c>
      <c r="C121" s="1" t="s">
        <v>7</v>
      </c>
      <c r="D121" s="1" t="s">
        <v>375</v>
      </c>
      <c r="E121" s="9">
        <v>24866</v>
      </c>
      <c r="F121" s="1" t="str">
        <f>VLOOKUP(D121,Table11[[Name]:[Native]],3,FALSE)</f>
        <v>扶风县</v>
      </c>
      <c r="G121" s="12" t="str">
        <f ca="1">VLOOKUP(F121,Table11[[Native]:[Population4]],5,FALSE)</f>
        <v>宝鸡市</v>
      </c>
    </row>
    <row r="122" spans="1:7" ht="15.75" thickBot="1" x14ac:dyDescent="0.3">
      <c r="A122" t="s">
        <v>585</v>
      </c>
      <c r="B122" s="1" t="s">
        <v>586</v>
      </c>
      <c r="C122" s="1" t="s">
        <v>7</v>
      </c>
      <c r="D122" s="1" t="s">
        <v>344</v>
      </c>
      <c r="E122" s="9">
        <v>5538</v>
      </c>
      <c r="F122" s="1" t="str">
        <f>VLOOKUP(D122,Table11[[Name]:[Native]],3,FALSE)</f>
        <v>陇县</v>
      </c>
      <c r="G122" s="12" t="str">
        <f ca="1">VLOOKUP(F122,Table11[[Native]:[Population4]],5,FALSE)</f>
        <v>宝鸡市</v>
      </c>
    </row>
    <row r="123" spans="1:7" ht="15.75" thickBot="1" x14ac:dyDescent="0.3">
      <c r="A123" t="s">
        <v>587</v>
      </c>
      <c r="B123" s="1" t="s">
        <v>588</v>
      </c>
      <c r="C123" s="1" t="s">
        <v>7</v>
      </c>
      <c r="D123" s="1" t="s">
        <v>378</v>
      </c>
      <c r="E123" s="9">
        <v>15679</v>
      </c>
      <c r="F123" s="1" t="str">
        <f>VLOOKUP(D123,Table11[[Name]:[Native]],3,FALSE)</f>
        <v>陈仓区</v>
      </c>
      <c r="G123" s="12" t="str">
        <f ca="1">VLOOKUP(F123,Table11[[Native]:[Population4]],5,FALSE)</f>
        <v>宝鸡市</v>
      </c>
    </row>
    <row r="124" spans="1:7" ht="15.75" thickBot="1" x14ac:dyDescent="0.3">
      <c r="A124" t="s">
        <v>589</v>
      </c>
      <c r="B124" s="1" t="s">
        <v>590</v>
      </c>
      <c r="C124" s="1" t="s">
        <v>11</v>
      </c>
      <c r="D124" s="1" t="s">
        <v>344</v>
      </c>
      <c r="E124" s="9">
        <v>13110</v>
      </c>
      <c r="F124" s="1" t="str">
        <f>VLOOKUP(D124,Table11[[Name]:[Native]],3,FALSE)</f>
        <v>陇县</v>
      </c>
      <c r="G124" s="12" t="str">
        <f ca="1">VLOOKUP(F124,Table11[[Native]:[Population4]],5,FALSE)</f>
        <v>宝鸡市</v>
      </c>
    </row>
    <row r="125" spans="1:7" ht="15.75" thickBot="1" x14ac:dyDescent="0.3">
      <c r="A125" t="s">
        <v>591</v>
      </c>
      <c r="B125" s="1" t="s">
        <v>592</v>
      </c>
      <c r="C125" s="1" t="s">
        <v>7</v>
      </c>
      <c r="D125" s="1" t="s">
        <v>378</v>
      </c>
      <c r="E125" s="9">
        <v>42824</v>
      </c>
      <c r="F125" s="1" t="str">
        <f>VLOOKUP(D125,Table11[[Name]:[Native]],3,FALSE)</f>
        <v>陈仓区</v>
      </c>
      <c r="G125" s="12" t="str">
        <f ca="1">VLOOKUP(F125,Table11[[Native]:[Population4]],5,FALSE)</f>
        <v>宝鸡市</v>
      </c>
    </row>
    <row r="126" spans="1:7" ht="15.75" thickBot="1" x14ac:dyDescent="0.3">
      <c r="A126" t="s">
        <v>593</v>
      </c>
      <c r="B126" s="1" t="s">
        <v>594</v>
      </c>
      <c r="C126" s="1" t="s">
        <v>11</v>
      </c>
      <c r="D126" s="1" t="s">
        <v>409</v>
      </c>
      <c r="E126" s="9">
        <v>4327</v>
      </c>
      <c r="F126" s="1" t="str">
        <f>VLOOKUP(D126,Table11[[Name]:[Native]],3,FALSE)</f>
        <v>凤县</v>
      </c>
      <c r="G126" s="12" t="str">
        <f ca="1">VLOOKUP(F126,Table11[[Native]:[Population4]],5,FALSE)</f>
        <v>宝鸡市</v>
      </c>
    </row>
    <row r="127" spans="1:7" ht="15.75" thickBot="1" x14ac:dyDescent="0.3">
      <c r="A127" t="s">
        <v>595</v>
      </c>
      <c r="B127" s="1" t="s">
        <v>596</v>
      </c>
      <c r="C127" s="1" t="s">
        <v>7</v>
      </c>
      <c r="D127" s="1" t="s">
        <v>350</v>
      </c>
      <c r="E127" s="9">
        <v>5958</v>
      </c>
      <c r="F127" s="1" t="str">
        <f>VLOOKUP(D127,Table11[[Name]:[Native]],3,FALSE)</f>
        <v>凤翔区</v>
      </c>
      <c r="G127" s="12" t="str">
        <f ca="1">VLOOKUP(F127,Table11[[Native]:[Population4]],5,FALSE)</f>
        <v>宝鸡市</v>
      </c>
    </row>
    <row r="128" spans="1:7" ht="15.75" thickBot="1" x14ac:dyDescent="0.3">
      <c r="A128" t="s">
        <v>597</v>
      </c>
      <c r="B128" s="1" t="s">
        <v>598</v>
      </c>
      <c r="C128" s="1" t="s">
        <v>7</v>
      </c>
      <c r="D128" s="1" t="s">
        <v>341</v>
      </c>
      <c r="E128" s="9">
        <v>33906</v>
      </c>
      <c r="F128" s="1" t="str">
        <f>VLOOKUP(D128,Table11[[Name]:[Native]],3,FALSE)</f>
        <v>岐山县</v>
      </c>
      <c r="G128" s="12" t="str">
        <f ca="1">VLOOKUP(F128,Table11[[Native]:[Population4]],5,FALSE)</f>
        <v>宝鸡市</v>
      </c>
    </row>
    <row r="129" spans="1:7" ht="15.75" thickBot="1" x14ac:dyDescent="0.3">
      <c r="A129" t="s">
        <v>599</v>
      </c>
      <c r="B129" s="1" t="s">
        <v>600</v>
      </c>
      <c r="C129" s="1" t="s">
        <v>7</v>
      </c>
      <c r="D129" s="1" t="s">
        <v>414</v>
      </c>
      <c r="E129" s="9">
        <v>6904</v>
      </c>
      <c r="F129" s="1" t="str">
        <f>VLOOKUP(D129,Table11[[Name]:[Native]],3,FALSE)</f>
        <v>太白县</v>
      </c>
      <c r="G129" s="12" t="str">
        <f ca="1">VLOOKUP(F129,Table11[[Native]:[Population4]],5,FALSE)</f>
        <v>宝鸡市</v>
      </c>
    </row>
    <row r="130" spans="1:7" ht="15.75" thickBot="1" x14ac:dyDescent="0.3">
      <c r="A130" t="s">
        <v>601</v>
      </c>
      <c r="B130" s="1" t="s">
        <v>602</v>
      </c>
      <c r="C130" s="1" t="s">
        <v>7</v>
      </c>
      <c r="D130" s="1" t="s">
        <v>367</v>
      </c>
      <c r="E130" s="9">
        <v>20415</v>
      </c>
      <c r="F130" s="1" t="str">
        <f>VLOOKUP(D130,Table11[[Name]:[Native]],3,FALSE)</f>
        <v>眉县</v>
      </c>
      <c r="G130" s="12" t="str">
        <f ca="1">VLOOKUP(F130,Table11[[Native]:[Population4]],5,FALSE)</f>
        <v>宝鸡市</v>
      </c>
    </row>
    <row r="131" spans="1:7" ht="15.75" thickBot="1" x14ac:dyDescent="0.3">
      <c r="A131" t="s">
        <v>603</v>
      </c>
      <c r="B131" s="1" t="s">
        <v>604</v>
      </c>
      <c r="C131" s="1" t="s">
        <v>11</v>
      </c>
      <c r="D131" s="1" t="s">
        <v>350</v>
      </c>
      <c r="E131" s="9">
        <v>22284</v>
      </c>
      <c r="F131" s="1" t="str">
        <f>VLOOKUP(D131,Table11[[Name]:[Native]],3,FALSE)</f>
        <v>凤翔区</v>
      </c>
      <c r="G131" s="12" t="str">
        <f ca="1">VLOOKUP(F131,Table11[[Native]:[Population4]],5,FALSE)</f>
        <v>宝鸡市</v>
      </c>
    </row>
    <row r="132" spans="1:7" ht="15.75" thickBot="1" x14ac:dyDescent="0.3">
      <c r="A132" t="s">
        <v>605</v>
      </c>
      <c r="B132" s="1" t="s">
        <v>606</v>
      </c>
      <c r="C132" s="1" t="s">
        <v>7</v>
      </c>
      <c r="D132" s="1" t="s">
        <v>341</v>
      </c>
      <c r="E132" s="9">
        <v>48983</v>
      </c>
      <c r="F132" s="1" t="str">
        <f>VLOOKUP(D132,Table11[[Name]:[Native]],3,FALSE)</f>
        <v>岐山县</v>
      </c>
      <c r="G132" s="12" t="str">
        <f ca="1">VLOOKUP(F132,Table11[[Native]:[Population4]],5,FALSE)</f>
        <v>宝鸡市</v>
      </c>
    </row>
    <row r="133" spans="1:7" ht="15.75" thickBot="1" x14ac:dyDescent="0.3">
      <c r="A133" t="s">
        <v>607</v>
      </c>
      <c r="B133" s="1" t="s">
        <v>608</v>
      </c>
      <c r="C133" s="1" t="s">
        <v>7</v>
      </c>
      <c r="D133" s="1" t="s">
        <v>341</v>
      </c>
      <c r="E133" s="9">
        <v>32626</v>
      </c>
      <c r="F133" s="1" t="str">
        <f>VLOOKUP(D133,Table11[[Name]:[Native]],3,FALSE)</f>
        <v>岐山县</v>
      </c>
      <c r="G133" s="12" t="str">
        <f ca="1">VLOOKUP(F133,Table11[[Native]:[Population4]],5,FALSE)</f>
        <v>宝鸡市</v>
      </c>
    </row>
    <row r="134" spans="1:7" ht="15.75" thickBot="1" x14ac:dyDescent="0.3">
      <c r="A134" t="s">
        <v>609</v>
      </c>
      <c r="B134" s="1" t="s">
        <v>610</v>
      </c>
      <c r="C134" s="1" t="s">
        <v>7</v>
      </c>
      <c r="D134" s="1" t="s">
        <v>362</v>
      </c>
      <c r="E134" s="9">
        <v>6165</v>
      </c>
      <c r="F134" s="1" t="str">
        <f>VLOOKUP(D134,Table11[[Name]:[Native]],3,FALSE)</f>
        <v>麟游县</v>
      </c>
      <c r="G134" s="12" t="str">
        <f ca="1">VLOOKUP(F134,Table11[[Native]:[Population4]],5,FALSE)</f>
        <v>宝鸡市</v>
      </c>
    </row>
    <row r="135" spans="1:7" ht="15.75" thickBot="1" x14ac:dyDescent="0.3">
      <c r="A135" t="s">
        <v>611</v>
      </c>
      <c r="B135" s="1" t="s">
        <v>612</v>
      </c>
      <c r="C135" s="1" t="s">
        <v>7</v>
      </c>
      <c r="D135" s="1" t="s">
        <v>355</v>
      </c>
      <c r="E135" s="9">
        <v>8898</v>
      </c>
      <c r="F135" s="1" t="str">
        <f>VLOOKUP(D135,Table11[[Name]:[Native]],3,FALSE)</f>
        <v>千阳县</v>
      </c>
      <c r="G135" s="12" t="str">
        <f ca="1">VLOOKUP(F135,Table11[[Native]:[Population4]],5,FALSE)</f>
        <v>宝鸡市</v>
      </c>
    </row>
    <row r="136" spans="1:7" ht="15.75" thickBot="1" x14ac:dyDescent="0.3">
      <c r="A136" t="s">
        <v>613</v>
      </c>
      <c r="B136" s="1" t="s">
        <v>614</v>
      </c>
      <c r="C136" s="1" t="s">
        <v>7</v>
      </c>
      <c r="D136" s="1" t="s">
        <v>375</v>
      </c>
      <c r="E136" s="9">
        <v>31295</v>
      </c>
      <c r="F136" s="1" t="str">
        <f>VLOOKUP(D136,Table11[[Name]:[Native]],3,FALSE)</f>
        <v>扶风县</v>
      </c>
      <c r="G136" s="12" t="str">
        <f ca="1">VLOOKUP(F136,Table11[[Native]:[Population4]],5,FALSE)</f>
        <v>宝鸡市</v>
      </c>
    </row>
    <row r="137" spans="1:7" ht="15.75" thickBot="1" x14ac:dyDescent="0.3">
      <c r="A137" t="s">
        <v>615</v>
      </c>
      <c r="B137" s="1" t="s">
        <v>616</v>
      </c>
      <c r="C137" s="1" t="s">
        <v>7</v>
      </c>
      <c r="D137" s="1" t="s">
        <v>362</v>
      </c>
      <c r="E137" s="9">
        <v>9672</v>
      </c>
      <c r="F137" s="1" t="str">
        <f>VLOOKUP(D137,Table11[[Name]:[Native]],3,FALSE)</f>
        <v>麟游县</v>
      </c>
      <c r="G137" s="12" t="str">
        <f ca="1">VLOOKUP(F137,Table11[[Native]:[Population4]],5,FALSE)</f>
        <v>宝鸡市</v>
      </c>
    </row>
    <row r="138" spans="1:7" ht="15.75" thickBot="1" x14ac:dyDescent="0.3">
      <c r="A138" t="s">
        <v>617</v>
      </c>
      <c r="B138" s="1" t="s">
        <v>618</v>
      </c>
      <c r="C138" s="1" t="s">
        <v>113</v>
      </c>
      <c r="D138" s="1" t="s">
        <v>370</v>
      </c>
      <c r="E138" s="9">
        <v>30781</v>
      </c>
      <c r="F138" s="1" t="str">
        <f>VLOOKUP(D138,Table11[[Name]:[Native]],3,FALSE)</f>
        <v>金台区</v>
      </c>
      <c r="G138" s="12" t="str">
        <f ca="1">VLOOKUP(F138,Table11[[Native]:[Population4]],5,FALSE)</f>
        <v>宝鸡市</v>
      </c>
    </row>
    <row r="139" spans="1:7" ht="15.75" thickBot="1" x14ac:dyDescent="0.3">
      <c r="A139" t="s">
        <v>619</v>
      </c>
      <c r="B139" s="1" t="s">
        <v>620</v>
      </c>
      <c r="C139" s="1" t="s">
        <v>113</v>
      </c>
      <c r="D139" s="1" t="s">
        <v>370</v>
      </c>
      <c r="E139" s="9">
        <v>17260</v>
      </c>
      <c r="F139" s="1" t="str">
        <f>VLOOKUP(D139,Table11[[Name]:[Native]],3,FALSE)</f>
        <v>金台区</v>
      </c>
      <c r="G139" s="12" t="str">
        <f ca="1">VLOOKUP(F139,Table11[[Native]:[Population4]],5,FALSE)</f>
        <v>宝鸡市</v>
      </c>
    </row>
    <row r="140" spans="1:7" ht="15.75" thickBot="1" x14ac:dyDescent="0.3">
      <c r="A140" t="s">
        <v>621</v>
      </c>
      <c r="B140" s="1" t="s">
        <v>622</v>
      </c>
      <c r="C140" s="1" t="s">
        <v>7</v>
      </c>
      <c r="D140" s="1" t="s">
        <v>378</v>
      </c>
      <c r="E140" s="9">
        <v>43025</v>
      </c>
      <c r="F140" s="8" t="str">
        <f>VLOOKUP(D140,Table11[[Name]:[Native]],3,FALSE)</f>
        <v>陈仓区</v>
      </c>
      <c r="G140" s="12" t="str">
        <f ca="1">VLOOKUP(F140,Table11[[Native]:[Population4]],5,FALSE)</f>
        <v>宝鸡市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0726-BF40-41A0-B167-514CFB883289}">
  <dimension ref="A1:G213"/>
  <sheetViews>
    <sheetView workbookViewId="0">
      <selection activeCell="A2" sqref="A2:G21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3166</v>
      </c>
      <c r="G1" t="s">
        <v>3170</v>
      </c>
    </row>
    <row r="2" spans="1:7" ht="15.75" thickBot="1" x14ac:dyDescent="0.3">
      <c r="A2" t="s">
        <v>623</v>
      </c>
      <c r="B2" s="1" t="s">
        <v>624</v>
      </c>
      <c r="C2" s="1" t="s">
        <v>7</v>
      </c>
      <c r="D2" s="1" t="s">
        <v>625</v>
      </c>
      <c r="E2" s="9">
        <v>8419</v>
      </c>
      <c r="F2" s="7" t="str">
        <f>VLOOKUP(D2,Table11[[Name]:[Native]],3,FALSE)</f>
        <v>宁强县</v>
      </c>
      <c r="G2" s="12" t="str">
        <f ca="1">VLOOKUP(F2,Table11[[Native]:[Population4]],5,FALSE)</f>
        <v>汉中市</v>
      </c>
    </row>
    <row r="3" spans="1:7" ht="15.75" thickBot="1" x14ac:dyDescent="0.3">
      <c r="A3" t="s">
        <v>626</v>
      </c>
      <c r="B3" s="1" t="s">
        <v>627</v>
      </c>
      <c r="C3" s="1" t="s">
        <v>7</v>
      </c>
      <c r="D3" s="1" t="s">
        <v>628</v>
      </c>
      <c r="E3" s="9">
        <v>13488</v>
      </c>
      <c r="F3" s="1" t="str">
        <f>VLOOKUP(D3,Table11[[Name]:[Native]],3,FALSE)</f>
        <v>西乡县</v>
      </c>
      <c r="G3" s="12" t="str">
        <f ca="1">VLOOKUP(F3,Table11[[Native]:[Population4]],5,FALSE)</f>
        <v>汉中市</v>
      </c>
    </row>
    <row r="4" spans="1:7" ht="15.75" thickBot="1" x14ac:dyDescent="0.3">
      <c r="A4" t="s">
        <v>629</v>
      </c>
      <c r="B4" s="1" t="s">
        <v>630</v>
      </c>
      <c r="C4" s="1" t="s">
        <v>7</v>
      </c>
      <c r="D4" s="1" t="s">
        <v>628</v>
      </c>
      <c r="E4" s="9">
        <v>5963</v>
      </c>
      <c r="F4" s="1" t="str">
        <f>VLOOKUP(D4,Table11[[Name]:[Native]],3,FALSE)</f>
        <v>西乡县</v>
      </c>
      <c r="G4" s="12" t="str">
        <f ca="1">VLOOKUP(F4,Table11[[Native]:[Population4]],5,FALSE)</f>
        <v>汉中市</v>
      </c>
    </row>
    <row r="5" spans="1:7" ht="15.75" thickBot="1" x14ac:dyDescent="0.3">
      <c r="A5" t="s">
        <v>631</v>
      </c>
      <c r="B5" s="1" t="s">
        <v>632</v>
      </c>
      <c r="C5" s="1" t="s">
        <v>7</v>
      </c>
      <c r="D5" s="1" t="s">
        <v>633</v>
      </c>
      <c r="E5" s="9">
        <v>7144</v>
      </c>
      <c r="F5" s="1" t="str">
        <f>VLOOKUP(D5,Table11[[Name]:[Native]],3,FALSE)</f>
        <v>略阳县</v>
      </c>
      <c r="G5" s="12" t="str">
        <f ca="1">VLOOKUP(F5,Table11[[Native]:[Population4]],5,FALSE)</f>
        <v>汉中市</v>
      </c>
    </row>
    <row r="6" spans="1:7" ht="15.75" thickBot="1" x14ac:dyDescent="0.3">
      <c r="A6" t="s">
        <v>634</v>
      </c>
      <c r="B6" s="1" t="s">
        <v>635</v>
      </c>
      <c r="C6" s="1" t="s">
        <v>11</v>
      </c>
      <c r="D6" s="1" t="s">
        <v>633</v>
      </c>
      <c r="E6" s="9">
        <v>9566</v>
      </c>
      <c r="F6" s="1" t="str">
        <f>VLOOKUP(D6,Table11[[Name]:[Native]],3,FALSE)</f>
        <v>略阳县</v>
      </c>
      <c r="G6" s="12" t="str">
        <f ca="1">VLOOKUP(F6,Table11[[Native]:[Population4]],5,FALSE)</f>
        <v>汉中市</v>
      </c>
    </row>
    <row r="7" spans="1:7" ht="15.75" thickBot="1" x14ac:dyDescent="0.3">
      <c r="A7" t="s">
        <v>636</v>
      </c>
      <c r="B7" s="1" t="s">
        <v>637</v>
      </c>
      <c r="C7" s="1" t="s">
        <v>7</v>
      </c>
      <c r="D7" s="1" t="s">
        <v>633</v>
      </c>
      <c r="E7" s="9">
        <v>10054</v>
      </c>
      <c r="F7" s="1" t="str">
        <f>VLOOKUP(D7,Table11[[Name]:[Native]],3,FALSE)</f>
        <v>略阳县</v>
      </c>
      <c r="G7" s="12" t="str">
        <f ca="1">VLOOKUP(F7,Table11[[Native]:[Population4]],5,FALSE)</f>
        <v>汉中市</v>
      </c>
    </row>
    <row r="8" spans="1:7" ht="15.75" thickBot="1" x14ac:dyDescent="0.3">
      <c r="A8" t="s">
        <v>638</v>
      </c>
      <c r="B8" s="1" t="s">
        <v>639</v>
      </c>
      <c r="C8" s="1" t="s">
        <v>11</v>
      </c>
      <c r="D8" s="1" t="s">
        <v>640</v>
      </c>
      <c r="E8" s="9">
        <v>1969</v>
      </c>
      <c r="F8" s="1" t="str">
        <f>VLOOKUP(D8,Table11[[Name]:[Native]],3,FALSE)</f>
        <v>南郑区</v>
      </c>
      <c r="G8" s="12" t="str">
        <f ca="1">VLOOKUP(F8,Table11[[Native]:[Population4]],5,FALSE)</f>
        <v>汉中市</v>
      </c>
    </row>
    <row r="9" spans="1:7" ht="15.75" thickBot="1" x14ac:dyDescent="0.3">
      <c r="A9" t="s">
        <v>641</v>
      </c>
      <c r="B9" s="1" t="s">
        <v>642</v>
      </c>
      <c r="C9" s="1" t="s">
        <v>7</v>
      </c>
      <c r="D9" s="1" t="s">
        <v>643</v>
      </c>
      <c r="E9" s="9">
        <v>3134</v>
      </c>
      <c r="F9" s="1" t="str">
        <f>VLOOKUP(D9,Table11[[Name]:[Native]],3,FALSE)</f>
        <v>洋县</v>
      </c>
      <c r="G9" s="12" t="str">
        <f ca="1">VLOOKUP(F9,Table11[[Native]:[Population4]],5,FALSE)</f>
        <v>汉中市</v>
      </c>
    </row>
    <row r="10" spans="1:7" ht="15.75" thickBot="1" x14ac:dyDescent="0.3">
      <c r="A10" t="s">
        <v>644</v>
      </c>
      <c r="B10" s="1" t="s">
        <v>645</v>
      </c>
      <c r="C10" s="1" t="s">
        <v>7</v>
      </c>
      <c r="D10" s="1" t="s">
        <v>646</v>
      </c>
      <c r="E10" s="9">
        <v>15111</v>
      </c>
      <c r="F10" s="1" t="str">
        <f>VLOOKUP(D10,Table11[[Name]:[Native]],3,FALSE)</f>
        <v>镇巴县</v>
      </c>
      <c r="G10" s="12" t="str">
        <f ca="1">VLOOKUP(F10,Table11[[Native]:[Population4]],5,FALSE)</f>
        <v>汉中市</v>
      </c>
    </row>
    <row r="11" spans="1:7" ht="15.75" thickBot="1" x14ac:dyDescent="0.3">
      <c r="A11" t="s">
        <v>647</v>
      </c>
      <c r="B11" s="1" t="s">
        <v>648</v>
      </c>
      <c r="C11" s="1" t="s">
        <v>7</v>
      </c>
      <c r="D11" s="1" t="s">
        <v>649</v>
      </c>
      <c r="E11" s="9">
        <v>11897</v>
      </c>
      <c r="F11" s="1" t="str">
        <f>VLOOKUP(D11,Table11[[Name]:[Native]],3,FALSE)</f>
        <v>勉县</v>
      </c>
      <c r="G11" s="12" t="str">
        <f ca="1">VLOOKUP(F11,Table11[[Native]:[Population4]],5,FALSE)</f>
        <v>汉中市</v>
      </c>
    </row>
    <row r="12" spans="1:7" ht="15.75" thickBot="1" x14ac:dyDescent="0.3">
      <c r="A12" t="s">
        <v>650</v>
      </c>
      <c r="B12" s="1" t="s">
        <v>651</v>
      </c>
      <c r="C12" s="1" t="s">
        <v>7</v>
      </c>
      <c r="D12" s="1" t="s">
        <v>652</v>
      </c>
      <c r="E12" s="9">
        <v>13583</v>
      </c>
      <c r="F12" s="1" t="str">
        <f>VLOOKUP(D12,Table11[[Name]:[Native]],3,FALSE)</f>
        <v>城固县</v>
      </c>
      <c r="G12" s="12" t="str">
        <f ca="1">VLOOKUP(F12,Table11[[Native]:[Population4]],5,FALSE)</f>
        <v>汉中市</v>
      </c>
    </row>
    <row r="13" spans="1:7" ht="15.75" thickBot="1" x14ac:dyDescent="0.3">
      <c r="A13" t="s">
        <v>653</v>
      </c>
      <c r="B13" s="1" t="s">
        <v>654</v>
      </c>
      <c r="C13" s="1" t="s">
        <v>7</v>
      </c>
      <c r="D13" s="1" t="s">
        <v>625</v>
      </c>
      <c r="E13" s="9">
        <v>9804</v>
      </c>
      <c r="F13" s="1" t="str">
        <f>VLOOKUP(D13,Table11[[Name]:[Native]],3,FALSE)</f>
        <v>宁强县</v>
      </c>
      <c r="G13" s="12" t="str">
        <f ca="1">VLOOKUP(F13,Table11[[Native]:[Population4]],5,FALSE)</f>
        <v>汉中市</v>
      </c>
    </row>
    <row r="14" spans="1:7" ht="15.75" thickBot="1" x14ac:dyDescent="0.3">
      <c r="A14" t="s">
        <v>653</v>
      </c>
      <c r="B14" s="1" t="s">
        <v>654</v>
      </c>
      <c r="C14" s="1" t="s">
        <v>7</v>
      </c>
      <c r="D14" s="1" t="s">
        <v>646</v>
      </c>
      <c r="E14" s="9">
        <v>10561</v>
      </c>
      <c r="F14" s="1" t="str">
        <f>VLOOKUP(D14,Table11[[Name]:[Native]],3,FALSE)</f>
        <v>镇巴县</v>
      </c>
      <c r="G14" s="12" t="str">
        <f ca="1">VLOOKUP(F14,Table11[[Native]:[Population4]],5,FALSE)</f>
        <v>汉中市</v>
      </c>
    </row>
    <row r="15" spans="1:7" ht="15.75" thickBot="1" x14ac:dyDescent="0.3">
      <c r="A15" t="s">
        <v>655</v>
      </c>
      <c r="B15" s="1" t="s">
        <v>656</v>
      </c>
      <c r="C15" s="1" t="s">
        <v>7</v>
      </c>
      <c r="D15" s="1" t="s">
        <v>640</v>
      </c>
      <c r="E15" s="9">
        <v>11102</v>
      </c>
      <c r="F15" s="1" t="str">
        <f>VLOOKUP(D15,Table11[[Name]:[Native]],3,FALSE)</f>
        <v>南郑区</v>
      </c>
      <c r="G15" s="12" t="str">
        <f ca="1">VLOOKUP(F15,Table11[[Native]:[Population4]],5,FALSE)</f>
        <v>汉中市</v>
      </c>
    </row>
    <row r="16" spans="1:7" ht="15.75" thickBot="1" x14ac:dyDescent="0.3">
      <c r="A16" t="s">
        <v>657</v>
      </c>
      <c r="B16" s="1" t="s">
        <v>658</v>
      </c>
      <c r="C16" s="1" t="s">
        <v>113</v>
      </c>
      <c r="D16" s="1" t="s">
        <v>659</v>
      </c>
      <c r="E16" s="9">
        <v>102960</v>
      </c>
      <c r="F16" s="1" t="str">
        <f>VLOOKUP(D16,Table11[[Name]:[Native]],3,FALSE)</f>
        <v>汉台区</v>
      </c>
      <c r="G16" s="12" t="str">
        <f ca="1">VLOOKUP(F16,Table11[[Native]:[Population4]],5,FALSE)</f>
        <v>汉中市</v>
      </c>
    </row>
    <row r="17" spans="1:7" ht="15.75" thickBot="1" x14ac:dyDescent="0.3">
      <c r="A17" t="s">
        <v>660</v>
      </c>
      <c r="B17" s="1" t="s">
        <v>661</v>
      </c>
      <c r="C17" s="1" t="s">
        <v>113</v>
      </c>
      <c r="D17" s="1" t="s">
        <v>652</v>
      </c>
      <c r="E17" s="9">
        <v>116375</v>
      </c>
      <c r="F17" s="1" t="str">
        <f>VLOOKUP(D17,Table11[[Name]:[Native]],3,FALSE)</f>
        <v>城固县</v>
      </c>
      <c r="G17" s="12" t="str">
        <f ca="1">VLOOKUP(F17,Table11[[Native]:[Population4]],5,FALSE)</f>
        <v>汉中市</v>
      </c>
    </row>
    <row r="18" spans="1:7" ht="15.75" thickBot="1" x14ac:dyDescent="0.3">
      <c r="A18" t="s">
        <v>662</v>
      </c>
      <c r="B18" s="1" t="s">
        <v>663</v>
      </c>
      <c r="C18" s="1" t="s">
        <v>11</v>
      </c>
      <c r="D18" s="1" t="s">
        <v>643</v>
      </c>
      <c r="E18" s="9">
        <v>13696</v>
      </c>
      <c r="F18" s="1" t="str">
        <f>VLOOKUP(D18,Table11[[Name]:[Native]],3,FALSE)</f>
        <v>洋县</v>
      </c>
      <c r="G18" s="12" t="str">
        <f ca="1">VLOOKUP(F18,Table11[[Native]:[Population4]],5,FALSE)</f>
        <v>汉中市</v>
      </c>
    </row>
    <row r="19" spans="1:7" ht="15.75" thickBot="1" x14ac:dyDescent="0.3">
      <c r="A19" t="s">
        <v>664</v>
      </c>
      <c r="B19" s="1" t="s">
        <v>665</v>
      </c>
      <c r="C19" s="1" t="s">
        <v>7</v>
      </c>
      <c r="D19" s="1" t="s">
        <v>649</v>
      </c>
      <c r="E19" s="9">
        <v>9426</v>
      </c>
      <c r="F19" s="1" t="str">
        <f>VLOOKUP(D19,Table11[[Name]:[Native]],3,FALSE)</f>
        <v>勉县</v>
      </c>
      <c r="G19" s="12" t="str">
        <f ca="1">VLOOKUP(F19,Table11[[Native]:[Population4]],5,FALSE)</f>
        <v>汉中市</v>
      </c>
    </row>
    <row r="20" spans="1:7" ht="15.75" thickBot="1" x14ac:dyDescent="0.3">
      <c r="A20" t="s">
        <v>666</v>
      </c>
      <c r="B20" s="1" t="s">
        <v>667</v>
      </c>
      <c r="C20" s="1" t="s">
        <v>7</v>
      </c>
      <c r="D20" s="1" t="s">
        <v>649</v>
      </c>
      <c r="E20" s="9">
        <v>4985</v>
      </c>
      <c r="F20" s="1" t="str">
        <f>VLOOKUP(D20,Table11[[Name]:[Native]],3,FALSE)</f>
        <v>勉县</v>
      </c>
      <c r="G20" s="12" t="str">
        <f ca="1">VLOOKUP(F20,Table11[[Native]:[Population4]],5,FALSE)</f>
        <v>汉中市</v>
      </c>
    </row>
    <row r="21" spans="1:7" ht="15.75" thickBot="1" x14ac:dyDescent="0.3">
      <c r="A21" t="s">
        <v>668</v>
      </c>
      <c r="B21" s="1" t="s">
        <v>669</v>
      </c>
      <c r="C21" s="1" t="s">
        <v>7</v>
      </c>
      <c r="D21" s="1" t="s">
        <v>670</v>
      </c>
      <c r="E21" s="9">
        <v>2626</v>
      </c>
      <c r="F21" s="1" t="str">
        <f>VLOOKUP(D21,Table11[[Name]:[Native]],3,FALSE)</f>
        <v>佛坪县</v>
      </c>
      <c r="G21" s="12" t="str">
        <f ca="1">VLOOKUP(F21,Table11[[Native]:[Population4]],5,FALSE)</f>
        <v>汉中市</v>
      </c>
    </row>
    <row r="22" spans="1:7" ht="15.75" thickBot="1" x14ac:dyDescent="0.3">
      <c r="A22" t="s">
        <v>671</v>
      </c>
      <c r="B22" s="1" t="s">
        <v>672</v>
      </c>
      <c r="C22" s="1" t="s">
        <v>7</v>
      </c>
      <c r="D22" s="1" t="s">
        <v>646</v>
      </c>
      <c r="E22" s="9">
        <v>13202</v>
      </c>
      <c r="F22" s="1" t="str">
        <f>VLOOKUP(D22,Table11[[Name]:[Native]],3,FALSE)</f>
        <v>镇巴县</v>
      </c>
      <c r="G22" s="12" t="str">
        <f ca="1">VLOOKUP(F22,Table11[[Native]:[Population4]],5,FALSE)</f>
        <v>汉中市</v>
      </c>
    </row>
    <row r="23" spans="1:7" ht="15.75" thickBot="1" x14ac:dyDescent="0.3">
      <c r="A23" t="s">
        <v>673</v>
      </c>
      <c r="B23" s="1" t="s">
        <v>674</v>
      </c>
      <c r="C23" s="1" t="s">
        <v>7</v>
      </c>
      <c r="D23" s="1" t="s">
        <v>625</v>
      </c>
      <c r="E23" s="9">
        <v>5713</v>
      </c>
      <c r="F23" s="1" t="str">
        <f>VLOOKUP(D23,Table11[[Name]:[Native]],3,FALSE)</f>
        <v>宁强县</v>
      </c>
      <c r="G23" s="12" t="str">
        <f ca="1">VLOOKUP(F23,Table11[[Native]:[Population4]],5,FALSE)</f>
        <v>汉中市</v>
      </c>
    </row>
    <row r="24" spans="1:7" ht="15.75" thickBot="1" x14ac:dyDescent="0.3">
      <c r="A24" t="s">
        <v>675</v>
      </c>
      <c r="B24" s="1" t="s">
        <v>676</v>
      </c>
      <c r="C24" s="1" t="s">
        <v>7</v>
      </c>
      <c r="D24" s="1" t="s">
        <v>628</v>
      </c>
      <c r="E24" s="9">
        <v>9639</v>
      </c>
      <c r="F24" s="1" t="str">
        <f>VLOOKUP(D24,Table11[[Name]:[Native]],3,FALSE)</f>
        <v>西乡县</v>
      </c>
      <c r="G24" s="12" t="str">
        <f ca="1">VLOOKUP(F24,Table11[[Native]:[Population4]],5,FALSE)</f>
        <v>汉中市</v>
      </c>
    </row>
    <row r="25" spans="1:7" ht="15.75" thickBot="1" x14ac:dyDescent="0.3">
      <c r="A25" t="s">
        <v>677</v>
      </c>
      <c r="B25" s="1" t="s">
        <v>678</v>
      </c>
      <c r="C25" s="1" t="s">
        <v>113</v>
      </c>
      <c r="D25" s="1" t="s">
        <v>628</v>
      </c>
      <c r="E25" s="9">
        <v>99867</v>
      </c>
      <c r="F25" s="1" t="str">
        <f>VLOOKUP(D25,Table11[[Name]:[Native]],3,FALSE)</f>
        <v>西乡县</v>
      </c>
      <c r="G25" s="12" t="str">
        <f ca="1">VLOOKUP(F25,Table11[[Native]:[Population4]],5,FALSE)</f>
        <v>汉中市</v>
      </c>
    </row>
    <row r="26" spans="1:7" ht="15.75" thickBot="1" x14ac:dyDescent="0.3">
      <c r="A26" t="s">
        <v>679</v>
      </c>
      <c r="B26" s="1" t="s">
        <v>680</v>
      </c>
      <c r="C26" s="1" t="s">
        <v>7</v>
      </c>
      <c r="D26" s="1" t="s">
        <v>670</v>
      </c>
      <c r="E26" s="9">
        <v>3365</v>
      </c>
      <c r="F26" s="1" t="str">
        <f>VLOOKUP(D26,Table11[[Name]:[Native]],3,FALSE)</f>
        <v>佛坪县</v>
      </c>
      <c r="G26" s="12" t="str">
        <f ca="1">VLOOKUP(F26,Table11[[Native]:[Population4]],5,FALSE)</f>
        <v>汉中市</v>
      </c>
    </row>
    <row r="27" spans="1:7" ht="15.75" thickBot="1" x14ac:dyDescent="0.3">
      <c r="A27" t="s">
        <v>681</v>
      </c>
      <c r="B27" s="1" t="s">
        <v>682</v>
      </c>
      <c r="C27" s="1" t="s">
        <v>11</v>
      </c>
      <c r="D27" s="1" t="s">
        <v>646</v>
      </c>
      <c r="E27" s="9">
        <v>4449</v>
      </c>
      <c r="F27" s="1" t="str">
        <f>VLOOKUP(D27,Table11[[Name]:[Native]],3,FALSE)</f>
        <v>镇巴县</v>
      </c>
      <c r="G27" s="12" t="str">
        <f ca="1">VLOOKUP(F27,Table11[[Native]:[Population4]],5,FALSE)</f>
        <v>汉中市</v>
      </c>
    </row>
    <row r="28" spans="1:7" ht="15.75" thickBot="1" x14ac:dyDescent="0.3">
      <c r="A28" t="s">
        <v>683</v>
      </c>
      <c r="B28" s="1" t="s">
        <v>684</v>
      </c>
      <c r="C28" s="1" t="s">
        <v>7</v>
      </c>
      <c r="D28" s="1" t="s">
        <v>646</v>
      </c>
      <c r="E28" s="9">
        <v>11276</v>
      </c>
      <c r="F28" s="1" t="str">
        <f>VLOOKUP(D28,Table11[[Name]:[Native]],3,FALSE)</f>
        <v>镇巴县</v>
      </c>
      <c r="G28" s="12" t="str">
        <f ca="1">VLOOKUP(F28,Table11[[Native]:[Population4]],5,FALSE)</f>
        <v>汉中市</v>
      </c>
    </row>
    <row r="29" spans="1:7" ht="15.75" thickBot="1" x14ac:dyDescent="0.3">
      <c r="A29" t="s">
        <v>685</v>
      </c>
      <c r="B29" s="1" t="s">
        <v>686</v>
      </c>
      <c r="C29" s="1" t="s">
        <v>7</v>
      </c>
      <c r="D29" s="1" t="s">
        <v>625</v>
      </c>
      <c r="E29" s="9">
        <v>26930</v>
      </c>
      <c r="F29" s="1" t="str">
        <f>VLOOKUP(D29,Table11[[Name]:[Native]],3,FALSE)</f>
        <v>宁强县</v>
      </c>
      <c r="G29" s="12" t="str">
        <f ca="1">VLOOKUP(F29,Table11[[Native]:[Population4]],5,FALSE)</f>
        <v>汉中市</v>
      </c>
    </row>
    <row r="30" spans="1:7" ht="15.75" thickBot="1" x14ac:dyDescent="0.3">
      <c r="A30" t="s">
        <v>687</v>
      </c>
      <c r="B30" s="1" t="s">
        <v>688</v>
      </c>
      <c r="C30" s="1" t="s">
        <v>7</v>
      </c>
      <c r="D30" s="1" t="s">
        <v>646</v>
      </c>
      <c r="E30" s="9">
        <v>5047</v>
      </c>
      <c r="F30" s="1" t="str">
        <f>VLOOKUP(D30,Table11[[Name]:[Native]],3,FALSE)</f>
        <v>镇巴县</v>
      </c>
      <c r="G30" s="12" t="str">
        <f ca="1">VLOOKUP(F30,Table11[[Native]:[Population4]],5,FALSE)</f>
        <v>汉中市</v>
      </c>
    </row>
    <row r="31" spans="1:7" ht="15.75" thickBot="1" x14ac:dyDescent="0.3">
      <c r="A31" t="s">
        <v>689</v>
      </c>
      <c r="B31" s="1" t="s">
        <v>690</v>
      </c>
      <c r="C31" s="1" t="s">
        <v>7</v>
      </c>
      <c r="D31" s="1" t="s">
        <v>670</v>
      </c>
      <c r="E31" s="9">
        <v>5430</v>
      </c>
      <c r="F31" s="1" t="str">
        <f>VLOOKUP(D31,Table11[[Name]:[Native]],3,FALSE)</f>
        <v>佛坪县</v>
      </c>
      <c r="G31" s="12" t="str">
        <f ca="1">VLOOKUP(F31,Table11[[Native]:[Population4]],5,FALSE)</f>
        <v>汉中市</v>
      </c>
    </row>
    <row r="32" spans="1:7" ht="15.75" thickBot="1" x14ac:dyDescent="0.3">
      <c r="A32" t="s">
        <v>691</v>
      </c>
      <c r="B32" s="1" t="s">
        <v>692</v>
      </c>
      <c r="C32" s="1" t="s">
        <v>7</v>
      </c>
      <c r="D32" s="1" t="s">
        <v>640</v>
      </c>
      <c r="E32" s="9">
        <v>68154</v>
      </c>
      <c r="F32" s="1" t="str">
        <f>VLOOKUP(D32,Table11[[Name]:[Native]],3,FALSE)</f>
        <v>南郑区</v>
      </c>
      <c r="G32" s="12" t="str">
        <f ca="1">VLOOKUP(F32,Table11[[Native]:[Population4]],5,FALSE)</f>
        <v>汉中市</v>
      </c>
    </row>
    <row r="33" spans="1:7" ht="15.75" thickBot="1" x14ac:dyDescent="0.3">
      <c r="A33" t="s">
        <v>45</v>
      </c>
      <c r="B33" s="1" t="s">
        <v>46</v>
      </c>
      <c r="C33" s="1" t="s">
        <v>7</v>
      </c>
      <c r="D33" s="1" t="s">
        <v>628</v>
      </c>
      <c r="E33" s="9">
        <v>4716</v>
      </c>
      <c r="F33" s="1" t="str">
        <f>VLOOKUP(D33,Table11[[Name]:[Native]],3,FALSE)</f>
        <v>西乡县</v>
      </c>
      <c r="G33" s="12" t="str">
        <f ca="1">VLOOKUP(F33,Table11[[Native]:[Population4]],5,FALSE)</f>
        <v>汉中市</v>
      </c>
    </row>
    <row r="34" spans="1:7" ht="15.75" thickBot="1" x14ac:dyDescent="0.3">
      <c r="A34" t="s">
        <v>693</v>
      </c>
      <c r="B34" s="1" t="s">
        <v>694</v>
      </c>
      <c r="C34" s="1" t="s">
        <v>7</v>
      </c>
      <c r="D34" s="1" t="s">
        <v>625</v>
      </c>
      <c r="E34" s="9">
        <v>26995</v>
      </c>
      <c r="F34" s="1" t="str">
        <f>VLOOKUP(D34,Table11[[Name]:[Native]],3,FALSE)</f>
        <v>宁强县</v>
      </c>
      <c r="G34" s="12" t="str">
        <f ca="1">VLOOKUP(F34,Table11[[Native]:[Population4]],5,FALSE)</f>
        <v>汉中市</v>
      </c>
    </row>
    <row r="35" spans="1:7" ht="15.75" thickBot="1" x14ac:dyDescent="0.3">
      <c r="A35" t="s">
        <v>695</v>
      </c>
      <c r="B35" s="1" t="s">
        <v>696</v>
      </c>
      <c r="C35" s="1" t="s">
        <v>11</v>
      </c>
      <c r="D35" s="1" t="s">
        <v>652</v>
      </c>
      <c r="E35" s="9">
        <v>6556</v>
      </c>
      <c r="F35" s="1" t="str">
        <f>VLOOKUP(D35,Table11[[Name]:[Native]],3,FALSE)</f>
        <v>城固县</v>
      </c>
      <c r="G35" s="12" t="str">
        <f ca="1">VLOOKUP(F35,Table11[[Native]:[Population4]],5,FALSE)</f>
        <v>汉中市</v>
      </c>
    </row>
    <row r="36" spans="1:7" ht="15.75" thickBot="1" x14ac:dyDescent="0.3">
      <c r="A36" t="s">
        <v>697</v>
      </c>
      <c r="B36" s="1" t="s">
        <v>698</v>
      </c>
      <c r="C36" s="1" t="s">
        <v>7</v>
      </c>
      <c r="D36" s="1" t="s">
        <v>649</v>
      </c>
      <c r="E36" s="9">
        <v>35914</v>
      </c>
      <c r="F36" s="1" t="str">
        <f>VLOOKUP(D36,Table11[[Name]:[Native]],3,FALSE)</f>
        <v>勉县</v>
      </c>
      <c r="G36" s="12" t="str">
        <f ca="1">VLOOKUP(F36,Table11[[Native]:[Population4]],5,FALSE)</f>
        <v>汉中市</v>
      </c>
    </row>
    <row r="37" spans="1:7" ht="15.75" thickBot="1" x14ac:dyDescent="0.3">
      <c r="A37" t="s">
        <v>699</v>
      </c>
      <c r="B37" s="1" t="s">
        <v>700</v>
      </c>
      <c r="C37" s="1" t="s">
        <v>113</v>
      </c>
      <c r="D37" s="1" t="s">
        <v>659</v>
      </c>
      <c r="E37" s="9">
        <v>29407</v>
      </c>
      <c r="F37" s="1" t="str">
        <f>VLOOKUP(D37,Table11[[Name]:[Native]],3,FALSE)</f>
        <v>汉台区</v>
      </c>
      <c r="G37" s="12" t="str">
        <f ca="1">VLOOKUP(F37,Table11[[Native]:[Population4]],5,FALSE)</f>
        <v>汉中市</v>
      </c>
    </row>
    <row r="38" spans="1:7" ht="15.75" thickBot="1" x14ac:dyDescent="0.3">
      <c r="A38" t="s">
        <v>701</v>
      </c>
      <c r="B38" s="1" t="s">
        <v>702</v>
      </c>
      <c r="C38" s="1" t="s">
        <v>113</v>
      </c>
      <c r="D38" s="1" t="s">
        <v>659</v>
      </c>
      <c r="E38" s="9">
        <v>50687</v>
      </c>
      <c r="F38" s="1" t="str">
        <f>VLOOKUP(D38,Table11[[Name]:[Native]],3,FALSE)</f>
        <v>汉台区</v>
      </c>
      <c r="G38" s="12" t="str">
        <f ca="1">VLOOKUP(F38,Table11[[Native]:[Population4]],5,FALSE)</f>
        <v>汉中市</v>
      </c>
    </row>
    <row r="39" spans="1:7" ht="15.75" thickBot="1" x14ac:dyDescent="0.3">
      <c r="A39" t="s">
        <v>703</v>
      </c>
      <c r="B39" s="1" t="s">
        <v>704</v>
      </c>
      <c r="C39" s="1" t="s">
        <v>7</v>
      </c>
      <c r="D39" s="1" t="s">
        <v>652</v>
      </c>
      <c r="E39" s="9">
        <v>23704</v>
      </c>
      <c r="F39" s="1" t="str">
        <f>VLOOKUP(D39,Table11[[Name]:[Native]],3,FALSE)</f>
        <v>城固县</v>
      </c>
      <c r="G39" s="12" t="str">
        <f ca="1">VLOOKUP(F39,Table11[[Native]:[Population4]],5,FALSE)</f>
        <v>汉中市</v>
      </c>
    </row>
    <row r="40" spans="1:7" ht="15.75" thickBot="1" x14ac:dyDescent="0.3">
      <c r="A40" t="s">
        <v>705</v>
      </c>
      <c r="B40" s="1" t="s">
        <v>706</v>
      </c>
      <c r="C40" s="1" t="s">
        <v>11</v>
      </c>
      <c r="D40" s="1" t="s">
        <v>649</v>
      </c>
      <c r="E40" s="9">
        <v>2221</v>
      </c>
      <c r="F40" s="1" t="str">
        <f>VLOOKUP(D40,Table11[[Name]:[Native]],3,FALSE)</f>
        <v>勉县</v>
      </c>
      <c r="G40" s="12" t="str">
        <f ca="1">VLOOKUP(F40,Table11[[Native]:[Population4]],5,FALSE)</f>
        <v>汉中市</v>
      </c>
    </row>
    <row r="41" spans="1:7" ht="15.75" thickBot="1" x14ac:dyDescent="0.3">
      <c r="A41" t="s">
        <v>707</v>
      </c>
      <c r="B41" s="1" t="s">
        <v>708</v>
      </c>
      <c r="C41" s="1" t="s">
        <v>7</v>
      </c>
      <c r="D41" s="1" t="s">
        <v>625</v>
      </c>
      <c r="E41" s="9">
        <v>6837</v>
      </c>
      <c r="F41" s="1" t="str">
        <f>VLOOKUP(D41,Table11[[Name]:[Native]],3,FALSE)</f>
        <v>宁强县</v>
      </c>
      <c r="G41" s="12" t="str">
        <f ca="1">VLOOKUP(F41,Table11[[Native]:[Population4]],5,FALSE)</f>
        <v>汉中市</v>
      </c>
    </row>
    <row r="42" spans="1:7" ht="15.75" thickBot="1" x14ac:dyDescent="0.3">
      <c r="A42" t="s">
        <v>709</v>
      </c>
      <c r="B42" s="1" t="s">
        <v>710</v>
      </c>
      <c r="C42" s="1" t="s">
        <v>7</v>
      </c>
      <c r="D42" s="1" t="s">
        <v>652</v>
      </c>
      <c r="E42" s="9">
        <v>17422</v>
      </c>
      <c r="F42" s="1" t="str">
        <f>VLOOKUP(D42,Table11[[Name]:[Native]],3,FALSE)</f>
        <v>城固县</v>
      </c>
      <c r="G42" s="12" t="str">
        <f ca="1">VLOOKUP(F42,Table11[[Native]:[Population4]],5,FALSE)</f>
        <v>汉中市</v>
      </c>
    </row>
    <row r="43" spans="1:7" ht="15.75" thickBot="1" x14ac:dyDescent="0.3">
      <c r="A43" t="s">
        <v>711</v>
      </c>
      <c r="B43" s="1" t="s">
        <v>712</v>
      </c>
      <c r="C43" s="1" t="s">
        <v>7</v>
      </c>
      <c r="D43" s="1" t="s">
        <v>640</v>
      </c>
      <c r="E43" s="9">
        <v>14174</v>
      </c>
      <c r="F43" s="1" t="str">
        <f>VLOOKUP(D43,Table11[[Name]:[Native]],3,FALSE)</f>
        <v>南郑区</v>
      </c>
      <c r="G43" s="12" t="str">
        <f ca="1">VLOOKUP(F43,Table11[[Native]:[Population4]],5,FALSE)</f>
        <v>汉中市</v>
      </c>
    </row>
    <row r="44" spans="1:7" ht="15.75" thickBot="1" x14ac:dyDescent="0.3">
      <c r="A44" t="s">
        <v>713</v>
      </c>
      <c r="B44" s="1" t="s">
        <v>714</v>
      </c>
      <c r="C44" s="1" t="s">
        <v>7</v>
      </c>
      <c r="D44" s="1" t="s">
        <v>640</v>
      </c>
      <c r="E44" s="9">
        <v>4077</v>
      </c>
      <c r="F44" s="1" t="str">
        <f>VLOOKUP(D44,Table11[[Name]:[Native]],3,FALSE)</f>
        <v>南郑区</v>
      </c>
      <c r="G44" s="12" t="str">
        <f ca="1">VLOOKUP(F44,Table11[[Native]:[Population4]],5,FALSE)</f>
        <v>汉中市</v>
      </c>
    </row>
    <row r="45" spans="1:7" ht="15.75" thickBot="1" x14ac:dyDescent="0.3">
      <c r="A45" t="s">
        <v>715</v>
      </c>
      <c r="B45" s="1" t="s">
        <v>716</v>
      </c>
      <c r="C45" s="1" t="s">
        <v>7</v>
      </c>
      <c r="D45" s="1" t="s">
        <v>649</v>
      </c>
      <c r="E45" s="9">
        <v>10145</v>
      </c>
      <c r="F45" s="1" t="str">
        <f>VLOOKUP(D45,Table11[[Name]:[Native]],3,FALSE)</f>
        <v>勉县</v>
      </c>
      <c r="G45" s="12" t="str">
        <f ca="1">VLOOKUP(F45,Table11[[Native]:[Population4]],5,FALSE)</f>
        <v>汉中市</v>
      </c>
    </row>
    <row r="46" spans="1:7" ht="15.75" thickBot="1" x14ac:dyDescent="0.3">
      <c r="A46" t="s">
        <v>717</v>
      </c>
      <c r="B46" s="1" t="s">
        <v>718</v>
      </c>
      <c r="C46" s="1" t="s">
        <v>7</v>
      </c>
      <c r="D46" s="1" t="s">
        <v>628</v>
      </c>
      <c r="E46" s="9">
        <v>21071</v>
      </c>
      <c r="F46" s="1" t="str">
        <f>VLOOKUP(D46,Table11[[Name]:[Native]],3,FALSE)</f>
        <v>西乡县</v>
      </c>
      <c r="G46" s="12" t="str">
        <f ca="1">VLOOKUP(F46,Table11[[Native]:[Population4]],5,FALSE)</f>
        <v>汉中市</v>
      </c>
    </row>
    <row r="47" spans="1:7" ht="15.75" thickBot="1" x14ac:dyDescent="0.3">
      <c r="A47" t="s">
        <v>719</v>
      </c>
      <c r="B47" s="1" t="s">
        <v>720</v>
      </c>
      <c r="C47" s="1" t="s">
        <v>7</v>
      </c>
      <c r="D47" s="1" t="s">
        <v>640</v>
      </c>
      <c r="E47" s="9">
        <v>21101</v>
      </c>
      <c r="F47" s="1" t="str">
        <f>VLOOKUP(D47,Table11[[Name]:[Native]],3,FALSE)</f>
        <v>南郑区</v>
      </c>
      <c r="G47" s="12" t="str">
        <f ca="1">VLOOKUP(F47,Table11[[Native]:[Population4]],5,FALSE)</f>
        <v>汉中市</v>
      </c>
    </row>
    <row r="48" spans="1:7" ht="15.75" thickBot="1" x14ac:dyDescent="0.3">
      <c r="A48" t="s">
        <v>721</v>
      </c>
      <c r="B48" s="1" t="s">
        <v>722</v>
      </c>
      <c r="C48" s="1" t="s">
        <v>113</v>
      </c>
      <c r="D48" s="1" t="s">
        <v>625</v>
      </c>
      <c r="E48" s="9">
        <v>18395</v>
      </c>
      <c r="F48" s="1" t="str">
        <f>VLOOKUP(D48,Table11[[Name]:[Native]],3,FALSE)</f>
        <v>宁强县</v>
      </c>
      <c r="G48" s="12" t="str">
        <f ca="1">VLOOKUP(F48,Table11[[Native]:[Population4]],5,FALSE)</f>
        <v>汉中市</v>
      </c>
    </row>
    <row r="49" spans="1:7" ht="15.75" thickBot="1" x14ac:dyDescent="0.3">
      <c r="A49" t="s">
        <v>723</v>
      </c>
      <c r="B49" s="1" t="s">
        <v>724</v>
      </c>
      <c r="C49" s="1" t="s">
        <v>7</v>
      </c>
      <c r="D49" s="1" t="s">
        <v>643</v>
      </c>
      <c r="E49" s="9">
        <v>5849</v>
      </c>
      <c r="F49" s="1" t="str">
        <f>VLOOKUP(D49,Table11[[Name]:[Native]],3,FALSE)</f>
        <v>洋县</v>
      </c>
      <c r="G49" s="12" t="str">
        <f ca="1">VLOOKUP(F49,Table11[[Native]:[Population4]],5,FALSE)</f>
        <v>汉中市</v>
      </c>
    </row>
    <row r="50" spans="1:7" ht="15.75" thickBot="1" x14ac:dyDescent="0.3">
      <c r="A50" t="s">
        <v>725</v>
      </c>
      <c r="B50" s="1" t="s">
        <v>726</v>
      </c>
      <c r="C50" s="1" t="s">
        <v>7</v>
      </c>
      <c r="D50" s="1" t="s">
        <v>625</v>
      </c>
      <c r="E50" s="9">
        <v>9225</v>
      </c>
      <c r="F50" s="1" t="str">
        <f>VLOOKUP(D50,Table11[[Name]:[Native]],3,FALSE)</f>
        <v>宁强县</v>
      </c>
      <c r="G50" s="12" t="str">
        <f ca="1">VLOOKUP(F50,Table11[[Native]:[Population4]],5,FALSE)</f>
        <v>汉中市</v>
      </c>
    </row>
    <row r="51" spans="1:7" ht="15.75" thickBot="1" x14ac:dyDescent="0.3">
      <c r="A51" t="s">
        <v>727</v>
      </c>
      <c r="B51" s="1" t="s">
        <v>728</v>
      </c>
      <c r="C51" s="1" t="s">
        <v>7</v>
      </c>
      <c r="D51" s="1" t="s">
        <v>643</v>
      </c>
      <c r="E51" s="9">
        <v>16285</v>
      </c>
      <c r="F51" s="1" t="str">
        <f>VLOOKUP(D51,Table11[[Name]:[Native]],3,FALSE)</f>
        <v>洋县</v>
      </c>
      <c r="G51" s="12" t="str">
        <f ca="1">VLOOKUP(F51,Table11[[Native]:[Population4]],5,FALSE)</f>
        <v>汉中市</v>
      </c>
    </row>
    <row r="52" spans="1:7" ht="15.75" thickBot="1" x14ac:dyDescent="0.3">
      <c r="A52" t="s">
        <v>729</v>
      </c>
      <c r="B52" s="1" t="s">
        <v>730</v>
      </c>
      <c r="C52" s="1" t="s">
        <v>7</v>
      </c>
      <c r="D52" s="1" t="s">
        <v>633</v>
      </c>
      <c r="E52" s="9">
        <v>3207</v>
      </c>
      <c r="F52" s="1" t="str">
        <f>VLOOKUP(D52,Table11[[Name]:[Native]],3,FALSE)</f>
        <v>略阳县</v>
      </c>
      <c r="G52" s="12" t="str">
        <f ca="1">VLOOKUP(F52,Table11[[Native]:[Population4]],5,FALSE)</f>
        <v>汉中市</v>
      </c>
    </row>
    <row r="53" spans="1:7" ht="15.75" thickBot="1" x14ac:dyDescent="0.3">
      <c r="A53" t="s">
        <v>731</v>
      </c>
      <c r="B53" s="1" t="s">
        <v>732</v>
      </c>
      <c r="C53" s="1" t="s">
        <v>7</v>
      </c>
      <c r="D53" s="1" t="s">
        <v>646</v>
      </c>
      <c r="E53" s="9">
        <v>10785</v>
      </c>
      <c r="F53" s="1" t="str">
        <f>VLOOKUP(D53,Table11[[Name]:[Native]],3,FALSE)</f>
        <v>镇巴县</v>
      </c>
      <c r="G53" s="12" t="str">
        <f ca="1">VLOOKUP(F53,Table11[[Native]:[Population4]],5,FALSE)</f>
        <v>汉中市</v>
      </c>
    </row>
    <row r="54" spans="1:7" ht="15.75" thickBot="1" x14ac:dyDescent="0.3">
      <c r="A54" t="s">
        <v>733</v>
      </c>
      <c r="B54" s="1" t="s">
        <v>734</v>
      </c>
      <c r="C54" s="1" t="s">
        <v>7</v>
      </c>
      <c r="D54" s="1" t="s">
        <v>628</v>
      </c>
      <c r="E54" s="9">
        <v>15184</v>
      </c>
      <c r="F54" s="1" t="str">
        <f>VLOOKUP(D54,Table11[[Name]:[Native]],3,FALSE)</f>
        <v>西乡县</v>
      </c>
      <c r="G54" s="12" t="str">
        <f ca="1">VLOOKUP(F54,Table11[[Native]:[Population4]],5,FALSE)</f>
        <v>汉中市</v>
      </c>
    </row>
    <row r="55" spans="1:7" ht="15.75" thickBot="1" x14ac:dyDescent="0.3">
      <c r="A55" t="s">
        <v>735</v>
      </c>
      <c r="B55" s="1" t="s">
        <v>736</v>
      </c>
      <c r="C55" s="1" t="s">
        <v>7</v>
      </c>
      <c r="D55" s="1" t="s">
        <v>633</v>
      </c>
      <c r="E55" s="9">
        <v>11337</v>
      </c>
      <c r="F55" s="1" t="str">
        <f>VLOOKUP(D55,Table11[[Name]:[Native]],3,FALSE)</f>
        <v>略阳县</v>
      </c>
      <c r="G55" s="12" t="str">
        <f ca="1">VLOOKUP(F55,Table11[[Native]:[Population4]],5,FALSE)</f>
        <v>汉中市</v>
      </c>
    </row>
    <row r="56" spans="1:7" ht="15.75" thickBot="1" x14ac:dyDescent="0.3">
      <c r="A56" t="s">
        <v>737</v>
      </c>
      <c r="B56" s="1" t="s">
        <v>738</v>
      </c>
      <c r="C56" s="1" t="s">
        <v>113</v>
      </c>
      <c r="D56" s="1" t="s">
        <v>640</v>
      </c>
      <c r="E56" s="9">
        <v>65546</v>
      </c>
      <c r="F56" s="1" t="str">
        <f>VLOOKUP(D56,Table11[[Name]:[Native]],3,FALSE)</f>
        <v>南郑区</v>
      </c>
      <c r="G56" s="12" t="str">
        <f ca="1">VLOOKUP(F56,Table11[[Native]:[Population4]],5,FALSE)</f>
        <v>汉中市</v>
      </c>
    </row>
    <row r="57" spans="1:7" ht="15.75" thickBot="1" x14ac:dyDescent="0.3">
      <c r="A57" t="s">
        <v>83</v>
      </c>
      <c r="B57" s="1" t="s">
        <v>84</v>
      </c>
      <c r="C57" s="1" t="s">
        <v>7</v>
      </c>
      <c r="D57" s="1" t="s">
        <v>659</v>
      </c>
      <c r="E57" s="9">
        <v>11391</v>
      </c>
      <c r="F57" s="1" t="str">
        <f>VLOOKUP(D57,Table11[[Name]:[Native]],3,FALSE)</f>
        <v>汉台区</v>
      </c>
      <c r="G57" s="12" t="str">
        <f ca="1">VLOOKUP(F57,Table11[[Native]:[Population4]],5,FALSE)</f>
        <v>汉中市</v>
      </c>
    </row>
    <row r="58" spans="1:7" ht="15.75" thickBot="1" x14ac:dyDescent="0.3">
      <c r="A58" t="s">
        <v>739</v>
      </c>
      <c r="B58" s="1" t="s">
        <v>740</v>
      </c>
      <c r="C58" s="1" t="s">
        <v>113</v>
      </c>
      <c r="D58" s="1" t="s">
        <v>625</v>
      </c>
      <c r="E58" s="9">
        <v>50440</v>
      </c>
      <c r="F58" s="1" t="str">
        <f>VLOOKUP(D58,Table11[[Name]:[Native]],3,FALSE)</f>
        <v>宁强县</v>
      </c>
      <c r="G58" s="12" t="str">
        <f ca="1">VLOOKUP(F58,Table11[[Native]:[Population4]],5,FALSE)</f>
        <v>汉中市</v>
      </c>
    </row>
    <row r="59" spans="1:7" ht="15.75" thickBot="1" x14ac:dyDescent="0.3">
      <c r="A59" t="s">
        <v>741</v>
      </c>
      <c r="B59" s="1" t="s">
        <v>742</v>
      </c>
      <c r="C59" s="1" t="s">
        <v>113</v>
      </c>
      <c r="D59" s="1" t="s">
        <v>659</v>
      </c>
      <c r="E59" s="9">
        <v>59560</v>
      </c>
      <c r="F59" s="1" t="str">
        <f>VLOOKUP(D59,Table11[[Name]:[Native]],3,FALSE)</f>
        <v>汉台区</v>
      </c>
      <c r="G59" s="12" t="str">
        <f ca="1">VLOOKUP(F59,Table11[[Native]:[Population4]],5,FALSE)</f>
        <v>汉中市</v>
      </c>
    </row>
    <row r="60" spans="1:7" ht="15.75" thickBot="1" x14ac:dyDescent="0.3">
      <c r="A60" t="s">
        <v>743</v>
      </c>
      <c r="B60" s="1" t="s">
        <v>744</v>
      </c>
      <c r="C60" s="1" t="s">
        <v>7</v>
      </c>
      <c r="D60" s="1" t="s">
        <v>659</v>
      </c>
      <c r="E60" s="9">
        <v>25588</v>
      </c>
      <c r="F60" s="1" t="str">
        <f>VLOOKUP(D60,Table11[[Name]:[Native]],3,FALSE)</f>
        <v>汉台区</v>
      </c>
      <c r="G60" s="12" t="str">
        <f ca="1">VLOOKUP(F60,Table11[[Native]:[Population4]],5,FALSE)</f>
        <v>汉中市</v>
      </c>
    </row>
    <row r="61" spans="1:7" ht="15.75" thickBot="1" x14ac:dyDescent="0.3">
      <c r="A61" t="s">
        <v>745</v>
      </c>
      <c r="B61" s="1" t="s">
        <v>746</v>
      </c>
      <c r="C61" s="1" t="s">
        <v>7</v>
      </c>
      <c r="D61" s="1" t="s">
        <v>633</v>
      </c>
      <c r="E61" s="9">
        <v>5627</v>
      </c>
      <c r="F61" s="1" t="str">
        <f>VLOOKUP(D61,Table11[[Name]:[Native]],3,FALSE)</f>
        <v>略阳县</v>
      </c>
      <c r="G61" s="12" t="str">
        <f ca="1">VLOOKUP(F61,Table11[[Native]:[Population4]],5,FALSE)</f>
        <v>汉中市</v>
      </c>
    </row>
    <row r="62" spans="1:7" ht="15.75" thickBot="1" x14ac:dyDescent="0.3">
      <c r="A62" t="s">
        <v>747</v>
      </c>
      <c r="B62" s="1" t="s">
        <v>748</v>
      </c>
      <c r="C62" s="1" t="s">
        <v>113</v>
      </c>
      <c r="D62" s="1" t="s">
        <v>633</v>
      </c>
      <c r="E62" s="9">
        <v>6856</v>
      </c>
      <c r="F62" s="1" t="str">
        <f>VLOOKUP(D62,Table11[[Name]:[Native]],3,FALSE)</f>
        <v>略阳县</v>
      </c>
      <c r="G62" s="12" t="str">
        <f ca="1">VLOOKUP(F62,Table11[[Native]:[Population4]],5,FALSE)</f>
        <v>汉中市</v>
      </c>
    </row>
    <row r="63" spans="1:7" ht="15.75" thickBot="1" x14ac:dyDescent="0.3">
      <c r="A63" t="s">
        <v>749</v>
      </c>
      <c r="B63" s="1" t="s">
        <v>750</v>
      </c>
      <c r="C63" s="1" t="s">
        <v>7</v>
      </c>
      <c r="D63" s="1" t="s">
        <v>640</v>
      </c>
      <c r="E63" s="9">
        <v>22166</v>
      </c>
      <c r="F63" s="1" t="str">
        <f>VLOOKUP(D63,Table11[[Name]:[Native]],3,FALSE)</f>
        <v>南郑区</v>
      </c>
      <c r="G63" s="12" t="str">
        <f ca="1">VLOOKUP(F63,Table11[[Native]:[Population4]],5,FALSE)</f>
        <v>汉中市</v>
      </c>
    </row>
    <row r="64" spans="1:7" ht="15.75" thickBot="1" x14ac:dyDescent="0.3">
      <c r="A64" t="s">
        <v>751</v>
      </c>
      <c r="B64" s="1" t="s">
        <v>752</v>
      </c>
      <c r="C64" s="1" t="s">
        <v>7</v>
      </c>
      <c r="D64" s="1" t="s">
        <v>643</v>
      </c>
      <c r="E64" s="9">
        <v>25643</v>
      </c>
      <c r="F64" s="1" t="str">
        <f>VLOOKUP(D64,Table11[[Name]:[Native]],3,FALSE)</f>
        <v>洋县</v>
      </c>
      <c r="G64" s="12" t="str">
        <f ca="1">VLOOKUP(F64,Table11[[Native]:[Population4]],5,FALSE)</f>
        <v>汉中市</v>
      </c>
    </row>
    <row r="65" spans="1:7" ht="15.75" thickBot="1" x14ac:dyDescent="0.3">
      <c r="A65" t="s">
        <v>753</v>
      </c>
      <c r="B65" s="1" t="s">
        <v>754</v>
      </c>
      <c r="C65" s="1" t="s">
        <v>7</v>
      </c>
      <c r="D65" s="1" t="s">
        <v>643</v>
      </c>
      <c r="E65" s="9">
        <v>15306</v>
      </c>
      <c r="F65" s="1" t="str">
        <f>VLOOKUP(D65,Table11[[Name]:[Native]],3,FALSE)</f>
        <v>洋县</v>
      </c>
      <c r="G65" s="12" t="str">
        <f ca="1">VLOOKUP(F65,Table11[[Native]:[Population4]],5,FALSE)</f>
        <v>汉中市</v>
      </c>
    </row>
    <row r="66" spans="1:7" ht="15.75" thickBot="1" x14ac:dyDescent="0.3">
      <c r="A66" t="s">
        <v>755</v>
      </c>
      <c r="B66" s="1" t="s">
        <v>756</v>
      </c>
      <c r="C66" s="1" t="s">
        <v>11</v>
      </c>
      <c r="D66" s="1" t="s">
        <v>625</v>
      </c>
      <c r="E66" s="9">
        <v>3833</v>
      </c>
      <c r="F66" s="1" t="str">
        <f>VLOOKUP(D66,Table11[[Name]:[Native]],3,FALSE)</f>
        <v>宁强县</v>
      </c>
      <c r="G66" s="12" t="str">
        <f ca="1">VLOOKUP(F66,Table11[[Native]:[Population4]],5,FALSE)</f>
        <v>汉中市</v>
      </c>
    </row>
    <row r="67" spans="1:7" ht="15.75" thickBot="1" x14ac:dyDescent="0.3">
      <c r="A67" t="s">
        <v>757</v>
      </c>
      <c r="B67" s="1" t="s">
        <v>758</v>
      </c>
      <c r="C67" s="1" t="s">
        <v>7</v>
      </c>
      <c r="D67" s="1" t="s">
        <v>640</v>
      </c>
      <c r="E67" s="9">
        <v>21849</v>
      </c>
      <c r="F67" s="1" t="str">
        <f>VLOOKUP(D67,Table11[[Name]:[Native]],3,FALSE)</f>
        <v>南郑区</v>
      </c>
      <c r="G67" s="12" t="str">
        <f ca="1">VLOOKUP(F67,Table11[[Native]:[Population4]],5,FALSE)</f>
        <v>汉中市</v>
      </c>
    </row>
    <row r="68" spans="1:7" ht="15.75" thickBot="1" x14ac:dyDescent="0.3">
      <c r="A68" t="s">
        <v>759</v>
      </c>
      <c r="B68" s="1" t="s">
        <v>760</v>
      </c>
      <c r="C68" s="1" t="s">
        <v>7</v>
      </c>
      <c r="D68" s="1" t="s">
        <v>643</v>
      </c>
      <c r="E68" s="9">
        <v>13035</v>
      </c>
      <c r="F68" s="1" t="str">
        <f>VLOOKUP(D68,Table11[[Name]:[Native]],3,FALSE)</f>
        <v>洋县</v>
      </c>
      <c r="G68" s="12" t="str">
        <f ca="1">VLOOKUP(F68,Table11[[Native]:[Population4]],5,FALSE)</f>
        <v>汉中市</v>
      </c>
    </row>
    <row r="69" spans="1:7" ht="15.75" thickBot="1" x14ac:dyDescent="0.3">
      <c r="A69" t="s">
        <v>761</v>
      </c>
      <c r="B69" s="1" t="s">
        <v>762</v>
      </c>
      <c r="C69" s="1" t="s">
        <v>7</v>
      </c>
      <c r="D69" s="1" t="s">
        <v>643</v>
      </c>
      <c r="E69" s="9">
        <v>9788</v>
      </c>
      <c r="F69" s="1" t="str">
        <f>VLOOKUP(D69,Table11[[Name]:[Native]],3,FALSE)</f>
        <v>洋县</v>
      </c>
      <c r="G69" s="12" t="str">
        <f ca="1">VLOOKUP(F69,Table11[[Native]:[Population4]],5,FALSE)</f>
        <v>汉中市</v>
      </c>
    </row>
    <row r="70" spans="1:7" ht="15.75" thickBot="1" x14ac:dyDescent="0.3">
      <c r="A70" t="s">
        <v>763</v>
      </c>
      <c r="B70" s="1" t="s">
        <v>764</v>
      </c>
      <c r="C70" s="1" t="s">
        <v>7</v>
      </c>
      <c r="D70" s="1" t="s">
        <v>649</v>
      </c>
      <c r="E70" s="9">
        <v>9871</v>
      </c>
      <c r="F70" s="1" t="str">
        <f>VLOOKUP(D70,Table11[[Name]:[Native]],3,FALSE)</f>
        <v>勉县</v>
      </c>
      <c r="G70" s="12" t="str">
        <f ca="1">VLOOKUP(F70,Table11[[Native]:[Population4]],5,FALSE)</f>
        <v>汉中市</v>
      </c>
    </row>
    <row r="71" spans="1:7" ht="15.75" thickBot="1" x14ac:dyDescent="0.3">
      <c r="A71" t="s">
        <v>765</v>
      </c>
      <c r="B71" s="1" t="s">
        <v>766</v>
      </c>
      <c r="C71" s="1" t="s">
        <v>7</v>
      </c>
      <c r="D71" s="1" t="s">
        <v>643</v>
      </c>
      <c r="E71" s="9">
        <v>6766</v>
      </c>
      <c r="F71" s="1" t="str">
        <f>VLOOKUP(D71,Table11[[Name]:[Native]],3,FALSE)</f>
        <v>洋县</v>
      </c>
      <c r="G71" s="12" t="str">
        <f ca="1">VLOOKUP(F71,Table11[[Native]:[Population4]],5,FALSE)</f>
        <v>汉中市</v>
      </c>
    </row>
    <row r="72" spans="1:7" ht="15.75" thickBot="1" x14ac:dyDescent="0.3">
      <c r="A72" t="s">
        <v>767</v>
      </c>
      <c r="B72" s="1" t="s">
        <v>768</v>
      </c>
      <c r="C72" s="1" t="s">
        <v>7</v>
      </c>
      <c r="D72" s="1" t="s">
        <v>625</v>
      </c>
      <c r="E72" s="9">
        <v>15232</v>
      </c>
      <c r="F72" s="1" t="str">
        <f>VLOOKUP(D72,Table11[[Name]:[Native]],3,FALSE)</f>
        <v>宁强县</v>
      </c>
      <c r="G72" s="12" t="str">
        <f ca="1">VLOOKUP(F72,Table11[[Native]:[Population4]],5,FALSE)</f>
        <v>汉中市</v>
      </c>
    </row>
    <row r="73" spans="1:7" ht="15.75" thickBot="1" x14ac:dyDescent="0.3">
      <c r="A73" t="s">
        <v>769</v>
      </c>
      <c r="B73" s="1" t="s">
        <v>770</v>
      </c>
      <c r="C73" s="1" t="s">
        <v>7</v>
      </c>
      <c r="D73" s="1" t="s">
        <v>640</v>
      </c>
      <c r="E73" s="9">
        <v>18467</v>
      </c>
      <c r="F73" s="1" t="str">
        <f>VLOOKUP(D73,Table11[[Name]:[Native]],3,FALSE)</f>
        <v>南郑区</v>
      </c>
      <c r="G73" s="12" t="str">
        <f ca="1">VLOOKUP(F73,Table11[[Native]:[Population4]],5,FALSE)</f>
        <v>汉中市</v>
      </c>
    </row>
    <row r="74" spans="1:7" ht="15.75" thickBot="1" x14ac:dyDescent="0.3">
      <c r="A74" t="s">
        <v>771</v>
      </c>
      <c r="B74" s="1" t="s">
        <v>772</v>
      </c>
      <c r="C74" s="1" t="s">
        <v>7</v>
      </c>
      <c r="D74" s="1" t="s">
        <v>773</v>
      </c>
      <c r="E74" s="9">
        <v>3070</v>
      </c>
      <c r="F74" s="1" t="str">
        <f>VLOOKUP(D74,Table11[[Name]:[Native]],3,FALSE)</f>
        <v>留坝县</v>
      </c>
      <c r="G74" s="12" t="str">
        <f ca="1">VLOOKUP(F74,Table11[[Native]:[Population4]],5,FALSE)</f>
        <v>汉中市</v>
      </c>
    </row>
    <row r="75" spans="1:7" ht="15.75" thickBot="1" x14ac:dyDescent="0.3">
      <c r="A75" t="s">
        <v>774</v>
      </c>
      <c r="B75" s="1" t="s">
        <v>775</v>
      </c>
      <c r="C75" s="1" t="s">
        <v>7</v>
      </c>
      <c r="D75" s="1" t="s">
        <v>646</v>
      </c>
      <c r="E75" s="9">
        <v>11935</v>
      </c>
      <c r="F75" s="1" t="str">
        <f>VLOOKUP(D75,Table11[[Name]:[Native]],3,FALSE)</f>
        <v>镇巴县</v>
      </c>
      <c r="G75" s="12" t="str">
        <f ca="1">VLOOKUP(F75,Table11[[Native]:[Population4]],5,FALSE)</f>
        <v>汉中市</v>
      </c>
    </row>
    <row r="76" spans="1:7" ht="15.75" thickBot="1" x14ac:dyDescent="0.3">
      <c r="A76" t="s">
        <v>114</v>
      </c>
      <c r="B76" s="1" t="s">
        <v>115</v>
      </c>
      <c r="C76" s="1" t="s">
        <v>7</v>
      </c>
      <c r="D76" s="1" t="s">
        <v>773</v>
      </c>
      <c r="E76" s="9">
        <v>7171</v>
      </c>
      <c r="F76" s="1" t="str">
        <f>VLOOKUP(D76,Table11[[Name]:[Native]],3,FALSE)</f>
        <v>留坝县</v>
      </c>
      <c r="G76" s="12" t="str">
        <f ca="1">VLOOKUP(F76,Table11[[Native]:[Population4]],5,FALSE)</f>
        <v>汉中市</v>
      </c>
    </row>
    <row r="77" spans="1:7" ht="15.75" thickBot="1" x14ac:dyDescent="0.3">
      <c r="A77" t="s">
        <v>776</v>
      </c>
      <c r="B77" s="1" t="s">
        <v>777</v>
      </c>
      <c r="C77" s="1" t="s">
        <v>7</v>
      </c>
      <c r="D77" s="1" t="s">
        <v>633</v>
      </c>
      <c r="E77" s="9">
        <v>14734</v>
      </c>
      <c r="F77" s="1" t="str">
        <f>VLOOKUP(D77,Table11[[Name]:[Native]],3,FALSE)</f>
        <v>略阳县</v>
      </c>
      <c r="G77" s="12" t="str">
        <f ca="1">VLOOKUP(F77,Table11[[Native]:[Population4]],5,FALSE)</f>
        <v>汉中市</v>
      </c>
    </row>
    <row r="78" spans="1:7" ht="15.75" thickBot="1" x14ac:dyDescent="0.3">
      <c r="A78" t="s">
        <v>778</v>
      </c>
      <c r="B78" s="1" t="s">
        <v>779</v>
      </c>
      <c r="C78" s="1" t="s">
        <v>7</v>
      </c>
      <c r="D78" s="1" t="s">
        <v>652</v>
      </c>
      <c r="E78" s="9">
        <v>33179</v>
      </c>
      <c r="F78" s="1" t="str">
        <f>VLOOKUP(D78,Table11[[Name]:[Native]],3,FALSE)</f>
        <v>城固县</v>
      </c>
      <c r="G78" s="12" t="str">
        <f ca="1">VLOOKUP(F78,Table11[[Native]:[Population4]],5,FALSE)</f>
        <v>汉中市</v>
      </c>
    </row>
    <row r="79" spans="1:7" ht="15.75" thickBot="1" x14ac:dyDescent="0.3">
      <c r="A79" t="s">
        <v>780</v>
      </c>
      <c r="B79" s="1" t="s">
        <v>781</v>
      </c>
      <c r="C79" s="1" t="s">
        <v>113</v>
      </c>
      <c r="D79" s="1" t="s">
        <v>646</v>
      </c>
      <c r="E79" s="9">
        <v>38802</v>
      </c>
      <c r="F79" s="1" t="str">
        <f>VLOOKUP(D79,Table11[[Name]:[Native]],3,FALSE)</f>
        <v>镇巴县</v>
      </c>
      <c r="G79" s="12" t="str">
        <f ca="1">VLOOKUP(F79,Table11[[Native]:[Population4]],5,FALSE)</f>
        <v>汉中市</v>
      </c>
    </row>
    <row r="80" spans="1:7" ht="15.75" thickBot="1" x14ac:dyDescent="0.3">
      <c r="A80" t="s">
        <v>782</v>
      </c>
      <c r="B80" s="1" t="s">
        <v>783</v>
      </c>
      <c r="C80" s="1" t="s">
        <v>7</v>
      </c>
      <c r="D80" s="1" t="s">
        <v>633</v>
      </c>
      <c r="E80" s="9">
        <v>5424</v>
      </c>
      <c r="F80" s="1" t="str">
        <f>VLOOKUP(D80,Table11[[Name]:[Native]],3,FALSE)</f>
        <v>略阳县</v>
      </c>
      <c r="G80" s="12" t="str">
        <f ca="1">VLOOKUP(F80,Table11[[Native]:[Population4]],5,FALSE)</f>
        <v>汉中市</v>
      </c>
    </row>
    <row r="81" spans="1:7" ht="15.75" thickBot="1" x14ac:dyDescent="0.3">
      <c r="A81" t="s">
        <v>784</v>
      </c>
      <c r="B81" s="1" t="s">
        <v>785</v>
      </c>
      <c r="C81" s="1" t="s">
        <v>7</v>
      </c>
      <c r="D81" s="1" t="s">
        <v>649</v>
      </c>
      <c r="E81" s="9">
        <v>13363</v>
      </c>
      <c r="F81" s="1" t="str">
        <f>VLOOKUP(D81,Table11[[Name]:[Native]],3,FALSE)</f>
        <v>勉县</v>
      </c>
      <c r="G81" s="12" t="str">
        <f ca="1">VLOOKUP(F81,Table11[[Native]:[Population4]],5,FALSE)</f>
        <v>汉中市</v>
      </c>
    </row>
    <row r="82" spans="1:7" ht="15.75" thickBot="1" x14ac:dyDescent="0.3">
      <c r="A82" t="s">
        <v>786</v>
      </c>
      <c r="B82" s="1" t="s">
        <v>787</v>
      </c>
      <c r="C82" s="1" t="s">
        <v>7</v>
      </c>
      <c r="D82" s="1" t="s">
        <v>643</v>
      </c>
      <c r="E82" s="9">
        <v>8889</v>
      </c>
      <c r="F82" s="1" t="str">
        <f>VLOOKUP(D82,Table11[[Name]:[Native]],3,FALSE)</f>
        <v>洋县</v>
      </c>
      <c r="G82" s="12" t="str">
        <f ca="1">VLOOKUP(F82,Table11[[Native]:[Population4]],5,FALSE)</f>
        <v>汉中市</v>
      </c>
    </row>
    <row r="83" spans="1:7" ht="15.75" thickBot="1" x14ac:dyDescent="0.3">
      <c r="A83" t="s">
        <v>788</v>
      </c>
      <c r="B83" s="1" t="s">
        <v>789</v>
      </c>
      <c r="C83" s="1" t="s">
        <v>7</v>
      </c>
      <c r="D83" s="1" t="s">
        <v>625</v>
      </c>
      <c r="E83" s="9">
        <v>3161</v>
      </c>
      <c r="F83" s="1" t="str">
        <f>VLOOKUP(D83,Table11[[Name]:[Native]],3,FALSE)</f>
        <v>宁强县</v>
      </c>
      <c r="G83" s="12" t="str">
        <f ca="1">VLOOKUP(F83,Table11[[Native]:[Population4]],5,FALSE)</f>
        <v>汉中市</v>
      </c>
    </row>
    <row r="84" spans="1:7" ht="15.75" thickBot="1" x14ac:dyDescent="0.3">
      <c r="A84" t="s">
        <v>790</v>
      </c>
      <c r="B84" s="1" t="s">
        <v>791</v>
      </c>
      <c r="C84" s="1" t="s">
        <v>11</v>
      </c>
      <c r="D84" s="1" t="s">
        <v>625</v>
      </c>
      <c r="E84" s="9">
        <v>6137</v>
      </c>
      <c r="F84" s="1" t="str">
        <f>VLOOKUP(D84,Table11[[Name]:[Native]],3,FALSE)</f>
        <v>宁强县</v>
      </c>
      <c r="G84" s="12" t="str">
        <f ca="1">VLOOKUP(F84,Table11[[Native]:[Population4]],5,FALSE)</f>
        <v>汉中市</v>
      </c>
    </row>
    <row r="85" spans="1:7" ht="15.75" thickBot="1" x14ac:dyDescent="0.3">
      <c r="A85" t="s">
        <v>792</v>
      </c>
      <c r="B85" s="1" t="s">
        <v>793</v>
      </c>
      <c r="C85" s="1" t="s">
        <v>7</v>
      </c>
      <c r="D85" s="1" t="s">
        <v>649</v>
      </c>
      <c r="E85" s="9">
        <v>34121</v>
      </c>
      <c r="F85" s="1" t="str">
        <f>VLOOKUP(D85,Table11[[Name]:[Native]],3,FALSE)</f>
        <v>勉县</v>
      </c>
      <c r="G85" s="12" t="str">
        <f ca="1">VLOOKUP(F85,Table11[[Native]:[Population4]],5,FALSE)</f>
        <v>汉中市</v>
      </c>
    </row>
    <row r="86" spans="1:7" ht="15.75" thickBot="1" x14ac:dyDescent="0.3">
      <c r="A86" t="s">
        <v>794</v>
      </c>
      <c r="B86" s="1" t="s">
        <v>795</v>
      </c>
      <c r="C86" s="1" t="s">
        <v>7</v>
      </c>
      <c r="D86" s="1" t="s">
        <v>659</v>
      </c>
      <c r="E86" s="9">
        <v>26089</v>
      </c>
      <c r="F86" s="1" t="str">
        <f>VLOOKUP(D86,Table11[[Name]:[Native]],3,FALSE)</f>
        <v>汉台区</v>
      </c>
      <c r="G86" s="12" t="str">
        <f ca="1">VLOOKUP(F86,Table11[[Native]:[Population4]],5,FALSE)</f>
        <v>汉中市</v>
      </c>
    </row>
    <row r="87" spans="1:7" ht="15.75" thickBot="1" x14ac:dyDescent="0.3">
      <c r="A87" t="s">
        <v>796</v>
      </c>
      <c r="B87" s="1" t="s">
        <v>797</v>
      </c>
      <c r="C87" s="1" t="s">
        <v>7</v>
      </c>
      <c r="D87" s="1" t="s">
        <v>652</v>
      </c>
      <c r="E87" s="9">
        <v>28605</v>
      </c>
      <c r="F87" s="1" t="str">
        <f>VLOOKUP(D87,Table11[[Name]:[Native]],3,FALSE)</f>
        <v>城固县</v>
      </c>
      <c r="G87" s="12" t="str">
        <f ca="1">VLOOKUP(F87,Table11[[Native]:[Population4]],5,FALSE)</f>
        <v>汉中市</v>
      </c>
    </row>
    <row r="88" spans="1:7" ht="15.75" thickBot="1" x14ac:dyDescent="0.3">
      <c r="A88" t="s">
        <v>798</v>
      </c>
      <c r="B88" s="1" t="s">
        <v>799</v>
      </c>
      <c r="C88" s="1" t="s">
        <v>7</v>
      </c>
      <c r="D88" s="1" t="s">
        <v>633</v>
      </c>
      <c r="E88" s="9">
        <v>6892</v>
      </c>
      <c r="F88" s="1" t="str">
        <f>VLOOKUP(D88,Table11[[Name]:[Native]],3,FALSE)</f>
        <v>略阳县</v>
      </c>
      <c r="G88" s="12" t="str">
        <f ca="1">VLOOKUP(F88,Table11[[Native]:[Population4]],5,FALSE)</f>
        <v>汉中市</v>
      </c>
    </row>
    <row r="89" spans="1:7" ht="15.75" thickBot="1" x14ac:dyDescent="0.3">
      <c r="A89" t="s">
        <v>800</v>
      </c>
      <c r="B89" s="1" t="s">
        <v>801</v>
      </c>
      <c r="C89" s="1" t="s">
        <v>7</v>
      </c>
      <c r="D89" s="1" t="s">
        <v>628</v>
      </c>
      <c r="E89" s="9">
        <v>13058</v>
      </c>
      <c r="F89" s="1" t="str">
        <f>VLOOKUP(D89,Table11[[Name]:[Native]],3,FALSE)</f>
        <v>西乡县</v>
      </c>
      <c r="G89" s="12" t="str">
        <f ca="1">VLOOKUP(F89,Table11[[Native]:[Population4]],5,FALSE)</f>
        <v>汉中市</v>
      </c>
    </row>
    <row r="90" spans="1:7" ht="15.75" thickBot="1" x14ac:dyDescent="0.3">
      <c r="A90" t="s">
        <v>800</v>
      </c>
      <c r="B90" s="1" t="s">
        <v>801</v>
      </c>
      <c r="C90" s="1" t="s">
        <v>7</v>
      </c>
      <c r="D90" s="1" t="s">
        <v>633</v>
      </c>
      <c r="E90" s="9">
        <v>4296</v>
      </c>
      <c r="F90" s="1" t="str">
        <f>VLOOKUP(D90,Table11[[Name]:[Native]],3,FALSE)</f>
        <v>略阳县</v>
      </c>
      <c r="G90" s="12" t="str">
        <f ca="1">VLOOKUP(F90,Table11[[Native]:[Population4]],5,FALSE)</f>
        <v>汉中市</v>
      </c>
    </row>
    <row r="91" spans="1:7" ht="15.75" thickBot="1" x14ac:dyDescent="0.3">
      <c r="A91" t="s">
        <v>136</v>
      </c>
      <c r="B91" s="1" t="s">
        <v>137</v>
      </c>
      <c r="C91" s="1" t="s">
        <v>7</v>
      </c>
      <c r="D91" s="1" t="s">
        <v>640</v>
      </c>
      <c r="E91" s="9">
        <v>6354</v>
      </c>
      <c r="F91" s="1" t="str">
        <f>VLOOKUP(D91,Table11[[Name]:[Native]],3,FALSE)</f>
        <v>南郑区</v>
      </c>
      <c r="G91" s="12" t="str">
        <f ca="1">VLOOKUP(F91,Table11[[Native]:[Population4]],5,FALSE)</f>
        <v>汉中市</v>
      </c>
    </row>
    <row r="92" spans="1:7" ht="15.75" thickBot="1" x14ac:dyDescent="0.3">
      <c r="A92" t="s">
        <v>802</v>
      </c>
      <c r="B92" s="1" t="s">
        <v>803</v>
      </c>
      <c r="C92" s="1" t="s">
        <v>7</v>
      </c>
      <c r="D92" s="1" t="s">
        <v>640</v>
      </c>
      <c r="E92" s="9">
        <v>27736</v>
      </c>
      <c r="F92" s="1" t="str">
        <f>VLOOKUP(D92,Table11[[Name]:[Native]],3,FALSE)</f>
        <v>南郑区</v>
      </c>
      <c r="G92" s="12" t="str">
        <f ca="1">VLOOKUP(F92,Table11[[Native]:[Population4]],5,FALSE)</f>
        <v>汉中市</v>
      </c>
    </row>
    <row r="93" spans="1:7" ht="15.75" thickBot="1" x14ac:dyDescent="0.3">
      <c r="A93" t="s">
        <v>804</v>
      </c>
      <c r="B93" s="1" t="s">
        <v>805</v>
      </c>
      <c r="C93" s="1" t="s">
        <v>113</v>
      </c>
      <c r="D93" s="1" t="s">
        <v>652</v>
      </c>
      <c r="E93" s="9">
        <v>11814</v>
      </c>
      <c r="F93" s="1" t="str">
        <f>VLOOKUP(D93,Table11[[Name]:[Native]],3,FALSE)</f>
        <v>城固县</v>
      </c>
      <c r="G93" s="12" t="str">
        <f ca="1">VLOOKUP(F93,Table11[[Native]:[Population4]],5,FALSE)</f>
        <v>汉中市</v>
      </c>
    </row>
    <row r="94" spans="1:7" ht="15.75" thickBot="1" x14ac:dyDescent="0.3">
      <c r="A94" t="s">
        <v>806</v>
      </c>
      <c r="B94" s="1" t="s">
        <v>807</v>
      </c>
      <c r="C94" s="1" t="s">
        <v>7</v>
      </c>
      <c r="D94" s="1" t="s">
        <v>640</v>
      </c>
      <c r="E94" s="9">
        <v>14462</v>
      </c>
      <c r="F94" s="1" t="str">
        <f>VLOOKUP(D94,Table11[[Name]:[Native]],3,FALSE)</f>
        <v>南郑区</v>
      </c>
      <c r="G94" s="12" t="str">
        <f ca="1">VLOOKUP(F94,Table11[[Native]:[Population4]],5,FALSE)</f>
        <v>汉中市</v>
      </c>
    </row>
    <row r="95" spans="1:7" ht="15.75" thickBot="1" x14ac:dyDescent="0.3">
      <c r="A95" t="s">
        <v>808</v>
      </c>
      <c r="B95" s="1" t="s">
        <v>809</v>
      </c>
      <c r="C95" s="1" t="s">
        <v>7</v>
      </c>
      <c r="D95" s="1" t="s">
        <v>646</v>
      </c>
      <c r="E95" s="9">
        <v>7744</v>
      </c>
      <c r="F95" s="1" t="str">
        <f>VLOOKUP(D95,Table11[[Name]:[Native]],3,FALSE)</f>
        <v>镇巴县</v>
      </c>
      <c r="G95" s="12" t="str">
        <f ca="1">VLOOKUP(F95,Table11[[Native]:[Population4]],5,FALSE)</f>
        <v>汉中市</v>
      </c>
    </row>
    <row r="96" spans="1:7" ht="15.75" thickBot="1" x14ac:dyDescent="0.3">
      <c r="A96" t="s">
        <v>810</v>
      </c>
      <c r="B96" s="1" t="s">
        <v>811</v>
      </c>
      <c r="C96" s="1" t="s">
        <v>7</v>
      </c>
      <c r="D96" s="1" t="s">
        <v>640</v>
      </c>
      <c r="E96" s="9">
        <v>6502</v>
      </c>
      <c r="F96" s="1" t="str">
        <f>VLOOKUP(D96,Table11[[Name]:[Native]],3,FALSE)</f>
        <v>南郑区</v>
      </c>
      <c r="G96" s="12" t="str">
        <f ca="1">VLOOKUP(F96,Table11[[Native]:[Population4]],5,FALSE)</f>
        <v>汉中市</v>
      </c>
    </row>
    <row r="97" spans="1:7" ht="15.75" thickBot="1" x14ac:dyDescent="0.3">
      <c r="A97" t="s">
        <v>812</v>
      </c>
      <c r="B97" s="1" t="s">
        <v>813</v>
      </c>
      <c r="C97" s="1" t="s">
        <v>7</v>
      </c>
      <c r="D97" s="1" t="s">
        <v>773</v>
      </c>
      <c r="E97" s="9">
        <v>2988</v>
      </c>
      <c r="F97" s="1" t="str">
        <f>VLOOKUP(D97,Table11[[Name]:[Native]],3,FALSE)</f>
        <v>留坝县</v>
      </c>
      <c r="G97" s="12" t="str">
        <f ca="1">VLOOKUP(F97,Table11[[Native]:[Population4]],5,FALSE)</f>
        <v>汉中市</v>
      </c>
    </row>
    <row r="98" spans="1:7" ht="15.75" thickBot="1" x14ac:dyDescent="0.3">
      <c r="A98" t="s">
        <v>814</v>
      </c>
      <c r="B98" s="1" t="s">
        <v>482</v>
      </c>
      <c r="C98" s="1" t="s">
        <v>7</v>
      </c>
      <c r="D98" s="1" t="s">
        <v>652</v>
      </c>
      <c r="E98" s="9">
        <v>35762</v>
      </c>
      <c r="F98" s="1" t="str">
        <f>VLOOKUP(D98,Table11[[Name]:[Native]],3,FALSE)</f>
        <v>城固县</v>
      </c>
      <c r="G98" s="12" t="str">
        <f ca="1">VLOOKUP(F98,Table11[[Native]:[Population4]],5,FALSE)</f>
        <v>汉中市</v>
      </c>
    </row>
    <row r="99" spans="1:7" ht="15.75" thickBot="1" x14ac:dyDescent="0.3">
      <c r="A99" t="s">
        <v>815</v>
      </c>
      <c r="B99" s="1" t="s">
        <v>816</v>
      </c>
      <c r="C99" s="1" t="s">
        <v>7</v>
      </c>
      <c r="D99" s="1" t="s">
        <v>628</v>
      </c>
      <c r="E99" s="9">
        <v>20126</v>
      </c>
      <c r="F99" s="1" t="str">
        <f>VLOOKUP(D99,Table11[[Name]:[Native]],3,FALSE)</f>
        <v>西乡县</v>
      </c>
      <c r="G99" s="12" t="str">
        <f ca="1">VLOOKUP(F99,Table11[[Native]:[Population4]],5,FALSE)</f>
        <v>汉中市</v>
      </c>
    </row>
    <row r="100" spans="1:7" ht="15.75" thickBot="1" x14ac:dyDescent="0.3">
      <c r="A100" t="s">
        <v>817</v>
      </c>
      <c r="B100" s="1" t="s">
        <v>818</v>
      </c>
      <c r="C100" s="1" t="s">
        <v>11</v>
      </c>
      <c r="D100" s="1" t="s">
        <v>670</v>
      </c>
      <c r="E100" s="9">
        <v>1713</v>
      </c>
      <c r="F100" s="1" t="str">
        <f>VLOOKUP(D100,Table11[[Name]:[Native]],3,FALSE)</f>
        <v>佛坪县</v>
      </c>
      <c r="G100" s="12" t="str">
        <f ca="1">VLOOKUP(F100,Table11[[Native]:[Population4]],5,FALSE)</f>
        <v>汉中市</v>
      </c>
    </row>
    <row r="101" spans="1:7" ht="15.75" thickBot="1" x14ac:dyDescent="0.3">
      <c r="A101" t="s">
        <v>819</v>
      </c>
      <c r="B101" s="1" t="s">
        <v>820</v>
      </c>
      <c r="C101" s="1" t="s">
        <v>113</v>
      </c>
      <c r="D101" s="1" t="s">
        <v>659</v>
      </c>
      <c r="E101" s="9">
        <v>31005</v>
      </c>
      <c r="F101" s="1" t="str">
        <f>VLOOKUP(D101,Table11[[Name]:[Native]],3,FALSE)</f>
        <v>汉台区</v>
      </c>
      <c r="G101" s="12" t="str">
        <f ca="1">VLOOKUP(F101,Table11[[Native]:[Population4]],5,FALSE)</f>
        <v>汉中市</v>
      </c>
    </row>
    <row r="102" spans="1:7" ht="15.75" thickBot="1" x14ac:dyDescent="0.3">
      <c r="A102" t="s">
        <v>821</v>
      </c>
      <c r="B102" s="1" t="s">
        <v>822</v>
      </c>
      <c r="C102" s="1" t="s">
        <v>7</v>
      </c>
      <c r="D102" s="1" t="s">
        <v>643</v>
      </c>
      <c r="E102" s="9">
        <v>29391</v>
      </c>
      <c r="F102" s="1" t="str">
        <f>VLOOKUP(D102,Table11[[Name]:[Native]],3,FALSE)</f>
        <v>洋县</v>
      </c>
      <c r="G102" s="12" t="str">
        <f ca="1">VLOOKUP(F102,Table11[[Native]:[Population4]],5,FALSE)</f>
        <v>汉中市</v>
      </c>
    </row>
    <row r="103" spans="1:7" ht="15.75" thickBot="1" x14ac:dyDescent="0.3">
      <c r="A103" t="s">
        <v>823</v>
      </c>
      <c r="B103" s="1" t="s">
        <v>824</v>
      </c>
      <c r="C103" s="1" t="s">
        <v>7</v>
      </c>
      <c r="D103" s="1" t="s">
        <v>652</v>
      </c>
      <c r="E103" s="9">
        <v>26277</v>
      </c>
      <c r="F103" s="1" t="str">
        <f>VLOOKUP(D103,Table11[[Name]:[Native]],3,FALSE)</f>
        <v>城固县</v>
      </c>
      <c r="G103" s="12" t="str">
        <f ca="1">VLOOKUP(F103,Table11[[Native]:[Population4]],5,FALSE)</f>
        <v>汉中市</v>
      </c>
    </row>
    <row r="104" spans="1:7" ht="15.75" thickBot="1" x14ac:dyDescent="0.3">
      <c r="A104" t="s">
        <v>825</v>
      </c>
      <c r="B104" s="1" t="s">
        <v>826</v>
      </c>
      <c r="C104" s="1" t="s">
        <v>7</v>
      </c>
      <c r="D104" s="1" t="s">
        <v>628</v>
      </c>
      <c r="E104" s="9">
        <v>7892</v>
      </c>
      <c r="F104" s="1" t="str">
        <f>VLOOKUP(D104,Table11[[Name]:[Native]],3,FALSE)</f>
        <v>西乡县</v>
      </c>
      <c r="G104" s="12" t="str">
        <f ca="1">VLOOKUP(F104,Table11[[Native]:[Population4]],5,FALSE)</f>
        <v>汉中市</v>
      </c>
    </row>
    <row r="105" spans="1:7" ht="15.75" thickBot="1" x14ac:dyDescent="0.3">
      <c r="A105" t="s">
        <v>827</v>
      </c>
      <c r="B105" s="1" t="s">
        <v>828</v>
      </c>
      <c r="C105" s="1" t="s">
        <v>7</v>
      </c>
      <c r="D105" s="1" t="s">
        <v>643</v>
      </c>
      <c r="E105" s="9">
        <v>15552</v>
      </c>
      <c r="F105" s="1" t="str">
        <f>VLOOKUP(D105,Table11[[Name]:[Native]],3,FALSE)</f>
        <v>洋县</v>
      </c>
      <c r="G105" s="12" t="str">
        <f ca="1">VLOOKUP(F105,Table11[[Native]:[Population4]],5,FALSE)</f>
        <v>汉中市</v>
      </c>
    </row>
    <row r="106" spans="1:7" ht="15.75" thickBot="1" x14ac:dyDescent="0.3">
      <c r="A106" t="s">
        <v>829</v>
      </c>
      <c r="B106" s="1" t="s">
        <v>830</v>
      </c>
      <c r="C106" s="1" t="s">
        <v>7</v>
      </c>
      <c r="D106" s="1" t="s">
        <v>773</v>
      </c>
      <c r="E106" s="9">
        <v>5094</v>
      </c>
      <c r="F106" s="1" t="str">
        <f>VLOOKUP(D106,Table11[[Name]:[Native]],3,FALSE)</f>
        <v>留坝县</v>
      </c>
      <c r="G106" s="12" t="str">
        <f ca="1">VLOOKUP(F106,Table11[[Native]:[Population4]],5,FALSE)</f>
        <v>汉中市</v>
      </c>
    </row>
    <row r="107" spans="1:7" ht="15.75" thickBot="1" x14ac:dyDescent="0.3">
      <c r="A107" t="s">
        <v>831</v>
      </c>
      <c r="B107" s="1" t="s">
        <v>832</v>
      </c>
      <c r="C107" s="1" t="s">
        <v>11</v>
      </c>
      <c r="D107" s="1" t="s">
        <v>628</v>
      </c>
      <c r="E107" s="9">
        <v>4436</v>
      </c>
      <c r="F107" s="1" t="str">
        <f>VLOOKUP(D107,Table11[[Name]:[Native]],3,FALSE)</f>
        <v>西乡县</v>
      </c>
      <c r="G107" s="12" t="str">
        <f ca="1">VLOOKUP(F107,Table11[[Native]:[Population4]],5,FALSE)</f>
        <v>汉中市</v>
      </c>
    </row>
    <row r="108" spans="1:7" ht="15.75" thickBot="1" x14ac:dyDescent="0.3">
      <c r="A108" s="1" t="s">
        <v>833</v>
      </c>
      <c r="B108" s="1" t="s">
        <v>834</v>
      </c>
      <c r="C108" s="1" t="s">
        <v>11</v>
      </c>
      <c r="D108" s="1" t="s">
        <v>646</v>
      </c>
      <c r="E108" s="9">
        <v>5099</v>
      </c>
      <c r="F108" s="1" t="str">
        <f>VLOOKUP(D108,Table11[[Name]:[Native]],3,FALSE)</f>
        <v>镇巴县</v>
      </c>
      <c r="G108" s="12" t="str">
        <f ca="1">VLOOKUP(F108,Table11[[Native]:[Population4]],5,FALSE)</f>
        <v>汉中市</v>
      </c>
    </row>
    <row r="109" spans="1:7" ht="15.75" thickBot="1" x14ac:dyDescent="0.3">
      <c r="A109" t="s">
        <v>835</v>
      </c>
      <c r="B109" s="1" t="s">
        <v>836</v>
      </c>
      <c r="C109" s="1" t="s">
        <v>7</v>
      </c>
      <c r="D109" s="1" t="s">
        <v>625</v>
      </c>
      <c r="E109" s="9">
        <v>11783</v>
      </c>
      <c r="F109" s="1" t="str">
        <f>VLOOKUP(D109,Table11[[Name]:[Native]],3,FALSE)</f>
        <v>宁强县</v>
      </c>
      <c r="G109" s="12" t="str">
        <f ca="1">VLOOKUP(F109,Table11[[Native]:[Population4]],5,FALSE)</f>
        <v>汉中市</v>
      </c>
    </row>
    <row r="110" spans="1:7" ht="15.75" thickBot="1" x14ac:dyDescent="0.3">
      <c r="A110" t="s">
        <v>156</v>
      </c>
      <c r="B110" s="1" t="s">
        <v>157</v>
      </c>
      <c r="C110" s="1" t="s">
        <v>7</v>
      </c>
      <c r="D110" s="1" t="s">
        <v>643</v>
      </c>
      <c r="E110" s="9">
        <v>5907</v>
      </c>
      <c r="F110" s="1" t="str">
        <f>VLOOKUP(D110,Table11[[Name]:[Native]],3,FALSE)</f>
        <v>洋县</v>
      </c>
      <c r="G110" s="12" t="str">
        <f ca="1">VLOOKUP(F110,Table11[[Native]:[Population4]],5,FALSE)</f>
        <v>汉中市</v>
      </c>
    </row>
    <row r="111" spans="1:7" ht="15.75" thickBot="1" x14ac:dyDescent="0.3">
      <c r="A111" t="s">
        <v>837</v>
      </c>
      <c r="B111" s="1" t="s">
        <v>838</v>
      </c>
      <c r="C111" s="1" t="s">
        <v>7</v>
      </c>
      <c r="D111" s="1" t="s">
        <v>633</v>
      </c>
      <c r="E111" s="9">
        <v>4982</v>
      </c>
      <c r="F111" s="1" t="str">
        <f>VLOOKUP(D111,Table11[[Name]:[Native]],3,FALSE)</f>
        <v>略阳县</v>
      </c>
      <c r="G111" s="12" t="str">
        <f ca="1">VLOOKUP(F111,Table11[[Native]:[Population4]],5,FALSE)</f>
        <v>汉中市</v>
      </c>
    </row>
    <row r="112" spans="1:7" ht="15.75" thickBot="1" x14ac:dyDescent="0.3">
      <c r="A112" t="s">
        <v>839</v>
      </c>
      <c r="B112" s="1" t="s">
        <v>840</v>
      </c>
      <c r="C112" s="1" t="s">
        <v>113</v>
      </c>
      <c r="D112" s="1" t="s">
        <v>649</v>
      </c>
      <c r="E112" s="9">
        <v>84606</v>
      </c>
      <c r="F112" s="1" t="str">
        <f>VLOOKUP(D112,Table11[[Name]:[Native]],3,FALSE)</f>
        <v>勉县</v>
      </c>
      <c r="G112" s="12" t="str">
        <f ca="1">VLOOKUP(F112,Table11[[Native]:[Population4]],5,FALSE)</f>
        <v>汉中市</v>
      </c>
    </row>
    <row r="113" spans="1:7" ht="15.75" thickBot="1" x14ac:dyDescent="0.3">
      <c r="A113" t="s">
        <v>841</v>
      </c>
      <c r="B113" s="1" t="s">
        <v>842</v>
      </c>
      <c r="C113" s="1" t="s">
        <v>7</v>
      </c>
      <c r="D113" s="1" t="s">
        <v>640</v>
      </c>
      <c r="E113" s="9">
        <v>22894</v>
      </c>
      <c r="F113" s="1" t="str">
        <f>VLOOKUP(D113,Table11[[Name]:[Native]],3,FALSE)</f>
        <v>南郑区</v>
      </c>
      <c r="G113" s="12" t="str">
        <f ca="1">VLOOKUP(F113,Table11[[Native]:[Population4]],5,FALSE)</f>
        <v>汉中市</v>
      </c>
    </row>
    <row r="114" spans="1:7" ht="15.75" thickBot="1" x14ac:dyDescent="0.3">
      <c r="A114" t="s">
        <v>843</v>
      </c>
      <c r="B114" s="1" t="s">
        <v>844</v>
      </c>
      <c r="C114" s="1" t="s">
        <v>7</v>
      </c>
      <c r="D114" s="1" t="s">
        <v>643</v>
      </c>
      <c r="E114" s="9">
        <v>26667</v>
      </c>
      <c r="F114" s="1" t="str">
        <f>VLOOKUP(D114,Table11[[Name]:[Native]],3,FALSE)</f>
        <v>洋县</v>
      </c>
      <c r="G114" s="12" t="str">
        <f ca="1">VLOOKUP(F114,Table11[[Native]:[Population4]],5,FALSE)</f>
        <v>汉中市</v>
      </c>
    </row>
    <row r="115" spans="1:7" ht="15.75" thickBot="1" x14ac:dyDescent="0.3">
      <c r="A115" t="s">
        <v>845</v>
      </c>
      <c r="B115" s="1" t="s">
        <v>846</v>
      </c>
      <c r="C115" s="1" t="s">
        <v>11</v>
      </c>
      <c r="D115" s="1" t="s">
        <v>625</v>
      </c>
      <c r="E115" s="9">
        <v>5349</v>
      </c>
      <c r="F115" s="1" t="str">
        <f>VLOOKUP(D115,Table11[[Name]:[Native]],3,FALSE)</f>
        <v>宁强县</v>
      </c>
      <c r="G115" s="12" t="str">
        <f ca="1">VLOOKUP(F115,Table11[[Native]:[Population4]],5,FALSE)</f>
        <v>汉中市</v>
      </c>
    </row>
    <row r="116" spans="1:7" ht="15.75" thickBot="1" x14ac:dyDescent="0.3">
      <c r="A116" t="s">
        <v>847</v>
      </c>
      <c r="B116" s="1" t="s">
        <v>848</v>
      </c>
      <c r="C116" s="1" t="s">
        <v>7</v>
      </c>
      <c r="D116" s="1" t="s">
        <v>646</v>
      </c>
      <c r="E116" s="9">
        <v>10207</v>
      </c>
      <c r="F116" s="1" t="str">
        <f>VLOOKUP(D116,Table11[[Name]:[Native]],3,FALSE)</f>
        <v>镇巴县</v>
      </c>
      <c r="G116" s="12" t="str">
        <f ca="1">VLOOKUP(F116,Table11[[Native]:[Population4]],5,FALSE)</f>
        <v>汉中市</v>
      </c>
    </row>
    <row r="117" spans="1:7" ht="15.75" thickBot="1" x14ac:dyDescent="0.3">
      <c r="A117" t="s">
        <v>849</v>
      </c>
      <c r="B117" s="1" t="s">
        <v>850</v>
      </c>
      <c r="C117" s="1" t="s">
        <v>11</v>
      </c>
      <c r="D117" s="1" t="s">
        <v>652</v>
      </c>
      <c r="E117" s="9">
        <v>2513</v>
      </c>
      <c r="F117" s="1" t="str">
        <f>VLOOKUP(D117,Table11[[Name]:[Native]],3,FALSE)</f>
        <v>城固县</v>
      </c>
      <c r="G117" s="12" t="str">
        <f ca="1">VLOOKUP(F117,Table11[[Native]:[Population4]],5,FALSE)</f>
        <v>汉中市</v>
      </c>
    </row>
    <row r="118" spans="1:7" ht="15.75" thickBot="1" x14ac:dyDescent="0.3">
      <c r="A118" t="s">
        <v>851</v>
      </c>
      <c r="B118" s="1" t="s">
        <v>852</v>
      </c>
      <c r="C118" s="1" t="s">
        <v>7</v>
      </c>
      <c r="D118" s="1" t="s">
        <v>646</v>
      </c>
      <c r="E118" s="9">
        <v>8796</v>
      </c>
      <c r="F118" s="1" t="str">
        <f>VLOOKUP(D118,Table11[[Name]:[Native]],3,FALSE)</f>
        <v>镇巴县</v>
      </c>
      <c r="G118" s="12" t="str">
        <f ca="1">VLOOKUP(F118,Table11[[Native]:[Population4]],5,FALSE)</f>
        <v>汉中市</v>
      </c>
    </row>
    <row r="119" spans="1:7" ht="15.75" thickBot="1" x14ac:dyDescent="0.3">
      <c r="A119" t="s">
        <v>853</v>
      </c>
      <c r="B119" s="1" t="s">
        <v>854</v>
      </c>
      <c r="C119" s="1" t="s">
        <v>7</v>
      </c>
      <c r="D119" s="1" t="s">
        <v>659</v>
      </c>
      <c r="E119" s="9">
        <v>46300</v>
      </c>
      <c r="F119" s="1" t="str">
        <f>VLOOKUP(D119,Table11[[Name]:[Native]],3,FALSE)</f>
        <v>汉台区</v>
      </c>
      <c r="G119" s="12" t="str">
        <f ca="1">VLOOKUP(F119,Table11[[Native]:[Population4]],5,FALSE)</f>
        <v>汉中市</v>
      </c>
    </row>
    <row r="120" spans="1:7" ht="15.75" thickBot="1" x14ac:dyDescent="0.3">
      <c r="A120" t="s">
        <v>855</v>
      </c>
      <c r="B120" s="1" t="s">
        <v>856</v>
      </c>
      <c r="C120" s="1" t="s">
        <v>113</v>
      </c>
      <c r="D120" s="1" t="s">
        <v>659</v>
      </c>
      <c r="E120" s="9">
        <v>38649</v>
      </c>
      <c r="F120" s="1" t="str">
        <f>VLOOKUP(D120,Table11[[Name]:[Native]],3,FALSE)</f>
        <v>汉台区</v>
      </c>
      <c r="G120" s="12" t="str">
        <f ca="1">VLOOKUP(F120,Table11[[Native]:[Population4]],5,FALSE)</f>
        <v>汉中市</v>
      </c>
    </row>
    <row r="121" spans="1:7" ht="15.75" thickBot="1" x14ac:dyDescent="0.3">
      <c r="A121" t="s">
        <v>857</v>
      </c>
      <c r="B121" s="1" t="s">
        <v>858</v>
      </c>
      <c r="C121" s="1" t="s">
        <v>7</v>
      </c>
      <c r="D121" s="1" t="s">
        <v>625</v>
      </c>
      <c r="E121" s="9">
        <v>6648</v>
      </c>
      <c r="F121" s="1" t="str">
        <f>VLOOKUP(D121,Table11[[Name]:[Native]],3,FALSE)</f>
        <v>宁强县</v>
      </c>
      <c r="G121" s="12" t="str">
        <f ca="1">VLOOKUP(F121,Table11[[Native]:[Population4]],5,FALSE)</f>
        <v>汉中市</v>
      </c>
    </row>
    <row r="122" spans="1:7" ht="15.75" thickBot="1" x14ac:dyDescent="0.3">
      <c r="A122" t="s">
        <v>859</v>
      </c>
      <c r="B122" s="1" t="s">
        <v>860</v>
      </c>
      <c r="C122" s="1" t="s">
        <v>7</v>
      </c>
      <c r="D122" s="1" t="s">
        <v>773</v>
      </c>
      <c r="E122" s="9">
        <v>1947</v>
      </c>
      <c r="F122" s="1" t="str">
        <f>VLOOKUP(D122,Table11[[Name]:[Native]],3,FALSE)</f>
        <v>留坝县</v>
      </c>
      <c r="G122" s="12" t="str">
        <f ca="1">VLOOKUP(F122,Table11[[Native]:[Population4]],5,FALSE)</f>
        <v>汉中市</v>
      </c>
    </row>
    <row r="123" spans="1:7" ht="15.75" thickBot="1" x14ac:dyDescent="0.3">
      <c r="A123" t="s">
        <v>861</v>
      </c>
      <c r="B123" s="1" t="s">
        <v>862</v>
      </c>
      <c r="C123" s="1" t="s">
        <v>7</v>
      </c>
      <c r="D123" s="1" t="s">
        <v>646</v>
      </c>
      <c r="E123" s="9">
        <v>7183</v>
      </c>
      <c r="F123" s="1" t="str">
        <f>VLOOKUP(D123,Table11[[Name]:[Native]],3,FALSE)</f>
        <v>镇巴县</v>
      </c>
      <c r="G123" s="12" t="str">
        <f ca="1">VLOOKUP(F123,Table11[[Native]:[Population4]],5,FALSE)</f>
        <v>汉中市</v>
      </c>
    </row>
    <row r="124" spans="1:7" ht="15.75" thickBot="1" x14ac:dyDescent="0.3">
      <c r="A124" t="s">
        <v>863</v>
      </c>
      <c r="B124" s="1" t="s">
        <v>864</v>
      </c>
      <c r="C124" s="1" t="s">
        <v>7</v>
      </c>
      <c r="D124" s="1" t="s">
        <v>640</v>
      </c>
      <c r="E124" s="9">
        <v>23386</v>
      </c>
      <c r="F124" s="1" t="str">
        <f>VLOOKUP(D124,Table11[[Name]:[Native]],3,FALSE)</f>
        <v>南郑区</v>
      </c>
      <c r="G124" s="12" t="str">
        <f ca="1">VLOOKUP(F124,Table11[[Native]:[Population4]],5,FALSE)</f>
        <v>汉中市</v>
      </c>
    </row>
    <row r="125" spans="1:7" ht="15.75" thickBot="1" x14ac:dyDescent="0.3">
      <c r="A125" t="s">
        <v>865</v>
      </c>
      <c r="B125" s="1" t="s">
        <v>866</v>
      </c>
      <c r="C125" s="1" t="s">
        <v>113</v>
      </c>
      <c r="D125" s="1" t="s">
        <v>643</v>
      </c>
      <c r="E125" s="9">
        <v>23827</v>
      </c>
      <c r="F125" s="1" t="str">
        <f>VLOOKUP(D125,Table11[[Name]:[Native]],3,FALSE)</f>
        <v>洋县</v>
      </c>
      <c r="G125" s="12" t="str">
        <f ca="1">VLOOKUP(F125,Table11[[Native]:[Population4]],5,FALSE)</f>
        <v>汉中市</v>
      </c>
    </row>
    <row r="126" spans="1:7" ht="15.75" thickBot="1" x14ac:dyDescent="0.3">
      <c r="A126" t="s">
        <v>867</v>
      </c>
      <c r="B126" s="1" t="s">
        <v>868</v>
      </c>
      <c r="C126" s="1" t="s">
        <v>7</v>
      </c>
      <c r="D126" s="1" t="s">
        <v>649</v>
      </c>
      <c r="E126" s="9">
        <v>4913</v>
      </c>
      <c r="F126" s="1" t="str">
        <f>VLOOKUP(D126,Table11[[Name]:[Native]],3,FALSE)</f>
        <v>勉县</v>
      </c>
      <c r="G126" s="12" t="str">
        <f ca="1">VLOOKUP(F126,Table11[[Native]:[Population4]],5,FALSE)</f>
        <v>汉中市</v>
      </c>
    </row>
    <row r="127" spans="1:7" ht="15.75" thickBot="1" x14ac:dyDescent="0.3">
      <c r="A127" t="s">
        <v>869</v>
      </c>
      <c r="B127" s="1" t="s">
        <v>870</v>
      </c>
      <c r="C127" s="1" t="s">
        <v>7</v>
      </c>
      <c r="D127" s="1" t="s">
        <v>646</v>
      </c>
      <c r="E127" s="9">
        <v>5898</v>
      </c>
      <c r="F127" s="1" t="str">
        <f>VLOOKUP(D127,Table11[[Name]:[Native]],3,FALSE)</f>
        <v>镇巴县</v>
      </c>
      <c r="G127" s="12" t="str">
        <f ca="1">VLOOKUP(F127,Table11[[Native]:[Population4]],5,FALSE)</f>
        <v>汉中市</v>
      </c>
    </row>
    <row r="128" spans="1:7" ht="15.75" thickBot="1" x14ac:dyDescent="0.3">
      <c r="A128" t="s">
        <v>871</v>
      </c>
      <c r="B128" s="1" t="s">
        <v>872</v>
      </c>
      <c r="C128" s="1" t="s">
        <v>7</v>
      </c>
      <c r="D128" s="1" t="s">
        <v>643</v>
      </c>
      <c r="E128" s="9">
        <v>7713</v>
      </c>
      <c r="F128" s="1" t="str">
        <f>VLOOKUP(D128,Table11[[Name]:[Native]],3,FALSE)</f>
        <v>洋县</v>
      </c>
      <c r="G128" s="12" t="str">
        <f ca="1">VLOOKUP(F128,Table11[[Native]:[Population4]],5,FALSE)</f>
        <v>汉中市</v>
      </c>
    </row>
    <row r="129" spans="1:7" ht="15.75" thickBot="1" x14ac:dyDescent="0.3">
      <c r="A129" s="1" t="s">
        <v>873</v>
      </c>
      <c r="B129" s="1" t="s">
        <v>874</v>
      </c>
      <c r="C129" s="1" t="s">
        <v>11</v>
      </c>
      <c r="D129" s="1" t="s">
        <v>773</v>
      </c>
      <c r="E129" s="9">
        <v>2097</v>
      </c>
      <c r="F129" s="1" t="str">
        <f>VLOOKUP(D129,Table11[[Name]:[Native]],3,FALSE)</f>
        <v>留坝县</v>
      </c>
      <c r="G129" s="12" t="str">
        <f ca="1">VLOOKUP(F129,Table11[[Native]:[Population4]],5,FALSE)</f>
        <v>汉中市</v>
      </c>
    </row>
    <row r="130" spans="1:7" ht="15.75" thickBot="1" x14ac:dyDescent="0.3">
      <c r="A130" t="s">
        <v>875</v>
      </c>
      <c r="B130" s="1" t="s">
        <v>876</v>
      </c>
      <c r="C130" s="1" t="s">
        <v>7</v>
      </c>
      <c r="D130" s="1" t="s">
        <v>628</v>
      </c>
      <c r="E130" s="9">
        <v>9605</v>
      </c>
      <c r="F130" s="1" t="str">
        <f>VLOOKUP(D130,Table11[[Name]:[Native]],3,FALSE)</f>
        <v>西乡县</v>
      </c>
      <c r="G130" s="12" t="str">
        <f ca="1">VLOOKUP(F130,Table11[[Native]:[Population4]],5,FALSE)</f>
        <v>汉中市</v>
      </c>
    </row>
    <row r="131" spans="1:7" ht="15.75" thickBot="1" x14ac:dyDescent="0.3">
      <c r="A131" t="s">
        <v>877</v>
      </c>
      <c r="B131" s="1" t="s">
        <v>878</v>
      </c>
      <c r="C131" s="1" t="s">
        <v>7</v>
      </c>
      <c r="D131" s="1" t="s">
        <v>652</v>
      </c>
      <c r="E131" s="9">
        <v>17142</v>
      </c>
      <c r="F131" s="1" t="str">
        <f>VLOOKUP(D131,Table11[[Name]:[Native]],3,FALSE)</f>
        <v>城固县</v>
      </c>
      <c r="G131" s="12" t="str">
        <f ca="1">VLOOKUP(F131,Table11[[Native]:[Population4]],5,FALSE)</f>
        <v>汉中市</v>
      </c>
    </row>
    <row r="132" spans="1:7" ht="15.75" thickBot="1" x14ac:dyDescent="0.3">
      <c r="A132" t="s">
        <v>879</v>
      </c>
      <c r="B132" s="1" t="s">
        <v>880</v>
      </c>
      <c r="C132" s="1" t="s">
        <v>11</v>
      </c>
      <c r="D132" s="1" t="s">
        <v>628</v>
      </c>
      <c r="E132" s="9">
        <v>5896</v>
      </c>
      <c r="F132" s="1" t="str">
        <f>VLOOKUP(D132,Table11[[Name]:[Native]],3,FALSE)</f>
        <v>西乡县</v>
      </c>
      <c r="G132" s="12" t="str">
        <f ca="1">VLOOKUP(F132,Table11[[Native]:[Population4]],5,FALSE)</f>
        <v>汉中市</v>
      </c>
    </row>
    <row r="133" spans="1:7" ht="15.75" thickBot="1" x14ac:dyDescent="0.3">
      <c r="A133" t="s">
        <v>881</v>
      </c>
      <c r="B133" s="1" t="s">
        <v>882</v>
      </c>
      <c r="C133" s="1" t="s">
        <v>7</v>
      </c>
      <c r="D133" s="1" t="s">
        <v>646</v>
      </c>
      <c r="E133" s="9">
        <v>14256</v>
      </c>
      <c r="F133" s="1" t="str">
        <f>VLOOKUP(D133,Table11[[Name]:[Native]],3,FALSE)</f>
        <v>镇巴县</v>
      </c>
      <c r="G133" s="12" t="str">
        <f ca="1">VLOOKUP(F133,Table11[[Native]:[Population4]],5,FALSE)</f>
        <v>汉中市</v>
      </c>
    </row>
    <row r="134" spans="1:7" ht="15.75" thickBot="1" x14ac:dyDescent="0.3">
      <c r="A134" t="s">
        <v>883</v>
      </c>
      <c r="B134" s="1" t="s">
        <v>884</v>
      </c>
      <c r="C134" s="1" t="s">
        <v>7</v>
      </c>
      <c r="D134" s="1" t="s">
        <v>652</v>
      </c>
      <c r="E134" s="9">
        <v>16224</v>
      </c>
      <c r="F134" s="1" t="str">
        <f>VLOOKUP(D134,Table11[[Name]:[Native]],3,FALSE)</f>
        <v>城固县</v>
      </c>
      <c r="G134" s="12" t="str">
        <f ca="1">VLOOKUP(F134,Table11[[Native]:[Population4]],5,FALSE)</f>
        <v>汉中市</v>
      </c>
    </row>
    <row r="135" spans="1:7" ht="15.75" thickBot="1" x14ac:dyDescent="0.3">
      <c r="A135" t="s">
        <v>885</v>
      </c>
      <c r="B135" s="1" t="s">
        <v>886</v>
      </c>
      <c r="C135" s="1" t="s">
        <v>7</v>
      </c>
      <c r="D135" s="1" t="s">
        <v>628</v>
      </c>
      <c r="E135" s="9">
        <v>25100</v>
      </c>
      <c r="F135" s="1" t="str">
        <f>VLOOKUP(D135,Table11[[Name]:[Native]],3,FALSE)</f>
        <v>西乡县</v>
      </c>
      <c r="G135" s="12" t="str">
        <f ca="1">VLOOKUP(F135,Table11[[Native]:[Population4]],5,FALSE)</f>
        <v>汉中市</v>
      </c>
    </row>
    <row r="136" spans="1:7" ht="15.75" thickBot="1" x14ac:dyDescent="0.3">
      <c r="A136" t="s">
        <v>887</v>
      </c>
      <c r="B136" s="1" t="s">
        <v>888</v>
      </c>
      <c r="C136" s="1" t="s">
        <v>7</v>
      </c>
      <c r="D136" s="1" t="s">
        <v>652</v>
      </c>
      <c r="E136" s="9">
        <v>29395</v>
      </c>
      <c r="F136" s="1" t="str">
        <f>VLOOKUP(D136,Table11[[Name]:[Native]],3,FALSE)</f>
        <v>城固县</v>
      </c>
      <c r="G136" s="12" t="str">
        <f ca="1">VLOOKUP(F136,Table11[[Native]:[Population4]],5,FALSE)</f>
        <v>汉中市</v>
      </c>
    </row>
    <row r="137" spans="1:7" ht="15.75" thickBot="1" x14ac:dyDescent="0.3">
      <c r="A137" t="s">
        <v>889</v>
      </c>
      <c r="B137" s="1" t="s">
        <v>890</v>
      </c>
      <c r="C137" s="1" t="s">
        <v>7</v>
      </c>
      <c r="D137" s="1" t="s">
        <v>640</v>
      </c>
      <c r="E137" s="9">
        <v>21947</v>
      </c>
      <c r="F137" s="1" t="str">
        <f>VLOOKUP(D137,Table11[[Name]:[Native]],3,FALSE)</f>
        <v>南郑区</v>
      </c>
      <c r="G137" s="12" t="str">
        <f ca="1">VLOOKUP(F137,Table11[[Native]:[Population4]],5,FALSE)</f>
        <v>汉中市</v>
      </c>
    </row>
    <row r="138" spans="1:7" ht="15.75" thickBot="1" x14ac:dyDescent="0.3">
      <c r="A138" t="s">
        <v>891</v>
      </c>
      <c r="B138" s="1" t="s">
        <v>892</v>
      </c>
      <c r="C138" s="1" t="s">
        <v>7</v>
      </c>
      <c r="D138" s="1" t="s">
        <v>670</v>
      </c>
      <c r="E138" s="9">
        <v>1658</v>
      </c>
      <c r="F138" s="1" t="str">
        <f>VLOOKUP(D138,Table11[[Name]:[Native]],3,FALSE)</f>
        <v>佛坪县</v>
      </c>
      <c r="G138" s="12" t="str">
        <f ca="1">VLOOKUP(F138,Table11[[Native]:[Population4]],5,FALSE)</f>
        <v>汉中市</v>
      </c>
    </row>
    <row r="139" spans="1:7" ht="15.75" thickBot="1" x14ac:dyDescent="0.3">
      <c r="A139" t="s">
        <v>893</v>
      </c>
      <c r="B139" s="1" t="s">
        <v>894</v>
      </c>
      <c r="C139" s="1" t="s">
        <v>11</v>
      </c>
      <c r="D139" s="1" t="s">
        <v>643</v>
      </c>
      <c r="E139" s="9">
        <v>4628</v>
      </c>
      <c r="F139" s="1" t="str">
        <f>VLOOKUP(D139,Table11[[Name]:[Native]],3,FALSE)</f>
        <v>洋县</v>
      </c>
      <c r="G139" s="12" t="str">
        <f ca="1">VLOOKUP(F139,Table11[[Native]:[Population4]],5,FALSE)</f>
        <v>汉中市</v>
      </c>
    </row>
    <row r="140" spans="1:7" ht="15.75" thickBot="1" x14ac:dyDescent="0.3">
      <c r="A140" t="s">
        <v>895</v>
      </c>
      <c r="B140" s="1" t="s">
        <v>896</v>
      </c>
      <c r="C140" s="1" t="s">
        <v>11</v>
      </c>
      <c r="D140" s="1" t="s">
        <v>633</v>
      </c>
      <c r="E140" s="9">
        <v>2692</v>
      </c>
      <c r="F140" s="1" t="str">
        <f>VLOOKUP(D140,Table11[[Name]:[Native]],3,FALSE)</f>
        <v>略阳县</v>
      </c>
      <c r="G140" s="12" t="str">
        <f ca="1">VLOOKUP(F140,Table11[[Native]:[Population4]],5,FALSE)</f>
        <v>汉中市</v>
      </c>
    </row>
    <row r="141" spans="1:7" ht="15.75" thickBot="1" x14ac:dyDescent="0.3">
      <c r="A141" t="s">
        <v>897</v>
      </c>
      <c r="B141" s="1" t="s">
        <v>898</v>
      </c>
      <c r="C141" s="1" t="s">
        <v>7</v>
      </c>
      <c r="D141" s="1" t="s">
        <v>652</v>
      </c>
      <c r="E141" s="9">
        <v>2890</v>
      </c>
      <c r="F141" s="1" t="str">
        <f>VLOOKUP(D141,Table11[[Name]:[Native]],3,FALSE)</f>
        <v>城固县</v>
      </c>
      <c r="G141" s="12" t="str">
        <f ca="1">VLOOKUP(F141,Table11[[Native]:[Population4]],5,FALSE)</f>
        <v>汉中市</v>
      </c>
    </row>
    <row r="142" spans="1:7" ht="15.75" thickBot="1" x14ac:dyDescent="0.3">
      <c r="A142" t="s">
        <v>899</v>
      </c>
      <c r="B142" s="1" t="s">
        <v>900</v>
      </c>
      <c r="C142" s="1" t="s">
        <v>7</v>
      </c>
      <c r="D142" s="1" t="s">
        <v>652</v>
      </c>
      <c r="E142" s="9">
        <v>3875</v>
      </c>
      <c r="F142" s="1" t="str">
        <f>VLOOKUP(D142,Table11[[Name]:[Native]],3,FALSE)</f>
        <v>城固县</v>
      </c>
      <c r="G142" s="12" t="str">
        <f ca="1">VLOOKUP(F142,Table11[[Native]:[Population4]],5,FALSE)</f>
        <v>汉中市</v>
      </c>
    </row>
    <row r="143" spans="1:7" ht="15.75" thickBot="1" x14ac:dyDescent="0.3">
      <c r="A143" t="s">
        <v>901</v>
      </c>
      <c r="B143" s="1" t="s">
        <v>902</v>
      </c>
      <c r="C143" s="1" t="s">
        <v>7</v>
      </c>
      <c r="D143" s="1" t="s">
        <v>625</v>
      </c>
      <c r="E143" s="9">
        <v>7576</v>
      </c>
      <c r="F143" s="1" t="str">
        <f>VLOOKUP(D143,Table11[[Name]:[Native]],3,FALSE)</f>
        <v>宁强县</v>
      </c>
      <c r="G143" s="12" t="str">
        <f ca="1">VLOOKUP(F143,Table11[[Native]:[Population4]],5,FALSE)</f>
        <v>汉中市</v>
      </c>
    </row>
    <row r="144" spans="1:7" ht="15.75" thickBot="1" x14ac:dyDescent="0.3">
      <c r="A144" t="s">
        <v>903</v>
      </c>
      <c r="B144" s="1" t="s">
        <v>904</v>
      </c>
      <c r="C144" s="1" t="s">
        <v>7</v>
      </c>
      <c r="D144" s="1" t="s">
        <v>628</v>
      </c>
      <c r="E144" s="9">
        <v>8111</v>
      </c>
      <c r="F144" s="1" t="str">
        <f>VLOOKUP(D144,Table11[[Name]:[Native]],3,FALSE)</f>
        <v>西乡县</v>
      </c>
      <c r="G144" s="12" t="str">
        <f ca="1">VLOOKUP(F144,Table11[[Native]:[Population4]],5,FALSE)</f>
        <v>汉中市</v>
      </c>
    </row>
    <row r="145" spans="1:7" ht="15.75" thickBot="1" x14ac:dyDescent="0.3">
      <c r="A145" t="s">
        <v>905</v>
      </c>
      <c r="B145" s="1" t="s">
        <v>906</v>
      </c>
      <c r="C145" s="1" t="s">
        <v>11</v>
      </c>
      <c r="D145" s="1" t="s">
        <v>628</v>
      </c>
      <c r="E145" s="9">
        <v>4289</v>
      </c>
      <c r="F145" s="1" t="str">
        <f>VLOOKUP(D145,Table11[[Name]:[Native]],3,FALSE)</f>
        <v>西乡县</v>
      </c>
      <c r="G145" s="12" t="str">
        <f ca="1">VLOOKUP(F145,Table11[[Native]:[Population4]],5,FALSE)</f>
        <v>汉中市</v>
      </c>
    </row>
    <row r="146" spans="1:7" ht="15.75" thickBot="1" x14ac:dyDescent="0.3">
      <c r="A146" t="s">
        <v>907</v>
      </c>
      <c r="B146" s="1" t="s">
        <v>908</v>
      </c>
      <c r="C146" s="1" t="s">
        <v>7</v>
      </c>
      <c r="D146" s="1" t="s">
        <v>652</v>
      </c>
      <c r="E146" s="9">
        <v>7574</v>
      </c>
      <c r="F146" s="1" t="str">
        <f>VLOOKUP(D146,Table11[[Name]:[Native]],3,FALSE)</f>
        <v>城固县</v>
      </c>
      <c r="G146" s="12" t="str">
        <f ca="1">VLOOKUP(F146,Table11[[Native]:[Population4]],5,FALSE)</f>
        <v>汉中市</v>
      </c>
    </row>
    <row r="147" spans="1:7" ht="15.75" thickBot="1" x14ac:dyDescent="0.3">
      <c r="A147" t="s">
        <v>909</v>
      </c>
      <c r="B147" s="1" t="s">
        <v>910</v>
      </c>
      <c r="C147" s="1" t="s">
        <v>7</v>
      </c>
      <c r="D147" s="1" t="s">
        <v>625</v>
      </c>
      <c r="E147" s="9">
        <v>9920</v>
      </c>
      <c r="F147" s="1" t="str">
        <f>VLOOKUP(D147,Table11[[Name]:[Native]],3,FALSE)</f>
        <v>宁强县</v>
      </c>
      <c r="G147" s="12" t="str">
        <f ca="1">VLOOKUP(F147,Table11[[Native]:[Population4]],5,FALSE)</f>
        <v>汉中市</v>
      </c>
    </row>
    <row r="148" spans="1:7" ht="15.75" thickBot="1" x14ac:dyDescent="0.3">
      <c r="A148" s="1" t="s">
        <v>911</v>
      </c>
      <c r="B148" s="1" t="s">
        <v>242</v>
      </c>
      <c r="C148" s="1" t="s">
        <v>11</v>
      </c>
      <c r="D148" s="1" t="s">
        <v>646</v>
      </c>
      <c r="E148" s="9">
        <v>7227</v>
      </c>
      <c r="F148" s="1" t="str">
        <f>VLOOKUP(D148,Table11[[Name]:[Native]],3,FALSE)</f>
        <v>镇巴县</v>
      </c>
      <c r="G148" s="12" t="str">
        <f ca="1">VLOOKUP(F148,Table11[[Native]:[Population4]],5,FALSE)</f>
        <v>汉中市</v>
      </c>
    </row>
    <row r="149" spans="1:7" ht="15.75" thickBot="1" x14ac:dyDescent="0.3">
      <c r="A149" t="s">
        <v>912</v>
      </c>
      <c r="B149" s="1" t="s">
        <v>913</v>
      </c>
      <c r="C149" s="1" t="s">
        <v>7</v>
      </c>
      <c r="D149" s="1" t="s">
        <v>652</v>
      </c>
      <c r="E149" s="9">
        <v>18434</v>
      </c>
      <c r="F149" s="1" t="str">
        <f>VLOOKUP(D149,Table11[[Name]:[Native]],3,FALSE)</f>
        <v>城固县</v>
      </c>
      <c r="G149" s="12" t="str">
        <f ca="1">VLOOKUP(F149,Table11[[Native]:[Population4]],5,FALSE)</f>
        <v>汉中市</v>
      </c>
    </row>
    <row r="150" spans="1:7" ht="15.75" thickBot="1" x14ac:dyDescent="0.3">
      <c r="A150" t="s">
        <v>914</v>
      </c>
      <c r="B150" s="1" t="s">
        <v>915</v>
      </c>
      <c r="C150" s="1" t="s">
        <v>7</v>
      </c>
      <c r="D150" s="1" t="s">
        <v>625</v>
      </c>
      <c r="E150" s="9">
        <v>14818</v>
      </c>
      <c r="F150" s="1" t="str">
        <f>VLOOKUP(D150,Table11[[Name]:[Native]],3,FALSE)</f>
        <v>宁强县</v>
      </c>
      <c r="G150" s="12" t="str">
        <f ca="1">VLOOKUP(F150,Table11[[Native]:[Population4]],5,FALSE)</f>
        <v>汉中市</v>
      </c>
    </row>
    <row r="151" spans="1:7" ht="15.75" thickBot="1" x14ac:dyDescent="0.3">
      <c r="A151" t="s">
        <v>916</v>
      </c>
      <c r="B151" s="1" t="s">
        <v>917</v>
      </c>
      <c r="C151" s="1" t="s">
        <v>7</v>
      </c>
      <c r="D151" s="1" t="s">
        <v>649</v>
      </c>
      <c r="E151" s="9">
        <v>16649</v>
      </c>
      <c r="F151" s="1" t="str">
        <f>VLOOKUP(D151,Table11[[Name]:[Native]],3,FALSE)</f>
        <v>勉县</v>
      </c>
      <c r="G151" s="12" t="str">
        <f ca="1">VLOOKUP(F151,Table11[[Native]:[Population4]],5,FALSE)</f>
        <v>汉中市</v>
      </c>
    </row>
    <row r="152" spans="1:7" ht="15.75" thickBot="1" x14ac:dyDescent="0.3">
      <c r="A152" t="s">
        <v>918</v>
      </c>
      <c r="B152" s="1" t="s">
        <v>919</v>
      </c>
      <c r="C152" s="1" t="s">
        <v>11</v>
      </c>
      <c r="D152" s="1" t="s">
        <v>649</v>
      </c>
      <c r="E152" s="9">
        <v>7101</v>
      </c>
      <c r="F152" s="1" t="str">
        <f>VLOOKUP(D152,Table11[[Name]:[Native]],3,FALSE)</f>
        <v>勉县</v>
      </c>
      <c r="G152" s="12" t="str">
        <f ca="1">VLOOKUP(F152,Table11[[Native]:[Population4]],5,FALSE)</f>
        <v>汉中市</v>
      </c>
    </row>
    <row r="153" spans="1:7" ht="15.75" thickBot="1" x14ac:dyDescent="0.3">
      <c r="A153" t="s">
        <v>920</v>
      </c>
      <c r="B153" s="1" t="s">
        <v>921</v>
      </c>
      <c r="C153" s="1" t="s">
        <v>11</v>
      </c>
      <c r="D153" s="1" t="s">
        <v>640</v>
      </c>
      <c r="E153" s="9">
        <v>2175</v>
      </c>
      <c r="F153" s="1" t="str">
        <f>VLOOKUP(D153,Table11[[Name]:[Native]],3,FALSE)</f>
        <v>南郑区</v>
      </c>
      <c r="G153" s="12" t="str">
        <f ca="1">VLOOKUP(F153,Table11[[Native]:[Population4]],5,FALSE)</f>
        <v>汉中市</v>
      </c>
    </row>
    <row r="154" spans="1:7" ht="15.75" thickBot="1" x14ac:dyDescent="0.3">
      <c r="A154" t="s">
        <v>922</v>
      </c>
      <c r="B154" s="1" t="s">
        <v>923</v>
      </c>
      <c r="C154" s="1" t="s">
        <v>7</v>
      </c>
      <c r="D154" s="1" t="s">
        <v>652</v>
      </c>
      <c r="E154" s="9">
        <v>14660</v>
      </c>
      <c r="F154" s="1" t="str">
        <f>VLOOKUP(D154,Table11[[Name]:[Native]],3,FALSE)</f>
        <v>城固县</v>
      </c>
      <c r="G154" s="12" t="str">
        <f ca="1">VLOOKUP(F154,Table11[[Native]:[Population4]],5,FALSE)</f>
        <v>汉中市</v>
      </c>
    </row>
    <row r="155" spans="1:7" ht="15.75" thickBot="1" x14ac:dyDescent="0.3">
      <c r="A155" t="s">
        <v>924</v>
      </c>
      <c r="B155" s="1" t="s">
        <v>925</v>
      </c>
      <c r="C155" s="1" t="s">
        <v>7</v>
      </c>
      <c r="D155" s="1" t="s">
        <v>649</v>
      </c>
      <c r="E155" s="9">
        <v>16128</v>
      </c>
      <c r="F155" s="1" t="str">
        <f>VLOOKUP(D155,Table11[[Name]:[Native]],3,FALSE)</f>
        <v>勉县</v>
      </c>
      <c r="G155" s="12" t="str">
        <f ca="1">VLOOKUP(F155,Table11[[Native]:[Population4]],5,FALSE)</f>
        <v>汉中市</v>
      </c>
    </row>
    <row r="156" spans="1:7" ht="15.75" thickBot="1" x14ac:dyDescent="0.3">
      <c r="A156" t="s">
        <v>926</v>
      </c>
      <c r="B156" s="1" t="s">
        <v>927</v>
      </c>
      <c r="C156" s="1" t="s">
        <v>7</v>
      </c>
      <c r="D156" s="1" t="s">
        <v>652</v>
      </c>
      <c r="E156" s="9">
        <v>10596</v>
      </c>
      <c r="F156" s="1" t="str">
        <f>VLOOKUP(D156,Table11[[Name]:[Native]],3,FALSE)</f>
        <v>城固县</v>
      </c>
      <c r="G156" s="12" t="str">
        <f ca="1">VLOOKUP(F156,Table11[[Native]:[Population4]],5,FALSE)</f>
        <v>汉中市</v>
      </c>
    </row>
    <row r="157" spans="1:7" ht="15.75" thickBot="1" x14ac:dyDescent="0.3">
      <c r="A157" t="s">
        <v>928</v>
      </c>
      <c r="B157" s="1" t="s">
        <v>929</v>
      </c>
      <c r="C157" s="1" t="s">
        <v>7</v>
      </c>
      <c r="D157" s="1" t="s">
        <v>773</v>
      </c>
      <c r="E157" s="9">
        <v>5145</v>
      </c>
      <c r="F157" s="1" t="str">
        <f>VLOOKUP(D157,Table11[[Name]:[Native]],3,FALSE)</f>
        <v>留坝县</v>
      </c>
      <c r="G157" s="12" t="str">
        <f ca="1">VLOOKUP(F157,Table11[[Native]:[Population4]],5,FALSE)</f>
        <v>汉中市</v>
      </c>
    </row>
    <row r="158" spans="1:7" ht="15.75" thickBot="1" x14ac:dyDescent="0.3">
      <c r="A158" t="s">
        <v>930</v>
      </c>
      <c r="B158" s="1" t="s">
        <v>931</v>
      </c>
      <c r="C158" s="1" t="s">
        <v>7</v>
      </c>
      <c r="D158" s="1" t="s">
        <v>649</v>
      </c>
      <c r="E158" s="9">
        <v>18640</v>
      </c>
      <c r="F158" s="1" t="str">
        <f>VLOOKUP(D158,Table11[[Name]:[Native]],3,FALSE)</f>
        <v>勉县</v>
      </c>
      <c r="G158" s="12" t="str">
        <f ca="1">VLOOKUP(F158,Table11[[Native]:[Population4]],5,FALSE)</f>
        <v>汉中市</v>
      </c>
    </row>
    <row r="159" spans="1:7" ht="15.75" thickBot="1" x14ac:dyDescent="0.3">
      <c r="A159" t="s">
        <v>932</v>
      </c>
      <c r="B159" s="1" t="s">
        <v>933</v>
      </c>
      <c r="C159" s="1" t="s">
        <v>7</v>
      </c>
      <c r="D159" s="1" t="s">
        <v>633</v>
      </c>
      <c r="E159" s="9">
        <v>4589</v>
      </c>
      <c r="F159" s="1" t="str">
        <f>VLOOKUP(D159,Table11[[Name]:[Native]],3,FALSE)</f>
        <v>略阳县</v>
      </c>
      <c r="G159" s="12" t="str">
        <f ca="1">VLOOKUP(F159,Table11[[Native]:[Population4]],5,FALSE)</f>
        <v>汉中市</v>
      </c>
    </row>
    <row r="160" spans="1:7" ht="15.75" thickBot="1" x14ac:dyDescent="0.3">
      <c r="A160" t="s">
        <v>934</v>
      </c>
      <c r="B160" s="1" t="s">
        <v>935</v>
      </c>
      <c r="C160" s="1" t="s">
        <v>7</v>
      </c>
      <c r="D160" s="1" t="s">
        <v>659</v>
      </c>
      <c r="E160" s="9">
        <v>24861</v>
      </c>
      <c r="F160" s="1" t="str">
        <f>VLOOKUP(D160,Table11[[Name]:[Native]],3,FALSE)</f>
        <v>汉台区</v>
      </c>
      <c r="G160" s="12" t="str">
        <f ca="1">VLOOKUP(F160,Table11[[Native]:[Population4]],5,FALSE)</f>
        <v>汉中市</v>
      </c>
    </row>
    <row r="161" spans="1:7" ht="15.75" thickBot="1" x14ac:dyDescent="0.3">
      <c r="A161" t="s">
        <v>936</v>
      </c>
      <c r="B161" s="1" t="s">
        <v>937</v>
      </c>
      <c r="C161" s="1" t="s">
        <v>7</v>
      </c>
      <c r="D161" s="1" t="s">
        <v>633</v>
      </c>
      <c r="E161" s="9">
        <v>10587</v>
      </c>
      <c r="F161" s="1" t="str">
        <f>VLOOKUP(D161,Table11[[Name]:[Native]],3,FALSE)</f>
        <v>略阳县</v>
      </c>
      <c r="G161" s="12" t="str">
        <f ca="1">VLOOKUP(F161,Table11[[Native]:[Population4]],5,FALSE)</f>
        <v>汉中市</v>
      </c>
    </row>
    <row r="162" spans="1:7" ht="15.75" thickBot="1" x14ac:dyDescent="0.3">
      <c r="A162" t="s">
        <v>938</v>
      </c>
      <c r="B162" s="1" t="s">
        <v>939</v>
      </c>
      <c r="C162" s="1" t="s">
        <v>7</v>
      </c>
      <c r="D162" s="1" t="s">
        <v>628</v>
      </c>
      <c r="E162" s="9">
        <v>12479</v>
      </c>
      <c r="F162" s="1" t="str">
        <f>VLOOKUP(D162,Table11[[Name]:[Native]],3,FALSE)</f>
        <v>西乡县</v>
      </c>
      <c r="G162" s="12" t="str">
        <f ca="1">VLOOKUP(F162,Table11[[Native]:[Population4]],5,FALSE)</f>
        <v>汉中市</v>
      </c>
    </row>
    <row r="163" spans="1:7" ht="15.75" thickBot="1" x14ac:dyDescent="0.3">
      <c r="A163" t="s">
        <v>940</v>
      </c>
      <c r="B163" s="1" t="s">
        <v>941</v>
      </c>
      <c r="C163" s="1" t="s">
        <v>7</v>
      </c>
      <c r="D163" s="1" t="s">
        <v>640</v>
      </c>
      <c r="E163" s="9">
        <v>11389</v>
      </c>
      <c r="F163" s="1" t="str">
        <f>VLOOKUP(D163,Table11[[Name]:[Native]],3,FALSE)</f>
        <v>南郑区</v>
      </c>
      <c r="G163" s="12" t="str">
        <f ca="1">VLOOKUP(F163,Table11[[Native]:[Population4]],5,FALSE)</f>
        <v>汉中市</v>
      </c>
    </row>
    <row r="164" spans="1:7" ht="15.75" thickBot="1" x14ac:dyDescent="0.3">
      <c r="A164" t="s">
        <v>942</v>
      </c>
      <c r="B164" s="1" t="s">
        <v>943</v>
      </c>
      <c r="C164" s="1" t="s">
        <v>7</v>
      </c>
      <c r="D164" s="1" t="s">
        <v>633</v>
      </c>
      <c r="E164" s="9">
        <v>3484</v>
      </c>
      <c r="F164" s="1" t="str">
        <f>VLOOKUP(D164,Table11[[Name]:[Native]],3,FALSE)</f>
        <v>略阳县</v>
      </c>
      <c r="G164" s="12" t="str">
        <f ca="1">VLOOKUP(F164,Table11[[Native]:[Population4]],5,FALSE)</f>
        <v>汉中市</v>
      </c>
    </row>
    <row r="165" spans="1:7" ht="15.75" thickBot="1" x14ac:dyDescent="0.3">
      <c r="A165" t="s">
        <v>944</v>
      </c>
      <c r="B165" s="1" t="s">
        <v>945</v>
      </c>
      <c r="C165" s="1" t="s">
        <v>11</v>
      </c>
      <c r="D165" s="1" t="s">
        <v>649</v>
      </c>
      <c r="E165" s="9">
        <v>4951</v>
      </c>
      <c r="F165" s="1" t="str">
        <f>VLOOKUP(D165,Table11[[Name]:[Native]],3,FALSE)</f>
        <v>勉县</v>
      </c>
      <c r="G165" s="12" t="str">
        <f ca="1">VLOOKUP(F165,Table11[[Native]:[Population4]],5,FALSE)</f>
        <v>汉中市</v>
      </c>
    </row>
    <row r="166" spans="1:7" ht="15.75" thickBot="1" x14ac:dyDescent="0.3">
      <c r="A166" t="s">
        <v>946</v>
      </c>
      <c r="B166" s="1" t="s">
        <v>947</v>
      </c>
      <c r="C166" s="1" t="s">
        <v>11</v>
      </c>
      <c r="D166" s="1" t="s">
        <v>649</v>
      </c>
      <c r="E166" s="9">
        <v>5858</v>
      </c>
      <c r="F166" s="1" t="str">
        <f>VLOOKUP(D166,Table11[[Name]:[Native]],3,FALSE)</f>
        <v>勉县</v>
      </c>
      <c r="G166" s="12" t="str">
        <f ca="1">VLOOKUP(F166,Table11[[Native]:[Population4]],5,FALSE)</f>
        <v>汉中市</v>
      </c>
    </row>
    <row r="167" spans="1:7" ht="15.75" thickBot="1" x14ac:dyDescent="0.3">
      <c r="A167" t="s">
        <v>948</v>
      </c>
      <c r="B167" s="1" t="s">
        <v>270</v>
      </c>
      <c r="C167" s="1" t="s">
        <v>7</v>
      </c>
      <c r="D167" s="1" t="s">
        <v>652</v>
      </c>
      <c r="E167" s="9">
        <v>4215</v>
      </c>
      <c r="F167" s="1" t="str">
        <f>VLOOKUP(D167,Table11[[Name]:[Native]],3,FALSE)</f>
        <v>城固县</v>
      </c>
      <c r="G167" s="12" t="str">
        <f ca="1">VLOOKUP(F167,Table11[[Native]:[Population4]],5,FALSE)</f>
        <v>汉中市</v>
      </c>
    </row>
    <row r="168" spans="1:7" ht="15.75" thickBot="1" x14ac:dyDescent="0.3">
      <c r="A168" t="s">
        <v>949</v>
      </c>
      <c r="B168" s="1" t="s">
        <v>950</v>
      </c>
      <c r="C168" s="1" t="s">
        <v>7</v>
      </c>
      <c r="D168" s="1" t="s">
        <v>640</v>
      </c>
      <c r="E168" s="9">
        <v>10297</v>
      </c>
      <c r="F168" s="1" t="str">
        <f>VLOOKUP(D168,Table11[[Name]:[Native]],3,FALSE)</f>
        <v>南郑区</v>
      </c>
      <c r="G168" s="12" t="str">
        <f ca="1">VLOOKUP(F168,Table11[[Native]:[Population4]],5,FALSE)</f>
        <v>汉中市</v>
      </c>
    </row>
    <row r="169" spans="1:7" ht="15.75" thickBot="1" x14ac:dyDescent="0.3">
      <c r="A169" t="s">
        <v>951</v>
      </c>
      <c r="B169" s="1" t="s">
        <v>952</v>
      </c>
      <c r="C169" s="1" t="s">
        <v>7</v>
      </c>
      <c r="D169" s="1" t="s">
        <v>646</v>
      </c>
      <c r="E169" s="9">
        <v>9231</v>
      </c>
      <c r="F169" s="1" t="str">
        <f>VLOOKUP(D169,Table11[[Name]:[Native]],3,FALSE)</f>
        <v>镇巴县</v>
      </c>
      <c r="G169" s="12" t="str">
        <f ca="1">VLOOKUP(F169,Table11[[Native]:[Population4]],5,FALSE)</f>
        <v>汉中市</v>
      </c>
    </row>
    <row r="170" spans="1:7" ht="15.75" thickBot="1" x14ac:dyDescent="0.3">
      <c r="A170" t="s">
        <v>953</v>
      </c>
      <c r="B170" s="1" t="s">
        <v>954</v>
      </c>
      <c r="C170" s="1" t="s">
        <v>7</v>
      </c>
      <c r="D170" s="1" t="s">
        <v>670</v>
      </c>
      <c r="E170" s="9">
        <v>3266</v>
      </c>
      <c r="F170" s="1" t="str">
        <f>VLOOKUP(D170,Table11[[Name]:[Native]],3,FALSE)</f>
        <v>佛坪县</v>
      </c>
      <c r="G170" s="12" t="str">
        <f ca="1">VLOOKUP(F170,Table11[[Native]:[Population4]],5,FALSE)</f>
        <v>汉中市</v>
      </c>
    </row>
    <row r="171" spans="1:7" ht="15.75" thickBot="1" x14ac:dyDescent="0.3">
      <c r="A171" t="s">
        <v>955</v>
      </c>
      <c r="B171" s="1" t="s">
        <v>956</v>
      </c>
      <c r="C171" s="1" t="s">
        <v>7</v>
      </c>
      <c r="D171" s="1" t="s">
        <v>643</v>
      </c>
      <c r="E171" s="9">
        <v>38466</v>
      </c>
      <c r="F171" s="1" t="str">
        <f>VLOOKUP(D171,Table11[[Name]:[Native]],3,FALSE)</f>
        <v>洋县</v>
      </c>
      <c r="G171" s="12" t="str">
        <f ca="1">VLOOKUP(F171,Table11[[Native]:[Population4]],5,FALSE)</f>
        <v>汉中市</v>
      </c>
    </row>
    <row r="172" spans="1:7" ht="15.75" thickBot="1" x14ac:dyDescent="0.3">
      <c r="A172" t="s">
        <v>957</v>
      </c>
      <c r="B172" s="1" t="s">
        <v>958</v>
      </c>
      <c r="C172" s="1" t="s">
        <v>11</v>
      </c>
      <c r="D172" s="1" t="s">
        <v>640</v>
      </c>
      <c r="E172" s="9">
        <v>6654</v>
      </c>
      <c r="F172" s="1" t="str">
        <f>VLOOKUP(D172,Table11[[Name]:[Native]],3,FALSE)</f>
        <v>南郑区</v>
      </c>
      <c r="G172" s="12" t="str">
        <f ca="1">VLOOKUP(F172,Table11[[Native]:[Population4]],5,FALSE)</f>
        <v>汉中市</v>
      </c>
    </row>
    <row r="173" spans="1:7" ht="15.75" thickBot="1" x14ac:dyDescent="0.3">
      <c r="A173" t="s">
        <v>959</v>
      </c>
      <c r="B173" s="1" t="s">
        <v>960</v>
      </c>
      <c r="C173" s="1" t="s">
        <v>7</v>
      </c>
      <c r="D173" s="1" t="s">
        <v>640</v>
      </c>
      <c r="E173" s="9">
        <v>16676</v>
      </c>
      <c r="F173" s="1" t="str">
        <f>VLOOKUP(D173,Table11[[Name]:[Native]],3,FALSE)</f>
        <v>南郑区</v>
      </c>
      <c r="G173" s="12" t="str">
        <f ca="1">VLOOKUP(F173,Table11[[Native]:[Population4]],5,FALSE)</f>
        <v>汉中市</v>
      </c>
    </row>
    <row r="174" spans="1:7" ht="15.75" thickBot="1" x14ac:dyDescent="0.3">
      <c r="A174" t="s">
        <v>961</v>
      </c>
      <c r="B174" s="1" t="s">
        <v>962</v>
      </c>
      <c r="C174" s="1" t="s">
        <v>7</v>
      </c>
      <c r="D174" s="1" t="s">
        <v>633</v>
      </c>
      <c r="E174" s="9">
        <v>3388</v>
      </c>
      <c r="F174" s="1" t="str">
        <f>VLOOKUP(D174,Table11[[Name]:[Native]],3,FALSE)</f>
        <v>略阳县</v>
      </c>
      <c r="G174" s="12" t="str">
        <f ca="1">VLOOKUP(F174,Table11[[Native]:[Population4]],5,FALSE)</f>
        <v>汉中市</v>
      </c>
    </row>
    <row r="175" spans="1:7" ht="15.75" thickBot="1" x14ac:dyDescent="0.3">
      <c r="A175" t="s">
        <v>281</v>
      </c>
      <c r="B175" s="1" t="s">
        <v>282</v>
      </c>
      <c r="C175" s="1" t="s">
        <v>7</v>
      </c>
      <c r="D175" s="1" t="s">
        <v>646</v>
      </c>
      <c r="E175" s="9">
        <v>11840</v>
      </c>
      <c r="F175" s="1" t="str">
        <f>VLOOKUP(D175,Table11[[Name]:[Native]],3,FALSE)</f>
        <v>镇巴县</v>
      </c>
      <c r="G175" s="12" t="str">
        <f ca="1">VLOOKUP(F175,Table11[[Native]:[Population4]],5,FALSE)</f>
        <v>汉中市</v>
      </c>
    </row>
    <row r="176" spans="1:7" ht="15.75" thickBot="1" x14ac:dyDescent="0.3">
      <c r="A176" t="s">
        <v>963</v>
      </c>
      <c r="B176" s="1" t="s">
        <v>964</v>
      </c>
      <c r="C176" s="1" t="s">
        <v>113</v>
      </c>
      <c r="D176" s="1" t="s">
        <v>633</v>
      </c>
      <c r="E176" s="9">
        <v>67496</v>
      </c>
      <c r="F176" s="1" t="str">
        <f>VLOOKUP(D176,Table11[[Name]:[Native]],3,FALSE)</f>
        <v>略阳县</v>
      </c>
      <c r="G176" s="12" t="str">
        <f ca="1">VLOOKUP(F176,Table11[[Native]:[Population4]],5,FALSE)</f>
        <v>汉中市</v>
      </c>
    </row>
    <row r="177" spans="1:7" ht="15.75" thickBot="1" x14ac:dyDescent="0.3">
      <c r="A177" t="s">
        <v>965</v>
      </c>
      <c r="B177" s="1" t="s">
        <v>966</v>
      </c>
      <c r="C177" s="1" t="s">
        <v>7</v>
      </c>
      <c r="D177" s="1" t="s">
        <v>649</v>
      </c>
      <c r="E177" s="9">
        <v>21531</v>
      </c>
      <c r="F177" s="1" t="str">
        <f>VLOOKUP(D177,Table11[[Name]:[Native]],3,FALSE)</f>
        <v>勉县</v>
      </c>
      <c r="G177" s="12" t="str">
        <f ca="1">VLOOKUP(F177,Table11[[Native]:[Population4]],5,FALSE)</f>
        <v>汉中市</v>
      </c>
    </row>
    <row r="178" spans="1:7" ht="15.75" thickBot="1" x14ac:dyDescent="0.3">
      <c r="A178" t="s">
        <v>967</v>
      </c>
      <c r="B178" s="1" t="s">
        <v>968</v>
      </c>
      <c r="C178" s="1" t="s">
        <v>7</v>
      </c>
      <c r="D178" s="1" t="s">
        <v>640</v>
      </c>
      <c r="E178" s="9">
        <v>39286</v>
      </c>
      <c r="F178" s="1" t="str">
        <f>VLOOKUP(D178,Table11[[Name]:[Native]],3,FALSE)</f>
        <v>南郑区</v>
      </c>
      <c r="G178" s="12" t="str">
        <f ca="1">VLOOKUP(F178,Table11[[Native]:[Population4]],5,FALSE)</f>
        <v>汉中市</v>
      </c>
    </row>
    <row r="179" spans="1:7" ht="15.75" thickBot="1" x14ac:dyDescent="0.3">
      <c r="A179" t="s">
        <v>969</v>
      </c>
      <c r="B179" s="1" t="s">
        <v>970</v>
      </c>
      <c r="C179" s="1" t="s">
        <v>7</v>
      </c>
      <c r="D179" s="1" t="s">
        <v>649</v>
      </c>
      <c r="E179" s="9">
        <v>23481</v>
      </c>
      <c r="F179" s="1" t="str">
        <f>VLOOKUP(D179,Table11[[Name]:[Native]],3,FALSE)</f>
        <v>勉县</v>
      </c>
      <c r="G179" s="12" t="str">
        <f ca="1">VLOOKUP(F179,Table11[[Native]:[Population4]],5,FALSE)</f>
        <v>汉中市</v>
      </c>
    </row>
    <row r="180" spans="1:7" ht="15.75" thickBot="1" x14ac:dyDescent="0.3">
      <c r="A180" t="s">
        <v>971</v>
      </c>
      <c r="B180" s="1" t="s">
        <v>972</v>
      </c>
      <c r="C180" s="1" t="s">
        <v>113</v>
      </c>
      <c r="D180" s="1" t="s">
        <v>659</v>
      </c>
      <c r="E180" s="9">
        <v>15554</v>
      </c>
      <c r="F180" s="1" t="str">
        <f>VLOOKUP(D180,Table11[[Name]:[Native]],3,FALSE)</f>
        <v>汉台区</v>
      </c>
      <c r="G180" s="12" t="str">
        <f ca="1">VLOOKUP(F180,Table11[[Native]:[Population4]],5,FALSE)</f>
        <v>汉中市</v>
      </c>
    </row>
    <row r="181" spans="1:7" ht="15.75" thickBot="1" x14ac:dyDescent="0.3">
      <c r="A181" t="s">
        <v>973</v>
      </c>
      <c r="B181" s="1" t="s">
        <v>974</v>
      </c>
      <c r="C181" s="1" t="s">
        <v>7</v>
      </c>
      <c r="D181" s="1" t="s">
        <v>633</v>
      </c>
      <c r="E181" s="9">
        <v>12496</v>
      </c>
      <c r="F181" s="1" t="str">
        <f>VLOOKUP(D181,Table11[[Name]:[Native]],3,FALSE)</f>
        <v>略阳县</v>
      </c>
      <c r="G181" s="12" t="str">
        <f ca="1">VLOOKUP(F181,Table11[[Native]:[Population4]],5,FALSE)</f>
        <v>汉中市</v>
      </c>
    </row>
    <row r="182" spans="1:7" ht="15.75" thickBot="1" x14ac:dyDescent="0.3">
      <c r="A182" t="s">
        <v>975</v>
      </c>
      <c r="B182" s="1" t="s">
        <v>976</v>
      </c>
      <c r="C182" s="1" t="s">
        <v>7</v>
      </c>
      <c r="D182" s="1" t="s">
        <v>643</v>
      </c>
      <c r="E182" s="9">
        <v>18332</v>
      </c>
      <c r="F182" s="1" t="str">
        <f>VLOOKUP(D182,Table11[[Name]:[Native]],3,FALSE)</f>
        <v>洋县</v>
      </c>
      <c r="G182" s="12" t="str">
        <f ca="1">VLOOKUP(F182,Table11[[Native]:[Population4]],5,FALSE)</f>
        <v>汉中市</v>
      </c>
    </row>
    <row r="183" spans="1:7" ht="15.75" thickBot="1" x14ac:dyDescent="0.3">
      <c r="A183" t="s">
        <v>977</v>
      </c>
      <c r="B183" s="1" t="s">
        <v>978</v>
      </c>
      <c r="C183" s="1" t="s">
        <v>7</v>
      </c>
      <c r="D183" s="1" t="s">
        <v>659</v>
      </c>
      <c r="E183" s="9">
        <v>13038</v>
      </c>
      <c r="F183" s="1" t="str">
        <f>VLOOKUP(D183,Table11[[Name]:[Native]],3,FALSE)</f>
        <v>汉台区</v>
      </c>
      <c r="G183" s="12" t="str">
        <f ca="1">VLOOKUP(F183,Table11[[Native]:[Population4]],5,FALSE)</f>
        <v>汉中市</v>
      </c>
    </row>
    <row r="184" spans="1:7" ht="15.75" thickBot="1" x14ac:dyDescent="0.3">
      <c r="A184" t="s">
        <v>979</v>
      </c>
      <c r="B184" s="1" t="s">
        <v>980</v>
      </c>
      <c r="C184" s="1" t="s">
        <v>7</v>
      </c>
      <c r="D184" s="1" t="s">
        <v>646</v>
      </c>
      <c r="E184" s="9">
        <v>15466</v>
      </c>
      <c r="F184" s="1" t="str">
        <f>VLOOKUP(D184,Table11[[Name]:[Native]],3,FALSE)</f>
        <v>镇巴县</v>
      </c>
      <c r="G184" s="12" t="str">
        <f ca="1">VLOOKUP(F184,Table11[[Native]:[Population4]],5,FALSE)</f>
        <v>汉中市</v>
      </c>
    </row>
    <row r="185" spans="1:7" ht="15.75" thickBot="1" x14ac:dyDescent="0.3">
      <c r="A185" t="s">
        <v>981</v>
      </c>
      <c r="B185" s="1" t="s">
        <v>982</v>
      </c>
      <c r="C185" s="1" t="s">
        <v>7</v>
      </c>
      <c r="D185" s="1" t="s">
        <v>640</v>
      </c>
      <c r="E185" s="9">
        <v>13271</v>
      </c>
      <c r="F185" s="1" t="str">
        <f>VLOOKUP(D185,Table11[[Name]:[Native]],3,FALSE)</f>
        <v>南郑区</v>
      </c>
      <c r="G185" s="12" t="str">
        <f ca="1">VLOOKUP(F185,Table11[[Native]:[Population4]],5,FALSE)</f>
        <v>汉中市</v>
      </c>
    </row>
    <row r="186" spans="1:7" ht="15.75" thickBot="1" x14ac:dyDescent="0.3">
      <c r="A186" t="s">
        <v>983</v>
      </c>
      <c r="B186" s="1" t="s">
        <v>984</v>
      </c>
      <c r="C186" s="1" t="s">
        <v>7</v>
      </c>
      <c r="D186" s="1" t="s">
        <v>628</v>
      </c>
      <c r="E186" s="9">
        <v>25668</v>
      </c>
      <c r="F186" s="1" t="str">
        <f>VLOOKUP(D186,Table11[[Name]:[Native]],3,FALSE)</f>
        <v>西乡县</v>
      </c>
      <c r="G186" s="12" t="str">
        <f ca="1">VLOOKUP(F186,Table11[[Native]:[Population4]],5,FALSE)</f>
        <v>汉中市</v>
      </c>
    </row>
    <row r="187" spans="1:7" ht="15.75" thickBot="1" x14ac:dyDescent="0.3">
      <c r="A187" t="s">
        <v>985</v>
      </c>
      <c r="B187" s="1" t="s">
        <v>986</v>
      </c>
      <c r="C187" s="1" t="s">
        <v>7</v>
      </c>
      <c r="D187" s="1" t="s">
        <v>646</v>
      </c>
      <c r="E187" s="9">
        <v>4513</v>
      </c>
      <c r="F187" s="1" t="str">
        <f>VLOOKUP(D187,Table11[[Name]:[Native]],3,FALSE)</f>
        <v>镇巴县</v>
      </c>
      <c r="G187" s="12" t="str">
        <f ca="1">VLOOKUP(F187,Table11[[Native]:[Population4]],5,FALSE)</f>
        <v>汉中市</v>
      </c>
    </row>
    <row r="188" spans="1:7" ht="15.75" thickBot="1" x14ac:dyDescent="0.3">
      <c r="A188" t="s">
        <v>987</v>
      </c>
      <c r="B188" s="1" t="s">
        <v>988</v>
      </c>
      <c r="C188" s="1" t="s">
        <v>7</v>
      </c>
      <c r="D188" s="1" t="s">
        <v>625</v>
      </c>
      <c r="E188" s="9">
        <v>29487</v>
      </c>
      <c r="F188" s="1" t="str">
        <f>VLOOKUP(D188,Table11[[Name]:[Native]],3,FALSE)</f>
        <v>宁强县</v>
      </c>
      <c r="G188" s="12" t="str">
        <f ca="1">VLOOKUP(F188,Table11[[Native]:[Population4]],5,FALSE)</f>
        <v>汉中市</v>
      </c>
    </row>
    <row r="189" spans="1:7" ht="15.75" thickBot="1" x14ac:dyDescent="0.3">
      <c r="A189" t="s">
        <v>989</v>
      </c>
      <c r="B189" s="1" t="s">
        <v>990</v>
      </c>
      <c r="C189" s="1" t="s">
        <v>11</v>
      </c>
      <c r="D189" s="1" t="s">
        <v>643</v>
      </c>
      <c r="E189" s="9">
        <v>4482</v>
      </c>
      <c r="F189" s="1" t="str">
        <f>VLOOKUP(D189,Table11[[Name]:[Native]],3,FALSE)</f>
        <v>洋县</v>
      </c>
      <c r="G189" s="12" t="str">
        <f ca="1">VLOOKUP(F189,Table11[[Native]:[Population4]],5,FALSE)</f>
        <v>汉中市</v>
      </c>
    </row>
    <row r="190" spans="1:7" ht="15.75" thickBot="1" x14ac:dyDescent="0.3">
      <c r="A190" t="s">
        <v>991</v>
      </c>
      <c r="B190" s="1" t="s">
        <v>992</v>
      </c>
      <c r="C190" s="1" t="s">
        <v>113</v>
      </c>
      <c r="D190" s="1" t="s">
        <v>643</v>
      </c>
      <c r="E190" s="9">
        <v>64349</v>
      </c>
      <c r="F190" s="1" t="str">
        <f>VLOOKUP(D190,Table11[[Name]:[Native]],3,FALSE)</f>
        <v>洋县</v>
      </c>
      <c r="G190" s="12" t="str">
        <f ca="1">VLOOKUP(F190,Table11[[Native]:[Population4]],5,FALSE)</f>
        <v>汉中市</v>
      </c>
    </row>
    <row r="191" spans="1:7" ht="15.75" thickBot="1" x14ac:dyDescent="0.3">
      <c r="A191" t="s">
        <v>993</v>
      </c>
      <c r="B191" s="1" t="s">
        <v>994</v>
      </c>
      <c r="C191" s="1" t="s">
        <v>11</v>
      </c>
      <c r="D191" s="1" t="s">
        <v>652</v>
      </c>
      <c r="E191" s="9">
        <v>5249</v>
      </c>
      <c r="F191" s="1" t="str">
        <f>VLOOKUP(D191,Table11[[Name]:[Native]],3,FALSE)</f>
        <v>城固县</v>
      </c>
      <c r="G191" s="12" t="str">
        <f ca="1">VLOOKUP(F191,Table11[[Native]:[Population4]],5,FALSE)</f>
        <v>汉中市</v>
      </c>
    </row>
    <row r="192" spans="1:7" ht="15.75" thickBot="1" x14ac:dyDescent="0.3">
      <c r="A192" t="s">
        <v>995</v>
      </c>
      <c r="B192" s="1" t="s">
        <v>996</v>
      </c>
      <c r="C192" s="1" t="s">
        <v>7</v>
      </c>
      <c r="D192" s="1" t="s">
        <v>628</v>
      </c>
      <c r="E192" s="9">
        <v>28758</v>
      </c>
      <c r="F192" s="1" t="str">
        <f>VLOOKUP(D192,Table11[[Name]:[Native]],3,FALSE)</f>
        <v>西乡县</v>
      </c>
      <c r="G192" s="12" t="str">
        <f ca="1">VLOOKUP(F192,Table11[[Native]:[Population4]],5,FALSE)</f>
        <v>汉中市</v>
      </c>
    </row>
    <row r="193" spans="1:7" ht="15.75" thickBot="1" x14ac:dyDescent="0.3">
      <c r="A193" t="s">
        <v>997</v>
      </c>
      <c r="B193" s="1" t="s">
        <v>998</v>
      </c>
      <c r="C193" s="1" t="s">
        <v>7</v>
      </c>
      <c r="D193" s="1" t="s">
        <v>625</v>
      </c>
      <c r="E193" s="9">
        <v>26042</v>
      </c>
      <c r="F193" s="1" t="str">
        <f>VLOOKUP(D193,Table11[[Name]:[Native]],3,FALSE)</f>
        <v>宁强县</v>
      </c>
      <c r="G193" s="12" t="str">
        <f ca="1">VLOOKUP(F193,Table11[[Native]:[Population4]],5,FALSE)</f>
        <v>汉中市</v>
      </c>
    </row>
    <row r="194" spans="1:7" ht="15.75" thickBot="1" x14ac:dyDescent="0.3">
      <c r="A194" t="s">
        <v>999</v>
      </c>
      <c r="B194" s="1" t="s">
        <v>1000</v>
      </c>
      <c r="C194" s="1" t="s">
        <v>11</v>
      </c>
      <c r="D194" s="1" t="s">
        <v>643</v>
      </c>
      <c r="E194" s="9">
        <v>1311</v>
      </c>
      <c r="F194" s="1" t="str">
        <f>VLOOKUP(D194,Table11[[Name]:[Native]],3,FALSE)</f>
        <v>洋县</v>
      </c>
      <c r="G194" s="12" t="str">
        <f ca="1">VLOOKUP(F194,Table11[[Native]:[Population4]],5,FALSE)</f>
        <v>汉中市</v>
      </c>
    </row>
    <row r="195" spans="1:7" ht="15.75" thickBot="1" x14ac:dyDescent="0.3">
      <c r="A195" t="s">
        <v>1001</v>
      </c>
      <c r="B195" s="1" t="s">
        <v>1002</v>
      </c>
      <c r="C195" s="1" t="s">
        <v>7</v>
      </c>
      <c r="D195" s="1" t="s">
        <v>643</v>
      </c>
      <c r="E195" s="9">
        <v>10796</v>
      </c>
      <c r="F195" s="1" t="str">
        <f>VLOOKUP(D195,Table11[[Name]:[Native]],3,FALSE)</f>
        <v>洋县</v>
      </c>
      <c r="G195" s="12" t="str">
        <f ca="1">VLOOKUP(F195,Table11[[Native]:[Population4]],5,FALSE)</f>
        <v>汉中市</v>
      </c>
    </row>
    <row r="196" spans="1:7" ht="15.75" thickBot="1" x14ac:dyDescent="0.3">
      <c r="A196" t="s">
        <v>1003</v>
      </c>
      <c r="B196" s="1" t="s">
        <v>1004</v>
      </c>
      <c r="C196" s="1" t="s">
        <v>7</v>
      </c>
      <c r="D196" s="1" t="s">
        <v>646</v>
      </c>
      <c r="E196" s="9">
        <v>5756</v>
      </c>
      <c r="F196" s="1" t="str">
        <f>VLOOKUP(D196,Table11[[Name]:[Native]],3,FALSE)</f>
        <v>镇巴县</v>
      </c>
      <c r="G196" s="12" t="str">
        <f ca="1">VLOOKUP(F196,Table11[[Native]:[Population4]],5,FALSE)</f>
        <v>汉中市</v>
      </c>
    </row>
    <row r="197" spans="1:7" ht="15.75" thickBot="1" x14ac:dyDescent="0.3">
      <c r="A197" t="s">
        <v>1005</v>
      </c>
      <c r="B197" s="1" t="s">
        <v>1006</v>
      </c>
      <c r="C197" s="1" t="s">
        <v>7</v>
      </c>
      <c r="D197" s="1" t="s">
        <v>649</v>
      </c>
      <c r="E197" s="9">
        <v>12710</v>
      </c>
      <c r="F197" s="1" t="str">
        <f>VLOOKUP(D197,Table11[[Name]:[Native]],3,FALSE)</f>
        <v>勉县</v>
      </c>
      <c r="G197" s="12" t="str">
        <f ca="1">VLOOKUP(F197,Table11[[Native]:[Population4]],5,FALSE)</f>
        <v>汉中市</v>
      </c>
    </row>
    <row r="198" spans="1:7" ht="15.75" thickBot="1" x14ac:dyDescent="0.3">
      <c r="A198" t="s">
        <v>1007</v>
      </c>
      <c r="B198" s="1" t="s">
        <v>1008</v>
      </c>
      <c r="C198" s="1" t="s">
        <v>7</v>
      </c>
      <c r="D198" s="1" t="s">
        <v>652</v>
      </c>
      <c r="E198" s="9">
        <v>18859</v>
      </c>
      <c r="F198" s="1" t="str">
        <f>VLOOKUP(D198,Table11[[Name]:[Native]],3,FALSE)</f>
        <v>城固县</v>
      </c>
      <c r="G198" s="12" t="str">
        <f ca="1">VLOOKUP(F198,Table11[[Native]:[Population4]],5,FALSE)</f>
        <v>汉中市</v>
      </c>
    </row>
    <row r="199" spans="1:7" ht="15.75" thickBot="1" x14ac:dyDescent="0.3">
      <c r="A199" t="s">
        <v>1009</v>
      </c>
      <c r="B199" s="1" t="s">
        <v>1010</v>
      </c>
      <c r="C199" s="1" t="s">
        <v>113</v>
      </c>
      <c r="D199" s="1" t="s">
        <v>670</v>
      </c>
      <c r="E199" s="9">
        <v>10529</v>
      </c>
      <c r="F199" s="1" t="str">
        <f>VLOOKUP(D199,Table11[[Name]:[Native]],3,FALSE)</f>
        <v>佛坪县</v>
      </c>
      <c r="G199" s="12" t="str">
        <f ca="1">VLOOKUP(F199,Table11[[Native]:[Population4]],5,FALSE)</f>
        <v>汉中市</v>
      </c>
    </row>
    <row r="200" spans="1:7" ht="15.75" thickBot="1" x14ac:dyDescent="0.3">
      <c r="A200" t="s">
        <v>1011</v>
      </c>
      <c r="B200" s="1" t="s">
        <v>1012</v>
      </c>
      <c r="C200" s="1" t="s">
        <v>11</v>
      </c>
      <c r="D200" s="1" t="s">
        <v>633</v>
      </c>
      <c r="E200" s="9">
        <v>6794</v>
      </c>
      <c r="F200" s="1" t="str">
        <f>VLOOKUP(D200,Table11[[Name]:[Native]],3,FALSE)</f>
        <v>略阳县</v>
      </c>
      <c r="G200" s="12" t="str">
        <f ca="1">VLOOKUP(F200,Table11[[Native]:[Population4]],5,FALSE)</f>
        <v>汉中市</v>
      </c>
    </row>
    <row r="201" spans="1:7" ht="15.75" thickBot="1" x14ac:dyDescent="0.3">
      <c r="A201" t="s">
        <v>1013</v>
      </c>
      <c r="B201" s="1" t="s">
        <v>1014</v>
      </c>
      <c r="C201" s="1" t="s">
        <v>7</v>
      </c>
      <c r="D201" s="1" t="s">
        <v>646</v>
      </c>
      <c r="E201" s="9">
        <v>12433</v>
      </c>
      <c r="F201" s="1" t="str">
        <f>VLOOKUP(D201,Table11[[Name]:[Native]],3,FALSE)</f>
        <v>镇巴县</v>
      </c>
      <c r="G201" s="12" t="str">
        <f ca="1">VLOOKUP(F201,Table11[[Native]:[Population4]],5,FALSE)</f>
        <v>汉中市</v>
      </c>
    </row>
    <row r="202" spans="1:7" ht="15.75" thickBot="1" x14ac:dyDescent="0.3">
      <c r="A202" t="s">
        <v>1015</v>
      </c>
      <c r="B202" s="1" t="s">
        <v>1016</v>
      </c>
      <c r="C202" s="1" t="s">
        <v>7</v>
      </c>
      <c r="D202" s="1" t="s">
        <v>670</v>
      </c>
      <c r="E202" s="9">
        <v>1488</v>
      </c>
      <c r="F202" s="1" t="str">
        <f>VLOOKUP(D202,Table11[[Name]:[Native]],3,FALSE)</f>
        <v>佛坪县</v>
      </c>
      <c r="G202" s="12" t="str">
        <f ca="1">VLOOKUP(F202,Table11[[Native]:[Population4]],5,FALSE)</f>
        <v>汉中市</v>
      </c>
    </row>
    <row r="203" spans="1:7" ht="15.75" thickBot="1" x14ac:dyDescent="0.3">
      <c r="A203" t="s">
        <v>1017</v>
      </c>
      <c r="B203" s="1" t="s">
        <v>1018</v>
      </c>
      <c r="C203" s="1" t="s">
        <v>7</v>
      </c>
      <c r="D203" s="1" t="s">
        <v>773</v>
      </c>
      <c r="E203" s="9">
        <v>5140</v>
      </c>
      <c r="F203" s="1" t="str">
        <f>VLOOKUP(D203,Table11[[Name]:[Native]],3,FALSE)</f>
        <v>留坝县</v>
      </c>
      <c r="G203" s="12" t="str">
        <f ca="1">VLOOKUP(F203,Table11[[Native]:[Population4]],5,FALSE)</f>
        <v>汉中市</v>
      </c>
    </row>
    <row r="204" spans="1:7" ht="15.75" thickBot="1" x14ac:dyDescent="0.3">
      <c r="A204" t="s">
        <v>1019</v>
      </c>
      <c r="B204" s="1" t="s">
        <v>1020</v>
      </c>
      <c r="C204" s="1" t="s">
        <v>11</v>
      </c>
      <c r="D204" s="1" t="s">
        <v>625</v>
      </c>
      <c r="E204" s="9">
        <v>6141</v>
      </c>
      <c r="F204" s="1" t="str">
        <f>VLOOKUP(D204,Table11[[Name]:[Native]],3,FALSE)</f>
        <v>宁强县</v>
      </c>
      <c r="G204" s="12" t="str">
        <f ca="1">VLOOKUP(F204,Table11[[Native]:[Population4]],5,FALSE)</f>
        <v>汉中市</v>
      </c>
    </row>
    <row r="205" spans="1:7" ht="15.75" thickBot="1" x14ac:dyDescent="0.3">
      <c r="A205" t="s">
        <v>1021</v>
      </c>
      <c r="B205" s="1" t="s">
        <v>1022</v>
      </c>
      <c r="C205" s="1" t="s">
        <v>7</v>
      </c>
      <c r="D205" s="1" t="s">
        <v>649</v>
      </c>
      <c r="E205" s="9">
        <v>5338</v>
      </c>
      <c r="F205" s="1" t="str">
        <f>VLOOKUP(D205,Table11[[Name]:[Native]],3,FALSE)</f>
        <v>勉县</v>
      </c>
      <c r="G205" s="12" t="str">
        <f ca="1">VLOOKUP(F205,Table11[[Native]:[Population4]],5,FALSE)</f>
        <v>汉中市</v>
      </c>
    </row>
    <row r="206" spans="1:7" ht="15.75" thickBot="1" x14ac:dyDescent="0.3">
      <c r="A206" t="s">
        <v>1023</v>
      </c>
      <c r="B206" s="1" t="s">
        <v>1024</v>
      </c>
      <c r="C206" s="1" t="s">
        <v>7</v>
      </c>
      <c r="D206" s="1" t="s">
        <v>649</v>
      </c>
      <c r="E206" s="9">
        <v>15037</v>
      </c>
      <c r="F206" s="1" t="str">
        <f>VLOOKUP(D206,Table11[[Name]:[Native]],3,FALSE)</f>
        <v>勉县</v>
      </c>
      <c r="G206" s="12" t="str">
        <f ca="1">VLOOKUP(F206,Table11[[Native]:[Population4]],5,FALSE)</f>
        <v>汉中市</v>
      </c>
    </row>
    <row r="207" spans="1:7" ht="15.75" thickBot="1" x14ac:dyDescent="0.3">
      <c r="A207" t="s">
        <v>1025</v>
      </c>
      <c r="B207" s="1" t="s">
        <v>1026</v>
      </c>
      <c r="C207" s="1" t="s">
        <v>113</v>
      </c>
      <c r="D207" s="1" t="s">
        <v>643</v>
      </c>
      <c r="E207" s="9">
        <v>14169</v>
      </c>
      <c r="F207" s="1" t="str">
        <f>VLOOKUP(D207,Table11[[Name]:[Native]],3,FALSE)</f>
        <v>洋县</v>
      </c>
      <c r="G207" s="12" t="str">
        <f ca="1">VLOOKUP(F207,Table11[[Native]:[Population4]],5,FALSE)</f>
        <v>汉中市</v>
      </c>
    </row>
    <row r="208" spans="1:7" ht="15.75" thickBot="1" x14ac:dyDescent="0.3">
      <c r="A208" t="s">
        <v>1027</v>
      </c>
      <c r="B208" s="1" t="s">
        <v>1028</v>
      </c>
      <c r="C208" s="1" t="s">
        <v>113</v>
      </c>
      <c r="D208" s="1" t="s">
        <v>659</v>
      </c>
      <c r="E208" s="9">
        <v>34925</v>
      </c>
      <c r="F208" s="1" t="str">
        <f>VLOOKUP(D208,Table11[[Name]:[Native]],3,FALSE)</f>
        <v>汉台区</v>
      </c>
      <c r="G208" s="12" t="str">
        <f ca="1">VLOOKUP(F208,Table11[[Native]:[Population4]],5,FALSE)</f>
        <v>汉中市</v>
      </c>
    </row>
    <row r="209" spans="1:7" ht="15.75" thickBot="1" x14ac:dyDescent="0.3">
      <c r="A209" t="s">
        <v>1029</v>
      </c>
      <c r="B209" s="1" t="s">
        <v>1030</v>
      </c>
      <c r="C209" s="1" t="s">
        <v>7</v>
      </c>
      <c r="D209" s="1" t="s">
        <v>649</v>
      </c>
      <c r="E209" s="9">
        <v>19237</v>
      </c>
      <c r="F209" s="1" t="str">
        <f>VLOOKUP(D209,Table11[[Name]:[Native]],3,FALSE)</f>
        <v>勉县</v>
      </c>
      <c r="G209" s="12" t="str">
        <f ca="1">VLOOKUP(F209,Table11[[Native]:[Population4]],5,FALSE)</f>
        <v>汉中市</v>
      </c>
    </row>
    <row r="210" spans="1:7" ht="15.75" thickBot="1" x14ac:dyDescent="0.3">
      <c r="A210" t="s">
        <v>1031</v>
      </c>
      <c r="B210" s="1" t="s">
        <v>1032</v>
      </c>
      <c r="C210" s="1" t="s">
        <v>113</v>
      </c>
      <c r="D210" s="1" t="s">
        <v>773</v>
      </c>
      <c r="E210" s="9">
        <v>10746</v>
      </c>
      <c r="F210" s="1" t="str">
        <f>VLOOKUP(D210,Table11[[Name]:[Native]],3,FALSE)</f>
        <v>留坝县</v>
      </c>
      <c r="G210" s="12" t="str">
        <f ca="1">VLOOKUP(F210,Table11[[Native]:[Population4]],5,FALSE)</f>
        <v>汉中市</v>
      </c>
    </row>
    <row r="211" spans="1:7" ht="15.75" thickBot="1" x14ac:dyDescent="0.3">
      <c r="A211" t="s">
        <v>1033</v>
      </c>
      <c r="B211" s="1" t="s">
        <v>1034</v>
      </c>
      <c r="C211" s="1" t="s">
        <v>7</v>
      </c>
      <c r="D211" s="1" t="s">
        <v>628</v>
      </c>
      <c r="E211" s="9">
        <v>2169</v>
      </c>
      <c r="F211" s="1" t="str">
        <f>VLOOKUP(D211,Table11[[Name]:[Native]],3,FALSE)</f>
        <v>西乡县</v>
      </c>
      <c r="G211" s="12" t="str">
        <f ca="1">VLOOKUP(F211,Table11[[Native]:[Population4]],5,FALSE)</f>
        <v>汉中市</v>
      </c>
    </row>
    <row r="212" spans="1:7" ht="15.75" thickBot="1" x14ac:dyDescent="0.3">
      <c r="A212" t="s">
        <v>1035</v>
      </c>
      <c r="B212" s="1" t="s">
        <v>1036</v>
      </c>
      <c r="C212" s="1" t="s">
        <v>7</v>
      </c>
      <c r="D212" s="1" t="s">
        <v>659</v>
      </c>
      <c r="E212" s="9">
        <v>24909</v>
      </c>
      <c r="F212" s="1" t="str">
        <f>VLOOKUP(D212,Table11[[Name]:[Native]],3,FALSE)</f>
        <v>汉台区</v>
      </c>
      <c r="G212" s="12" t="str">
        <f ca="1">VLOOKUP(F212,Table11[[Native]:[Population4]],5,FALSE)</f>
        <v>汉中市</v>
      </c>
    </row>
    <row r="213" spans="1:7" ht="15.75" thickBot="1" x14ac:dyDescent="0.3">
      <c r="A213" t="s">
        <v>1037</v>
      </c>
      <c r="B213" s="1" t="s">
        <v>1038</v>
      </c>
      <c r="C213" s="1" t="s">
        <v>11</v>
      </c>
      <c r="D213" s="1" t="s">
        <v>628</v>
      </c>
      <c r="E213" s="9">
        <v>4297</v>
      </c>
      <c r="F213" s="8" t="str">
        <f>VLOOKUP(D213,Table11[[Name]:[Native]],3,FALSE)</f>
        <v>西乡县</v>
      </c>
      <c r="G213" s="12" t="str">
        <f ca="1">VLOOKUP(F213,Table11[[Native]:[Population4]],5,FALSE)</f>
        <v>汉中市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40251-487D-4F89-9B84-A83492871AFB}">
  <dimension ref="A1:G130"/>
  <sheetViews>
    <sheetView workbookViewId="0">
      <selection activeCell="A2" sqref="A2:G130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3166</v>
      </c>
      <c r="G1" t="s">
        <v>3170</v>
      </c>
    </row>
    <row r="2" spans="1:7" ht="15.75" thickBot="1" x14ac:dyDescent="0.3">
      <c r="A2" s="1" t="s">
        <v>1039</v>
      </c>
      <c r="B2" s="1" t="s">
        <v>1040</v>
      </c>
      <c r="C2" s="1" t="s">
        <v>11</v>
      </c>
      <c r="D2" s="1" t="s">
        <v>1041</v>
      </c>
      <c r="E2" s="9">
        <v>5535</v>
      </c>
      <c r="F2" s="7" t="str">
        <f>VLOOKUP(D2,Table11[[Name]:[Native]],3,FALSE)</f>
        <v>商南县</v>
      </c>
      <c r="G2" s="12" t="str">
        <f ca="1">VLOOKUP(F2,Table11[[Native]:[Population4]],5,FALSE)</f>
        <v>商洛市</v>
      </c>
    </row>
    <row r="3" spans="1:7" ht="15.75" thickBot="1" x14ac:dyDescent="0.3">
      <c r="A3" s="1" t="s">
        <v>1042</v>
      </c>
      <c r="B3" s="1" t="s">
        <v>1043</v>
      </c>
      <c r="C3" s="1" t="s">
        <v>7</v>
      </c>
      <c r="D3" s="1" t="s">
        <v>1044</v>
      </c>
      <c r="E3" s="9">
        <v>18658</v>
      </c>
      <c r="F3" s="1" t="str">
        <f>VLOOKUP(D3,Table11[[Name]:[Native]],3,FALSE)</f>
        <v>商州区</v>
      </c>
      <c r="G3" s="12" t="str">
        <f ca="1">VLOOKUP(F3,Table11[[Native]:[Population4]],5,FALSE)</f>
        <v>商洛市</v>
      </c>
    </row>
    <row r="4" spans="1:7" ht="15.75" thickBot="1" x14ac:dyDescent="0.3">
      <c r="A4" t="s">
        <v>1045</v>
      </c>
      <c r="B4" s="1" t="s">
        <v>1046</v>
      </c>
      <c r="C4" s="1" t="s">
        <v>7</v>
      </c>
      <c r="D4" s="1" t="s">
        <v>1047</v>
      </c>
      <c r="E4" s="9">
        <v>6560</v>
      </c>
      <c r="F4" s="1" t="str">
        <f>VLOOKUP(D4,Table11[[Name]:[Native]],3,FALSE)</f>
        <v>洛南县</v>
      </c>
      <c r="G4" s="12" t="str">
        <f ca="1">VLOOKUP(F4,Table11[[Native]:[Population4]],5,FALSE)</f>
        <v>商洛市</v>
      </c>
    </row>
    <row r="5" spans="1:7" ht="15.75" thickBot="1" x14ac:dyDescent="0.3">
      <c r="A5" t="s">
        <v>1048</v>
      </c>
      <c r="B5" s="1" t="s">
        <v>1049</v>
      </c>
      <c r="C5" s="1" t="s">
        <v>7</v>
      </c>
      <c r="D5" s="1" t="s">
        <v>1044</v>
      </c>
      <c r="E5" s="9">
        <v>11828</v>
      </c>
      <c r="F5" s="1" t="str">
        <f>VLOOKUP(D5,Table11[[Name]:[Native]],3,FALSE)</f>
        <v>商州区</v>
      </c>
      <c r="G5" s="12" t="str">
        <f ca="1">VLOOKUP(F5,Table11[[Native]:[Population4]],5,FALSE)</f>
        <v>商洛市</v>
      </c>
    </row>
    <row r="6" spans="1:7" ht="15.75" thickBot="1" x14ac:dyDescent="0.3">
      <c r="A6" t="s">
        <v>1050</v>
      </c>
      <c r="B6" s="1" t="s">
        <v>1051</v>
      </c>
      <c r="C6" s="1" t="s">
        <v>7</v>
      </c>
      <c r="D6" s="1" t="s">
        <v>1052</v>
      </c>
      <c r="E6" s="9">
        <v>23458</v>
      </c>
      <c r="F6" s="1" t="str">
        <f>VLOOKUP(D6,Table11[[Name]:[Native]],3,FALSE)</f>
        <v>山阳县</v>
      </c>
      <c r="G6" s="12" t="str">
        <f ca="1">VLOOKUP(F6,Table11[[Native]:[Population4]],5,FALSE)</f>
        <v>商洛市</v>
      </c>
    </row>
    <row r="7" spans="1:7" ht="15.75" thickBot="1" x14ac:dyDescent="0.3">
      <c r="A7" t="s">
        <v>1053</v>
      </c>
      <c r="B7" s="1" t="s">
        <v>1054</v>
      </c>
      <c r="C7" s="1" t="s">
        <v>7</v>
      </c>
      <c r="D7" s="1" t="s">
        <v>1047</v>
      </c>
      <c r="E7" s="9">
        <v>23384</v>
      </c>
      <c r="F7" s="1" t="str">
        <f>VLOOKUP(D7,Table11[[Name]:[Native]],3,FALSE)</f>
        <v>洛南县</v>
      </c>
      <c r="G7" s="12" t="str">
        <f ca="1">VLOOKUP(F7,Table11[[Native]:[Population4]],5,FALSE)</f>
        <v>商洛市</v>
      </c>
    </row>
    <row r="8" spans="1:7" ht="15.75" thickBot="1" x14ac:dyDescent="0.3">
      <c r="A8" t="s">
        <v>1055</v>
      </c>
      <c r="B8" s="1" t="s">
        <v>1056</v>
      </c>
      <c r="C8" s="1" t="s">
        <v>7</v>
      </c>
      <c r="D8" s="1" t="s">
        <v>1044</v>
      </c>
      <c r="E8" s="9">
        <v>14386</v>
      </c>
      <c r="F8" s="1" t="str">
        <f>VLOOKUP(D8,Table11[[Name]:[Native]],3,FALSE)</f>
        <v>商州区</v>
      </c>
      <c r="G8" s="12" t="str">
        <f ca="1">VLOOKUP(F8,Table11[[Native]:[Population4]],5,FALSE)</f>
        <v>商洛市</v>
      </c>
    </row>
    <row r="9" spans="1:7" ht="15.75" thickBot="1" x14ac:dyDescent="0.3">
      <c r="A9" t="s">
        <v>1057</v>
      </c>
      <c r="B9" s="1" t="s">
        <v>1058</v>
      </c>
      <c r="C9" s="1" t="s">
        <v>7</v>
      </c>
      <c r="D9" s="1" t="s">
        <v>1059</v>
      </c>
      <c r="E9" s="9">
        <v>8789</v>
      </c>
      <c r="F9" s="1" t="str">
        <f>VLOOKUP(D9,Table11[[Name]:[Native]],3,FALSE)</f>
        <v>丹凤县</v>
      </c>
      <c r="G9" s="12" t="str">
        <f ca="1">VLOOKUP(F9,Table11[[Native]:[Population4]],5,FALSE)</f>
        <v>商洛市</v>
      </c>
    </row>
    <row r="10" spans="1:7" ht="15.75" thickBot="1" x14ac:dyDescent="0.3">
      <c r="A10" t="s">
        <v>1060</v>
      </c>
      <c r="B10" s="1" t="s">
        <v>1061</v>
      </c>
      <c r="C10" s="1" t="s">
        <v>7</v>
      </c>
      <c r="D10" s="1" t="s">
        <v>1062</v>
      </c>
      <c r="E10" s="9">
        <v>11819</v>
      </c>
      <c r="F10" s="1" t="str">
        <f>VLOOKUP(D10,Table11[[Name]:[Native]],3,FALSE)</f>
        <v>柞水县</v>
      </c>
      <c r="G10" s="12" t="str">
        <f ca="1">VLOOKUP(F10,Table11[[Native]:[Population4]],5,FALSE)</f>
        <v>商洛市</v>
      </c>
    </row>
    <row r="11" spans="1:7" ht="15.75" thickBot="1" x14ac:dyDescent="0.3">
      <c r="A11" t="s">
        <v>1063</v>
      </c>
      <c r="B11" s="1" t="s">
        <v>1064</v>
      </c>
      <c r="C11" s="1" t="s">
        <v>7</v>
      </c>
      <c r="D11" s="1" t="s">
        <v>1065</v>
      </c>
      <c r="E11" s="9">
        <v>21261</v>
      </c>
      <c r="F11" s="1" t="str">
        <f>VLOOKUP(D11,Table11[[Name]:[Native]],3,FALSE)</f>
        <v>镇安县</v>
      </c>
      <c r="G11" s="12" t="str">
        <f ca="1">VLOOKUP(F11,Table11[[Native]:[Population4]],5,FALSE)</f>
        <v>商洛市</v>
      </c>
    </row>
    <row r="12" spans="1:7" ht="15.75" thickBot="1" x14ac:dyDescent="0.3">
      <c r="A12" s="1" t="s">
        <v>1066</v>
      </c>
      <c r="B12" s="1" t="s">
        <v>1067</v>
      </c>
      <c r="C12" s="1" t="s">
        <v>7</v>
      </c>
      <c r="D12" s="1" t="s">
        <v>1047</v>
      </c>
      <c r="E12" s="9">
        <v>4700</v>
      </c>
      <c r="F12" s="1" t="str">
        <f>VLOOKUP(D12,Table11[[Name]:[Native]],3,FALSE)</f>
        <v>洛南县</v>
      </c>
      <c r="G12" s="12" t="str">
        <f ca="1">VLOOKUP(F12,Table11[[Native]:[Population4]],5,FALSE)</f>
        <v>商洛市</v>
      </c>
    </row>
    <row r="13" spans="1:7" ht="15.75" thickBot="1" x14ac:dyDescent="0.3">
      <c r="A13" t="s">
        <v>373</v>
      </c>
      <c r="B13" s="1" t="s">
        <v>374</v>
      </c>
      <c r="C13" s="1" t="s">
        <v>113</v>
      </c>
      <c r="D13" s="1" t="s">
        <v>1044</v>
      </c>
      <c r="E13" s="9">
        <v>105851</v>
      </c>
      <c r="F13" s="1" t="str">
        <f>VLOOKUP(D13,Table11[[Name]:[Native]],3,FALSE)</f>
        <v>商州区</v>
      </c>
      <c r="G13" s="12" t="str">
        <f ca="1">VLOOKUP(F13,Table11[[Native]:[Population4]],5,FALSE)</f>
        <v>商洛市</v>
      </c>
    </row>
    <row r="14" spans="1:7" ht="15.75" thickBot="1" x14ac:dyDescent="0.3">
      <c r="A14" t="s">
        <v>373</v>
      </c>
      <c r="B14" s="1" t="s">
        <v>374</v>
      </c>
      <c r="C14" s="1" t="s">
        <v>113</v>
      </c>
      <c r="D14" s="1" t="s">
        <v>1047</v>
      </c>
      <c r="E14" s="9">
        <v>89324</v>
      </c>
      <c r="F14" s="1" t="str">
        <f>VLOOKUP(D14,Table11[[Name]:[Native]],3,FALSE)</f>
        <v>洛南县</v>
      </c>
      <c r="G14" s="12" t="str">
        <f ca="1">VLOOKUP(F14,Table11[[Native]:[Population4]],5,FALSE)</f>
        <v>商洛市</v>
      </c>
    </row>
    <row r="15" spans="1:7" ht="15.75" thickBot="1" x14ac:dyDescent="0.3">
      <c r="A15" t="s">
        <v>1068</v>
      </c>
      <c r="B15" s="1" t="s">
        <v>374</v>
      </c>
      <c r="C15" s="1" t="s">
        <v>113</v>
      </c>
      <c r="D15" s="1" t="s">
        <v>1041</v>
      </c>
      <c r="E15" s="9">
        <v>67463</v>
      </c>
      <c r="F15" s="1" t="str">
        <f>VLOOKUP(D15,Table11[[Name]:[Native]],3,FALSE)</f>
        <v>商南县</v>
      </c>
      <c r="G15" s="12" t="str">
        <f ca="1">VLOOKUP(F15,Table11[[Native]:[Population4]],5,FALSE)</f>
        <v>商洛市</v>
      </c>
    </row>
    <row r="16" spans="1:7" ht="15.75" thickBot="1" x14ac:dyDescent="0.3">
      <c r="A16" t="s">
        <v>373</v>
      </c>
      <c r="B16" s="1" t="s">
        <v>374</v>
      </c>
      <c r="C16" s="1" t="s">
        <v>113</v>
      </c>
      <c r="D16" s="1" t="s">
        <v>1052</v>
      </c>
      <c r="E16" s="9">
        <v>67194</v>
      </c>
      <c r="F16" s="1" t="str">
        <f>VLOOKUP(D16,Table11[[Name]:[Native]],3,FALSE)</f>
        <v>山阳县</v>
      </c>
      <c r="G16" s="12" t="str">
        <f ca="1">VLOOKUP(F16,Table11[[Native]:[Population4]],5,FALSE)</f>
        <v>商洛市</v>
      </c>
    </row>
    <row r="17" spans="1:7" ht="15.75" thickBot="1" x14ac:dyDescent="0.3">
      <c r="A17" t="s">
        <v>1069</v>
      </c>
      <c r="B17" s="1" t="s">
        <v>1070</v>
      </c>
      <c r="C17" s="1" t="s">
        <v>113</v>
      </c>
      <c r="D17" s="1" t="s">
        <v>1044</v>
      </c>
      <c r="E17" s="9">
        <v>14937</v>
      </c>
      <c r="F17" s="1" t="str">
        <f>VLOOKUP(D17,Table11[[Name]:[Native]],3,FALSE)</f>
        <v>商州区</v>
      </c>
      <c r="G17" s="12" t="str">
        <f ca="1">VLOOKUP(F17,Table11[[Native]:[Population4]],5,FALSE)</f>
        <v>商洛市</v>
      </c>
    </row>
    <row r="18" spans="1:7" ht="15.75" thickBot="1" x14ac:dyDescent="0.3">
      <c r="A18" t="s">
        <v>1071</v>
      </c>
      <c r="B18" s="1" t="s">
        <v>1072</v>
      </c>
      <c r="C18" s="1" t="s">
        <v>7</v>
      </c>
      <c r="D18" s="1" t="s">
        <v>1044</v>
      </c>
      <c r="E18" s="9">
        <v>38353</v>
      </c>
      <c r="F18" s="1" t="str">
        <f>VLOOKUP(D18,Table11[[Name]:[Native]],3,FALSE)</f>
        <v>商州区</v>
      </c>
      <c r="G18" s="12" t="str">
        <f ca="1">VLOOKUP(F18,Table11[[Native]:[Population4]],5,FALSE)</f>
        <v>商洛市</v>
      </c>
    </row>
    <row r="19" spans="1:7" ht="15.75" thickBot="1" x14ac:dyDescent="0.3">
      <c r="A19" t="s">
        <v>1073</v>
      </c>
      <c r="B19" s="1" t="s">
        <v>1074</v>
      </c>
      <c r="C19" s="1" t="s">
        <v>7</v>
      </c>
      <c r="D19" s="1" t="s">
        <v>1065</v>
      </c>
      <c r="E19" s="9">
        <v>13257</v>
      </c>
      <c r="F19" s="1" t="str">
        <f>VLOOKUP(D19,Table11[[Name]:[Native]],3,FALSE)</f>
        <v>镇安县</v>
      </c>
      <c r="G19" s="12" t="str">
        <f ca="1">VLOOKUP(F19,Table11[[Native]:[Population4]],5,FALSE)</f>
        <v>商洛市</v>
      </c>
    </row>
    <row r="20" spans="1:7" ht="15.75" thickBot="1" x14ac:dyDescent="0.3">
      <c r="A20" t="s">
        <v>1075</v>
      </c>
      <c r="B20" s="1" t="s">
        <v>1076</v>
      </c>
      <c r="C20" s="1" t="s">
        <v>7</v>
      </c>
      <c r="D20" s="1" t="s">
        <v>1065</v>
      </c>
      <c r="E20" s="9">
        <v>11247</v>
      </c>
      <c r="F20" s="1" t="str">
        <f>VLOOKUP(D20,Table11[[Name]:[Native]],3,FALSE)</f>
        <v>镇安县</v>
      </c>
      <c r="G20" s="12" t="str">
        <f ca="1">VLOOKUP(F20,Table11[[Native]:[Population4]],5,FALSE)</f>
        <v>商洛市</v>
      </c>
    </row>
    <row r="21" spans="1:7" ht="15.75" thickBot="1" x14ac:dyDescent="0.3">
      <c r="A21" t="s">
        <v>1077</v>
      </c>
      <c r="B21" s="1" t="s">
        <v>1078</v>
      </c>
      <c r="C21" s="1" t="s">
        <v>113</v>
      </c>
      <c r="D21" s="1" t="s">
        <v>1044</v>
      </c>
      <c r="E21" s="9">
        <v>22126</v>
      </c>
      <c r="F21" s="1" t="str">
        <f>VLOOKUP(D21,Table11[[Name]:[Native]],3,FALSE)</f>
        <v>商州区</v>
      </c>
      <c r="G21" s="12" t="str">
        <f ca="1">VLOOKUP(F21,Table11[[Native]:[Population4]],5,FALSE)</f>
        <v>商洛市</v>
      </c>
    </row>
    <row r="22" spans="1:7" ht="15.75" thickBot="1" x14ac:dyDescent="0.3">
      <c r="A22" t="s">
        <v>1079</v>
      </c>
      <c r="B22" s="1" t="s">
        <v>1080</v>
      </c>
      <c r="C22" s="1" t="s">
        <v>7</v>
      </c>
      <c r="D22" s="1" t="s">
        <v>1059</v>
      </c>
      <c r="E22" s="9">
        <v>20521</v>
      </c>
      <c r="F22" s="1" t="str">
        <f>VLOOKUP(D22,Table11[[Name]:[Native]],3,FALSE)</f>
        <v>丹凤县</v>
      </c>
      <c r="G22" s="12" t="str">
        <f ca="1">VLOOKUP(F22,Table11[[Native]:[Population4]],5,FALSE)</f>
        <v>商洛市</v>
      </c>
    </row>
    <row r="23" spans="1:7" ht="15.75" thickBot="1" x14ac:dyDescent="0.3">
      <c r="A23" s="1" t="s">
        <v>1081</v>
      </c>
      <c r="B23" s="1" t="s">
        <v>1082</v>
      </c>
      <c r="C23" s="1" t="s">
        <v>11</v>
      </c>
      <c r="D23" s="1" t="s">
        <v>1059</v>
      </c>
      <c r="E23" s="9">
        <v>4367</v>
      </c>
      <c r="F23" s="1" t="str">
        <f>VLOOKUP(D23,Table11[[Name]:[Native]],3,FALSE)</f>
        <v>丹凤县</v>
      </c>
      <c r="G23" s="12" t="str">
        <f ca="1">VLOOKUP(F23,Table11[[Native]:[Population4]],5,FALSE)</f>
        <v>商洛市</v>
      </c>
    </row>
    <row r="24" spans="1:7" ht="15.75" thickBot="1" x14ac:dyDescent="0.3">
      <c r="A24" t="s">
        <v>1083</v>
      </c>
      <c r="B24" s="1" t="s">
        <v>1084</v>
      </c>
      <c r="C24" s="1" t="s">
        <v>7</v>
      </c>
      <c r="D24" s="1" t="s">
        <v>1052</v>
      </c>
      <c r="E24" s="9">
        <v>17328</v>
      </c>
      <c r="F24" s="1" t="str">
        <f>VLOOKUP(D24,Table11[[Name]:[Native]],3,FALSE)</f>
        <v>山阳县</v>
      </c>
      <c r="G24" s="12" t="str">
        <f ca="1">VLOOKUP(F24,Table11[[Native]:[Population4]],5,FALSE)</f>
        <v>商洛市</v>
      </c>
    </row>
    <row r="25" spans="1:7" ht="15.75" thickBot="1" x14ac:dyDescent="0.3">
      <c r="A25" t="s">
        <v>1085</v>
      </c>
      <c r="B25" s="1" t="s">
        <v>1086</v>
      </c>
      <c r="C25" s="1" t="s">
        <v>7</v>
      </c>
      <c r="D25" s="1" t="s">
        <v>1062</v>
      </c>
      <c r="E25" s="9">
        <v>17850</v>
      </c>
      <c r="F25" s="1" t="str">
        <f>VLOOKUP(D25,Table11[[Name]:[Native]],3,FALSE)</f>
        <v>柞水县</v>
      </c>
      <c r="G25" s="12" t="str">
        <f ca="1">VLOOKUP(F25,Table11[[Native]:[Population4]],5,FALSE)</f>
        <v>商洛市</v>
      </c>
    </row>
    <row r="26" spans="1:7" ht="15.75" thickBot="1" x14ac:dyDescent="0.3">
      <c r="A26" t="s">
        <v>1087</v>
      </c>
      <c r="B26" s="1" t="s">
        <v>1088</v>
      </c>
      <c r="C26" s="1" t="s">
        <v>7</v>
      </c>
      <c r="D26" s="1" t="s">
        <v>1041</v>
      </c>
      <c r="E26" s="9">
        <v>21753</v>
      </c>
      <c r="F26" s="1" t="str">
        <f>VLOOKUP(D26,Table11[[Name]:[Native]],3,FALSE)</f>
        <v>商南县</v>
      </c>
      <c r="G26" s="12" t="str">
        <f ca="1">VLOOKUP(F26,Table11[[Native]:[Population4]],5,FALSE)</f>
        <v>商洛市</v>
      </c>
    </row>
    <row r="27" spans="1:7" ht="15.75" thickBot="1" x14ac:dyDescent="0.3">
      <c r="A27" t="s">
        <v>1089</v>
      </c>
      <c r="B27" s="1" t="s">
        <v>1090</v>
      </c>
      <c r="C27" s="1" t="s">
        <v>7</v>
      </c>
      <c r="D27" s="1" t="s">
        <v>1052</v>
      </c>
      <c r="E27" s="9">
        <v>38703</v>
      </c>
      <c r="F27" s="1" t="str">
        <f>VLOOKUP(D27,Table11[[Name]:[Native]],3,FALSE)</f>
        <v>山阳县</v>
      </c>
      <c r="G27" s="12" t="str">
        <f ca="1">VLOOKUP(F27,Table11[[Native]:[Population4]],5,FALSE)</f>
        <v>商洛市</v>
      </c>
    </row>
    <row r="28" spans="1:7" ht="15.75" thickBot="1" x14ac:dyDescent="0.3">
      <c r="A28" t="s">
        <v>1091</v>
      </c>
      <c r="B28" s="1" t="s">
        <v>1092</v>
      </c>
      <c r="C28" s="1" t="s">
        <v>7</v>
      </c>
      <c r="D28" s="1" t="s">
        <v>1065</v>
      </c>
      <c r="E28" s="9">
        <v>17707</v>
      </c>
      <c r="F28" s="1" t="str">
        <f>VLOOKUP(D28,Table11[[Name]:[Native]],3,FALSE)</f>
        <v>镇安县</v>
      </c>
      <c r="G28" s="12" t="str">
        <f ca="1">VLOOKUP(F28,Table11[[Native]:[Population4]],5,FALSE)</f>
        <v>商洛市</v>
      </c>
    </row>
    <row r="29" spans="1:7" ht="15.75" thickBot="1" x14ac:dyDescent="0.3">
      <c r="A29" t="s">
        <v>1093</v>
      </c>
      <c r="B29" s="1" t="s">
        <v>1094</v>
      </c>
      <c r="C29" s="1" t="s">
        <v>7</v>
      </c>
      <c r="D29" s="1" t="s">
        <v>1047</v>
      </c>
      <c r="E29" s="9">
        <v>11081</v>
      </c>
      <c r="F29" s="1" t="str">
        <f>VLOOKUP(D29,Table11[[Name]:[Native]],3,FALSE)</f>
        <v>洛南县</v>
      </c>
      <c r="G29" s="12" t="str">
        <f ca="1">VLOOKUP(F29,Table11[[Native]:[Population4]],5,FALSE)</f>
        <v>商洛市</v>
      </c>
    </row>
    <row r="30" spans="1:7" ht="15.75" thickBot="1" x14ac:dyDescent="0.3">
      <c r="A30" s="1" t="s">
        <v>1095</v>
      </c>
      <c r="B30" s="1" t="s">
        <v>1096</v>
      </c>
      <c r="C30" s="1" t="s">
        <v>11</v>
      </c>
      <c r="D30" s="1" t="s">
        <v>1052</v>
      </c>
      <c r="E30" s="9">
        <v>4933</v>
      </c>
      <c r="F30" s="1" t="str">
        <f>VLOOKUP(D30,Table11[[Name]:[Native]],3,FALSE)</f>
        <v>山阳县</v>
      </c>
      <c r="G30" s="12" t="str">
        <f ca="1">VLOOKUP(F30,Table11[[Native]:[Population4]],5,FALSE)</f>
        <v>商洛市</v>
      </c>
    </row>
    <row r="31" spans="1:7" ht="15.75" thickBot="1" x14ac:dyDescent="0.3">
      <c r="A31" s="1" t="s">
        <v>1097</v>
      </c>
      <c r="B31" s="1" t="s">
        <v>1098</v>
      </c>
      <c r="C31" s="1" t="s">
        <v>11</v>
      </c>
      <c r="D31" s="1" t="s">
        <v>1065</v>
      </c>
      <c r="E31" s="9">
        <v>5587</v>
      </c>
      <c r="F31" s="1" t="str">
        <f>VLOOKUP(D31,Table11[[Name]:[Native]],3,FALSE)</f>
        <v>镇安县</v>
      </c>
      <c r="G31" s="12" t="str">
        <f ca="1">VLOOKUP(F31,Table11[[Native]:[Population4]],5,FALSE)</f>
        <v>商洛市</v>
      </c>
    </row>
    <row r="32" spans="1:7" ht="15.75" thickBot="1" x14ac:dyDescent="0.3">
      <c r="A32" t="s">
        <v>1099</v>
      </c>
      <c r="B32" s="1" t="s">
        <v>734</v>
      </c>
      <c r="C32" s="1" t="s">
        <v>7</v>
      </c>
      <c r="D32" s="1" t="s">
        <v>1047</v>
      </c>
      <c r="E32" s="9">
        <v>37771</v>
      </c>
      <c r="F32" s="1" t="str">
        <f>VLOOKUP(D32,Table11[[Name]:[Native]],3,FALSE)</f>
        <v>洛南县</v>
      </c>
      <c r="G32" s="12" t="str">
        <f ca="1">VLOOKUP(F32,Table11[[Native]:[Population4]],5,FALSE)</f>
        <v>商洛市</v>
      </c>
    </row>
    <row r="33" spans="1:7" ht="15.75" thickBot="1" x14ac:dyDescent="0.3">
      <c r="A33" t="s">
        <v>1100</v>
      </c>
      <c r="B33" s="1" t="s">
        <v>1101</v>
      </c>
      <c r="C33" s="1" t="s">
        <v>7</v>
      </c>
      <c r="D33" s="1" t="s">
        <v>1041</v>
      </c>
      <c r="E33" s="9">
        <v>20178</v>
      </c>
      <c r="F33" s="1" t="str">
        <f>VLOOKUP(D33,Table11[[Name]:[Native]],3,FALSE)</f>
        <v>商南县</v>
      </c>
      <c r="G33" s="12" t="str">
        <f ca="1">VLOOKUP(F33,Table11[[Native]:[Population4]],5,FALSE)</f>
        <v>商洛市</v>
      </c>
    </row>
    <row r="34" spans="1:7" ht="15.75" thickBot="1" x14ac:dyDescent="0.3">
      <c r="A34" t="s">
        <v>1102</v>
      </c>
      <c r="B34" s="1" t="s">
        <v>1103</v>
      </c>
      <c r="C34" s="1" t="s">
        <v>7</v>
      </c>
      <c r="D34" s="1" t="s">
        <v>1044</v>
      </c>
      <c r="E34" s="9">
        <v>12670</v>
      </c>
      <c r="F34" s="1" t="str">
        <f>VLOOKUP(D34,Table11[[Name]:[Native]],3,FALSE)</f>
        <v>商州区</v>
      </c>
      <c r="G34" s="12" t="str">
        <f ca="1">VLOOKUP(F34,Table11[[Native]:[Population4]],5,FALSE)</f>
        <v>商洛市</v>
      </c>
    </row>
    <row r="35" spans="1:7" ht="15.75" thickBot="1" x14ac:dyDescent="0.3">
      <c r="A35" s="1" t="s">
        <v>1104</v>
      </c>
      <c r="B35" s="1" t="s">
        <v>1105</v>
      </c>
      <c r="C35" s="1" t="s">
        <v>11</v>
      </c>
      <c r="D35" s="1" t="s">
        <v>1044</v>
      </c>
      <c r="E35" s="9">
        <v>7851</v>
      </c>
      <c r="F35" s="1" t="str">
        <f>VLOOKUP(D35,Table11[[Name]:[Native]],3,FALSE)</f>
        <v>商州区</v>
      </c>
      <c r="G35" s="12" t="str">
        <f ca="1">VLOOKUP(F35,Table11[[Native]:[Population4]],5,FALSE)</f>
        <v>商洛市</v>
      </c>
    </row>
    <row r="36" spans="1:7" ht="15.75" thickBot="1" x14ac:dyDescent="0.3">
      <c r="A36" t="s">
        <v>1106</v>
      </c>
      <c r="B36" s="1" t="s">
        <v>1107</v>
      </c>
      <c r="C36" s="1" t="s">
        <v>7</v>
      </c>
      <c r="D36" s="1" t="s">
        <v>1062</v>
      </c>
      <c r="E36" s="9">
        <v>13677</v>
      </c>
      <c r="F36" s="1" t="str">
        <f>VLOOKUP(D36,Table11[[Name]:[Native]],3,FALSE)</f>
        <v>柞水县</v>
      </c>
      <c r="G36" s="12" t="str">
        <f ca="1">VLOOKUP(F36,Table11[[Native]:[Population4]],5,FALSE)</f>
        <v>商洛市</v>
      </c>
    </row>
    <row r="37" spans="1:7" ht="15.75" thickBot="1" x14ac:dyDescent="0.3">
      <c r="A37" t="s">
        <v>1108</v>
      </c>
      <c r="B37" s="1" t="s">
        <v>1109</v>
      </c>
      <c r="C37" s="1" t="s">
        <v>11</v>
      </c>
      <c r="D37" s="1" t="s">
        <v>1065</v>
      </c>
      <c r="E37" s="9">
        <v>6104</v>
      </c>
      <c r="F37" s="1" t="str">
        <f>VLOOKUP(D37,Table11[[Name]:[Native]],3,FALSE)</f>
        <v>镇安县</v>
      </c>
      <c r="G37" s="12" t="str">
        <f ca="1">VLOOKUP(F37,Table11[[Native]:[Population4]],5,FALSE)</f>
        <v>商洛市</v>
      </c>
    </row>
    <row r="38" spans="1:7" ht="15.75" thickBot="1" x14ac:dyDescent="0.3">
      <c r="A38" t="s">
        <v>1110</v>
      </c>
      <c r="B38" s="1" t="s">
        <v>1111</v>
      </c>
      <c r="C38" s="1" t="s">
        <v>11</v>
      </c>
      <c r="D38" s="1" t="s">
        <v>1052</v>
      </c>
      <c r="E38" s="9">
        <v>6513</v>
      </c>
      <c r="F38" s="1" t="str">
        <f>VLOOKUP(D38,Table11[[Name]:[Native]],3,FALSE)</f>
        <v>山阳县</v>
      </c>
      <c r="G38" s="12" t="str">
        <f ca="1">VLOOKUP(F38,Table11[[Native]:[Population4]],5,FALSE)</f>
        <v>商洛市</v>
      </c>
    </row>
    <row r="39" spans="1:7" ht="15.75" thickBot="1" x14ac:dyDescent="0.3">
      <c r="A39" t="s">
        <v>1112</v>
      </c>
      <c r="B39" s="1" t="s">
        <v>1113</v>
      </c>
      <c r="C39" s="1" t="s">
        <v>7</v>
      </c>
      <c r="D39" s="1" t="s">
        <v>1059</v>
      </c>
      <c r="E39" s="9">
        <v>8879</v>
      </c>
      <c r="F39" s="1" t="str">
        <f>VLOOKUP(D39,Table11[[Name]:[Native]],3,FALSE)</f>
        <v>丹凤县</v>
      </c>
      <c r="G39" s="12" t="str">
        <f ca="1">VLOOKUP(F39,Table11[[Native]:[Population4]],5,FALSE)</f>
        <v>商洛市</v>
      </c>
    </row>
    <row r="40" spans="1:7" ht="15.75" thickBot="1" x14ac:dyDescent="0.3">
      <c r="A40" s="1" t="s">
        <v>1114</v>
      </c>
      <c r="B40" s="1" t="s">
        <v>1115</v>
      </c>
      <c r="C40" s="1" t="s">
        <v>11</v>
      </c>
      <c r="D40" s="1" t="s">
        <v>1059</v>
      </c>
      <c r="E40" s="9">
        <v>5031</v>
      </c>
      <c r="F40" s="1" t="str">
        <f>VLOOKUP(D40,Table11[[Name]:[Native]],3,FALSE)</f>
        <v>丹凤县</v>
      </c>
      <c r="G40" s="12" t="str">
        <f ca="1">VLOOKUP(F40,Table11[[Native]:[Population4]],5,FALSE)</f>
        <v>商洛市</v>
      </c>
    </row>
    <row r="41" spans="1:7" ht="15.75" thickBot="1" x14ac:dyDescent="0.3">
      <c r="A41" t="s">
        <v>1116</v>
      </c>
      <c r="B41" s="1" t="s">
        <v>1117</v>
      </c>
      <c r="C41" s="1" t="s">
        <v>7</v>
      </c>
      <c r="D41" s="1" t="s">
        <v>1065</v>
      </c>
      <c r="E41" s="9">
        <v>10464</v>
      </c>
      <c r="F41" s="1" t="str">
        <f>VLOOKUP(D41,Table11[[Name]:[Native]],3,FALSE)</f>
        <v>镇安县</v>
      </c>
      <c r="G41" s="12" t="str">
        <f ca="1">VLOOKUP(F41,Table11[[Native]:[Population4]],5,FALSE)</f>
        <v>商洛市</v>
      </c>
    </row>
    <row r="42" spans="1:7" ht="15.75" thickBot="1" x14ac:dyDescent="0.3">
      <c r="A42" t="s">
        <v>1118</v>
      </c>
      <c r="B42" s="1" t="s">
        <v>1119</v>
      </c>
      <c r="C42" s="1" t="s">
        <v>7</v>
      </c>
      <c r="D42" s="1" t="s">
        <v>1052</v>
      </c>
      <c r="E42" s="9">
        <v>27167</v>
      </c>
      <c r="F42" s="1" t="str">
        <f>VLOOKUP(D42,Table11[[Name]:[Native]],3,FALSE)</f>
        <v>山阳县</v>
      </c>
      <c r="G42" s="12" t="str">
        <f ca="1">VLOOKUP(F42,Table11[[Native]:[Population4]],5,FALSE)</f>
        <v>商洛市</v>
      </c>
    </row>
    <row r="43" spans="1:7" ht="15.75" thickBot="1" x14ac:dyDescent="0.3">
      <c r="A43" s="1" t="s">
        <v>1120</v>
      </c>
      <c r="B43" s="1" t="s">
        <v>1121</v>
      </c>
      <c r="C43" s="1" t="s">
        <v>11</v>
      </c>
      <c r="D43" s="1" t="s">
        <v>1047</v>
      </c>
      <c r="E43" s="9">
        <v>7336</v>
      </c>
      <c r="F43" s="1" t="str">
        <f>VLOOKUP(D43,Table11[[Name]:[Native]],3,FALSE)</f>
        <v>洛南县</v>
      </c>
      <c r="G43" s="12" t="str">
        <f ca="1">VLOOKUP(F43,Table11[[Native]:[Population4]],5,FALSE)</f>
        <v>商洛市</v>
      </c>
    </row>
    <row r="44" spans="1:7" ht="15.75" thickBot="1" x14ac:dyDescent="0.3">
      <c r="A44" t="s">
        <v>1122</v>
      </c>
      <c r="B44" s="1" t="s">
        <v>1123</v>
      </c>
      <c r="C44" s="1" t="s">
        <v>11</v>
      </c>
      <c r="D44" s="1" t="s">
        <v>1065</v>
      </c>
      <c r="E44" s="9">
        <v>8305</v>
      </c>
      <c r="F44" s="1" t="str">
        <f>VLOOKUP(D44,Table11[[Name]:[Native]],3,FALSE)</f>
        <v>镇安县</v>
      </c>
      <c r="G44" s="12" t="str">
        <f ca="1">VLOOKUP(F44,Table11[[Native]:[Population4]],5,FALSE)</f>
        <v>商洛市</v>
      </c>
    </row>
    <row r="45" spans="1:7" ht="15.75" thickBot="1" x14ac:dyDescent="0.3">
      <c r="A45" t="s">
        <v>1124</v>
      </c>
      <c r="B45" s="1" t="s">
        <v>1125</v>
      </c>
      <c r="C45" s="1" t="s">
        <v>7</v>
      </c>
      <c r="D45" s="1" t="s">
        <v>1047</v>
      </c>
      <c r="E45" s="9">
        <v>38721</v>
      </c>
      <c r="F45" s="1" t="str">
        <f>VLOOKUP(D45,Table11[[Name]:[Native]],3,FALSE)</f>
        <v>洛南县</v>
      </c>
      <c r="G45" s="12" t="str">
        <f ca="1">VLOOKUP(F45,Table11[[Native]:[Population4]],5,FALSE)</f>
        <v>商洛市</v>
      </c>
    </row>
    <row r="46" spans="1:7" ht="15.75" thickBot="1" x14ac:dyDescent="0.3">
      <c r="A46" t="s">
        <v>1126</v>
      </c>
      <c r="B46" s="1" t="s">
        <v>1127</v>
      </c>
      <c r="C46" s="1" t="s">
        <v>7</v>
      </c>
      <c r="D46" s="1" t="s">
        <v>1044</v>
      </c>
      <c r="E46" s="9">
        <v>20196</v>
      </c>
      <c r="F46" s="1" t="str">
        <f>VLOOKUP(D46,Table11[[Name]:[Native]],3,FALSE)</f>
        <v>商州区</v>
      </c>
      <c r="G46" s="12" t="str">
        <f ca="1">VLOOKUP(F46,Table11[[Native]:[Population4]],5,FALSE)</f>
        <v>商洛市</v>
      </c>
    </row>
    <row r="47" spans="1:7" ht="15.75" thickBot="1" x14ac:dyDescent="0.3">
      <c r="A47" t="s">
        <v>1128</v>
      </c>
      <c r="B47" s="1" t="s">
        <v>1129</v>
      </c>
      <c r="C47" s="1" t="s">
        <v>7</v>
      </c>
      <c r="D47" s="1" t="s">
        <v>1041</v>
      </c>
      <c r="E47" s="9">
        <v>23160</v>
      </c>
      <c r="F47" s="1" t="str">
        <f>VLOOKUP(D47,Table11[[Name]:[Native]],3,FALSE)</f>
        <v>商南县</v>
      </c>
      <c r="G47" s="12" t="str">
        <f ca="1">VLOOKUP(F47,Table11[[Native]:[Population4]],5,FALSE)</f>
        <v>商洛市</v>
      </c>
    </row>
    <row r="48" spans="1:7" ht="15.75" thickBot="1" x14ac:dyDescent="0.3">
      <c r="A48" s="1" t="s">
        <v>1130</v>
      </c>
      <c r="B48" s="1" t="s">
        <v>1131</v>
      </c>
      <c r="C48" s="1" t="s">
        <v>11</v>
      </c>
      <c r="D48" s="1" t="s">
        <v>1062</v>
      </c>
      <c r="E48" s="9">
        <v>3369</v>
      </c>
      <c r="F48" s="1" t="str">
        <f>VLOOKUP(D48,Table11[[Name]:[Native]],3,FALSE)</f>
        <v>柞水县</v>
      </c>
      <c r="G48" s="12" t="str">
        <f ca="1">VLOOKUP(F48,Table11[[Native]:[Population4]],5,FALSE)</f>
        <v>商洛市</v>
      </c>
    </row>
    <row r="49" spans="1:7" ht="15.75" thickBot="1" x14ac:dyDescent="0.3">
      <c r="A49" t="s">
        <v>1132</v>
      </c>
      <c r="B49" s="1" t="s">
        <v>1133</v>
      </c>
      <c r="C49" s="1" t="s">
        <v>7</v>
      </c>
      <c r="D49" s="1" t="s">
        <v>1052</v>
      </c>
      <c r="E49" s="9">
        <v>10635</v>
      </c>
      <c r="F49" s="1" t="str">
        <f>VLOOKUP(D49,Table11[[Name]:[Native]],3,FALSE)</f>
        <v>山阳县</v>
      </c>
      <c r="G49" s="12" t="str">
        <f ca="1">VLOOKUP(F49,Table11[[Native]:[Population4]],5,FALSE)</f>
        <v>商洛市</v>
      </c>
    </row>
    <row r="50" spans="1:7" ht="15.75" thickBot="1" x14ac:dyDescent="0.3">
      <c r="A50" s="1" t="s">
        <v>1134</v>
      </c>
      <c r="B50" s="1" t="s">
        <v>1135</v>
      </c>
      <c r="C50" s="1" t="s">
        <v>11</v>
      </c>
      <c r="D50" s="1" t="s">
        <v>1052</v>
      </c>
      <c r="E50" s="9">
        <v>8071</v>
      </c>
      <c r="F50" s="1" t="str">
        <f>VLOOKUP(D50,Table11[[Name]:[Native]],3,FALSE)</f>
        <v>山阳县</v>
      </c>
      <c r="G50" s="12" t="str">
        <f ca="1">VLOOKUP(F50,Table11[[Native]:[Population4]],5,FALSE)</f>
        <v>商洛市</v>
      </c>
    </row>
    <row r="51" spans="1:7" ht="15.75" thickBot="1" x14ac:dyDescent="0.3">
      <c r="A51" t="s">
        <v>1136</v>
      </c>
      <c r="B51" s="1" t="s">
        <v>1137</v>
      </c>
      <c r="C51" s="1" t="s">
        <v>11</v>
      </c>
      <c r="D51" s="1" t="s">
        <v>1044</v>
      </c>
      <c r="E51" s="9">
        <v>11932</v>
      </c>
      <c r="F51" s="1" t="str">
        <f>VLOOKUP(D51,Table11[[Name]:[Native]],3,FALSE)</f>
        <v>商州区</v>
      </c>
      <c r="G51" s="12" t="str">
        <f ca="1">VLOOKUP(F51,Table11[[Native]:[Population4]],5,FALSE)</f>
        <v>商洛市</v>
      </c>
    </row>
    <row r="52" spans="1:7" ht="15.75" thickBot="1" x14ac:dyDescent="0.3">
      <c r="A52" t="s">
        <v>1138</v>
      </c>
      <c r="B52" s="1" t="s">
        <v>1139</v>
      </c>
      <c r="C52" s="1" t="s">
        <v>7</v>
      </c>
      <c r="D52" s="1" t="s">
        <v>1047</v>
      </c>
      <c r="E52" s="9">
        <v>28308</v>
      </c>
      <c r="F52" s="1" t="str">
        <f>VLOOKUP(D52,Table11[[Name]:[Native]],3,FALSE)</f>
        <v>洛南县</v>
      </c>
      <c r="G52" s="12" t="str">
        <f ca="1">VLOOKUP(F52,Table11[[Native]:[Population4]],5,FALSE)</f>
        <v>商洛市</v>
      </c>
    </row>
    <row r="53" spans="1:7" ht="15.75" thickBot="1" x14ac:dyDescent="0.3">
      <c r="A53" t="s">
        <v>1140</v>
      </c>
      <c r="B53" s="1" t="s">
        <v>1141</v>
      </c>
      <c r="C53" s="1" t="s">
        <v>11</v>
      </c>
      <c r="D53" s="1" t="s">
        <v>1065</v>
      </c>
      <c r="E53" s="9">
        <v>10326</v>
      </c>
      <c r="F53" s="1" t="str">
        <f>VLOOKUP(D53,Table11[[Name]:[Native]],3,FALSE)</f>
        <v>镇安县</v>
      </c>
      <c r="G53" s="12" t="str">
        <f ca="1">VLOOKUP(F53,Table11[[Native]:[Population4]],5,FALSE)</f>
        <v>商洛市</v>
      </c>
    </row>
    <row r="54" spans="1:7" ht="15.75" thickBot="1" x14ac:dyDescent="0.3">
      <c r="A54" t="s">
        <v>1142</v>
      </c>
      <c r="B54" s="1" t="s">
        <v>1143</v>
      </c>
      <c r="C54" s="1" t="s">
        <v>113</v>
      </c>
      <c r="D54" s="1" t="s">
        <v>1044</v>
      </c>
      <c r="E54" s="9">
        <v>23579</v>
      </c>
      <c r="F54" s="1" t="str">
        <f>VLOOKUP(D54,Table11[[Name]:[Native]],3,FALSE)</f>
        <v>商州区</v>
      </c>
      <c r="G54" s="12" t="str">
        <f ca="1">VLOOKUP(F54,Table11[[Native]:[Population4]],5,FALSE)</f>
        <v>商洛市</v>
      </c>
    </row>
    <row r="55" spans="1:7" ht="15.75" thickBot="1" x14ac:dyDescent="0.3">
      <c r="A55" t="s">
        <v>1144</v>
      </c>
      <c r="B55" s="1" t="s">
        <v>1145</v>
      </c>
      <c r="C55" s="1" t="s">
        <v>11</v>
      </c>
      <c r="D55" s="1" t="s">
        <v>1059</v>
      </c>
      <c r="E55" s="9">
        <v>5753</v>
      </c>
      <c r="F55" s="1" t="str">
        <f>VLOOKUP(D55,Table11[[Name]:[Native]],3,FALSE)</f>
        <v>丹凤县</v>
      </c>
      <c r="G55" s="12" t="str">
        <f ca="1">VLOOKUP(F55,Table11[[Native]:[Population4]],5,FALSE)</f>
        <v>商洛市</v>
      </c>
    </row>
    <row r="56" spans="1:7" ht="15.75" thickBot="1" x14ac:dyDescent="0.3">
      <c r="A56" t="s">
        <v>1146</v>
      </c>
      <c r="B56" s="1" t="s">
        <v>1147</v>
      </c>
      <c r="C56" s="1" t="s">
        <v>113</v>
      </c>
      <c r="D56" s="1" t="s">
        <v>1059</v>
      </c>
      <c r="E56" s="9">
        <v>83816</v>
      </c>
      <c r="F56" s="1" t="str">
        <f>VLOOKUP(D56,Table11[[Name]:[Native]],3,FALSE)</f>
        <v>丹凤县</v>
      </c>
      <c r="G56" s="12" t="str">
        <f ca="1">VLOOKUP(F56,Table11[[Native]:[Population4]],5,FALSE)</f>
        <v>商洛市</v>
      </c>
    </row>
    <row r="57" spans="1:7" ht="15.75" thickBot="1" x14ac:dyDescent="0.3">
      <c r="A57" s="1" t="s">
        <v>1148</v>
      </c>
      <c r="B57" s="1" t="s">
        <v>1149</v>
      </c>
      <c r="C57" s="1" t="s">
        <v>11</v>
      </c>
      <c r="D57" s="1" t="s">
        <v>1044</v>
      </c>
      <c r="E57" s="9">
        <v>6548</v>
      </c>
      <c r="F57" s="1" t="str">
        <f>VLOOKUP(D57,Table11[[Name]:[Native]],3,FALSE)</f>
        <v>商州区</v>
      </c>
      <c r="G57" s="12" t="str">
        <f ca="1">VLOOKUP(F57,Table11[[Native]:[Population4]],5,FALSE)</f>
        <v>商洛市</v>
      </c>
    </row>
    <row r="58" spans="1:7" ht="15.75" thickBot="1" x14ac:dyDescent="0.3">
      <c r="A58" t="s">
        <v>1150</v>
      </c>
      <c r="B58" s="1" t="s">
        <v>1151</v>
      </c>
      <c r="C58" s="1" t="s">
        <v>7</v>
      </c>
      <c r="D58" s="1" t="s">
        <v>1059</v>
      </c>
      <c r="E58" s="9">
        <v>21044</v>
      </c>
      <c r="F58" s="1" t="str">
        <f>VLOOKUP(D58,Table11[[Name]:[Native]],3,FALSE)</f>
        <v>丹凤县</v>
      </c>
      <c r="G58" s="12" t="str">
        <f ca="1">VLOOKUP(F58,Table11[[Native]:[Population4]],5,FALSE)</f>
        <v>商洛市</v>
      </c>
    </row>
    <row r="59" spans="1:7" ht="15.75" thickBot="1" x14ac:dyDescent="0.3">
      <c r="A59" t="s">
        <v>1152</v>
      </c>
      <c r="B59" s="1" t="s">
        <v>1153</v>
      </c>
      <c r="C59" s="1" t="s">
        <v>7</v>
      </c>
      <c r="D59" s="1" t="s">
        <v>1047</v>
      </c>
      <c r="E59" s="9">
        <v>16672</v>
      </c>
      <c r="F59" s="1" t="str">
        <f>VLOOKUP(D59,Table11[[Name]:[Native]],3,FALSE)</f>
        <v>洛南县</v>
      </c>
      <c r="G59" s="12" t="str">
        <f ca="1">VLOOKUP(F59,Table11[[Native]:[Population4]],5,FALSE)</f>
        <v>商洛市</v>
      </c>
    </row>
    <row r="60" spans="1:7" ht="15.75" thickBot="1" x14ac:dyDescent="0.3">
      <c r="A60" s="1" t="s">
        <v>1154</v>
      </c>
      <c r="B60" s="1" t="s">
        <v>1155</v>
      </c>
      <c r="C60" s="1" t="s">
        <v>11</v>
      </c>
      <c r="D60" s="1" t="s">
        <v>1062</v>
      </c>
      <c r="E60" s="9">
        <v>5773</v>
      </c>
      <c r="F60" s="1" t="str">
        <f>VLOOKUP(D60,Table11[[Name]:[Native]],3,FALSE)</f>
        <v>柞水县</v>
      </c>
      <c r="G60" s="12" t="str">
        <f ca="1">VLOOKUP(F60,Table11[[Native]:[Population4]],5,FALSE)</f>
        <v>商洛市</v>
      </c>
    </row>
    <row r="61" spans="1:7" ht="15.75" thickBot="1" x14ac:dyDescent="0.3">
      <c r="A61" t="s">
        <v>1156</v>
      </c>
      <c r="B61" s="1" t="s">
        <v>1157</v>
      </c>
      <c r="C61" s="1" t="s">
        <v>7</v>
      </c>
      <c r="D61" s="1" t="s">
        <v>1044</v>
      </c>
      <c r="E61" s="9">
        <v>14537</v>
      </c>
      <c r="F61" s="1" t="str">
        <f>VLOOKUP(D61,Table11[[Name]:[Native]],3,FALSE)</f>
        <v>商州区</v>
      </c>
      <c r="G61" s="12" t="str">
        <f ca="1">VLOOKUP(F61,Table11[[Native]:[Population4]],5,FALSE)</f>
        <v>商洛市</v>
      </c>
    </row>
    <row r="62" spans="1:7" ht="15.75" thickBot="1" x14ac:dyDescent="0.3">
      <c r="A62" t="s">
        <v>1158</v>
      </c>
      <c r="B62" s="1" t="s">
        <v>1159</v>
      </c>
      <c r="C62" s="1" t="s">
        <v>7</v>
      </c>
      <c r="D62" s="1" t="s">
        <v>1052</v>
      </c>
      <c r="E62" s="9">
        <v>17098</v>
      </c>
      <c r="F62" s="1" t="str">
        <f>VLOOKUP(D62,Table11[[Name]:[Native]],3,FALSE)</f>
        <v>山阳县</v>
      </c>
      <c r="G62" s="12" t="str">
        <f ca="1">VLOOKUP(F62,Table11[[Native]:[Population4]],5,FALSE)</f>
        <v>商洛市</v>
      </c>
    </row>
    <row r="63" spans="1:7" ht="15.75" thickBot="1" x14ac:dyDescent="0.3">
      <c r="A63" s="1" t="s">
        <v>1160</v>
      </c>
      <c r="B63" s="1" t="s">
        <v>1161</v>
      </c>
      <c r="C63" s="1" t="s">
        <v>11</v>
      </c>
      <c r="D63" s="1" t="s">
        <v>1059</v>
      </c>
      <c r="E63" s="9">
        <v>3910</v>
      </c>
      <c r="F63" s="1" t="str">
        <f>VLOOKUP(D63,Table11[[Name]:[Native]],3,FALSE)</f>
        <v>丹凤县</v>
      </c>
      <c r="G63" s="12" t="str">
        <f ca="1">VLOOKUP(F63,Table11[[Native]:[Population4]],5,FALSE)</f>
        <v>商洛市</v>
      </c>
    </row>
    <row r="64" spans="1:7" ht="15.75" thickBot="1" x14ac:dyDescent="0.3">
      <c r="A64" t="s">
        <v>1162</v>
      </c>
      <c r="B64" s="1" t="s">
        <v>1163</v>
      </c>
      <c r="C64" s="1" t="s">
        <v>7</v>
      </c>
      <c r="D64" s="1" t="s">
        <v>1065</v>
      </c>
      <c r="E64" s="9">
        <v>7991</v>
      </c>
      <c r="F64" s="1" t="str">
        <f>VLOOKUP(D64,Table11[[Name]:[Native]],3,FALSE)</f>
        <v>镇安县</v>
      </c>
      <c r="G64" s="12" t="str">
        <f ca="1">VLOOKUP(F64,Table11[[Native]:[Population4]],5,FALSE)</f>
        <v>商洛市</v>
      </c>
    </row>
    <row r="65" spans="1:7" ht="15.75" thickBot="1" x14ac:dyDescent="0.3">
      <c r="A65" t="s">
        <v>158</v>
      </c>
      <c r="B65" s="1" t="s">
        <v>159</v>
      </c>
      <c r="C65" s="1" t="s">
        <v>7</v>
      </c>
      <c r="D65" s="1" t="s">
        <v>1047</v>
      </c>
      <c r="E65" s="9">
        <v>15763</v>
      </c>
      <c r="F65" s="1" t="str">
        <f>VLOOKUP(D65,Table11[[Name]:[Native]],3,FALSE)</f>
        <v>洛南县</v>
      </c>
      <c r="G65" s="12" t="str">
        <f ca="1">VLOOKUP(F65,Table11[[Native]:[Population4]],5,FALSE)</f>
        <v>商洛市</v>
      </c>
    </row>
    <row r="66" spans="1:7" ht="15.75" thickBot="1" x14ac:dyDescent="0.3">
      <c r="A66" t="s">
        <v>1164</v>
      </c>
      <c r="B66" s="1" t="s">
        <v>1165</v>
      </c>
      <c r="C66" s="1" t="s">
        <v>7</v>
      </c>
      <c r="D66" s="1" t="s">
        <v>1065</v>
      </c>
      <c r="E66" s="9">
        <v>8995</v>
      </c>
      <c r="F66" s="1" t="str">
        <f>VLOOKUP(D66,Table11[[Name]:[Native]],3,FALSE)</f>
        <v>镇安县</v>
      </c>
      <c r="G66" s="12" t="str">
        <f ca="1">VLOOKUP(F66,Table11[[Native]:[Population4]],5,FALSE)</f>
        <v>商洛市</v>
      </c>
    </row>
    <row r="67" spans="1:7" ht="15.75" thickBot="1" x14ac:dyDescent="0.3">
      <c r="A67" s="1" t="s">
        <v>1166</v>
      </c>
      <c r="B67" s="1" t="s">
        <v>1167</v>
      </c>
      <c r="C67" s="1" t="s">
        <v>11</v>
      </c>
      <c r="D67" s="1" t="s">
        <v>1047</v>
      </c>
      <c r="E67" s="9">
        <v>14818</v>
      </c>
      <c r="F67" s="1" t="str">
        <f>VLOOKUP(D67,Table11[[Name]:[Native]],3,FALSE)</f>
        <v>洛南县</v>
      </c>
      <c r="G67" s="12" t="str">
        <f ca="1">VLOOKUP(F67,Table11[[Native]:[Population4]],5,FALSE)</f>
        <v>商洛市</v>
      </c>
    </row>
    <row r="68" spans="1:7" ht="15.75" thickBot="1" x14ac:dyDescent="0.3">
      <c r="A68" t="s">
        <v>1168</v>
      </c>
      <c r="B68" s="1" t="s">
        <v>1169</v>
      </c>
      <c r="C68" s="1" t="s">
        <v>7</v>
      </c>
      <c r="D68" s="1" t="s">
        <v>1065</v>
      </c>
      <c r="E68" s="9">
        <v>18795</v>
      </c>
      <c r="F68" s="1" t="str">
        <f>VLOOKUP(D68,Table11[[Name]:[Native]],3,FALSE)</f>
        <v>镇安县</v>
      </c>
      <c r="G68" s="12" t="str">
        <f ca="1">VLOOKUP(F68,Table11[[Native]:[Population4]],5,FALSE)</f>
        <v>商洛市</v>
      </c>
    </row>
    <row r="69" spans="1:7" ht="15.75" thickBot="1" x14ac:dyDescent="0.3">
      <c r="A69" t="s">
        <v>1170</v>
      </c>
      <c r="B69" s="1" t="s">
        <v>1171</v>
      </c>
      <c r="C69" s="1" t="s">
        <v>7</v>
      </c>
      <c r="D69" s="1" t="s">
        <v>1044</v>
      </c>
      <c r="E69" s="9">
        <v>26328</v>
      </c>
      <c r="F69" s="1" t="str">
        <f>VLOOKUP(D69,Table11[[Name]:[Native]],3,FALSE)</f>
        <v>商州区</v>
      </c>
      <c r="G69" s="12" t="str">
        <f ca="1">VLOOKUP(F69,Table11[[Native]:[Population4]],5,FALSE)</f>
        <v>商洛市</v>
      </c>
    </row>
    <row r="70" spans="1:7" ht="15.75" thickBot="1" x14ac:dyDescent="0.3">
      <c r="A70" t="s">
        <v>1172</v>
      </c>
      <c r="B70" s="1" t="s">
        <v>1173</v>
      </c>
      <c r="C70" s="1" t="s">
        <v>7</v>
      </c>
      <c r="D70" s="1" t="s">
        <v>1065</v>
      </c>
      <c r="E70" s="9">
        <v>9556</v>
      </c>
      <c r="F70" s="1" t="str">
        <f>VLOOKUP(D70,Table11[[Name]:[Native]],3,FALSE)</f>
        <v>镇安县</v>
      </c>
      <c r="G70" s="12" t="str">
        <f ca="1">VLOOKUP(F70,Table11[[Native]:[Population4]],5,FALSE)</f>
        <v>商洛市</v>
      </c>
    </row>
    <row r="71" spans="1:7" ht="15.75" thickBot="1" x14ac:dyDescent="0.3">
      <c r="A71" t="s">
        <v>1174</v>
      </c>
      <c r="B71" s="1" t="s">
        <v>1175</v>
      </c>
      <c r="C71" s="1" t="s">
        <v>7</v>
      </c>
      <c r="D71" s="1" t="s">
        <v>1052</v>
      </c>
      <c r="E71" s="9">
        <v>17112</v>
      </c>
      <c r="F71" s="1" t="str">
        <f>VLOOKUP(D71,Table11[[Name]:[Native]],3,FALSE)</f>
        <v>山阳县</v>
      </c>
      <c r="G71" s="12" t="str">
        <f ca="1">VLOOKUP(F71,Table11[[Native]:[Population4]],5,FALSE)</f>
        <v>商洛市</v>
      </c>
    </row>
    <row r="72" spans="1:7" ht="15.75" thickBot="1" x14ac:dyDescent="0.3">
      <c r="A72" t="s">
        <v>1176</v>
      </c>
      <c r="B72" s="1" t="s">
        <v>1177</v>
      </c>
      <c r="C72" s="1" t="s">
        <v>11</v>
      </c>
      <c r="D72" s="1" t="s">
        <v>1044</v>
      </c>
      <c r="E72" s="9">
        <v>5441</v>
      </c>
      <c r="F72" s="1" t="str">
        <f>VLOOKUP(D72,Table11[[Name]:[Native]],3,FALSE)</f>
        <v>商州区</v>
      </c>
      <c r="G72" s="12" t="str">
        <f ca="1">VLOOKUP(F72,Table11[[Native]:[Population4]],5,FALSE)</f>
        <v>商洛市</v>
      </c>
    </row>
    <row r="73" spans="1:7" ht="15.75" thickBot="1" x14ac:dyDescent="0.3">
      <c r="A73" t="s">
        <v>1178</v>
      </c>
      <c r="B73" s="1" t="s">
        <v>1179</v>
      </c>
      <c r="C73" s="1" t="s">
        <v>113</v>
      </c>
      <c r="D73" s="1" t="s">
        <v>1062</v>
      </c>
      <c r="E73" s="9">
        <v>27137</v>
      </c>
      <c r="F73" s="1" t="str">
        <f>VLOOKUP(D73,Table11[[Name]:[Native]],3,FALSE)</f>
        <v>柞水县</v>
      </c>
      <c r="G73" s="12" t="str">
        <f ca="1">VLOOKUP(F73,Table11[[Native]:[Population4]],5,FALSE)</f>
        <v>商洛市</v>
      </c>
    </row>
    <row r="74" spans="1:7" ht="15.75" thickBot="1" x14ac:dyDescent="0.3">
      <c r="A74" t="s">
        <v>1180</v>
      </c>
      <c r="B74" s="1" t="s">
        <v>1181</v>
      </c>
      <c r="C74" s="1" t="s">
        <v>7</v>
      </c>
      <c r="D74" s="1" t="s">
        <v>1041</v>
      </c>
      <c r="E74" s="9">
        <v>10153</v>
      </c>
      <c r="F74" s="1" t="str">
        <f>VLOOKUP(D74,Table11[[Name]:[Native]],3,FALSE)</f>
        <v>商南县</v>
      </c>
      <c r="G74" s="12" t="str">
        <f ca="1">VLOOKUP(F74,Table11[[Native]:[Population4]],5,FALSE)</f>
        <v>商洛市</v>
      </c>
    </row>
    <row r="75" spans="1:7" ht="15.75" thickBot="1" x14ac:dyDescent="0.3">
      <c r="A75" t="s">
        <v>1182</v>
      </c>
      <c r="B75" s="1" t="s">
        <v>1183</v>
      </c>
      <c r="C75" s="1" t="s">
        <v>7</v>
      </c>
      <c r="D75" s="1" t="s">
        <v>1065</v>
      </c>
      <c r="E75" s="9">
        <v>16548</v>
      </c>
      <c r="F75" s="1" t="str">
        <f>VLOOKUP(D75,Table11[[Name]:[Native]],3,FALSE)</f>
        <v>镇安县</v>
      </c>
      <c r="G75" s="12" t="str">
        <f ca="1">VLOOKUP(F75,Table11[[Native]:[Population4]],5,FALSE)</f>
        <v>商洛市</v>
      </c>
    </row>
    <row r="76" spans="1:7" ht="15.75" thickBot="1" x14ac:dyDescent="0.3">
      <c r="A76" t="s">
        <v>1184</v>
      </c>
      <c r="B76" s="1" t="s">
        <v>1185</v>
      </c>
      <c r="C76" s="1" t="s">
        <v>7</v>
      </c>
      <c r="D76" s="1" t="s">
        <v>1041</v>
      </c>
      <c r="E76" s="9">
        <v>11657</v>
      </c>
      <c r="F76" s="1" t="str">
        <f>VLOOKUP(D76,Table11[[Name]:[Native]],3,FALSE)</f>
        <v>商南县</v>
      </c>
      <c r="G76" s="12" t="str">
        <f ca="1">VLOOKUP(F76,Table11[[Native]:[Population4]],5,FALSE)</f>
        <v>商洛市</v>
      </c>
    </row>
    <row r="77" spans="1:7" ht="15.75" thickBot="1" x14ac:dyDescent="0.3">
      <c r="A77" t="s">
        <v>1186</v>
      </c>
      <c r="B77" s="1" t="s">
        <v>1187</v>
      </c>
      <c r="C77" s="1" t="s">
        <v>7</v>
      </c>
      <c r="D77" s="1" t="s">
        <v>1044</v>
      </c>
      <c r="E77" s="9">
        <v>11410</v>
      </c>
      <c r="F77" s="1" t="str">
        <f>VLOOKUP(D77,Table11[[Name]:[Native]],3,FALSE)</f>
        <v>商州区</v>
      </c>
      <c r="G77" s="12" t="str">
        <f ca="1">VLOOKUP(F77,Table11[[Native]:[Population4]],5,FALSE)</f>
        <v>商洛市</v>
      </c>
    </row>
    <row r="78" spans="1:7" ht="15.75" thickBot="1" x14ac:dyDescent="0.3">
      <c r="A78" t="s">
        <v>1188</v>
      </c>
      <c r="B78" s="1" t="s">
        <v>1189</v>
      </c>
      <c r="C78" s="1" t="s">
        <v>7</v>
      </c>
      <c r="D78" s="1" t="s">
        <v>1047</v>
      </c>
      <c r="E78" s="9">
        <v>14027</v>
      </c>
      <c r="F78" s="1" t="str">
        <f>VLOOKUP(D78,Table11[[Name]:[Native]],3,FALSE)</f>
        <v>洛南县</v>
      </c>
      <c r="G78" s="12" t="str">
        <f ca="1">VLOOKUP(F78,Table11[[Native]:[Population4]],5,FALSE)</f>
        <v>商洛市</v>
      </c>
    </row>
    <row r="79" spans="1:7" ht="15.75" thickBot="1" x14ac:dyDescent="0.3">
      <c r="A79" t="s">
        <v>1190</v>
      </c>
      <c r="B79" s="1" t="s">
        <v>1191</v>
      </c>
      <c r="C79" s="1" t="s">
        <v>7</v>
      </c>
      <c r="D79" s="1" t="s">
        <v>1052</v>
      </c>
      <c r="E79" s="9">
        <v>22344</v>
      </c>
      <c r="F79" s="1" t="str">
        <f>VLOOKUP(D79,Table11[[Name]:[Native]],3,FALSE)</f>
        <v>山阳县</v>
      </c>
      <c r="G79" s="12" t="str">
        <f ca="1">VLOOKUP(F79,Table11[[Native]:[Population4]],5,FALSE)</f>
        <v>商洛市</v>
      </c>
    </row>
    <row r="80" spans="1:7" ht="15.75" thickBot="1" x14ac:dyDescent="0.3">
      <c r="A80" t="s">
        <v>1192</v>
      </c>
      <c r="B80" s="1" t="s">
        <v>1193</v>
      </c>
      <c r="C80" s="1" t="s">
        <v>7</v>
      </c>
      <c r="D80" s="1" t="s">
        <v>1044</v>
      </c>
      <c r="E80" s="9">
        <v>27381</v>
      </c>
      <c r="F80" s="1" t="str">
        <f>VLOOKUP(D80,Table11[[Name]:[Native]],3,FALSE)</f>
        <v>商州区</v>
      </c>
      <c r="G80" s="12" t="str">
        <f ca="1">VLOOKUP(F80,Table11[[Native]:[Population4]],5,FALSE)</f>
        <v>商洛市</v>
      </c>
    </row>
    <row r="81" spans="1:7" ht="15.75" thickBot="1" x14ac:dyDescent="0.3">
      <c r="A81" t="s">
        <v>1194</v>
      </c>
      <c r="B81" s="1" t="s">
        <v>1195</v>
      </c>
      <c r="C81" s="1" t="s">
        <v>7</v>
      </c>
      <c r="D81" s="1" t="s">
        <v>1059</v>
      </c>
      <c r="E81" s="9">
        <v>28728</v>
      </c>
      <c r="F81" s="1" t="str">
        <f>VLOOKUP(D81,Table11[[Name]:[Native]],3,FALSE)</f>
        <v>丹凤县</v>
      </c>
      <c r="G81" s="12" t="str">
        <f ca="1">VLOOKUP(F81,Table11[[Native]:[Population4]],5,FALSE)</f>
        <v>商洛市</v>
      </c>
    </row>
    <row r="82" spans="1:7" ht="15.75" thickBot="1" x14ac:dyDescent="0.3">
      <c r="A82" t="s">
        <v>1196</v>
      </c>
      <c r="B82" s="1" t="s">
        <v>1197</v>
      </c>
      <c r="C82" s="1" t="s">
        <v>11</v>
      </c>
      <c r="D82" s="1" t="s">
        <v>1052</v>
      </c>
      <c r="E82" s="9">
        <v>7988</v>
      </c>
      <c r="F82" s="1" t="str">
        <f>VLOOKUP(D82,Table11[[Name]:[Native]],3,FALSE)</f>
        <v>山阳县</v>
      </c>
      <c r="G82" s="12" t="str">
        <f ca="1">VLOOKUP(F82,Table11[[Native]:[Population4]],5,FALSE)</f>
        <v>商洛市</v>
      </c>
    </row>
    <row r="83" spans="1:7" ht="15.75" thickBot="1" x14ac:dyDescent="0.3">
      <c r="A83" t="s">
        <v>1198</v>
      </c>
      <c r="B83" s="1" t="s">
        <v>1199</v>
      </c>
      <c r="C83" s="1" t="s">
        <v>7</v>
      </c>
      <c r="D83" s="1" t="s">
        <v>1041</v>
      </c>
      <c r="E83" s="9">
        <v>11487</v>
      </c>
      <c r="F83" s="1" t="str">
        <f>VLOOKUP(D83,Table11[[Name]:[Native]],3,FALSE)</f>
        <v>商南县</v>
      </c>
      <c r="G83" s="12" t="str">
        <f ca="1">VLOOKUP(F83,Table11[[Native]:[Population4]],5,FALSE)</f>
        <v>商洛市</v>
      </c>
    </row>
    <row r="84" spans="1:7" ht="15.75" thickBot="1" x14ac:dyDescent="0.3">
      <c r="A84" t="s">
        <v>531</v>
      </c>
      <c r="B84" s="1" t="s">
        <v>532</v>
      </c>
      <c r="C84" s="1" t="s">
        <v>113</v>
      </c>
      <c r="D84" s="1" t="s">
        <v>1052</v>
      </c>
      <c r="E84" s="9">
        <v>21406</v>
      </c>
      <c r="F84" s="1" t="str">
        <f>VLOOKUP(D84,Table11[[Name]:[Native]],3,FALSE)</f>
        <v>山阳县</v>
      </c>
      <c r="G84" s="12" t="str">
        <f ca="1">VLOOKUP(F84,Table11[[Native]:[Population4]],5,FALSE)</f>
        <v>商洛市</v>
      </c>
    </row>
    <row r="85" spans="1:7" ht="15.75" thickBot="1" x14ac:dyDescent="0.3">
      <c r="A85" t="s">
        <v>1200</v>
      </c>
      <c r="B85" s="1" t="s">
        <v>1201</v>
      </c>
      <c r="C85" s="1" t="s">
        <v>7</v>
      </c>
      <c r="D85" s="1" t="s">
        <v>1041</v>
      </c>
      <c r="E85" s="9">
        <v>15310</v>
      </c>
      <c r="F85" s="1" t="str">
        <f>VLOOKUP(D85,Table11[[Name]:[Native]],3,FALSE)</f>
        <v>商南县</v>
      </c>
      <c r="G85" s="12" t="str">
        <f ca="1">VLOOKUP(F85,Table11[[Native]:[Population4]],5,FALSE)</f>
        <v>商洛市</v>
      </c>
    </row>
    <row r="86" spans="1:7" ht="15.75" thickBot="1" x14ac:dyDescent="0.3">
      <c r="A86" t="s">
        <v>198</v>
      </c>
      <c r="B86" s="1" t="s">
        <v>197</v>
      </c>
      <c r="C86" s="1" t="s">
        <v>7</v>
      </c>
      <c r="D86" s="1" t="s">
        <v>1047</v>
      </c>
      <c r="E86" s="9">
        <v>25742</v>
      </c>
      <c r="F86" s="1" t="str">
        <f>VLOOKUP(D86,Table11[[Name]:[Native]],3,FALSE)</f>
        <v>洛南县</v>
      </c>
      <c r="G86" s="12" t="str">
        <f ca="1">VLOOKUP(F86,Table11[[Native]:[Population4]],5,FALSE)</f>
        <v>商洛市</v>
      </c>
    </row>
    <row r="87" spans="1:7" ht="15.75" thickBot="1" x14ac:dyDescent="0.3">
      <c r="A87" t="s">
        <v>1202</v>
      </c>
      <c r="B87" s="1" t="s">
        <v>1203</v>
      </c>
      <c r="C87" s="1" t="s">
        <v>7</v>
      </c>
      <c r="D87" s="1" t="s">
        <v>1047</v>
      </c>
      <c r="E87" s="9">
        <v>25086</v>
      </c>
      <c r="F87" s="1" t="str">
        <f>VLOOKUP(D87,Table11[[Name]:[Native]],3,FALSE)</f>
        <v>洛南县</v>
      </c>
      <c r="G87" s="12" t="str">
        <f ca="1">VLOOKUP(F87,Table11[[Native]:[Population4]],5,FALSE)</f>
        <v>商洛市</v>
      </c>
    </row>
    <row r="88" spans="1:7" ht="15.75" thickBot="1" x14ac:dyDescent="0.3">
      <c r="A88" t="s">
        <v>1204</v>
      </c>
      <c r="B88" s="1" t="s">
        <v>1205</v>
      </c>
      <c r="C88" s="1" t="s">
        <v>11</v>
      </c>
      <c r="D88" s="1" t="s">
        <v>1059</v>
      </c>
      <c r="E88" s="9">
        <v>7509</v>
      </c>
      <c r="F88" s="1" t="str">
        <f>VLOOKUP(D88,Table11[[Name]:[Native]],3,FALSE)</f>
        <v>丹凤县</v>
      </c>
      <c r="G88" s="12" t="str">
        <f ca="1">VLOOKUP(F88,Table11[[Native]:[Population4]],5,FALSE)</f>
        <v>商洛市</v>
      </c>
    </row>
    <row r="89" spans="1:7" ht="15.75" thickBot="1" x14ac:dyDescent="0.3">
      <c r="A89" t="s">
        <v>1206</v>
      </c>
      <c r="B89" s="1" t="s">
        <v>1207</v>
      </c>
      <c r="C89" s="1" t="s">
        <v>7</v>
      </c>
      <c r="D89" s="1" t="s">
        <v>1047</v>
      </c>
      <c r="E89" s="9">
        <v>8135</v>
      </c>
      <c r="F89" s="1" t="str">
        <f>VLOOKUP(D89,Table11[[Name]:[Native]],3,FALSE)</f>
        <v>洛南县</v>
      </c>
      <c r="G89" s="12" t="str">
        <f ca="1">VLOOKUP(F89,Table11[[Native]:[Population4]],5,FALSE)</f>
        <v>商洛市</v>
      </c>
    </row>
    <row r="90" spans="1:7" ht="15.75" thickBot="1" x14ac:dyDescent="0.3">
      <c r="A90" t="s">
        <v>1208</v>
      </c>
      <c r="B90" s="1" t="s">
        <v>1209</v>
      </c>
      <c r="C90" s="1" t="s">
        <v>113</v>
      </c>
      <c r="D90" s="1" t="s">
        <v>1047</v>
      </c>
      <c r="E90" s="9">
        <v>26074</v>
      </c>
      <c r="F90" s="1" t="str">
        <f>VLOOKUP(D90,Table11[[Name]:[Native]],3,FALSE)</f>
        <v>洛南县</v>
      </c>
      <c r="G90" s="12" t="str">
        <f ca="1">VLOOKUP(F90,Table11[[Native]:[Population4]],5,FALSE)</f>
        <v>商洛市</v>
      </c>
    </row>
    <row r="91" spans="1:7" ht="15.75" thickBot="1" x14ac:dyDescent="0.3">
      <c r="A91" t="s">
        <v>1210</v>
      </c>
      <c r="B91" s="1" t="s">
        <v>1211</v>
      </c>
      <c r="C91" s="1" t="s">
        <v>7</v>
      </c>
      <c r="D91" s="1" t="s">
        <v>1059</v>
      </c>
      <c r="E91" s="9">
        <v>8652</v>
      </c>
      <c r="F91" s="1" t="str">
        <f>VLOOKUP(D91,Table11[[Name]:[Native]],3,FALSE)</f>
        <v>丹凤县</v>
      </c>
      <c r="G91" s="12" t="str">
        <f ca="1">VLOOKUP(F91,Table11[[Native]:[Population4]],5,FALSE)</f>
        <v>商洛市</v>
      </c>
    </row>
    <row r="92" spans="1:7" ht="15.75" thickBot="1" x14ac:dyDescent="0.3">
      <c r="A92" t="s">
        <v>1212</v>
      </c>
      <c r="B92" s="1" t="s">
        <v>1213</v>
      </c>
      <c r="C92" s="1" t="s">
        <v>7</v>
      </c>
      <c r="D92" s="1" t="s">
        <v>1052</v>
      </c>
      <c r="E92" s="9">
        <v>11770</v>
      </c>
      <c r="F92" s="1" t="str">
        <f>VLOOKUP(D92,Table11[[Name]:[Native]],3,FALSE)</f>
        <v>山阳县</v>
      </c>
      <c r="G92" s="12" t="str">
        <f ca="1">VLOOKUP(F92,Table11[[Native]:[Population4]],5,FALSE)</f>
        <v>商洛市</v>
      </c>
    </row>
    <row r="93" spans="1:7" ht="15.75" thickBot="1" x14ac:dyDescent="0.3">
      <c r="A93" t="s">
        <v>1214</v>
      </c>
      <c r="B93" s="1" t="s">
        <v>1215</v>
      </c>
      <c r="C93" s="1" t="s">
        <v>7</v>
      </c>
      <c r="D93" s="1" t="s">
        <v>1065</v>
      </c>
      <c r="E93" s="9">
        <v>12368</v>
      </c>
      <c r="F93" s="1" t="str">
        <f>VLOOKUP(D93,Table11[[Name]:[Native]],3,FALSE)</f>
        <v>镇安县</v>
      </c>
      <c r="G93" s="12" t="str">
        <f ca="1">VLOOKUP(F93,Table11[[Native]:[Population4]],5,FALSE)</f>
        <v>商洛市</v>
      </c>
    </row>
    <row r="94" spans="1:7" ht="15.75" thickBot="1" x14ac:dyDescent="0.3">
      <c r="A94" t="s">
        <v>1216</v>
      </c>
      <c r="B94" s="1" t="s">
        <v>1217</v>
      </c>
      <c r="C94" s="1" t="s">
        <v>7</v>
      </c>
      <c r="D94" s="1" t="s">
        <v>1059</v>
      </c>
      <c r="E94" s="9">
        <v>16116</v>
      </c>
      <c r="F94" s="1" t="str">
        <f>VLOOKUP(D94,Table11[[Name]:[Native]],3,FALSE)</f>
        <v>丹凤县</v>
      </c>
      <c r="G94" s="12" t="str">
        <f ca="1">VLOOKUP(F94,Table11[[Native]:[Population4]],5,FALSE)</f>
        <v>商洛市</v>
      </c>
    </row>
    <row r="95" spans="1:7" ht="15.75" thickBot="1" x14ac:dyDescent="0.3">
      <c r="A95" t="s">
        <v>1218</v>
      </c>
      <c r="B95" s="1" t="s">
        <v>1219</v>
      </c>
      <c r="C95" s="1" t="s">
        <v>7</v>
      </c>
      <c r="D95" s="1" t="s">
        <v>1059</v>
      </c>
      <c r="E95" s="9">
        <v>13293</v>
      </c>
      <c r="F95" s="1" t="str">
        <f>VLOOKUP(D95,Table11[[Name]:[Native]],3,FALSE)</f>
        <v>丹凤县</v>
      </c>
      <c r="G95" s="12" t="str">
        <f ca="1">VLOOKUP(F95,Table11[[Native]:[Population4]],5,FALSE)</f>
        <v>商洛市</v>
      </c>
    </row>
    <row r="96" spans="1:7" ht="15.75" thickBot="1" x14ac:dyDescent="0.3">
      <c r="A96" t="s">
        <v>1220</v>
      </c>
      <c r="B96" s="1" t="s">
        <v>1221</v>
      </c>
      <c r="C96" s="1" t="s">
        <v>7</v>
      </c>
      <c r="D96" s="1" t="s">
        <v>1062</v>
      </c>
      <c r="E96" s="9">
        <v>7361</v>
      </c>
      <c r="F96" s="1" t="str">
        <f>VLOOKUP(D96,Table11[[Name]:[Native]],3,FALSE)</f>
        <v>柞水县</v>
      </c>
      <c r="G96" s="12" t="str">
        <f ca="1">VLOOKUP(F96,Table11[[Native]:[Population4]],5,FALSE)</f>
        <v>商洛市</v>
      </c>
    </row>
    <row r="97" spans="1:7" ht="15.75" thickBot="1" x14ac:dyDescent="0.3">
      <c r="A97" s="1" t="s">
        <v>1222</v>
      </c>
      <c r="B97" s="1" t="s">
        <v>1223</v>
      </c>
      <c r="C97" s="1" t="s">
        <v>11</v>
      </c>
      <c r="D97" s="1" t="s">
        <v>1047</v>
      </c>
      <c r="E97" s="9">
        <v>6353</v>
      </c>
      <c r="F97" s="1" t="str">
        <f>VLOOKUP(D97,Table11[[Name]:[Native]],3,FALSE)</f>
        <v>洛南县</v>
      </c>
      <c r="G97" s="12" t="str">
        <f ca="1">VLOOKUP(F97,Table11[[Native]:[Population4]],5,FALSE)</f>
        <v>商洛市</v>
      </c>
    </row>
    <row r="98" spans="1:7" ht="15.75" thickBot="1" x14ac:dyDescent="0.3">
      <c r="A98" t="s">
        <v>1224</v>
      </c>
      <c r="B98" s="1" t="s">
        <v>1225</v>
      </c>
      <c r="C98" s="1" t="s">
        <v>7</v>
      </c>
      <c r="D98" s="1" t="s">
        <v>1052</v>
      </c>
      <c r="E98" s="9">
        <v>11330</v>
      </c>
      <c r="F98" s="1" t="str">
        <f>VLOOKUP(D98,Table11[[Name]:[Native]],3,FALSE)</f>
        <v>山阳县</v>
      </c>
      <c r="G98" s="12" t="str">
        <f ca="1">VLOOKUP(F98,Table11[[Native]:[Population4]],5,FALSE)</f>
        <v>商洛市</v>
      </c>
    </row>
    <row r="99" spans="1:7" ht="15.75" thickBot="1" x14ac:dyDescent="0.3">
      <c r="A99" s="1" t="s">
        <v>1226</v>
      </c>
      <c r="B99" s="1" t="s">
        <v>1227</v>
      </c>
      <c r="C99" s="1" t="s">
        <v>11</v>
      </c>
      <c r="D99" s="1" t="s">
        <v>1052</v>
      </c>
      <c r="E99" s="9">
        <v>4413</v>
      </c>
      <c r="F99" s="1" t="str">
        <f>VLOOKUP(D99,Table11[[Name]:[Native]],3,FALSE)</f>
        <v>山阳县</v>
      </c>
      <c r="G99" s="12" t="str">
        <f ca="1">VLOOKUP(F99,Table11[[Native]:[Population4]],5,FALSE)</f>
        <v>商洛市</v>
      </c>
    </row>
    <row r="100" spans="1:7" ht="15.75" thickBot="1" x14ac:dyDescent="0.3">
      <c r="A100" t="s">
        <v>1228</v>
      </c>
      <c r="B100" s="1" t="s">
        <v>1229</v>
      </c>
      <c r="C100" s="1" t="s">
        <v>7</v>
      </c>
      <c r="D100" s="1" t="s">
        <v>1059</v>
      </c>
      <c r="E100" s="9">
        <v>20942</v>
      </c>
      <c r="F100" s="1" t="str">
        <f>VLOOKUP(D100,Table11[[Name]:[Native]],3,FALSE)</f>
        <v>丹凤县</v>
      </c>
      <c r="G100" s="12" t="str">
        <f ca="1">VLOOKUP(F100,Table11[[Native]:[Population4]],5,FALSE)</f>
        <v>商洛市</v>
      </c>
    </row>
    <row r="101" spans="1:7" ht="15.75" thickBot="1" x14ac:dyDescent="0.3">
      <c r="A101" t="s">
        <v>1230</v>
      </c>
      <c r="B101" s="1" t="s">
        <v>1231</v>
      </c>
      <c r="C101" s="1" t="s">
        <v>11</v>
      </c>
      <c r="D101" s="1" t="s">
        <v>1052</v>
      </c>
      <c r="E101" s="9">
        <v>4662</v>
      </c>
      <c r="F101" s="1" t="str">
        <f>VLOOKUP(D101,Table11[[Name]:[Native]],3,FALSE)</f>
        <v>山阳县</v>
      </c>
      <c r="G101" s="12" t="str">
        <f ca="1">VLOOKUP(F101,Table11[[Native]:[Population4]],5,FALSE)</f>
        <v>商洛市</v>
      </c>
    </row>
    <row r="102" spans="1:7" ht="15.75" thickBot="1" x14ac:dyDescent="0.3">
      <c r="A102" t="s">
        <v>1232</v>
      </c>
      <c r="B102" s="1" t="s">
        <v>1233</v>
      </c>
      <c r="C102" s="1" t="s">
        <v>7</v>
      </c>
      <c r="D102" s="1" t="s">
        <v>1062</v>
      </c>
      <c r="E102" s="9">
        <v>20273</v>
      </c>
      <c r="F102" s="1" t="str">
        <f>VLOOKUP(D102,Table11[[Name]:[Native]],3,FALSE)</f>
        <v>柞水县</v>
      </c>
      <c r="G102" s="12" t="str">
        <f ca="1">VLOOKUP(F102,Table11[[Native]:[Population4]],5,FALSE)</f>
        <v>商洛市</v>
      </c>
    </row>
    <row r="103" spans="1:7" ht="15.75" thickBot="1" x14ac:dyDescent="0.3">
      <c r="A103" t="s">
        <v>1234</v>
      </c>
      <c r="B103" s="1" t="s">
        <v>1235</v>
      </c>
      <c r="C103" s="1" t="s">
        <v>7</v>
      </c>
      <c r="D103" s="1" t="s">
        <v>1041</v>
      </c>
      <c r="E103" s="9">
        <v>17393</v>
      </c>
      <c r="F103" s="1" t="str">
        <f>VLOOKUP(D103,Table11[[Name]:[Native]],3,FALSE)</f>
        <v>商南县</v>
      </c>
      <c r="G103" s="12" t="str">
        <f ca="1">VLOOKUP(F103,Table11[[Native]:[Population4]],5,FALSE)</f>
        <v>商洛市</v>
      </c>
    </row>
    <row r="104" spans="1:7" ht="15.75" thickBot="1" x14ac:dyDescent="0.3">
      <c r="A104" t="s">
        <v>1236</v>
      </c>
      <c r="B104" s="1" t="s">
        <v>1237</v>
      </c>
      <c r="C104" s="1" t="s">
        <v>7</v>
      </c>
      <c r="D104" s="1" t="s">
        <v>1052</v>
      </c>
      <c r="E104" s="9">
        <v>20020</v>
      </c>
      <c r="F104" s="1" t="str">
        <f>VLOOKUP(D104,Table11[[Name]:[Native]],3,FALSE)</f>
        <v>山阳县</v>
      </c>
      <c r="G104" s="12" t="str">
        <f ca="1">VLOOKUP(F104,Table11[[Native]:[Population4]],5,FALSE)</f>
        <v>商洛市</v>
      </c>
    </row>
    <row r="105" spans="1:7" ht="15.75" thickBot="1" x14ac:dyDescent="0.3">
      <c r="A105" t="s">
        <v>1238</v>
      </c>
      <c r="B105" s="1" t="s">
        <v>1239</v>
      </c>
      <c r="C105" s="1" t="s">
        <v>7</v>
      </c>
      <c r="D105" s="1" t="s">
        <v>1062</v>
      </c>
      <c r="E105" s="9">
        <v>11412</v>
      </c>
      <c r="F105" s="1" t="str">
        <f>VLOOKUP(D105,Table11[[Name]:[Native]],3,FALSE)</f>
        <v>柞水县</v>
      </c>
      <c r="G105" s="12" t="str">
        <f ca="1">VLOOKUP(F105,Table11[[Native]:[Population4]],5,FALSE)</f>
        <v>商洛市</v>
      </c>
    </row>
    <row r="106" spans="1:7" ht="15.75" thickBot="1" x14ac:dyDescent="0.3">
      <c r="A106" s="1" t="s">
        <v>1240</v>
      </c>
      <c r="B106" s="1" t="s">
        <v>1241</v>
      </c>
      <c r="C106" s="1" t="s">
        <v>7</v>
      </c>
      <c r="D106" s="1" t="s">
        <v>1044</v>
      </c>
      <c r="E106" s="9">
        <v>13754</v>
      </c>
      <c r="F106" s="1" t="str">
        <f>VLOOKUP(D106,Table11[[Name]:[Native]],3,FALSE)</f>
        <v>商州区</v>
      </c>
      <c r="G106" s="12" t="str">
        <f ca="1">VLOOKUP(F106,Table11[[Native]:[Population4]],5,FALSE)</f>
        <v>商洛市</v>
      </c>
    </row>
    <row r="107" spans="1:7" ht="15.75" thickBot="1" x14ac:dyDescent="0.3">
      <c r="A107" s="1" t="s">
        <v>1242</v>
      </c>
      <c r="B107" s="1" t="s">
        <v>1243</v>
      </c>
      <c r="C107" s="1" t="s">
        <v>11</v>
      </c>
      <c r="D107" s="1" t="s">
        <v>1065</v>
      </c>
      <c r="E107" s="9">
        <v>2446</v>
      </c>
      <c r="F107" s="1" t="str">
        <f>VLOOKUP(D107,Table11[[Name]:[Native]],3,FALSE)</f>
        <v>镇安县</v>
      </c>
      <c r="G107" s="12" t="str">
        <f ca="1">VLOOKUP(F107,Table11[[Native]:[Population4]],5,FALSE)</f>
        <v>商洛市</v>
      </c>
    </row>
    <row r="108" spans="1:7" ht="15.75" thickBot="1" x14ac:dyDescent="0.3">
      <c r="A108" t="s">
        <v>1244</v>
      </c>
      <c r="B108" s="1" t="s">
        <v>1245</v>
      </c>
      <c r="C108" s="1" t="s">
        <v>7</v>
      </c>
      <c r="D108" s="1" t="s">
        <v>1065</v>
      </c>
      <c r="E108" s="9">
        <v>10842</v>
      </c>
      <c r="F108" s="1" t="str">
        <f>VLOOKUP(D108,Table11[[Name]:[Native]],3,FALSE)</f>
        <v>镇安县</v>
      </c>
      <c r="G108" s="12" t="str">
        <f ca="1">VLOOKUP(F108,Table11[[Native]:[Population4]],5,FALSE)</f>
        <v>商洛市</v>
      </c>
    </row>
    <row r="109" spans="1:7" ht="15.75" thickBot="1" x14ac:dyDescent="0.3">
      <c r="A109" t="s">
        <v>1246</v>
      </c>
      <c r="B109" s="1" t="s">
        <v>1247</v>
      </c>
      <c r="C109" s="1" t="s">
        <v>7</v>
      </c>
      <c r="D109" s="1" t="s">
        <v>1062</v>
      </c>
      <c r="E109" s="9">
        <v>22977</v>
      </c>
      <c r="F109" s="1" t="str">
        <f>VLOOKUP(D109,Table11[[Name]:[Native]],3,FALSE)</f>
        <v>柞水县</v>
      </c>
      <c r="G109" s="12" t="str">
        <f ca="1">VLOOKUP(F109,Table11[[Native]:[Population4]],5,FALSE)</f>
        <v>商洛市</v>
      </c>
    </row>
    <row r="110" spans="1:7" ht="15.75" thickBot="1" x14ac:dyDescent="0.3">
      <c r="A110" s="1" t="s">
        <v>1248</v>
      </c>
      <c r="B110" s="1" t="s">
        <v>1249</v>
      </c>
      <c r="C110" s="1" t="s">
        <v>11</v>
      </c>
      <c r="D110" s="1" t="s">
        <v>1052</v>
      </c>
      <c r="E110" s="9">
        <v>5576</v>
      </c>
      <c r="F110" s="1" t="str">
        <f>VLOOKUP(D110,Table11[[Name]:[Native]],3,FALSE)</f>
        <v>山阳县</v>
      </c>
      <c r="G110" s="12" t="str">
        <f ca="1">VLOOKUP(F110,Table11[[Native]:[Population4]],5,FALSE)</f>
        <v>商洛市</v>
      </c>
    </row>
    <row r="111" spans="1:7" ht="15.75" thickBot="1" x14ac:dyDescent="0.3">
      <c r="A111" t="s">
        <v>1250</v>
      </c>
      <c r="B111" s="1" t="s">
        <v>1251</v>
      </c>
      <c r="C111" s="1" t="s">
        <v>7</v>
      </c>
      <c r="D111" s="1" t="s">
        <v>1052</v>
      </c>
      <c r="E111" s="9">
        <v>11081</v>
      </c>
      <c r="F111" s="1" t="str">
        <f>VLOOKUP(D111,Table11[[Name]:[Native]],3,FALSE)</f>
        <v>山阳县</v>
      </c>
      <c r="G111" s="12" t="str">
        <f ca="1">VLOOKUP(F111,Table11[[Native]:[Population4]],5,FALSE)</f>
        <v>商洛市</v>
      </c>
    </row>
    <row r="112" spans="1:7" ht="15.75" thickBot="1" x14ac:dyDescent="0.3">
      <c r="A112" t="s">
        <v>1252</v>
      </c>
      <c r="B112" s="1" t="s">
        <v>1253</v>
      </c>
      <c r="C112" s="1" t="s">
        <v>7</v>
      </c>
      <c r="D112" s="1" t="s">
        <v>1047</v>
      </c>
      <c r="E112" s="9">
        <v>8092</v>
      </c>
      <c r="F112" s="1" t="str">
        <f>VLOOKUP(D112,Table11[[Name]:[Native]],3,FALSE)</f>
        <v>洛南县</v>
      </c>
      <c r="G112" s="12" t="str">
        <f ca="1">VLOOKUP(F112,Table11[[Native]:[Population4]],5,FALSE)</f>
        <v>商洛市</v>
      </c>
    </row>
    <row r="113" spans="1:7" ht="15.75" thickBot="1" x14ac:dyDescent="0.3">
      <c r="A113" t="s">
        <v>1254</v>
      </c>
      <c r="B113" s="1" t="s">
        <v>1255</v>
      </c>
      <c r="C113" s="1" t="s">
        <v>7</v>
      </c>
      <c r="D113" s="1" t="s">
        <v>1044</v>
      </c>
      <c r="E113" s="9">
        <v>9300</v>
      </c>
      <c r="F113" s="1" t="str">
        <f>VLOOKUP(D113,Table11[[Name]:[Native]],3,FALSE)</f>
        <v>商州区</v>
      </c>
      <c r="G113" s="12" t="str">
        <f ca="1">VLOOKUP(F113,Table11[[Native]:[Population4]],5,FALSE)</f>
        <v>商洛市</v>
      </c>
    </row>
    <row r="114" spans="1:7" ht="15.75" thickBot="1" x14ac:dyDescent="0.3">
      <c r="A114" t="s">
        <v>1256</v>
      </c>
      <c r="B114" s="1" t="s">
        <v>1257</v>
      </c>
      <c r="C114" s="1" t="s">
        <v>7</v>
      </c>
      <c r="D114" s="1" t="s">
        <v>1052</v>
      </c>
      <c r="E114" s="9">
        <v>21081</v>
      </c>
      <c r="F114" s="1" t="str">
        <f>VLOOKUP(D114,Table11[[Name]:[Native]],3,FALSE)</f>
        <v>山阳县</v>
      </c>
      <c r="G114" s="12" t="str">
        <f ca="1">VLOOKUP(F114,Table11[[Native]:[Population4]],5,FALSE)</f>
        <v>商洛市</v>
      </c>
    </row>
    <row r="115" spans="1:7" ht="15.75" thickBot="1" x14ac:dyDescent="0.3">
      <c r="A115" t="s">
        <v>1258</v>
      </c>
      <c r="B115" s="1" t="s">
        <v>1259</v>
      </c>
      <c r="C115" s="1" t="s">
        <v>7</v>
      </c>
      <c r="D115" s="1" t="s">
        <v>1044</v>
      </c>
      <c r="E115" s="9">
        <v>35206</v>
      </c>
      <c r="F115" s="1" t="str">
        <f>VLOOKUP(D115,Table11[[Name]:[Native]],3,FALSE)</f>
        <v>商州区</v>
      </c>
      <c r="G115" s="12" t="str">
        <f ca="1">VLOOKUP(F115,Table11[[Native]:[Population4]],5,FALSE)</f>
        <v>商洛市</v>
      </c>
    </row>
    <row r="116" spans="1:7" ht="15.75" thickBot="1" x14ac:dyDescent="0.3">
      <c r="A116" t="s">
        <v>1260</v>
      </c>
      <c r="B116" s="1" t="s">
        <v>1261</v>
      </c>
      <c r="C116" s="1" t="s">
        <v>7</v>
      </c>
      <c r="D116" s="1" t="s">
        <v>1044</v>
      </c>
      <c r="E116" s="9">
        <v>27971</v>
      </c>
      <c r="F116" s="1" t="str">
        <f>VLOOKUP(D116,Table11[[Name]:[Native]],3,FALSE)</f>
        <v>商州区</v>
      </c>
      <c r="G116" s="12" t="str">
        <f ca="1">VLOOKUP(F116,Table11[[Native]:[Population4]],5,FALSE)</f>
        <v>商洛市</v>
      </c>
    </row>
    <row r="117" spans="1:7" ht="15.75" thickBot="1" x14ac:dyDescent="0.3">
      <c r="A117" t="s">
        <v>1262</v>
      </c>
      <c r="B117" s="1" t="s">
        <v>1263</v>
      </c>
      <c r="C117" s="1" t="s">
        <v>7</v>
      </c>
      <c r="D117" s="1" t="s">
        <v>1052</v>
      </c>
      <c r="E117" s="9">
        <v>5851</v>
      </c>
      <c r="F117" s="1" t="str">
        <f>VLOOKUP(D117,Table11[[Name]:[Native]],3,FALSE)</f>
        <v>山阳县</v>
      </c>
      <c r="G117" s="12" t="str">
        <f ca="1">VLOOKUP(F117,Table11[[Native]:[Population4]],5,FALSE)</f>
        <v>商洛市</v>
      </c>
    </row>
    <row r="118" spans="1:7" ht="15.75" thickBot="1" x14ac:dyDescent="0.3">
      <c r="A118" t="s">
        <v>1264</v>
      </c>
      <c r="B118" s="1" t="s">
        <v>1265</v>
      </c>
      <c r="C118" s="1" t="s">
        <v>7</v>
      </c>
      <c r="D118" s="1" t="s">
        <v>1044</v>
      </c>
      <c r="E118" s="9">
        <v>20144</v>
      </c>
      <c r="F118" s="1" t="str">
        <f>VLOOKUP(D118,Table11[[Name]:[Native]],3,FALSE)</f>
        <v>商州区</v>
      </c>
      <c r="G118" s="12" t="str">
        <f ca="1">VLOOKUP(F118,Table11[[Native]:[Population4]],5,FALSE)</f>
        <v>商洛市</v>
      </c>
    </row>
    <row r="119" spans="1:7" ht="15.75" thickBot="1" x14ac:dyDescent="0.3">
      <c r="A119" t="s">
        <v>1266</v>
      </c>
      <c r="B119" s="1" t="s">
        <v>1267</v>
      </c>
      <c r="C119" s="1" t="s">
        <v>7</v>
      </c>
      <c r="D119" s="1" t="s">
        <v>1044</v>
      </c>
      <c r="E119" s="9">
        <v>15163</v>
      </c>
      <c r="F119" s="1" t="str">
        <f>VLOOKUP(D119,Table11[[Name]:[Native]],3,FALSE)</f>
        <v>商州区</v>
      </c>
      <c r="G119" s="12" t="str">
        <f ca="1">VLOOKUP(F119,Table11[[Native]:[Population4]],5,FALSE)</f>
        <v>商洛市</v>
      </c>
    </row>
    <row r="120" spans="1:7" ht="15.75" thickBot="1" x14ac:dyDescent="0.3">
      <c r="A120" t="s">
        <v>1268</v>
      </c>
      <c r="B120" s="1" t="s">
        <v>1269</v>
      </c>
      <c r="C120" s="1" t="s">
        <v>7</v>
      </c>
      <c r="D120" s="1" t="s">
        <v>1062</v>
      </c>
      <c r="E120" s="9">
        <v>11750</v>
      </c>
      <c r="F120" s="1" t="str">
        <f>VLOOKUP(D120,Table11[[Name]:[Native]],3,FALSE)</f>
        <v>柞水县</v>
      </c>
      <c r="G120" s="12" t="str">
        <f ca="1">VLOOKUP(F120,Table11[[Native]:[Population4]],5,FALSE)</f>
        <v>商洛市</v>
      </c>
    </row>
    <row r="121" spans="1:7" ht="15.75" thickBot="1" x14ac:dyDescent="0.3">
      <c r="A121" t="s">
        <v>1270</v>
      </c>
      <c r="B121" s="1" t="s">
        <v>1271</v>
      </c>
      <c r="C121" s="1" t="s">
        <v>7</v>
      </c>
      <c r="D121" s="1" t="s">
        <v>1052</v>
      </c>
      <c r="E121" s="9">
        <v>14999</v>
      </c>
      <c r="F121" s="1" t="str">
        <f>VLOOKUP(D121,Table11[[Name]:[Native]],3,FALSE)</f>
        <v>山阳县</v>
      </c>
      <c r="G121" s="12" t="str">
        <f ca="1">VLOOKUP(F121,Table11[[Native]:[Population4]],5,FALSE)</f>
        <v>商洛市</v>
      </c>
    </row>
    <row r="122" spans="1:7" ht="15.75" thickBot="1" x14ac:dyDescent="0.3">
      <c r="A122" t="s">
        <v>1272</v>
      </c>
      <c r="B122" s="1" t="s">
        <v>1273</v>
      </c>
      <c r="C122" s="1" t="s">
        <v>7</v>
      </c>
      <c r="D122" s="1" t="s">
        <v>1047</v>
      </c>
      <c r="E122" s="9">
        <v>33666</v>
      </c>
      <c r="F122" s="1" t="str">
        <f>VLOOKUP(D122,Table11[[Name]:[Native]],3,FALSE)</f>
        <v>洛南县</v>
      </c>
      <c r="G122" s="12" t="str">
        <f ca="1">VLOOKUP(F122,Table11[[Native]:[Population4]],5,FALSE)</f>
        <v>商洛市</v>
      </c>
    </row>
    <row r="123" spans="1:7" ht="15.75" thickBot="1" x14ac:dyDescent="0.3">
      <c r="A123" t="s">
        <v>1274</v>
      </c>
      <c r="B123" s="1" t="s">
        <v>1275</v>
      </c>
      <c r="C123" s="1" t="s">
        <v>113</v>
      </c>
      <c r="D123" s="1" t="s">
        <v>1065</v>
      </c>
      <c r="E123" s="9">
        <v>63859</v>
      </c>
      <c r="F123" s="1" t="str">
        <f>VLOOKUP(D123,Table11[[Name]:[Native]],3,FALSE)</f>
        <v>镇安县</v>
      </c>
      <c r="G123" s="12" t="str">
        <f ca="1">VLOOKUP(F123,Table11[[Native]:[Population4]],5,FALSE)</f>
        <v>商洛市</v>
      </c>
    </row>
    <row r="124" spans="1:7" ht="15.75" thickBot="1" x14ac:dyDescent="0.3">
      <c r="A124" t="s">
        <v>1276</v>
      </c>
      <c r="B124" s="1" t="s">
        <v>1277</v>
      </c>
      <c r="C124" s="1" t="s">
        <v>7</v>
      </c>
      <c r="D124" s="1" t="s">
        <v>1065</v>
      </c>
      <c r="E124" s="9">
        <v>7125</v>
      </c>
      <c r="F124" s="1" t="str">
        <f>VLOOKUP(D124,Table11[[Name]:[Native]],3,FALSE)</f>
        <v>镇安县</v>
      </c>
      <c r="G124" s="12" t="str">
        <f ca="1">VLOOKUP(F124,Table11[[Native]:[Population4]],5,FALSE)</f>
        <v>商洛市</v>
      </c>
    </row>
    <row r="125" spans="1:7" ht="15.75" thickBot="1" x14ac:dyDescent="0.3">
      <c r="A125" t="s">
        <v>1278</v>
      </c>
      <c r="B125" s="1" t="s">
        <v>1279</v>
      </c>
      <c r="C125" s="1" t="s">
        <v>7</v>
      </c>
      <c r="D125" s="1" t="s">
        <v>1059</v>
      </c>
      <c r="E125" s="9">
        <v>15797</v>
      </c>
      <c r="F125" s="1" t="str">
        <f>VLOOKUP(D125,Table11[[Name]:[Native]],3,FALSE)</f>
        <v>丹凤县</v>
      </c>
      <c r="G125" s="12" t="str">
        <f ca="1">VLOOKUP(F125,Table11[[Native]:[Population4]],5,FALSE)</f>
        <v>商洛市</v>
      </c>
    </row>
    <row r="126" spans="1:7" ht="15.75" thickBot="1" x14ac:dyDescent="0.3">
      <c r="A126" t="s">
        <v>1280</v>
      </c>
      <c r="B126" s="1" t="s">
        <v>1281</v>
      </c>
      <c r="C126" s="1" t="s">
        <v>7</v>
      </c>
      <c r="D126" s="1" t="s">
        <v>1065</v>
      </c>
      <c r="E126" s="9">
        <v>13079</v>
      </c>
      <c r="F126" s="1" t="str">
        <f>VLOOKUP(D126,Table11[[Name]:[Native]],3,FALSE)</f>
        <v>镇安县</v>
      </c>
      <c r="G126" s="12" t="str">
        <f ca="1">VLOOKUP(F126,Table11[[Native]:[Population4]],5,FALSE)</f>
        <v>商洛市</v>
      </c>
    </row>
    <row r="127" spans="1:7" ht="15.75" thickBot="1" x14ac:dyDescent="0.3">
      <c r="A127" t="s">
        <v>1282</v>
      </c>
      <c r="B127" s="1" t="s">
        <v>1283</v>
      </c>
      <c r="C127" s="1" t="s">
        <v>7</v>
      </c>
      <c r="D127" s="1" t="s">
        <v>1044</v>
      </c>
      <c r="E127" s="9">
        <v>16146</v>
      </c>
      <c r="F127" s="1" t="str">
        <f>VLOOKUP(D127,Table11[[Name]:[Native]],3,FALSE)</f>
        <v>商州区</v>
      </c>
      <c r="G127" s="12" t="str">
        <f ca="1">VLOOKUP(F127,Table11[[Native]:[Population4]],5,FALSE)</f>
        <v>商洛市</v>
      </c>
    </row>
    <row r="128" spans="1:7" ht="15.75" thickBot="1" x14ac:dyDescent="0.3">
      <c r="A128" t="s">
        <v>1284</v>
      </c>
      <c r="B128" s="1" t="s">
        <v>1285</v>
      </c>
      <c r="C128" s="1" t="s">
        <v>7</v>
      </c>
      <c r="D128" s="1" t="s">
        <v>1041</v>
      </c>
      <c r="E128" s="9">
        <v>17480</v>
      </c>
      <c r="F128" s="1" t="str">
        <f>VLOOKUP(D128,Table11[[Name]:[Native]],3,FALSE)</f>
        <v>商南县</v>
      </c>
      <c r="G128" s="12" t="str">
        <f ca="1">VLOOKUP(F128,Table11[[Native]:[Population4]],5,FALSE)</f>
        <v>商洛市</v>
      </c>
    </row>
    <row r="129" spans="1:7" ht="15.75" thickBot="1" x14ac:dyDescent="0.3">
      <c r="A129" t="s">
        <v>1286</v>
      </c>
      <c r="B129" s="1" t="s">
        <v>1287</v>
      </c>
      <c r="C129" s="1" t="s">
        <v>7</v>
      </c>
      <c r="D129" s="1" t="s">
        <v>1052</v>
      </c>
      <c r="E129" s="9">
        <v>21522</v>
      </c>
      <c r="F129" s="1" t="str">
        <f>VLOOKUP(D129,Table11[[Name]:[Native]],3,FALSE)</f>
        <v>山阳县</v>
      </c>
      <c r="G129" s="12" t="str">
        <f ca="1">VLOOKUP(F129,Table11[[Native]:[Population4]],5,FALSE)</f>
        <v>商洛市</v>
      </c>
    </row>
    <row r="130" spans="1:7" ht="15.75" thickBot="1" x14ac:dyDescent="0.3">
      <c r="A130" t="s">
        <v>1288</v>
      </c>
      <c r="B130" s="1" t="s">
        <v>1289</v>
      </c>
      <c r="C130" s="1" t="s">
        <v>7</v>
      </c>
      <c r="D130" s="1" t="s">
        <v>1059</v>
      </c>
      <c r="E130" s="9">
        <v>22202</v>
      </c>
      <c r="F130" s="8" t="str">
        <f>VLOOKUP(D130,Table11[[Name]:[Native]],3,FALSE)</f>
        <v>丹凤县</v>
      </c>
      <c r="G130" s="12" t="str">
        <f ca="1">VLOOKUP(F130,Table11[[Native]:[Population4]],5,FALSE)</f>
        <v>商洛市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63909-D903-4315-8CF3-F07574D571B7}">
  <dimension ref="A1:G39"/>
  <sheetViews>
    <sheetView workbookViewId="0">
      <selection activeCell="A2" sqref="A2:G39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3166</v>
      </c>
      <c r="G1" t="s">
        <v>3170</v>
      </c>
    </row>
    <row r="2" spans="1:7" ht="15.75" thickBot="1" x14ac:dyDescent="0.3">
      <c r="A2" t="s">
        <v>1290</v>
      </c>
      <c r="B2" s="1" t="s">
        <v>1291</v>
      </c>
      <c r="C2" s="1" t="s">
        <v>7</v>
      </c>
      <c r="D2" s="1" t="s">
        <v>1292</v>
      </c>
      <c r="E2" s="9">
        <v>10375</v>
      </c>
      <c r="F2" s="7" t="str">
        <f>VLOOKUP(D2,Table11[[Name]:[Native]],3,FALSE)</f>
        <v>印台区</v>
      </c>
      <c r="G2" s="12" t="str">
        <f ca="1">VLOOKUP(F2,Table11[[Native]:[Population4]],5,FALSE)</f>
        <v>铜川市</v>
      </c>
    </row>
    <row r="3" spans="1:7" ht="15.75" thickBot="1" x14ac:dyDescent="0.3">
      <c r="A3" t="s">
        <v>373</v>
      </c>
      <c r="B3" s="1" t="s">
        <v>374</v>
      </c>
      <c r="C3" s="1" t="s">
        <v>113</v>
      </c>
      <c r="D3" s="1" t="s">
        <v>1292</v>
      </c>
      <c r="E3" s="9">
        <v>35185</v>
      </c>
      <c r="F3" s="1" t="str">
        <f>VLOOKUP(D3,Table11[[Name]:[Native]],3,FALSE)</f>
        <v>印台区</v>
      </c>
      <c r="G3" s="12" t="str">
        <f ca="1">VLOOKUP(F3,Table11[[Native]:[Population4]],5,FALSE)</f>
        <v>铜川市</v>
      </c>
    </row>
    <row r="4" spans="1:7" ht="15.75" thickBot="1" x14ac:dyDescent="0.3">
      <c r="A4" t="s">
        <v>373</v>
      </c>
      <c r="B4" s="1" t="s">
        <v>1293</v>
      </c>
      <c r="C4" s="1" t="s">
        <v>113</v>
      </c>
      <c r="D4" s="1" t="s">
        <v>1294</v>
      </c>
      <c r="E4" s="9">
        <v>20185</v>
      </c>
      <c r="F4" s="1" t="str">
        <f>VLOOKUP(D4,Table11[[Name]:[Native]],3,FALSE)</f>
        <v>宜君县</v>
      </c>
      <c r="G4" s="12" t="str">
        <f ca="1">VLOOKUP(F4,Table11[[Native]:[Population4]],5,FALSE)</f>
        <v>铜川市</v>
      </c>
    </row>
    <row r="5" spans="1:7" ht="15.75" thickBot="1" x14ac:dyDescent="0.3">
      <c r="A5" t="s">
        <v>1295</v>
      </c>
      <c r="B5" s="1" t="s">
        <v>1296</v>
      </c>
      <c r="C5" s="1" t="s">
        <v>7</v>
      </c>
      <c r="D5" s="1" t="s">
        <v>1292</v>
      </c>
      <c r="E5" s="9">
        <v>15642</v>
      </c>
      <c r="F5" s="1" t="str">
        <f>VLOOKUP(D5,Table11[[Name]:[Native]],3,FALSE)</f>
        <v>印台区</v>
      </c>
      <c r="G5" s="12" t="str">
        <f ca="1">VLOOKUP(F5,Table11[[Native]:[Population4]],5,FALSE)</f>
        <v>铜川市</v>
      </c>
    </row>
    <row r="6" spans="1:7" ht="15.75" thickBot="1" x14ac:dyDescent="0.3">
      <c r="A6" t="s">
        <v>1297</v>
      </c>
      <c r="B6" s="1" t="s">
        <v>1298</v>
      </c>
      <c r="C6" s="1" t="s">
        <v>7</v>
      </c>
      <c r="D6" s="1" t="s">
        <v>1299</v>
      </c>
      <c r="E6" s="9">
        <v>11502</v>
      </c>
      <c r="F6" s="1" t="str">
        <f>VLOOKUP(D6,Table11[[Name]:[Native]],3,FALSE)</f>
        <v>耀州区</v>
      </c>
      <c r="G6" s="12" t="str">
        <f ca="1">VLOOKUP(F6,Table11[[Native]:[Population4]],5,FALSE)</f>
        <v>铜川市</v>
      </c>
    </row>
    <row r="7" spans="1:7" ht="15.75" thickBot="1" x14ac:dyDescent="0.3">
      <c r="A7" t="s">
        <v>1300</v>
      </c>
      <c r="B7" s="1" t="s">
        <v>1301</v>
      </c>
      <c r="C7" s="1" t="s">
        <v>7</v>
      </c>
      <c r="D7" s="1" t="s">
        <v>1292</v>
      </c>
      <c r="E7" s="9">
        <v>39841</v>
      </c>
      <c r="F7" s="1" t="str">
        <f>VLOOKUP(D7,Table11[[Name]:[Native]],3,FALSE)</f>
        <v>印台区</v>
      </c>
      <c r="G7" s="12" t="str">
        <f ca="1">VLOOKUP(F7,Table11[[Native]:[Population4]],5,FALSE)</f>
        <v>铜川市</v>
      </c>
    </row>
    <row r="8" spans="1:7" ht="15.75" thickBot="1" x14ac:dyDescent="0.3">
      <c r="A8" t="s">
        <v>1302</v>
      </c>
      <c r="B8" s="1" t="s">
        <v>1303</v>
      </c>
      <c r="C8" s="1" t="s">
        <v>7</v>
      </c>
      <c r="D8" s="1" t="s">
        <v>1299</v>
      </c>
      <c r="E8" s="9">
        <v>19229</v>
      </c>
      <c r="F8" s="1" t="str">
        <f>VLOOKUP(D8,Table11[[Name]:[Native]],3,FALSE)</f>
        <v>耀州区</v>
      </c>
      <c r="G8" s="12" t="str">
        <f ca="1">VLOOKUP(F8,Table11[[Native]:[Population4]],5,FALSE)</f>
        <v>铜川市</v>
      </c>
    </row>
    <row r="9" spans="1:7" ht="15.75" thickBot="1" x14ac:dyDescent="0.3">
      <c r="A9" t="s">
        <v>1304</v>
      </c>
      <c r="B9" s="1" t="s">
        <v>1305</v>
      </c>
      <c r="C9" s="1" t="s">
        <v>113</v>
      </c>
      <c r="D9" s="1" t="s">
        <v>1306</v>
      </c>
      <c r="E9" s="9">
        <v>53592</v>
      </c>
      <c r="F9" s="1" t="str">
        <f>VLOOKUP(D9,Table11[[Name]:[Native]],3,FALSE)</f>
        <v>王益区</v>
      </c>
      <c r="G9" s="12" t="str">
        <f ca="1">VLOOKUP(F9,Table11[[Native]:[Population4]],5,FALSE)</f>
        <v>铜川市</v>
      </c>
    </row>
    <row r="10" spans="1:7" ht="15.75" thickBot="1" x14ac:dyDescent="0.3">
      <c r="A10" t="s">
        <v>1307</v>
      </c>
      <c r="B10" s="1" t="s">
        <v>1308</v>
      </c>
      <c r="C10" s="1" t="s">
        <v>7</v>
      </c>
      <c r="D10" s="1" t="s">
        <v>1292</v>
      </c>
      <c r="E10" s="9">
        <v>22086</v>
      </c>
      <c r="F10" s="1" t="str">
        <f>VLOOKUP(D10,Table11[[Name]:[Native]],3,FALSE)</f>
        <v>印台区</v>
      </c>
      <c r="G10" s="12" t="str">
        <f ca="1">VLOOKUP(F10,Table11[[Native]:[Population4]],5,FALSE)</f>
        <v>铜川市</v>
      </c>
    </row>
    <row r="11" spans="1:7" ht="15.75" thickBot="1" x14ac:dyDescent="0.3">
      <c r="A11" t="s">
        <v>1309</v>
      </c>
      <c r="B11" s="1" t="s">
        <v>1310</v>
      </c>
      <c r="C11" s="1" t="s">
        <v>7</v>
      </c>
      <c r="D11" s="1" t="s">
        <v>1306</v>
      </c>
      <c r="E11" s="9">
        <v>33528</v>
      </c>
      <c r="F11" s="1" t="str">
        <f>VLOOKUP(D11,Table11[[Name]:[Native]],3,FALSE)</f>
        <v>王益区</v>
      </c>
      <c r="G11" s="12" t="str">
        <f ca="1">VLOOKUP(F11,Table11[[Native]:[Population4]],5,FALSE)</f>
        <v>铜川市</v>
      </c>
    </row>
    <row r="12" spans="1:7" ht="15.75" thickBot="1" x14ac:dyDescent="0.3">
      <c r="A12" t="s">
        <v>1311</v>
      </c>
      <c r="B12" s="1" t="s">
        <v>1312</v>
      </c>
      <c r="C12" s="1" t="s">
        <v>7</v>
      </c>
      <c r="D12" s="1" t="s">
        <v>1292</v>
      </c>
      <c r="E12" s="9">
        <v>40670</v>
      </c>
      <c r="F12" s="1" t="str">
        <f>VLOOKUP(D12,Table11[[Name]:[Native]],3,FALSE)</f>
        <v>印台区</v>
      </c>
      <c r="G12" s="12" t="str">
        <f ca="1">VLOOKUP(F12,Table11[[Native]:[Population4]],5,FALSE)</f>
        <v>铜川市</v>
      </c>
    </row>
    <row r="13" spans="1:7" ht="15.75" thickBot="1" x14ac:dyDescent="0.3">
      <c r="A13" t="s">
        <v>1313</v>
      </c>
      <c r="B13" s="1" t="s">
        <v>1314</v>
      </c>
      <c r="C13" s="1" t="s">
        <v>113</v>
      </c>
      <c r="D13" s="1" t="s">
        <v>1299</v>
      </c>
      <c r="E13" s="9">
        <v>17558</v>
      </c>
      <c r="F13" s="1" t="str">
        <f>VLOOKUP(D13,Table11[[Name]:[Native]],3,FALSE)</f>
        <v>耀州区</v>
      </c>
      <c r="G13" s="12" t="str">
        <f ca="1">VLOOKUP(F13,Table11[[Native]:[Population4]],5,FALSE)</f>
        <v>铜川市</v>
      </c>
    </row>
    <row r="14" spans="1:7" ht="15.75" thickBot="1" x14ac:dyDescent="0.3">
      <c r="A14" t="s">
        <v>1315</v>
      </c>
      <c r="B14" s="1" t="s">
        <v>1316</v>
      </c>
      <c r="C14" s="1" t="s">
        <v>7</v>
      </c>
      <c r="D14" s="1" t="s">
        <v>1294</v>
      </c>
      <c r="E14" s="9">
        <v>4579</v>
      </c>
      <c r="F14" s="1" t="str">
        <f>VLOOKUP(D14,Table11[[Name]:[Native]],3,FALSE)</f>
        <v>宜君县</v>
      </c>
      <c r="G14" s="12" t="str">
        <f ca="1">VLOOKUP(F14,Table11[[Native]:[Population4]],5,FALSE)</f>
        <v>铜川市</v>
      </c>
    </row>
    <row r="15" spans="1:7" ht="15.75" thickBot="1" x14ac:dyDescent="0.3">
      <c r="A15" t="s">
        <v>1317</v>
      </c>
      <c r="B15" s="1" t="s">
        <v>1318</v>
      </c>
      <c r="C15" s="1" t="s">
        <v>7</v>
      </c>
      <c r="D15" s="1" t="s">
        <v>1299</v>
      </c>
      <c r="E15" s="9">
        <v>28032</v>
      </c>
      <c r="F15" s="1" t="str">
        <f>VLOOKUP(D15,Table11[[Name]:[Native]],3,FALSE)</f>
        <v>耀州区</v>
      </c>
      <c r="G15" s="12" t="str">
        <f ca="1">VLOOKUP(F15,Table11[[Native]:[Population4]],5,FALSE)</f>
        <v>铜川市</v>
      </c>
    </row>
    <row r="16" spans="1:7" ht="15.75" thickBot="1" x14ac:dyDescent="0.3">
      <c r="A16" t="s">
        <v>1319</v>
      </c>
      <c r="B16" s="1" t="s">
        <v>1320</v>
      </c>
      <c r="C16" s="1" t="s">
        <v>7</v>
      </c>
      <c r="D16" s="1" t="s">
        <v>1294</v>
      </c>
      <c r="E16" s="9">
        <v>12966</v>
      </c>
      <c r="F16" s="1" t="str">
        <f>VLOOKUP(D16,Table11[[Name]:[Native]],3,FALSE)</f>
        <v>宜君县</v>
      </c>
      <c r="G16" s="12" t="str">
        <f ca="1">VLOOKUP(F16,Table11[[Native]:[Population4]],5,FALSE)</f>
        <v>铜川市</v>
      </c>
    </row>
    <row r="17" spans="1:7" ht="15.75" thickBot="1" x14ac:dyDescent="0.3">
      <c r="A17" t="s">
        <v>1321</v>
      </c>
      <c r="B17" s="1" t="s">
        <v>1322</v>
      </c>
      <c r="C17" s="1" t="s">
        <v>113</v>
      </c>
      <c r="D17" s="1" t="s">
        <v>1299</v>
      </c>
      <c r="E17" s="9">
        <v>14522</v>
      </c>
      <c r="F17" s="1" t="str">
        <f>VLOOKUP(D17,Table11[[Name]:[Native]],3,FALSE)</f>
        <v>耀州区</v>
      </c>
      <c r="G17" s="12" t="str">
        <f ca="1">VLOOKUP(F17,Table11[[Native]:[Population4]],5,FALSE)</f>
        <v>铜川市</v>
      </c>
    </row>
    <row r="18" spans="1:7" ht="15.75" thickBot="1" x14ac:dyDescent="0.3">
      <c r="A18" t="s">
        <v>1323</v>
      </c>
      <c r="B18" s="1" t="s">
        <v>1324</v>
      </c>
      <c r="C18" s="1" t="s">
        <v>113</v>
      </c>
      <c r="D18" s="1" t="s">
        <v>1306</v>
      </c>
      <c r="E18" s="9">
        <v>24535</v>
      </c>
      <c r="F18" s="1" t="str">
        <f>VLOOKUP(D18,Table11[[Name]:[Native]],3,FALSE)</f>
        <v>王益区</v>
      </c>
      <c r="G18" s="12" t="str">
        <f ca="1">VLOOKUP(F18,Table11[[Native]:[Population4]],5,FALSE)</f>
        <v>铜川市</v>
      </c>
    </row>
    <row r="19" spans="1:7" ht="15.75" thickBot="1" x14ac:dyDescent="0.3">
      <c r="A19" t="s">
        <v>1325</v>
      </c>
      <c r="B19" s="1" t="s">
        <v>1326</v>
      </c>
      <c r="C19" s="1" t="s">
        <v>7</v>
      </c>
      <c r="D19" s="1" t="s">
        <v>1294</v>
      </c>
      <c r="E19" s="9">
        <v>7596</v>
      </c>
      <c r="F19" s="1" t="str">
        <f>VLOOKUP(D19,Table11[[Name]:[Native]],3,FALSE)</f>
        <v>宜君县</v>
      </c>
      <c r="G19" s="12" t="str">
        <f ca="1">VLOOKUP(F19,Table11[[Native]:[Population4]],5,FALSE)</f>
        <v>铜川市</v>
      </c>
    </row>
    <row r="20" spans="1:7" ht="15.75" thickBot="1" x14ac:dyDescent="0.3">
      <c r="A20" t="s">
        <v>1327</v>
      </c>
      <c r="B20" s="1" t="s">
        <v>1328</v>
      </c>
      <c r="C20" s="1" t="s">
        <v>113</v>
      </c>
      <c r="D20" s="1" t="s">
        <v>1306</v>
      </c>
      <c r="E20" s="9">
        <v>28007</v>
      </c>
      <c r="F20" s="1" t="str">
        <f>VLOOKUP(D20,Table11[[Name]:[Native]],3,FALSE)</f>
        <v>王益区</v>
      </c>
      <c r="G20" s="12" t="str">
        <f ca="1">VLOOKUP(F20,Table11[[Native]:[Population4]],5,FALSE)</f>
        <v>铜川市</v>
      </c>
    </row>
    <row r="21" spans="1:7" ht="15.75" thickBot="1" x14ac:dyDescent="0.3">
      <c r="A21" t="s">
        <v>1329</v>
      </c>
      <c r="B21" s="1" t="s">
        <v>1330</v>
      </c>
      <c r="C21" s="1" t="s">
        <v>113</v>
      </c>
      <c r="D21" s="1" t="s">
        <v>1292</v>
      </c>
      <c r="E21" s="9">
        <v>19992</v>
      </c>
      <c r="F21" s="1" t="str">
        <f>VLOOKUP(D21,Table11[[Name]:[Native]],3,FALSE)</f>
        <v>印台区</v>
      </c>
      <c r="G21" s="12" t="str">
        <f ca="1">VLOOKUP(F21,Table11[[Native]:[Population4]],5,FALSE)</f>
        <v>铜川市</v>
      </c>
    </row>
    <row r="22" spans="1:7" ht="15.75" thickBot="1" x14ac:dyDescent="0.3">
      <c r="A22" t="s">
        <v>1331</v>
      </c>
      <c r="B22" s="1" t="s">
        <v>1332</v>
      </c>
      <c r="C22" s="1" t="s">
        <v>7</v>
      </c>
      <c r="D22" s="1" t="s">
        <v>1299</v>
      </c>
      <c r="E22" s="9">
        <v>26065</v>
      </c>
      <c r="F22" s="1" t="str">
        <f>VLOOKUP(D22,Table11[[Name]:[Native]],3,FALSE)</f>
        <v>耀州区</v>
      </c>
      <c r="G22" s="12" t="str">
        <f ca="1">VLOOKUP(F22,Table11[[Native]:[Population4]],5,FALSE)</f>
        <v>铜川市</v>
      </c>
    </row>
    <row r="23" spans="1:7" ht="15.75" thickBot="1" x14ac:dyDescent="0.3">
      <c r="A23" t="s">
        <v>1333</v>
      </c>
      <c r="B23" s="1" t="s">
        <v>1334</v>
      </c>
      <c r="C23" s="1" t="s">
        <v>7</v>
      </c>
      <c r="D23" s="1" t="s">
        <v>1299</v>
      </c>
      <c r="E23" s="9">
        <v>18791</v>
      </c>
      <c r="F23" s="1" t="str">
        <f>VLOOKUP(D23,Table11[[Name]:[Native]],3,FALSE)</f>
        <v>耀州区</v>
      </c>
      <c r="G23" s="12" t="str">
        <f ca="1">VLOOKUP(F23,Table11[[Native]:[Population4]],5,FALSE)</f>
        <v>铜川市</v>
      </c>
    </row>
    <row r="24" spans="1:7" ht="15.75" thickBot="1" x14ac:dyDescent="0.3">
      <c r="A24" t="s">
        <v>1335</v>
      </c>
      <c r="B24" s="1" t="s">
        <v>1336</v>
      </c>
      <c r="C24" s="1" t="s">
        <v>7</v>
      </c>
      <c r="D24" s="1" t="s">
        <v>1294</v>
      </c>
      <c r="E24" s="9">
        <v>10201</v>
      </c>
      <c r="F24" s="1" t="str">
        <f>VLOOKUP(D24,Table11[[Name]:[Native]],3,FALSE)</f>
        <v>宜君县</v>
      </c>
      <c r="G24" s="12" t="str">
        <f ca="1">VLOOKUP(F24,Table11[[Native]:[Population4]],5,FALSE)</f>
        <v>铜川市</v>
      </c>
    </row>
    <row r="25" spans="1:7" ht="15.75" thickBot="1" x14ac:dyDescent="0.3">
      <c r="A25" t="s">
        <v>1337</v>
      </c>
      <c r="B25" s="1" t="s">
        <v>1338</v>
      </c>
      <c r="C25" s="1" t="s">
        <v>113</v>
      </c>
      <c r="D25" s="1" t="s">
        <v>1306</v>
      </c>
      <c r="E25" s="9">
        <v>27529</v>
      </c>
      <c r="F25" s="1" t="str">
        <f>VLOOKUP(D25,Table11[[Name]:[Native]],3,FALSE)</f>
        <v>王益区</v>
      </c>
      <c r="G25" s="12" t="str">
        <f ca="1">VLOOKUP(F25,Table11[[Native]:[Population4]],5,FALSE)</f>
        <v>铜川市</v>
      </c>
    </row>
    <row r="26" spans="1:7" ht="15.75" thickBot="1" x14ac:dyDescent="0.3">
      <c r="A26" t="s">
        <v>1339</v>
      </c>
      <c r="B26" s="1" t="s">
        <v>1340</v>
      </c>
      <c r="C26" s="1" t="s">
        <v>113</v>
      </c>
      <c r="D26" s="1" t="s">
        <v>1299</v>
      </c>
      <c r="E26" s="9">
        <v>21642</v>
      </c>
      <c r="F26" s="1" t="str">
        <f>VLOOKUP(D26,Table11[[Name]:[Native]],3,FALSE)</f>
        <v>耀州区</v>
      </c>
      <c r="G26" s="12" t="str">
        <f ca="1">VLOOKUP(F26,Table11[[Native]:[Population4]],5,FALSE)</f>
        <v>铜川市</v>
      </c>
    </row>
    <row r="27" spans="1:7" ht="15.75" thickBot="1" x14ac:dyDescent="0.3">
      <c r="A27" t="s">
        <v>1341</v>
      </c>
      <c r="B27" s="1" t="s">
        <v>1342</v>
      </c>
      <c r="C27" s="1" t="s">
        <v>113</v>
      </c>
      <c r="D27" s="1" t="s">
        <v>1306</v>
      </c>
      <c r="E27" s="9">
        <v>21760</v>
      </c>
      <c r="F27" s="1" t="str">
        <f>VLOOKUP(D27,Table11[[Name]:[Native]],3,FALSE)</f>
        <v>王益区</v>
      </c>
      <c r="G27" s="12" t="str">
        <f ca="1">VLOOKUP(F27,Table11[[Native]:[Population4]],5,FALSE)</f>
        <v>铜川市</v>
      </c>
    </row>
    <row r="28" spans="1:7" ht="15.75" thickBot="1" x14ac:dyDescent="0.3">
      <c r="A28" t="s">
        <v>1343</v>
      </c>
      <c r="B28" s="1" t="s">
        <v>1344</v>
      </c>
      <c r="C28" s="1" t="s">
        <v>113</v>
      </c>
      <c r="D28" s="1" t="s">
        <v>1292</v>
      </c>
      <c r="E28" s="9">
        <v>19734</v>
      </c>
      <c r="F28" s="1" t="str">
        <f>VLOOKUP(D28,Table11[[Name]:[Native]],3,FALSE)</f>
        <v>印台区</v>
      </c>
      <c r="G28" s="12" t="str">
        <f ca="1">VLOOKUP(F28,Table11[[Native]:[Population4]],5,FALSE)</f>
        <v>铜川市</v>
      </c>
    </row>
    <row r="29" spans="1:7" ht="15.75" thickBot="1" x14ac:dyDescent="0.3">
      <c r="A29" t="s">
        <v>1345</v>
      </c>
      <c r="B29" s="1" t="s">
        <v>1346</v>
      </c>
      <c r="C29" s="1" t="s">
        <v>113</v>
      </c>
      <c r="D29" s="1" t="s">
        <v>1306</v>
      </c>
      <c r="E29" s="9">
        <v>11280</v>
      </c>
      <c r="F29" s="1" t="str">
        <f>VLOOKUP(D29,Table11[[Name]:[Native]],3,FALSE)</f>
        <v>王益区</v>
      </c>
      <c r="G29" s="12" t="str">
        <f ca="1">VLOOKUP(F29,Table11[[Native]:[Population4]],5,FALSE)</f>
        <v>铜川市</v>
      </c>
    </row>
    <row r="30" spans="1:7" ht="15.75" thickBot="1" x14ac:dyDescent="0.3">
      <c r="A30" t="s">
        <v>1347</v>
      </c>
      <c r="B30" s="1" t="s">
        <v>258</v>
      </c>
      <c r="C30" s="1" t="s">
        <v>7</v>
      </c>
      <c r="D30" s="1" t="s">
        <v>1294</v>
      </c>
      <c r="E30" s="9">
        <v>13147</v>
      </c>
      <c r="F30" s="1" t="str">
        <f>VLOOKUP(D30,Table11[[Name]:[Native]],3,FALSE)</f>
        <v>宜君县</v>
      </c>
      <c r="G30" s="12" t="str">
        <f ca="1">VLOOKUP(F30,Table11[[Native]:[Population4]],5,FALSE)</f>
        <v>铜川市</v>
      </c>
    </row>
    <row r="31" spans="1:7" ht="15.75" thickBot="1" x14ac:dyDescent="0.3">
      <c r="A31" t="s">
        <v>1348</v>
      </c>
      <c r="B31" s="1" t="s">
        <v>1349</v>
      </c>
      <c r="C31" s="1" t="s">
        <v>113</v>
      </c>
      <c r="D31" s="1" t="s">
        <v>1299</v>
      </c>
      <c r="E31" s="9">
        <v>30063</v>
      </c>
      <c r="F31" s="1" t="str">
        <f>VLOOKUP(D31,Table11[[Name]:[Native]],3,FALSE)</f>
        <v>耀州区</v>
      </c>
      <c r="G31" s="12" t="str">
        <f ca="1">VLOOKUP(F31,Table11[[Native]:[Population4]],5,FALSE)</f>
        <v>铜川市</v>
      </c>
    </row>
    <row r="32" spans="1:7" ht="15.75" thickBot="1" x14ac:dyDescent="0.3">
      <c r="A32" t="s">
        <v>1350</v>
      </c>
      <c r="B32" s="1" t="s">
        <v>1351</v>
      </c>
      <c r="C32" s="1" t="s">
        <v>7</v>
      </c>
      <c r="D32" s="1" t="s">
        <v>1299</v>
      </c>
      <c r="E32" s="9">
        <v>27467</v>
      </c>
      <c r="F32" s="1" t="str">
        <f>VLOOKUP(D32,Table11[[Name]:[Native]],3,FALSE)</f>
        <v>耀州区</v>
      </c>
      <c r="G32" s="12" t="str">
        <f ca="1">VLOOKUP(F32,Table11[[Native]:[Population4]],5,FALSE)</f>
        <v>铜川市</v>
      </c>
    </row>
    <row r="33" spans="1:7" ht="15.75" thickBot="1" x14ac:dyDescent="0.3">
      <c r="A33" t="s">
        <v>1352</v>
      </c>
      <c r="B33" s="1" t="s">
        <v>1353</v>
      </c>
      <c r="C33" s="1" t="s">
        <v>7</v>
      </c>
      <c r="D33" s="1" t="s">
        <v>1299</v>
      </c>
      <c r="E33" s="9">
        <v>20895</v>
      </c>
      <c r="F33" s="1" t="str">
        <f>VLOOKUP(D33,Table11[[Name]:[Native]],3,FALSE)</f>
        <v>耀州区</v>
      </c>
      <c r="G33" s="12" t="str">
        <f ca="1">VLOOKUP(F33,Table11[[Native]:[Population4]],5,FALSE)</f>
        <v>铜川市</v>
      </c>
    </row>
    <row r="34" spans="1:7" ht="15.75" thickBot="1" x14ac:dyDescent="0.3">
      <c r="A34" t="s">
        <v>1354</v>
      </c>
      <c r="B34" s="1" t="s">
        <v>1355</v>
      </c>
      <c r="C34" s="1" t="s">
        <v>7</v>
      </c>
      <c r="D34" s="1" t="s">
        <v>1294</v>
      </c>
      <c r="E34" s="9">
        <v>11848</v>
      </c>
      <c r="F34" s="1" t="str">
        <f>VLOOKUP(D34,Table11[[Name]:[Native]],3,FALSE)</f>
        <v>宜君县</v>
      </c>
      <c r="G34" s="12" t="str">
        <f ca="1">VLOOKUP(F34,Table11[[Native]:[Population4]],5,FALSE)</f>
        <v>铜川市</v>
      </c>
    </row>
    <row r="35" spans="1:7" ht="15.75" thickBot="1" x14ac:dyDescent="0.3">
      <c r="A35" t="s">
        <v>1356</v>
      </c>
      <c r="B35" s="1" t="s">
        <v>1357</v>
      </c>
      <c r="C35" s="1" t="s">
        <v>113</v>
      </c>
      <c r="D35" s="1" t="s">
        <v>1292</v>
      </c>
      <c r="E35" s="9">
        <v>13984</v>
      </c>
      <c r="F35" s="1" t="str">
        <f>VLOOKUP(D35,Table11[[Name]:[Native]],3,FALSE)</f>
        <v>印台区</v>
      </c>
      <c r="G35" s="12" t="str">
        <f ca="1">VLOOKUP(F35,Table11[[Native]:[Population4]],5,FALSE)</f>
        <v>铜川市</v>
      </c>
    </row>
    <row r="36" spans="1:7" ht="15.75" thickBot="1" x14ac:dyDescent="0.3">
      <c r="A36" t="s">
        <v>1358</v>
      </c>
      <c r="B36" s="1" t="s">
        <v>1359</v>
      </c>
      <c r="C36" s="1" t="s">
        <v>113</v>
      </c>
      <c r="D36" s="1" t="s">
        <v>1299</v>
      </c>
      <c r="E36" s="9">
        <v>37184</v>
      </c>
      <c r="F36" s="1" t="str">
        <f>VLOOKUP(D36,Table11[[Name]:[Native]],3,FALSE)</f>
        <v>耀州区</v>
      </c>
      <c r="G36" s="12" t="str">
        <f ca="1">VLOOKUP(F36,Table11[[Native]:[Population4]],5,FALSE)</f>
        <v>铜川市</v>
      </c>
    </row>
    <row r="37" spans="1:7" ht="15.75" thickBot="1" x14ac:dyDescent="0.3">
      <c r="A37" t="s">
        <v>1360</v>
      </c>
      <c r="B37" s="1" t="s">
        <v>1361</v>
      </c>
      <c r="C37" s="1" t="s">
        <v>11</v>
      </c>
      <c r="D37" s="1" t="s">
        <v>1294</v>
      </c>
      <c r="E37" s="9">
        <v>10638</v>
      </c>
      <c r="F37" s="1" t="str">
        <f>VLOOKUP(D37,Table11[[Name]:[Native]],3,FALSE)</f>
        <v>宜君县</v>
      </c>
      <c r="G37" s="12" t="str">
        <f ca="1">VLOOKUP(F37,Table11[[Native]:[Population4]],5,FALSE)</f>
        <v>铜川市</v>
      </c>
    </row>
    <row r="38" spans="1:7" ht="15.75" thickBot="1" x14ac:dyDescent="0.3">
      <c r="A38" t="s">
        <v>1362</v>
      </c>
      <c r="B38" s="1" t="s">
        <v>1363</v>
      </c>
      <c r="C38" s="1" t="s">
        <v>7</v>
      </c>
      <c r="D38" s="1" t="s">
        <v>1299</v>
      </c>
      <c r="E38" s="9">
        <v>8973</v>
      </c>
      <c r="F38" s="1" t="str">
        <f>VLOOKUP(D38,Table11[[Name]:[Native]],3,FALSE)</f>
        <v>耀州区</v>
      </c>
      <c r="G38" s="12" t="str">
        <f ca="1">VLOOKUP(F38,Table11[[Native]:[Population4]],5,FALSE)</f>
        <v>铜川市</v>
      </c>
    </row>
    <row r="39" spans="1:7" ht="15.75" thickBot="1" x14ac:dyDescent="0.3">
      <c r="A39" t="s">
        <v>1364</v>
      </c>
      <c r="B39" s="1" t="s">
        <v>1365</v>
      </c>
      <c r="C39" s="1" t="s">
        <v>113</v>
      </c>
      <c r="D39" s="1" t="s">
        <v>1299</v>
      </c>
      <c r="E39" s="9">
        <v>43614</v>
      </c>
      <c r="F39" s="8" t="str">
        <f>VLOOKUP(D39,Table11[[Name]:[Native]],3,FALSE)</f>
        <v>耀州区</v>
      </c>
      <c r="G39" s="12" t="str">
        <f ca="1">VLOOKUP(F39,Table11[[Native]:[Population4]],5,FALSE)</f>
        <v>铜川市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51A67-95CE-45F8-BE2C-6E9C28785C85}">
  <dimension ref="A1:G180"/>
  <sheetViews>
    <sheetView workbookViewId="0">
      <selection activeCell="A2" sqref="A2:G180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3166</v>
      </c>
      <c r="G1" t="s">
        <v>3170</v>
      </c>
    </row>
    <row r="2" spans="1:7" ht="15.75" thickBot="1" x14ac:dyDescent="0.3">
      <c r="A2" t="s">
        <v>1366</v>
      </c>
      <c r="B2" s="1" t="s">
        <v>1367</v>
      </c>
      <c r="C2" s="1" t="s">
        <v>7</v>
      </c>
      <c r="D2" s="1" t="s">
        <v>1368</v>
      </c>
      <c r="E2" s="9">
        <v>23406</v>
      </c>
      <c r="F2" s="7" t="str">
        <f>VLOOKUP(D2,Table11[[Name]:[Native]],3,FALSE)</f>
        <v>澄城县</v>
      </c>
      <c r="G2" s="12" t="str">
        <f ca="1">VLOOKUP(F2,Table11[[Native]:[Population4]],5,FALSE)</f>
        <v>渭南市</v>
      </c>
    </row>
    <row r="3" spans="1:7" ht="15.75" thickBot="1" x14ac:dyDescent="0.3">
      <c r="A3" t="s">
        <v>1369</v>
      </c>
      <c r="B3" s="1" t="s">
        <v>1370</v>
      </c>
      <c r="C3" s="1" t="s">
        <v>7</v>
      </c>
      <c r="D3" s="1" t="s">
        <v>1371</v>
      </c>
      <c r="E3" s="9">
        <v>31169</v>
      </c>
      <c r="F3" s="1" t="str">
        <f>VLOOKUP(D3,Table11[[Name]:[Native]],3,FALSE)</f>
        <v>大荔县</v>
      </c>
      <c r="G3" s="12" t="str">
        <f ca="1">VLOOKUP(F3,Table11[[Native]:[Population4]],5,FALSE)</f>
        <v>渭南市</v>
      </c>
    </row>
    <row r="4" spans="1:7" ht="15.75" thickBot="1" x14ac:dyDescent="0.3">
      <c r="A4" t="s">
        <v>1372</v>
      </c>
      <c r="B4" s="1" t="s">
        <v>1373</v>
      </c>
      <c r="C4" s="1" t="s">
        <v>7</v>
      </c>
      <c r="D4" s="1" t="s">
        <v>1374</v>
      </c>
      <c r="E4" s="9">
        <v>40398</v>
      </c>
      <c r="F4" s="1" t="str">
        <f>VLOOKUP(D4,Table11[[Name]:[Native]],3,FALSE)</f>
        <v>合阳县</v>
      </c>
      <c r="G4" s="12" t="str">
        <f ca="1">VLOOKUP(F4,Table11[[Native]:[Population4]],5,FALSE)</f>
        <v>渭南市</v>
      </c>
    </row>
    <row r="5" spans="1:7" ht="15.75" thickBot="1" x14ac:dyDescent="0.3">
      <c r="A5" t="s">
        <v>1375</v>
      </c>
      <c r="B5" s="1" t="s">
        <v>1376</v>
      </c>
      <c r="C5" s="1" t="s">
        <v>11</v>
      </c>
      <c r="D5" s="1" t="s">
        <v>1377</v>
      </c>
      <c r="E5" s="9">
        <v>13614</v>
      </c>
      <c r="F5" s="1" t="str">
        <f>VLOOKUP(D5,Table11[[Name]:[Native]],3,FALSE)</f>
        <v>富平县</v>
      </c>
      <c r="G5" s="12" t="str">
        <f ca="1">VLOOKUP(F5,Table11[[Native]:[Population4]],5,FALSE)</f>
        <v>渭南市</v>
      </c>
    </row>
    <row r="6" spans="1:7" ht="15.75" thickBot="1" x14ac:dyDescent="0.3">
      <c r="A6" t="s">
        <v>1048</v>
      </c>
      <c r="B6" s="1" t="s">
        <v>1049</v>
      </c>
      <c r="C6" s="1" t="s">
        <v>7</v>
      </c>
      <c r="D6" s="1" t="s">
        <v>1378</v>
      </c>
      <c r="E6" s="9">
        <v>9971</v>
      </c>
      <c r="F6" s="1" t="str">
        <f>VLOOKUP(D6,Table11[[Name]:[Native]],3,FALSE)</f>
        <v>韩城市</v>
      </c>
      <c r="G6" s="12" t="str">
        <f ca="1">VLOOKUP(F6,Table11[[Native]:[Population4]],5,FALSE)</f>
        <v>渭南市</v>
      </c>
    </row>
    <row r="7" spans="1:7" ht="15.75" thickBot="1" x14ac:dyDescent="0.3">
      <c r="A7" t="s">
        <v>1379</v>
      </c>
      <c r="B7" s="1" t="s">
        <v>1380</v>
      </c>
      <c r="C7" s="1" t="s">
        <v>11</v>
      </c>
      <c r="D7" s="1" t="s">
        <v>1381</v>
      </c>
      <c r="E7" s="9">
        <v>17572</v>
      </c>
      <c r="F7" s="1" t="str">
        <f>VLOOKUP(D7,Table11[[Name]:[Native]],3,FALSE)</f>
        <v>白水县</v>
      </c>
      <c r="G7" s="12" t="str">
        <f ca="1">VLOOKUP(F7,Table11[[Native]:[Population4]],5,FALSE)</f>
        <v>渭南市</v>
      </c>
    </row>
    <row r="8" spans="1:7" ht="15.75" thickBot="1" x14ac:dyDescent="0.3">
      <c r="A8" t="s">
        <v>1382</v>
      </c>
      <c r="B8" s="1" t="s">
        <v>1383</v>
      </c>
      <c r="C8" s="1" t="s">
        <v>11</v>
      </c>
      <c r="D8" s="1" t="s">
        <v>1384</v>
      </c>
      <c r="E8" s="9">
        <v>10135</v>
      </c>
      <c r="F8" s="1" t="str">
        <f>VLOOKUP(D8,Table11[[Name]:[Native]],3,FALSE)</f>
        <v>华阴市</v>
      </c>
      <c r="G8" s="12" t="str">
        <f ca="1">VLOOKUP(F8,Table11[[Native]:[Population4]],5,FALSE)</f>
        <v>渭南市</v>
      </c>
    </row>
    <row r="9" spans="1:7" ht="15.75" thickBot="1" x14ac:dyDescent="0.3">
      <c r="A9" t="s">
        <v>1385</v>
      </c>
      <c r="B9" s="1" t="s">
        <v>1386</v>
      </c>
      <c r="C9" s="1" t="s">
        <v>7</v>
      </c>
      <c r="D9" s="1" t="s">
        <v>1381</v>
      </c>
      <c r="E9" s="9">
        <v>15130</v>
      </c>
      <c r="F9" s="1" t="str">
        <f>VLOOKUP(D9,Table11[[Name]:[Native]],3,FALSE)</f>
        <v>白水县</v>
      </c>
      <c r="G9" s="12" t="str">
        <f ca="1">VLOOKUP(F9,Table11[[Native]:[Population4]],5,FALSE)</f>
        <v>渭南市</v>
      </c>
    </row>
    <row r="10" spans="1:7" ht="15.75" thickBot="1" x14ac:dyDescent="0.3">
      <c r="A10" t="s">
        <v>1387</v>
      </c>
      <c r="B10" s="1" t="s">
        <v>1388</v>
      </c>
      <c r="C10" s="1" t="s">
        <v>11</v>
      </c>
      <c r="D10" s="1" t="s">
        <v>1389</v>
      </c>
      <c r="E10" s="9">
        <v>16251</v>
      </c>
      <c r="F10" s="1" t="str">
        <f>VLOOKUP(D10,Table11[[Name]:[Native]],3,FALSE)</f>
        <v>华州区</v>
      </c>
      <c r="G10" s="12" t="str">
        <f ca="1">VLOOKUP(F10,Table11[[Native]:[Population4]],5,FALSE)</f>
        <v>渭南市</v>
      </c>
    </row>
    <row r="11" spans="1:7" ht="15.75" thickBot="1" x14ac:dyDescent="0.3">
      <c r="A11" t="s">
        <v>1390</v>
      </c>
      <c r="B11" s="1" t="s">
        <v>1391</v>
      </c>
      <c r="C11" s="1" t="s">
        <v>11</v>
      </c>
      <c r="D11" s="1" t="s">
        <v>1371</v>
      </c>
      <c r="E11" s="9">
        <v>15937</v>
      </c>
      <c r="F11" s="1" t="str">
        <f>VLOOKUP(D11,Table11[[Name]:[Native]],3,FALSE)</f>
        <v>大荔县</v>
      </c>
      <c r="G11" s="12" t="str">
        <f ca="1">VLOOKUP(F11,Table11[[Native]:[Population4]],5,FALSE)</f>
        <v>渭南市</v>
      </c>
    </row>
    <row r="12" spans="1:7" ht="15.75" thickBot="1" x14ac:dyDescent="0.3">
      <c r="A12" t="s">
        <v>1392</v>
      </c>
      <c r="B12" s="1" t="s">
        <v>1393</v>
      </c>
      <c r="C12" s="1" t="s">
        <v>11</v>
      </c>
      <c r="D12" s="1" t="s">
        <v>1371</v>
      </c>
      <c r="E12" s="9">
        <v>18639</v>
      </c>
      <c r="F12" s="1" t="str">
        <f>VLOOKUP(D12,Table11[[Name]:[Native]],3,FALSE)</f>
        <v>大荔县</v>
      </c>
      <c r="G12" s="12" t="str">
        <f ca="1">VLOOKUP(F12,Table11[[Native]:[Population4]],5,FALSE)</f>
        <v>渭南市</v>
      </c>
    </row>
    <row r="13" spans="1:7" ht="15.75" thickBot="1" x14ac:dyDescent="0.3">
      <c r="A13" t="s">
        <v>1394</v>
      </c>
      <c r="B13" s="1" t="s">
        <v>1395</v>
      </c>
      <c r="C13" s="1" t="s">
        <v>7</v>
      </c>
      <c r="D13" s="1" t="s">
        <v>1377</v>
      </c>
      <c r="E13" s="9">
        <v>30457</v>
      </c>
      <c r="F13" s="1" t="str">
        <f>VLOOKUP(D13,Table11[[Name]:[Native]],3,FALSE)</f>
        <v>富平县</v>
      </c>
      <c r="G13" s="12" t="str">
        <f ca="1">VLOOKUP(F13,Table11[[Native]:[Population4]],5,FALSE)</f>
        <v>渭南市</v>
      </c>
    </row>
    <row r="14" spans="1:7" ht="15.75" thickBot="1" x14ac:dyDescent="0.3">
      <c r="A14" t="s">
        <v>1396</v>
      </c>
      <c r="B14" s="1" t="s">
        <v>1397</v>
      </c>
      <c r="C14" s="1" t="s">
        <v>7</v>
      </c>
      <c r="D14" s="1" t="s">
        <v>1371</v>
      </c>
      <c r="E14" s="9">
        <v>21311</v>
      </c>
      <c r="F14" s="1" t="str">
        <f>VLOOKUP(D14,Table11[[Name]:[Native]],3,FALSE)</f>
        <v>大荔县</v>
      </c>
      <c r="G14" s="12" t="str">
        <f ca="1">VLOOKUP(F14,Table11[[Native]:[Population4]],5,FALSE)</f>
        <v>渭南市</v>
      </c>
    </row>
    <row r="15" spans="1:7" ht="15.75" thickBot="1" x14ac:dyDescent="0.3">
      <c r="A15" t="s">
        <v>1398</v>
      </c>
      <c r="B15" s="1" t="s">
        <v>374</v>
      </c>
      <c r="C15" s="1" t="s">
        <v>113</v>
      </c>
      <c r="D15" s="1" t="s">
        <v>1399</v>
      </c>
      <c r="E15" s="9">
        <v>60721</v>
      </c>
      <c r="F15" s="1" t="str">
        <f>VLOOKUP(D15,Table11[[Name]:[Native]],3,FALSE)</f>
        <v>潼关县</v>
      </c>
      <c r="G15" s="12" t="str">
        <f ca="1">VLOOKUP(F15,Table11[[Native]:[Population4]],5,FALSE)</f>
        <v>渭南市</v>
      </c>
    </row>
    <row r="16" spans="1:7" ht="15.75" thickBot="1" x14ac:dyDescent="0.3">
      <c r="A16" t="s">
        <v>373</v>
      </c>
      <c r="B16" s="1" t="s">
        <v>374</v>
      </c>
      <c r="C16" s="1" t="s">
        <v>113</v>
      </c>
      <c r="D16" s="1" t="s">
        <v>1374</v>
      </c>
      <c r="E16" s="9">
        <v>82749</v>
      </c>
      <c r="F16" s="1" t="str">
        <f>VLOOKUP(D16,Table11[[Name]:[Native]],3,FALSE)</f>
        <v>合阳县</v>
      </c>
      <c r="G16" s="12" t="str">
        <f ca="1">VLOOKUP(F16,Table11[[Native]:[Population4]],5,FALSE)</f>
        <v>渭南市</v>
      </c>
    </row>
    <row r="17" spans="1:7" ht="15.75" thickBot="1" x14ac:dyDescent="0.3">
      <c r="A17" t="s">
        <v>373</v>
      </c>
      <c r="B17" s="1" t="s">
        <v>374</v>
      </c>
      <c r="C17" s="1" t="s">
        <v>113</v>
      </c>
      <c r="D17" s="1" t="s">
        <v>1368</v>
      </c>
      <c r="E17" s="9">
        <v>105817</v>
      </c>
      <c r="F17" s="1" t="str">
        <f>VLOOKUP(D17,Table11[[Name]:[Native]],3,FALSE)</f>
        <v>澄城县</v>
      </c>
      <c r="G17" s="12" t="str">
        <f ca="1">VLOOKUP(F17,Table11[[Native]:[Population4]],5,FALSE)</f>
        <v>渭南市</v>
      </c>
    </row>
    <row r="18" spans="1:7" ht="15.75" thickBot="1" x14ac:dyDescent="0.3">
      <c r="A18" t="s">
        <v>1400</v>
      </c>
      <c r="B18" s="1" t="s">
        <v>374</v>
      </c>
      <c r="C18" s="1" t="s">
        <v>113</v>
      </c>
      <c r="D18" s="1" t="s">
        <v>1381</v>
      </c>
      <c r="E18" s="9">
        <v>90516</v>
      </c>
      <c r="F18" s="1" t="str">
        <f>VLOOKUP(D18,Table11[[Name]:[Native]],3,FALSE)</f>
        <v>白水县</v>
      </c>
      <c r="G18" s="12" t="str">
        <f ca="1">VLOOKUP(F18,Table11[[Native]:[Population4]],5,FALSE)</f>
        <v>渭南市</v>
      </c>
    </row>
    <row r="19" spans="1:7" ht="15.75" thickBot="1" x14ac:dyDescent="0.3">
      <c r="A19" t="s">
        <v>1401</v>
      </c>
      <c r="B19" s="1" t="s">
        <v>374</v>
      </c>
      <c r="C19" s="1" t="s">
        <v>113</v>
      </c>
      <c r="D19" s="1" t="s">
        <v>1377</v>
      </c>
      <c r="E19" s="9">
        <v>131201</v>
      </c>
      <c r="F19" s="1" t="str">
        <f>VLOOKUP(D19,Table11[[Name]:[Native]],3,FALSE)</f>
        <v>富平县</v>
      </c>
      <c r="G19" s="12" t="str">
        <f ca="1">VLOOKUP(F19,Table11[[Native]:[Population4]],5,FALSE)</f>
        <v>渭南市</v>
      </c>
    </row>
    <row r="20" spans="1:7" ht="15.75" thickBot="1" x14ac:dyDescent="0.3">
      <c r="A20" t="s">
        <v>1402</v>
      </c>
      <c r="B20" s="1" t="s">
        <v>33</v>
      </c>
      <c r="C20" s="1" t="s">
        <v>7</v>
      </c>
      <c r="D20" s="1" t="s">
        <v>1403</v>
      </c>
      <c r="E20" s="9">
        <v>97436</v>
      </c>
      <c r="F20" s="1" t="str">
        <f>VLOOKUP(D20,Table11[[Name]:[Native]],3,FALSE)</f>
        <v>蒲城县</v>
      </c>
      <c r="G20" s="12" t="str">
        <f ca="1">VLOOKUP(F20,Table11[[Native]:[Population4]],5,FALSE)</f>
        <v>渭南市</v>
      </c>
    </row>
    <row r="21" spans="1:7" ht="15.75" thickBot="1" x14ac:dyDescent="0.3">
      <c r="A21" t="s">
        <v>1404</v>
      </c>
      <c r="B21" s="1" t="s">
        <v>1405</v>
      </c>
      <c r="C21" s="1" t="s">
        <v>7</v>
      </c>
      <c r="D21" s="1" t="s">
        <v>1403</v>
      </c>
      <c r="E21" s="9">
        <v>24817</v>
      </c>
      <c r="F21" s="1" t="str">
        <f>VLOOKUP(D21,Table11[[Name]:[Native]],3,FALSE)</f>
        <v>蒲城县</v>
      </c>
      <c r="G21" s="12" t="str">
        <f ca="1">VLOOKUP(F21,Table11[[Native]:[Population4]],5,FALSE)</f>
        <v>渭南市</v>
      </c>
    </row>
    <row r="22" spans="1:7" ht="15.75" thickBot="1" x14ac:dyDescent="0.3">
      <c r="A22" t="s">
        <v>1406</v>
      </c>
      <c r="B22" s="1" t="s">
        <v>1407</v>
      </c>
      <c r="C22" s="1" t="s">
        <v>7</v>
      </c>
      <c r="D22" s="1" t="s">
        <v>1389</v>
      </c>
      <c r="E22" s="9">
        <v>19889</v>
      </c>
      <c r="F22" s="1" t="str">
        <f>VLOOKUP(D22,Table11[[Name]:[Native]],3,FALSE)</f>
        <v>华州区</v>
      </c>
      <c r="G22" s="12" t="str">
        <f ca="1">VLOOKUP(F22,Table11[[Native]:[Population4]],5,FALSE)</f>
        <v>渭南市</v>
      </c>
    </row>
    <row r="23" spans="1:7" ht="15.75" thickBot="1" x14ac:dyDescent="0.3">
      <c r="A23" t="s">
        <v>1408</v>
      </c>
      <c r="B23" s="1" t="s">
        <v>1409</v>
      </c>
      <c r="C23" s="1" t="s">
        <v>7</v>
      </c>
      <c r="D23" s="1" t="s">
        <v>1410</v>
      </c>
      <c r="E23" s="9">
        <v>27258</v>
      </c>
      <c r="F23" s="1" t="str">
        <f>VLOOKUP(D23,Table11[[Name]:[Native]],3,FALSE)</f>
        <v>临渭区</v>
      </c>
      <c r="G23" s="12" t="str">
        <f ca="1">VLOOKUP(F23,Table11[[Native]:[Population4]],5,FALSE)</f>
        <v>渭南市</v>
      </c>
    </row>
    <row r="24" spans="1:7" ht="15.75" thickBot="1" x14ac:dyDescent="0.3">
      <c r="A24" t="s">
        <v>1411</v>
      </c>
      <c r="B24" s="1" t="s">
        <v>1412</v>
      </c>
      <c r="C24" s="1" t="s">
        <v>113</v>
      </c>
      <c r="D24" s="1" t="s">
        <v>1410</v>
      </c>
      <c r="E24" s="9">
        <v>31189</v>
      </c>
      <c r="F24" s="1" t="str">
        <f>VLOOKUP(D24,Table11[[Name]:[Native]],3,FALSE)</f>
        <v>临渭区</v>
      </c>
      <c r="G24" s="12" t="str">
        <f ca="1">VLOOKUP(F24,Table11[[Native]:[Population4]],5,FALSE)</f>
        <v>渭南市</v>
      </c>
    </row>
    <row r="25" spans="1:7" ht="15.75" thickBot="1" x14ac:dyDescent="0.3">
      <c r="A25" t="s">
        <v>1413</v>
      </c>
      <c r="B25" s="1" t="s">
        <v>1414</v>
      </c>
      <c r="C25" s="1" t="s">
        <v>7</v>
      </c>
      <c r="D25" s="1" t="s">
        <v>1403</v>
      </c>
      <c r="E25" s="9">
        <v>32259</v>
      </c>
      <c r="F25" s="1" t="str">
        <f>VLOOKUP(D25,Table11[[Name]:[Native]],3,FALSE)</f>
        <v>蒲城县</v>
      </c>
      <c r="G25" s="12" t="str">
        <f ca="1">VLOOKUP(F25,Table11[[Native]:[Population4]],5,FALSE)</f>
        <v>渭南市</v>
      </c>
    </row>
    <row r="26" spans="1:7" ht="15.75" thickBot="1" x14ac:dyDescent="0.3">
      <c r="A26" t="s">
        <v>1415</v>
      </c>
      <c r="B26" s="1" t="s">
        <v>1416</v>
      </c>
      <c r="C26" s="1" t="s">
        <v>7</v>
      </c>
      <c r="D26" s="1" t="s">
        <v>1399</v>
      </c>
      <c r="E26" s="9">
        <v>11574</v>
      </c>
      <c r="F26" s="1" t="str">
        <f>VLOOKUP(D26,Table11[[Name]:[Native]],3,FALSE)</f>
        <v>潼关县</v>
      </c>
      <c r="G26" s="12" t="str">
        <f ca="1">VLOOKUP(F26,Table11[[Native]:[Population4]],5,FALSE)</f>
        <v>渭南市</v>
      </c>
    </row>
    <row r="27" spans="1:7" ht="15.75" thickBot="1" x14ac:dyDescent="0.3">
      <c r="A27" t="s">
        <v>1417</v>
      </c>
      <c r="B27" s="1" t="s">
        <v>1418</v>
      </c>
      <c r="C27" s="1" t="s">
        <v>7</v>
      </c>
      <c r="D27" s="1" t="s">
        <v>1389</v>
      </c>
      <c r="E27" s="9">
        <v>20737</v>
      </c>
      <c r="F27" s="1" t="str">
        <f>VLOOKUP(D27,Table11[[Name]:[Native]],3,FALSE)</f>
        <v>华州区</v>
      </c>
      <c r="G27" s="12" t="str">
        <f ca="1">VLOOKUP(F27,Table11[[Native]:[Population4]],5,FALSE)</f>
        <v>渭南市</v>
      </c>
    </row>
    <row r="28" spans="1:7" ht="15.75" thickBot="1" x14ac:dyDescent="0.3">
      <c r="A28" t="s">
        <v>1419</v>
      </c>
      <c r="B28" s="1" t="s">
        <v>1420</v>
      </c>
      <c r="C28" s="1" t="s">
        <v>7</v>
      </c>
      <c r="D28" s="1" t="s">
        <v>1377</v>
      </c>
      <c r="E28" s="9">
        <v>24776</v>
      </c>
      <c r="F28" s="1" t="str">
        <f>VLOOKUP(D28,Table11[[Name]:[Native]],3,FALSE)</f>
        <v>富平县</v>
      </c>
      <c r="G28" s="12" t="str">
        <f ca="1">VLOOKUP(F28,Table11[[Native]:[Population4]],5,FALSE)</f>
        <v>渭南市</v>
      </c>
    </row>
    <row r="29" spans="1:7" ht="15.75" thickBot="1" x14ac:dyDescent="0.3">
      <c r="A29" t="s">
        <v>1421</v>
      </c>
      <c r="B29" s="1" t="s">
        <v>1422</v>
      </c>
      <c r="C29" s="1" t="s">
        <v>7</v>
      </c>
      <c r="D29" s="1" t="s">
        <v>1403</v>
      </c>
      <c r="E29" s="9">
        <v>40921</v>
      </c>
      <c r="F29" s="1" t="str">
        <f>VLOOKUP(D29,Table11[[Name]:[Native]],3,FALSE)</f>
        <v>蒲城县</v>
      </c>
      <c r="G29" s="12" t="str">
        <f ca="1">VLOOKUP(F29,Table11[[Native]:[Population4]],5,FALSE)</f>
        <v>渭南市</v>
      </c>
    </row>
    <row r="30" spans="1:7" ht="15.75" thickBot="1" x14ac:dyDescent="0.3">
      <c r="A30" t="s">
        <v>1423</v>
      </c>
      <c r="B30" s="1" t="s">
        <v>1424</v>
      </c>
      <c r="C30" s="1" t="s">
        <v>7</v>
      </c>
      <c r="D30" s="1" t="s">
        <v>1377</v>
      </c>
      <c r="E30" s="9">
        <v>43536</v>
      </c>
      <c r="F30" s="1" t="str">
        <f>VLOOKUP(D30,Table11[[Name]:[Native]],3,FALSE)</f>
        <v>富平县</v>
      </c>
      <c r="G30" s="12" t="str">
        <f ca="1">VLOOKUP(F30,Table11[[Native]:[Population4]],5,FALSE)</f>
        <v>渭南市</v>
      </c>
    </row>
    <row r="31" spans="1:7" ht="15.75" thickBot="1" x14ac:dyDescent="0.3">
      <c r="A31" t="s">
        <v>1425</v>
      </c>
      <c r="B31" s="1" t="s">
        <v>1426</v>
      </c>
      <c r="C31" s="1" t="s">
        <v>11</v>
      </c>
      <c r="D31" s="1" t="s">
        <v>1410</v>
      </c>
      <c r="E31" s="9">
        <v>14892</v>
      </c>
      <c r="F31" s="1" t="str">
        <f>VLOOKUP(D31,Table11[[Name]:[Native]],3,FALSE)</f>
        <v>临渭区</v>
      </c>
      <c r="G31" s="12" t="str">
        <f ca="1">VLOOKUP(F31,Table11[[Native]:[Population4]],5,FALSE)</f>
        <v>渭南市</v>
      </c>
    </row>
    <row r="32" spans="1:7" ht="15.75" thickBot="1" x14ac:dyDescent="0.3">
      <c r="A32" t="s">
        <v>1427</v>
      </c>
      <c r="B32" s="1" t="s">
        <v>1428</v>
      </c>
      <c r="C32" s="1" t="s">
        <v>11</v>
      </c>
      <c r="D32" s="1" t="s">
        <v>1377</v>
      </c>
      <c r="E32" s="9">
        <v>18784</v>
      </c>
      <c r="F32" s="1" t="str">
        <f>VLOOKUP(D32,Table11[[Name]:[Native]],3,FALSE)</f>
        <v>富平县</v>
      </c>
      <c r="G32" s="12" t="str">
        <f ca="1">VLOOKUP(F32,Table11[[Native]:[Population4]],5,FALSE)</f>
        <v>渭南市</v>
      </c>
    </row>
    <row r="33" spans="1:7" ht="15.75" thickBot="1" x14ac:dyDescent="0.3">
      <c r="A33" t="s">
        <v>1429</v>
      </c>
      <c r="B33" s="1" t="s">
        <v>1430</v>
      </c>
      <c r="C33" s="1" t="s">
        <v>113</v>
      </c>
      <c r="D33" s="1" t="s">
        <v>1371</v>
      </c>
      <c r="E33" s="9">
        <v>110725</v>
      </c>
      <c r="F33" s="1" t="str">
        <f>VLOOKUP(D33,Table11[[Name]:[Native]],3,FALSE)</f>
        <v>大荔县</v>
      </c>
      <c r="G33" s="12" t="str">
        <f ca="1">VLOOKUP(F33,Table11[[Native]:[Population4]],5,FALSE)</f>
        <v>渭南市</v>
      </c>
    </row>
    <row r="34" spans="1:7" ht="15.75" thickBot="1" x14ac:dyDescent="0.3">
      <c r="A34" t="s">
        <v>1431</v>
      </c>
      <c r="B34" s="1" t="s">
        <v>1432</v>
      </c>
      <c r="C34" s="1" t="s">
        <v>11</v>
      </c>
      <c r="D34" s="1" t="s">
        <v>1389</v>
      </c>
      <c r="E34" s="9">
        <v>20610</v>
      </c>
      <c r="F34" s="1" t="str">
        <f>VLOOKUP(D34,Table11[[Name]:[Native]],3,FALSE)</f>
        <v>华州区</v>
      </c>
      <c r="G34" s="12" t="str">
        <f ca="1">VLOOKUP(F34,Table11[[Native]:[Population4]],5,FALSE)</f>
        <v>渭南市</v>
      </c>
    </row>
    <row r="35" spans="1:7" ht="15.75" thickBot="1" x14ac:dyDescent="0.3">
      <c r="A35" s="1" t="s">
        <v>1431</v>
      </c>
      <c r="B35" s="1" t="s">
        <v>1432</v>
      </c>
      <c r="C35" s="1" t="s">
        <v>11</v>
      </c>
      <c r="D35" s="1" t="s">
        <v>1403</v>
      </c>
      <c r="E35" s="9">
        <v>24249</v>
      </c>
      <c r="F35" s="1" t="str">
        <f>VLOOKUP(D35,Table11[[Name]:[Native]],3,FALSE)</f>
        <v>蒲城县</v>
      </c>
      <c r="G35" s="12" t="str">
        <f ca="1">VLOOKUP(F35,Table11[[Native]:[Population4]],5,FALSE)</f>
        <v>渭南市</v>
      </c>
    </row>
    <row r="36" spans="1:7" ht="15.75" thickBot="1" x14ac:dyDescent="0.3">
      <c r="A36" t="s">
        <v>395</v>
      </c>
      <c r="B36" s="1" t="s">
        <v>396</v>
      </c>
      <c r="C36" s="1" t="s">
        <v>7</v>
      </c>
      <c r="D36" s="1" t="s">
        <v>1371</v>
      </c>
      <c r="E36" s="9">
        <v>23469</v>
      </c>
      <c r="F36" s="1" t="str">
        <f>VLOOKUP(D36,Table11[[Name]:[Native]],3,FALSE)</f>
        <v>大荔县</v>
      </c>
      <c r="G36" s="12" t="str">
        <f ca="1">VLOOKUP(F36,Table11[[Native]:[Population4]],5,FALSE)</f>
        <v>渭南市</v>
      </c>
    </row>
    <row r="37" spans="1:7" ht="15.75" thickBot="1" x14ac:dyDescent="0.3">
      <c r="A37" t="s">
        <v>1433</v>
      </c>
      <c r="B37" s="1" t="s">
        <v>1434</v>
      </c>
      <c r="C37" s="1" t="s">
        <v>7</v>
      </c>
      <c r="D37" s="1" t="s">
        <v>1381</v>
      </c>
      <c r="E37" s="9">
        <v>19470</v>
      </c>
      <c r="F37" s="1" t="str">
        <f>VLOOKUP(D37,Table11[[Name]:[Native]],3,FALSE)</f>
        <v>白水县</v>
      </c>
      <c r="G37" s="12" t="str">
        <f ca="1">VLOOKUP(F37,Table11[[Native]:[Population4]],5,FALSE)</f>
        <v>渭南市</v>
      </c>
    </row>
    <row r="38" spans="1:7" ht="15.75" thickBot="1" x14ac:dyDescent="0.3">
      <c r="A38" t="s">
        <v>1435</v>
      </c>
      <c r="B38" s="1" t="s">
        <v>1436</v>
      </c>
      <c r="C38" s="1" t="s">
        <v>113</v>
      </c>
      <c r="D38" s="1" t="s">
        <v>1410</v>
      </c>
      <c r="E38" s="9">
        <v>55272</v>
      </c>
      <c r="F38" s="1" t="str">
        <f>VLOOKUP(D38,Table11[[Name]:[Native]],3,FALSE)</f>
        <v>临渭区</v>
      </c>
      <c r="G38" s="12" t="str">
        <f ca="1">VLOOKUP(F38,Table11[[Native]:[Population4]],5,FALSE)</f>
        <v>渭南市</v>
      </c>
    </row>
    <row r="39" spans="1:7" ht="15.75" thickBot="1" x14ac:dyDescent="0.3">
      <c r="A39" t="s">
        <v>1437</v>
      </c>
      <c r="B39" s="1" t="s">
        <v>1438</v>
      </c>
      <c r="C39" s="1" t="s">
        <v>11</v>
      </c>
      <c r="D39" s="1" t="s">
        <v>1378</v>
      </c>
      <c r="E39" s="9">
        <v>3067</v>
      </c>
      <c r="F39" s="1" t="str">
        <f>VLOOKUP(D39,Table11[[Name]:[Native]],3,FALSE)</f>
        <v>韩城市</v>
      </c>
      <c r="G39" s="12" t="str">
        <f ca="1">VLOOKUP(F39,Table11[[Native]:[Population4]],5,FALSE)</f>
        <v>渭南市</v>
      </c>
    </row>
    <row r="40" spans="1:7" ht="15.75" thickBot="1" x14ac:dyDescent="0.3">
      <c r="A40" t="s">
        <v>1439</v>
      </c>
      <c r="B40" s="1" t="s">
        <v>1440</v>
      </c>
      <c r="C40" s="1" t="s">
        <v>7</v>
      </c>
      <c r="D40" s="1" t="s">
        <v>1374</v>
      </c>
      <c r="E40" s="9">
        <v>41113</v>
      </c>
      <c r="F40" s="1" t="str">
        <f>VLOOKUP(D40,Table11[[Name]:[Native]],3,FALSE)</f>
        <v>合阳县</v>
      </c>
      <c r="G40" s="12" t="str">
        <f ca="1">VLOOKUP(F40,Table11[[Native]:[Population4]],5,FALSE)</f>
        <v>渭南市</v>
      </c>
    </row>
    <row r="41" spans="1:7" ht="15.75" thickBot="1" x14ac:dyDescent="0.3">
      <c r="A41" t="s">
        <v>1441</v>
      </c>
      <c r="B41" s="1" t="s">
        <v>1442</v>
      </c>
      <c r="C41" s="1" t="s">
        <v>7</v>
      </c>
      <c r="D41" s="1" t="s">
        <v>1371</v>
      </c>
      <c r="E41" s="9">
        <v>27647</v>
      </c>
      <c r="F41" s="1" t="str">
        <f>VLOOKUP(D41,Table11[[Name]:[Native]],3,FALSE)</f>
        <v>大荔县</v>
      </c>
      <c r="G41" s="12" t="str">
        <f ca="1">VLOOKUP(F41,Table11[[Native]:[Population4]],5,FALSE)</f>
        <v>渭南市</v>
      </c>
    </row>
    <row r="42" spans="1:7" ht="15.75" thickBot="1" x14ac:dyDescent="0.3">
      <c r="A42" t="s">
        <v>1443</v>
      </c>
      <c r="B42" s="1" t="s">
        <v>1444</v>
      </c>
      <c r="C42" s="1" t="s">
        <v>7</v>
      </c>
      <c r="D42" s="1" t="s">
        <v>1371</v>
      </c>
      <c r="E42" s="9">
        <v>25236</v>
      </c>
      <c r="F42" s="1" t="str">
        <f>VLOOKUP(D42,Table11[[Name]:[Native]],3,FALSE)</f>
        <v>大荔县</v>
      </c>
      <c r="G42" s="12" t="str">
        <f ca="1">VLOOKUP(F42,Table11[[Native]:[Population4]],5,FALSE)</f>
        <v>渭南市</v>
      </c>
    </row>
    <row r="43" spans="1:7" ht="15.75" thickBot="1" x14ac:dyDescent="0.3">
      <c r="A43" t="s">
        <v>1445</v>
      </c>
      <c r="B43" s="1" t="s">
        <v>1446</v>
      </c>
      <c r="C43" s="1" t="s">
        <v>7</v>
      </c>
      <c r="D43" s="1" t="s">
        <v>1410</v>
      </c>
      <c r="E43" s="9">
        <v>24829</v>
      </c>
      <c r="F43" s="1" t="str">
        <f>VLOOKUP(D43,Table11[[Name]:[Native]],3,FALSE)</f>
        <v>临渭区</v>
      </c>
      <c r="G43" s="12" t="str">
        <f ca="1">VLOOKUP(F43,Table11[[Native]:[Population4]],5,FALSE)</f>
        <v>渭南市</v>
      </c>
    </row>
    <row r="44" spans="1:7" ht="15.75" thickBot="1" x14ac:dyDescent="0.3">
      <c r="A44" t="s">
        <v>1447</v>
      </c>
      <c r="B44" s="1" t="s">
        <v>1448</v>
      </c>
      <c r="C44" s="1" t="s">
        <v>7</v>
      </c>
      <c r="D44" s="1" t="s">
        <v>1368</v>
      </c>
      <c r="E44" s="9">
        <v>28093</v>
      </c>
      <c r="F44" s="1" t="str">
        <f>VLOOKUP(D44,Table11[[Name]:[Native]],3,FALSE)</f>
        <v>澄城县</v>
      </c>
      <c r="G44" s="12" t="str">
        <f ca="1">VLOOKUP(F44,Table11[[Native]:[Population4]],5,FALSE)</f>
        <v>渭南市</v>
      </c>
    </row>
    <row r="45" spans="1:7" ht="15.75" thickBot="1" x14ac:dyDescent="0.3">
      <c r="A45" t="s">
        <v>1449</v>
      </c>
      <c r="B45" s="1" t="s">
        <v>1450</v>
      </c>
      <c r="C45" s="1" t="s">
        <v>7</v>
      </c>
      <c r="D45" s="1" t="s">
        <v>1374</v>
      </c>
      <c r="E45" s="9">
        <v>26224</v>
      </c>
      <c r="F45" s="1" t="str">
        <f>VLOOKUP(D45,Table11[[Name]:[Native]],3,FALSE)</f>
        <v>合阳县</v>
      </c>
      <c r="G45" s="12" t="str">
        <f ca="1">VLOOKUP(F45,Table11[[Native]:[Population4]],5,FALSE)</f>
        <v>渭南市</v>
      </c>
    </row>
    <row r="46" spans="1:7" ht="15.75" thickBot="1" x14ac:dyDescent="0.3">
      <c r="A46" t="s">
        <v>1451</v>
      </c>
      <c r="B46" s="1" t="s">
        <v>1452</v>
      </c>
      <c r="C46" s="1" t="s">
        <v>11</v>
      </c>
      <c r="D46" s="1" t="s">
        <v>1399</v>
      </c>
      <c r="E46" s="9">
        <v>14662</v>
      </c>
      <c r="F46" s="1" t="str">
        <f>VLOOKUP(D46,Table11[[Name]:[Native]],3,FALSE)</f>
        <v>潼关县</v>
      </c>
      <c r="G46" s="12" t="str">
        <f ca="1">VLOOKUP(F46,Table11[[Native]:[Population4]],5,FALSE)</f>
        <v>渭南市</v>
      </c>
    </row>
    <row r="47" spans="1:7" ht="15.75" thickBot="1" x14ac:dyDescent="0.3">
      <c r="A47" t="s">
        <v>1453</v>
      </c>
      <c r="B47" s="1" t="s">
        <v>1454</v>
      </c>
      <c r="C47" s="1" t="s">
        <v>7</v>
      </c>
      <c r="D47" s="1" t="s">
        <v>1389</v>
      </c>
      <c r="E47" s="9">
        <v>25467</v>
      </c>
      <c r="F47" s="1" t="str">
        <f>VLOOKUP(D47,Table11[[Name]:[Native]],3,FALSE)</f>
        <v>华州区</v>
      </c>
      <c r="G47" s="12" t="str">
        <f ca="1">VLOOKUP(F47,Table11[[Native]:[Population4]],5,FALSE)</f>
        <v>渭南市</v>
      </c>
    </row>
    <row r="48" spans="1:7" ht="15.75" thickBot="1" x14ac:dyDescent="0.3">
      <c r="A48" t="s">
        <v>1455</v>
      </c>
      <c r="B48" s="1" t="s">
        <v>1456</v>
      </c>
      <c r="C48" s="1" t="s">
        <v>7</v>
      </c>
      <c r="D48" s="1" t="s">
        <v>1403</v>
      </c>
      <c r="E48" s="9">
        <v>17997</v>
      </c>
      <c r="F48" s="1" t="str">
        <f>VLOOKUP(D48,Table11[[Name]:[Native]],3,FALSE)</f>
        <v>蒲城县</v>
      </c>
      <c r="G48" s="12" t="str">
        <f ca="1">VLOOKUP(F48,Table11[[Native]:[Population4]],5,FALSE)</f>
        <v>渭南市</v>
      </c>
    </row>
    <row r="49" spans="1:7" ht="15.75" thickBot="1" x14ac:dyDescent="0.3">
      <c r="A49" t="s">
        <v>1457</v>
      </c>
      <c r="B49" s="1" t="s">
        <v>1458</v>
      </c>
      <c r="C49" s="1" t="s">
        <v>7</v>
      </c>
      <c r="D49" s="1" t="s">
        <v>1377</v>
      </c>
      <c r="E49" s="9">
        <v>34582</v>
      </c>
      <c r="F49" s="1" t="str">
        <f>VLOOKUP(D49,Table11[[Name]:[Native]],3,FALSE)</f>
        <v>富平县</v>
      </c>
      <c r="G49" s="12" t="str">
        <f ca="1">VLOOKUP(F49,Table11[[Native]:[Population4]],5,FALSE)</f>
        <v>渭南市</v>
      </c>
    </row>
    <row r="50" spans="1:7" ht="15.75" thickBot="1" x14ac:dyDescent="0.3">
      <c r="A50" t="s">
        <v>1459</v>
      </c>
      <c r="B50" s="1" t="s">
        <v>1460</v>
      </c>
      <c r="C50" s="1" t="s">
        <v>7</v>
      </c>
      <c r="D50" s="1" t="s">
        <v>1371</v>
      </c>
      <c r="E50" s="9">
        <v>26659</v>
      </c>
      <c r="F50" s="1" t="str">
        <f>VLOOKUP(D50,Table11[[Name]:[Native]],3,FALSE)</f>
        <v>大荔县</v>
      </c>
      <c r="G50" s="12" t="str">
        <f ca="1">VLOOKUP(F50,Table11[[Native]:[Population4]],5,FALSE)</f>
        <v>渭南市</v>
      </c>
    </row>
    <row r="51" spans="1:7" ht="15.75" thickBot="1" x14ac:dyDescent="0.3">
      <c r="A51" t="s">
        <v>1461</v>
      </c>
      <c r="B51" s="1" t="s">
        <v>1462</v>
      </c>
      <c r="C51" s="1" t="s">
        <v>7</v>
      </c>
      <c r="D51" s="1" t="s">
        <v>1410</v>
      </c>
      <c r="E51" s="9">
        <v>26884</v>
      </c>
      <c r="F51" s="1" t="str">
        <f>VLOOKUP(D51,Table11[[Name]:[Native]],3,FALSE)</f>
        <v>临渭区</v>
      </c>
      <c r="G51" s="12" t="str">
        <f ca="1">VLOOKUP(F51,Table11[[Native]:[Population4]],5,FALSE)</f>
        <v>渭南市</v>
      </c>
    </row>
    <row r="52" spans="1:7" ht="15.75" thickBot="1" x14ac:dyDescent="0.3">
      <c r="A52" t="s">
        <v>1463</v>
      </c>
      <c r="B52" s="1" t="s">
        <v>1464</v>
      </c>
      <c r="C52" s="1" t="s">
        <v>7</v>
      </c>
      <c r="D52" s="1" t="s">
        <v>1410</v>
      </c>
      <c r="E52" s="9">
        <v>32240</v>
      </c>
      <c r="F52" s="1" t="str">
        <f>VLOOKUP(D52,Table11[[Name]:[Native]],3,FALSE)</f>
        <v>临渭区</v>
      </c>
      <c r="G52" s="12" t="str">
        <f ca="1">VLOOKUP(F52,Table11[[Native]:[Population4]],5,FALSE)</f>
        <v>渭南市</v>
      </c>
    </row>
    <row r="53" spans="1:7" ht="15.75" thickBot="1" x14ac:dyDescent="0.3">
      <c r="A53" t="s">
        <v>1465</v>
      </c>
      <c r="B53" s="1" t="s">
        <v>1466</v>
      </c>
      <c r="C53" s="1" t="s">
        <v>7</v>
      </c>
      <c r="D53" s="1" t="s">
        <v>1410</v>
      </c>
      <c r="E53" s="9">
        <v>20193</v>
      </c>
      <c r="F53" s="1" t="str">
        <f>VLOOKUP(D53,Table11[[Name]:[Native]],3,FALSE)</f>
        <v>临渭区</v>
      </c>
      <c r="G53" s="12" t="str">
        <f ca="1">VLOOKUP(F53,Table11[[Native]:[Population4]],5,FALSE)</f>
        <v>渭南市</v>
      </c>
    </row>
    <row r="54" spans="1:7" ht="15.75" thickBot="1" x14ac:dyDescent="0.3">
      <c r="A54" t="s">
        <v>1467</v>
      </c>
      <c r="B54" s="1" t="s">
        <v>1468</v>
      </c>
      <c r="C54" s="1" t="s">
        <v>7</v>
      </c>
      <c r="D54" s="1" t="s">
        <v>1389</v>
      </c>
      <c r="E54" s="9">
        <v>29217</v>
      </c>
      <c r="F54" s="1" t="str">
        <f>VLOOKUP(D54,Table11[[Name]:[Native]],3,FALSE)</f>
        <v>华州区</v>
      </c>
      <c r="G54" s="12" t="str">
        <f ca="1">VLOOKUP(F54,Table11[[Native]:[Population4]],5,FALSE)</f>
        <v>渭南市</v>
      </c>
    </row>
    <row r="55" spans="1:7" ht="15.75" thickBot="1" x14ac:dyDescent="0.3">
      <c r="A55" t="s">
        <v>1469</v>
      </c>
      <c r="B55" s="1" t="s">
        <v>1470</v>
      </c>
      <c r="C55" s="1" t="s">
        <v>1471</v>
      </c>
      <c r="D55" s="1" t="s">
        <v>1371</v>
      </c>
      <c r="E55" s="9">
        <v>1889</v>
      </c>
      <c r="F55" s="1" t="str">
        <f>VLOOKUP(D55,Table11[[Name]:[Native]],3,FALSE)</f>
        <v>大荔县</v>
      </c>
      <c r="G55" s="12" t="str">
        <f ca="1">VLOOKUP(F55,Table11[[Native]:[Population4]],5,FALSE)</f>
        <v>渭南市</v>
      </c>
    </row>
    <row r="56" spans="1:7" ht="15.75" thickBot="1" x14ac:dyDescent="0.3">
      <c r="A56" t="s">
        <v>1472</v>
      </c>
      <c r="B56" s="1" t="s">
        <v>1473</v>
      </c>
      <c r="C56" s="1" t="s">
        <v>1471</v>
      </c>
      <c r="D56" s="1" t="s">
        <v>1384</v>
      </c>
      <c r="E56" s="9">
        <v>2007</v>
      </c>
      <c r="F56" s="1" t="str">
        <f>VLOOKUP(D56,Table11[[Name]:[Native]],3,FALSE)</f>
        <v>华阴市</v>
      </c>
      <c r="G56" s="12" t="str">
        <f ca="1">VLOOKUP(F56,Table11[[Native]:[Population4]],5,FALSE)</f>
        <v>渭南市</v>
      </c>
    </row>
    <row r="57" spans="1:7" ht="15.75" thickBot="1" x14ac:dyDescent="0.3">
      <c r="A57" t="s">
        <v>1474</v>
      </c>
      <c r="B57" s="1" t="s">
        <v>1475</v>
      </c>
      <c r="C57" s="1" t="s">
        <v>1471</v>
      </c>
      <c r="D57" s="1" t="s">
        <v>1371</v>
      </c>
      <c r="E57" s="9">
        <v>2437</v>
      </c>
      <c r="F57" s="1" t="str">
        <f>VLOOKUP(D57,Table11[[Name]:[Native]],3,FALSE)</f>
        <v>大荔县</v>
      </c>
      <c r="G57" s="12" t="str">
        <f ca="1">VLOOKUP(F57,Table11[[Native]:[Population4]],5,FALSE)</f>
        <v>渭南市</v>
      </c>
    </row>
    <row r="58" spans="1:7" ht="15.75" thickBot="1" x14ac:dyDescent="0.3">
      <c r="A58" t="s">
        <v>1476</v>
      </c>
      <c r="B58" s="1" t="s">
        <v>1477</v>
      </c>
      <c r="C58" s="1" t="s">
        <v>1471</v>
      </c>
      <c r="D58" s="1" t="s">
        <v>1371</v>
      </c>
      <c r="E58" s="9">
        <v>1997</v>
      </c>
      <c r="F58" s="1" t="str">
        <f>VLOOKUP(D58,Table11[[Name]:[Native]],3,FALSE)</f>
        <v>大荔县</v>
      </c>
      <c r="G58" s="12" t="str">
        <f ca="1">VLOOKUP(F58,Table11[[Native]:[Population4]],5,FALSE)</f>
        <v>渭南市</v>
      </c>
    </row>
    <row r="59" spans="1:7" ht="15.75" thickBot="1" x14ac:dyDescent="0.3">
      <c r="A59" t="s">
        <v>1478</v>
      </c>
      <c r="B59" s="1" t="s">
        <v>1479</v>
      </c>
      <c r="C59" s="1" t="s">
        <v>7</v>
      </c>
      <c r="D59" s="1" t="s">
        <v>1410</v>
      </c>
      <c r="E59" s="9">
        <v>28281</v>
      </c>
      <c r="F59" s="1" t="str">
        <f>VLOOKUP(D59,Table11[[Name]:[Native]],3,FALSE)</f>
        <v>临渭区</v>
      </c>
      <c r="G59" s="12" t="str">
        <f ca="1">VLOOKUP(F59,Table11[[Native]:[Population4]],5,FALSE)</f>
        <v>渭南市</v>
      </c>
    </row>
    <row r="60" spans="1:7" ht="15.75" thickBot="1" x14ac:dyDescent="0.3">
      <c r="A60" t="s">
        <v>1480</v>
      </c>
      <c r="B60" s="1" t="s">
        <v>1481</v>
      </c>
      <c r="C60" s="1" t="s">
        <v>7</v>
      </c>
      <c r="D60" s="1" t="s">
        <v>1403</v>
      </c>
      <c r="E60" s="9">
        <v>45610</v>
      </c>
      <c r="F60" s="1" t="str">
        <f>VLOOKUP(D60,Table11[[Name]:[Native]],3,FALSE)</f>
        <v>蒲城县</v>
      </c>
      <c r="G60" s="12" t="str">
        <f ca="1">VLOOKUP(F60,Table11[[Native]:[Population4]],5,FALSE)</f>
        <v>渭南市</v>
      </c>
    </row>
    <row r="61" spans="1:7" ht="15.75" thickBot="1" x14ac:dyDescent="0.3">
      <c r="A61" t="s">
        <v>1482</v>
      </c>
      <c r="B61" s="1" t="s">
        <v>1483</v>
      </c>
      <c r="C61" s="1" t="s">
        <v>7</v>
      </c>
      <c r="D61" s="1" t="s">
        <v>1374</v>
      </c>
      <c r="E61" s="9">
        <v>29293</v>
      </c>
      <c r="F61" s="1" t="str">
        <f>VLOOKUP(D61,Table11[[Name]:[Native]],3,FALSE)</f>
        <v>合阳县</v>
      </c>
      <c r="G61" s="12" t="str">
        <f ca="1">VLOOKUP(F61,Table11[[Native]:[Population4]],5,FALSE)</f>
        <v>渭南市</v>
      </c>
    </row>
    <row r="62" spans="1:7" ht="15.75" thickBot="1" x14ac:dyDescent="0.3">
      <c r="A62" t="s">
        <v>1484</v>
      </c>
      <c r="B62" s="1" t="s">
        <v>1485</v>
      </c>
      <c r="C62" s="1" t="s">
        <v>7</v>
      </c>
      <c r="D62" s="1" t="s">
        <v>1374</v>
      </c>
      <c r="E62" s="9">
        <v>25435</v>
      </c>
      <c r="F62" s="1" t="str">
        <f>VLOOKUP(D62,Table11[[Name]:[Native]],3,FALSE)</f>
        <v>合阳县</v>
      </c>
      <c r="G62" s="12" t="str">
        <f ca="1">VLOOKUP(F62,Table11[[Native]:[Population4]],5,FALSE)</f>
        <v>渭南市</v>
      </c>
    </row>
    <row r="63" spans="1:7" ht="15.75" thickBot="1" x14ac:dyDescent="0.3">
      <c r="A63" t="s">
        <v>437</v>
      </c>
      <c r="B63" s="1" t="s">
        <v>438</v>
      </c>
      <c r="C63" s="1" t="s">
        <v>11</v>
      </c>
      <c r="D63" s="1" t="s">
        <v>1410</v>
      </c>
      <c r="E63" s="9">
        <v>9098</v>
      </c>
      <c r="F63" s="1" t="str">
        <f>VLOOKUP(D63,Table11[[Name]:[Native]],3,FALSE)</f>
        <v>临渭区</v>
      </c>
      <c r="G63" s="12" t="str">
        <f ca="1">VLOOKUP(F63,Table11[[Native]:[Population4]],5,FALSE)</f>
        <v>渭南市</v>
      </c>
    </row>
    <row r="64" spans="1:7" ht="15.75" thickBot="1" x14ac:dyDescent="0.3">
      <c r="A64" t="s">
        <v>1486</v>
      </c>
      <c r="B64" s="1" t="s">
        <v>1487</v>
      </c>
      <c r="C64" s="1" t="s">
        <v>7</v>
      </c>
      <c r="D64" s="1" t="s">
        <v>1384</v>
      </c>
      <c r="E64" s="9">
        <v>60791</v>
      </c>
      <c r="F64" s="1" t="str">
        <f>VLOOKUP(D64,Table11[[Name]:[Native]],3,FALSE)</f>
        <v>华阴市</v>
      </c>
      <c r="G64" s="12" t="str">
        <f ca="1">VLOOKUP(F64,Table11[[Native]:[Population4]],5,FALSE)</f>
        <v>渭南市</v>
      </c>
    </row>
    <row r="65" spans="1:7" ht="15.75" thickBot="1" x14ac:dyDescent="0.3">
      <c r="A65" t="s">
        <v>1488</v>
      </c>
      <c r="B65" s="1" t="s">
        <v>1489</v>
      </c>
      <c r="C65" s="1" t="s">
        <v>7</v>
      </c>
      <c r="D65" s="1" t="s">
        <v>1384</v>
      </c>
      <c r="E65" s="9">
        <v>16989</v>
      </c>
      <c r="F65" s="1" t="str">
        <f>VLOOKUP(D65,Table11[[Name]:[Native]],3,FALSE)</f>
        <v>华阴市</v>
      </c>
      <c r="G65" s="12" t="str">
        <f ca="1">VLOOKUP(F65,Table11[[Native]:[Population4]],5,FALSE)</f>
        <v>渭南市</v>
      </c>
    </row>
    <row r="66" spans="1:7" ht="15.75" thickBot="1" x14ac:dyDescent="0.3">
      <c r="A66" t="s">
        <v>1490</v>
      </c>
      <c r="B66" s="1" t="s">
        <v>1491</v>
      </c>
      <c r="C66" s="1" t="s">
        <v>113</v>
      </c>
      <c r="D66" s="1" t="s">
        <v>1389</v>
      </c>
      <c r="E66" s="9">
        <v>44614</v>
      </c>
      <c r="F66" s="1" t="str">
        <f>VLOOKUP(D66,Table11[[Name]:[Native]],3,FALSE)</f>
        <v>华州区</v>
      </c>
      <c r="G66" s="12" t="str">
        <f ca="1">VLOOKUP(F66,Table11[[Native]:[Population4]],5,FALSE)</f>
        <v>渭南市</v>
      </c>
    </row>
    <row r="67" spans="1:7" ht="15.75" thickBot="1" x14ac:dyDescent="0.3">
      <c r="A67" t="s">
        <v>1492</v>
      </c>
      <c r="B67" s="1" t="s">
        <v>1493</v>
      </c>
      <c r="C67" s="1" t="s">
        <v>11</v>
      </c>
      <c r="D67" s="1" t="s">
        <v>1371</v>
      </c>
      <c r="E67" s="9">
        <v>16740</v>
      </c>
      <c r="F67" s="1" t="str">
        <f>VLOOKUP(D67,Table11[[Name]:[Native]],3,FALSE)</f>
        <v>大荔县</v>
      </c>
      <c r="G67" s="12" t="str">
        <f ca="1">VLOOKUP(F67,Table11[[Native]:[Population4]],5,FALSE)</f>
        <v>渭南市</v>
      </c>
    </row>
    <row r="68" spans="1:7" ht="15.75" thickBot="1" x14ac:dyDescent="0.3">
      <c r="A68" t="s">
        <v>1494</v>
      </c>
      <c r="B68" s="1" t="s">
        <v>1495</v>
      </c>
      <c r="C68" s="1" t="s">
        <v>7</v>
      </c>
      <c r="D68" s="1" t="s">
        <v>1368</v>
      </c>
      <c r="E68" s="9">
        <v>18283</v>
      </c>
      <c r="F68" s="1" t="str">
        <f>VLOOKUP(D68,Table11[[Name]:[Native]],3,FALSE)</f>
        <v>澄城县</v>
      </c>
      <c r="G68" s="12" t="str">
        <f ca="1">VLOOKUP(F68,Table11[[Native]:[Population4]],5,FALSE)</f>
        <v>渭南市</v>
      </c>
    </row>
    <row r="69" spans="1:7" ht="15.75" thickBot="1" x14ac:dyDescent="0.3">
      <c r="A69" t="s">
        <v>1496</v>
      </c>
      <c r="B69" s="1" t="s">
        <v>1497</v>
      </c>
      <c r="C69" s="1" t="s">
        <v>7</v>
      </c>
      <c r="D69" s="1" t="s">
        <v>1410</v>
      </c>
      <c r="E69" s="9">
        <v>24668</v>
      </c>
      <c r="F69" s="1" t="str">
        <f>VLOOKUP(D69,Table11[[Name]:[Native]],3,FALSE)</f>
        <v>临渭区</v>
      </c>
      <c r="G69" s="12" t="str">
        <f ca="1">VLOOKUP(F69,Table11[[Native]:[Population4]],5,FALSE)</f>
        <v>渭南市</v>
      </c>
    </row>
    <row r="70" spans="1:7" ht="15.75" thickBot="1" x14ac:dyDescent="0.3">
      <c r="A70" t="s">
        <v>1498</v>
      </c>
      <c r="B70" s="1" t="s">
        <v>1499</v>
      </c>
      <c r="C70" s="1" t="s">
        <v>11</v>
      </c>
      <c r="D70" s="1" t="s">
        <v>1403</v>
      </c>
      <c r="E70" s="9">
        <v>28384</v>
      </c>
      <c r="F70" s="1" t="str">
        <f>VLOOKUP(D70,Table11[[Name]:[Native]],3,FALSE)</f>
        <v>蒲城县</v>
      </c>
      <c r="G70" s="12" t="str">
        <f ca="1">VLOOKUP(F70,Table11[[Native]:[Population4]],5,FALSE)</f>
        <v>渭南市</v>
      </c>
    </row>
    <row r="71" spans="1:7" ht="15.75" thickBot="1" x14ac:dyDescent="0.3">
      <c r="A71" t="s">
        <v>1500</v>
      </c>
      <c r="B71" s="1" t="s">
        <v>1501</v>
      </c>
      <c r="C71" s="1" t="s">
        <v>113</v>
      </c>
      <c r="D71" s="1" t="s">
        <v>1410</v>
      </c>
      <c r="E71" s="9">
        <v>26614</v>
      </c>
      <c r="F71" s="1" t="str">
        <f>VLOOKUP(D71,Table11[[Name]:[Native]],3,FALSE)</f>
        <v>临渭区</v>
      </c>
      <c r="G71" s="12" t="str">
        <f ca="1">VLOOKUP(F71,Table11[[Native]:[Population4]],5,FALSE)</f>
        <v>渭南市</v>
      </c>
    </row>
    <row r="72" spans="1:7" ht="15.75" thickBot="1" x14ac:dyDescent="0.3">
      <c r="A72" t="s">
        <v>1502</v>
      </c>
      <c r="B72" s="1" t="s">
        <v>1503</v>
      </c>
      <c r="C72" s="1" t="s">
        <v>113</v>
      </c>
      <c r="D72" s="1" t="s">
        <v>1378</v>
      </c>
      <c r="E72" s="9">
        <v>51430</v>
      </c>
      <c r="F72" s="1" t="str">
        <f>VLOOKUP(D72,Table11[[Name]:[Native]],3,FALSE)</f>
        <v>韩城市</v>
      </c>
      <c r="G72" s="12" t="str">
        <f ca="1">VLOOKUP(F72,Table11[[Native]:[Population4]],5,FALSE)</f>
        <v>渭南市</v>
      </c>
    </row>
    <row r="73" spans="1:7" ht="15.75" thickBot="1" x14ac:dyDescent="0.3">
      <c r="A73" t="s">
        <v>1504</v>
      </c>
      <c r="B73" s="1" t="s">
        <v>1505</v>
      </c>
      <c r="C73" s="1" t="s">
        <v>7</v>
      </c>
      <c r="D73" s="1" t="s">
        <v>1389</v>
      </c>
      <c r="E73" s="9">
        <v>22744</v>
      </c>
      <c r="F73" s="1" t="str">
        <f>VLOOKUP(D73,Table11[[Name]:[Native]],3,FALSE)</f>
        <v>华州区</v>
      </c>
      <c r="G73" s="12" t="str">
        <f ca="1">VLOOKUP(F73,Table11[[Native]:[Population4]],5,FALSE)</f>
        <v>渭南市</v>
      </c>
    </row>
    <row r="74" spans="1:7" ht="15.75" thickBot="1" x14ac:dyDescent="0.3">
      <c r="A74" t="s">
        <v>1506</v>
      </c>
      <c r="B74" s="1" t="s">
        <v>1507</v>
      </c>
      <c r="C74" s="1" t="s">
        <v>7</v>
      </c>
      <c r="D74" s="1" t="s">
        <v>1403</v>
      </c>
      <c r="E74" s="9">
        <v>56650</v>
      </c>
      <c r="F74" s="1" t="str">
        <f>VLOOKUP(D74,Table11[[Name]:[Native]],3,FALSE)</f>
        <v>蒲城县</v>
      </c>
      <c r="G74" s="12" t="str">
        <f ca="1">VLOOKUP(F74,Table11[[Native]:[Population4]],5,FALSE)</f>
        <v>渭南市</v>
      </c>
    </row>
    <row r="75" spans="1:7" ht="15.75" thickBot="1" x14ac:dyDescent="0.3">
      <c r="A75" t="s">
        <v>1508</v>
      </c>
      <c r="B75" s="1" t="s">
        <v>1509</v>
      </c>
      <c r="C75" s="1" t="s">
        <v>11</v>
      </c>
      <c r="D75" s="1" t="s">
        <v>1389</v>
      </c>
      <c r="E75" s="9">
        <v>12717</v>
      </c>
      <c r="F75" s="1" t="str">
        <f>VLOOKUP(D75,Table11[[Name]:[Native]],3,FALSE)</f>
        <v>华州区</v>
      </c>
      <c r="G75" s="12" t="str">
        <f ca="1">VLOOKUP(F75,Table11[[Native]:[Population4]],5,FALSE)</f>
        <v>渭南市</v>
      </c>
    </row>
    <row r="76" spans="1:7" ht="15.75" thickBot="1" x14ac:dyDescent="0.3">
      <c r="A76" t="s">
        <v>1510</v>
      </c>
      <c r="B76" s="1" t="s">
        <v>1511</v>
      </c>
      <c r="C76" s="1" t="s">
        <v>7</v>
      </c>
      <c r="D76" s="1" t="s">
        <v>1374</v>
      </c>
      <c r="E76" s="9">
        <v>23829</v>
      </c>
      <c r="F76" s="1" t="str">
        <f>VLOOKUP(D76,Table11[[Name]:[Native]],3,FALSE)</f>
        <v>合阳县</v>
      </c>
      <c r="G76" s="12" t="str">
        <f ca="1">VLOOKUP(F76,Table11[[Native]:[Population4]],5,FALSE)</f>
        <v>渭南市</v>
      </c>
    </row>
    <row r="77" spans="1:7" ht="15.75" thickBot="1" x14ac:dyDescent="0.3">
      <c r="A77" t="s">
        <v>1512</v>
      </c>
      <c r="B77" s="1" t="s">
        <v>1513</v>
      </c>
      <c r="C77" s="1" t="s">
        <v>7</v>
      </c>
      <c r="D77" s="1" t="s">
        <v>1377</v>
      </c>
      <c r="E77" s="9">
        <v>33657</v>
      </c>
      <c r="F77" s="1" t="str">
        <f>VLOOKUP(D77,Table11[[Name]:[Native]],3,FALSE)</f>
        <v>富平县</v>
      </c>
      <c r="G77" s="12" t="str">
        <f ca="1">VLOOKUP(F77,Table11[[Native]:[Population4]],5,FALSE)</f>
        <v>渭南市</v>
      </c>
    </row>
    <row r="78" spans="1:7" ht="15.75" thickBot="1" x14ac:dyDescent="0.3">
      <c r="A78" t="s">
        <v>1514</v>
      </c>
      <c r="B78" s="1" t="s">
        <v>1515</v>
      </c>
      <c r="C78" s="1" t="s">
        <v>11</v>
      </c>
      <c r="D78" s="1" t="s">
        <v>1381</v>
      </c>
      <c r="E78" s="9">
        <v>14848</v>
      </c>
      <c r="F78" s="1" t="str">
        <f>VLOOKUP(D78,Table11[[Name]:[Native]],3,FALSE)</f>
        <v>白水县</v>
      </c>
      <c r="G78" s="12" t="str">
        <f ca="1">VLOOKUP(F78,Table11[[Native]:[Population4]],5,FALSE)</f>
        <v>渭南市</v>
      </c>
    </row>
    <row r="79" spans="1:7" ht="15.75" thickBot="1" x14ac:dyDescent="0.3">
      <c r="A79" t="s">
        <v>1516</v>
      </c>
      <c r="B79" s="1" t="s">
        <v>1517</v>
      </c>
      <c r="C79" s="1" t="s">
        <v>11</v>
      </c>
      <c r="D79" s="1" t="s">
        <v>1368</v>
      </c>
      <c r="E79" s="9">
        <v>16800</v>
      </c>
      <c r="F79" s="1" t="str">
        <f>VLOOKUP(D79,Table11[[Name]:[Native]],3,FALSE)</f>
        <v>澄城县</v>
      </c>
      <c r="G79" s="12" t="str">
        <f ca="1">VLOOKUP(F79,Table11[[Native]:[Population4]],5,FALSE)</f>
        <v>渭南市</v>
      </c>
    </row>
    <row r="80" spans="1:7" ht="15.75" thickBot="1" x14ac:dyDescent="0.3">
      <c r="A80" t="s">
        <v>1518</v>
      </c>
      <c r="B80" s="1" t="s">
        <v>1519</v>
      </c>
      <c r="C80" s="1" t="s">
        <v>7</v>
      </c>
      <c r="D80" s="1" t="s">
        <v>1381</v>
      </c>
      <c r="E80" s="9">
        <v>11324</v>
      </c>
      <c r="F80" s="1" t="str">
        <f>VLOOKUP(D80,Table11[[Name]:[Native]],3,FALSE)</f>
        <v>白水县</v>
      </c>
      <c r="G80" s="12" t="str">
        <f ca="1">VLOOKUP(F80,Table11[[Native]:[Population4]],5,FALSE)</f>
        <v>渭南市</v>
      </c>
    </row>
    <row r="81" spans="1:7" ht="15.75" thickBot="1" x14ac:dyDescent="0.3">
      <c r="A81" t="s">
        <v>1520</v>
      </c>
      <c r="B81" s="1" t="s">
        <v>1521</v>
      </c>
      <c r="C81" s="1" t="s">
        <v>113</v>
      </c>
      <c r="D81" s="1" t="s">
        <v>1410</v>
      </c>
      <c r="E81" s="9">
        <v>18020</v>
      </c>
      <c r="F81" s="1" t="str">
        <f>VLOOKUP(D81,Table11[[Name]:[Native]],3,FALSE)</f>
        <v>临渭区</v>
      </c>
      <c r="G81" s="12" t="str">
        <f ca="1">VLOOKUP(F81,Table11[[Native]:[Population4]],5,FALSE)</f>
        <v>渭南市</v>
      </c>
    </row>
    <row r="82" spans="1:7" ht="15.75" thickBot="1" x14ac:dyDescent="0.3">
      <c r="A82" t="s">
        <v>1522</v>
      </c>
      <c r="B82" s="1" t="s">
        <v>1523</v>
      </c>
      <c r="C82" s="1" t="s">
        <v>7</v>
      </c>
      <c r="D82" s="1" t="s">
        <v>1371</v>
      </c>
      <c r="E82" s="9">
        <v>44774</v>
      </c>
      <c r="F82" s="1" t="str">
        <f>VLOOKUP(D82,Table11[[Name]:[Native]],3,FALSE)</f>
        <v>大荔县</v>
      </c>
      <c r="G82" s="12" t="str">
        <f ca="1">VLOOKUP(F82,Table11[[Native]:[Population4]],5,FALSE)</f>
        <v>渭南市</v>
      </c>
    </row>
    <row r="83" spans="1:7" ht="15.75" thickBot="1" x14ac:dyDescent="0.3">
      <c r="A83" t="s">
        <v>1524</v>
      </c>
      <c r="B83" s="1" t="s">
        <v>1525</v>
      </c>
      <c r="C83" s="1" t="s">
        <v>7</v>
      </c>
      <c r="D83" s="1" t="s">
        <v>1389</v>
      </c>
      <c r="E83" s="9">
        <v>25383</v>
      </c>
      <c r="F83" s="1" t="str">
        <f>VLOOKUP(D83,Table11[[Name]:[Native]],3,FALSE)</f>
        <v>华州区</v>
      </c>
      <c r="G83" s="12" t="str">
        <f ca="1">VLOOKUP(F83,Table11[[Native]:[Population4]],5,FALSE)</f>
        <v>渭南市</v>
      </c>
    </row>
    <row r="84" spans="1:7" ht="15.75" thickBot="1" x14ac:dyDescent="0.3">
      <c r="A84" t="s">
        <v>1526</v>
      </c>
      <c r="B84" s="1" t="s">
        <v>1527</v>
      </c>
      <c r="C84" s="1" t="s">
        <v>7</v>
      </c>
      <c r="D84" s="1" t="s">
        <v>1410</v>
      </c>
      <c r="E84" s="9">
        <v>25064</v>
      </c>
      <c r="F84" s="1" t="str">
        <f>VLOOKUP(D84,Table11[[Name]:[Native]],3,FALSE)</f>
        <v>临渭区</v>
      </c>
      <c r="G84" s="12" t="str">
        <f ca="1">VLOOKUP(F84,Table11[[Native]:[Population4]],5,FALSE)</f>
        <v>渭南市</v>
      </c>
    </row>
    <row r="85" spans="1:7" ht="15.75" thickBot="1" x14ac:dyDescent="0.3">
      <c r="A85" t="s">
        <v>1528</v>
      </c>
      <c r="B85" s="1" t="s">
        <v>1529</v>
      </c>
      <c r="C85" s="1" t="s">
        <v>7</v>
      </c>
      <c r="D85" s="1" t="s">
        <v>1381</v>
      </c>
      <c r="E85" s="9">
        <v>33014</v>
      </c>
      <c r="F85" s="1" t="str">
        <f>VLOOKUP(D85,Table11[[Name]:[Native]],3,FALSE)</f>
        <v>白水县</v>
      </c>
      <c r="G85" s="12" t="str">
        <f ca="1">VLOOKUP(F85,Table11[[Native]:[Population4]],5,FALSE)</f>
        <v>渭南市</v>
      </c>
    </row>
    <row r="86" spans="1:7" ht="15.75" thickBot="1" x14ac:dyDescent="0.3">
      <c r="A86" t="s">
        <v>1530</v>
      </c>
      <c r="B86" s="1" t="s">
        <v>1531</v>
      </c>
      <c r="C86" s="1" t="s">
        <v>7</v>
      </c>
      <c r="D86" s="1" t="s">
        <v>1377</v>
      </c>
      <c r="E86" s="9">
        <v>29642</v>
      </c>
      <c r="F86" s="1" t="str">
        <f>VLOOKUP(D86,Table11[[Name]:[Native]],3,FALSE)</f>
        <v>富平县</v>
      </c>
      <c r="G86" s="12" t="str">
        <f ca="1">VLOOKUP(F86,Table11[[Native]:[Population4]],5,FALSE)</f>
        <v>渭南市</v>
      </c>
    </row>
    <row r="87" spans="1:7" ht="15.75" thickBot="1" x14ac:dyDescent="0.3">
      <c r="A87" t="s">
        <v>1532</v>
      </c>
      <c r="B87" s="1" t="s">
        <v>1533</v>
      </c>
      <c r="C87" s="1" t="s">
        <v>7</v>
      </c>
      <c r="D87" s="1" t="s">
        <v>1377</v>
      </c>
      <c r="E87" s="9">
        <v>40169</v>
      </c>
      <c r="F87" s="1" t="str">
        <f>VLOOKUP(D87,Table11[[Name]:[Native]],3,FALSE)</f>
        <v>富平县</v>
      </c>
      <c r="G87" s="12" t="str">
        <f ca="1">VLOOKUP(F87,Table11[[Native]:[Population4]],5,FALSE)</f>
        <v>渭南市</v>
      </c>
    </row>
    <row r="88" spans="1:7" ht="15.75" thickBot="1" x14ac:dyDescent="0.3">
      <c r="A88" t="s">
        <v>1534</v>
      </c>
      <c r="B88" s="1" t="s">
        <v>1535</v>
      </c>
      <c r="C88" s="1" t="s">
        <v>7</v>
      </c>
      <c r="D88" s="1" t="s">
        <v>1377</v>
      </c>
      <c r="E88" s="9">
        <v>59393</v>
      </c>
      <c r="F88" s="1" t="str">
        <f>VLOOKUP(D88,Table11[[Name]:[Native]],3,FALSE)</f>
        <v>富平县</v>
      </c>
      <c r="G88" s="12" t="str">
        <f ca="1">VLOOKUP(F88,Table11[[Native]:[Population4]],5,FALSE)</f>
        <v>渭南市</v>
      </c>
    </row>
    <row r="89" spans="1:7" ht="15.75" thickBot="1" x14ac:dyDescent="0.3">
      <c r="A89" t="s">
        <v>1536</v>
      </c>
      <c r="B89" s="1" t="s">
        <v>1537</v>
      </c>
      <c r="C89" s="1" t="s">
        <v>7</v>
      </c>
      <c r="D89" s="1" t="s">
        <v>1389</v>
      </c>
      <c r="E89" s="9">
        <v>14215</v>
      </c>
      <c r="F89" s="1" t="str">
        <f>VLOOKUP(D89,Table11[[Name]:[Native]],3,FALSE)</f>
        <v>华州区</v>
      </c>
      <c r="G89" s="12" t="str">
        <f ca="1">VLOOKUP(F89,Table11[[Native]:[Population4]],5,FALSE)</f>
        <v>渭南市</v>
      </c>
    </row>
    <row r="90" spans="1:7" ht="15.75" thickBot="1" x14ac:dyDescent="0.3">
      <c r="A90" t="s">
        <v>1538</v>
      </c>
      <c r="B90" s="1" t="s">
        <v>1539</v>
      </c>
      <c r="C90" s="1" t="s">
        <v>113</v>
      </c>
      <c r="D90" s="1" t="s">
        <v>1410</v>
      </c>
      <c r="E90" s="9">
        <v>20455</v>
      </c>
      <c r="F90" s="1" t="str">
        <f>VLOOKUP(D90,Table11[[Name]:[Native]],3,FALSE)</f>
        <v>临渭区</v>
      </c>
      <c r="G90" s="12" t="str">
        <f ca="1">VLOOKUP(F90,Table11[[Native]:[Population4]],5,FALSE)</f>
        <v>渭南市</v>
      </c>
    </row>
    <row r="91" spans="1:7" ht="15.75" thickBot="1" x14ac:dyDescent="0.3">
      <c r="A91" t="s">
        <v>1540</v>
      </c>
      <c r="B91" s="1" t="s">
        <v>1541</v>
      </c>
      <c r="C91" s="1" t="s">
        <v>7</v>
      </c>
      <c r="D91" s="1" t="s">
        <v>1403</v>
      </c>
      <c r="E91" s="9">
        <v>33574</v>
      </c>
      <c r="F91" s="1" t="str">
        <f>VLOOKUP(D91,Table11[[Name]:[Native]],3,FALSE)</f>
        <v>蒲城县</v>
      </c>
      <c r="G91" s="12" t="str">
        <f ca="1">VLOOKUP(F91,Table11[[Native]:[Population4]],5,FALSE)</f>
        <v>渭南市</v>
      </c>
    </row>
    <row r="92" spans="1:7" ht="15.75" thickBot="1" x14ac:dyDescent="0.3">
      <c r="A92" t="s">
        <v>1542</v>
      </c>
      <c r="B92" s="1" t="s">
        <v>1543</v>
      </c>
      <c r="C92" s="1" t="s">
        <v>7</v>
      </c>
      <c r="D92" s="1" t="s">
        <v>1378</v>
      </c>
      <c r="E92" s="9">
        <v>55847</v>
      </c>
      <c r="F92" s="1" t="str">
        <f>VLOOKUP(D92,Table11[[Name]:[Native]],3,FALSE)</f>
        <v>韩城市</v>
      </c>
      <c r="G92" s="12" t="str">
        <f ca="1">VLOOKUP(F92,Table11[[Native]:[Population4]],5,FALSE)</f>
        <v>渭南市</v>
      </c>
    </row>
    <row r="93" spans="1:7" ht="15.75" thickBot="1" x14ac:dyDescent="0.3">
      <c r="A93" t="s">
        <v>1544</v>
      </c>
      <c r="B93" s="1" t="s">
        <v>1545</v>
      </c>
      <c r="C93" s="1" t="s">
        <v>7</v>
      </c>
      <c r="D93" s="1" t="s">
        <v>1403</v>
      </c>
      <c r="E93" s="9">
        <v>25218</v>
      </c>
      <c r="F93" s="1" t="str">
        <f>VLOOKUP(D93,Table11[[Name]:[Native]],3,FALSE)</f>
        <v>蒲城县</v>
      </c>
      <c r="G93" s="12" t="str">
        <f ca="1">VLOOKUP(F93,Table11[[Native]:[Population4]],5,FALSE)</f>
        <v>渭南市</v>
      </c>
    </row>
    <row r="94" spans="1:7" ht="15.75" thickBot="1" x14ac:dyDescent="0.3">
      <c r="A94" t="s">
        <v>1546</v>
      </c>
      <c r="B94" s="1" t="s">
        <v>1547</v>
      </c>
      <c r="C94" s="1" t="s">
        <v>7</v>
      </c>
      <c r="D94" s="1" t="s">
        <v>1374</v>
      </c>
      <c r="E94" s="9">
        <v>38573</v>
      </c>
      <c r="F94" s="1" t="str">
        <f>VLOOKUP(D94,Table11[[Name]:[Native]],3,FALSE)</f>
        <v>合阳县</v>
      </c>
      <c r="G94" s="12" t="str">
        <f ca="1">VLOOKUP(F94,Table11[[Native]:[Population4]],5,FALSE)</f>
        <v>渭南市</v>
      </c>
    </row>
    <row r="95" spans="1:7" ht="15.75" thickBot="1" x14ac:dyDescent="0.3">
      <c r="A95" t="s">
        <v>1548</v>
      </c>
      <c r="B95" s="1" t="s">
        <v>1549</v>
      </c>
      <c r="C95" s="1" t="s">
        <v>7</v>
      </c>
      <c r="D95" s="1" t="s">
        <v>1403</v>
      </c>
      <c r="E95" s="9">
        <v>27946</v>
      </c>
      <c r="F95" s="1" t="str">
        <f>VLOOKUP(D95,Table11[[Name]:[Native]],3,FALSE)</f>
        <v>蒲城县</v>
      </c>
      <c r="G95" s="12" t="str">
        <f ca="1">VLOOKUP(F95,Table11[[Native]:[Population4]],5,FALSE)</f>
        <v>渭南市</v>
      </c>
    </row>
    <row r="96" spans="1:7" ht="15.75" thickBot="1" x14ac:dyDescent="0.3">
      <c r="A96" t="s">
        <v>1550</v>
      </c>
      <c r="B96" s="1" t="s">
        <v>1551</v>
      </c>
      <c r="C96" s="1" t="s">
        <v>7</v>
      </c>
      <c r="D96" s="1" t="s">
        <v>1384</v>
      </c>
      <c r="E96" s="9">
        <v>28794</v>
      </c>
      <c r="F96" s="1" t="str">
        <f>VLOOKUP(D96,Table11[[Name]:[Native]],3,FALSE)</f>
        <v>华阴市</v>
      </c>
      <c r="G96" s="12" t="str">
        <f ca="1">VLOOKUP(F96,Table11[[Native]:[Population4]],5,FALSE)</f>
        <v>渭南市</v>
      </c>
    </row>
    <row r="97" spans="1:7" ht="15.75" thickBot="1" x14ac:dyDescent="0.3">
      <c r="A97" t="s">
        <v>1552</v>
      </c>
      <c r="B97" s="1" t="s">
        <v>1553</v>
      </c>
      <c r="C97" s="1" t="s">
        <v>11</v>
      </c>
      <c r="D97" s="1" t="s">
        <v>1368</v>
      </c>
      <c r="E97" s="9">
        <v>16970</v>
      </c>
      <c r="F97" s="1" t="str">
        <f>VLOOKUP(D97,Table11[[Name]:[Native]],3,FALSE)</f>
        <v>澄城县</v>
      </c>
      <c r="G97" s="12" t="str">
        <f ca="1">VLOOKUP(F97,Table11[[Native]:[Population4]],5,FALSE)</f>
        <v>渭南市</v>
      </c>
    </row>
    <row r="98" spans="1:7" ht="15.75" thickBot="1" x14ac:dyDescent="0.3">
      <c r="A98" t="s">
        <v>1554</v>
      </c>
      <c r="B98" s="1" t="s">
        <v>1555</v>
      </c>
      <c r="C98" s="1" t="s">
        <v>11</v>
      </c>
      <c r="D98" s="1" t="s">
        <v>1374</v>
      </c>
      <c r="E98" s="9">
        <v>18238</v>
      </c>
      <c r="F98" s="1" t="str">
        <f>VLOOKUP(D98,Table11[[Name]:[Native]],3,FALSE)</f>
        <v>合阳县</v>
      </c>
      <c r="G98" s="12" t="str">
        <f ca="1">VLOOKUP(F98,Table11[[Native]:[Population4]],5,FALSE)</f>
        <v>渭南市</v>
      </c>
    </row>
    <row r="99" spans="1:7" ht="15.75" thickBot="1" x14ac:dyDescent="0.3">
      <c r="A99" t="s">
        <v>1556</v>
      </c>
      <c r="B99" s="1" t="s">
        <v>1557</v>
      </c>
      <c r="C99" s="1" t="s">
        <v>7</v>
      </c>
      <c r="D99" s="1" t="s">
        <v>1377</v>
      </c>
      <c r="E99" s="9">
        <v>30232</v>
      </c>
      <c r="F99" s="1" t="str">
        <f>VLOOKUP(D99,Table11[[Name]:[Native]],3,FALSE)</f>
        <v>富平县</v>
      </c>
      <c r="G99" s="12" t="str">
        <f ca="1">VLOOKUP(F99,Table11[[Native]:[Population4]],5,FALSE)</f>
        <v>渭南市</v>
      </c>
    </row>
    <row r="100" spans="1:7" ht="15.75" thickBot="1" x14ac:dyDescent="0.3">
      <c r="A100" t="s">
        <v>1558</v>
      </c>
      <c r="B100" s="1" t="s">
        <v>1559</v>
      </c>
      <c r="C100" s="1" t="s">
        <v>7</v>
      </c>
      <c r="D100" s="1" t="s">
        <v>1377</v>
      </c>
      <c r="E100" s="9">
        <v>47520</v>
      </c>
      <c r="F100" s="1" t="str">
        <f>VLOOKUP(D100,Table11[[Name]:[Native]],3,FALSE)</f>
        <v>富平县</v>
      </c>
      <c r="G100" s="12" t="str">
        <f ca="1">VLOOKUP(F100,Table11[[Native]:[Population4]],5,FALSE)</f>
        <v>渭南市</v>
      </c>
    </row>
    <row r="101" spans="1:7" ht="15.75" thickBot="1" x14ac:dyDescent="0.3">
      <c r="A101" t="s">
        <v>1560</v>
      </c>
      <c r="B101" s="1" t="s">
        <v>1561</v>
      </c>
      <c r="C101" s="1" t="s">
        <v>7</v>
      </c>
      <c r="D101" s="1" t="s">
        <v>1384</v>
      </c>
      <c r="E101" s="9">
        <v>24687</v>
      </c>
      <c r="F101" s="1" t="str">
        <f>VLOOKUP(D101,Table11[[Name]:[Native]],3,FALSE)</f>
        <v>华阴市</v>
      </c>
      <c r="G101" s="12" t="str">
        <f ca="1">VLOOKUP(F101,Table11[[Native]:[Population4]],5,FALSE)</f>
        <v>渭南市</v>
      </c>
    </row>
    <row r="102" spans="1:7" ht="15.75" thickBot="1" x14ac:dyDescent="0.3">
      <c r="A102" t="s">
        <v>1562</v>
      </c>
      <c r="B102" s="1" t="s">
        <v>1563</v>
      </c>
      <c r="C102" s="1" t="s">
        <v>11</v>
      </c>
      <c r="D102" s="1" t="s">
        <v>1377</v>
      </c>
      <c r="E102" s="9">
        <v>17445</v>
      </c>
      <c r="F102" s="1" t="str">
        <f>VLOOKUP(D102,Table11[[Name]:[Native]],3,FALSE)</f>
        <v>富平县</v>
      </c>
      <c r="G102" s="12" t="str">
        <f ca="1">VLOOKUP(F102,Table11[[Native]:[Population4]],5,FALSE)</f>
        <v>渭南市</v>
      </c>
    </row>
    <row r="103" spans="1:7" ht="15.75" thickBot="1" x14ac:dyDescent="0.3">
      <c r="A103" t="s">
        <v>1564</v>
      </c>
      <c r="B103" s="1" t="s">
        <v>1565</v>
      </c>
      <c r="C103" s="1" t="s">
        <v>11</v>
      </c>
      <c r="D103" s="1" t="s">
        <v>1377</v>
      </c>
      <c r="E103" s="9">
        <v>16987</v>
      </c>
      <c r="F103" s="1" t="str">
        <f>VLOOKUP(D103,Table11[[Name]:[Native]],3,FALSE)</f>
        <v>富平县</v>
      </c>
      <c r="G103" s="12" t="str">
        <f ca="1">VLOOKUP(F103,Table11[[Native]:[Population4]],5,FALSE)</f>
        <v>渭南市</v>
      </c>
    </row>
    <row r="104" spans="1:7" ht="15.75" thickBot="1" x14ac:dyDescent="0.3">
      <c r="A104" t="s">
        <v>1566</v>
      </c>
      <c r="B104" s="1" t="s">
        <v>1567</v>
      </c>
      <c r="C104" s="1" t="s">
        <v>11</v>
      </c>
      <c r="D104" s="1" t="s">
        <v>1410</v>
      </c>
      <c r="E104" s="9">
        <v>18411</v>
      </c>
      <c r="F104" s="1" t="str">
        <f>VLOOKUP(D104,Table11[[Name]:[Native]],3,FALSE)</f>
        <v>临渭区</v>
      </c>
      <c r="G104" s="12" t="str">
        <f ca="1">VLOOKUP(F104,Table11[[Native]:[Population4]],5,FALSE)</f>
        <v>渭南市</v>
      </c>
    </row>
    <row r="105" spans="1:7" ht="15.75" thickBot="1" x14ac:dyDescent="0.3">
      <c r="A105" t="s">
        <v>1568</v>
      </c>
      <c r="B105" s="1" t="s">
        <v>1569</v>
      </c>
      <c r="C105" s="1" t="s">
        <v>11</v>
      </c>
      <c r="D105" s="1" t="s">
        <v>1399</v>
      </c>
      <c r="E105" s="9">
        <v>12380</v>
      </c>
      <c r="F105" s="1" t="str">
        <f>VLOOKUP(D105,Table11[[Name]:[Native]],3,FALSE)</f>
        <v>潼关县</v>
      </c>
      <c r="G105" s="12" t="str">
        <f ca="1">VLOOKUP(F105,Table11[[Native]:[Population4]],5,FALSE)</f>
        <v>渭南市</v>
      </c>
    </row>
    <row r="106" spans="1:7" ht="15.75" thickBot="1" x14ac:dyDescent="0.3">
      <c r="A106" t="s">
        <v>1570</v>
      </c>
      <c r="B106" s="1" t="s">
        <v>1571</v>
      </c>
      <c r="C106" s="1" t="s">
        <v>7</v>
      </c>
      <c r="D106" s="1" t="s">
        <v>1371</v>
      </c>
      <c r="E106" s="9">
        <v>27182</v>
      </c>
      <c r="F106" s="1" t="str">
        <f>VLOOKUP(D106,Table11[[Name]:[Native]],3,FALSE)</f>
        <v>大荔县</v>
      </c>
      <c r="G106" s="12" t="str">
        <f ca="1">VLOOKUP(F106,Table11[[Native]:[Population4]],5,FALSE)</f>
        <v>渭南市</v>
      </c>
    </row>
    <row r="107" spans="1:7" ht="15.75" thickBot="1" x14ac:dyDescent="0.3">
      <c r="A107" t="s">
        <v>849</v>
      </c>
      <c r="B107" s="1" t="s">
        <v>850</v>
      </c>
      <c r="C107" s="1" t="s">
        <v>11</v>
      </c>
      <c r="D107" s="1" t="s">
        <v>1378</v>
      </c>
      <c r="E107" s="9">
        <v>5966</v>
      </c>
      <c r="F107" s="1" t="str">
        <f>VLOOKUP(D107,Table11[[Name]:[Native]],3,FALSE)</f>
        <v>韩城市</v>
      </c>
      <c r="G107" s="12" t="str">
        <f ca="1">VLOOKUP(F107,Table11[[Native]:[Population4]],5,FALSE)</f>
        <v>渭南市</v>
      </c>
    </row>
    <row r="108" spans="1:7" ht="15.75" thickBot="1" x14ac:dyDescent="0.3">
      <c r="A108" t="s">
        <v>1572</v>
      </c>
      <c r="B108" s="1" t="s">
        <v>1573</v>
      </c>
      <c r="C108" s="1" t="s">
        <v>11</v>
      </c>
      <c r="D108" s="1" t="s">
        <v>1403</v>
      </c>
      <c r="E108" s="9">
        <v>20192</v>
      </c>
      <c r="F108" s="1" t="str">
        <f>VLOOKUP(D108,Table11[[Name]:[Native]],3,FALSE)</f>
        <v>蒲城县</v>
      </c>
      <c r="G108" s="12" t="str">
        <f ca="1">VLOOKUP(F108,Table11[[Native]:[Population4]],5,FALSE)</f>
        <v>渭南市</v>
      </c>
    </row>
    <row r="109" spans="1:7" ht="15.75" thickBot="1" x14ac:dyDescent="0.3">
      <c r="A109" t="s">
        <v>1574</v>
      </c>
      <c r="B109" s="1" t="s">
        <v>1575</v>
      </c>
      <c r="C109" s="1" t="s">
        <v>11</v>
      </c>
      <c r="D109" s="1" t="s">
        <v>1410</v>
      </c>
      <c r="E109" s="9">
        <v>13000</v>
      </c>
      <c r="F109" s="1" t="str">
        <f>VLOOKUP(D109,Table11[[Name]:[Native]],3,FALSE)</f>
        <v>临渭区</v>
      </c>
      <c r="G109" s="12" t="str">
        <f ca="1">VLOOKUP(F109,Table11[[Native]:[Population4]],5,FALSE)</f>
        <v>渭南市</v>
      </c>
    </row>
    <row r="110" spans="1:7" ht="15.75" thickBot="1" x14ac:dyDescent="0.3">
      <c r="A110" t="s">
        <v>1576</v>
      </c>
      <c r="B110" s="1" t="s">
        <v>1577</v>
      </c>
      <c r="C110" s="1" t="s">
        <v>7</v>
      </c>
      <c r="D110" s="1" t="s">
        <v>1403</v>
      </c>
      <c r="E110" s="9">
        <v>24579</v>
      </c>
      <c r="F110" s="1" t="str">
        <f>VLOOKUP(D110,Table11[[Name]:[Native]],3,FALSE)</f>
        <v>蒲城县</v>
      </c>
      <c r="G110" s="12" t="str">
        <f ca="1">VLOOKUP(F110,Table11[[Native]:[Population4]],5,FALSE)</f>
        <v>渭南市</v>
      </c>
    </row>
    <row r="111" spans="1:7" ht="15.75" thickBot="1" x14ac:dyDescent="0.3">
      <c r="A111" t="s">
        <v>1578</v>
      </c>
      <c r="B111" s="1" t="s">
        <v>1579</v>
      </c>
      <c r="C111" s="1" t="s">
        <v>7</v>
      </c>
      <c r="D111" s="1" t="s">
        <v>1374</v>
      </c>
      <c r="E111" s="9">
        <v>8593</v>
      </c>
      <c r="F111" s="1" t="str">
        <f>VLOOKUP(D111,Table11[[Name]:[Native]],3,FALSE)</f>
        <v>合阳县</v>
      </c>
      <c r="G111" s="12" t="str">
        <f ca="1">VLOOKUP(F111,Table11[[Native]:[Population4]],5,FALSE)</f>
        <v>渭南市</v>
      </c>
    </row>
    <row r="112" spans="1:7" ht="15.75" thickBot="1" x14ac:dyDescent="0.3">
      <c r="A112" t="s">
        <v>1580</v>
      </c>
      <c r="B112" s="1" t="s">
        <v>1581</v>
      </c>
      <c r="C112" s="1" t="s">
        <v>7</v>
      </c>
      <c r="D112" s="1" t="s">
        <v>1371</v>
      </c>
      <c r="E112" s="9">
        <v>56431</v>
      </c>
      <c r="F112" s="1" t="str">
        <f>VLOOKUP(D112,Table11[[Name]:[Native]],3,FALSE)</f>
        <v>大荔县</v>
      </c>
      <c r="G112" s="12" t="str">
        <f ca="1">VLOOKUP(F112,Table11[[Native]:[Population4]],5,FALSE)</f>
        <v>渭南市</v>
      </c>
    </row>
    <row r="113" spans="1:7" ht="15.75" thickBot="1" x14ac:dyDescent="0.3">
      <c r="A113" t="s">
        <v>1582</v>
      </c>
      <c r="B113" s="1" t="s">
        <v>1583</v>
      </c>
      <c r="C113" s="1" t="s">
        <v>7</v>
      </c>
      <c r="D113" s="1" t="s">
        <v>1403</v>
      </c>
      <c r="E113" s="9">
        <v>39550</v>
      </c>
      <c r="F113" s="1" t="str">
        <f>VLOOKUP(D113,Table11[[Name]:[Native]],3,FALSE)</f>
        <v>蒲城县</v>
      </c>
      <c r="G113" s="12" t="str">
        <f ca="1">VLOOKUP(F113,Table11[[Native]:[Population4]],5,FALSE)</f>
        <v>渭南市</v>
      </c>
    </row>
    <row r="114" spans="1:7" ht="15.75" thickBot="1" x14ac:dyDescent="0.3">
      <c r="A114" t="s">
        <v>1584</v>
      </c>
      <c r="B114" s="1" t="s">
        <v>1585</v>
      </c>
      <c r="C114" s="1" t="s">
        <v>7</v>
      </c>
      <c r="D114" s="1" t="s">
        <v>1410</v>
      </c>
      <c r="E114" s="9">
        <v>21267</v>
      </c>
      <c r="F114" s="1" t="str">
        <f>VLOOKUP(D114,Table11[[Name]:[Native]],3,FALSE)</f>
        <v>临渭区</v>
      </c>
      <c r="G114" s="12" t="str">
        <f ca="1">VLOOKUP(F114,Table11[[Native]:[Population4]],5,FALSE)</f>
        <v>渭南市</v>
      </c>
    </row>
    <row r="115" spans="1:7" ht="15.75" thickBot="1" x14ac:dyDescent="0.3">
      <c r="A115" t="s">
        <v>1586</v>
      </c>
      <c r="B115" s="1" t="s">
        <v>1587</v>
      </c>
      <c r="C115" s="1" t="s">
        <v>7</v>
      </c>
      <c r="D115" s="1" t="s">
        <v>1377</v>
      </c>
      <c r="E115" s="9">
        <v>32194</v>
      </c>
      <c r="F115" s="1" t="str">
        <f>VLOOKUP(D115,Table11[[Name]:[Native]],3,FALSE)</f>
        <v>富平县</v>
      </c>
      <c r="G115" s="12" t="str">
        <f ca="1">VLOOKUP(F115,Table11[[Native]:[Population4]],5,FALSE)</f>
        <v>渭南市</v>
      </c>
    </row>
    <row r="116" spans="1:7" ht="15.75" thickBot="1" x14ac:dyDescent="0.3">
      <c r="A116" t="s">
        <v>1588</v>
      </c>
      <c r="B116" s="1" t="s">
        <v>1589</v>
      </c>
      <c r="C116" s="1" t="s">
        <v>7</v>
      </c>
      <c r="D116" s="1" t="s">
        <v>1399</v>
      </c>
      <c r="E116" s="9">
        <v>17866</v>
      </c>
      <c r="F116" s="1" t="str">
        <f>VLOOKUP(D116,Table11[[Name]:[Native]],3,FALSE)</f>
        <v>潼关县</v>
      </c>
      <c r="G116" s="12" t="str">
        <f ca="1">VLOOKUP(F116,Table11[[Native]:[Population4]],5,FALSE)</f>
        <v>渭南市</v>
      </c>
    </row>
    <row r="117" spans="1:7" ht="15.75" thickBot="1" x14ac:dyDescent="0.3">
      <c r="A117" t="s">
        <v>1590</v>
      </c>
      <c r="B117" s="1" t="s">
        <v>1591</v>
      </c>
      <c r="C117" s="1" t="s">
        <v>113</v>
      </c>
      <c r="D117" s="1" t="s">
        <v>1410</v>
      </c>
      <c r="E117" s="9">
        <v>66293</v>
      </c>
      <c r="F117" s="1" t="str">
        <f>VLOOKUP(D117,Table11[[Name]:[Native]],3,FALSE)</f>
        <v>临渭区</v>
      </c>
      <c r="G117" s="12" t="str">
        <f ca="1">VLOOKUP(F117,Table11[[Native]:[Population4]],5,FALSE)</f>
        <v>渭南市</v>
      </c>
    </row>
    <row r="118" spans="1:7" ht="15.75" thickBot="1" x14ac:dyDescent="0.3">
      <c r="A118" t="s">
        <v>1592</v>
      </c>
      <c r="B118" s="1" t="s">
        <v>1593</v>
      </c>
      <c r="C118" s="1" t="s">
        <v>7</v>
      </c>
      <c r="D118" s="1" t="s">
        <v>1378</v>
      </c>
      <c r="E118" s="9">
        <v>32677</v>
      </c>
      <c r="F118" s="1" t="str">
        <f>VLOOKUP(D118,Table11[[Name]:[Native]],3,FALSE)</f>
        <v>韩城市</v>
      </c>
      <c r="G118" s="12" t="str">
        <f ca="1">VLOOKUP(F118,Table11[[Native]:[Population4]],5,FALSE)</f>
        <v>渭南市</v>
      </c>
    </row>
    <row r="119" spans="1:7" ht="15.75" thickBot="1" x14ac:dyDescent="0.3">
      <c r="A119" t="s">
        <v>1594</v>
      </c>
      <c r="B119" s="1" t="s">
        <v>1595</v>
      </c>
      <c r="C119" s="1" t="s">
        <v>7</v>
      </c>
      <c r="D119" s="1" t="s">
        <v>1410</v>
      </c>
      <c r="E119" s="9">
        <v>26809</v>
      </c>
      <c r="F119" s="1" t="str">
        <f>VLOOKUP(D119,Table11[[Name]:[Native]],3,FALSE)</f>
        <v>临渭区</v>
      </c>
      <c r="G119" s="12" t="str">
        <f ca="1">VLOOKUP(F119,Table11[[Native]:[Population4]],5,FALSE)</f>
        <v>渭南市</v>
      </c>
    </row>
    <row r="120" spans="1:7" ht="15.75" thickBot="1" x14ac:dyDescent="0.3">
      <c r="A120" t="s">
        <v>1596</v>
      </c>
      <c r="B120" s="1" t="s">
        <v>1597</v>
      </c>
      <c r="C120" s="1" t="s">
        <v>11</v>
      </c>
      <c r="D120" s="1" t="s">
        <v>1371</v>
      </c>
      <c r="E120" s="9">
        <v>14342</v>
      </c>
      <c r="F120" s="1" t="str">
        <f>VLOOKUP(D120,Table11[[Name]:[Native]],3,FALSE)</f>
        <v>大荔县</v>
      </c>
      <c r="G120" s="12" t="str">
        <f ca="1">VLOOKUP(F120,Table11[[Native]:[Population4]],5,FALSE)</f>
        <v>渭南市</v>
      </c>
    </row>
    <row r="121" spans="1:7" ht="15.75" thickBot="1" x14ac:dyDescent="0.3">
      <c r="A121" t="s">
        <v>1598</v>
      </c>
      <c r="B121" s="1" t="s">
        <v>1599</v>
      </c>
      <c r="C121" s="1" t="s">
        <v>11</v>
      </c>
      <c r="D121" s="1" t="s">
        <v>1368</v>
      </c>
      <c r="E121" s="9">
        <v>10004</v>
      </c>
      <c r="F121" s="1" t="str">
        <f>VLOOKUP(D121,Table11[[Name]:[Native]],3,FALSE)</f>
        <v>澄城县</v>
      </c>
      <c r="G121" s="12" t="str">
        <f ca="1">VLOOKUP(F121,Table11[[Native]:[Population4]],5,FALSE)</f>
        <v>渭南市</v>
      </c>
    </row>
    <row r="122" spans="1:7" ht="15.75" thickBot="1" x14ac:dyDescent="0.3">
      <c r="A122" t="s">
        <v>1600</v>
      </c>
      <c r="B122" s="1" t="s">
        <v>1601</v>
      </c>
      <c r="C122" s="1" t="s">
        <v>11</v>
      </c>
      <c r="D122" s="1" t="s">
        <v>1371</v>
      </c>
      <c r="E122" s="9">
        <v>31149</v>
      </c>
      <c r="F122" s="1" t="str">
        <f>VLOOKUP(D122,Table11[[Name]:[Native]],3,FALSE)</f>
        <v>大荔县</v>
      </c>
      <c r="G122" s="12" t="str">
        <f ca="1">VLOOKUP(F122,Table11[[Native]:[Population4]],5,FALSE)</f>
        <v>渭南市</v>
      </c>
    </row>
    <row r="123" spans="1:7" ht="15.75" thickBot="1" x14ac:dyDescent="0.3">
      <c r="A123" t="s">
        <v>1602</v>
      </c>
      <c r="B123" s="1" t="s">
        <v>1603</v>
      </c>
      <c r="C123" s="1" t="s">
        <v>7</v>
      </c>
      <c r="D123" s="1" t="s">
        <v>1381</v>
      </c>
      <c r="E123" s="9">
        <v>14674</v>
      </c>
      <c r="F123" s="1" t="str">
        <f>VLOOKUP(D123,Table11[[Name]:[Native]],3,FALSE)</f>
        <v>白水县</v>
      </c>
      <c r="G123" s="12" t="str">
        <f ca="1">VLOOKUP(F123,Table11[[Native]:[Population4]],5,FALSE)</f>
        <v>渭南市</v>
      </c>
    </row>
    <row r="124" spans="1:7" ht="15.75" thickBot="1" x14ac:dyDescent="0.3">
      <c r="A124" t="s">
        <v>1604</v>
      </c>
      <c r="B124" s="1" t="s">
        <v>1605</v>
      </c>
      <c r="C124" s="1" t="s">
        <v>11</v>
      </c>
      <c r="D124" s="1" t="s">
        <v>1381</v>
      </c>
      <c r="E124" s="9">
        <v>5813</v>
      </c>
      <c r="F124" s="1" t="str">
        <f>VLOOKUP(D124,Table11[[Name]:[Native]],3,FALSE)</f>
        <v>白水县</v>
      </c>
      <c r="G124" s="12" t="str">
        <f ca="1">VLOOKUP(F124,Table11[[Native]:[Population4]],5,FALSE)</f>
        <v>渭南市</v>
      </c>
    </row>
    <row r="125" spans="1:7" ht="15.75" thickBot="1" x14ac:dyDescent="0.3">
      <c r="A125" t="s">
        <v>1606</v>
      </c>
      <c r="B125" s="1" t="s">
        <v>1607</v>
      </c>
      <c r="C125" s="1" t="s">
        <v>7</v>
      </c>
      <c r="D125" s="1" t="s">
        <v>1371</v>
      </c>
      <c r="E125" s="9">
        <v>26875</v>
      </c>
      <c r="F125" s="1" t="str">
        <f>VLOOKUP(D125,Table11[[Name]:[Native]],3,FALSE)</f>
        <v>大荔县</v>
      </c>
      <c r="G125" s="12" t="str">
        <f ca="1">VLOOKUP(F125,Table11[[Native]:[Population4]],5,FALSE)</f>
        <v>渭南市</v>
      </c>
    </row>
    <row r="126" spans="1:7" ht="15.75" thickBot="1" x14ac:dyDescent="0.3">
      <c r="A126" t="s">
        <v>1608</v>
      </c>
      <c r="B126" s="1" t="s">
        <v>1609</v>
      </c>
      <c r="C126" s="1" t="s">
        <v>113</v>
      </c>
      <c r="D126" s="1" t="s">
        <v>1410</v>
      </c>
      <c r="E126" s="9">
        <v>30097</v>
      </c>
      <c r="F126" s="1" t="str">
        <f>VLOOKUP(D126,Table11[[Name]:[Native]],3,FALSE)</f>
        <v>临渭区</v>
      </c>
      <c r="G126" s="12" t="str">
        <f ca="1">VLOOKUP(F126,Table11[[Native]:[Population4]],5,FALSE)</f>
        <v>渭南市</v>
      </c>
    </row>
    <row r="127" spans="1:7" ht="15.75" thickBot="1" x14ac:dyDescent="0.3">
      <c r="A127" t="s">
        <v>1610</v>
      </c>
      <c r="B127" s="1" t="s">
        <v>1611</v>
      </c>
      <c r="C127" s="1" t="s">
        <v>7</v>
      </c>
      <c r="D127" s="1" t="s">
        <v>1368</v>
      </c>
      <c r="E127" s="9">
        <v>31553</v>
      </c>
      <c r="F127" s="1" t="str">
        <f>VLOOKUP(D127,Table11[[Name]:[Native]],3,FALSE)</f>
        <v>澄城县</v>
      </c>
      <c r="G127" s="12" t="str">
        <f ca="1">VLOOKUP(F127,Table11[[Native]:[Population4]],5,FALSE)</f>
        <v>渭南市</v>
      </c>
    </row>
    <row r="128" spans="1:7" ht="15.75" thickBot="1" x14ac:dyDescent="0.3">
      <c r="A128" t="s">
        <v>1612</v>
      </c>
      <c r="B128" s="1" t="s">
        <v>1613</v>
      </c>
      <c r="C128" s="1" t="s">
        <v>7</v>
      </c>
      <c r="D128" s="1" t="s">
        <v>1371</v>
      </c>
      <c r="E128" s="9">
        <v>26916</v>
      </c>
      <c r="F128" s="1" t="str">
        <f>VLOOKUP(D128,Table11[[Name]:[Native]],3,FALSE)</f>
        <v>大荔县</v>
      </c>
      <c r="G128" s="12" t="str">
        <f ca="1">VLOOKUP(F128,Table11[[Native]:[Population4]],5,FALSE)</f>
        <v>渭南市</v>
      </c>
    </row>
    <row r="129" spans="1:7" ht="15.75" thickBot="1" x14ac:dyDescent="0.3">
      <c r="A129" t="s">
        <v>1614</v>
      </c>
      <c r="B129" s="1" t="s">
        <v>1615</v>
      </c>
      <c r="C129" s="1" t="s">
        <v>7</v>
      </c>
      <c r="D129" s="1" t="s">
        <v>1403</v>
      </c>
      <c r="E129" s="9">
        <v>30659</v>
      </c>
      <c r="F129" s="1" t="str">
        <f>VLOOKUP(D129,Table11[[Name]:[Native]],3,FALSE)</f>
        <v>蒲城县</v>
      </c>
      <c r="G129" s="12" t="str">
        <f ca="1">VLOOKUP(F129,Table11[[Native]:[Population4]],5,FALSE)</f>
        <v>渭南市</v>
      </c>
    </row>
    <row r="130" spans="1:7" ht="15.75" thickBot="1" x14ac:dyDescent="0.3">
      <c r="A130" t="s">
        <v>1616</v>
      </c>
      <c r="B130" s="1" t="s">
        <v>1617</v>
      </c>
      <c r="C130" s="1" t="s">
        <v>7</v>
      </c>
      <c r="D130" s="1" t="s">
        <v>1403</v>
      </c>
      <c r="E130" s="9">
        <v>52193</v>
      </c>
      <c r="F130" s="1" t="str">
        <f>VLOOKUP(D130,Table11[[Name]:[Native]],3,FALSE)</f>
        <v>蒲城县</v>
      </c>
      <c r="G130" s="12" t="str">
        <f ca="1">VLOOKUP(F130,Table11[[Native]:[Population4]],5,FALSE)</f>
        <v>渭南市</v>
      </c>
    </row>
    <row r="131" spans="1:7" ht="15.75" thickBot="1" x14ac:dyDescent="0.3">
      <c r="A131" t="s">
        <v>1618</v>
      </c>
      <c r="B131" s="1" t="s">
        <v>1619</v>
      </c>
      <c r="C131" s="1" t="s">
        <v>113</v>
      </c>
      <c r="D131" s="1" t="s">
        <v>1384</v>
      </c>
      <c r="E131" s="9">
        <v>50591</v>
      </c>
      <c r="F131" s="1" t="str">
        <f>VLOOKUP(D131,Table11[[Name]:[Native]],3,FALSE)</f>
        <v>华阴市</v>
      </c>
      <c r="G131" s="12" t="str">
        <f ca="1">VLOOKUP(F131,Table11[[Native]:[Population4]],5,FALSE)</f>
        <v>渭南市</v>
      </c>
    </row>
    <row r="132" spans="1:7" ht="15.75" thickBot="1" x14ac:dyDescent="0.3">
      <c r="A132" t="s">
        <v>1620</v>
      </c>
      <c r="B132" s="1" t="s">
        <v>1621</v>
      </c>
      <c r="C132" s="1" t="s">
        <v>7</v>
      </c>
      <c r="D132" s="1" t="s">
        <v>1399</v>
      </c>
      <c r="E132" s="9">
        <v>25632</v>
      </c>
      <c r="F132" s="1" t="str">
        <f>VLOOKUP(D132,Table11[[Name]:[Native]],3,FALSE)</f>
        <v>潼关县</v>
      </c>
      <c r="G132" s="12" t="str">
        <f ca="1">VLOOKUP(F132,Table11[[Native]:[Population4]],5,FALSE)</f>
        <v>渭南市</v>
      </c>
    </row>
    <row r="133" spans="1:7" ht="15.75" thickBot="1" x14ac:dyDescent="0.3">
      <c r="A133" t="s">
        <v>1622</v>
      </c>
      <c r="B133" s="1" t="s">
        <v>1623</v>
      </c>
      <c r="C133" s="1" t="s">
        <v>7</v>
      </c>
      <c r="D133" s="1" t="s">
        <v>1384</v>
      </c>
      <c r="E133" s="9">
        <v>26011</v>
      </c>
      <c r="F133" s="1" t="str">
        <f>VLOOKUP(D133,Table11[[Name]:[Native]],3,FALSE)</f>
        <v>华阴市</v>
      </c>
      <c r="G133" s="12" t="str">
        <f ca="1">VLOOKUP(F133,Table11[[Native]:[Population4]],5,FALSE)</f>
        <v>渭南市</v>
      </c>
    </row>
    <row r="134" spans="1:7" ht="15.75" thickBot="1" x14ac:dyDescent="0.3">
      <c r="A134" t="s">
        <v>1624</v>
      </c>
      <c r="B134" s="1" t="s">
        <v>1625</v>
      </c>
      <c r="C134" s="1" t="s">
        <v>7</v>
      </c>
      <c r="D134" s="1" t="s">
        <v>1410</v>
      </c>
      <c r="E134" s="9">
        <v>21795</v>
      </c>
      <c r="F134" s="1" t="str">
        <f>VLOOKUP(D134,Table11[[Name]:[Native]],3,FALSE)</f>
        <v>临渭区</v>
      </c>
      <c r="G134" s="12" t="str">
        <f ca="1">VLOOKUP(F134,Table11[[Native]:[Population4]],5,FALSE)</f>
        <v>渭南市</v>
      </c>
    </row>
    <row r="135" spans="1:7" ht="15.75" thickBot="1" x14ac:dyDescent="0.3">
      <c r="A135" t="s">
        <v>1626</v>
      </c>
      <c r="B135" s="1" t="s">
        <v>1627</v>
      </c>
      <c r="C135" s="1" t="s">
        <v>7</v>
      </c>
      <c r="D135" s="1" t="s">
        <v>1374</v>
      </c>
      <c r="E135" s="9">
        <v>20102</v>
      </c>
      <c r="F135" s="1" t="str">
        <f>VLOOKUP(D135,Table11[[Name]:[Native]],3,FALSE)</f>
        <v>合阳县</v>
      </c>
      <c r="G135" s="12" t="str">
        <f ca="1">VLOOKUP(F135,Table11[[Native]:[Population4]],5,FALSE)</f>
        <v>渭南市</v>
      </c>
    </row>
    <row r="136" spans="1:7" ht="15.75" thickBot="1" x14ac:dyDescent="0.3">
      <c r="A136" t="s">
        <v>1628</v>
      </c>
      <c r="B136" s="1" t="s">
        <v>1629</v>
      </c>
      <c r="C136" s="1" t="s">
        <v>7</v>
      </c>
      <c r="D136" s="1" t="s">
        <v>1399</v>
      </c>
      <c r="E136" s="9">
        <v>12628</v>
      </c>
      <c r="F136" s="1" t="str">
        <f>VLOOKUP(D136,Table11[[Name]:[Native]],3,FALSE)</f>
        <v>潼关县</v>
      </c>
      <c r="G136" s="12" t="str">
        <f ca="1">VLOOKUP(F136,Table11[[Native]:[Population4]],5,FALSE)</f>
        <v>渭南市</v>
      </c>
    </row>
    <row r="137" spans="1:7" ht="15.75" thickBot="1" x14ac:dyDescent="0.3">
      <c r="A137" t="s">
        <v>1630</v>
      </c>
      <c r="B137" s="1" t="s">
        <v>1631</v>
      </c>
      <c r="C137" s="1" t="s">
        <v>7</v>
      </c>
      <c r="D137" s="1" t="s">
        <v>1374</v>
      </c>
      <c r="E137" s="9">
        <v>28029</v>
      </c>
      <c r="F137" s="1" t="str">
        <f>VLOOKUP(D137,Table11[[Name]:[Native]],3,FALSE)</f>
        <v>合阳县</v>
      </c>
      <c r="G137" s="12" t="str">
        <f ca="1">VLOOKUP(F137,Table11[[Native]:[Population4]],5,FALSE)</f>
        <v>渭南市</v>
      </c>
    </row>
    <row r="138" spans="1:7" ht="15.75" thickBot="1" x14ac:dyDescent="0.3">
      <c r="A138" t="s">
        <v>1632</v>
      </c>
      <c r="B138" s="1" t="s">
        <v>1633</v>
      </c>
      <c r="C138" s="1" t="s">
        <v>7</v>
      </c>
      <c r="D138" s="1" t="s">
        <v>1368</v>
      </c>
      <c r="E138" s="9">
        <v>42554</v>
      </c>
      <c r="F138" s="1" t="str">
        <f>VLOOKUP(D138,Table11[[Name]:[Native]],3,FALSE)</f>
        <v>澄城县</v>
      </c>
      <c r="G138" s="12" t="str">
        <f ca="1">VLOOKUP(F138,Table11[[Native]:[Population4]],5,FALSE)</f>
        <v>渭南市</v>
      </c>
    </row>
    <row r="139" spans="1:7" ht="15.75" thickBot="1" x14ac:dyDescent="0.3">
      <c r="A139" t="s">
        <v>1634</v>
      </c>
      <c r="B139" s="1" t="s">
        <v>1635</v>
      </c>
      <c r="C139" s="1" t="s">
        <v>7</v>
      </c>
      <c r="D139" s="1" t="s">
        <v>1371</v>
      </c>
      <c r="E139" s="9">
        <v>22028</v>
      </c>
      <c r="F139" s="1" t="str">
        <f>VLOOKUP(D139,Table11[[Name]:[Native]],3,FALSE)</f>
        <v>大荔县</v>
      </c>
      <c r="G139" s="12" t="str">
        <f ca="1">VLOOKUP(F139,Table11[[Native]:[Population4]],5,FALSE)</f>
        <v>渭南市</v>
      </c>
    </row>
    <row r="140" spans="1:7" ht="15.75" thickBot="1" x14ac:dyDescent="0.3">
      <c r="A140" s="1" t="s">
        <v>1636</v>
      </c>
      <c r="B140" s="1" t="s">
        <v>1637</v>
      </c>
      <c r="C140" s="1" t="s">
        <v>11</v>
      </c>
      <c r="D140" s="1" t="s">
        <v>1384</v>
      </c>
      <c r="E140" s="9">
        <v>10041</v>
      </c>
      <c r="F140" s="1" t="str">
        <f>VLOOKUP(D140,Table11[[Name]:[Native]],3,FALSE)</f>
        <v>华阴市</v>
      </c>
      <c r="G140" s="12" t="str">
        <f ca="1">VLOOKUP(F140,Table11[[Native]:[Population4]],5,FALSE)</f>
        <v>渭南市</v>
      </c>
    </row>
    <row r="141" spans="1:7" ht="15.75" thickBot="1" x14ac:dyDescent="0.3">
      <c r="A141" t="s">
        <v>1638</v>
      </c>
      <c r="B141" s="1" t="s">
        <v>1639</v>
      </c>
      <c r="C141" s="1" t="s">
        <v>7</v>
      </c>
      <c r="D141" s="1" t="s">
        <v>1368</v>
      </c>
      <c r="E141" s="9">
        <v>35479</v>
      </c>
      <c r="F141" s="1" t="str">
        <f>VLOOKUP(D141,Table11[[Name]:[Native]],3,FALSE)</f>
        <v>澄城县</v>
      </c>
      <c r="G141" s="12" t="str">
        <f ca="1">VLOOKUP(F141,Table11[[Native]:[Population4]],5,FALSE)</f>
        <v>渭南市</v>
      </c>
    </row>
    <row r="142" spans="1:7" ht="15.75" thickBot="1" x14ac:dyDescent="0.3">
      <c r="A142" t="s">
        <v>1640</v>
      </c>
      <c r="B142" s="1" t="s">
        <v>1641</v>
      </c>
      <c r="C142" s="1" t="s">
        <v>7</v>
      </c>
      <c r="D142" s="1" t="s">
        <v>1410</v>
      </c>
      <c r="E142" s="9">
        <v>43222</v>
      </c>
      <c r="F142" s="1" t="str">
        <f>VLOOKUP(D142,Table11[[Name]:[Native]],3,FALSE)</f>
        <v>临渭区</v>
      </c>
      <c r="G142" s="12" t="str">
        <f ca="1">VLOOKUP(F142,Table11[[Native]:[Population4]],5,FALSE)</f>
        <v>渭南市</v>
      </c>
    </row>
    <row r="143" spans="1:7" ht="15.75" thickBot="1" x14ac:dyDescent="0.3">
      <c r="A143" t="s">
        <v>1642</v>
      </c>
      <c r="B143" s="1" t="s">
        <v>1643</v>
      </c>
      <c r="C143" s="1" t="s">
        <v>7</v>
      </c>
      <c r="D143" s="1" t="s">
        <v>1389</v>
      </c>
      <c r="E143" s="9">
        <v>21895</v>
      </c>
      <c r="F143" s="1" t="str">
        <f>VLOOKUP(D143,Table11[[Name]:[Native]],3,FALSE)</f>
        <v>华州区</v>
      </c>
      <c r="G143" s="12" t="str">
        <f ca="1">VLOOKUP(F143,Table11[[Native]:[Population4]],5,FALSE)</f>
        <v>渭南市</v>
      </c>
    </row>
    <row r="144" spans="1:7" ht="15.75" thickBot="1" x14ac:dyDescent="0.3">
      <c r="A144" t="s">
        <v>1644</v>
      </c>
      <c r="B144" s="1" t="s">
        <v>1645</v>
      </c>
      <c r="C144" s="1" t="s">
        <v>113</v>
      </c>
      <c r="D144" s="1" t="s">
        <v>1410</v>
      </c>
      <c r="E144" s="9">
        <v>43049</v>
      </c>
      <c r="F144" s="1" t="str">
        <f>VLOOKUP(D144,Table11[[Name]:[Native]],3,FALSE)</f>
        <v>临渭区</v>
      </c>
      <c r="G144" s="12" t="str">
        <f ca="1">VLOOKUP(F144,Table11[[Native]:[Population4]],5,FALSE)</f>
        <v>渭南市</v>
      </c>
    </row>
    <row r="145" spans="1:7" ht="15.75" thickBot="1" x14ac:dyDescent="0.3">
      <c r="A145" t="s">
        <v>1240</v>
      </c>
      <c r="B145" s="1" t="s">
        <v>1241</v>
      </c>
      <c r="C145" s="1" t="s">
        <v>7</v>
      </c>
      <c r="D145" s="1" t="s">
        <v>1410</v>
      </c>
      <c r="E145" s="9">
        <v>21423</v>
      </c>
      <c r="F145" s="1" t="str">
        <f>VLOOKUP(D145,Table11[[Name]:[Native]],3,FALSE)</f>
        <v>临渭区</v>
      </c>
      <c r="G145" s="12" t="str">
        <f ca="1">VLOOKUP(F145,Table11[[Native]:[Population4]],5,FALSE)</f>
        <v>渭南市</v>
      </c>
    </row>
    <row r="146" spans="1:7" ht="15.75" thickBot="1" x14ac:dyDescent="0.3">
      <c r="A146" t="s">
        <v>1646</v>
      </c>
      <c r="B146" s="1" t="s">
        <v>1647</v>
      </c>
      <c r="C146" s="1" t="s">
        <v>7</v>
      </c>
      <c r="D146" s="1" t="s">
        <v>1371</v>
      </c>
      <c r="E146" s="9">
        <v>17231</v>
      </c>
      <c r="F146" s="1" t="str">
        <f>VLOOKUP(D146,Table11[[Name]:[Native]],3,FALSE)</f>
        <v>大荔县</v>
      </c>
      <c r="G146" s="12" t="str">
        <f ca="1">VLOOKUP(F146,Table11[[Native]:[Population4]],5,FALSE)</f>
        <v>渭南市</v>
      </c>
    </row>
    <row r="147" spans="1:7" ht="15.75" thickBot="1" x14ac:dyDescent="0.3">
      <c r="A147" t="s">
        <v>1648</v>
      </c>
      <c r="B147" s="1" t="s">
        <v>1649</v>
      </c>
      <c r="C147" s="1" t="s">
        <v>7</v>
      </c>
      <c r="D147" s="1" t="s">
        <v>1381</v>
      </c>
      <c r="E147" s="9">
        <v>16725</v>
      </c>
      <c r="F147" s="1" t="str">
        <f>VLOOKUP(D147,Table11[[Name]:[Native]],3,FALSE)</f>
        <v>白水县</v>
      </c>
      <c r="G147" s="12" t="str">
        <f ca="1">VLOOKUP(F147,Table11[[Native]:[Population4]],5,FALSE)</f>
        <v>渭南市</v>
      </c>
    </row>
    <row r="148" spans="1:7" ht="15.75" thickBot="1" x14ac:dyDescent="0.3">
      <c r="A148" t="s">
        <v>279</v>
      </c>
      <c r="B148" s="1" t="s">
        <v>280</v>
      </c>
      <c r="C148" s="1" t="s">
        <v>113</v>
      </c>
      <c r="D148" s="1" t="s">
        <v>1378</v>
      </c>
      <c r="E148" s="9">
        <v>112936</v>
      </c>
      <c r="F148" s="1" t="str">
        <f>VLOOKUP(D148,Table11[[Name]:[Native]],3,FALSE)</f>
        <v>韩城市</v>
      </c>
      <c r="G148" s="12" t="str">
        <f ca="1">VLOOKUP(F148,Table11[[Native]:[Population4]],5,FALSE)</f>
        <v>渭南市</v>
      </c>
    </row>
    <row r="149" spans="1:7" ht="15.75" thickBot="1" x14ac:dyDescent="0.3">
      <c r="A149" t="s">
        <v>1650</v>
      </c>
      <c r="B149" s="1" t="s">
        <v>1651</v>
      </c>
      <c r="C149" s="1" t="s">
        <v>7</v>
      </c>
      <c r="D149" s="1" t="s">
        <v>1374</v>
      </c>
      <c r="E149" s="9">
        <v>27855</v>
      </c>
      <c r="F149" s="1" t="str">
        <f>VLOOKUP(D149,Table11[[Name]:[Native]],3,FALSE)</f>
        <v>合阳县</v>
      </c>
      <c r="G149" s="12" t="str">
        <f ca="1">VLOOKUP(F149,Table11[[Native]:[Population4]],5,FALSE)</f>
        <v>渭南市</v>
      </c>
    </row>
    <row r="150" spans="1:7" ht="15.75" thickBot="1" x14ac:dyDescent="0.3">
      <c r="A150" t="s">
        <v>583</v>
      </c>
      <c r="B150" s="1" t="s">
        <v>584</v>
      </c>
      <c r="C150" s="1" t="s">
        <v>7</v>
      </c>
      <c r="D150" s="1" t="s">
        <v>1389</v>
      </c>
      <c r="E150" s="9">
        <v>26356</v>
      </c>
      <c r="F150" s="1" t="str">
        <f>VLOOKUP(D150,Table11[[Name]:[Native]],3,FALSE)</f>
        <v>华州区</v>
      </c>
      <c r="G150" s="12" t="str">
        <f ca="1">VLOOKUP(F150,Table11[[Native]:[Population4]],5,FALSE)</f>
        <v>渭南市</v>
      </c>
    </row>
    <row r="151" spans="1:7" ht="15.75" thickBot="1" x14ac:dyDescent="0.3">
      <c r="A151" t="s">
        <v>1652</v>
      </c>
      <c r="B151" s="1" t="s">
        <v>1653</v>
      </c>
      <c r="C151" s="1" t="s">
        <v>7</v>
      </c>
      <c r="D151" s="1" t="s">
        <v>1403</v>
      </c>
      <c r="E151" s="9">
        <v>28835</v>
      </c>
      <c r="F151" s="1" t="str">
        <f>VLOOKUP(D151,Table11[[Name]:[Native]],3,FALSE)</f>
        <v>蒲城县</v>
      </c>
      <c r="G151" s="12" t="str">
        <f ca="1">VLOOKUP(F151,Table11[[Native]:[Population4]],5,FALSE)</f>
        <v>渭南市</v>
      </c>
    </row>
    <row r="152" spans="1:7" ht="15.75" thickBot="1" x14ac:dyDescent="0.3">
      <c r="A152" t="s">
        <v>1654</v>
      </c>
      <c r="B152" s="1" t="s">
        <v>1655</v>
      </c>
      <c r="C152" s="1" t="s">
        <v>113</v>
      </c>
      <c r="D152" s="1" t="s">
        <v>1410</v>
      </c>
      <c r="E152" s="9">
        <v>29179</v>
      </c>
      <c r="F152" s="1" t="str">
        <f>VLOOKUP(D152,Table11[[Name]:[Native]],3,FALSE)</f>
        <v>临渭区</v>
      </c>
      <c r="G152" s="12" t="str">
        <f ca="1">VLOOKUP(F152,Table11[[Native]:[Population4]],5,FALSE)</f>
        <v>渭南市</v>
      </c>
    </row>
    <row r="153" spans="1:7" ht="15.75" thickBot="1" x14ac:dyDescent="0.3">
      <c r="A153" t="s">
        <v>1656</v>
      </c>
      <c r="B153" s="1" t="s">
        <v>1657</v>
      </c>
      <c r="C153" s="1" t="s">
        <v>113</v>
      </c>
      <c r="D153" s="1" t="s">
        <v>1410</v>
      </c>
      <c r="E153" s="9">
        <v>21389</v>
      </c>
      <c r="F153" s="1" t="str">
        <f>VLOOKUP(D153,Table11[[Name]:[Native]],3,FALSE)</f>
        <v>临渭区</v>
      </c>
      <c r="G153" s="12" t="str">
        <f ca="1">VLOOKUP(F153,Table11[[Native]:[Population4]],5,FALSE)</f>
        <v>渭南市</v>
      </c>
    </row>
    <row r="154" spans="1:7" ht="15.75" thickBot="1" x14ac:dyDescent="0.3">
      <c r="A154" t="s">
        <v>1658</v>
      </c>
      <c r="B154" s="1" t="s">
        <v>1659</v>
      </c>
      <c r="C154" s="1" t="s">
        <v>11</v>
      </c>
      <c r="D154" s="1" t="s">
        <v>1389</v>
      </c>
      <c r="E154" s="9">
        <v>22053</v>
      </c>
      <c r="F154" s="1" t="str">
        <f>VLOOKUP(D154,Table11[[Name]:[Native]],3,FALSE)</f>
        <v>华州区</v>
      </c>
      <c r="G154" s="12" t="str">
        <f ca="1">VLOOKUP(F154,Table11[[Native]:[Population4]],5,FALSE)</f>
        <v>渭南市</v>
      </c>
    </row>
    <row r="155" spans="1:7" ht="15.75" thickBot="1" x14ac:dyDescent="0.3">
      <c r="A155" t="s">
        <v>1660</v>
      </c>
      <c r="B155" s="1" t="s">
        <v>1661</v>
      </c>
      <c r="C155" s="1" t="s">
        <v>113</v>
      </c>
      <c r="D155" s="1" t="s">
        <v>1371</v>
      </c>
      <c r="E155" s="9">
        <v>13368</v>
      </c>
      <c r="F155" s="1" t="str">
        <f>VLOOKUP(D155,Table11[[Name]:[Native]],3,FALSE)</f>
        <v>大荔县</v>
      </c>
      <c r="G155" s="12" t="str">
        <f ca="1">VLOOKUP(F155,Table11[[Native]:[Population4]],5,FALSE)</f>
        <v>渭南市</v>
      </c>
    </row>
    <row r="156" spans="1:7" ht="15.75" thickBot="1" x14ac:dyDescent="0.3">
      <c r="A156" t="s">
        <v>1662</v>
      </c>
      <c r="B156" s="1" t="s">
        <v>1663</v>
      </c>
      <c r="C156" s="1" t="s">
        <v>7</v>
      </c>
      <c r="D156" s="1" t="s">
        <v>1378</v>
      </c>
      <c r="E156" s="9">
        <v>39605</v>
      </c>
      <c r="F156" s="1" t="str">
        <f>VLOOKUP(D156,Table11[[Name]:[Native]],3,FALSE)</f>
        <v>韩城市</v>
      </c>
      <c r="G156" s="12" t="str">
        <f ca="1">VLOOKUP(F156,Table11[[Native]:[Population4]],5,FALSE)</f>
        <v>渭南市</v>
      </c>
    </row>
    <row r="157" spans="1:7" ht="15.75" thickBot="1" x14ac:dyDescent="0.3">
      <c r="A157" t="s">
        <v>1664</v>
      </c>
      <c r="B157" s="1" t="s">
        <v>1665</v>
      </c>
      <c r="C157" s="1" t="s">
        <v>11</v>
      </c>
      <c r="D157" s="1" t="s">
        <v>1378</v>
      </c>
      <c r="E157" s="9">
        <v>4873</v>
      </c>
      <c r="F157" s="1" t="str">
        <f>VLOOKUP(D157,Table11[[Name]:[Native]],3,FALSE)</f>
        <v>韩城市</v>
      </c>
      <c r="G157" s="12" t="str">
        <f ca="1">VLOOKUP(F157,Table11[[Native]:[Population4]],5,FALSE)</f>
        <v>渭南市</v>
      </c>
    </row>
    <row r="158" spans="1:7" ht="15.75" thickBot="1" x14ac:dyDescent="0.3">
      <c r="A158" t="s">
        <v>1666</v>
      </c>
      <c r="B158" s="1" t="s">
        <v>1667</v>
      </c>
      <c r="C158" s="1" t="s">
        <v>7</v>
      </c>
      <c r="D158" s="1" t="s">
        <v>1377</v>
      </c>
      <c r="E158" s="9">
        <v>36699</v>
      </c>
      <c r="F158" s="1" t="str">
        <f>VLOOKUP(D158,Table11[[Name]:[Native]],3,FALSE)</f>
        <v>富平县</v>
      </c>
      <c r="G158" s="12" t="str">
        <f ca="1">VLOOKUP(F158,Table11[[Native]:[Population4]],5,FALSE)</f>
        <v>渭南市</v>
      </c>
    </row>
    <row r="159" spans="1:7" ht="15.75" thickBot="1" x14ac:dyDescent="0.3">
      <c r="A159" t="s">
        <v>1668</v>
      </c>
      <c r="B159" s="1" t="s">
        <v>1669</v>
      </c>
      <c r="C159" s="1" t="s">
        <v>7</v>
      </c>
      <c r="D159" s="1" t="s">
        <v>1371</v>
      </c>
      <c r="E159" s="9">
        <v>39860</v>
      </c>
      <c r="F159" s="1" t="str">
        <f>VLOOKUP(D159,Table11[[Name]:[Native]],3,FALSE)</f>
        <v>大荔县</v>
      </c>
      <c r="G159" s="12" t="str">
        <f ca="1">VLOOKUP(F159,Table11[[Native]:[Population4]],5,FALSE)</f>
        <v>渭南市</v>
      </c>
    </row>
    <row r="160" spans="1:7" ht="15.75" thickBot="1" x14ac:dyDescent="0.3">
      <c r="A160" t="s">
        <v>1670</v>
      </c>
      <c r="B160" s="1" t="s">
        <v>1671</v>
      </c>
      <c r="C160" s="1" t="s">
        <v>7</v>
      </c>
      <c r="D160" s="1" t="s">
        <v>1410</v>
      </c>
      <c r="E160" s="9">
        <v>18307</v>
      </c>
      <c r="F160" s="1" t="str">
        <f>VLOOKUP(D160,Table11[[Name]:[Native]],3,FALSE)</f>
        <v>临渭区</v>
      </c>
      <c r="G160" s="12" t="str">
        <f ca="1">VLOOKUP(F160,Table11[[Native]:[Population4]],5,FALSE)</f>
        <v>渭南市</v>
      </c>
    </row>
    <row r="161" spans="1:7" ht="15.75" thickBot="1" x14ac:dyDescent="0.3">
      <c r="A161" t="s">
        <v>1672</v>
      </c>
      <c r="B161" s="1" t="s">
        <v>1673</v>
      </c>
      <c r="C161" s="1" t="s">
        <v>7</v>
      </c>
      <c r="D161" s="1" t="s">
        <v>1410</v>
      </c>
      <c r="E161" s="9">
        <v>28923</v>
      </c>
      <c r="F161" s="1" t="str">
        <f>VLOOKUP(D161,Table11[[Name]:[Native]],3,FALSE)</f>
        <v>临渭区</v>
      </c>
      <c r="G161" s="12" t="str">
        <f ca="1">VLOOKUP(F161,Table11[[Native]:[Population4]],5,FALSE)</f>
        <v>渭南市</v>
      </c>
    </row>
    <row r="162" spans="1:7" ht="15.75" thickBot="1" x14ac:dyDescent="0.3">
      <c r="A162" t="s">
        <v>1674</v>
      </c>
      <c r="B162" s="1" t="s">
        <v>1675</v>
      </c>
      <c r="C162" s="1" t="s">
        <v>11</v>
      </c>
      <c r="D162" s="1" t="s">
        <v>1374</v>
      </c>
      <c r="E162" s="9">
        <v>10046</v>
      </c>
      <c r="F162" s="1" t="str">
        <f>VLOOKUP(D162,Table11[[Name]:[Native]],3,FALSE)</f>
        <v>合阳县</v>
      </c>
      <c r="G162" s="12" t="str">
        <f ca="1">VLOOKUP(F162,Table11[[Native]:[Population4]],5,FALSE)</f>
        <v>渭南市</v>
      </c>
    </row>
    <row r="163" spans="1:7" ht="15.75" thickBot="1" x14ac:dyDescent="0.3">
      <c r="A163" t="s">
        <v>1676</v>
      </c>
      <c r="B163" s="1" t="s">
        <v>1677</v>
      </c>
      <c r="C163" s="1" t="s">
        <v>7</v>
      </c>
      <c r="D163" s="1" t="s">
        <v>1381</v>
      </c>
      <c r="E163" s="9">
        <v>29098</v>
      </c>
      <c r="F163" s="1" t="str">
        <f>VLOOKUP(D163,Table11[[Name]:[Native]],3,FALSE)</f>
        <v>白水县</v>
      </c>
      <c r="G163" s="12" t="str">
        <f ca="1">VLOOKUP(F163,Table11[[Native]:[Population4]],5,FALSE)</f>
        <v>渭南市</v>
      </c>
    </row>
    <row r="164" spans="1:7" ht="15.75" thickBot="1" x14ac:dyDescent="0.3">
      <c r="A164" t="s">
        <v>1678</v>
      </c>
      <c r="B164" s="1" t="s">
        <v>1679</v>
      </c>
      <c r="C164" s="1" t="s">
        <v>7</v>
      </c>
      <c r="D164" s="1" t="s">
        <v>1403</v>
      </c>
      <c r="E164" s="9">
        <v>48048</v>
      </c>
      <c r="F164" s="1" t="str">
        <f>VLOOKUP(D164,Table11[[Name]:[Native]],3,FALSE)</f>
        <v>蒲城县</v>
      </c>
      <c r="G164" s="12" t="str">
        <f ca="1">VLOOKUP(F164,Table11[[Native]:[Population4]],5,FALSE)</f>
        <v>渭南市</v>
      </c>
    </row>
    <row r="165" spans="1:7" ht="15.75" thickBot="1" x14ac:dyDescent="0.3">
      <c r="A165" t="s">
        <v>1680</v>
      </c>
      <c r="B165" s="1" t="s">
        <v>1681</v>
      </c>
      <c r="C165" s="1" t="s">
        <v>7</v>
      </c>
      <c r="D165" s="1" t="s">
        <v>1368</v>
      </c>
      <c r="E165" s="9">
        <v>20610</v>
      </c>
      <c r="F165" s="1" t="str">
        <f>VLOOKUP(D165,Table11[[Name]:[Native]],3,FALSE)</f>
        <v>澄城县</v>
      </c>
      <c r="G165" s="12" t="str">
        <f ca="1">VLOOKUP(F165,Table11[[Native]:[Population4]],5,FALSE)</f>
        <v>渭南市</v>
      </c>
    </row>
    <row r="166" spans="1:7" ht="15.75" thickBot="1" x14ac:dyDescent="0.3">
      <c r="A166" t="s">
        <v>1682</v>
      </c>
      <c r="B166" s="1" t="s">
        <v>1273</v>
      </c>
      <c r="C166" s="1" t="s">
        <v>7</v>
      </c>
      <c r="D166" s="1" t="s">
        <v>1403</v>
      </c>
      <c r="E166" s="9">
        <v>26063</v>
      </c>
      <c r="F166" s="1" t="str">
        <f>VLOOKUP(D166,Table11[[Name]:[Native]],3,FALSE)</f>
        <v>蒲城县</v>
      </c>
      <c r="G166" s="12" t="str">
        <f ca="1">VLOOKUP(F166,Table11[[Native]:[Population4]],5,FALSE)</f>
        <v>渭南市</v>
      </c>
    </row>
    <row r="167" spans="1:7" ht="15.75" thickBot="1" x14ac:dyDescent="0.3">
      <c r="A167" t="s">
        <v>1683</v>
      </c>
      <c r="B167" s="1" t="s">
        <v>1684</v>
      </c>
      <c r="C167" s="1" t="s">
        <v>11</v>
      </c>
      <c r="D167" s="1" t="s">
        <v>1403</v>
      </c>
      <c r="E167" s="9">
        <v>17820</v>
      </c>
      <c r="F167" s="1" t="str">
        <f>VLOOKUP(D167,Table11[[Name]:[Native]],3,FALSE)</f>
        <v>蒲城县</v>
      </c>
      <c r="G167" s="12" t="str">
        <f ca="1">VLOOKUP(F167,Table11[[Native]:[Population4]],5,FALSE)</f>
        <v>渭南市</v>
      </c>
    </row>
    <row r="168" spans="1:7" ht="15.75" thickBot="1" x14ac:dyDescent="0.3">
      <c r="A168" t="s">
        <v>1685</v>
      </c>
      <c r="B168" s="1" t="s">
        <v>1686</v>
      </c>
      <c r="C168" s="1" t="s">
        <v>113</v>
      </c>
      <c r="D168" s="1" t="s">
        <v>1384</v>
      </c>
      <c r="E168" s="9">
        <v>28067</v>
      </c>
      <c r="F168" s="1" t="str">
        <f>VLOOKUP(D168,Table11[[Name]:[Native]],3,FALSE)</f>
        <v>华阴市</v>
      </c>
      <c r="G168" s="12" t="str">
        <f ca="1">VLOOKUP(F168,Table11[[Native]:[Population4]],5,FALSE)</f>
        <v>渭南市</v>
      </c>
    </row>
    <row r="169" spans="1:7" ht="15.75" thickBot="1" x14ac:dyDescent="0.3">
      <c r="A169" t="s">
        <v>1687</v>
      </c>
      <c r="B169" s="1" t="s">
        <v>1688</v>
      </c>
      <c r="C169" s="1" t="s">
        <v>11</v>
      </c>
      <c r="D169" s="1" t="s">
        <v>1377</v>
      </c>
      <c r="E169" s="9">
        <v>9847</v>
      </c>
      <c r="F169" s="1" t="str">
        <f>VLOOKUP(D169,Table11[[Name]:[Native]],3,FALSE)</f>
        <v>富平县</v>
      </c>
      <c r="G169" s="12" t="str">
        <f ca="1">VLOOKUP(F169,Table11[[Native]:[Population4]],5,FALSE)</f>
        <v>渭南市</v>
      </c>
    </row>
    <row r="170" spans="1:7" ht="15.75" thickBot="1" x14ac:dyDescent="0.3">
      <c r="A170" t="s">
        <v>1689</v>
      </c>
      <c r="B170" s="1" t="s">
        <v>1690</v>
      </c>
      <c r="C170" s="1" t="s">
        <v>11</v>
      </c>
      <c r="D170" s="1" t="s">
        <v>1371</v>
      </c>
      <c r="E170" s="9">
        <v>19736</v>
      </c>
      <c r="F170" s="1" t="str">
        <f>VLOOKUP(D170,Table11[[Name]:[Native]],3,FALSE)</f>
        <v>大荔县</v>
      </c>
      <c r="G170" s="12" t="str">
        <f ca="1">VLOOKUP(F170,Table11[[Native]:[Population4]],5,FALSE)</f>
        <v>渭南市</v>
      </c>
    </row>
    <row r="171" spans="1:7" ht="15.75" thickBot="1" x14ac:dyDescent="0.3">
      <c r="A171" t="s">
        <v>1691</v>
      </c>
      <c r="B171" s="1" t="s">
        <v>1692</v>
      </c>
      <c r="C171" s="1" t="s">
        <v>7</v>
      </c>
      <c r="D171" s="1" t="s">
        <v>1377</v>
      </c>
      <c r="E171" s="9">
        <v>32667</v>
      </c>
      <c r="F171" s="1" t="str">
        <f>VLOOKUP(D171,Table11[[Name]:[Native]],3,FALSE)</f>
        <v>富平县</v>
      </c>
      <c r="G171" s="12" t="str">
        <f ca="1">VLOOKUP(F171,Table11[[Native]:[Population4]],5,FALSE)</f>
        <v>渭南市</v>
      </c>
    </row>
    <row r="172" spans="1:7" ht="15.75" thickBot="1" x14ac:dyDescent="0.3">
      <c r="A172" t="s">
        <v>1693</v>
      </c>
      <c r="B172" s="1" t="s">
        <v>1694</v>
      </c>
      <c r="C172" s="1" t="s">
        <v>113</v>
      </c>
      <c r="D172" s="1" t="s">
        <v>1410</v>
      </c>
      <c r="E172" s="9">
        <v>89021</v>
      </c>
      <c r="F172" s="1" t="str">
        <f>VLOOKUP(D172,Table11[[Name]:[Native]],3,FALSE)</f>
        <v>临渭区</v>
      </c>
      <c r="G172" s="12" t="str">
        <f ca="1">VLOOKUP(F172,Table11[[Native]:[Population4]],5,FALSE)</f>
        <v>渭南市</v>
      </c>
    </row>
    <row r="173" spans="1:7" ht="15.75" thickBot="1" x14ac:dyDescent="0.3">
      <c r="A173" t="s">
        <v>1695</v>
      </c>
      <c r="B173" s="1" t="s">
        <v>1696</v>
      </c>
      <c r="C173" s="1" t="s">
        <v>7</v>
      </c>
      <c r="D173" s="1" t="s">
        <v>1371</v>
      </c>
      <c r="E173" s="9">
        <v>29645</v>
      </c>
      <c r="F173" s="1" t="str">
        <f>VLOOKUP(D173,Table11[[Name]:[Native]],3,FALSE)</f>
        <v>大荔县</v>
      </c>
      <c r="G173" s="12" t="str">
        <f ca="1">VLOOKUP(F173,Table11[[Native]:[Population4]],5,FALSE)</f>
        <v>渭南市</v>
      </c>
    </row>
    <row r="174" spans="1:7" ht="15.75" thickBot="1" x14ac:dyDescent="0.3">
      <c r="A174" t="s">
        <v>1697</v>
      </c>
      <c r="B174" s="1" t="s">
        <v>1698</v>
      </c>
      <c r="C174" s="1" t="s">
        <v>7</v>
      </c>
      <c r="D174" s="1" t="s">
        <v>1368</v>
      </c>
      <c r="E174" s="9">
        <v>15443</v>
      </c>
      <c r="F174" s="1" t="str">
        <f>VLOOKUP(D174,Table11[[Name]:[Native]],3,FALSE)</f>
        <v>澄城县</v>
      </c>
      <c r="G174" s="12" t="str">
        <f ca="1">VLOOKUP(F174,Table11[[Native]:[Population4]],5,FALSE)</f>
        <v>渭南市</v>
      </c>
    </row>
    <row r="175" spans="1:7" ht="15.75" thickBot="1" x14ac:dyDescent="0.3">
      <c r="A175" t="s">
        <v>1699</v>
      </c>
      <c r="B175" s="1" t="s">
        <v>1700</v>
      </c>
      <c r="C175" s="1" t="s">
        <v>11</v>
      </c>
      <c r="D175" s="1" t="s">
        <v>1374</v>
      </c>
      <c r="E175" s="9">
        <v>15964</v>
      </c>
      <c r="F175" s="1" t="str">
        <f>VLOOKUP(D175,Table11[[Name]:[Native]],3,FALSE)</f>
        <v>合阳县</v>
      </c>
      <c r="G175" s="12" t="str">
        <f ca="1">VLOOKUP(F175,Table11[[Native]:[Population4]],5,FALSE)</f>
        <v>渭南市</v>
      </c>
    </row>
    <row r="176" spans="1:7" ht="15.75" thickBot="1" x14ac:dyDescent="0.3">
      <c r="A176" t="s">
        <v>1701</v>
      </c>
      <c r="B176" s="1" t="s">
        <v>1702</v>
      </c>
      <c r="C176" s="1" t="s">
        <v>7</v>
      </c>
      <c r="D176" s="1" t="s">
        <v>1378</v>
      </c>
      <c r="E176" s="9">
        <v>47224</v>
      </c>
      <c r="F176" s="1" t="str">
        <f>VLOOKUP(D176,Table11[[Name]:[Native]],3,FALSE)</f>
        <v>韩城市</v>
      </c>
      <c r="G176" s="12" t="str">
        <f ca="1">VLOOKUP(F176,Table11[[Native]:[Population4]],5,FALSE)</f>
        <v>渭南市</v>
      </c>
    </row>
    <row r="177" spans="1:7" ht="15.75" thickBot="1" x14ac:dyDescent="0.3">
      <c r="A177" t="s">
        <v>1703</v>
      </c>
      <c r="B177" s="1" t="s">
        <v>1704</v>
      </c>
      <c r="C177" s="1" t="s">
        <v>7</v>
      </c>
      <c r="D177" s="1" t="s">
        <v>1378</v>
      </c>
      <c r="E177" s="9">
        <v>27568</v>
      </c>
      <c r="F177" s="1" t="str">
        <f>VLOOKUP(D177,Table11[[Name]:[Native]],3,FALSE)</f>
        <v>韩城市</v>
      </c>
      <c r="G177" s="12" t="str">
        <f ca="1">VLOOKUP(F177,Table11[[Native]:[Population4]],5,FALSE)</f>
        <v>渭南市</v>
      </c>
    </row>
    <row r="178" spans="1:7" ht="15.75" thickBot="1" x14ac:dyDescent="0.3">
      <c r="A178" t="s">
        <v>1705</v>
      </c>
      <c r="B178" s="1" t="s">
        <v>1706</v>
      </c>
      <c r="C178" s="1" t="s">
        <v>7</v>
      </c>
      <c r="D178" s="1" t="s">
        <v>1377</v>
      </c>
      <c r="E178" s="9">
        <v>59983</v>
      </c>
      <c r="F178" s="1" t="str">
        <f>VLOOKUP(D178,Table11[[Name]:[Native]],3,FALSE)</f>
        <v>富平县</v>
      </c>
      <c r="G178" s="12" t="str">
        <f ca="1">VLOOKUP(F178,Table11[[Native]:[Population4]],5,FALSE)</f>
        <v>渭南市</v>
      </c>
    </row>
    <row r="179" spans="1:7" ht="15.75" thickBot="1" x14ac:dyDescent="0.3">
      <c r="A179" t="s">
        <v>1707</v>
      </c>
      <c r="B179" s="1" t="s">
        <v>1708</v>
      </c>
      <c r="C179" s="1" t="s">
        <v>7</v>
      </c>
      <c r="D179" s="1" t="s">
        <v>1368</v>
      </c>
      <c r="E179" s="9">
        <v>21138</v>
      </c>
      <c r="F179" s="1" t="str">
        <f>VLOOKUP(D179,Table11[[Name]:[Native]],3,FALSE)</f>
        <v>澄城县</v>
      </c>
      <c r="G179" s="12" t="str">
        <f ca="1">VLOOKUP(F179,Table11[[Native]:[Population4]],5,FALSE)</f>
        <v>渭南市</v>
      </c>
    </row>
    <row r="180" spans="1:7" ht="15.75" thickBot="1" x14ac:dyDescent="0.3">
      <c r="A180" t="s">
        <v>1709</v>
      </c>
      <c r="B180" s="1" t="s">
        <v>1710</v>
      </c>
      <c r="C180" s="1" t="s">
        <v>11</v>
      </c>
      <c r="D180" s="1" t="s">
        <v>1381</v>
      </c>
      <c r="E180" s="9">
        <v>11495</v>
      </c>
      <c r="F180" s="8" t="str">
        <f>VLOOKUP(D180,Table11[[Name]:[Native]],3,FALSE)</f>
        <v>白水县</v>
      </c>
      <c r="G180" s="12" t="str">
        <f ca="1">VLOOKUP(F180,Table11[[Native]:[Population4]],5,FALSE)</f>
        <v>渭南市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CF2C6-5230-4BC8-90DD-4A4A4B4114C1}">
  <dimension ref="A1:G133"/>
  <sheetViews>
    <sheetView workbookViewId="0">
      <selection activeCell="A2" sqref="A2:G13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3166</v>
      </c>
      <c r="G1" t="s">
        <v>3170</v>
      </c>
    </row>
    <row r="2" spans="1:7" ht="15.75" thickBot="1" x14ac:dyDescent="0.3">
      <c r="A2" t="s">
        <v>1711</v>
      </c>
      <c r="B2" s="1" t="s">
        <v>1712</v>
      </c>
      <c r="C2" s="1" t="s">
        <v>7</v>
      </c>
      <c r="D2" s="1" t="s">
        <v>1713</v>
      </c>
      <c r="E2" s="9">
        <v>36465</v>
      </c>
      <c r="F2" s="7" t="str">
        <f>VLOOKUP(D2,Table11[[Name]:[Native]],3,FALSE)</f>
        <v>泾阳县</v>
      </c>
      <c r="G2" s="12" t="str">
        <f ca="1">VLOOKUP(F2,Table11[[Native]:[Population4]],5,FALSE)</f>
        <v>咸阳市</v>
      </c>
    </row>
    <row r="3" spans="1:7" ht="15.75" thickBot="1" x14ac:dyDescent="0.3">
      <c r="A3" t="s">
        <v>1714</v>
      </c>
      <c r="B3" s="1" t="s">
        <v>1715</v>
      </c>
      <c r="C3" s="1" t="s">
        <v>7</v>
      </c>
      <c r="D3" s="1" t="s">
        <v>1716</v>
      </c>
      <c r="E3" s="9">
        <v>20648</v>
      </c>
      <c r="F3" s="1" t="str">
        <f>VLOOKUP(D3,Table11[[Name]:[Native]],3,FALSE)</f>
        <v>彬州市</v>
      </c>
      <c r="G3" s="12" t="str">
        <f ca="1">VLOOKUP(F3,Table11[[Native]:[Population4]],5,FALSE)</f>
        <v>咸阳市</v>
      </c>
    </row>
    <row r="4" spans="1:7" ht="15.75" thickBot="1" x14ac:dyDescent="0.3">
      <c r="A4" t="s">
        <v>1717</v>
      </c>
      <c r="B4" s="1" t="s">
        <v>1718</v>
      </c>
      <c r="C4" s="1" t="s">
        <v>7</v>
      </c>
      <c r="D4" s="1" t="s">
        <v>1719</v>
      </c>
      <c r="E4" s="9">
        <v>27814</v>
      </c>
      <c r="F4" s="1" t="str">
        <f>VLOOKUP(D4,Table11[[Name]:[Native]],3,FALSE)</f>
        <v>永寿县</v>
      </c>
      <c r="G4" s="12" t="str">
        <f ca="1">VLOOKUP(F4,Table11[[Native]:[Population4]],5,FALSE)</f>
        <v>咸阳市</v>
      </c>
    </row>
    <row r="5" spans="1:7" ht="15.75" thickBot="1" x14ac:dyDescent="0.3">
      <c r="A5" t="s">
        <v>1720</v>
      </c>
      <c r="B5" s="1" t="s">
        <v>1721</v>
      </c>
      <c r="C5" s="1" t="s">
        <v>7</v>
      </c>
      <c r="D5" s="1" t="s">
        <v>1722</v>
      </c>
      <c r="E5" s="9">
        <v>57945</v>
      </c>
      <c r="F5" s="1" t="str">
        <f>VLOOKUP(D5,Table11[[Name]:[Native]],3,FALSE)</f>
        <v>武功县</v>
      </c>
      <c r="G5" s="12" t="str">
        <f ca="1">VLOOKUP(F5,Table11[[Native]:[Population4]],5,FALSE)</f>
        <v>咸阳市</v>
      </c>
    </row>
    <row r="6" spans="1:7" ht="15.75" thickBot="1" x14ac:dyDescent="0.3">
      <c r="A6" t="s">
        <v>1723</v>
      </c>
      <c r="B6" s="1" t="s">
        <v>374</v>
      </c>
      <c r="C6" s="1" t="s">
        <v>113</v>
      </c>
      <c r="D6" s="1" t="s">
        <v>1724</v>
      </c>
      <c r="E6" s="9">
        <v>128520</v>
      </c>
      <c r="F6" s="1" t="str">
        <f>VLOOKUP(D6,Table11[[Name]:[Native]],3,FALSE)</f>
        <v>三原县</v>
      </c>
      <c r="G6" s="12" t="str">
        <f ca="1">VLOOKUP(F6,Table11[[Native]:[Population4]],5,FALSE)</f>
        <v>咸阳市</v>
      </c>
    </row>
    <row r="7" spans="1:7" ht="15.75" thickBot="1" x14ac:dyDescent="0.3">
      <c r="A7" t="s">
        <v>1725</v>
      </c>
      <c r="B7" s="1" t="s">
        <v>374</v>
      </c>
      <c r="C7" s="1" t="s">
        <v>113</v>
      </c>
      <c r="D7" s="1" t="s">
        <v>1726</v>
      </c>
      <c r="E7" s="9">
        <v>110483</v>
      </c>
      <c r="F7" s="1" t="str">
        <f>VLOOKUP(D7,Table11[[Name]:[Native]],3,FALSE)</f>
        <v>乾县</v>
      </c>
      <c r="G7" s="12" t="str">
        <f ca="1">VLOOKUP(F7,Table11[[Native]:[Population4]],5,FALSE)</f>
        <v>咸阳市</v>
      </c>
    </row>
    <row r="8" spans="1:7" ht="15.75" thickBot="1" x14ac:dyDescent="0.3">
      <c r="A8" t="s">
        <v>1727</v>
      </c>
      <c r="B8" s="1" t="s">
        <v>374</v>
      </c>
      <c r="C8" s="1" t="s">
        <v>113</v>
      </c>
      <c r="D8" s="1" t="s">
        <v>1728</v>
      </c>
      <c r="E8" s="9">
        <v>136285</v>
      </c>
      <c r="F8" s="1" t="str">
        <f>VLOOKUP(D8,Table11[[Name]:[Native]],3,FALSE)</f>
        <v>礼泉县</v>
      </c>
      <c r="G8" s="12" t="str">
        <f ca="1">VLOOKUP(F8,Table11[[Native]:[Population4]],5,FALSE)</f>
        <v>咸阳市</v>
      </c>
    </row>
    <row r="9" spans="1:7" ht="15.75" thickBot="1" x14ac:dyDescent="0.3">
      <c r="A9" t="s">
        <v>373</v>
      </c>
      <c r="B9" s="1" t="s">
        <v>374</v>
      </c>
      <c r="C9" s="1" t="s">
        <v>113</v>
      </c>
      <c r="D9" s="1" t="s">
        <v>1716</v>
      </c>
      <c r="E9" s="9">
        <v>81787</v>
      </c>
      <c r="F9" s="1" t="str">
        <f>VLOOKUP(D9,Table11[[Name]:[Native]],3,FALSE)</f>
        <v>彬州市</v>
      </c>
      <c r="G9" s="12" t="str">
        <f ca="1">VLOOKUP(F9,Table11[[Native]:[Population4]],5,FALSE)</f>
        <v>咸阳市</v>
      </c>
    </row>
    <row r="10" spans="1:7" ht="15.75" thickBot="1" x14ac:dyDescent="0.3">
      <c r="A10" t="s">
        <v>373</v>
      </c>
      <c r="B10" s="1" t="s">
        <v>374</v>
      </c>
      <c r="C10" s="1" t="s">
        <v>113</v>
      </c>
      <c r="D10" s="1" t="s">
        <v>1729</v>
      </c>
      <c r="E10" s="9">
        <v>32451</v>
      </c>
      <c r="F10" s="1" t="str">
        <f>VLOOKUP(D10,Table11[[Name]:[Native]],3,FALSE)</f>
        <v>旬邑县</v>
      </c>
      <c r="G10" s="12" t="str">
        <f ca="1">VLOOKUP(F10,Table11[[Native]:[Population4]],5,FALSE)</f>
        <v>咸阳市</v>
      </c>
    </row>
    <row r="11" spans="1:7" ht="15.75" thickBot="1" x14ac:dyDescent="0.3">
      <c r="A11" t="s">
        <v>373</v>
      </c>
      <c r="B11" s="1" t="s">
        <v>374</v>
      </c>
      <c r="C11" s="1" t="s">
        <v>113</v>
      </c>
      <c r="D11" s="1" t="s">
        <v>1730</v>
      </c>
      <c r="E11" s="9">
        <v>32419</v>
      </c>
      <c r="F11" s="1" t="str">
        <f>VLOOKUP(D11,Table11[[Name]:[Native]],3,FALSE)</f>
        <v>淳化县</v>
      </c>
      <c r="G11" s="12" t="str">
        <f ca="1">VLOOKUP(F11,Table11[[Native]:[Population4]],5,FALSE)</f>
        <v>咸阳市</v>
      </c>
    </row>
    <row r="12" spans="1:7" ht="15.75" thickBot="1" x14ac:dyDescent="0.3">
      <c r="A12" t="s">
        <v>1731</v>
      </c>
      <c r="B12" s="1" t="s">
        <v>1732</v>
      </c>
      <c r="C12" s="1" t="s">
        <v>7</v>
      </c>
      <c r="D12" s="1" t="s">
        <v>1730</v>
      </c>
      <c r="E12" s="9">
        <v>7537</v>
      </c>
      <c r="F12" s="1" t="str">
        <f>VLOOKUP(D12,Table11[[Name]:[Native]],3,FALSE)</f>
        <v>淳化县</v>
      </c>
      <c r="G12" s="12" t="str">
        <f ca="1">VLOOKUP(F12,Table11[[Native]:[Population4]],5,FALSE)</f>
        <v>咸阳市</v>
      </c>
    </row>
    <row r="13" spans="1:7" ht="15.75" thickBot="1" x14ac:dyDescent="0.3">
      <c r="A13" t="s">
        <v>1733</v>
      </c>
      <c r="B13" s="1" t="s">
        <v>1734</v>
      </c>
      <c r="C13" s="1" t="s">
        <v>7</v>
      </c>
      <c r="D13" s="1" t="s">
        <v>1728</v>
      </c>
      <c r="E13" s="9">
        <v>28574</v>
      </c>
      <c r="F13" s="1" t="str">
        <f>VLOOKUP(D13,Table11[[Name]:[Native]],3,FALSE)</f>
        <v>礼泉县</v>
      </c>
      <c r="G13" s="12" t="str">
        <f ca="1">VLOOKUP(F13,Table11[[Native]:[Population4]],5,FALSE)</f>
        <v>咸阳市</v>
      </c>
    </row>
    <row r="14" spans="1:7" ht="15.75" thickBot="1" x14ac:dyDescent="0.3">
      <c r="A14" t="s">
        <v>1735</v>
      </c>
      <c r="B14" s="1" t="s">
        <v>1736</v>
      </c>
      <c r="C14" s="1" t="s">
        <v>7</v>
      </c>
      <c r="D14" s="1" t="s">
        <v>1724</v>
      </c>
      <c r="E14" s="9">
        <v>21005</v>
      </c>
      <c r="F14" s="1" t="str">
        <f>VLOOKUP(D14,Table11[[Name]:[Native]],3,FALSE)</f>
        <v>三原县</v>
      </c>
      <c r="G14" s="12" t="str">
        <f ca="1">VLOOKUP(F14,Table11[[Native]:[Population4]],5,FALSE)</f>
        <v>咸阳市</v>
      </c>
    </row>
    <row r="15" spans="1:7" ht="15.75" thickBot="1" x14ac:dyDescent="0.3">
      <c r="A15" t="s">
        <v>1737</v>
      </c>
      <c r="B15" s="1" t="s">
        <v>1738</v>
      </c>
      <c r="C15" s="1" t="s">
        <v>7</v>
      </c>
      <c r="D15" s="1" t="s">
        <v>1724</v>
      </c>
      <c r="E15" s="9">
        <v>38150</v>
      </c>
      <c r="F15" s="1" t="str">
        <f>VLOOKUP(D15,Table11[[Name]:[Native]],3,FALSE)</f>
        <v>三原县</v>
      </c>
      <c r="G15" s="12" t="str">
        <f ca="1">VLOOKUP(F15,Table11[[Native]:[Population4]],5,FALSE)</f>
        <v>咸阳市</v>
      </c>
    </row>
    <row r="16" spans="1:7" ht="15.75" thickBot="1" x14ac:dyDescent="0.3">
      <c r="A16" t="s">
        <v>1739</v>
      </c>
      <c r="B16" s="1" t="s">
        <v>1740</v>
      </c>
      <c r="C16" s="1" t="s">
        <v>11</v>
      </c>
      <c r="D16" s="1" t="s">
        <v>1730</v>
      </c>
      <c r="E16" s="9">
        <v>6211</v>
      </c>
      <c r="F16" s="1" t="str">
        <f>VLOOKUP(D16,Table11[[Name]:[Native]],3,FALSE)</f>
        <v>淳化县</v>
      </c>
      <c r="G16" s="12" t="str">
        <f ca="1">VLOOKUP(F16,Table11[[Native]:[Population4]],5,FALSE)</f>
        <v>咸阳市</v>
      </c>
    </row>
    <row r="17" spans="1:7" ht="15.75" thickBot="1" x14ac:dyDescent="0.3">
      <c r="A17" t="s">
        <v>1741</v>
      </c>
      <c r="B17" s="1" t="s">
        <v>1742</v>
      </c>
      <c r="C17" s="1" t="s">
        <v>11</v>
      </c>
      <c r="D17" s="1" t="s">
        <v>1722</v>
      </c>
      <c r="E17" s="9">
        <v>28568</v>
      </c>
      <c r="F17" s="1" t="str">
        <f>VLOOKUP(D17,Table11[[Name]:[Native]],3,FALSE)</f>
        <v>武功县</v>
      </c>
      <c r="G17" s="12" t="str">
        <f ca="1">VLOOKUP(F17,Table11[[Native]:[Population4]],5,FALSE)</f>
        <v>咸阳市</v>
      </c>
    </row>
    <row r="18" spans="1:7" ht="15.75" thickBot="1" x14ac:dyDescent="0.3">
      <c r="A18" t="s">
        <v>1743</v>
      </c>
      <c r="B18" s="1" t="s">
        <v>1744</v>
      </c>
      <c r="C18" s="1" t="s">
        <v>7</v>
      </c>
      <c r="D18" s="1" t="s">
        <v>1726</v>
      </c>
      <c r="E18" s="9">
        <v>40359</v>
      </c>
      <c r="F18" s="1" t="str">
        <f>VLOOKUP(D18,Table11[[Name]:[Native]],3,FALSE)</f>
        <v>乾县</v>
      </c>
      <c r="G18" s="12" t="str">
        <f ca="1">VLOOKUP(F18,Table11[[Native]:[Population4]],5,FALSE)</f>
        <v>咸阳市</v>
      </c>
    </row>
    <row r="19" spans="1:7" ht="15.75" thickBot="1" x14ac:dyDescent="0.3">
      <c r="A19" t="s">
        <v>1745</v>
      </c>
      <c r="B19" s="1" t="s">
        <v>1746</v>
      </c>
      <c r="C19" s="1" t="s">
        <v>113</v>
      </c>
      <c r="D19" s="1" t="s">
        <v>1747</v>
      </c>
      <c r="E19" s="9">
        <v>15555</v>
      </c>
      <c r="F19" s="1" t="str">
        <f>VLOOKUP(D19,Table11[[Name]:[Native]],3,FALSE)</f>
        <v>杨陵区</v>
      </c>
      <c r="G19" s="12" t="str">
        <f ca="1">VLOOKUP(F19,Table11[[Native]:[Population4]],5,FALSE)</f>
        <v>咸阳市</v>
      </c>
    </row>
    <row r="20" spans="1:7" ht="15.75" thickBot="1" x14ac:dyDescent="0.3">
      <c r="A20" t="s">
        <v>1748</v>
      </c>
      <c r="B20" s="1" t="s">
        <v>1749</v>
      </c>
      <c r="C20" s="1" t="s">
        <v>7</v>
      </c>
      <c r="D20" s="1" t="s">
        <v>1722</v>
      </c>
      <c r="E20" s="9">
        <v>42074</v>
      </c>
      <c r="F20" s="1" t="str">
        <f>VLOOKUP(D20,Table11[[Name]:[Native]],3,FALSE)</f>
        <v>武功县</v>
      </c>
      <c r="G20" s="12" t="str">
        <f ca="1">VLOOKUP(F20,Table11[[Native]:[Population4]],5,FALSE)</f>
        <v>咸阳市</v>
      </c>
    </row>
    <row r="21" spans="1:7" ht="15.75" thickBot="1" x14ac:dyDescent="0.3">
      <c r="A21" t="s">
        <v>1750</v>
      </c>
      <c r="B21" s="1" t="s">
        <v>1751</v>
      </c>
      <c r="C21" s="1" t="s">
        <v>7</v>
      </c>
      <c r="D21" s="1" t="s">
        <v>1719</v>
      </c>
      <c r="E21" s="9">
        <v>28716</v>
      </c>
      <c r="F21" s="1" t="str">
        <f>VLOOKUP(D21,Table11[[Name]:[Native]],3,FALSE)</f>
        <v>永寿县</v>
      </c>
      <c r="G21" s="12" t="str">
        <f ca="1">VLOOKUP(F21,Table11[[Native]:[Population4]],5,FALSE)</f>
        <v>咸阳市</v>
      </c>
    </row>
    <row r="22" spans="1:7" ht="15.75" thickBot="1" x14ac:dyDescent="0.3">
      <c r="A22" t="s">
        <v>1752</v>
      </c>
      <c r="B22" s="1" t="s">
        <v>1753</v>
      </c>
      <c r="C22" s="1" t="s">
        <v>113</v>
      </c>
      <c r="D22" s="1" t="s">
        <v>1754</v>
      </c>
      <c r="E22" s="9">
        <v>27228</v>
      </c>
      <c r="F22" s="1" t="str">
        <f>VLOOKUP(D22,Table11[[Name]:[Native]],3,FALSE)</f>
        <v>兴平市</v>
      </c>
      <c r="G22" s="12" t="str">
        <f ca="1">VLOOKUP(F22,Table11[[Native]:[Population4]],5,FALSE)</f>
        <v>咸阳市</v>
      </c>
    </row>
    <row r="23" spans="1:7" ht="15.75" thickBot="1" x14ac:dyDescent="0.3">
      <c r="A23" t="s">
        <v>1755</v>
      </c>
      <c r="B23" s="1" t="s">
        <v>1756</v>
      </c>
      <c r="C23" s="1" t="s">
        <v>7</v>
      </c>
      <c r="D23" s="1" t="s">
        <v>1729</v>
      </c>
      <c r="E23" s="9">
        <v>18212</v>
      </c>
      <c r="F23" s="1" t="str">
        <f>VLOOKUP(D23,Table11[[Name]:[Native]],3,FALSE)</f>
        <v>旬邑县</v>
      </c>
      <c r="G23" s="12" t="str">
        <f ca="1">VLOOKUP(F23,Table11[[Native]:[Population4]],5,FALSE)</f>
        <v>咸阳市</v>
      </c>
    </row>
    <row r="24" spans="1:7" ht="15.75" thickBot="1" x14ac:dyDescent="0.3">
      <c r="A24" t="s">
        <v>1757</v>
      </c>
      <c r="B24" s="1" t="s">
        <v>1758</v>
      </c>
      <c r="C24" s="1" t="s">
        <v>7</v>
      </c>
      <c r="D24" s="1" t="s">
        <v>1759</v>
      </c>
      <c r="E24" s="9">
        <v>10228</v>
      </c>
      <c r="F24" s="1" t="str">
        <f>VLOOKUP(D24,Table11[[Name]:[Native]],3,FALSE)</f>
        <v>长武县</v>
      </c>
      <c r="G24" s="12" t="str">
        <f ca="1">VLOOKUP(F24,Table11[[Native]:[Population4]],5,FALSE)</f>
        <v>咸阳市</v>
      </c>
    </row>
    <row r="25" spans="1:7" ht="15.75" thickBot="1" x14ac:dyDescent="0.3">
      <c r="A25" t="s">
        <v>1760</v>
      </c>
      <c r="B25" s="1" t="s">
        <v>1761</v>
      </c>
      <c r="C25" s="1" t="s">
        <v>11</v>
      </c>
      <c r="D25" s="1" t="s">
        <v>1759</v>
      </c>
      <c r="E25" s="9">
        <v>18426</v>
      </c>
      <c r="F25" s="1" t="str">
        <f>VLOOKUP(D25,Table11[[Name]:[Native]],3,FALSE)</f>
        <v>长武县</v>
      </c>
      <c r="G25" s="12" t="str">
        <f ca="1">VLOOKUP(F25,Table11[[Native]:[Population4]],5,FALSE)</f>
        <v>咸阳市</v>
      </c>
    </row>
    <row r="26" spans="1:7" ht="15.75" thickBot="1" x14ac:dyDescent="0.3">
      <c r="A26" t="s">
        <v>1762</v>
      </c>
      <c r="B26" s="1" t="s">
        <v>1430</v>
      </c>
      <c r="C26" s="1" t="s">
        <v>113</v>
      </c>
      <c r="D26" s="1" t="s">
        <v>1754</v>
      </c>
      <c r="E26" s="9">
        <v>111495</v>
      </c>
      <c r="F26" s="1" t="str">
        <f>VLOOKUP(D26,Table11[[Name]:[Native]],3,FALSE)</f>
        <v>兴平市</v>
      </c>
      <c r="G26" s="12" t="str">
        <f ca="1">VLOOKUP(F26,Table11[[Native]:[Population4]],5,FALSE)</f>
        <v>咸阳市</v>
      </c>
    </row>
    <row r="27" spans="1:7" ht="15.75" thickBot="1" x14ac:dyDescent="0.3">
      <c r="A27" t="s">
        <v>1763</v>
      </c>
      <c r="B27" s="1" t="s">
        <v>1764</v>
      </c>
      <c r="C27" s="1" t="s">
        <v>7</v>
      </c>
      <c r="D27" s="1" t="s">
        <v>1719</v>
      </c>
      <c r="E27" s="9">
        <v>8879</v>
      </c>
      <c r="F27" s="1" t="str">
        <f>VLOOKUP(D27,Table11[[Name]:[Native]],3,FALSE)</f>
        <v>永寿县</v>
      </c>
      <c r="G27" s="12" t="str">
        <f ca="1">VLOOKUP(F27,Table11[[Native]:[Population4]],5,FALSE)</f>
        <v>咸阳市</v>
      </c>
    </row>
    <row r="28" spans="1:7" ht="15.75" thickBot="1" x14ac:dyDescent="0.3">
      <c r="A28" t="s">
        <v>1765</v>
      </c>
      <c r="B28" s="1" t="s">
        <v>1766</v>
      </c>
      <c r="C28" s="1" t="s">
        <v>7</v>
      </c>
      <c r="D28" s="1" t="s">
        <v>1724</v>
      </c>
      <c r="E28" s="9">
        <v>22480</v>
      </c>
      <c r="F28" s="1" t="str">
        <f>VLOOKUP(D28,Table11[[Name]:[Native]],3,FALSE)</f>
        <v>三原县</v>
      </c>
      <c r="G28" s="12" t="str">
        <f ca="1">VLOOKUP(F28,Table11[[Native]:[Population4]],5,FALSE)</f>
        <v>咸阳市</v>
      </c>
    </row>
    <row r="29" spans="1:7" ht="15.75" thickBot="1" x14ac:dyDescent="0.3">
      <c r="A29" t="s">
        <v>1767</v>
      </c>
      <c r="B29" s="1" t="s">
        <v>1768</v>
      </c>
      <c r="C29" s="1" t="s">
        <v>7</v>
      </c>
      <c r="D29" s="1" t="s">
        <v>1730</v>
      </c>
      <c r="E29" s="9">
        <v>29044</v>
      </c>
      <c r="F29" s="1" t="str">
        <f>VLOOKUP(D29,Table11[[Name]:[Native]],3,FALSE)</f>
        <v>淳化县</v>
      </c>
      <c r="G29" s="12" t="str">
        <f ca="1">VLOOKUP(F29,Table11[[Native]:[Population4]],5,FALSE)</f>
        <v>咸阳市</v>
      </c>
    </row>
    <row r="30" spans="1:7" ht="15.75" thickBot="1" x14ac:dyDescent="0.3">
      <c r="A30" t="s">
        <v>1769</v>
      </c>
      <c r="B30" s="1" t="s">
        <v>1770</v>
      </c>
      <c r="C30" s="1" t="s">
        <v>7</v>
      </c>
      <c r="D30" s="1" t="s">
        <v>1728</v>
      </c>
      <c r="E30" s="9">
        <v>26624</v>
      </c>
      <c r="F30" s="1" t="str">
        <f>VLOOKUP(D30,Table11[[Name]:[Native]],3,FALSE)</f>
        <v>礼泉县</v>
      </c>
      <c r="G30" s="12" t="str">
        <f ca="1">VLOOKUP(F30,Table11[[Native]:[Population4]],5,FALSE)</f>
        <v>咸阳市</v>
      </c>
    </row>
    <row r="31" spans="1:7" ht="15.75" thickBot="1" x14ac:dyDescent="0.3">
      <c r="A31" t="s">
        <v>1771</v>
      </c>
      <c r="B31" s="1" t="s">
        <v>1772</v>
      </c>
      <c r="C31" s="1" t="s">
        <v>7</v>
      </c>
      <c r="D31" s="1" t="s">
        <v>1726</v>
      </c>
      <c r="E31" s="9">
        <v>19783</v>
      </c>
      <c r="F31" s="1" t="str">
        <f>VLOOKUP(D31,Table11[[Name]:[Native]],3,FALSE)</f>
        <v>乾县</v>
      </c>
      <c r="G31" s="12" t="str">
        <f ca="1">VLOOKUP(F31,Table11[[Native]:[Population4]],5,FALSE)</f>
        <v>咸阳市</v>
      </c>
    </row>
    <row r="32" spans="1:7" ht="15.75" thickBot="1" x14ac:dyDescent="0.3">
      <c r="A32" t="s">
        <v>1773</v>
      </c>
      <c r="B32" s="1" t="s">
        <v>1774</v>
      </c>
      <c r="C32" s="1" t="s">
        <v>7</v>
      </c>
      <c r="D32" s="1" t="s">
        <v>1754</v>
      </c>
      <c r="E32" s="9">
        <v>25056</v>
      </c>
      <c r="F32" s="1" t="str">
        <f>VLOOKUP(D32,Table11[[Name]:[Native]],3,FALSE)</f>
        <v>兴平市</v>
      </c>
      <c r="G32" s="12" t="str">
        <f ca="1">VLOOKUP(F32,Table11[[Native]:[Population4]],5,FALSE)</f>
        <v>咸阳市</v>
      </c>
    </row>
    <row r="33" spans="1:7" ht="15.75" thickBot="1" x14ac:dyDescent="0.3">
      <c r="A33" t="s">
        <v>1775</v>
      </c>
      <c r="B33" s="1" t="s">
        <v>1776</v>
      </c>
      <c r="C33" s="1" t="s">
        <v>7</v>
      </c>
      <c r="D33" s="1" t="s">
        <v>1754</v>
      </c>
      <c r="E33" s="9">
        <v>40299</v>
      </c>
      <c r="F33" s="1" t="str">
        <f>VLOOKUP(D33,Table11[[Name]:[Native]],3,FALSE)</f>
        <v>兴平市</v>
      </c>
      <c r="G33" s="12" t="str">
        <f ca="1">VLOOKUP(F33,Table11[[Native]:[Population4]],5,FALSE)</f>
        <v>咸阳市</v>
      </c>
    </row>
    <row r="34" spans="1:7" ht="15.75" thickBot="1" x14ac:dyDescent="0.3">
      <c r="A34" t="s">
        <v>1449</v>
      </c>
      <c r="B34" s="1" t="s">
        <v>1450</v>
      </c>
      <c r="C34" s="1" t="s">
        <v>7</v>
      </c>
      <c r="D34" s="1" t="s">
        <v>1719</v>
      </c>
      <c r="E34" s="9">
        <v>15539</v>
      </c>
      <c r="F34" s="1" t="str">
        <f>VLOOKUP(D34,Table11[[Name]:[Native]],3,FALSE)</f>
        <v>永寿县</v>
      </c>
      <c r="G34" s="12" t="str">
        <f ca="1">VLOOKUP(F34,Table11[[Native]:[Population4]],5,FALSE)</f>
        <v>咸阳市</v>
      </c>
    </row>
    <row r="35" spans="1:7" ht="15.75" thickBot="1" x14ac:dyDescent="0.3">
      <c r="A35" t="s">
        <v>1777</v>
      </c>
      <c r="B35" s="1" t="s">
        <v>1778</v>
      </c>
      <c r="C35" s="1" t="s">
        <v>7</v>
      </c>
      <c r="D35" s="1" t="s">
        <v>1730</v>
      </c>
      <c r="E35" s="9">
        <v>33041</v>
      </c>
      <c r="F35" s="1" t="str">
        <f>VLOOKUP(D35,Table11[[Name]:[Native]],3,FALSE)</f>
        <v>淳化县</v>
      </c>
      <c r="G35" s="12" t="str">
        <f ca="1">VLOOKUP(F35,Table11[[Native]:[Population4]],5,FALSE)</f>
        <v>咸阳市</v>
      </c>
    </row>
    <row r="36" spans="1:7" ht="15.75" thickBot="1" x14ac:dyDescent="0.3">
      <c r="A36" t="s">
        <v>1779</v>
      </c>
      <c r="B36" s="1" t="s">
        <v>1780</v>
      </c>
      <c r="C36" s="1" t="s">
        <v>113</v>
      </c>
      <c r="D36" s="1" t="s">
        <v>1781</v>
      </c>
      <c r="E36" s="9">
        <v>50215</v>
      </c>
      <c r="F36" s="1" t="str">
        <f>VLOOKUP(D36,Table11[[Name]:[Native]],3,FALSE)</f>
        <v>秦都区</v>
      </c>
      <c r="G36" s="12" t="str">
        <f ca="1">VLOOKUP(F36,Table11[[Native]:[Population4]],5,FALSE)</f>
        <v>咸阳市</v>
      </c>
    </row>
    <row r="37" spans="1:7" ht="15.75" thickBot="1" x14ac:dyDescent="0.3">
      <c r="A37" t="s">
        <v>1782</v>
      </c>
      <c r="B37" s="1" t="s">
        <v>1783</v>
      </c>
      <c r="C37" s="1" t="s">
        <v>7</v>
      </c>
      <c r="D37" s="1" t="s">
        <v>1716</v>
      </c>
      <c r="E37" s="9">
        <v>16726</v>
      </c>
      <c r="F37" s="1" t="str">
        <f>VLOOKUP(D37,Table11[[Name]:[Native]],3,FALSE)</f>
        <v>彬州市</v>
      </c>
      <c r="G37" s="12" t="str">
        <f ca="1">VLOOKUP(F37,Table11[[Native]:[Population4]],5,FALSE)</f>
        <v>咸阳市</v>
      </c>
    </row>
    <row r="38" spans="1:7" ht="15.75" thickBot="1" x14ac:dyDescent="0.3">
      <c r="A38" t="s">
        <v>1784</v>
      </c>
      <c r="B38" s="1" t="s">
        <v>1785</v>
      </c>
      <c r="C38" s="1" t="s">
        <v>7</v>
      </c>
      <c r="D38" s="1" t="s">
        <v>1759</v>
      </c>
      <c r="E38" s="9">
        <v>12603</v>
      </c>
      <c r="F38" s="1" t="str">
        <f>VLOOKUP(D38,Table11[[Name]:[Native]],3,FALSE)</f>
        <v>长武县</v>
      </c>
      <c r="G38" s="12" t="str">
        <f ca="1">VLOOKUP(F38,Table11[[Native]:[Population4]],5,FALSE)</f>
        <v>咸阳市</v>
      </c>
    </row>
    <row r="39" spans="1:7" ht="15.75" thickBot="1" x14ac:dyDescent="0.3">
      <c r="A39" t="s">
        <v>1786</v>
      </c>
      <c r="B39" s="1" t="s">
        <v>1787</v>
      </c>
      <c r="C39" s="1" t="s">
        <v>7</v>
      </c>
      <c r="D39" s="1" t="s">
        <v>1726</v>
      </c>
      <c r="E39" s="9">
        <v>27813</v>
      </c>
      <c r="F39" s="1" t="str">
        <f>VLOOKUP(D39,Table11[[Name]:[Native]],3,FALSE)</f>
        <v>乾县</v>
      </c>
      <c r="G39" s="12" t="str">
        <f ca="1">VLOOKUP(F39,Table11[[Native]:[Population4]],5,FALSE)</f>
        <v>咸阳市</v>
      </c>
    </row>
    <row r="40" spans="1:7" ht="15.75" thickBot="1" x14ac:dyDescent="0.3">
      <c r="A40" t="s">
        <v>1788</v>
      </c>
      <c r="B40" s="1" t="s">
        <v>1789</v>
      </c>
      <c r="C40" s="1" t="s">
        <v>113</v>
      </c>
      <c r="D40" s="1" t="s">
        <v>1719</v>
      </c>
      <c r="E40" s="9">
        <v>58956</v>
      </c>
      <c r="F40" s="1" t="str">
        <f>VLOOKUP(D40,Table11[[Name]:[Native]],3,FALSE)</f>
        <v>永寿县</v>
      </c>
      <c r="G40" s="12" t="str">
        <f ca="1">VLOOKUP(F40,Table11[[Native]:[Population4]],5,FALSE)</f>
        <v>咸阳市</v>
      </c>
    </row>
    <row r="41" spans="1:7" ht="15.75" thickBot="1" x14ac:dyDescent="0.3">
      <c r="A41" t="s">
        <v>1790</v>
      </c>
      <c r="B41" s="1" t="s">
        <v>1791</v>
      </c>
      <c r="C41" s="1" t="s">
        <v>7</v>
      </c>
      <c r="D41" s="1" t="s">
        <v>1759</v>
      </c>
      <c r="E41" s="9">
        <v>14647</v>
      </c>
      <c r="F41" s="1" t="str">
        <f>VLOOKUP(D41,Table11[[Name]:[Native]],3,FALSE)</f>
        <v>长武县</v>
      </c>
      <c r="G41" s="12" t="str">
        <f ca="1">VLOOKUP(F41,Table11[[Native]:[Population4]],5,FALSE)</f>
        <v>咸阳市</v>
      </c>
    </row>
    <row r="42" spans="1:7" ht="15.75" thickBot="1" x14ac:dyDescent="0.3">
      <c r="A42" t="s">
        <v>1792</v>
      </c>
      <c r="B42" s="1" t="s">
        <v>1793</v>
      </c>
      <c r="C42" s="1" t="s">
        <v>7</v>
      </c>
      <c r="D42" s="1" t="s">
        <v>1728</v>
      </c>
      <c r="E42" s="9">
        <v>24986</v>
      </c>
      <c r="F42" s="1" t="str">
        <f>VLOOKUP(D42,Table11[[Name]:[Native]],3,FALSE)</f>
        <v>礼泉县</v>
      </c>
      <c r="G42" s="12" t="str">
        <f ca="1">VLOOKUP(F42,Table11[[Native]:[Population4]],5,FALSE)</f>
        <v>咸阳市</v>
      </c>
    </row>
    <row r="43" spans="1:7" ht="15.75" thickBot="1" x14ac:dyDescent="0.3">
      <c r="A43" t="s">
        <v>1794</v>
      </c>
      <c r="B43" s="1" t="s">
        <v>1795</v>
      </c>
      <c r="C43" s="1" t="s">
        <v>7</v>
      </c>
      <c r="D43" s="1" t="s">
        <v>1713</v>
      </c>
      <c r="E43" s="9">
        <v>22814</v>
      </c>
      <c r="F43" s="1" t="str">
        <f>VLOOKUP(D43,Table11[[Name]:[Native]],3,FALSE)</f>
        <v>泾阳县</v>
      </c>
      <c r="G43" s="12" t="str">
        <f ca="1">VLOOKUP(F43,Table11[[Native]:[Population4]],5,FALSE)</f>
        <v>咸阳市</v>
      </c>
    </row>
    <row r="44" spans="1:7" ht="15.75" thickBot="1" x14ac:dyDescent="0.3">
      <c r="A44" t="s">
        <v>1796</v>
      </c>
      <c r="B44" s="1" t="s">
        <v>1797</v>
      </c>
      <c r="C44" s="1" t="s">
        <v>7</v>
      </c>
      <c r="D44" s="1" t="s">
        <v>1726</v>
      </c>
      <c r="E44" s="9">
        <v>32159</v>
      </c>
      <c r="F44" s="1" t="str">
        <f>VLOOKUP(D44,Table11[[Name]:[Native]],3,FALSE)</f>
        <v>乾县</v>
      </c>
      <c r="G44" s="12" t="str">
        <f ca="1">VLOOKUP(F44,Table11[[Native]:[Population4]],5,FALSE)</f>
        <v>咸阳市</v>
      </c>
    </row>
    <row r="45" spans="1:7" ht="15.75" thickBot="1" x14ac:dyDescent="0.3">
      <c r="A45" t="s">
        <v>1798</v>
      </c>
      <c r="B45" s="1" t="s">
        <v>803</v>
      </c>
      <c r="C45" s="1" t="s">
        <v>7</v>
      </c>
      <c r="D45" s="1" t="s">
        <v>1726</v>
      </c>
      <c r="E45" s="9">
        <v>24901</v>
      </c>
      <c r="F45" s="1" t="str">
        <f>VLOOKUP(D45,Table11[[Name]:[Native]],3,FALSE)</f>
        <v>乾县</v>
      </c>
      <c r="G45" s="12" t="str">
        <f ca="1">VLOOKUP(F45,Table11[[Native]:[Population4]],5,FALSE)</f>
        <v>咸阳市</v>
      </c>
    </row>
    <row r="46" spans="1:7" ht="15.75" thickBot="1" x14ac:dyDescent="0.3">
      <c r="A46" t="s">
        <v>1799</v>
      </c>
      <c r="B46" s="1" t="s">
        <v>1800</v>
      </c>
      <c r="C46" s="1" t="s">
        <v>7</v>
      </c>
      <c r="D46" s="1" t="s">
        <v>1724</v>
      </c>
      <c r="E46" s="9">
        <v>43935</v>
      </c>
      <c r="F46" s="1" t="str">
        <f>VLOOKUP(D46,Table11[[Name]:[Native]],3,FALSE)</f>
        <v>三原县</v>
      </c>
      <c r="G46" s="12" t="str">
        <f ca="1">VLOOKUP(F46,Table11[[Native]:[Population4]],5,FALSE)</f>
        <v>咸阳市</v>
      </c>
    </row>
    <row r="47" spans="1:7" ht="15.75" thickBot="1" x14ac:dyDescent="0.3">
      <c r="A47" t="s">
        <v>1801</v>
      </c>
      <c r="B47" s="1" t="s">
        <v>1802</v>
      </c>
      <c r="C47" s="1" t="s">
        <v>7</v>
      </c>
      <c r="D47" s="1" t="s">
        <v>1726</v>
      </c>
      <c r="E47" s="9">
        <v>21852</v>
      </c>
      <c r="F47" s="1" t="str">
        <f>VLOOKUP(D47,Table11[[Name]:[Native]],3,FALSE)</f>
        <v>乾县</v>
      </c>
      <c r="G47" s="12" t="str">
        <f ca="1">VLOOKUP(F47,Table11[[Native]:[Population4]],5,FALSE)</f>
        <v>咸阳市</v>
      </c>
    </row>
    <row r="48" spans="1:7" ht="15.75" thickBot="1" x14ac:dyDescent="0.3">
      <c r="A48" t="s">
        <v>1803</v>
      </c>
      <c r="B48" s="1" t="s">
        <v>1804</v>
      </c>
      <c r="C48" s="1" t="s">
        <v>7</v>
      </c>
      <c r="D48" s="1" t="s">
        <v>1726</v>
      </c>
      <c r="E48" s="9">
        <v>40017</v>
      </c>
      <c r="F48" s="1" t="str">
        <f>VLOOKUP(D48,Table11[[Name]:[Native]],3,FALSE)</f>
        <v>乾县</v>
      </c>
      <c r="G48" s="12" t="str">
        <f ca="1">VLOOKUP(F48,Table11[[Native]:[Population4]],5,FALSE)</f>
        <v>咸阳市</v>
      </c>
    </row>
    <row r="49" spans="1:7" ht="15.75" thickBot="1" x14ac:dyDescent="0.3">
      <c r="A49" t="s">
        <v>1805</v>
      </c>
      <c r="B49" s="1" t="s">
        <v>1806</v>
      </c>
      <c r="C49" s="1" t="s">
        <v>113</v>
      </c>
      <c r="D49" s="1" t="s">
        <v>1747</v>
      </c>
      <c r="E49" s="9">
        <v>52514</v>
      </c>
      <c r="F49" s="1" t="str">
        <f>VLOOKUP(D49,Table11[[Name]:[Native]],3,FALSE)</f>
        <v>杨陵区</v>
      </c>
      <c r="G49" s="12" t="str">
        <f ca="1">VLOOKUP(F49,Table11[[Native]:[Population4]],5,FALSE)</f>
        <v>咸阳市</v>
      </c>
    </row>
    <row r="50" spans="1:7" ht="15.75" thickBot="1" x14ac:dyDescent="0.3">
      <c r="A50" t="s">
        <v>1807</v>
      </c>
      <c r="B50" s="1" t="s">
        <v>1808</v>
      </c>
      <c r="C50" s="1" t="s">
        <v>7</v>
      </c>
      <c r="D50" s="1" t="s">
        <v>1716</v>
      </c>
      <c r="E50" s="9">
        <v>28358</v>
      </c>
      <c r="F50" s="1" t="str">
        <f>VLOOKUP(D50,Table11[[Name]:[Native]],3,FALSE)</f>
        <v>彬州市</v>
      </c>
      <c r="G50" s="12" t="str">
        <f ca="1">VLOOKUP(F50,Table11[[Native]:[Population4]],5,FALSE)</f>
        <v>咸阳市</v>
      </c>
    </row>
    <row r="51" spans="1:7" ht="15.75" thickBot="1" x14ac:dyDescent="0.3">
      <c r="A51" t="s">
        <v>1809</v>
      </c>
      <c r="B51" s="1" t="s">
        <v>1810</v>
      </c>
      <c r="C51" s="1" t="s">
        <v>7</v>
      </c>
      <c r="D51" s="1" t="s">
        <v>1724</v>
      </c>
      <c r="E51" s="9">
        <v>24871</v>
      </c>
      <c r="F51" s="1" t="str">
        <f>VLOOKUP(D51,Table11[[Name]:[Native]],3,FALSE)</f>
        <v>三原县</v>
      </c>
      <c r="G51" s="12" t="str">
        <f ca="1">VLOOKUP(F51,Table11[[Native]:[Population4]],5,FALSE)</f>
        <v>咸阳市</v>
      </c>
    </row>
    <row r="52" spans="1:7" ht="15.75" thickBot="1" x14ac:dyDescent="0.3">
      <c r="A52" t="s">
        <v>1811</v>
      </c>
      <c r="B52" s="1" t="s">
        <v>1812</v>
      </c>
      <c r="C52" s="1" t="s">
        <v>7</v>
      </c>
      <c r="D52" s="1" t="s">
        <v>1719</v>
      </c>
      <c r="E52" s="9">
        <v>26072</v>
      </c>
      <c r="F52" s="1" t="str">
        <f>VLOOKUP(D52,Table11[[Name]:[Native]],3,FALSE)</f>
        <v>永寿县</v>
      </c>
      <c r="G52" s="12" t="str">
        <f ca="1">VLOOKUP(F52,Table11[[Native]:[Population4]],5,FALSE)</f>
        <v>咸阳市</v>
      </c>
    </row>
    <row r="53" spans="1:7" ht="15.75" thickBot="1" x14ac:dyDescent="0.3">
      <c r="A53" t="s">
        <v>1813</v>
      </c>
      <c r="B53" s="1" t="s">
        <v>1814</v>
      </c>
      <c r="C53" s="1" t="s">
        <v>7</v>
      </c>
      <c r="D53" s="1" t="s">
        <v>1729</v>
      </c>
      <c r="E53" s="9">
        <v>12608</v>
      </c>
      <c r="F53" s="1" t="str">
        <f>VLOOKUP(D53,Table11[[Name]:[Native]],3,FALSE)</f>
        <v>旬邑县</v>
      </c>
      <c r="G53" s="12" t="str">
        <f ca="1">VLOOKUP(F53,Table11[[Native]:[Population4]],5,FALSE)</f>
        <v>咸阳市</v>
      </c>
    </row>
    <row r="54" spans="1:7" ht="15.75" thickBot="1" x14ac:dyDescent="0.3">
      <c r="A54" t="s">
        <v>1815</v>
      </c>
      <c r="B54" s="1" t="s">
        <v>1816</v>
      </c>
      <c r="C54" s="1" t="s">
        <v>7</v>
      </c>
      <c r="D54" s="1" t="s">
        <v>1726</v>
      </c>
      <c r="E54" s="9">
        <v>26192</v>
      </c>
      <c r="F54" s="1" t="str">
        <f>VLOOKUP(D54,Table11[[Name]:[Native]],3,FALSE)</f>
        <v>乾县</v>
      </c>
      <c r="G54" s="12" t="str">
        <f ca="1">VLOOKUP(F54,Table11[[Native]:[Population4]],5,FALSE)</f>
        <v>咸阳市</v>
      </c>
    </row>
    <row r="55" spans="1:7" ht="15.75" thickBot="1" x14ac:dyDescent="0.3">
      <c r="A55" t="s">
        <v>1817</v>
      </c>
      <c r="B55" s="1" t="s">
        <v>1818</v>
      </c>
      <c r="C55" s="1" t="s">
        <v>113</v>
      </c>
      <c r="D55" s="1" t="s">
        <v>1781</v>
      </c>
      <c r="E55" s="9">
        <v>22579</v>
      </c>
      <c r="F55" s="1" t="str">
        <f>VLOOKUP(D55,Table11[[Name]:[Native]],3,FALSE)</f>
        <v>秦都区</v>
      </c>
      <c r="G55" s="12" t="str">
        <f ca="1">VLOOKUP(F55,Table11[[Native]:[Population4]],5,FALSE)</f>
        <v>咸阳市</v>
      </c>
    </row>
    <row r="56" spans="1:7" ht="15.75" thickBot="1" x14ac:dyDescent="0.3">
      <c r="A56" t="s">
        <v>1819</v>
      </c>
      <c r="B56" s="1" t="s">
        <v>1820</v>
      </c>
      <c r="C56" s="1" t="s">
        <v>113</v>
      </c>
      <c r="D56" s="1" t="s">
        <v>1754</v>
      </c>
      <c r="E56" s="9">
        <v>32115</v>
      </c>
      <c r="F56" s="1" t="str">
        <f>VLOOKUP(D56,Table11[[Name]:[Native]],3,FALSE)</f>
        <v>兴平市</v>
      </c>
      <c r="G56" s="12" t="str">
        <f ca="1">VLOOKUP(F56,Table11[[Native]:[Population4]],5,FALSE)</f>
        <v>咸阳市</v>
      </c>
    </row>
    <row r="57" spans="1:7" ht="15.75" thickBot="1" x14ac:dyDescent="0.3">
      <c r="A57" t="s">
        <v>1821</v>
      </c>
      <c r="B57" s="1" t="s">
        <v>1822</v>
      </c>
      <c r="C57" s="1" t="s">
        <v>113</v>
      </c>
      <c r="D57" s="1" t="s">
        <v>1781</v>
      </c>
      <c r="E57" s="9">
        <v>27022</v>
      </c>
      <c r="F57" s="1" t="str">
        <f>VLOOKUP(D57,Table11[[Name]:[Native]],3,FALSE)</f>
        <v>秦都区</v>
      </c>
      <c r="G57" s="12" t="str">
        <f ca="1">VLOOKUP(F57,Table11[[Native]:[Population4]],5,FALSE)</f>
        <v>咸阳市</v>
      </c>
    </row>
    <row r="58" spans="1:7" ht="15.75" thickBot="1" x14ac:dyDescent="0.3">
      <c r="A58" t="s">
        <v>1823</v>
      </c>
      <c r="B58" s="1" t="s">
        <v>1824</v>
      </c>
      <c r="C58" s="1" t="s">
        <v>7</v>
      </c>
      <c r="D58" s="1" t="s">
        <v>1728</v>
      </c>
      <c r="E58" s="9">
        <v>22654</v>
      </c>
      <c r="F58" s="1" t="str">
        <f>VLOOKUP(D58,Table11[[Name]:[Native]],3,FALSE)</f>
        <v>礼泉县</v>
      </c>
      <c r="G58" s="12" t="str">
        <f ca="1">VLOOKUP(F58,Table11[[Native]:[Population4]],5,FALSE)</f>
        <v>咸阳市</v>
      </c>
    </row>
    <row r="59" spans="1:7" ht="15.75" thickBot="1" x14ac:dyDescent="0.3">
      <c r="A59" t="s">
        <v>1825</v>
      </c>
      <c r="B59" s="1" t="s">
        <v>1826</v>
      </c>
      <c r="C59" s="1" t="s">
        <v>7</v>
      </c>
      <c r="D59" s="1" t="s">
        <v>1754</v>
      </c>
      <c r="E59" s="9">
        <v>33631</v>
      </c>
      <c r="F59" s="1" t="str">
        <f>VLOOKUP(D59,Table11[[Name]:[Native]],3,FALSE)</f>
        <v>兴平市</v>
      </c>
      <c r="G59" s="12" t="str">
        <f ca="1">VLOOKUP(F59,Table11[[Native]:[Population4]],5,FALSE)</f>
        <v>咸阳市</v>
      </c>
    </row>
    <row r="60" spans="1:7" ht="15.75" thickBot="1" x14ac:dyDescent="0.3">
      <c r="A60" t="s">
        <v>1827</v>
      </c>
      <c r="B60" s="1" t="s">
        <v>1828</v>
      </c>
      <c r="C60" s="1" t="s">
        <v>7</v>
      </c>
      <c r="D60" s="1" t="s">
        <v>1759</v>
      </c>
      <c r="E60" s="9">
        <v>15224</v>
      </c>
      <c r="F60" s="1" t="str">
        <f>VLOOKUP(D60,Table11[[Name]:[Native]],3,FALSE)</f>
        <v>长武县</v>
      </c>
      <c r="G60" s="12" t="str">
        <f ca="1">VLOOKUP(F60,Table11[[Native]:[Population4]],5,FALSE)</f>
        <v>咸阳市</v>
      </c>
    </row>
    <row r="61" spans="1:7" ht="15.75" thickBot="1" x14ac:dyDescent="0.3">
      <c r="A61" t="s">
        <v>1829</v>
      </c>
      <c r="B61" s="1" t="s">
        <v>1830</v>
      </c>
      <c r="C61" s="1" t="s">
        <v>7</v>
      </c>
      <c r="D61" s="1" t="s">
        <v>1724</v>
      </c>
      <c r="E61" s="9">
        <v>43086</v>
      </c>
      <c r="F61" s="1" t="str">
        <f>VLOOKUP(D61,Table11[[Name]:[Native]],3,FALSE)</f>
        <v>三原县</v>
      </c>
      <c r="G61" s="12" t="str">
        <f ca="1">VLOOKUP(F61,Table11[[Native]:[Population4]],5,FALSE)</f>
        <v>咸阳市</v>
      </c>
    </row>
    <row r="62" spans="1:7" ht="15.75" thickBot="1" x14ac:dyDescent="0.3">
      <c r="A62" t="s">
        <v>1831</v>
      </c>
      <c r="B62" s="1" t="s">
        <v>1832</v>
      </c>
      <c r="C62" s="1" t="s">
        <v>113</v>
      </c>
      <c r="D62" s="1" t="s">
        <v>1722</v>
      </c>
      <c r="E62" s="9">
        <v>87464</v>
      </c>
      <c r="F62" s="1" t="str">
        <f>VLOOKUP(D62,Table11[[Name]:[Native]],3,FALSE)</f>
        <v>武功县</v>
      </c>
      <c r="G62" s="12" t="str">
        <f ca="1">VLOOKUP(F62,Table11[[Native]:[Population4]],5,FALSE)</f>
        <v>咸阳市</v>
      </c>
    </row>
    <row r="63" spans="1:7" ht="15.75" thickBot="1" x14ac:dyDescent="0.3">
      <c r="A63" t="s">
        <v>1833</v>
      </c>
      <c r="B63" s="1" t="s">
        <v>1834</v>
      </c>
      <c r="C63" s="1" t="s">
        <v>7</v>
      </c>
      <c r="D63" s="1" t="s">
        <v>1728</v>
      </c>
      <c r="E63" s="9">
        <v>30862</v>
      </c>
      <c r="F63" s="1" t="str">
        <f>VLOOKUP(D63,Table11[[Name]:[Native]],3,FALSE)</f>
        <v>礼泉县</v>
      </c>
      <c r="G63" s="12" t="str">
        <f ca="1">VLOOKUP(F63,Table11[[Native]:[Population4]],5,FALSE)</f>
        <v>咸阳市</v>
      </c>
    </row>
    <row r="64" spans="1:7" ht="15.75" thickBot="1" x14ac:dyDescent="0.3">
      <c r="A64" t="s">
        <v>1835</v>
      </c>
      <c r="B64" s="1" t="s">
        <v>1836</v>
      </c>
      <c r="C64" s="1" t="s">
        <v>7</v>
      </c>
      <c r="D64" s="1" t="s">
        <v>1713</v>
      </c>
      <c r="E64" s="9">
        <v>28920</v>
      </c>
      <c r="F64" s="1" t="str">
        <f>VLOOKUP(D64,Table11[[Name]:[Native]],3,FALSE)</f>
        <v>泾阳县</v>
      </c>
      <c r="G64" s="12" t="str">
        <f ca="1">VLOOKUP(F64,Table11[[Native]:[Population4]],5,FALSE)</f>
        <v>咸阳市</v>
      </c>
    </row>
    <row r="65" spans="1:7" ht="15.75" thickBot="1" x14ac:dyDescent="0.3">
      <c r="A65" t="s">
        <v>1837</v>
      </c>
      <c r="B65" s="1" t="s">
        <v>1838</v>
      </c>
      <c r="C65" s="1" t="s">
        <v>7</v>
      </c>
      <c r="D65" s="1" t="s">
        <v>1729</v>
      </c>
      <c r="E65" s="9">
        <v>10087</v>
      </c>
      <c r="F65" s="1" t="str">
        <f>VLOOKUP(D65,Table11[[Name]:[Native]],3,FALSE)</f>
        <v>旬邑县</v>
      </c>
      <c r="G65" s="12" t="str">
        <f ca="1">VLOOKUP(F65,Table11[[Native]:[Population4]],5,FALSE)</f>
        <v>咸阳市</v>
      </c>
    </row>
    <row r="66" spans="1:7" ht="15.75" thickBot="1" x14ac:dyDescent="0.3">
      <c r="A66" t="s">
        <v>1839</v>
      </c>
      <c r="B66" s="1" t="s">
        <v>1840</v>
      </c>
      <c r="C66" s="1" t="s">
        <v>7</v>
      </c>
      <c r="D66" s="1" t="s">
        <v>1729</v>
      </c>
      <c r="E66" s="9">
        <v>22495</v>
      </c>
      <c r="F66" s="1" t="str">
        <f>VLOOKUP(D66,Table11[[Name]:[Native]],3,FALSE)</f>
        <v>旬邑县</v>
      </c>
      <c r="G66" s="12" t="str">
        <f ca="1">VLOOKUP(F66,Table11[[Native]:[Population4]],5,FALSE)</f>
        <v>咸阳市</v>
      </c>
    </row>
    <row r="67" spans="1:7" ht="15.75" thickBot="1" x14ac:dyDescent="0.3">
      <c r="A67" t="s">
        <v>1841</v>
      </c>
      <c r="B67" s="1" t="s">
        <v>1842</v>
      </c>
      <c r="C67" s="1" t="s">
        <v>7</v>
      </c>
      <c r="D67" s="1" t="s">
        <v>1724</v>
      </c>
      <c r="E67" s="9">
        <v>30928</v>
      </c>
      <c r="F67" s="1" t="str">
        <f>VLOOKUP(D67,Table11[[Name]:[Native]],3,FALSE)</f>
        <v>三原县</v>
      </c>
      <c r="G67" s="12" t="str">
        <f ca="1">VLOOKUP(F67,Table11[[Native]:[Population4]],5,FALSE)</f>
        <v>咸阳市</v>
      </c>
    </row>
    <row r="68" spans="1:7" ht="15.75" thickBot="1" x14ac:dyDescent="0.3">
      <c r="A68" t="s">
        <v>1843</v>
      </c>
      <c r="B68" s="1" t="s">
        <v>1844</v>
      </c>
      <c r="C68" s="1" t="s">
        <v>7</v>
      </c>
      <c r="D68" s="1" t="s">
        <v>1719</v>
      </c>
      <c r="E68" s="9">
        <v>13971</v>
      </c>
      <c r="F68" s="1" t="str">
        <f>VLOOKUP(D68,Table11[[Name]:[Native]],3,FALSE)</f>
        <v>永寿县</v>
      </c>
      <c r="G68" s="12" t="str">
        <f ca="1">VLOOKUP(F68,Table11[[Native]:[Population4]],5,FALSE)</f>
        <v>咸阳市</v>
      </c>
    </row>
    <row r="69" spans="1:7" ht="15.75" thickBot="1" x14ac:dyDescent="0.3">
      <c r="A69" t="s">
        <v>1845</v>
      </c>
      <c r="B69" s="1" t="s">
        <v>1846</v>
      </c>
      <c r="C69" s="1" t="s">
        <v>113</v>
      </c>
      <c r="D69" s="1" t="s">
        <v>1781</v>
      </c>
      <c r="E69" s="9">
        <v>36638</v>
      </c>
      <c r="F69" s="1" t="str">
        <f>VLOOKUP(D69,Table11[[Name]:[Native]],3,FALSE)</f>
        <v>秦都区</v>
      </c>
      <c r="G69" s="12" t="str">
        <f ca="1">VLOOKUP(F69,Table11[[Native]:[Population4]],5,FALSE)</f>
        <v>咸阳市</v>
      </c>
    </row>
    <row r="70" spans="1:7" ht="15.75" thickBot="1" x14ac:dyDescent="0.3">
      <c r="A70" t="s">
        <v>1847</v>
      </c>
      <c r="B70" s="1" t="s">
        <v>1848</v>
      </c>
      <c r="C70" s="1" t="s">
        <v>7</v>
      </c>
      <c r="D70" s="1" t="s">
        <v>1747</v>
      </c>
      <c r="E70" s="9">
        <v>31261</v>
      </c>
      <c r="F70" s="1" t="str">
        <f>VLOOKUP(D70,Table11[[Name]:[Native]],3,FALSE)</f>
        <v>杨陵区</v>
      </c>
      <c r="G70" s="12" t="str">
        <f ca="1">VLOOKUP(F70,Table11[[Native]:[Population4]],5,FALSE)</f>
        <v>咸阳市</v>
      </c>
    </row>
    <row r="71" spans="1:7" ht="15.75" thickBot="1" x14ac:dyDescent="0.3">
      <c r="A71" t="s">
        <v>1849</v>
      </c>
      <c r="B71" s="1" t="s">
        <v>1850</v>
      </c>
      <c r="C71" s="1" t="s">
        <v>7</v>
      </c>
      <c r="D71" s="1" t="s">
        <v>1730</v>
      </c>
      <c r="E71" s="9">
        <v>25828</v>
      </c>
      <c r="F71" s="1" t="str">
        <f>VLOOKUP(D71,Table11[[Name]:[Native]],3,FALSE)</f>
        <v>淳化县</v>
      </c>
      <c r="G71" s="12" t="str">
        <f ca="1">VLOOKUP(F71,Table11[[Native]:[Population4]],5,FALSE)</f>
        <v>咸阳市</v>
      </c>
    </row>
    <row r="72" spans="1:7" ht="15.75" thickBot="1" x14ac:dyDescent="0.3">
      <c r="A72" t="s">
        <v>1851</v>
      </c>
      <c r="B72" s="1" t="s">
        <v>1852</v>
      </c>
      <c r="C72" s="1" t="s">
        <v>7</v>
      </c>
      <c r="D72" s="1" t="s">
        <v>1754</v>
      </c>
      <c r="E72" s="9">
        <v>26083</v>
      </c>
      <c r="F72" s="1" t="str">
        <f>VLOOKUP(D72,Table11[[Name]:[Native]],3,FALSE)</f>
        <v>兴平市</v>
      </c>
      <c r="G72" s="12" t="str">
        <f ca="1">VLOOKUP(F72,Table11[[Native]:[Population4]],5,FALSE)</f>
        <v>咸阳市</v>
      </c>
    </row>
    <row r="73" spans="1:7" ht="15.75" thickBot="1" x14ac:dyDescent="0.3">
      <c r="A73" t="s">
        <v>1853</v>
      </c>
      <c r="B73" s="1" t="s">
        <v>1854</v>
      </c>
      <c r="C73" s="1" t="s">
        <v>7</v>
      </c>
      <c r="D73" s="1" t="s">
        <v>1713</v>
      </c>
      <c r="E73" s="9">
        <v>39000</v>
      </c>
      <c r="F73" s="1" t="str">
        <f>VLOOKUP(D73,Table11[[Name]:[Native]],3,FALSE)</f>
        <v>泾阳县</v>
      </c>
      <c r="G73" s="12" t="str">
        <f ca="1">VLOOKUP(F73,Table11[[Native]:[Population4]],5,FALSE)</f>
        <v>咸阳市</v>
      </c>
    </row>
    <row r="74" spans="1:7" ht="15.75" thickBot="1" x14ac:dyDescent="0.3">
      <c r="A74" t="s">
        <v>1855</v>
      </c>
      <c r="B74" s="1" t="s">
        <v>1856</v>
      </c>
      <c r="C74" s="1" t="s">
        <v>7</v>
      </c>
      <c r="D74" s="1" t="s">
        <v>1728</v>
      </c>
      <c r="E74" s="9">
        <v>36633</v>
      </c>
      <c r="F74" s="1" t="str">
        <f>VLOOKUP(D74,Table11[[Name]:[Native]],3,FALSE)</f>
        <v>礼泉县</v>
      </c>
      <c r="G74" s="12" t="str">
        <f ca="1">VLOOKUP(F74,Table11[[Native]:[Population4]],5,FALSE)</f>
        <v>咸阳市</v>
      </c>
    </row>
    <row r="75" spans="1:7" ht="15.75" thickBot="1" x14ac:dyDescent="0.3">
      <c r="A75" t="s">
        <v>1857</v>
      </c>
      <c r="B75" s="1" t="s">
        <v>1858</v>
      </c>
      <c r="C75" s="1" t="s">
        <v>7</v>
      </c>
      <c r="D75" s="1" t="s">
        <v>1730</v>
      </c>
      <c r="E75" s="9">
        <v>29592</v>
      </c>
      <c r="F75" s="1" t="str">
        <f>VLOOKUP(D75,Table11[[Name]:[Native]],3,FALSE)</f>
        <v>淳化县</v>
      </c>
      <c r="G75" s="12" t="str">
        <f ca="1">VLOOKUP(F75,Table11[[Native]:[Population4]],5,FALSE)</f>
        <v>咸阳市</v>
      </c>
    </row>
    <row r="76" spans="1:7" ht="15.75" thickBot="1" x14ac:dyDescent="0.3">
      <c r="A76" t="s">
        <v>1859</v>
      </c>
      <c r="B76" s="1" t="s">
        <v>1860</v>
      </c>
      <c r="C76" s="1" t="s">
        <v>7</v>
      </c>
      <c r="D76" s="1" t="s">
        <v>1730</v>
      </c>
      <c r="E76" s="9">
        <v>14503</v>
      </c>
      <c r="F76" s="1" t="str">
        <f>VLOOKUP(D76,Table11[[Name]:[Native]],3,FALSE)</f>
        <v>淳化县</v>
      </c>
      <c r="G76" s="12" t="str">
        <f ca="1">VLOOKUP(F76,Table11[[Native]:[Population4]],5,FALSE)</f>
        <v>咸阳市</v>
      </c>
    </row>
    <row r="77" spans="1:7" ht="15.75" thickBot="1" x14ac:dyDescent="0.3">
      <c r="A77" t="s">
        <v>1861</v>
      </c>
      <c r="B77" s="1" t="s">
        <v>1862</v>
      </c>
      <c r="C77" s="1" t="s">
        <v>7</v>
      </c>
      <c r="D77" s="1" t="s">
        <v>1728</v>
      </c>
      <c r="E77" s="9">
        <v>24135</v>
      </c>
      <c r="F77" s="1" t="str">
        <f>VLOOKUP(D77,Table11[[Name]:[Native]],3,FALSE)</f>
        <v>礼泉县</v>
      </c>
      <c r="G77" s="12" t="str">
        <f ca="1">VLOOKUP(F77,Table11[[Native]:[Population4]],5,FALSE)</f>
        <v>咸阳市</v>
      </c>
    </row>
    <row r="78" spans="1:7" ht="15.75" thickBot="1" x14ac:dyDescent="0.3">
      <c r="A78" t="s">
        <v>1863</v>
      </c>
      <c r="B78" s="1" t="s">
        <v>1864</v>
      </c>
      <c r="C78" s="1" t="s">
        <v>7</v>
      </c>
      <c r="D78" s="1" t="s">
        <v>1716</v>
      </c>
      <c r="E78" s="9">
        <v>25407</v>
      </c>
      <c r="F78" s="1" t="str">
        <f>VLOOKUP(D78,Table11[[Name]:[Native]],3,FALSE)</f>
        <v>彬州市</v>
      </c>
      <c r="G78" s="12" t="str">
        <f ca="1">VLOOKUP(F78,Table11[[Native]:[Population4]],5,FALSE)</f>
        <v>咸阳市</v>
      </c>
    </row>
    <row r="79" spans="1:7" ht="15.75" thickBot="1" x14ac:dyDescent="0.3">
      <c r="A79" t="s">
        <v>1614</v>
      </c>
      <c r="B79" s="1" t="s">
        <v>1615</v>
      </c>
      <c r="C79" s="1" t="s">
        <v>7</v>
      </c>
      <c r="D79" s="1" t="s">
        <v>1722</v>
      </c>
      <c r="E79" s="9">
        <v>26829</v>
      </c>
      <c r="F79" s="1" t="str">
        <f>VLOOKUP(D79,Table11[[Name]:[Native]],3,FALSE)</f>
        <v>武功县</v>
      </c>
      <c r="G79" s="12" t="str">
        <f ca="1">VLOOKUP(F79,Table11[[Native]:[Population4]],5,FALSE)</f>
        <v>咸阳市</v>
      </c>
    </row>
    <row r="80" spans="1:7" ht="15.75" thickBot="1" x14ac:dyDescent="0.3">
      <c r="A80" t="s">
        <v>1865</v>
      </c>
      <c r="B80" s="1" t="s">
        <v>1866</v>
      </c>
      <c r="C80" s="1" t="s">
        <v>7</v>
      </c>
      <c r="D80" s="1" t="s">
        <v>1729</v>
      </c>
      <c r="E80" s="9">
        <v>45436</v>
      </c>
      <c r="F80" s="1" t="str">
        <f>VLOOKUP(D80,Table11[[Name]:[Native]],3,FALSE)</f>
        <v>旬邑县</v>
      </c>
      <c r="G80" s="12" t="str">
        <f ca="1">VLOOKUP(F80,Table11[[Native]:[Population4]],5,FALSE)</f>
        <v>咸阳市</v>
      </c>
    </row>
    <row r="81" spans="1:7" ht="15.75" thickBot="1" x14ac:dyDescent="0.3">
      <c r="A81" t="s">
        <v>1867</v>
      </c>
      <c r="B81" s="1" t="s">
        <v>1868</v>
      </c>
      <c r="C81" s="1" t="s">
        <v>7</v>
      </c>
      <c r="D81" s="1" t="s">
        <v>1716</v>
      </c>
      <c r="E81" s="9">
        <v>11513</v>
      </c>
      <c r="F81" s="1" t="str">
        <f>VLOOKUP(D81,Table11[[Name]:[Native]],3,FALSE)</f>
        <v>彬州市</v>
      </c>
      <c r="G81" s="12" t="str">
        <f ca="1">VLOOKUP(F81,Table11[[Native]:[Population4]],5,FALSE)</f>
        <v>咸阳市</v>
      </c>
    </row>
    <row r="82" spans="1:7" ht="15.75" thickBot="1" x14ac:dyDescent="0.3">
      <c r="A82" t="s">
        <v>1869</v>
      </c>
      <c r="B82" s="1" t="s">
        <v>1870</v>
      </c>
      <c r="C82" s="1" t="s">
        <v>7</v>
      </c>
      <c r="D82" s="1" t="s">
        <v>1754</v>
      </c>
      <c r="E82" s="9">
        <v>26739</v>
      </c>
      <c r="F82" s="1" t="str">
        <f>VLOOKUP(D82,Table11[[Name]:[Native]],3,FALSE)</f>
        <v>兴平市</v>
      </c>
      <c r="G82" s="12" t="str">
        <f ca="1">VLOOKUP(F82,Table11[[Native]:[Population4]],5,FALSE)</f>
        <v>咸阳市</v>
      </c>
    </row>
    <row r="83" spans="1:7" ht="15.75" thickBot="1" x14ac:dyDescent="0.3">
      <c r="A83" t="s">
        <v>1871</v>
      </c>
      <c r="B83" s="1" t="s">
        <v>1872</v>
      </c>
      <c r="C83" s="1" t="s">
        <v>7</v>
      </c>
      <c r="D83" s="1" t="s">
        <v>1730</v>
      </c>
      <c r="E83" s="9">
        <v>15202</v>
      </c>
      <c r="F83" s="1" t="str">
        <f>VLOOKUP(D83,Table11[[Name]:[Native]],3,FALSE)</f>
        <v>淳化县</v>
      </c>
      <c r="G83" s="12" t="str">
        <f ca="1">VLOOKUP(F83,Table11[[Native]:[Population4]],5,FALSE)</f>
        <v>咸阳市</v>
      </c>
    </row>
    <row r="84" spans="1:7" ht="15.75" thickBot="1" x14ac:dyDescent="0.3">
      <c r="A84" t="s">
        <v>1873</v>
      </c>
      <c r="B84" s="1" t="s">
        <v>1874</v>
      </c>
      <c r="C84" s="1" t="s">
        <v>7</v>
      </c>
      <c r="D84" s="1" t="s">
        <v>1759</v>
      </c>
      <c r="E84" s="9">
        <v>31110</v>
      </c>
      <c r="F84" s="1" t="str">
        <f>VLOOKUP(D84,Table11[[Name]:[Native]],3,FALSE)</f>
        <v>长武县</v>
      </c>
      <c r="G84" s="12" t="str">
        <f ca="1">VLOOKUP(F84,Table11[[Native]:[Population4]],5,FALSE)</f>
        <v>咸阳市</v>
      </c>
    </row>
    <row r="85" spans="1:7" ht="15.75" thickBot="1" x14ac:dyDescent="0.3">
      <c r="A85" t="s">
        <v>1875</v>
      </c>
      <c r="B85" s="1" t="s">
        <v>1876</v>
      </c>
      <c r="C85" s="1" t="s">
        <v>7</v>
      </c>
      <c r="D85" s="1" t="s">
        <v>1729</v>
      </c>
      <c r="E85" s="9">
        <v>44575</v>
      </c>
      <c r="F85" s="1" t="str">
        <f>VLOOKUP(D85,Table11[[Name]:[Native]],3,FALSE)</f>
        <v>旬邑县</v>
      </c>
      <c r="G85" s="12" t="str">
        <f ca="1">VLOOKUP(F85,Table11[[Native]:[Population4]],5,FALSE)</f>
        <v>咸阳市</v>
      </c>
    </row>
    <row r="86" spans="1:7" ht="15.75" thickBot="1" x14ac:dyDescent="0.3">
      <c r="A86" t="s">
        <v>1630</v>
      </c>
      <c r="B86" s="1" t="s">
        <v>1631</v>
      </c>
      <c r="C86" s="1" t="s">
        <v>7</v>
      </c>
      <c r="D86" s="1" t="s">
        <v>1726</v>
      </c>
      <c r="E86" s="9">
        <v>28173</v>
      </c>
      <c r="F86" s="1" t="str">
        <f>VLOOKUP(D86,Table11[[Name]:[Native]],3,FALSE)</f>
        <v>乾县</v>
      </c>
      <c r="G86" s="12" t="str">
        <f ca="1">VLOOKUP(F86,Table11[[Native]:[Population4]],5,FALSE)</f>
        <v>咸阳市</v>
      </c>
    </row>
    <row r="87" spans="1:7" ht="15.75" thickBot="1" x14ac:dyDescent="0.3">
      <c r="A87" t="s">
        <v>1877</v>
      </c>
      <c r="B87" s="1" t="s">
        <v>1878</v>
      </c>
      <c r="C87" s="1" t="s">
        <v>7</v>
      </c>
      <c r="D87" s="1" t="s">
        <v>1713</v>
      </c>
      <c r="E87" s="9">
        <v>24982</v>
      </c>
      <c r="F87" s="1" t="str">
        <f>VLOOKUP(D87,Table11[[Name]:[Native]],3,FALSE)</f>
        <v>泾阳县</v>
      </c>
      <c r="G87" s="12" t="str">
        <f ca="1">VLOOKUP(F87,Table11[[Native]:[Population4]],5,FALSE)</f>
        <v>咸阳市</v>
      </c>
    </row>
    <row r="88" spans="1:7" ht="15.75" thickBot="1" x14ac:dyDescent="0.3">
      <c r="A88" t="s">
        <v>1879</v>
      </c>
      <c r="B88" s="1" t="s">
        <v>1880</v>
      </c>
      <c r="C88" s="1" t="s">
        <v>113</v>
      </c>
      <c r="D88" s="1" t="s">
        <v>1781</v>
      </c>
      <c r="E88" s="9">
        <v>49837</v>
      </c>
      <c r="F88" s="1" t="str">
        <f>VLOOKUP(D88,Table11[[Name]:[Native]],3,FALSE)</f>
        <v>秦都区</v>
      </c>
      <c r="G88" s="12" t="str">
        <f ca="1">VLOOKUP(F88,Table11[[Native]:[Population4]],5,FALSE)</f>
        <v>咸阳市</v>
      </c>
    </row>
    <row r="89" spans="1:7" ht="15.75" thickBot="1" x14ac:dyDescent="0.3">
      <c r="A89" t="s">
        <v>1881</v>
      </c>
      <c r="B89" s="1" t="s">
        <v>1882</v>
      </c>
      <c r="C89" s="1" t="s">
        <v>113</v>
      </c>
      <c r="D89" s="1" t="s">
        <v>1883</v>
      </c>
      <c r="E89" s="9">
        <v>105830</v>
      </c>
      <c r="F89" s="1" t="str">
        <f>VLOOKUP(D89,Table11[[Name]:[Native]],3,FALSE)</f>
        <v>渭城区</v>
      </c>
      <c r="G89" s="12" t="str">
        <f ca="1">VLOOKUP(F89,Table11[[Native]:[Population4]],5,FALSE)</f>
        <v>咸阳市</v>
      </c>
    </row>
    <row r="90" spans="1:7" ht="15.75" thickBot="1" x14ac:dyDescent="0.3">
      <c r="A90" t="s">
        <v>1884</v>
      </c>
      <c r="B90" s="1" t="s">
        <v>1885</v>
      </c>
      <c r="C90" s="1" t="s">
        <v>113</v>
      </c>
      <c r="D90" s="1" t="s">
        <v>1781</v>
      </c>
      <c r="E90" s="9">
        <v>75832</v>
      </c>
      <c r="F90" s="1" t="str">
        <f>VLOOKUP(D90,Table11[[Name]:[Native]],3,FALSE)</f>
        <v>秦都区</v>
      </c>
      <c r="G90" s="12" t="str">
        <f ca="1">VLOOKUP(F90,Table11[[Native]:[Population4]],5,FALSE)</f>
        <v>咸阳市</v>
      </c>
    </row>
    <row r="91" spans="1:7" ht="15.75" thickBot="1" x14ac:dyDescent="0.3">
      <c r="A91" t="s">
        <v>1886</v>
      </c>
      <c r="B91" s="1" t="s">
        <v>1887</v>
      </c>
      <c r="C91" s="1" t="s">
        <v>113</v>
      </c>
      <c r="D91" s="1" t="s">
        <v>1883</v>
      </c>
      <c r="E91" s="9">
        <v>76473</v>
      </c>
      <c r="F91" s="1" t="str">
        <f>VLOOKUP(D91,Table11[[Name]:[Native]],3,FALSE)</f>
        <v>渭城区</v>
      </c>
      <c r="G91" s="12" t="str">
        <f ca="1">VLOOKUP(F91,Table11[[Native]:[Population4]],5,FALSE)</f>
        <v>咸阳市</v>
      </c>
    </row>
    <row r="92" spans="1:7" ht="15.75" thickBot="1" x14ac:dyDescent="0.3">
      <c r="A92" t="s">
        <v>1888</v>
      </c>
      <c r="B92" s="1" t="s">
        <v>1889</v>
      </c>
      <c r="C92" s="1" t="s">
        <v>7</v>
      </c>
      <c r="D92" s="1" t="s">
        <v>1722</v>
      </c>
      <c r="E92" s="9">
        <v>43512</v>
      </c>
      <c r="F92" s="1" t="str">
        <f>VLOOKUP(D92,Table11[[Name]:[Native]],3,FALSE)</f>
        <v>武功县</v>
      </c>
      <c r="G92" s="12" t="str">
        <f ca="1">VLOOKUP(F92,Table11[[Native]:[Population4]],5,FALSE)</f>
        <v>咸阳市</v>
      </c>
    </row>
    <row r="93" spans="1:7" ht="15.75" thickBot="1" x14ac:dyDescent="0.3">
      <c r="A93" t="s">
        <v>1890</v>
      </c>
      <c r="B93" s="1" t="s">
        <v>1891</v>
      </c>
      <c r="C93" s="1" t="s">
        <v>113</v>
      </c>
      <c r="D93" s="1" t="s">
        <v>1781</v>
      </c>
      <c r="E93" s="9">
        <v>32340</v>
      </c>
      <c r="F93" s="1" t="str">
        <f>VLOOKUP(D93,Table11[[Name]:[Native]],3,FALSE)</f>
        <v>秦都区</v>
      </c>
      <c r="G93" s="12" t="str">
        <f ca="1">VLOOKUP(F93,Table11[[Native]:[Population4]],5,FALSE)</f>
        <v>咸阳市</v>
      </c>
    </row>
    <row r="94" spans="1:7" ht="15.75" thickBot="1" x14ac:dyDescent="0.3">
      <c r="A94" t="s">
        <v>1892</v>
      </c>
      <c r="B94" s="1" t="s">
        <v>1893</v>
      </c>
      <c r="C94" s="1" t="s">
        <v>7</v>
      </c>
      <c r="D94" s="1" t="s">
        <v>1747</v>
      </c>
      <c r="E94" s="9">
        <v>19010</v>
      </c>
      <c r="F94" s="1" t="str">
        <f>VLOOKUP(D94,Table11[[Name]:[Native]],3,FALSE)</f>
        <v>杨陵区</v>
      </c>
      <c r="G94" s="12" t="str">
        <f ca="1">VLOOKUP(F94,Table11[[Native]:[Population4]],5,FALSE)</f>
        <v>咸阳市</v>
      </c>
    </row>
    <row r="95" spans="1:7" ht="15.75" thickBot="1" x14ac:dyDescent="0.3">
      <c r="A95" t="s">
        <v>1894</v>
      </c>
      <c r="B95" s="1" t="s">
        <v>1895</v>
      </c>
      <c r="C95" s="1" t="s">
        <v>7</v>
      </c>
      <c r="D95" s="1" t="s">
        <v>1759</v>
      </c>
      <c r="E95" s="9">
        <v>12399</v>
      </c>
      <c r="F95" s="1" t="str">
        <f>VLOOKUP(D95,Table11[[Name]:[Native]],3,FALSE)</f>
        <v>长武县</v>
      </c>
      <c r="G95" s="12" t="str">
        <f ca="1">VLOOKUP(F95,Table11[[Native]:[Population4]],5,FALSE)</f>
        <v>咸阳市</v>
      </c>
    </row>
    <row r="96" spans="1:7" ht="15.75" thickBot="1" x14ac:dyDescent="0.3">
      <c r="A96" t="s">
        <v>1896</v>
      </c>
      <c r="B96" s="1" t="s">
        <v>1897</v>
      </c>
      <c r="C96" s="1" t="s">
        <v>7</v>
      </c>
      <c r="D96" s="1" t="s">
        <v>1722</v>
      </c>
      <c r="E96" s="9">
        <v>71665</v>
      </c>
      <c r="F96" s="1" t="str">
        <f>VLOOKUP(D96,Table11[[Name]:[Native]],3,FALSE)</f>
        <v>武功县</v>
      </c>
      <c r="G96" s="12" t="str">
        <f ca="1">VLOOKUP(F96,Table11[[Native]:[Population4]],5,FALSE)</f>
        <v>咸阳市</v>
      </c>
    </row>
    <row r="97" spans="1:7" ht="15.75" thickBot="1" x14ac:dyDescent="0.3">
      <c r="A97" t="s">
        <v>1898</v>
      </c>
      <c r="B97" s="1" t="s">
        <v>1661</v>
      </c>
      <c r="C97" s="1" t="s">
        <v>113</v>
      </c>
      <c r="D97" s="1" t="s">
        <v>1754</v>
      </c>
      <c r="E97" s="9">
        <v>91816</v>
      </c>
      <c r="F97" s="1" t="str">
        <f>VLOOKUP(D97,Table11[[Name]:[Native]],3,FALSE)</f>
        <v>兴平市</v>
      </c>
      <c r="G97" s="12" t="str">
        <f ca="1">VLOOKUP(F97,Table11[[Native]:[Population4]],5,FALSE)</f>
        <v>咸阳市</v>
      </c>
    </row>
    <row r="98" spans="1:7" ht="15.75" thickBot="1" x14ac:dyDescent="0.3">
      <c r="A98" t="s">
        <v>1899</v>
      </c>
      <c r="B98" s="1" t="s">
        <v>1900</v>
      </c>
      <c r="C98" s="1" t="s">
        <v>113</v>
      </c>
      <c r="D98" s="1" t="s">
        <v>1781</v>
      </c>
      <c r="E98" s="9">
        <v>52384</v>
      </c>
      <c r="F98" s="1" t="str">
        <f>VLOOKUP(D98,Table11[[Name]:[Native]],3,FALSE)</f>
        <v>秦都区</v>
      </c>
      <c r="G98" s="12" t="str">
        <f ca="1">VLOOKUP(F98,Table11[[Native]:[Population4]],5,FALSE)</f>
        <v>咸阳市</v>
      </c>
    </row>
    <row r="99" spans="1:7" ht="15.75" thickBot="1" x14ac:dyDescent="0.3">
      <c r="A99" t="s">
        <v>1901</v>
      </c>
      <c r="B99" s="1" t="s">
        <v>1902</v>
      </c>
      <c r="C99" s="1" t="s">
        <v>11</v>
      </c>
      <c r="D99" s="1" t="s">
        <v>1716</v>
      </c>
      <c r="E99" s="9">
        <v>11391</v>
      </c>
      <c r="F99" s="1" t="str">
        <f>VLOOKUP(D99,Table11[[Name]:[Native]],3,FALSE)</f>
        <v>彬州市</v>
      </c>
      <c r="G99" s="12" t="str">
        <f ca="1">VLOOKUP(F99,Table11[[Native]:[Population4]],5,FALSE)</f>
        <v>咸阳市</v>
      </c>
    </row>
    <row r="100" spans="1:7" ht="15.75" thickBot="1" x14ac:dyDescent="0.3">
      <c r="A100" t="s">
        <v>1903</v>
      </c>
      <c r="B100" s="1" t="s">
        <v>282</v>
      </c>
      <c r="C100" s="1" t="s">
        <v>7</v>
      </c>
      <c r="D100" s="1" t="s">
        <v>1713</v>
      </c>
      <c r="E100" s="9">
        <v>35102</v>
      </c>
      <c r="F100" s="1" t="str">
        <f>VLOOKUP(D100,Table11[[Name]:[Native]],3,FALSE)</f>
        <v>泾阳县</v>
      </c>
      <c r="G100" s="12" t="str">
        <f ca="1">VLOOKUP(F100,Table11[[Native]:[Population4]],5,FALSE)</f>
        <v>咸阳市</v>
      </c>
    </row>
    <row r="101" spans="1:7" ht="15.75" thickBot="1" x14ac:dyDescent="0.3">
      <c r="A101" t="s">
        <v>1904</v>
      </c>
      <c r="B101" s="1" t="s">
        <v>1905</v>
      </c>
      <c r="C101" s="1" t="s">
        <v>7</v>
      </c>
      <c r="D101" s="1" t="s">
        <v>1716</v>
      </c>
      <c r="E101" s="9">
        <v>61441</v>
      </c>
      <c r="F101" s="1" t="str">
        <f>VLOOKUP(D101,Table11[[Name]:[Native]],3,FALSE)</f>
        <v>彬州市</v>
      </c>
      <c r="G101" s="12" t="str">
        <f ca="1">VLOOKUP(F101,Table11[[Native]:[Population4]],5,FALSE)</f>
        <v>咸阳市</v>
      </c>
    </row>
    <row r="102" spans="1:7" ht="15.75" thickBot="1" x14ac:dyDescent="0.3">
      <c r="A102" t="s">
        <v>1906</v>
      </c>
      <c r="B102" s="1" t="s">
        <v>1907</v>
      </c>
      <c r="C102" s="1" t="s">
        <v>113</v>
      </c>
      <c r="D102" s="1" t="s">
        <v>1883</v>
      </c>
      <c r="E102" s="9">
        <v>58778</v>
      </c>
      <c r="F102" s="1" t="str">
        <f>VLOOKUP(D102,Table11[[Name]:[Native]],3,FALSE)</f>
        <v>渭城区</v>
      </c>
      <c r="G102" s="12" t="str">
        <f ca="1">VLOOKUP(F102,Table11[[Native]:[Population4]],5,FALSE)</f>
        <v>咸阳市</v>
      </c>
    </row>
    <row r="103" spans="1:7" ht="15.75" thickBot="1" x14ac:dyDescent="0.3">
      <c r="A103" t="s">
        <v>1908</v>
      </c>
      <c r="B103" s="1" t="s">
        <v>1909</v>
      </c>
      <c r="C103" s="1" t="s">
        <v>7</v>
      </c>
      <c r="D103" s="1" t="s">
        <v>1724</v>
      </c>
      <c r="E103" s="9">
        <v>27865</v>
      </c>
      <c r="F103" s="1" t="str">
        <f>VLOOKUP(D103,Table11[[Name]:[Native]],3,FALSE)</f>
        <v>三原县</v>
      </c>
      <c r="G103" s="12" t="str">
        <f ca="1">VLOOKUP(F103,Table11[[Native]:[Population4]],5,FALSE)</f>
        <v>咸阳市</v>
      </c>
    </row>
    <row r="104" spans="1:7" ht="15.75" thickBot="1" x14ac:dyDescent="0.3">
      <c r="A104" t="s">
        <v>1910</v>
      </c>
      <c r="B104" s="1" t="s">
        <v>1911</v>
      </c>
      <c r="C104" s="1" t="s">
        <v>7</v>
      </c>
      <c r="D104" s="1" t="s">
        <v>1726</v>
      </c>
      <c r="E104" s="9">
        <v>22406</v>
      </c>
      <c r="F104" s="1" t="str">
        <f>VLOOKUP(D104,Table11[[Name]:[Native]],3,FALSE)</f>
        <v>乾县</v>
      </c>
      <c r="G104" s="12" t="str">
        <f ca="1">VLOOKUP(F104,Table11[[Native]:[Population4]],5,FALSE)</f>
        <v>咸阳市</v>
      </c>
    </row>
    <row r="105" spans="1:7" ht="15.75" thickBot="1" x14ac:dyDescent="0.3">
      <c r="A105" s="1" t="s">
        <v>1912</v>
      </c>
      <c r="B105" s="1" t="s">
        <v>1913</v>
      </c>
      <c r="C105" s="1" t="s">
        <v>11</v>
      </c>
      <c r="D105" s="1" t="s">
        <v>1716</v>
      </c>
      <c r="E105" s="9">
        <v>14566</v>
      </c>
      <c r="F105" s="1" t="str">
        <f>VLOOKUP(D105,Table11[[Name]:[Native]],3,FALSE)</f>
        <v>彬州市</v>
      </c>
      <c r="G105" s="12" t="str">
        <f ca="1">VLOOKUP(F105,Table11[[Native]:[Population4]],5,FALSE)</f>
        <v>咸阳市</v>
      </c>
    </row>
    <row r="106" spans="1:7" ht="15.75" thickBot="1" x14ac:dyDescent="0.3">
      <c r="A106" t="s">
        <v>1914</v>
      </c>
      <c r="B106" s="1" t="s">
        <v>1915</v>
      </c>
      <c r="C106" s="1" t="s">
        <v>113</v>
      </c>
      <c r="D106" s="1" t="s">
        <v>1754</v>
      </c>
      <c r="E106" s="9">
        <v>36137</v>
      </c>
      <c r="F106" s="1" t="str">
        <f>VLOOKUP(D106,Table11[[Name]:[Native]],3,FALSE)</f>
        <v>兴平市</v>
      </c>
      <c r="G106" s="12" t="str">
        <f ca="1">VLOOKUP(F106,Table11[[Native]:[Population4]],5,FALSE)</f>
        <v>咸阳市</v>
      </c>
    </row>
    <row r="107" spans="1:7" ht="15.75" thickBot="1" x14ac:dyDescent="0.3">
      <c r="A107" t="s">
        <v>1916</v>
      </c>
      <c r="B107" s="1" t="s">
        <v>1917</v>
      </c>
      <c r="C107" s="1" t="s">
        <v>7</v>
      </c>
      <c r="D107" s="1" t="s">
        <v>1724</v>
      </c>
      <c r="E107" s="9">
        <v>22684</v>
      </c>
      <c r="F107" s="1" t="str">
        <f>VLOOKUP(D107,Table11[[Name]:[Native]],3,FALSE)</f>
        <v>三原县</v>
      </c>
      <c r="G107" s="12" t="str">
        <f ca="1">VLOOKUP(F107,Table11[[Native]:[Population4]],5,FALSE)</f>
        <v>咸阳市</v>
      </c>
    </row>
    <row r="108" spans="1:7" ht="15.75" thickBot="1" x14ac:dyDescent="0.3">
      <c r="A108" t="s">
        <v>1918</v>
      </c>
      <c r="B108" s="1" t="s">
        <v>1919</v>
      </c>
      <c r="C108" s="1" t="s">
        <v>7</v>
      </c>
      <c r="D108" s="1" t="s">
        <v>1728</v>
      </c>
      <c r="E108" s="9">
        <v>22887</v>
      </c>
      <c r="F108" s="1" t="str">
        <f>VLOOKUP(D108,Table11[[Name]:[Native]],3,FALSE)</f>
        <v>礼泉县</v>
      </c>
      <c r="G108" s="12" t="str">
        <f ca="1">VLOOKUP(F108,Table11[[Native]:[Population4]],5,FALSE)</f>
        <v>咸阳市</v>
      </c>
    </row>
    <row r="109" spans="1:7" ht="15.75" thickBot="1" x14ac:dyDescent="0.3">
      <c r="A109" t="s">
        <v>1920</v>
      </c>
      <c r="B109" s="1" t="s">
        <v>1921</v>
      </c>
      <c r="C109" s="1" t="s">
        <v>7</v>
      </c>
      <c r="D109" s="1" t="s">
        <v>1726</v>
      </c>
      <c r="E109" s="9">
        <v>38942</v>
      </c>
      <c r="F109" s="1" t="str">
        <f>VLOOKUP(D109,Table11[[Name]:[Native]],3,FALSE)</f>
        <v>乾县</v>
      </c>
      <c r="G109" s="12" t="str">
        <f ca="1">VLOOKUP(F109,Table11[[Native]:[Population4]],5,FALSE)</f>
        <v>咸阳市</v>
      </c>
    </row>
    <row r="110" spans="1:7" ht="15.75" thickBot="1" x14ac:dyDescent="0.3">
      <c r="A110" t="s">
        <v>1922</v>
      </c>
      <c r="B110" s="1" t="s">
        <v>1923</v>
      </c>
      <c r="C110" s="1" t="s">
        <v>7</v>
      </c>
      <c r="D110" s="1" t="s">
        <v>1726</v>
      </c>
      <c r="E110" s="9">
        <v>20930</v>
      </c>
      <c r="F110" s="1" t="str">
        <f>VLOOKUP(D110,Table11[[Name]:[Native]],3,FALSE)</f>
        <v>乾县</v>
      </c>
      <c r="G110" s="12" t="str">
        <f ca="1">VLOOKUP(F110,Table11[[Native]:[Population4]],5,FALSE)</f>
        <v>咸阳市</v>
      </c>
    </row>
    <row r="111" spans="1:7" ht="15.75" thickBot="1" x14ac:dyDescent="0.3">
      <c r="A111" t="s">
        <v>1924</v>
      </c>
      <c r="B111" s="1" t="s">
        <v>1925</v>
      </c>
      <c r="C111" s="1" t="s">
        <v>113</v>
      </c>
      <c r="D111" s="1" t="s">
        <v>1747</v>
      </c>
      <c r="E111" s="9">
        <v>82832</v>
      </c>
      <c r="F111" s="1" t="str">
        <f>VLOOKUP(D111,Table11[[Name]:[Native]],3,FALSE)</f>
        <v>杨陵区</v>
      </c>
      <c r="G111" s="12" t="str">
        <f ca="1">VLOOKUP(F111,Table11[[Native]:[Population4]],5,FALSE)</f>
        <v>咸阳市</v>
      </c>
    </row>
    <row r="112" spans="1:7" ht="15.75" thickBot="1" x14ac:dyDescent="0.3">
      <c r="A112" t="s">
        <v>1926</v>
      </c>
      <c r="B112" s="1" t="s">
        <v>1927</v>
      </c>
      <c r="C112" s="1" t="s">
        <v>7</v>
      </c>
      <c r="D112" s="1" t="s">
        <v>1726</v>
      </c>
      <c r="E112" s="9">
        <v>30274</v>
      </c>
      <c r="F112" s="1" t="str">
        <f>VLOOKUP(D112,Table11[[Name]:[Native]],3,FALSE)</f>
        <v>乾县</v>
      </c>
      <c r="G112" s="12" t="str">
        <f ca="1">VLOOKUP(F112,Table11[[Native]:[Population4]],5,FALSE)</f>
        <v>咸阳市</v>
      </c>
    </row>
    <row r="113" spans="1:7" ht="15.75" thickBot="1" x14ac:dyDescent="0.3">
      <c r="A113" t="s">
        <v>1928</v>
      </c>
      <c r="B113" s="1" t="s">
        <v>1929</v>
      </c>
      <c r="C113" s="1" t="s">
        <v>7</v>
      </c>
      <c r="D113" s="1" t="s">
        <v>1728</v>
      </c>
      <c r="E113" s="9">
        <v>27711</v>
      </c>
      <c r="F113" s="1" t="str">
        <f>VLOOKUP(D113,Table11[[Name]:[Native]],3,FALSE)</f>
        <v>礼泉县</v>
      </c>
      <c r="G113" s="12" t="str">
        <f ca="1">VLOOKUP(F113,Table11[[Native]:[Population4]],5,FALSE)</f>
        <v>咸阳市</v>
      </c>
    </row>
    <row r="114" spans="1:7" ht="15.75" thickBot="1" x14ac:dyDescent="0.3">
      <c r="A114" t="s">
        <v>1930</v>
      </c>
      <c r="B114" s="1" t="s">
        <v>1931</v>
      </c>
      <c r="C114" s="1" t="s">
        <v>7</v>
      </c>
      <c r="D114" s="1" t="s">
        <v>1716</v>
      </c>
      <c r="E114" s="9">
        <v>33968</v>
      </c>
      <c r="F114" s="1" t="str">
        <f>VLOOKUP(D114,Table11[[Name]:[Native]],3,FALSE)</f>
        <v>彬州市</v>
      </c>
      <c r="G114" s="12" t="str">
        <f ca="1">VLOOKUP(F114,Table11[[Native]:[Population4]],5,FALSE)</f>
        <v>咸阳市</v>
      </c>
    </row>
    <row r="115" spans="1:7" ht="15.75" thickBot="1" x14ac:dyDescent="0.3">
      <c r="A115" t="s">
        <v>1003</v>
      </c>
      <c r="B115" s="1" t="s">
        <v>1004</v>
      </c>
      <c r="C115" s="1" t="s">
        <v>7</v>
      </c>
      <c r="D115" s="1" t="s">
        <v>1716</v>
      </c>
      <c r="E115" s="9">
        <v>17451</v>
      </c>
      <c r="F115" s="1" t="str">
        <f>VLOOKUP(D115,Table11[[Name]:[Native]],3,FALSE)</f>
        <v>彬州市</v>
      </c>
      <c r="G115" s="12" t="str">
        <f ca="1">VLOOKUP(F115,Table11[[Native]:[Population4]],5,FALSE)</f>
        <v>咸阳市</v>
      </c>
    </row>
    <row r="116" spans="1:7" ht="15.75" thickBot="1" x14ac:dyDescent="0.3">
      <c r="A116" t="s">
        <v>1932</v>
      </c>
      <c r="B116" s="1" t="s">
        <v>1933</v>
      </c>
      <c r="C116" s="1" t="s">
        <v>7</v>
      </c>
      <c r="D116" s="1" t="s">
        <v>1719</v>
      </c>
      <c r="E116" s="9">
        <v>4695</v>
      </c>
      <c r="F116" s="1" t="str">
        <f>VLOOKUP(D116,Table11[[Name]:[Native]],3,FALSE)</f>
        <v>永寿县</v>
      </c>
      <c r="G116" s="12" t="str">
        <f ca="1">VLOOKUP(F116,Table11[[Native]:[Population4]],5,FALSE)</f>
        <v>咸阳市</v>
      </c>
    </row>
    <row r="117" spans="1:7" ht="15.75" thickBot="1" x14ac:dyDescent="0.3">
      <c r="A117" t="s">
        <v>1934</v>
      </c>
      <c r="B117" s="1" t="s">
        <v>1935</v>
      </c>
      <c r="C117" s="1" t="s">
        <v>7</v>
      </c>
      <c r="D117" s="1" t="s">
        <v>1722</v>
      </c>
      <c r="E117" s="9">
        <v>19077</v>
      </c>
      <c r="F117" s="1" t="str">
        <f>VLOOKUP(D117,Table11[[Name]:[Native]],3,FALSE)</f>
        <v>武功县</v>
      </c>
      <c r="G117" s="12" t="str">
        <f ca="1">VLOOKUP(F117,Table11[[Native]:[Population4]],5,FALSE)</f>
        <v>咸阳市</v>
      </c>
    </row>
    <row r="118" spans="1:7" ht="15.75" thickBot="1" x14ac:dyDescent="0.3">
      <c r="A118" t="s">
        <v>1936</v>
      </c>
      <c r="B118" s="1" t="s">
        <v>1937</v>
      </c>
      <c r="C118" s="1" t="s">
        <v>7</v>
      </c>
      <c r="D118" s="1" t="s">
        <v>1713</v>
      </c>
      <c r="E118" s="9">
        <v>54539</v>
      </c>
      <c r="F118" s="1" t="str">
        <f>VLOOKUP(D118,Table11[[Name]:[Native]],3,FALSE)</f>
        <v>泾阳县</v>
      </c>
      <c r="G118" s="12" t="str">
        <f ca="1">VLOOKUP(F118,Table11[[Native]:[Population4]],5,FALSE)</f>
        <v>咸阳市</v>
      </c>
    </row>
    <row r="119" spans="1:7" ht="15.75" thickBot="1" x14ac:dyDescent="0.3">
      <c r="A119" s="1" t="s">
        <v>1938</v>
      </c>
      <c r="B119" s="1" t="s">
        <v>1939</v>
      </c>
      <c r="C119" s="1" t="s">
        <v>11</v>
      </c>
      <c r="D119" s="1" t="s">
        <v>1759</v>
      </c>
      <c r="E119" s="9">
        <v>9496</v>
      </c>
      <c r="F119" s="1" t="str">
        <f>VLOOKUP(D119,Table11[[Name]:[Native]],3,FALSE)</f>
        <v>长武县</v>
      </c>
      <c r="G119" s="12" t="str">
        <f ca="1">VLOOKUP(F119,Table11[[Native]:[Population4]],5,FALSE)</f>
        <v>咸阳市</v>
      </c>
    </row>
    <row r="120" spans="1:7" ht="15.75" thickBot="1" x14ac:dyDescent="0.3">
      <c r="A120" t="s">
        <v>1940</v>
      </c>
      <c r="B120" s="1" t="s">
        <v>1941</v>
      </c>
      <c r="C120" s="1" t="s">
        <v>7</v>
      </c>
      <c r="D120" s="1" t="s">
        <v>1759</v>
      </c>
      <c r="E120" s="9">
        <v>7912</v>
      </c>
      <c r="F120" s="1" t="str">
        <f>VLOOKUP(D120,Table11[[Name]:[Native]],3,FALSE)</f>
        <v>长武县</v>
      </c>
      <c r="G120" s="12" t="str">
        <f ca="1">VLOOKUP(F120,Table11[[Native]:[Population4]],5,FALSE)</f>
        <v>咸阳市</v>
      </c>
    </row>
    <row r="121" spans="1:7" ht="15.75" thickBot="1" x14ac:dyDescent="0.3">
      <c r="A121" t="s">
        <v>1942</v>
      </c>
      <c r="B121" s="1" t="s">
        <v>1943</v>
      </c>
      <c r="C121" s="1" t="s">
        <v>7</v>
      </c>
      <c r="D121" s="1" t="s">
        <v>1729</v>
      </c>
      <c r="E121" s="9">
        <v>31928</v>
      </c>
      <c r="F121" s="1" t="str">
        <f>VLOOKUP(D121,Table11[[Name]:[Native]],3,FALSE)</f>
        <v>旬邑县</v>
      </c>
      <c r="G121" s="12" t="str">
        <f ca="1">VLOOKUP(F121,Table11[[Native]:[Population4]],5,FALSE)</f>
        <v>咸阳市</v>
      </c>
    </row>
    <row r="122" spans="1:7" ht="15.75" thickBot="1" x14ac:dyDescent="0.3">
      <c r="A122" t="s">
        <v>1944</v>
      </c>
      <c r="B122" s="1" t="s">
        <v>1945</v>
      </c>
      <c r="C122" s="1" t="s">
        <v>7</v>
      </c>
      <c r="D122" s="1" t="s">
        <v>1754</v>
      </c>
      <c r="E122" s="9">
        <v>27980</v>
      </c>
      <c r="F122" s="1" t="str">
        <f>VLOOKUP(D122,Table11[[Name]:[Native]],3,FALSE)</f>
        <v>兴平市</v>
      </c>
      <c r="G122" s="12" t="str">
        <f ca="1">VLOOKUP(F122,Table11[[Native]:[Population4]],5,FALSE)</f>
        <v>咸阳市</v>
      </c>
    </row>
    <row r="123" spans="1:7" ht="15.75" thickBot="1" x14ac:dyDescent="0.3">
      <c r="A123" t="s">
        <v>1946</v>
      </c>
      <c r="B123" s="1" t="s">
        <v>1947</v>
      </c>
      <c r="C123" s="1" t="s">
        <v>7</v>
      </c>
      <c r="D123" s="1" t="s">
        <v>1728</v>
      </c>
      <c r="E123" s="9">
        <v>39519</v>
      </c>
      <c r="F123" s="1" t="str">
        <f>VLOOKUP(D123,Table11[[Name]:[Native]],3,FALSE)</f>
        <v>礼泉县</v>
      </c>
      <c r="G123" s="12" t="str">
        <f ca="1">VLOOKUP(F123,Table11[[Native]:[Population4]],5,FALSE)</f>
        <v>咸阳市</v>
      </c>
    </row>
    <row r="124" spans="1:7" ht="15.75" thickBot="1" x14ac:dyDescent="0.3">
      <c r="A124" t="s">
        <v>1948</v>
      </c>
      <c r="B124" s="1" t="s">
        <v>1949</v>
      </c>
      <c r="C124" s="1" t="s">
        <v>113</v>
      </c>
      <c r="D124" s="1" t="s">
        <v>1759</v>
      </c>
      <c r="E124" s="9">
        <v>35525</v>
      </c>
      <c r="F124" s="1" t="str">
        <f>VLOOKUP(D124,Table11[[Name]:[Native]],3,FALSE)</f>
        <v>长武县</v>
      </c>
      <c r="G124" s="12" t="str">
        <f ca="1">VLOOKUP(F124,Table11[[Native]:[Population4]],5,FALSE)</f>
        <v>咸阳市</v>
      </c>
    </row>
    <row r="125" spans="1:7" ht="15.75" thickBot="1" x14ac:dyDescent="0.3">
      <c r="A125" t="s">
        <v>1950</v>
      </c>
      <c r="B125" s="1" t="s">
        <v>1951</v>
      </c>
      <c r="C125" s="1" t="s">
        <v>7</v>
      </c>
      <c r="D125" s="1" t="s">
        <v>1728</v>
      </c>
      <c r="E125" s="9">
        <v>26901</v>
      </c>
      <c r="F125" s="1" t="str">
        <f>VLOOKUP(D125,Table11[[Name]:[Native]],3,FALSE)</f>
        <v>礼泉县</v>
      </c>
      <c r="G125" s="12" t="str">
        <f ca="1">VLOOKUP(F125,Table11[[Native]:[Population4]],5,FALSE)</f>
        <v>咸阳市</v>
      </c>
    </row>
    <row r="126" spans="1:7" ht="15.75" thickBot="1" x14ac:dyDescent="0.3">
      <c r="A126" t="s">
        <v>1952</v>
      </c>
      <c r="B126" s="1" t="s">
        <v>1953</v>
      </c>
      <c r="C126" s="1" t="s">
        <v>7</v>
      </c>
      <c r="D126" s="1" t="s">
        <v>1729</v>
      </c>
      <c r="E126" s="9">
        <v>19439</v>
      </c>
      <c r="F126" s="1" t="str">
        <f>VLOOKUP(D126,Table11[[Name]:[Native]],3,FALSE)</f>
        <v>旬邑县</v>
      </c>
      <c r="G126" s="12" t="str">
        <f ca="1">VLOOKUP(F126,Table11[[Native]:[Population4]],5,FALSE)</f>
        <v>咸阳市</v>
      </c>
    </row>
    <row r="127" spans="1:7" ht="15.75" thickBot="1" x14ac:dyDescent="0.3">
      <c r="A127" t="s">
        <v>1954</v>
      </c>
      <c r="B127" s="1" t="s">
        <v>1955</v>
      </c>
      <c r="C127" s="1" t="s">
        <v>7</v>
      </c>
      <c r="D127" s="1" t="s">
        <v>1722</v>
      </c>
      <c r="E127" s="9">
        <v>34178</v>
      </c>
      <c r="F127" s="1" t="str">
        <f>VLOOKUP(D127,Table11[[Name]:[Native]],3,FALSE)</f>
        <v>武功县</v>
      </c>
      <c r="G127" s="12" t="str">
        <f ca="1">VLOOKUP(F127,Table11[[Native]:[Population4]],5,FALSE)</f>
        <v>咸阳市</v>
      </c>
    </row>
    <row r="128" spans="1:7" ht="15.75" thickBot="1" x14ac:dyDescent="0.3">
      <c r="A128" t="s">
        <v>1956</v>
      </c>
      <c r="B128" s="1" t="s">
        <v>1957</v>
      </c>
      <c r="C128" s="1" t="s">
        <v>7</v>
      </c>
      <c r="D128" s="1" t="s">
        <v>1729</v>
      </c>
      <c r="E128" s="9">
        <v>24335</v>
      </c>
      <c r="F128" s="1" t="str">
        <f>VLOOKUP(D128,Table11[[Name]:[Native]],3,FALSE)</f>
        <v>旬邑县</v>
      </c>
      <c r="G128" s="12" t="str">
        <f ca="1">VLOOKUP(F128,Table11[[Native]:[Population4]],5,FALSE)</f>
        <v>咸阳市</v>
      </c>
    </row>
    <row r="129" spans="1:7" ht="15.75" thickBot="1" x14ac:dyDescent="0.3">
      <c r="A129" t="s">
        <v>1958</v>
      </c>
      <c r="B129" s="1" t="s">
        <v>1959</v>
      </c>
      <c r="C129" s="1" t="s">
        <v>113</v>
      </c>
      <c r="D129" s="1" t="s">
        <v>1883</v>
      </c>
      <c r="E129" s="9">
        <v>29758</v>
      </c>
      <c r="F129" s="1" t="str">
        <f>VLOOKUP(D129,Table11[[Name]:[Native]],3,FALSE)</f>
        <v>渭城区</v>
      </c>
      <c r="G129" s="12" t="str">
        <f ca="1">VLOOKUP(F129,Table11[[Native]:[Population4]],5,FALSE)</f>
        <v>咸阳市</v>
      </c>
    </row>
    <row r="130" spans="1:7" ht="15.75" thickBot="1" x14ac:dyDescent="0.3">
      <c r="A130" t="s">
        <v>1960</v>
      </c>
      <c r="B130" s="1" t="s">
        <v>1961</v>
      </c>
      <c r="C130" s="1" t="s">
        <v>7</v>
      </c>
      <c r="D130" s="1" t="s">
        <v>1713</v>
      </c>
      <c r="E130" s="9">
        <v>37112</v>
      </c>
      <c r="F130" s="1" t="str">
        <f>VLOOKUP(D130,Table11[[Name]:[Native]],3,FALSE)</f>
        <v>泾阳县</v>
      </c>
      <c r="G130" s="12" t="str">
        <f ca="1">VLOOKUP(F130,Table11[[Native]:[Population4]],5,FALSE)</f>
        <v>咸阳市</v>
      </c>
    </row>
    <row r="131" spans="1:7" ht="15.75" thickBot="1" x14ac:dyDescent="0.3">
      <c r="A131" t="s">
        <v>1962</v>
      </c>
      <c r="B131" s="1" t="s">
        <v>1963</v>
      </c>
      <c r="C131" s="1" t="s">
        <v>7</v>
      </c>
      <c r="D131" s="1" t="s">
        <v>1726</v>
      </c>
      <c r="E131" s="9">
        <v>24764</v>
      </c>
      <c r="F131" s="1" t="str">
        <f>VLOOKUP(D131,Table11[[Name]:[Native]],3,FALSE)</f>
        <v>乾县</v>
      </c>
      <c r="G131" s="12" t="str">
        <f ca="1">VLOOKUP(F131,Table11[[Native]:[Population4]],5,FALSE)</f>
        <v>咸阳市</v>
      </c>
    </row>
    <row r="132" spans="1:7" ht="15.75" thickBot="1" x14ac:dyDescent="0.3">
      <c r="A132" t="s">
        <v>1707</v>
      </c>
      <c r="B132" s="1" t="s">
        <v>1708</v>
      </c>
      <c r="C132" s="1" t="s">
        <v>7</v>
      </c>
      <c r="D132" s="1" t="s">
        <v>1754</v>
      </c>
      <c r="E132" s="9">
        <v>28993</v>
      </c>
      <c r="F132" s="1" t="str">
        <f>VLOOKUP(D132,Table11[[Name]:[Native]],3,FALSE)</f>
        <v>兴平市</v>
      </c>
      <c r="G132" s="12" t="str">
        <f ca="1">VLOOKUP(F132,Table11[[Native]:[Population4]],5,FALSE)</f>
        <v>咸阳市</v>
      </c>
    </row>
    <row r="133" spans="1:7" ht="15.75" thickBot="1" x14ac:dyDescent="0.3">
      <c r="A133" t="s">
        <v>1964</v>
      </c>
      <c r="B133" s="1" t="s">
        <v>1965</v>
      </c>
      <c r="C133" s="1" t="s">
        <v>7</v>
      </c>
      <c r="D133" s="1" t="s">
        <v>1726</v>
      </c>
      <c r="E133" s="9">
        <v>18040</v>
      </c>
      <c r="F133" s="8" t="str">
        <f>VLOOKUP(D133,Table11[[Name]:[Native]],3,FALSE)</f>
        <v>乾县</v>
      </c>
      <c r="G133" s="12" t="str">
        <f ca="1">VLOOKUP(F133,Table11[[Native]:[Population4]],5,FALSE)</f>
        <v>咸阳市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941B2-04A2-416D-85EA-46328DA7EEC2}">
  <dimension ref="A1:G184"/>
  <sheetViews>
    <sheetView workbookViewId="0">
      <selection activeCell="A2" sqref="A2:G184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3166</v>
      </c>
      <c r="G1" t="s">
        <v>3170</v>
      </c>
    </row>
    <row r="2" spans="1:7" ht="15.75" thickBot="1" x14ac:dyDescent="0.3">
      <c r="A2" t="s">
        <v>1966</v>
      </c>
      <c r="B2" s="1" t="s">
        <v>1967</v>
      </c>
      <c r="C2" s="1" t="s">
        <v>7</v>
      </c>
      <c r="D2" s="1" t="s">
        <v>1968</v>
      </c>
      <c r="E2" s="9">
        <v>26340</v>
      </c>
      <c r="F2" s="7" t="str">
        <f>VLOOKUP(D2,Table11[[Name]:[Native]],3,FALSE)</f>
        <v>蓝田县</v>
      </c>
      <c r="G2" s="12" t="str">
        <f ca="1">VLOOKUP(F2,Table11[[Native]:[Population4]],5,FALSE)</f>
        <v>西安市</v>
      </c>
    </row>
    <row r="3" spans="1:7" ht="15.75" thickBot="1" x14ac:dyDescent="0.3">
      <c r="A3" t="s">
        <v>1969</v>
      </c>
      <c r="B3" s="1" t="s">
        <v>1970</v>
      </c>
      <c r="C3" s="1" t="s">
        <v>113</v>
      </c>
      <c r="D3" s="1" t="s">
        <v>1971</v>
      </c>
      <c r="E3" s="9">
        <v>49949</v>
      </c>
      <c r="F3" s="1" t="str">
        <f>VLOOKUP(D3,Table11[[Name]:[Native]],3,FALSE)</f>
        <v>碑林区</v>
      </c>
      <c r="G3" s="12" t="str">
        <f ca="1">VLOOKUP(F3,Table11[[Native]:[Population4]],5,FALSE)</f>
        <v>西安市</v>
      </c>
    </row>
    <row r="4" spans="1:7" ht="15.75" thickBot="1" x14ac:dyDescent="0.3">
      <c r="A4" t="s">
        <v>1972</v>
      </c>
      <c r="B4" s="1" t="s">
        <v>1973</v>
      </c>
      <c r="C4" s="1" t="s">
        <v>7</v>
      </c>
      <c r="D4" s="1" t="s">
        <v>1974</v>
      </c>
      <c r="E4" s="9">
        <v>2264</v>
      </c>
      <c r="F4" s="1" t="str">
        <f>VLOOKUP(D4,Table11[[Name]:[Native]],3,FALSE)</f>
        <v>周至县</v>
      </c>
      <c r="G4" s="12" t="str">
        <f ca="1">VLOOKUP(F4,Table11[[Native]:[Population4]],5,FALSE)</f>
        <v>西安市</v>
      </c>
    </row>
    <row r="5" spans="1:7" ht="15.75" thickBot="1" x14ac:dyDescent="0.3">
      <c r="A5" t="s">
        <v>1975</v>
      </c>
      <c r="B5" s="1" t="s">
        <v>1976</v>
      </c>
      <c r="C5" s="1" t="s">
        <v>113</v>
      </c>
      <c r="D5" s="1" t="s">
        <v>1977</v>
      </c>
      <c r="E5" s="9">
        <v>52557</v>
      </c>
      <c r="F5" s="1" t="str">
        <f>VLOOKUP(D5,Table11[[Name]:[Native]],3,FALSE)</f>
        <v>灞桥区</v>
      </c>
      <c r="G5" s="12" t="str">
        <f ca="1">VLOOKUP(F5,Table11[[Native]:[Population4]],5,FALSE)</f>
        <v>西安市</v>
      </c>
    </row>
    <row r="6" spans="1:7" ht="15.75" thickBot="1" x14ac:dyDescent="0.3">
      <c r="A6" t="s">
        <v>1978</v>
      </c>
      <c r="B6" s="1" t="s">
        <v>1979</v>
      </c>
      <c r="C6" s="1" t="s">
        <v>7</v>
      </c>
      <c r="D6" s="1" t="s">
        <v>1968</v>
      </c>
      <c r="E6" s="9">
        <v>16227</v>
      </c>
      <c r="F6" s="1" t="str">
        <f>VLOOKUP(D6,Table11[[Name]:[Native]],3,FALSE)</f>
        <v>蓝田县</v>
      </c>
      <c r="G6" s="12" t="str">
        <f ca="1">VLOOKUP(F6,Table11[[Native]:[Population4]],5,FALSE)</f>
        <v>西安市</v>
      </c>
    </row>
    <row r="7" spans="1:7" ht="15.75" thickBot="1" x14ac:dyDescent="0.3">
      <c r="A7" t="s">
        <v>1980</v>
      </c>
      <c r="B7" s="1" t="s">
        <v>1981</v>
      </c>
      <c r="C7" s="1" t="s">
        <v>113</v>
      </c>
      <c r="D7" s="1" t="s">
        <v>1982</v>
      </c>
      <c r="E7" s="9">
        <v>20236</v>
      </c>
      <c r="F7" s="1" t="str">
        <f>VLOOKUP(D7,Table11[[Name]:[Native]],3,FALSE)</f>
        <v>西咸新区</v>
      </c>
      <c r="G7" s="12" t="str">
        <f ca="1">VLOOKUP(F7,Table11[[Native]:[Population4]],5,FALSE)</f>
        <v>西安市</v>
      </c>
    </row>
    <row r="8" spans="1:7" ht="15.75" thickBot="1" x14ac:dyDescent="0.3">
      <c r="A8" t="s">
        <v>657</v>
      </c>
      <c r="B8" s="1" t="s">
        <v>658</v>
      </c>
      <c r="C8" s="1" t="s">
        <v>113</v>
      </c>
      <c r="D8" s="1" t="s">
        <v>1983</v>
      </c>
      <c r="E8" s="9">
        <v>66430</v>
      </c>
      <c r="F8" s="1" t="str">
        <f>VLOOKUP(D8,Table11[[Name]:[Native]],3,FALSE)</f>
        <v>莲湖区</v>
      </c>
      <c r="G8" s="12" t="str">
        <f ca="1">VLOOKUP(F8,Table11[[Native]:[Population4]],5,FALSE)</f>
        <v>西安市</v>
      </c>
    </row>
    <row r="9" spans="1:7" ht="15.75" thickBot="1" x14ac:dyDescent="0.3">
      <c r="A9" t="s">
        <v>1984</v>
      </c>
      <c r="B9" s="1" t="s">
        <v>1985</v>
      </c>
      <c r="C9" s="1" t="s">
        <v>113</v>
      </c>
      <c r="D9" s="1" t="s">
        <v>1986</v>
      </c>
      <c r="E9" s="9">
        <v>22416</v>
      </c>
      <c r="F9" s="1" t="str">
        <f>VLOOKUP(D9,Table11[[Name]:[Native]],3,FALSE)</f>
        <v>临潼区</v>
      </c>
      <c r="G9" s="12" t="str">
        <f ca="1">VLOOKUP(F9,Table11[[Native]:[Population4]],5,FALSE)</f>
        <v>西安市</v>
      </c>
    </row>
    <row r="10" spans="1:7" ht="15.75" thickBot="1" x14ac:dyDescent="0.3">
      <c r="A10" t="s">
        <v>1987</v>
      </c>
      <c r="B10" s="1" t="s">
        <v>1988</v>
      </c>
      <c r="C10" s="1" t="s">
        <v>113</v>
      </c>
      <c r="D10" s="1" t="s">
        <v>1989</v>
      </c>
      <c r="E10" s="9">
        <v>23641</v>
      </c>
      <c r="F10" s="1" t="str">
        <f>VLOOKUP(D10,Table11[[Name]:[Native]],3,FALSE)</f>
        <v>阎良区</v>
      </c>
      <c r="G10" s="12" t="str">
        <f ca="1">VLOOKUP(F10,Table11[[Native]:[Population4]],5,FALSE)</f>
        <v>西安市</v>
      </c>
    </row>
    <row r="11" spans="1:7" ht="15.75" thickBot="1" x14ac:dyDescent="0.3">
      <c r="A11" t="s">
        <v>1990</v>
      </c>
      <c r="B11" s="1" t="s">
        <v>1991</v>
      </c>
      <c r="C11" s="1" t="s">
        <v>113</v>
      </c>
      <c r="D11" s="1" t="s">
        <v>1983</v>
      </c>
      <c r="E11" s="9">
        <v>79871</v>
      </c>
      <c r="F11" s="1" t="str">
        <f>VLOOKUP(D11,Table11[[Name]:[Native]],3,FALSE)</f>
        <v>莲湖区</v>
      </c>
      <c r="G11" s="12" t="str">
        <f ca="1">VLOOKUP(F11,Table11[[Native]:[Population4]],5,FALSE)</f>
        <v>西安市</v>
      </c>
    </row>
    <row r="12" spans="1:7" ht="15.75" thickBot="1" x14ac:dyDescent="0.3">
      <c r="A12" t="s">
        <v>1992</v>
      </c>
      <c r="B12" s="1" t="s">
        <v>1993</v>
      </c>
      <c r="C12" s="1" t="s">
        <v>113</v>
      </c>
      <c r="D12" s="1" t="s">
        <v>1994</v>
      </c>
      <c r="E12" s="9">
        <v>31237</v>
      </c>
      <c r="F12" s="1" t="str">
        <f>VLOOKUP(D12,Table11[[Name]:[Native]],3,FALSE)</f>
        <v>鄠邑区</v>
      </c>
      <c r="G12" s="12" t="str">
        <f ca="1">VLOOKUP(F12,Table11[[Native]:[Population4]],5,FALSE)</f>
        <v>西安市</v>
      </c>
    </row>
    <row r="13" spans="1:7" ht="15.75" thickBot="1" x14ac:dyDescent="0.3">
      <c r="A13" t="s">
        <v>1995</v>
      </c>
      <c r="B13" s="1" t="s">
        <v>1996</v>
      </c>
      <c r="C13" s="1" t="s">
        <v>113</v>
      </c>
      <c r="D13" s="1" t="s">
        <v>1997</v>
      </c>
      <c r="E13" s="9">
        <v>86571</v>
      </c>
      <c r="F13" s="1" t="str">
        <f>VLOOKUP(D13,Table11[[Name]:[Native]],3,FALSE)</f>
        <v>未央区</v>
      </c>
      <c r="G13" s="12" t="str">
        <f ca="1">VLOOKUP(F13,Table11[[Native]:[Population4]],5,FALSE)</f>
        <v>西安市</v>
      </c>
    </row>
    <row r="14" spans="1:7" ht="15.75" thickBot="1" x14ac:dyDescent="0.3">
      <c r="A14" t="s">
        <v>1998</v>
      </c>
      <c r="B14" s="1" t="s">
        <v>1999</v>
      </c>
      <c r="C14" s="1" t="s">
        <v>113</v>
      </c>
      <c r="D14" s="1" t="s">
        <v>1971</v>
      </c>
      <c r="E14" s="9">
        <v>57416</v>
      </c>
      <c r="F14" s="1" t="str">
        <f>VLOOKUP(D14,Table11[[Name]:[Native]],3,FALSE)</f>
        <v>碑林区</v>
      </c>
      <c r="G14" s="12" t="str">
        <f ca="1">VLOOKUP(F14,Table11[[Native]:[Population4]],5,FALSE)</f>
        <v>西安市</v>
      </c>
    </row>
    <row r="15" spans="1:7" ht="15.75" thickBot="1" x14ac:dyDescent="0.3">
      <c r="A15" t="s">
        <v>2000</v>
      </c>
      <c r="B15" s="1" t="s">
        <v>2001</v>
      </c>
      <c r="C15" s="1" t="s">
        <v>113</v>
      </c>
      <c r="D15" s="1" t="s">
        <v>1971</v>
      </c>
      <c r="E15" s="9">
        <v>78299</v>
      </c>
      <c r="F15" s="1" t="str">
        <f>VLOOKUP(D15,Table11[[Name]:[Native]],3,FALSE)</f>
        <v>碑林区</v>
      </c>
      <c r="G15" s="12" t="str">
        <f ca="1">VLOOKUP(F15,Table11[[Native]:[Population4]],5,FALSE)</f>
        <v>西安市</v>
      </c>
    </row>
    <row r="16" spans="1:7" ht="15.75" thickBot="1" x14ac:dyDescent="0.3">
      <c r="A16" t="s">
        <v>2002</v>
      </c>
      <c r="B16" s="1" t="s">
        <v>2003</v>
      </c>
      <c r="C16" s="1" t="s">
        <v>113</v>
      </c>
      <c r="D16" s="1" t="s">
        <v>2004</v>
      </c>
      <c r="E16" s="9">
        <v>54367</v>
      </c>
      <c r="F16" s="1" t="str">
        <f>VLOOKUP(D16,Table11[[Name]:[Native]],3,FALSE)</f>
        <v>新城区</v>
      </c>
      <c r="G16" s="12" t="str">
        <f ca="1">VLOOKUP(F16,Table11[[Native]:[Population4]],5,FALSE)</f>
        <v>西安市</v>
      </c>
    </row>
    <row r="17" spans="1:7" ht="15.75" thickBot="1" x14ac:dyDescent="0.3">
      <c r="A17" t="s">
        <v>2005</v>
      </c>
      <c r="B17" s="1" t="s">
        <v>2006</v>
      </c>
      <c r="C17" s="1" t="s">
        <v>113</v>
      </c>
      <c r="D17" s="1" t="s">
        <v>2004</v>
      </c>
      <c r="E17" s="9">
        <v>96189</v>
      </c>
      <c r="F17" s="1" t="str">
        <f>VLOOKUP(D17,Table11[[Name]:[Native]],3,FALSE)</f>
        <v>新城区</v>
      </c>
      <c r="G17" s="12" t="str">
        <f ca="1">VLOOKUP(F17,Table11[[Native]:[Population4]],5,FALSE)</f>
        <v>西安市</v>
      </c>
    </row>
    <row r="18" spans="1:7" ht="15.75" thickBot="1" x14ac:dyDescent="0.3">
      <c r="A18" t="s">
        <v>2007</v>
      </c>
      <c r="B18" s="1" t="s">
        <v>2008</v>
      </c>
      <c r="C18" s="1" t="s">
        <v>113</v>
      </c>
      <c r="D18" s="1" t="s">
        <v>2009</v>
      </c>
      <c r="E18" s="9">
        <v>214712</v>
      </c>
      <c r="F18" s="1" t="str">
        <f>VLOOKUP(D18,Table11[[Name]:[Native]],3,FALSE)</f>
        <v>雁塔区</v>
      </c>
      <c r="G18" s="12" t="str">
        <f ca="1">VLOOKUP(F18,Table11[[Native]:[Population4]],5,FALSE)</f>
        <v>西安市</v>
      </c>
    </row>
    <row r="19" spans="1:7" ht="15.75" thickBot="1" x14ac:dyDescent="0.3">
      <c r="A19" t="s">
        <v>2010</v>
      </c>
      <c r="B19" s="1" t="s">
        <v>2011</v>
      </c>
      <c r="C19" s="1" t="s">
        <v>7</v>
      </c>
      <c r="D19" s="1" t="s">
        <v>1974</v>
      </c>
      <c r="E19" s="9">
        <v>3332</v>
      </c>
      <c r="F19" s="1" t="str">
        <f>VLOOKUP(D19,Table11[[Name]:[Native]],3,FALSE)</f>
        <v>周至县</v>
      </c>
      <c r="G19" s="12" t="str">
        <f ca="1">VLOOKUP(F19,Table11[[Native]:[Population4]],5,FALSE)</f>
        <v>西安市</v>
      </c>
    </row>
    <row r="20" spans="1:7" ht="15.75" thickBot="1" x14ac:dyDescent="0.3">
      <c r="A20" t="s">
        <v>2012</v>
      </c>
      <c r="B20" s="1" t="s">
        <v>2013</v>
      </c>
      <c r="C20" s="1" t="s">
        <v>113</v>
      </c>
      <c r="D20" s="1" t="s">
        <v>1982</v>
      </c>
      <c r="E20" s="9">
        <v>36666</v>
      </c>
      <c r="F20" s="1" t="str">
        <f>VLOOKUP(D20,Table11[[Name]:[Native]],3,FALSE)</f>
        <v>西咸新区</v>
      </c>
      <c r="G20" s="12" t="str">
        <f ca="1">VLOOKUP(F20,Table11[[Native]:[Population4]],5,FALSE)</f>
        <v>西安市</v>
      </c>
    </row>
    <row r="21" spans="1:7" ht="15.75" thickBot="1" x14ac:dyDescent="0.3">
      <c r="A21" t="s">
        <v>2014</v>
      </c>
      <c r="B21" s="1" t="s">
        <v>2015</v>
      </c>
      <c r="C21" s="1" t="s">
        <v>113</v>
      </c>
      <c r="D21" s="1" t="s">
        <v>2016</v>
      </c>
      <c r="E21" s="9">
        <v>23592</v>
      </c>
      <c r="F21" s="1" t="str">
        <f>VLOOKUP(D21,Table11[[Name]:[Native]],3,FALSE)</f>
        <v>高陵区</v>
      </c>
      <c r="G21" s="12" t="str">
        <f ca="1">VLOOKUP(F21,Table11[[Native]:[Population4]],5,FALSE)</f>
        <v>西安市</v>
      </c>
    </row>
    <row r="22" spans="1:7" ht="15.75" thickBot="1" x14ac:dyDescent="0.3">
      <c r="A22" t="s">
        <v>2017</v>
      </c>
      <c r="B22" s="1" t="s">
        <v>2018</v>
      </c>
      <c r="C22" s="1" t="s">
        <v>7</v>
      </c>
      <c r="D22" s="1" t="s">
        <v>1982</v>
      </c>
      <c r="E22" s="9">
        <v>20515</v>
      </c>
      <c r="F22" s="1" t="str">
        <f>VLOOKUP(D22,Table11[[Name]:[Native]],3,FALSE)</f>
        <v>西咸新区</v>
      </c>
      <c r="G22" s="12" t="str">
        <f ca="1">VLOOKUP(F22,Table11[[Native]:[Population4]],5,FALSE)</f>
        <v>西安市</v>
      </c>
    </row>
    <row r="23" spans="1:7" ht="15.75" thickBot="1" x14ac:dyDescent="0.3">
      <c r="A23" t="s">
        <v>2019</v>
      </c>
      <c r="B23" s="1" t="s">
        <v>2020</v>
      </c>
      <c r="C23" s="1" t="s">
        <v>7</v>
      </c>
      <c r="D23" s="1" t="s">
        <v>1974</v>
      </c>
      <c r="E23" s="9">
        <v>20033</v>
      </c>
      <c r="F23" s="1" t="str">
        <f>VLOOKUP(D23,Table11[[Name]:[Native]],3,FALSE)</f>
        <v>周至县</v>
      </c>
      <c r="G23" s="12" t="str">
        <f ca="1">VLOOKUP(F23,Table11[[Native]:[Population4]],5,FALSE)</f>
        <v>西安市</v>
      </c>
    </row>
    <row r="24" spans="1:7" ht="15.75" thickBot="1" x14ac:dyDescent="0.3">
      <c r="A24" t="s">
        <v>2021</v>
      </c>
      <c r="B24" s="1" t="s">
        <v>2022</v>
      </c>
      <c r="C24" s="1" t="s">
        <v>113</v>
      </c>
      <c r="D24" s="1" t="s">
        <v>1986</v>
      </c>
      <c r="E24" s="9">
        <v>49037</v>
      </c>
      <c r="F24" s="1" t="str">
        <f>VLOOKUP(D24,Table11[[Name]:[Native]],3,FALSE)</f>
        <v>临潼区</v>
      </c>
      <c r="G24" s="12" t="str">
        <f ca="1">VLOOKUP(F24,Table11[[Native]:[Population4]],5,FALSE)</f>
        <v>西安市</v>
      </c>
    </row>
    <row r="25" spans="1:7" ht="15.75" thickBot="1" x14ac:dyDescent="0.3">
      <c r="A25" t="s">
        <v>2023</v>
      </c>
      <c r="B25" s="1" t="s">
        <v>2024</v>
      </c>
      <c r="C25" s="1" t="s">
        <v>113</v>
      </c>
      <c r="D25" s="1" t="s">
        <v>1997</v>
      </c>
      <c r="E25" s="9">
        <v>70673</v>
      </c>
      <c r="F25" s="1" t="str">
        <f>VLOOKUP(D25,Table11[[Name]:[Native]],3,FALSE)</f>
        <v>未央区</v>
      </c>
      <c r="G25" s="12" t="str">
        <f ca="1">VLOOKUP(F25,Table11[[Native]:[Population4]],5,FALSE)</f>
        <v>西安市</v>
      </c>
    </row>
    <row r="26" spans="1:7" ht="15.75" thickBot="1" x14ac:dyDescent="0.3">
      <c r="A26" t="s">
        <v>2025</v>
      </c>
      <c r="B26" s="1" t="s">
        <v>2026</v>
      </c>
      <c r="C26" s="1" t="s">
        <v>113</v>
      </c>
      <c r="D26" s="1" t="s">
        <v>1982</v>
      </c>
      <c r="E26" s="9">
        <v>29315</v>
      </c>
      <c r="F26" s="1" t="str">
        <f>VLOOKUP(D26,Table11[[Name]:[Native]],3,FALSE)</f>
        <v>西咸新区</v>
      </c>
      <c r="G26" s="12" t="str">
        <f ca="1">VLOOKUP(F26,Table11[[Native]:[Population4]],5,FALSE)</f>
        <v>西安市</v>
      </c>
    </row>
    <row r="27" spans="1:7" ht="15.75" thickBot="1" x14ac:dyDescent="0.3">
      <c r="A27" t="s">
        <v>2027</v>
      </c>
      <c r="B27" s="1" t="s">
        <v>2028</v>
      </c>
      <c r="C27" s="1" t="s">
        <v>113</v>
      </c>
      <c r="D27" s="1" t="s">
        <v>2009</v>
      </c>
      <c r="E27" s="9">
        <v>99782</v>
      </c>
      <c r="F27" s="1" t="str">
        <f>VLOOKUP(D27,Table11[[Name]:[Native]],3,FALSE)</f>
        <v>雁塔区</v>
      </c>
      <c r="G27" s="12" t="str">
        <f ca="1">VLOOKUP(F27,Table11[[Native]:[Population4]],5,FALSE)</f>
        <v>西安市</v>
      </c>
    </row>
    <row r="28" spans="1:7" ht="15.75" thickBot="1" x14ac:dyDescent="0.3">
      <c r="A28" t="s">
        <v>2029</v>
      </c>
      <c r="B28" s="1" t="s">
        <v>2030</v>
      </c>
      <c r="C28" s="1" t="s">
        <v>113</v>
      </c>
      <c r="D28" s="1" t="s">
        <v>2031</v>
      </c>
      <c r="E28" s="9">
        <v>31287</v>
      </c>
      <c r="F28" s="1" t="str">
        <f>VLOOKUP(D28,Table11[[Name]:[Native]],3,FALSE)</f>
        <v>长安区</v>
      </c>
      <c r="G28" s="12" t="str">
        <f ca="1">VLOOKUP(F28,Table11[[Native]:[Population4]],5,FALSE)</f>
        <v>西安市</v>
      </c>
    </row>
    <row r="29" spans="1:7" ht="15.75" thickBot="1" x14ac:dyDescent="0.3">
      <c r="A29" t="s">
        <v>2032</v>
      </c>
      <c r="B29" s="1" t="s">
        <v>2033</v>
      </c>
      <c r="C29" s="1" t="s">
        <v>113</v>
      </c>
      <c r="D29" s="1" t="s">
        <v>2009</v>
      </c>
      <c r="E29" s="9">
        <v>89020</v>
      </c>
      <c r="F29" s="1" t="str">
        <f>VLOOKUP(D29,Table11[[Name]:[Native]],3,FALSE)</f>
        <v>雁塔区</v>
      </c>
      <c r="G29" s="12" t="str">
        <f ca="1">VLOOKUP(F29,Table11[[Native]:[Population4]],5,FALSE)</f>
        <v>西安市</v>
      </c>
    </row>
    <row r="30" spans="1:7" ht="15.75" thickBot="1" x14ac:dyDescent="0.3">
      <c r="A30" t="s">
        <v>2034</v>
      </c>
      <c r="B30" s="1" t="s">
        <v>2035</v>
      </c>
      <c r="C30" s="1" t="s">
        <v>113</v>
      </c>
      <c r="D30" s="1" t="s">
        <v>2009</v>
      </c>
      <c r="E30" s="9">
        <v>221767</v>
      </c>
      <c r="F30" s="1" t="str">
        <f>VLOOKUP(D30,Table11[[Name]:[Native]],3,FALSE)</f>
        <v>雁塔区</v>
      </c>
      <c r="G30" s="12" t="str">
        <f ca="1">VLOOKUP(F30,Table11[[Native]:[Population4]],5,FALSE)</f>
        <v>西安市</v>
      </c>
    </row>
    <row r="31" spans="1:7" ht="15.75" thickBot="1" x14ac:dyDescent="0.3">
      <c r="A31" t="s">
        <v>2036</v>
      </c>
      <c r="B31" s="1" t="s">
        <v>2037</v>
      </c>
      <c r="C31" s="1" t="s">
        <v>113</v>
      </c>
      <c r="D31" s="1" t="s">
        <v>1982</v>
      </c>
      <c r="E31" s="9">
        <v>58737</v>
      </c>
      <c r="F31" s="1" t="str">
        <f>VLOOKUP(D31,Table11[[Name]:[Native]],3,FALSE)</f>
        <v>西咸新区</v>
      </c>
      <c r="G31" s="12" t="str">
        <f ca="1">VLOOKUP(F31,Table11[[Native]:[Population4]],5,FALSE)</f>
        <v>西安市</v>
      </c>
    </row>
    <row r="32" spans="1:7" ht="15.75" thickBot="1" x14ac:dyDescent="0.3">
      <c r="A32" t="s">
        <v>2038</v>
      </c>
      <c r="B32" s="1" t="s">
        <v>2039</v>
      </c>
      <c r="C32" s="1" t="s">
        <v>113</v>
      </c>
      <c r="D32" s="1" t="s">
        <v>1977</v>
      </c>
      <c r="E32" s="9">
        <v>59737</v>
      </c>
      <c r="F32" s="1" t="str">
        <f>VLOOKUP(D32,Table11[[Name]:[Native]],3,FALSE)</f>
        <v>灞桥区</v>
      </c>
      <c r="G32" s="12" t="str">
        <f ca="1">VLOOKUP(F32,Table11[[Native]:[Population4]],5,FALSE)</f>
        <v>西安市</v>
      </c>
    </row>
    <row r="33" spans="1:7" ht="15.75" thickBot="1" x14ac:dyDescent="0.3">
      <c r="A33" t="s">
        <v>2040</v>
      </c>
      <c r="B33" s="1" t="s">
        <v>2041</v>
      </c>
      <c r="C33" s="1" t="s">
        <v>113</v>
      </c>
      <c r="D33" s="1" t="s">
        <v>1982</v>
      </c>
      <c r="E33" s="9">
        <v>30663</v>
      </c>
      <c r="F33" s="1" t="str">
        <f>VLOOKUP(D33,Table11[[Name]:[Native]],3,FALSE)</f>
        <v>西咸新区</v>
      </c>
      <c r="G33" s="12" t="str">
        <f ca="1">VLOOKUP(F33,Table11[[Native]:[Population4]],5,FALSE)</f>
        <v>西安市</v>
      </c>
    </row>
    <row r="34" spans="1:7" ht="15.75" thickBot="1" x14ac:dyDescent="0.3">
      <c r="A34" t="s">
        <v>2042</v>
      </c>
      <c r="B34" s="1" t="s">
        <v>2043</v>
      </c>
      <c r="C34" s="1" t="s">
        <v>113</v>
      </c>
      <c r="D34" s="1" t="s">
        <v>2031</v>
      </c>
      <c r="E34" s="9">
        <v>39554</v>
      </c>
      <c r="F34" s="1" t="str">
        <f>VLOOKUP(D34,Table11[[Name]:[Native]],3,FALSE)</f>
        <v>长安区</v>
      </c>
      <c r="G34" s="12" t="str">
        <f ca="1">VLOOKUP(F34,Table11[[Native]:[Population4]],5,FALSE)</f>
        <v>西安市</v>
      </c>
    </row>
    <row r="35" spans="1:7" ht="15.75" thickBot="1" x14ac:dyDescent="0.3">
      <c r="A35" t="s">
        <v>2044</v>
      </c>
      <c r="B35" s="1" t="s">
        <v>2045</v>
      </c>
      <c r="C35" s="1" t="s">
        <v>113</v>
      </c>
      <c r="D35" s="1" t="s">
        <v>1971</v>
      </c>
      <c r="E35" s="9">
        <v>74648</v>
      </c>
      <c r="F35" s="1" t="str">
        <f>VLOOKUP(D35,Table11[[Name]:[Native]],3,FALSE)</f>
        <v>碑林区</v>
      </c>
      <c r="G35" s="12" t="str">
        <f ca="1">VLOOKUP(F35,Table11[[Native]:[Population4]],5,FALSE)</f>
        <v>西安市</v>
      </c>
    </row>
    <row r="36" spans="1:7" ht="15.75" thickBot="1" x14ac:dyDescent="0.3">
      <c r="A36" t="s">
        <v>2046</v>
      </c>
      <c r="B36" s="1" t="s">
        <v>2047</v>
      </c>
      <c r="C36" s="1" t="s">
        <v>113</v>
      </c>
      <c r="D36" s="1" t="s">
        <v>1982</v>
      </c>
      <c r="E36" s="9">
        <v>57470</v>
      </c>
      <c r="F36" s="1" t="str">
        <f>VLOOKUP(D36,Table11[[Name]:[Native]],3,FALSE)</f>
        <v>西咸新区</v>
      </c>
      <c r="G36" s="12" t="str">
        <f ca="1">VLOOKUP(F36,Table11[[Native]:[Population4]],5,FALSE)</f>
        <v>西安市</v>
      </c>
    </row>
    <row r="37" spans="1:7" ht="15.75" thickBot="1" x14ac:dyDescent="0.3">
      <c r="A37" t="s">
        <v>2048</v>
      </c>
      <c r="B37" s="1" t="s">
        <v>2049</v>
      </c>
      <c r="C37" s="1" t="s">
        <v>113</v>
      </c>
      <c r="D37" s="1" t="s">
        <v>2031</v>
      </c>
      <c r="E37" s="9">
        <v>37437</v>
      </c>
      <c r="F37" s="1" t="str">
        <f>VLOOKUP(D37,Table11[[Name]:[Native]],3,FALSE)</f>
        <v>长安区</v>
      </c>
      <c r="G37" s="12" t="str">
        <f ca="1">VLOOKUP(F37,Table11[[Native]:[Population4]],5,FALSE)</f>
        <v>西安市</v>
      </c>
    </row>
    <row r="38" spans="1:7" ht="15.75" thickBot="1" x14ac:dyDescent="0.3">
      <c r="A38" t="s">
        <v>2050</v>
      </c>
      <c r="B38" s="1" t="s">
        <v>2051</v>
      </c>
      <c r="C38" s="1" t="s">
        <v>113</v>
      </c>
      <c r="D38" s="1" t="s">
        <v>1974</v>
      </c>
      <c r="E38" s="9">
        <v>77775</v>
      </c>
      <c r="F38" s="1" t="str">
        <f>VLOOKUP(D38,Table11[[Name]:[Native]],3,FALSE)</f>
        <v>周至县</v>
      </c>
      <c r="G38" s="12" t="str">
        <f ca="1">VLOOKUP(F38,Table11[[Native]:[Population4]],5,FALSE)</f>
        <v>西安市</v>
      </c>
    </row>
    <row r="39" spans="1:7" ht="15.75" thickBot="1" x14ac:dyDescent="0.3">
      <c r="A39" t="s">
        <v>2052</v>
      </c>
      <c r="B39" s="1" t="s">
        <v>2053</v>
      </c>
      <c r="C39" s="1" t="s">
        <v>113</v>
      </c>
      <c r="D39" s="1" t="s">
        <v>1977</v>
      </c>
      <c r="E39" s="9">
        <v>92435</v>
      </c>
      <c r="F39" s="1" t="str">
        <f>VLOOKUP(D39,Table11[[Name]:[Native]],3,FALSE)</f>
        <v>灞桥区</v>
      </c>
      <c r="G39" s="12" t="str">
        <f ca="1">VLOOKUP(F39,Table11[[Native]:[Population4]],5,FALSE)</f>
        <v>西安市</v>
      </c>
    </row>
    <row r="40" spans="1:7" ht="15.75" thickBot="1" x14ac:dyDescent="0.3">
      <c r="A40" t="s">
        <v>2054</v>
      </c>
      <c r="B40" s="1" t="s">
        <v>2055</v>
      </c>
      <c r="C40" s="1" t="s">
        <v>113</v>
      </c>
      <c r="D40" s="1" t="s">
        <v>1989</v>
      </c>
      <c r="E40" s="9">
        <v>58060</v>
      </c>
      <c r="F40" s="1" t="str">
        <f>VLOOKUP(D40,Table11[[Name]:[Native]],3,FALSE)</f>
        <v>阎良区</v>
      </c>
      <c r="G40" s="12" t="str">
        <f ca="1">VLOOKUP(F40,Table11[[Native]:[Population4]],5,FALSE)</f>
        <v>西安市</v>
      </c>
    </row>
    <row r="41" spans="1:7" ht="15.75" thickBot="1" x14ac:dyDescent="0.3">
      <c r="A41" t="s">
        <v>2056</v>
      </c>
      <c r="B41" s="1" t="s">
        <v>2057</v>
      </c>
      <c r="C41" s="1" t="s">
        <v>7</v>
      </c>
      <c r="D41" s="1" t="s">
        <v>1974</v>
      </c>
      <c r="E41" s="9">
        <v>38855</v>
      </c>
      <c r="F41" s="1" t="str">
        <f>VLOOKUP(D41,Table11[[Name]:[Native]],3,FALSE)</f>
        <v>周至县</v>
      </c>
      <c r="G41" s="12" t="str">
        <f ca="1">VLOOKUP(F41,Table11[[Native]:[Population4]],5,FALSE)</f>
        <v>西安市</v>
      </c>
    </row>
    <row r="42" spans="1:7" ht="15.75" thickBot="1" x14ac:dyDescent="0.3">
      <c r="A42" t="s">
        <v>2058</v>
      </c>
      <c r="B42" s="1" t="s">
        <v>2059</v>
      </c>
      <c r="C42" s="1" t="s">
        <v>7</v>
      </c>
      <c r="D42" s="1" t="s">
        <v>1994</v>
      </c>
      <c r="E42" s="9">
        <v>27354</v>
      </c>
      <c r="F42" s="1" t="str">
        <f>VLOOKUP(D42,Table11[[Name]:[Native]],3,FALSE)</f>
        <v>鄠邑区</v>
      </c>
      <c r="G42" s="12" t="str">
        <f ca="1">VLOOKUP(F42,Table11[[Native]:[Population4]],5,FALSE)</f>
        <v>西安市</v>
      </c>
    </row>
    <row r="43" spans="1:7" ht="15.75" thickBot="1" x14ac:dyDescent="0.3">
      <c r="A43" t="s">
        <v>2060</v>
      </c>
      <c r="B43" s="1" t="s">
        <v>2061</v>
      </c>
      <c r="C43" s="1" t="s">
        <v>113</v>
      </c>
      <c r="D43" s="1" t="s">
        <v>1994</v>
      </c>
      <c r="E43" s="9">
        <v>103106</v>
      </c>
      <c r="F43" s="1" t="str">
        <f>VLOOKUP(D43,Table11[[Name]:[Native]],3,FALSE)</f>
        <v>鄠邑区</v>
      </c>
      <c r="G43" s="12" t="str">
        <f ca="1">VLOOKUP(F43,Table11[[Native]:[Population4]],5,FALSE)</f>
        <v>西安市</v>
      </c>
    </row>
    <row r="44" spans="1:7" ht="15.75" thickBot="1" x14ac:dyDescent="0.3">
      <c r="A44" t="s">
        <v>2062</v>
      </c>
      <c r="B44" s="1" t="s">
        <v>2063</v>
      </c>
      <c r="C44" s="1" t="s">
        <v>113</v>
      </c>
      <c r="D44" s="1" t="s">
        <v>1982</v>
      </c>
      <c r="E44" s="9">
        <v>26386</v>
      </c>
      <c r="F44" s="1" t="str">
        <f>VLOOKUP(D44,Table11[[Name]:[Native]],3,FALSE)</f>
        <v>西咸新区</v>
      </c>
      <c r="G44" s="12" t="str">
        <f ca="1">VLOOKUP(F44,Table11[[Native]:[Population4]],5,FALSE)</f>
        <v>西安市</v>
      </c>
    </row>
    <row r="45" spans="1:7" ht="15.75" thickBot="1" x14ac:dyDescent="0.3">
      <c r="A45" t="s">
        <v>2064</v>
      </c>
      <c r="B45" s="1" t="s">
        <v>2065</v>
      </c>
      <c r="C45" s="1" t="s">
        <v>7</v>
      </c>
      <c r="D45" s="1" t="s">
        <v>1982</v>
      </c>
      <c r="E45" s="9">
        <v>28915</v>
      </c>
      <c r="F45" s="1" t="str">
        <f>VLOOKUP(D45,Table11[[Name]:[Native]],3,FALSE)</f>
        <v>西咸新区</v>
      </c>
      <c r="G45" s="12" t="str">
        <f ca="1">VLOOKUP(F45,Table11[[Native]:[Population4]],5,FALSE)</f>
        <v>西安市</v>
      </c>
    </row>
    <row r="46" spans="1:7" ht="15.75" thickBot="1" x14ac:dyDescent="0.3">
      <c r="A46" t="s">
        <v>2066</v>
      </c>
      <c r="B46" s="1" t="s">
        <v>2067</v>
      </c>
      <c r="C46" s="1" t="s">
        <v>113</v>
      </c>
      <c r="D46" s="1" t="s">
        <v>2016</v>
      </c>
      <c r="E46" s="9">
        <v>35145</v>
      </c>
      <c r="F46" s="1" t="str">
        <f>VLOOKUP(D46,Table11[[Name]:[Native]],3,FALSE)</f>
        <v>高陵区</v>
      </c>
      <c r="G46" s="12" t="str">
        <f ca="1">VLOOKUP(F46,Table11[[Native]:[Population4]],5,FALSE)</f>
        <v>西安市</v>
      </c>
    </row>
    <row r="47" spans="1:7" ht="15.75" thickBot="1" x14ac:dyDescent="0.3">
      <c r="A47" t="s">
        <v>2068</v>
      </c>
      <c r="B47" s="1" t="s">
        <v>2069</v>
      </c>
      <c r="C47" s="1" t="s">
        <v>7</v>
      </c>
      <c r="D47" s="1" t="s">
        <v>1968</v>
      </c>
      <c r="E47" s="9">
        <v>11451</v>
      </c>
      <c r="F47" s="1" t="str">
        <f>VLOOKUP(D47,Table11[[Name]:[Native]],3,FALSE)</f>
        <v>蓝田县</v>
      </c>
      <c r="G47" s="12" t="str">
        <f ca="1">VLOOKUP(F47,Table11[[Native]:[Population4]],5,FALSE)</f>
        <v>西安市</v>
      </c>
    </row>
    <row r="48" spans="1:7" ht="15.75" thickBot="1" x14ac:dyDescent="0.3">
      <c r="A48" t="s">
        <v>2070</v>
      </c>
      <c r="B48" s="1" t="s">
        <v>2071</v>
      </c>
      <c r="C48" s="1" t="s">
        <v>7</v>
      </c>
      <c r="D48" s="1" t="s">
        <v>1974</v>
      </c>
      <c r="E48" s="9">
        <v>35223</v>
      </c>
      <c r="F48" s="1" t="str">
        <f>VLOOKUP(D48,Table11[[Name]:[Native]],3,FALSE)</f>
        <v>周至县</v>
      </c>
      <c r="G48" s="12" t="str">
        <f ca="1">VLOOKUP(F48,Table11[[Native]:[Population4]],5,FALSE)</f>
        <v>西安市</v>
      </c>
    </row>
    <row r="49" spans="1:7" ht="15.75" thickBot="1" x14ac:dyDescent="0.3">
      <c r="A49" t="s">
        <v>2072</v>
      </c>
      <c r="B49" s="1" t="s">
        <v>2073</v>
      </c>
      <c r="C49" s="1" t="s">
        <v>113</v>
      </c>
      <c r="D49" s="1" t="s">
        <v>1989</v>
      </c>
      <c r="E49" s="9">
        <v>53548</v>
      </c>
      <c r="F49" s="1" t="str">
        <f>VLOOKUP(D49,Table11[[Name]:[Native]],3,FALSE)</f>
        <v>阎良区</v>
      </c>
      <c r="G49" s="12" t="str">
        <f ca="1">VLOOKUP(F49,Table11[[Native]:[Population4]],5,FALSE)</f>
        <v>西安市</v>
      </c>
    </row>
    <row r="50" spans="1:7" ht="15.75" thickBot="1" x14ac:dyDescent="0.3">
      <c r="A50" t="s">
        <v>2074</v>
      </c>
      <c r="B50" s="1" t="s">
        <v>2075</v>
      </c>
      <c r="C50" s="1" t="s">
        <v>113</v>
      </c>
      <c r="D50" s="1" t="s">
        <v>2031</v>
      </c>
      <c r="E50" s="9">
        <v>130988</v>
      </c>
      <c r="F50" s="1" t="str">
        <f>VLOOKUP(D50,Table11[[Name]:[Native]],3,FALSE)</f>
        <v>长安区</v>
      </c>
      <c r="G50" s="12" t="str">
        <f ca="1">VLOOKUP(F50,Table11[[Native]:[Population4]],5,FALSE)</f>
        <v>西安市</v>
      </c>
    </row>
    <row r="51" spans="1:7" ht="15.75" thickBot="1" x14ac:dyDescent="0.3">
      <c r="A51" t="s">
        <v>2076</v>
      </c>
      <c r="B51" s="1" t="s">
        <v>2077</v>
      </c>
      <c r="C51" s="1" t="s">
        <v>113</v>
      </c>
      <c r="D51" s="1" t="s">
        <v>1997</v>
      </c>
      <c r="E51" s="9">
        <v>76740</v>
      </c>
      <c r="F51" s="1" t="str">
        <f>VLOOKUP(D51,Table11[[Name]:[Native]],3,FALSE)</f>
        <v>未央区</v>
      </c>
      <c r="G51" s="12" t="str">
        <f ca="1">VLOOKUP(F51,Table11[[Native]:[Population4]],5,FALSE)</f>
        <v>西安市</v>
      </c>
    </row>
    <row r="52" spans="1:7" ht="15.75" thickBot="1" x14ac:dyDescent="0.3">
      <c r="A52" t="s">
        <v>2078</v>
      </c>
      <c r="B52" s="1" t="s">
        <v>2079</v>
      </c>
      <c r="C52" s="1" t="s">
        <v>113</v>
      </c>
      <c r="D52" s="1" t="s">
        <v>2004</v>
      </c>
      <c r="E52" s="9">
        <v>104762</v>
      </c>
      <c r="F52" s="1" t="str">
        <f>VLOOKUP(D52,Table11[[Name]:[Native]],3,FALSE)</f>
        <v>新城区</v>
      </c>
      <c r="G52" s="12" t="str">
        <f ca="1">VLOOKUP(F52,Table11[[Native]:[Population4]],5,FALSE)</f>
        <v>西安市</v>
      </c>
    </row>
    <row r="53" spans="1:7" ht="15.75" thickBot="1" x14ac:dyDescent="0.3">
      <c r="A53" t="s">
        <v>2080</v>
      </c>
      <c r="B53" s="1" t="s">
        <v>2081</v>
      </c>
      <c r="C53" s="1" t="s">
        <v>113</v>
      </c>
      <c r="D53" s="1" t="s">
        <v>1986</v>
      </c>
      <c r="E53" s="9">
        <v>29469</v>
      </c>
      <c r="F53" s="1" t="str">
        <f>VLOOKUP(D53,Table11[[Name]:[Native]],3,FALSE)</f>
        <v>临潼区</v>
      </c>
      <c r="G53" s="12" t="str">
        <f ca="1">VLOOKUP(F53,Table11[[Native]:[Population4]],5,FALSE)</f>
        <v>西安市</v>
      </c>
    </row>
    <row r="54" spans="1:7" ht="15.75" thickBot="1" x14ac:dyDescent="0.3">
      <c r="A54" t="s">
        <v>2082</v>
      </c>
      <c r="B54" s="1" t="s">
        <v>2083</v>
      </c>
      <c r="C54" s="1" t="s">
        <v>113</v>
      </c>
      <c r="D54" s="1" t="s">
        <v>1983</v>
      </c>
      <c r="E54" s="9">
        <v>105145</v>
      </c>
      <c r="F54" s="1" t="str">
        <f>VLOOKUP(D54,Table11[[Name]:[Native]],3,FALSE)</f>
        <v>莲湖区</v>
      </c>
      <c r="G54" s="12" t="str">
        <f ca="1">VLOOKUP(F54,Table11[[Native]:[Population4]],5,FALSE)</f>
        <v>西安市</v>
      </c>
    </row>
    <row r="55" spans="1:7" ht="15.75" thickBot="1" x14ac:dyDescent="0.3">
      <c r="A55" t="s">
        <v>2084</v>
      </c>
      <c r="B55" s="1" t="s">
        <v>2085</v>
      </c>
      <c r="C55" s="1" t="s">
        <v>113</v>
      </c>
      <c r="D55" s="1" t="s">
        <v>1977</v>
      </c>
      <c r="E55" s="9">
        <v>52139</v>
      </c>
      <c r="F55" s="1" t="str">
        <f>VLOOKUP(D55,Table11[[Name]:[Native]],3,FALSE)</f>
        <v>灞桥区</v>
      </c>
      <c r="G55" s="12" t="str">
        <f ca="1">VLOOKUP(F55,Table11[[Native]:[Population4]],5,FALSE)</f>
        <v>西安市</v>
      </c>
    </row>
    <row r="56" spans="1:7" ht="15.75" thickBot="1" x14ac:dyDescent="0.3">
      <c r="A56" t="s">
        <v>2086</v>
      </c>
      <c r="B56" s="1" t="s">
        <v>2087</v>
      </c>
      <c r="C56" s="1" t="s">
        <v>113</v>
      </c>
      <c r="D56" s="1" t="s">
        <v>1977</v>
      </c>
      <c r="E56" s="9">
        <v>67703</v>
      </c>
      <c r="F56" s="1" t="str">
        <f>VLOOKUP(D56,Table11[[Name]:[Native]],3,FALSE)</f>
        <v>灞桥区</v>
      </c>
      <c r="G56" s="12" t="str">
        <f ca="1">VLOOKUP(F56,Table11[[Native]:[Population4]],5,FALSE)</f>
        <v>西安市</v>
      </c>
    </row>
    <row r="57" spans="1:7" ht="15.75" thickBot="1" x14ac:dyDescent="0.3">
      <c r="A57" t="s">
        <v>2088</v>
      </c>
      <c r="B57" s="1" t="s">
        <v>2089</v>
      </c>
      <c r="C57" s="1" t="s">
        <v>7</v>
      </c>
      <c r="D57" s="1" t="s">
        <v>1968</v>
      </c>
      <c r="E57" s="9">
        <v>14537</v>
      </c>
      <c r="F57" s="1" t="str">
        <f>VLOOKUP(D57,Table11[[Name]:[Native]],3,FALSE)</f>
        <v>蓝田县</v>
      </c>
      <c r="G57" s="12" t="str">
        <f ca="1">VLOOKUP(F57,Table11[[Native]:[Population4]],5,FALSE)</f>
        <v>西安市</v>
      </c>
    </row>
    <row r="58" spans="1:7" ht="15.75" thickBot="1" x14ac:dyDescent="0.3">
      <c r="A58" t="s">
        <v>2090</v>
      </c>
      <c r="B58" s="1" t="s">
        <v>2091</v>
      </c>
      <c r="C58" s="1" t="s">
        <v>7</v>
      </c>
      <c r="D58" s="1" t="s">
        <v>1974</v>
      </c>
      <c r="E58" s="9">
        <v>2512</v>
      </c>
      <c r="F58" s="1" t="str">
        <f>VLOOKUP(D58,Table11[[Name]:[Native]],3,FALSE)</f>
        <v>周至县</v>
      </c>
      <c r="G58" s="12" t="str">
        <f ca="1">VLOOKUP(F58,Table11[[Native]:[Population4]],5,FALSE)</f>
        <v>西安市</v>
      </c>
    </row>
    <row r="59" spans="1:7" ht="15.75" thickBot="1" x14ac:dyDescent="0.3">
      <c r="A59" t="s">
        <v>2092</v>
      </c>
      <c r="B59" s="1" t="s">
        <v>2093</v>
      </c>
      <c r="C59" s="1" t="s">
        <v>113</v>
      </c>
      <c r="D59" s="1" t="s">
        <v>1983</v>
      </c>
      <c r="E59" s="9">
        <v>49571</v>
      </c>
      <c r="F59" s="1" t="str">
        <f>VLOOKUP(D59,Table11[[Name]:[Native]],3,FALSE)</f>
        <v>莲湖区</v>
      </c>
      <c r="G59" s="12" t="str">
        <f ca="1">VLOOKUP(F59,Table11[[Native]:[Population4]],5,FALSE)</f>
        <v>西安市</v>
      </c>
    </row>
    <row r="60" spans="1:7" ht="15.75" thickBot="1" x14ac:dyDescent="0.3">
      <c r="A60" t="s">
        <v>2094</v>
      </c>
      <c r="B60" s="1" t="s">
        <v>2095</v>
      </c>
      <c r="C60" s="1" t="s">
        <v>113</v>
      </c>
      <c r="D60" s="1" t="s">
        <v>2031</v>
      </c>
      <c r="E60" s="9">
        <v>27883</v>
      </c>
      <c r="F60" s="1" t="str">
        <f>VLOOKUP(D60,Table11[[Name]:[Native]],3,FALSE)</f>
        <v>长安区</v>
      </c>
      <c r="G60" s="12" t="str">
        <f ca="1">VLOOKUP(F60,Table11[[Native]:[Population4]],5,FALSE)</f>
        <v>西安市</v>
      </c>
    </row>
    <row r="61" spans="1:7" ht="15.75" thickBot="1" x14ac:dyDescent="0.3">
      <c r="A61" t="s">
        <v>2096</v>
      </c>
      <c r="B61" s="1" t="s">
        <v>2097</v>
      </c>
      <c r="C61" s="1" t="s">
        <v>7</v>
      </c>
      <c r="D61" s="1" t="s">
        <v>1968</v>
      </c>
      <c r="E61" s="9">
        <v>29530</v>
      </c>
      <c r="F61" s="1" t="str">
        <f>VLOOKUP(D61,Table11[[Name]:[Native]],3,FALSE)</f>
        <v>蓝田县</v>
      </c>
      <c r="G61" s="12" t="str">
        <f ca="1">VLOOKUP(F61,Table11[[Native]:[Population4]],5,FALSE)</f>
        <v>西安市</v>
      </c>
    </row>
    <row r="62" spans="1:7" ht="15.75" thickBot="1" x14ac:dyDescent="0.3">
      <c r="A62" t="s">
        <v>2098</v>
      </c>
      <c r="B62" s="1" t="s">
        <v>2099</v>
      </c>
      <c r="C62" s="1" t="s">
        <v>113</v>
      </c>
      <c r="D62" s="1" t="s">
        <v>2004</v>
      </c>
      <c r="E62" s="9">
        <v>87691</v>
      </c>
      <c r="F62" s="1" t="str">
        <f>VLOOKUP(D62,Table11[[Name]:[Native]],3,FALSE)</f>
        <v>新城区</v>
      </c>
      <c r="G62" s="12" t="str">
        <f ca="1">VLOOKUP(F62,Table11[[Native]:[Population4]],5,FALSE)</f>
        <v>西安市</v>
      </c>
    </row>
    <row r="63" spans="1:7" ht="15.75" thickBot="1" x14ac:dyDescent="0.3">
      <c r="A63" t="s">
        <v>2100</v>
      </c>
      <c r="B63" s="1" t="s">
        <v>2101</v>
      </c>
      <c r="C63" s="1" t="s">
        <v>7</v>
      </c>
      <c r="D63" s="1" t="s">
        <v>1994</v>
      </c>
      <c r="E63" s="9">
        <v>32821</v>
      </c>
      <c r="F63" s="1" t="str">
        <f>VLOOKUP(D63,Table11[[Name]:[Native]],3,FALSE)</f>
        <v>鄠邑区</v>
      </c>
      <c r="G63" s="12" t="str">
        <f ca="1">VLOOKUP(F63,Table11[[Native]:[Population4]],5,FALSE)</f>
        <v>西安市</v>
      </c>
    </row>
    <row r="64" spans="1:7" ht="15.75" thickBot="1" x14ac:dyDescent="0.3">
      <c r="A64" t="s">
        <v>2102</v>
      </c>
      <c r="B64" s="1" t="s">
        <v>2103</v>
      </c>
      <c r="C64" s="1" t="s">
        <v>7</v>
      </c>
      <c r="D64" s="1" t="s">
        <v>1968</v>
      </c>
      <c r="E64" s="9">
        <v>20902</v>
      </c>
      <c r="F64" s="1" t="str">
        <f>VLOOKUP(D64,Table11[[Name]:[Native]],3,FALSE)</f>
        <v>蓝田县</v>
      </c>
      <c r="G64" s="12" t="str">
        <f ca="1">VLOOKUP(F64,Table11[[Native]:[Population4]],5,FALSE)</f>
        <v>西安市</v>
      </c>
    </row>
    <row r="65" spans="1:7" ht="15.75" thickBot="1" x14ac:dyDescent="0.3">
      <c r="A65" t="s">
        <v>2104</v>
      </c>
      <c r="B65" s="1" t="s">
        <v>2105</v>
      </c>
      <c r="C65" s="1" t="s">
        <v>113</v>
      </c>
      <c r="D65" s="1" t="s">
        <v>1986</v>
      </c>
      <c r="E65" s="9">
        <v>25480</v>
      </c>
      <c r="F65" s="1" t="str">
        <f>VLOOKUP(D65,Table11[[Name]:[Native]],3,FALSE)</f>
        <v>临潼区</v>
      </c>
      <c r="G65" s="12" t="str">
        <f ca="1">VLOOKUP(F65,Table11[[Native]:[Population4]],5,FALSE)</f>
        <v>西安市</v>
      </c>
    </row>
    <row r="66" spans="1:7" ht="15.75" thickBot="1" x14ac:dyDescent="0.3">
      <c r="A66" t="s">
        <v>2106</v>
      </c>
      <c r="B66" s="1" t="s">
        <v>2107</v>
      </c>
      <c r="C66" s="1" t="s">
        <v>113</v>
      </c>
      <c r="D66" s="1" t="s">
        <v>2004</v>
      </c>
      <c r="E66" s="9">
        <v>31684</v>
      </c>
      <c r="F66" s="1" t="str">
        <f>VLOOKUP(D66,Table11[[Name]:[Native]],3,FALSE)</f>
        <v>新城区</v>
      </c>
      <c r="G66" s="12" t="str">
        <f ca="1">VLOOKUP(F66,Table11[[Native]:[Population4]],5,FALSE)</f>
        <v>西安市</v>
      </c>
    </row>
    <row r="67" spans="1:7" ht="15.75" thickBot="1" x14ac:dyDescent="0.3">
      <c r="A67" t="s">
        <v>2108</v>
      </c>
      <c r="B67" s="1" t="s">
        <v>2109</v>
      </c>
      <c r="C67" s="1" t="s">
        <v>113</v>
      </c>
      <c r="D67" s="1" t="s">
        <v>1982</v>
      </c>
      <c r="E67" s="9">
        <v>100518</v>
      </c>
      <c r="F67" s="1" t="str">
        <f>VLOOKUP(D67,Table11[[Name]:[Native]],3,FALSE)</f>
        <v>西咸新区</v>
      </c>
      <c r="G67" s="12" t="str">
        <f ca="1">VLOOKUP(F67,Table11[[Native]:[Population4]],5,FALSE)</f>
        <v>西安市</v>
      </c>
    </row>
    <row r="68" spans="1:7" ht="15.75" thickBot="1" x14ac:dyDescent="0.3">
      <c r="A68" t="s">
        <v>2110</v>
      </c>
      <c r="B68" s="1" t="s">
        <v>2111</v>
      </c>
      <c r="C68" s="1" t="s">
        <v>113</v>
      </c>
      <c r="D68" s="1" t="s">
        <v>2016</v>
      </c>
      <c r="E68" s="9">
        <v>132305</v>
      </c>
      <c r="F68" s="1" t="str">
        <f>VLOOKUP(D68,Table11[[Name]:[Native]],3,FALSE)</f>
        <v>高陵区</v>
      </c>
      <c r="G68" s="12" t="str">
        <f ca="1">VLOOKUP(F68,Table11[[Native]:[Population4]],5,FALSE)</f>
        <v>西安市</v>
      </c>
    </row>
    <row r="69" spans="1:7" ht="15.75" thickBot="1" x14ac:dyDescent="0.3">
      <c r="A69" t="s">
        <v>2112</v>
      </c>
      <c r="B69" s="1" t="s">
        <v>2113</v>
      </c>
      <c r="C69" s="1" t="s">
        <v>7</v>
      </c>
      <c r="D69" s="1" t="s">
        <v>1974</v>
      </c>
      <c r="E69" s="9">
        <v>23901</v>
      </c>
      <c r="F69" s="1" t="str">
        <f>VLOOKUP(D69,Table11[[Name]:[Native]],3,FALSE)</f>
        <v>周至县</v>
      </c>
      <c r="G69" s="12" t="str">
        <f ca="1">VLOOKUP(F69,Table11[[Native]:[Population4]],5,FALSE)</f>
        <v>西安市</v>
      </c>
    </row>
    <row r="70" spans="1:7" ht="15.75" thickBot="1" x14ac:dyDescent="0.3">
      <c r="A70" t="s">
        <v>2114</v>
      </c>
      <c r="B70" s="1" t="s">
        <v>2115</v>
      </c>
      <c r="C70" s="1" t="s">
        <v>7</v>
      </c>
      <c r="D70" s="1" t="s">
        <v>1968</v>
      </c>
      <c r="E70" s="9">
        <v>13915</v>
      </c>
      <c r="F70" s="1" t="str">
        <f>VLOOKUP(D70,Table11[[Name]:[Native]],3,FALSE)</f>
        <v>蓝田县</v>
      </c>
      <c r="G70" s="12" t="str">
        <f ca="1">VLOOKUP(F70,Table11[[Native]:[Population4]],5,FALSE)</f>
        <v>西安市</v>
      </c>
    </row>
    <row r="71" spans="1:7" ht="15.75" thickBot="1" x14ac:dyDescent="0.3">
      <c r="A71" t="s">
        <v>2116</v>
      </c>
      <c r="B71" s="1" t="s">
        <v>2117</v>
      </c>
      <c r="C71" s="1" t="s">
        <v>7</v>
      </c>
      <c r="D71" s="1" t="s">
        <v>1974</v>
      </c>
      <c r="E71" s="9">
        <v>26167</v>
      </c>
      <c r="F71" s="1" t="str">
        <f>VLOOKUP(D71,Table11[[Name]:[Native]],3,FALSE)</f>
        <v>周至县</v>
      </c>
      <c r="G71" s="12" t="str">
        <f ca="1">VLOOKUP(F71,Table11[[Native]:[Population4]],5,FALSE)</f>
        <v>西安市</v>
      </c>
    </row>
    <row r="72" spans="1:7" ht="15.75" thickBot="1" x14ac:dyDescent="0.3">
      <c r="A72" t="s">
        <v>2118</v>
      </c>
      <c r="B72" s="1" t="s">
        <v>2119</v>
      </c>
      <c r="C72" s="1" t="s">
        <v>113</v>
      </c>
      <c r="D72" s="1" t="s">
        <v>1968</v>
      </c>
      <c r="E72" s="9">
        <v>73836</v>
      </c>
      <c r="F72" s="1" t="str">
        <f>VLOOKUP(D72,Table11[[Name]:[Native]],3,FALSE)</f>
        <v>蓝田县</v>
      </c>
      <c r="G72" s="12" t="str">
        <f ca="1">VLOOKUP(F72,Table11[[Native]:[Population4]],5,FALSE)</f>
        <v>西安市</v>
      </c>
    </row>
    <row r="73" spans="1:7" ht="15.75" thickBot="1" x14ac:dyDescent="0.3">
      <c r="A73" t="s">
        <v>2120</v>
      </c>
      <c r="B73" s="1" t="s">
        <v>2121</v>
      </c>
      <c r="C73" s="1" t="s">
        <v>7</v>
      </c>
      <c r="D73" s="1" t="s">
        <v>1968</v>
      </c>
      <c r="E73" s="9">
        <v>8991</v>
      </c>
      <c r="F73" s="1" t="str">
        <f>VLOOKUP(D73,Table11[[Name]:[Native]],3,FALSE)</f>
        <v>蓝田县</v>
      </c>
      <c r="G73" s="12" t="str">
        <f ca="1">VLOOKUP(F73,Table11[[Native]:[Population4]],5,FALSE)</f>
        <v>西安市</v>
      </c>
    </row>
    <row r="74" spans="1:7" ht="15.75" thickBot="1" x14ac:dyDescent="0.3">
      <c r="A74" t="s">
        <v>2122</v>
      </c>
      <c r="B74" s="1" t="s">
        <v>2123</v>
      </c>
      <c r="C74" s="1" t="s">
        <v>7</v>
      </c>
      <c r="D74" s="1" t="s">
        <v>1994</v>
      </c>
      <c r="E74" s="9">
        <v>32346</v>
      </c>
      <c r="F74" s="1" t="str">
        <f>VLOOKUP(D74,Table11[[Name]:[Native]],3,FALSE)</f>
        <v>鄠邑区</v>
      </c>
      <c r="G74" s="12" t="str">
        <f ca="1">VLOOKUP(F74,Table11[[Native]:[Population4]],5,FALSE)</f>
        <v>西安市</v>
      </c>
    </row>
    <row r="75" spans="1:7" ht="15.75" thickBot="1" x14ac:dyDescent="0.3">
      <c r="A75" t="s">
        <v>2124</v>
      </c>
      <c r="B75" s="1" t="s">
        <v>2125</v>
      </c>
      <c r="C75" s="1" t="s">
        <v>113</v>
      </c>
      <c r="D75" s="1" t="s">
        <v>1986</v>
      </c>
      <c r="E75" s="9">
        <v>31628</v>
      </c>
      <c r="F75" s="1" t="str">
        <f>VLOOKUP(D75,Table11[[Name]:[Native]],3,FALSE)</f>
        <v>临潼区</v>
      </c>
      <c r="G75" s="12" t="str">
        <f ca="1">VLOOKUP(F75,Table11[[Native]:[Population4]],5,FALSE)</f>
        <v>西安市</v>
      </c>
    </row>
    <row r="76" spans="1:7" ht="15.75" thickBot="1" x14ac:dyDescent="0.3">
      <c r="A76" t="s">
        <v>2126</v>
      </c>
      <c r="B76" s="1" t="s">
        <v>2127</v>
      </c>
      <c r="C76" s="1" t="s">
        <v>113</v>
      </c>
      <c r="D76" s="1" t="s">
        <v>2031</v>
      </c>
      <c r="E76" s="9">
        <v>21002</v>
      </c>
      <c r="F76" s="1" t="str">
        <f>VLOOKUP(D76,Table11[[Name]:[Native]],3,FALSE)</f>
        <v>长安区</v>
      </c>
      <c r="G76" s="12" t="str">
        <f ca="1">VLOOKUP(F76,Table11[[Native]:[Population4]],5,FALSE)</f>
        <v>西安市</v>
      </c>
    </row>
    <row r="77" spans="1:7" ht="15.75" thickBot="1" x14ac:dyDescent="0.3">
      <c r="A77" t="s">
        <v>2128</v>
      </c>
      <c r="B77" s="1" t="s">
        <v>2129</v>
      </c>
      <c r="C77" s="1" t="s">
        <v>113</v>
      </c>
      <c r="D77" s="1" t="s">
        <v>1986</v>
      </c>
      <c r="E77" s="9">
        <v>82337</v>
      </c>
      <c r="F77" s="1" t="str">
        <f>VLOOKUP(D77,Table11[[Name]:[Native]],3,FALSE)</f>
        <v>临潼区</v>
      </c>
      <c r="G77" s="12" t="str">
        <f ca="1">VLOOKUP(F77,Table11[[Native]:[Population4]],5,FALSE)</f>
        <v>西安市</v>
      </c>
    </row>
    <row r="78" spans="1:7" ht="15.75" thickBot="1" x14ac:dyDescent="0.3">
      <c r="A78" t="s">
        <v>2130</v>
      </c>
      <c r="B78" s="1" t="s">
        <v>2131</v>
      </c>
      <c r="C78" s="1" t="s">
        <v>113</v>
      </c>
      <c r="D78" s="1" t="s">
        <v>1997</v>
      </c>
      <c r="E78" s="9">
        <v>62333</v>
      </c>
      <c r="F78" s="1" t="str">
        <f>VLOOKUP(D78,Table11[[Name]:[Native]],3,FALSE)</f>
        <v>未央区</v>
      </c>
      <c r="G78" s="12" t="str">
        <f ca="1">VLOOKUP(F78,Table11[[Native]:[Population4]],5,FALSE)</f>
        <v>西安市</v>
      </c>
    </row>
    <row r="79" spans="1:7" ht="15.75" thickBot="1" x14ac:dyDescent="0.3">
      <c r="A79" t="s">
        <v>2132</v>
      </c>
      <c r="B79" s="1" t="s">
        <v>2133</v>
      </c>
      <c r="C79" s="1" t="s">
        <v>113</v>
      </c>
      <c r="D79" s="1" t="s">
        <v>1986</v>
      </c>
      <c r="E79" s="9">
        <v>28389</v>
      </c>
      <c r="F79" s="1" t="str">
        <f>VLOOKUP(D79,Table11[[Name]:[Native]],3,FALSE)</f>
        <v>临潼区</v>
      </c>
      <c r="G79" s="12" t="str">
        <f ca="1">VLOOKUP(F79,Table11[[Native]:[Population4]],5,FALSE)</f>
        <v>西安市</v>
      </c>
    </row>
    <row r="80" spans="1:7" ht="15.75" thickBot="1" x14ac:dyDescent="0.3">
      <c r="A80" t="s">
        <v>2134</v>
      </c>
      <c r="B80" s="1" t="s">
        <v>2135</v>
      </c>
      <c r="C80" s="1" t="s">
        <v>7</v>
      </c>
      <c r="D80" s="1" t="s">
        <v>1974</v>
      </c>
      <c r="E80" s="9">
        <v>46642</v>
      </c>
      <c r="F80" s="1" t="str">
        <f>VLOOKUP(D80,Table11[[Name]:[Native]],3,FALSE)</f>
        <v>周至县</v>
      </c>
      <c r="G80" s="12" t="str">
        <f ca="1">VLOOKUP(F80,Table11[[Native]:[Population4]],5,FALSE)</f>
        <v>西安市</v>
      </c>
    </row>
    <row r="81" spans="1:7" ht="15.75" thickBot="1" x14ac:dyDescent="0.3">
      <c r="A81" t="s">
        <v>2136</v>
      </c>
      <c r="B81" s="1" t="s">
        <v>2137</v>
      </c>
      <c r="C81" s="1" t="s">
        <v>113</v>
      </c>
      <c r="D81" s="1" t="s">
        <v>2031</v>
      </c>
      <c r="E81" s="9">
        <v>56975</v>
      </c>
      <c r="F81" s="1" t="str">
        <f>VLOOKUP(D81,Table11[[Name]:[Native]],3,FALSE)</f>
        <v>长安区</v>
      </c>
      <c r="G81" s="12" t="str">
        <f ca="1">VLOOKUP(F81,Table11[[Native]:[Population4]],5,FALSE)</f>
        <v>西安市</v>
      </c>
    </row>
    <row r="82" spans="1:7" ht="15.75" thickBot="1" x14ac:dyDescent="0.3">
      <c r="A82" t="s">
        <v>2138</v>
      </c>
      <c r="B82" s="1" t="s">
        <v>2139</v>
      </c>
      <c r="C82" s="1" t="s">
        <v>7</v>
      </c>
      <c r="D82" s="1" t="s">
        <v>1974</v>
      </c>
      <c r="E82" s="9">
        <v>5393</v>
      </c>
      <c r="F82" s="1" t="str">
        <f>VLOOKUP(D82,Table11[[Name]:[Native]],3,FALSE)</f>
        <v>周至县</v>
      </c>
      <c r="G82" s="12" t="str">
        <f ca="1">VLOOKUP(F82,Table11[[Native]:[Population4]],5,FALSE)</f>
        <v>西安市</v>
      </c>
    </row>
    <row r="83" spans="1:7" ht="15.75" thickBot="1" x14ac:dyDescent="0.3">
      <c r="A83" t="s">
        <v>2140</v>
      </c>
      <c r="B83" s="1" t="s">
        <v>2141</v>
      </c>
      <c r="C83" s="1" t="s">
        <v>113</v>
      </c>
      <c r="D83" s="1" t="s">
        <v>2016</v>
      </c>
      <c r="E83" s="9">
        <v>71556</v>
      </c>
      <c r="F83" s="1" t="str">
        <f>VLOOKUP(D83,Table11[[Name]:[Native]],3,FALSE)</f>
        <v>高陵区</v>
      </c>
      <c r="G83" s="12" t="str">
        <f ca="1">VLOOKUP(F83,Table11[[Native]:[Population4]],5,FALSE)</f>
        <v>西安市</v>
      </c>
    </row>
    <row r="84" spans="1:7" ht="15.75" thickBot="1" x14ac:dyDescent="0.3">
      <c r="A84" t="s">
        <v>2142</v>
      </c>
      <c r="B84" s="1" t="s">
        <v>2143</v>
      </c>
      <c r="C84" s="1" t="s">
        <v>113</v>
      </c>
      <c r="D84" s="1" t="s">
        <v>1986</v>
      </c>
      <c r="E84" s="9">
        <v>20943</v>
      </c>
      <c r="F84" s="1" t="str">
        <f>VLOOKUP(D84,Table11[[Name]:[Native]],3,FALSE)</f>
        <v>临潼区</v>
      </c>
      <c r="G84" s="12" t="str">
        <f ca="1">VLOOKUP(F84,Table11[[Native]:[Population4]],5,FALSE)</f>
        <v>西安市</v>
      </c>
    </row>
    <row r="85" spans="1:7" ht="15.75" thickBot="1" x14ac:dyDescent="0.3">
      <c r="A85" t="s">
        <v>2144</v>
      </c>
      <c r="B85" s="1" t="s">
        <v>2145</v>
      </c>
      <c r="C85" s="1" t="s">
        <v>113</v>
      </c>
      <c r="D85" s="1" t="s">
        <v>1982</v>
      </c>
      <c r="E85" s="9">
        <v>26944</v>
      </c>
      <c r="F85" s="1" t="str">
        <f>VLOOKUP(D85,Table11[[Name]:[Native]],3,FALSE)</f>
        <v>西咸新区</v>
      </c>
      <c r="G85" s="12" t="str">
        <f ca="1">VLOOKUP(F85,Table11[[Native]:[Population4]],5,FALSE)</f>
        <v>西安市</v>
      </c>
    </row>
    <row r="86" spans="1:7" ht="15.75" thickBot="1" x14ac:dyDescent="0.3">
      <c r="A86" t="s">
        <v>2146</v>
      </c>
      <c r="B86" s="1" t="s">
        <v>2147</v>
      </c>
      <c r="C86" s="1" t="s">
        <v>7</v>
      </c>
      <c r="D86" s="1" t="s">
        <v>1974</v>
      </c>
      <c r="E86" s="9">
        <v>32023</v>
      </c>
      <c r="F86" s="1" t="str">
        <f>VLOOKUP(D86,Table11[[Name]:[Native]],3,FALSE)</f>
        <v>周至县</v>
      </c>
      <c r="G86" s="12" t="str">
        <f ca="1">VLOOKUP(F86,Table11[[Native]:[Population4]],5,FALSE)</f>
        <v>西安市</v>
      </c>
    </row>
    <row r="87" spans="1:7" ht="15.75" thickBot="1" x14ac:dyDescent="0.3">
      <c r="A87" t="s">
        <v>2148</v>
      </c>
      <c r="B87" s="1" t="s">
        <v>2149</v>
      </c>
      <c r="C87" s="1" t="s">
        <v>7</v>
      </c>
      <c r="D87" s="1" t="s">
        <v>1968</v>
      </c>
      <c r="E87" s="9">
        <v>21779</v>
      </c>
      <c r="F87" s="1" t="str">
        <f>VLOOKUP(D87,Table11[[Name]:[Native]],3,FALSE)</f>
        <v>蓝田县</v>
      </c>
      <c r="G87" s="12" t="str">
        <f ca="1">VLOOKUP(F87,Table11[[Native]:[Population4]],5,FALSE)</f>
        <v>西安市</v>
      </c>
    </row>
    <row r="88" spans="1:7" ht="15.75" thickBot="1" x14ac:dyDescent="0.3">
      <c r="A88" t="s">
        <v>2150</v>
      </c>
      <c r="B88" s="1" t="s">
        <v>2151</v>
      </c>
      <c r="C88" s="1" t="s">
        <v>113</v>
      </c>
      <c r="D88" s="1" t="s">
        <v>2031</v>
      </c>
      <c r="E88" s="9">
        <v>34101</v>
      </c>
      <c r="F88" s="1" t="str">
        <f>VLOOKUP(D88,Table11[[Name]:[Native]],3,FALSE)</f>
        <v>长安区</v>
      </c>
      <c r="G88" s="12" t="str">
        <f ca="1">VLOOKUP(F88,Table11[[Native]:[Population4]],5,FALSE)</f>
        <v>西安市</v>
      </c>
    </row>
    <row r="89" spans="1:7" ht="15.75" thickBot="1" x14ac:dyDescent="0.3">
      <c r="A89" t="s">
        <v>2152</v>
      </c>
      <c r="B89" s="1" t="s">
        <v>2153</v>
      </c>
      <c r="C89" s="1" t="s">
        <v>113</v>
      </c>
      <c r="D89" s="1" t="s">
        <v>1986</v>
      </c>
      <c r="E89" s="9">
        <v>9286</v>
      </c>
      <c r="F89" s="1" t="str">
        <f>VLOOKUP(D89,Table11[[Name]:[Native]],3,FALSE)</f>
        <v>临潼区</v>
      </c>
      <c r="G89" s="12" t="str">
        <f ca="1">VLOOKUP(F89,Table11[[Native]:[Population4]],5,FALSE)</f>
        <v>西安市</v>
      </c>
    </row>
    <row r="90" spans="1:7" ht="15.75" thickBot="1" x14ac:dyDescent="0.3">
      <c r="A90" t="s">
        <v>2154</v>
      </c>
      <c r="B90" s="1" t="s">
        <v>2155</v>
      </c>
      <c r="C90" s="1" t="s">
        <v>7</v>
      </c>
      <c r="D90" s="1" t="s">
        <v>1982</v>
      </c>
      <c r="E90" s="9">
        <v>33982</v>
      </c>
      <c r="F90" s="1" t="str">
        <f>VLOOKUP(D90,Table11[[Name]:[Native]],3,FALSE)</f>
        <v>西咸新区</v>
      </c>
      <c r="G90" s="12" t="str">
        <f ca="1">VLOOKUP(F90,Table11[[Native]:[Population4]],5,FALSE)</f>
        <v>西安市</v>
      </c>
    </row>
    <row r="91" spans="1:7" ht="15.75" thickBot="1" x14ac:dyDescent="0.3">
      <c r="A91" t="s">
        <v>2156</v>
      </c>
      <c r="B91" s="1" t="s">
        <v>2157</v>
      </c>
      <c r="C91" s="1" t="s">
        <v>113</v>
      </c>
      <c r="D91" s="1" t="s">
        <v>1971</v>
      </c>
      <c r="E91" s="9">
        <v>22976</v>
      </c>
      <c r="F91" s="1" t="str">
        <f>VLOOKUP(D91,Table11[[Name]:[Native]],3,FALSE)</f>
        <v>碑林区</v>
      </c>
      <c r="G91" s="12" t="str">
        <f ca="1">VLOOKUP(F91,Table11[[Native]:[Population4]],5,FALSE)</f>
        <v>西安市</v>
      </c>
    </row>
    <row r="92" spans="1:7" ht="15.75" thickBot="1" x14ac:dyDescent="0.3">
      <c r="A92" t="s">
        <v>2158</v>
      </c>
      <c r="B92" s="1" t="s">
        <v>2159</v>
      </c>
      <c r="C92" s="1" t="s">
        <v>113</v>
      </c>
      <c r="D92" s="1" t="s">
        <v>1994</v>
      </c>
      <c r="E92" s="9">
        <v>26922</v>
      </c>
      <c r="F92" s="1" t="str">
        <f>VLOOKUP(D92,Table11[[Name]:[Native]],3,FALSE)</f>
        <v>鄠邑区</v>
      </c>
      <c r="G92" s="12" t="str">
        <f ca="1">VLOOKUP(F92,Table11[[Native]:[Population4]],5,FALSE)</f>
        <v>西安市</v>
      </c>
    </row>
    <row r="93" spans="1:7" ht="15.75" thickBot="1" x14ac:dyDescent="0.3">
      <c r="A93" t="s">
        <v>2160</v>
      </c>
      <c r="B93" s="1" t="s">
        <v>2161</v>
      </c>
      <c r="C93" s="1" t="s">
        <v>113</v>
      </c>
      <c r="D93" s="1" t="s">
        <v>2031</v>
      </c>
      <c r="E93" s="9">
        <v>12336</v>
      </c>
      <c r="F93" s="1" t="str">
        <f>VLOOKUP(D93,Table11[[Name]:[Native]],3,FALSE)</f>
        <v>长安区</v>
      </c>
      <c r="G93" s="12" t="str">
        <f ca="1">VLOOKUP(F93,Table11[[Native]:[Population4]],5,FALSE)</f>
        <v>西安市</v>
      </c>
    </row>
    <row r="94" spans="1:7" ht="15.75" thickBot="1" x14ac:dyDescent="0.3">
      <c r="A94" t="s">
        <v>2162</v>
      </c>
      <c r="B94" s="1" t="s">
        <v>2163</v>
      </c>
      <c r="C94" s="1" t="s">
        <v>7</v>
      </c>
      <c r="D94" s="1" t="s">
        <v>1968</v>
      </c>
      <c r="E94" s="9">
        <v>45116</v>
      </c>
      <c r="F94" s="1" t="str">
        <f>VLOOKUP(D94,Table11[[Name]:[Native]],3,FALSE)</f>
        <v>蓝田县</v>
      </c>
      <c r="G94" s="12" t="str">
        <f ca="1">VLOOKUP(F94,Table11[[Native]:[Population4]],5,FALSE)</f>
        <v>西安市</v>
      </c>
    </row>
    <row r="95" spans="1:7" ht="15.75" thickBot="1" x14ac:dyDescent="0.3">
      <c r="A95" t="s">
        <v>2164</v>
      </c>
      <c r="B95" s="1" t="s">
        <v>2165</v>
      </c>
      <c r="C95" s="1" t="s">
        <v>7</v>
      </c>
      <c r="D95" s="1" t="s">
        <v>1968</v>
      </c>
      <c r="E95" s="9">
        <v>26579</v>
      </c>
      <c r="F95" s="1" t="str">
        <f>VLOOKUP(D95,Table11[[Name]:[Native]],3,FALSE)</f>
        <v>蓝田县</v>
      </c>
      <c r="G95" s="12" t="str">
        <f ca="1">VLOOKUP(F95,Table11[[Native]:[Population4]],5,FALSE)</f>
        <v>西安市</v>
      </c>
    </row>
    <row r="96" spans="1:7" ht="15.75" thickBot="1" x14ac:dyDescent="0.3">
      <c r="A96" t="s">
        <v>2166</v>
      </c>
      <c r="B96" s="1" t="s">
        <v>2167</v>
      </c>
      <c r="C96" s="1" t="s">
        <v>113</v>
      </c>
      <c r="D96" s="1" t="s">
        <v>1994</v>
      </c>
      <c r="E96" s="9">
        <v>51050</v>
      </c>
      <c r="F96" s="1" t="str">
        <f>VLOOKUP(D96,Table11[[Name]:[Native]],3,FALSE)</f>
        <v>鄠邑区</v>
      </c>
      <c r="G96" s="12" t="str">
        <f ca="1">VLOOKUP(F96,Table11[[Native]:[Population4]],5,FALSE)</f>
        <v>西安市</v>
      </c>
    </row>
    <row r="97" spans="1:7" ht="15.75" thickBot="1" x14ac:dyDescent="0.3">
      <c r="A97" t="s">
        <v>515</v>
      </c>
      <c r="B97" s="1" t="s">
        <v>516</v>
      </c>
      <c r="C97" s="1" t="s">
        <v>7</v>
      </c>
      <c r="D97" s="1" t="s">
        <v>1974</v>
      </c>
      <c r="E97" s="9">
        <v>21204</v>
      </c>
      <c r="F97" s="1" t="str">
        <f>VLOOKUP(D97,Table11[[Name]:[Native]],3,FALSE)</f>
        <v>周至县</v>
      </c>
      <c r="G97" s="12" t="str">
        <f ca="1">VLOOKUP(F97,Table11[[Native]:[Population4]],5,FALSE)</f>
        <v>西安市</v>
      </c>
    </row>
    <row r="98" spans="1:7" ht="15.75" thickBot="1" x14ac:dyDescent="0.3">
      <c r="A98" t="s">
        <v>1323</v>
      </c>
      <c r="B98" s="1" t="s">
        <v>1324</v>
      </c>
      <c r="C98" s="1" t="s">
        <v>113</v>
      </c>
      <c r="D98" s="1" t="s">
        <v>1983</v>
      </c>
      <c r="E98" s="9">
        <v>57848</v>
      </c>
      <c r="F98" s="1" t="str">
        <f>VLOOKUP(D98,Table11[[Name]:[Native]],3,FALSE)</f>
        <v>莲湖区</v>
      </c>
      <c r="G98" s="12" t="str">
        <f ca="1">VLOOKUP(F98,Table11[[Native]:[Population4]],5,FALSE)</f>
        <v>西安市</v>
      </c>
    </row>
    <row r="99" spans="1:7" ht="15.75" thickBot="1" x14ac:dyDescent="0.3">
      <c r="A99" t="s">
        <v>2168</v>
      </c>
      <c r="B99" s="1" t="s">
        <v>2169</v>
      </c>
      <c r="C99" s="1" t="s">
        <v>113</v>
      </c>
      <c r="D99" s="1" t="s">
        <v>1986</v>
      </c>
      <c r="E99" s="9">
        <v>28288</v>
      </c>
      <c r="F99" s="1" t="str">
        <f>VLOOKUP(D99,Table11[[Name]:[Native]],3,FALSE)</f>
        <v>临潼区</v>
      </c>
      <c r="G99" s="12" t="str">
        <f ca="1">VLOOKUP(F99,Table11[[Native]:[Population4]],5,FALSE)</f>
        <v>西安市</v>
      </c>
    </row>
    <row r="100" spans="1:7" ht="15.75" thickBot="1" x14ac:dyDescent="0.3">
      <c r="A100" t="s">
        <v>2170</v>
      </c>
      <c r="B100" s="1" t="s">
        <v>2171</v>
      </c>
      <c r="C100" s="1" t="s">
        <v>113</v>
      </c>
      <c r="D100" s="1" t="s">
        <v>2009</v>
      </c>
      <c r="E100" s="9">
        <v>71496</v>
      </c>
      <c r="F100" s="1" t="str">
        <f>VLOOKUP(D100,Table11[[Name]:[Native]],3,FALSE)</f>
        <v>雁塔区</v>
      </c>
      <c r="G100" s="12" t="str">
        <f ca="1">VLOOKUP(F100,Table11[[Native]:[Population4]],5,FALSE)</f>
        <v>西安市</v>
      </c>
    </row>
    <row r="101" spans="1:7" ht="15.75" thickBot="1" x14ac:dyDescent="0.3">
      <c r="A101" t="s">
        <v>2172</v>
      </c>
      <c r="B101" s="1" t="s">
        <v>2173</v>
      </c>
      <c r="C101" s="1" t="s">
        <v>113</v>
      </c>
      <c r="D101" s="1" t="s">
        <v>1986</v>
      </c>
      <c r="E101" s="9">
        <v>21635</v>
      </c>
      <c r="F101" s="1" t="str">
        <f>VLOOKUP(D101,Table11[[Name]:[Native]],3,FALSE)</f>
        <v>临潼区</v>
      </c>
      <c r="G101" s="12" t="str">
        <f ca="1">VLOOKUP(F101,Table11[[Native]:[Population4]],5,FALSE)</f>
        <v>西安市</v>
      </c>
    </row>
    <row r="102" spans="1:7" ht="15.75" thickBot="1" x14ac:dyDescent="0.3">
      <c r="A102" t="s">
        <v>2174</v>
      </c>
      <c r="B102" s="1" t="s">
        <v>2175</v>
      </c>
      <c r="C102" s="1" t="s">
        <v>113</v>
      </c>
      <c r="D102" s="1" t="s">
        <v>1986</v>
      </c>
      <c r="E102" s="9">
        <v>8621</v>
      </c>
      <c r="F102" s="1" t="str">
        <f>VLOOKUP(D102,Table11[[Name]:[Native]],3,FALSE)</f>
        <v>临潼区</v>
      </c>
      <c r="G102" s="12" t="str">
        <f ca="1">VLOOKUP(F102,Table11[[Native]:[Population4]],5,FALSE)</f>
        <v>西安市</v>
      </c>
    </row>
    <row r="103" spans="1:7" ht="15.75" thickBot="1" x14ac:dyDescent="0.3">
      <c r="A103" t="s">
        <v>2176</v>
      </c>
      <c r="B103" s="1" t="s">
        <v>2177</v>
      </c>
      <c r="C103" s="1" t="s">
        <v>7</v>
      </c>
      <c r="D103" s="1" t="s">
        <v>1968</v>
      </c>
      <c r="E103" s="9">
        <v>29111</v>
      </c>
      <c r="F103" s="1" t="str">
        <f>VLOOKUP(D103,Table11[[Name]:[Native]],3,FALSE)</f>
        <v>蓝田县</v>
      </c>
      <c r="G103" s="12" t="str">
        <f ca="1">VLOOKUP(F103,Table11[[Native]:[Population4]],5,FALSE)</f>
        <v>西安市</v>
      </c>
    </row>
    <row r="104" spans="1:7" ht="15.75" thickBot="1" x14ac:dyDescent="0.3">
      <c r="A104" t="s">
        <v>2178</v>
      </c>
      <c r="B104" s="1" t="s">
        <v>2179</v>
      </c>
      <c r="C104" s="1" t="s">
        <v>7</v>
      </c>
      <c r="D104" s="1" t="s">
        <v>1968</v>
      </c>
      <c r="E104" s="9">
        <v>43364</v>
      </c>
      <c r="F104" s="1" t="str">
        <f>VLOOKUP(D104,Table11[[Name]:[Native]],3,FALSE)</f>
        <v>蓝田县</v>
      </c>
      <c r="G104" s="12" t="str">
        <f ca="1">VLOOKUP(F104,Table11[[Native]:[Population4]],5,FALSE)</f>
        <v>西安市</v>
      </c>
    </row>
    <row r="105" spans="1:7" ht="15.75" thickBot="1" x14ac:dyDescent="0.3">
      <c r="A105" t="s">
        <v>2180</v>
      </c>
      <c r="B105" s="1" t="s">
        <v>2181</v>
      </c>
      <c r="C105" s="1" t="s">
        <v>113</v>
      </c>
      <c r="D105" s="1" t="s">
        <v>1982</v>
      </c>
      <c r="E105" s="9">
        <v>135773</v>
      </c>
      <c r="F105" s="1" t="str">
        <f>VLOOKUP(D105,Table11[[Name]:[Native]],3,FALSE)</f>
        <v>西咸新区</v>
      </c>
      <c r="G105" s="12" t="str">
        <f ca="1">VLOOKUP(F105,Table11[[Native]:[Population4]],5,FALSE)</f>
        <v>西安市</v>
      </c>
    </row>
    <row r="106" spans="1:7" ht="15.75" thickBot="1" x14ac:dyDescent="0.3">
      <c r="A106" t="s">
        <v>2182</v>
      </c>
      <c r="B106" s="1" t="s">
        <v>2183</v>
      </c>
      <c r="C106" s="1" t="s">
        <v>7</v>
      </c>
      <c r="D106" s="1" t="s">
        <v>1974</v>
      </c>
      <c r="E106" s="9">
        <v>46037</v>
      </c>
      <c r="F106" s="1" t="str">
        <f>VLOOKUP(D106,Table11[[Name]:[Native]],3,FALSE)</f>
        <v>周至县</v>
      </c>
      <c r="G106" s="12" t="str">
        <f ca="1">VLOOKUP(F106,Table11[[Native]:[Population4]],5,FALSE)</f>
        <v>西安市</v>
      </c>
    </row>
    <row r="107" spans="1:7" ht="15.75" thickBot="1" x14ac:dyDescent="0.3">
      <c r="A107" t="s">
        <v>2184</v>
      </c>
      <c r="B107" s="1" t="s">
        <v>2185</v>
      </c>
      <c r="C107" s="1" t="s">
        <v>113</v>
      </c>
      <c r="D107" s="1" t="s">
        <v>1982</v>
      </c>
      <c r="E107" s="9">
        <v>28068</v>
      </c>
      <c r="F107" s="1" t="str">
        <f>VLOOKUP(D107,Table11[[Name]:[Native]],3,FALSE)</f>
        <v>西咸新区</v>
      </c>
      <c r="G107" s="12" t="str">
        <f ca="1">VLOOKUP(F107,Table11[[Native]:[Population4]],5,FALSE)</f>
        <v>西安市</v>
      </c>
    </row>
    <row r="108" spans="1:7" ht="15.75" thickBot="1" x14ac:dyDescent="0.3">
      <c r="A108" t="s">
        <v>2186</v>
      </c>
      <c r="B108" s="1" t="s">
        <v>2187</v>
      </c>
      <c r="C108" s="1" t="s">
        <v>7</v>
      </c>
      <c r="D108" s="1" t="s">
        <v>1994</v>
      </c>
      <c r="E108" s="9">
        <v>25584</v>
      </c>
      <c r="F108" s="1" t="str">
        <f>VLOOKUP(D108,Table11[[Name]:[Native]],3,FALSE)</f>
        <v>鄠邑区</v>
      </c>
      <c r="G108" s="12" t="str">
        <f ca="1">VLOOKUP(F108,Table11[[Native]:[Population4]],5,FALSE)</f>
        <v>西安市</v>
      </c>
    </row>
    <row r="109" spans="1:7" ht="15.75" thickBot="1" x14ac:dyDescent="0.3">
      <c r="A109" t="s">
        <v>531</v>
      </c>
      <c r="B109" s="1" t="s">
        <v>532</v>
      </c>
      <c r="C109" s="1" t="s">
        <v>113</v>
      </c>
      <c r="D109" s="1" t="s">
        <v>1977</v>
      </c>
      <c r="E109" s="9">
        <v>100867</v>
      </c>
      <c r="F109" s="1" t="str">
        <f>VLOOKUP(D109,Table11[[Name]:[Native]],3,FALSE)</f>
        <v>灞桥区</v>
      </c>
      <c r="G109" s="12" t="str">
        <f ca="1">VLOOKUP(F109,Table11[[Native]:[Population4]],5,FALSE)</f>
        <v>西安市</v>
      </c>
    </row>
    <row r="110" spans="1:7" ht="15.75" thickBot="1" x14ac:dyDescent="0.3">
      <c r="A110" t="s">
        <v>2188</v>
      </c>
      <c r="B110" s="1" t="s">
        <v>2189</v>
      </c>
      <c r="C110" s="1" t="s">
        <v>113</v>
      </c>
      <c r="D110" s="1" t="s">
        <v>1982</v>
      </c>
      <c r="E110" s="9">
        <v>36775</v>
      </c>
      <c r="F110" s="1" t="str">
        <f>VLOOKUP(D110,Table11[[Name]:[Native]],3,FALSE)</f>
        <v>西咸新区</v>
      </c>
      <c r="G110" s="12" t="str">
        <f ca="1">VLOOKUP(F110,Table11[[Native]:[Population4]],5,FALSE)</f>
        <v>西安市</v>
      </c>
    </row>
    <row r="111" spans="1:7" ht="15.75" thickBot="1" x14ac:dyDescent="0.3">
      <c r="A111" t="s">
        <v>2190</v>
      </c>
      <c r="B111" s="1" t="s">
        <v>2191</v>
      </c>
      <c r="C111" s="1" t="s">
        <v>7</v>
      </c>
      <c r="D111" s="1" t="s">
        <v>1974</v>
      </c>
      <c r="E111" s="9">
        <v>35757</v>
      </c>
      <c r="F111" s="1" t="str">
        <f>VLOOKUP(D111,Table11[[Name]:[Native]],3,FALSE)</f>
        <v>周至县</v>
      </c>
      <c r="G111" s="12" t="str">
        <f ca="1">VLOOKUP(F111,Table11[[Native]:[Population4]],5,FALSE)</f>
        <v>西安市</v>
      </c>
    </row>
    <row r="112" spans="1:7" ht="15.75" thickBot="1" x14ac:dyDescent="0.3">
      <c r="A112" t="s">
        <v>2192</v>
      </c>
      <c r="B112" s="1" t="s">
        <v>2193</v>
      </c>
      <c r="C112" s="1" t="s">
        <v>7</v>
      </c>
      <c r="D112" s="1" t="s">
        <v>1974</v>
      </c>
      <c r="E112" s="9">
        <v>21868</v>
      </c>
      <c r="F112" s="1" t="str">
        <f>VLOOKUP(D112,Table11[[Name]:[Native]],3,FALSE)</f>
        <v>周至县</v>
      </c>
      <c r="G112" s="12" t="str">
        <f ca="1">VLOOKUP(F112,Table11[[Native]:[Population4]],5,FALSE)</f>
        <v>西安市</v>
      </c>
    </row>
    <row r="113" spans="1:7" ht="15.75" thickBot="1" x14ac:dyDescent="0.3">
      <c r="A113" t="s">
        <v>1618</v>
      </c>
      <c r="B113" s="1" t="s">
        <v>1619</v>
      </c>
      <c r="C113" s="1" t="s">
        <v>113</v>
      </c>
      <c r="D113" s="1" t="s">
        <v>2004</v>
      </c>
      <c r="E113" s="9">
        <v>71510</v>
      </c>
      <c r="F113" s="1" t="str">
        <f>VLOOKUP(D113,Table11[[Name]:[Native]],3,FALSE)</f>
        <v>新城区</v>
      </c>
      <c r="G113" s="12" t="str">
        <f ca="1">VLOOKUP(F113,Table11[[Native]:[Population4]],5,FALSE)</f>
        <v>西安市</v>
      </c>
    </row>
    <row r="114" spans="1:7" ht="15.75" thickBot="1" x14ac:dyDescent="0.3">
      <c r="A114" t="s">
        <v>2194</v>
      </c>
      <c r="B114" s="1" t="s">
        <v>2195</v>
      </c>
      <c r="C114" s="1" t="s">
        <v>7</v>
      </c>
      <c r="D114" s="1" t="s">
        <v>1982</v>
      </c>
      <c r="E114" s="9">
        <v>27853</v>
      </c>
      <c r="F114" s="1" t="str">
        <f>VLOOKUP(D114,Table11[[Name]:[Native]],3,FALSE)</f>
        <v>西咸新区</v>
      </c>
      <c r="G114" s="12" t="str">
        <f ca="1">VLOOKUP(F114,Table11[[Native]:[Population4]],5,FALSE)</f>
        <v>西安市</v>
      </c>
    </row>
    <row r="115" spans="1:7" ht="15.75" thickBot="1" x14ac:dyDescent="0.3">
      <c r="A115" t="s">
        <v>2196</v>
      </c>
      <c r="B115" s="1" t="s">
        <v>2197</v>
      </c>
      <c r="C115" s="1" t="s">
        <v>113</v>
      </c>
      <c r="D115" s="1" t="s">
        <v>2031</v>
      </c>
      <c r="E115" s="9">
        <v>32976</v>
      </c>
      <c r="F115" s="1" t="str">
        <f>VLOOKUP(D115,Table11[[Name]:[Native]],3,FALSE)</f>
        <v>长安区</v>
      </c>
      <c r="G115" s="12" t="str">
        <f ca="1">VLOOKUP(F115,Table11[[Native]:[Population4]],5,FALSE)</f>
        <v>西安市</v>
      </c>
    </row>
    <row r="116" spans="1:7" ht="15.75" thickBot="1" x14ac:dyDescent="0.3">
      <c r="A116" t="s">
        <v>2198</v>
      </c>
      <c r="B116" s="1" t="s">
        <v>2199</v>
      </c>
      <c r="C116" s="1" t="s">
        <v>113</v>
      </c>
      <c r="D116" s="1" t="s">
        <v>1971</v>
      </c>
      <c r="E116" s="9">
        <v>121465</v>
      </c>
      <c r="F116" s="1" t="str">
        <f>VLOOKUP(D116,Table11[[Name]:[Native]],3,FALSE)</f>
        <v>碑林区</v>
      </c>
      <c r="G116" s="12" t="str">
        <f ca="1">VLOOKUP(F116,Table11[[Native]:[Population4]],5,FALSE)</f>
        <v>西安市</v>
      </c>
    </row>
    <row r="117" spans="1:7" ht="15.75" thickBot="1" x14ac:dyDescent="0.3">
      <c r="A117" t="s">
        <v>2200</v>
      </c>
      <c r="B117" s="1" t="s">
        <v>546</v>
      </c>
      <c r="C117" s="1" t="s">
        <v>7</v>
      </c>
      <c r="D117" s="1" t="s">
        <v>1968</v>
      </c>
      <c r="E117" s="9">
        <v>39919</v>
      </c>
      <c r="F117" s="1" t="str">
        <f>VLOOKUP(D117,Table11[[Name]:[Native]],3,FALSE)</f>
        <v>蓝田县</v>
      </c>
      <c r="G117" s="12" t="str">
        <f ca="1">VLOOKUP(F117,Table11[[Native]:[Population4]],5,FALSE)</f>
        <v>西安市</v>
      </c>
    </row>
    <row r="118" spans="1:7" ht="15.75" thickBot="1" x14ac:dyDescent="0.3">
      <c r="A118" t="s">
        <v>2201</v>
      </c>
      <c r="B118" s="1" t="s">
        <v>2202</v>
      </c>
      <c r="C118" s="1" t="s">
        <v>113</v>
      </c>
      <c r="D118" s="1" t="s">
        <v>1997</v>
      </c>
      <c r="E118" s="9">
        <v>62690</v>
      </c>
      <c r="F118" s="1" t="str">
        <f>VLOOKUP(D118,Table11[[Name]:[Native]],3,FALSE)</f>
        <v>未央区</v>
      </c>
      <c r="G118" s="12" t="str">
        <f ca="1">VLOOKUP(F118,Table11[[Native]:[Population4]],5,FALSE)</f>
        <v>西安市</v>
      </c>
    </row>
    <row r="119" spans="1:7" ht="15.75" thickBot="1" x14ac:dyDescent="0.3">
      <c r="A119" t="s">
        <v>2203</v>
      </c>
      <c r="B119" s="1" t="s">
        <v>2204</v>
      </c>
      <c r="C119" s="1" t="s">
        <v>113</v>
      </c>
      <c r="D119" s="1" t="s">
        <v>1983</v>
      </c>
      <c r="E119" s="9">
        <v>106450</v>
      </c>
      <c r="F119" s="1" t="str">
        <f>VLOOKUP(D119,Table11[[Name]:[Native]],3,FALSE)</f>
        <v>莲湖区</v>
      </c>
      <c r="G119" s="12" t="str">
        <f ca="1">VLOOKUP(F119,Table11[[Native]:[Population4]],5,FALSE)</f>
        <v>西安市</v>
      </c>
    </row>
    <row r="120" spans="1:7" ht="15.75" thickBot="1" x14ac:dyDescent="0.3">
      <c r="A120" t="s">
        <v>2205</v>
      </c>
      <c r="B120" s="1" t="s">
        <v>2206</v>
      </c>
      <c r="C120" s="1" t="s">
        <v>113</v>
      </c>
      <c r="D120" s="1" t="s">
        <v>1986</v>
      </c>
      <c r="E120" s="9">
        <v>15995</v>
      </c>
      <c r="F120" s="1" t="str">
        <f>VLOOKUP(D120,Table11[[Name]:[Native]],3,FALSE)</f>
        <v>临潼区</v>
      </c>
      <c r="G120" s="12" t="str">
        <f ca="1">VLOOKUP(F120,Table11[[Native]:[Population4]],5,FALSE)</f>
        <v>西安市</v>
      </c>
    </row>
    <row r="121" spans="1:7" ht="15.75" thickBot="1" x14ac:dyDescent="0.3">
      <c r="A121" t="s">
        <v>2207</v>
      </c>
      <c r="B121" s="1" t="s">
        <v>2208</v>
      </c>
      <c r="C121" s="1" t="s">
        <v>113</v>
      </c>
      <c r="D121" s="1" t="s">
        <v>2016</v>
      </c>
      <c r="E121" s="9">
        <v>41246</v>
      </c>
      <c r="F121" s="1" t="str">
        <f>VLOOKUP(D121,Table11[[Name]:[Native]],3,FALSE)</f>
        <v>高陵区</v>
      </c>
      <c r="G121" s="12" t="str">
        <f ca="1">VLOOKUP(F121,Table11[[Native]:[Population4]],5,FALSE)</f>
        <v>西安市</v>
      </c>
    </row>
    <row r="122" spans="1:7" ht="15.75" thickBot="1" x14ac:dyDescent="0.3">
      <c r="A122" t="s">
        <v>2209</v>
      </c>
      <c r="B122" s="1" t="s">
        <v>2210</v>
      </c>
      <c r="C122" s="1" t="s">
        <v>113</v>
      </c>
      <c r="D122" s="1" t="s">
        <v>1983</v>
      </c>
      <c r="E122" s="9">
        <v>79860</v>
      </c>
      <c r="F122" s="1" t="str">
        <f>VLOOKUP(D122,Table11[[Name]:[Native]],3,FALSE)</f>
        <v>莲湖区</v>
      </c>
      <c r="G122" s="12" t="str">
        <f ca="1">VLOOKUP(F122,Table11[[Native]:[Population4]],5,FALSE)</f>
        <v>西安市</v>
      </c>
    </row>
    <row r="123" spans="1:7" ht="15.75" thickBot="1" x14ac:dyDescent="0.3">
      <c r="A123" t="s">
        <v>2211</v>
      </c>
      <c r="B123" s="1" t="s">
        <v>2212</v>
      </c>
      <c r="C123" s="1" t="s">
        <v>7</v>
      </c>
      <c r="D123" s="1" t="s">
        <v>1968</v>
      </c>
      <c r="E123" s="9">
        <v>17185</v>
      </c>
      <c r="F123" s="1" t="str">
        <f>VLOOKUP(D123,Table11[[Name]:[Native]],3,FALSE)</f>
        <v>蓝田县</v>
      </c>
      <c r="G123" s="12" t="str">
        <f ca="1">VLOOKUP(F123,Table11[[Native]:[Population4]],5,FALSE)</f>
        <v>西安市</v>
      </c>
    </row>
    <row r="124" spans="1:7" ht="15.75" thickBot="1" x14ac:dyDescent="0.3">
      <c r="A124" t="s">
        <v>2213</v>
      </c>
      <c r="B124" s="1" t="s">
        <v>2214</v>
      </c>
      <c r="C124" s="1" t="s">
        <v>7</v>
      </c>
      <c r="D124" s="1" t="s">
        <v>1974</v>
      </c>
      <c r="E124" s="9">
        <v>2313</v>
      </c>
      <c r="F124" s="1" t="str">
        <f>VLOOKUP(D124,Table11[[Name]:[Native]],3,FALSE)</f>
        <v>周至县</v>
      </c>
      <c r="G124" s="12" t="str">
        <f ca="1">VLOOKUP(F124,Table11[[Native]:[Population4]],5,FALSE)</f>
        <v>西安市</v>
      </c>
    </row>
    <row r="125" spans="1:7" ht="15.75" thickBot="1" x14ac:dyDescent="0.3">
      <c r="A125" t="s">
        <v>2215</v>
      </c>
      <c r="B125" s="1" t="s">
        <v>2216</v>
      </c>
      <c r="C125" s="1" t="s">
        <v>113</v>
      </c>
      <c r="D125" s="1" t="s">
        <v>2031</v>
      </c>
      <c r="E125" s="9">
        <v>30394</v>
      </c>
      <c r="F125" s="1" t="str">
        <f>VLOOKUP(D125,Table11[[Name]:[Native]],3,FALSE)</f>
        <v>长安区</v>
      </c>
      <c r="G125" s="12" t="str">
        <f ca="1">VLOOKUP(F125,Table11[[Native]:[Population4]],5,FALSE)</f>
        <v>西安市</v>
      </c>
    </row>
    <row r="126" spans="1:7" ht="15.75" thickBot="1" x14ac:dyDescent="0.3">
      <c r="A126" t="s">
        <v>2217</v>
      </c>
      <c r="B126" s="1" t="s">
        <v>2218</v>
      </c>
      <c r="C126" s="1" t="s">
        <v>113</v>
      </c>
      <c r="D126" s="1" t="s">
        <v>2031</v>
      </c>
      <c r="E126" s="9">
        <v>51477</v>
      </c>
      <c r="F126" s="1" t="str">
        <f>VLOOKUP(D126,Table11[[Name]:[Native]],3,FALSE)</f>
        <v>长安区</v>
      </c>
      <c r="G126" s="12" t="str">
        <f ca="1">VLOOKUP(F126,Table11[[Native]:[Population4]],5,FALSE)</f>
        <v>西安市</v>
      </c>
    </row>
    <row r="127" spans="1:7" ht="15.75" thickBot="1" x14ac:dyDescent="0.3">
      <c r="A127" t="s">
        <v>2219</v>
      </c>
      <c r="B127" s="1" t="s">
        <v>2220</v>
      </c>
      <c r="C127" s="1" t="s">
        <v>113</v>
      </c>
      <c r="D127" s="1" t="s">
        <v>1982</v>
      </c>
      <c r="E127" s="9">
        <v>32940</v>
      </c>
      <c r="F127" s="1" t="str">
        <f>VLOOKUP(D127,Table11[[Name]:[Native]],3,FALSE)</f>
        <v>西咸新区</v>
      </c>
      <c r="G127" s="12" t="str">
        <f ca="1">VLOOKUP(F127,Table11[[Native]:[Population4]],5,FALSE)</f>
        <v>西安市</v>
      </c>
    </row>
    <row r="128" spans="1:7" ht="15.75" thickBot="1" x14ac:dyDescent="0.3">
      <c r="A128" t="s">
        <v>2221</v>
      </c>
      <c r="B128" s="1" t="s">
        <v>2222</v>
      </c>
      <c r="C128" s="1" t="s">
        <v>113</v>
      </c>
      <c r="D128" s="1" t="s">
        <v>1982</v>
      </c>
      <c r="E128" s="9">
        <v>23229</v>
      </c>
      <c r="F128" s="1" t="str">
        <f>VLOOKUP(D128,Table11[[Name]:[Native]],3,FALSE)</f>
        <v>西咸新区</v>
      </c>
      <c r="G128" s="12" t="str">
        <f ca="1">VLOOKUP(F128,Table11[[Native]:[Population4]],5,FALSE)</f>
        <v>西安市</v>
      </c>
    </row>
    <row r="129" spans="1:7" ht="15.75" thickBot="1" x14ac:dyDescent="0.3">
      <c r="A129" t="s">
        <v>2223</v>
      </c>
      <c r="B129" s="1" t="s">
        <v>2224</v>
      </c>
      <c r="C129" s="1" t="s">
        <v>7</v>
      </c>
      <c r="D129" s="1" t="s">
        <v>1994</v>
      </c>
      <c r="E129" s="9">
        <v>25157</v>
      </c>
      <c r="F129" s="1" t="str">
        <f>VLOOKUP(D129,Table11[[Name]:[Native]],3,FALSE)</f>
        <v>鄠邑区</v>
      </c>
      <c r="G129" s="12" t="str">
        <f ca="1">VLOOKUP(F129,Table11[[Native]:[Population4]],5,FALSE)</f>
        <v>西安市</v>
      </c>
    </row>
    <row r="130" spans="1:7" ht="15.75" thickBot="1" x14ac:dyDescent="0.3">
      <c r="A130" t="s">
        <v>2225</v>
      </c>
      <c r="B130" s="1" t="s">
        <v>2226</v>
      </c>
      <c r="C130" s="1" t="s">
        <v>113</v>
      </c>
      <c r="D130" s="1" t="s">
        <v>2031</v>
      </c>
      <c r="E130" s="9">
        <v>223840</v>
      </c>
      <c r="F130" s="1" t="str">
        <f>VLOOKUP(D130,Table11[[Name]:[Native]],3,FALSE)</f>
        <v>长安区</v>
      </c>
      <c r="G130" s="12" t="str">
        <f ca="1">VLOOKUP(F130,Table11[[Native]:[Population4]],5,FALSE)</f>
        <v>西安市</v>
      </c>
    </row>
    <row r="131" spans="1:7" ht="15.75" thickBot="1" x14ac:dyDescent="0.3">
      <c r="A131" t="s">
        <v>2227</v>
      </c>
      <c r="B131" s="1" t="s">
        <v>2228</v>
      </c>
      <c r="C131" s="1" t="s">
        <v>113</v>
      </c>
      <c r="D131" s="1" t="s">
        <v>1997</v>
      </c>
      <c r="E131" s="9">
        <v>76364</v>
      </c>
      <c r="F131" s="1" t="str">
        <f>VLOOKUP(D131,Table11[[Name]:[Native]],3,FALSE)</f>
        <v>未央区</v>
      </c>
      <c r="G131" s="12" t="str">
        <f ca="1">VLOOKUP(F131,Table11[[Native]:[Population4]],5,FALSE)</f>
        <v>西安市</v>
      </c>
    </row>
    <row r="132" spans="1:7" ht="15.75" thickBot="1" x14ac:dyDescent="0.3">
      <c r="A132" t="s">
        <v>2229</v>
      </c>
      <c r="B132" s="1" t="s">
        <v>2230</v>
      </c>
      <c r="C132" s="1" t="s">
        <v>113</v>
      </c>
      <c r="D132" s="1" t="s">
        <v>2031</v>
      </c>
      <c r="E132" s="9">
        <v>11210</v>
      </c>
      <c r="F132" s="1" t="str">
        <f>VLOOKUP(D132,Table11[[Name]:[Native]],3,FALSE)</f>
        <v>长安区</v>
      </c>
      <c r="G132" s="12" t="str">
        <f ca="1">VLOOKUP(F132,Table11[[Native]:[Population4]],5,FALSE)</f>
        <v>西安市</v>
      </c>
    </row>
    <row r="133" spans="1:7" ht="15.75" thickBot="1" x14ac:dyDescent="0.3">
      <c r="A133" t="s">
        <v>2231</v>
      </c>
      <c r="B133" s="1" t="s">
        <v>2232</v>
      </c>
      <c r="C133" s="1" t="s">
        <v>113</v>
      </c>
      <c r="D133" s="1" t="s">
        <v>1971</v>
      </c>
      <c r="E133" s="9">
        <v>81817</v>
      </c>
      <c r="F133" s="1" t="str">
        <f>VLOOKUP(D133,Table11[[Name]:[Native]],3,FALSE)</f>
        <v>碑林区</v>
      </c>
      <c r="G133" s="12" t="str">
        <f ca="1">VLOOKUP(F133,Table11[[Native]:[Population4]],5,FALSE)</f>
        <v>西安市</v>
      </c>
    </row>
    <row r="134" spans="1:7" ht="15.75" thickBot="1" x14ac:dyDescent="0.3">
      <c r="A134" t="s">
        <v>2233</v>
      </c>
      <c r="B134" s="1" t="s">
        <v>2234</v>
      </c>
      <c r="C134" s="1" t="s">
        <v>113</v>
      </c>
      <c r="D134" s="1" t="s">
        <v>2031</v>
      </c>
      <c r="E134" s="9">
        <v>11002</v>
      </c>
      <c r="F134" s="1" t="str">
        <f>VLOOKUP(D134,Table11[[Name]:[Native]],3,FALSE)</f>
        <v>长安区</v>
      </c>
      <c r="G134" s="12" t="str">
        <f ca="1">VLOOKUP(F134,Table11[[Native]:[Population4]],5,FALSE)</f>
        <v>西安市</v>
      </c>
    </row>
    <row r="135" spans="1:7" ht="15.75" thickBot="1" x14ac:dyDescent="0.3">
      <c r="A135" t="s">
        <v>2235</v>
      </c>
      <c r="B135" s="1" t="s">
        <v>2236</v>
      </c>
      <c r="C135" s="1" t="s">
        <v>113</v>
      </c>
      <c r="D135" s="1" t="s">
        <v>1989</v>
      </c>
      <c r="E135" s="9">
        <v>35767</v>
      </c>
      <c r="F135" s="1" t="str">
        <f>VLOOKUP(D135,Table11[[Name]:[Native]],3,FALSE)</f>
        <v>阎良区</v>
      </c>
      <c r="G135" s="12" t="str">
        <f ca="1">VLOOKUP(F135,Table11[[Native]:[Population4]],5,FALSE)</f>
        <v>西安市</v>
      </c>
    </row>
    <row r="136" spans="1:7" ht="15.75" thickBot="1" x14ac:dyDescent="0.3">
      <c r="A136" t="s">
        <v>2237</v>
      </c>
      <c r="B136" s="1" t="s">
        <v>2238</v>
      </c>
      <c r="C136" s="1" t="s">
        <v>113</v>
      </c>
      <c r="D136" s="1" t="s">
        <v>2031</v>
      </c>
      <c r="E136" s="9">
        <v>28171</v>
      </c>
      <c r="F136" s="1" t="str">
        <f>VLOOKUP(D136,Table11[[Name]:[Native]],3,FALSE)</f>
        <v>长安区</v>
      </c>
      <c r="G136" s="12" t="str">
        <f ca="1">VLOOKUP(F136,Table11[[Native]:[Population4]],5,FALSE)</f>
        <v>西安市</v>
      </c>
    </row>
    <row r="137" spans="1:7" ht="15.75" thickBot="1" x14ac:dyDescent="0.3">
      <c r="A137" t="s">
        <v>2239</v>
      </c>
      <c r="B137" s="1" t="s">
        <v>2240</v>
      </c>
      <c r="C137" s="1" t="s">
        <v>113</v>
      </c>
      <c r="D137" s="1" t="s">
        <v>1994</v>
      </c>
      <c r="E137" s="9">
        <v>44573</v>
      </c>
      <c r="F137" s="1" t="str">
        <f>VLOOKUP(D137,Table11[[Name]:[Native]],3,FALSE)</f>
        <v>鄠邑区</v>
      </c>
      <c r="G137" s="12" t="str">
        <f ca="1">VLOOKUP(F137,Table11[[Native]:[Population4]],5,FALSE)</f>
        <v>西安市</v>
      </c>
    </row>
    <row r="138" spans="1:7" ht="15.75" thickBot="1" x14ac:dyDescent="0.3">
      <c r="A138" t="s">
        <v>2241</v>
      </c>
      <c r="B138" s="1" t="s">
        <v>2242</v>
      </c>
      <c r="C138" s="1" t="s">
        <v>113</v>
      </c>
      <c r="D138" s="1" t="s">
        <v>1986</v>
      </c>
      <c r="E138" s="9">
        <v>31701</v>
      </c>
      <c r="F138" s="1" t="str">
        <f>VLOOKUP(D138,Table11[[Name]:[Native]],3,FALSE)</f>
        <v>临潼区</v>
      </c>
      <c r="G138" s="12" t="str">
        <f ca="1">VLOOKUP(F138,Table11[[Native]:[Population4]],5,FALSE)</f>
        <v>西安市</v>
      </c>
    </row>
    <row r="139" spans="1:7" ht="15.75" thickBot="1" x14ac:dyDescent="0.3">
      <c r="A139" t="s">
        <v>2243</v>
      </c>
      <c r="B139" s="1" t="s">
        <v>2244</v>
      </c>
      <c r="C139" s="1" t="s">
        <v>113</v>
      </c>
      <c r="D139" s="1" t="s">
        <v>1986</v>
      </c>
      <c r="E139" s="9">
        <v>6288</v>
      </c>
      <c r="F139" s="1" t="str">
        <f>VLOOKUP(D139,Table11[[Name]:[Native]],3,FALSE)</f>
        <v>临潼区</v>
      </c>
      <c r="G139" s="12" t="str">
        <f ca="1">VLOOKUP(F139,Table11[[Native]:[Population4]],5,FALSE)</f>
        <v>西安市</v>
      </c>
    </row>
    <row r="140" spans="1:7" ht="15.75" thickBot="1" x14ac:dyDescent="0.3">
      <c r="A140" t="s">
        <v>2245</v>
      </c>
      <c r="B140" s="1" t="s">
        <v>2246</v>
      </c>
      <c r="C140" s="1" t="s">
        <v>113</v>
      </c>
      <c r="D140" s="1" t="s">
        <v>2009</v>
      </c>
      <c r="E140" s="9">
        <v>162675</v>
      </c>
      <c r="F140" s="1" t="str">
        <f>VLOOKUP(D140,Table11[[Name]:[Native]],3,FALSE)</f>
        <v>雁塔区</v>
      </c>
      <c r="G140" s="12" t="str">
        <f ca="1">VLOOKUP(F140,Table11[[Native]:[Population4]],5,FALSE)</f>
        <v>西安市</v>
      </c>
    </row>
    <row r="141" spans="1:7" ht="15.75" thickBot="1" x14ac:dyDescent="0.3">
      <c r="A141" t="s">
        <v>2247</v>
      </c>
      <c r="B141" s="1" t="s">
        <v>2248</v>
      </c>
      <c r="C141" s="1" t="s">
        <v>7</v>
      </c>
      <c r="D141" s="1" t="s">
        <v>1968</v>
      </c>
      <c r="E141" s="9">
        <v>18249</v>
      </c>
      <c r="F141" s="1" t="str">
        <f>VLOOKUP(D141,Table11[[Name]:[Native]],3,FALSE)</f>
        <v>蓝田县</v>
      </c>
      <c r="G141" s="12" t="str">
        <f ca="1">VLOOKUP(F141,Table11[[Native]:[Population4]],5,FALSE)</f>
        <v>西安市</v>
      </c>
    </row>
    <row r="142" spans="1:7" ht="15.75" thickBot="1" x14ac:dyDescent="0.3">
      <c r="A142" t="s">
        <v>2249</v>
      </c>
      <c r="B142" s="1" t="s">
        <v>2250</v>
      </c>
      <c r="C142" s="1" t="s">
        <v>7</v>
      </c>
      <c r="D142" s="1" t="s">
        <v>1968</v>
      </c>
      <c r="E142" s="9">
        <v>33681</v>
      </c>
      <c r="F142" s="1" t="str">
        <f>VLOOKUP(D142,Table11[[Name]:[Native]],3,FALSE)</f>
        <v>蓝田县</v>
      </c>
      <c r="G142" s="12" t="str">
        <f ca="1">VLOOKUP(F142,Table11[[Native]:[Population4]],5,FALSE)</f>
        <v>西安市</v>
      </c>
    </row>
    <row r="143" spans="1:7" ht="15.75" thickBot="1" x14ac:dyDescent="0.3">
      <c r="A143" t="s">
        <v>2251</v>
      </c>
      <c r="B143" s="1" t="s">
        <v>2252</v>
      </c>
      <c r="C143" s="1" t="s">
        <v>113</v>
      </c>
      <c r="D143" s="1" t="s">
        <v>1986</v>
      </c>
      <c r="E143" s="9">
        <v>64266</v>
      </c>
      <c r="F143" s="1" t="str">
        <f>VLOOKUP(D143,Table11[[Name]:[Native]],3,FALSE)</f>
        <v>临潼区</v>
      </c>
      <c r="G143" s="12" t="str">
        <f ca="1">VLOOKUP(F143,Table11[[Native]:[Population4]],5,FALSE)</f>
        <v>西安市</v>
      </c>
    </row>
    <row r="144" spans="1:7" ht="15.75" thickBot="1" x14ac:dyDescent="0.3">
      <c r="A144" t="s">
        <v>581</v>
      </c>
      <c r="B144" s="1" t="s">
        <v>582</v>
      </c>
      <c r="C144" s="1" t="s">
        <v>113</v>
      </c>
      <c r="D144" s="1" t="s">
        <v>1983</v>
      </c>
      <c r="E144" s="9">
        <v>85231</v>
      </c>
      <c r="F144" s="1" t="str">
        <f>VLOOKUP(D144,Table11[[Name]:[Native]],3,FALSE)</f>
        <v>莲湖区</v>
      </c>
      <c r="G144" s="12" t="str">
        <f ca="1">VLOOKUP(F144,Table11[[Native]:[Population4]],5,FALSE)</f>
        <v>西安市</v>
      </c>
    </row>
    <row r="145" spans="1:7" ht="15.75" thickBot="1" x14ac:dyDescent="0.3">
      <c r="A145" t="s">
        <v>2253</v>
      </c>
      <c r="B145" s="1" t="s">
        <v>2254</v>
      </c>
      <c r="C145" s="1" t="s">
        <v>113</v>
      </c>
      <c r="D145" s="1" t="s">
        <v>2031</v>
      </c>
      <c r="E145" s="9">
        <v>33108</v>
      </c>
      <c r="F145" s="1" t="str">
        <f>VLOOKUP(D145,Table11[[Name]:[Native]],3,FALSE)</f>
        <v>长安区</v>
      </c>
      <c r="G145" s="12" t="str">
        <f ca="1">VLOOKUP(F145,Table11[[Native]:[Population4]],5,FALSE)</f>
        <v>西安市</v>
      </c>
    </row>
    <row r="146" spans="1:7" ht="15.75" thickBot="1" x14ac:dyDescent="0.3">
      <c r="A146" t="s">
        <v>2255</v>
      </c>
      <c r="B146" s="1" t="s">
        <v>2256</v>
      </c>
      <c r="C146" s="1" t="s">
        <v>113</v>
      </c>
      <c r="D146" s="1" t="s">
        <v>1986</v>
      </c>
      <c r="E146" s="9">
        <v>38022</v>
      </c>
      <c r="F146" s="1" t="str">
        <f>VLOOKUP(D146,Table11[[Name]:[Native]],3,FALSE)</f>
        <v>临潼区</v>
      </c>
      <c r="G146" s="12" t="str">
        <f ca="1">VLOOKUP(F146,Table11[[Native]:[Population4]],5,FALSE)</f>
        <v>西安市</v>
      </c>
    </row>
    <row r="147" spans="1:7" ht="15.75" thickBot="1" x14ac:dyDescent="0.3">
      <c r="A147" t="s">
        <v>2257</v>
      </c>
      <c r="B147" s="1" t="s">
        <v>2258</v>
      </c>
      <c r="C147" s="1" t="s">
        <v>113</v>
      </c>
      <c r="D147" s="1" t="s">
        <v>2031</v>
      </c>
      <c r="E147" s="9">
        <v>45727</v>
      </c>
      <c r="F147" s="1" t="str">
        <f>VLOOKUP(D147,Table11[[Name]:[Native]],3,FALSE)</f>
        <v>长安区</v>
      </c>
      <c r="G147" s="12" t="str">
        <f ca="1">VLOOKUP(F147,Table11[[Native]:[Population4]],5,FALSE)</f>
        <v>西安市</v>
      </c>
    </row>
    <row r="148" spans="1:7" ht="15.75" thickBot="1" x14ac:dyDescent="0.3">
      <c r="A148" t="s">
        <v>2259</v>
      </c>
      <c r="B148" s="1" t="s">
        <v>2260</v>
      </c>
      <c r="C148" s="1" t="s">
        <v>113</v>
      </c>
      <c r="D148" s="1" t="s">
        <v>1986</v>
      </c>
      <c r="E148" s="9">
        <v>25821</v>
      </c>
      <c r="F148" s="1" t="str">
        <f>VLOOKUP(D148,Table11[[Name]:[Native]],3,FALSE)</f>
        <v>临潼区</v>
      </c>
      <c r="G148" s="12" t="str">
        <f ca="1">VLOOKUP(F148,Table11[[Native]:[Population4]],5,FALSE)</f>
        <v>西安市</v>
      </c>
    </row>
    <row r="149" spans="1:7" ht="15.75" thickBot="1" x14ac:dyDescent="0.3">
      <c r="A149" t="s">
        <v>2261</v>
      </c>
      <c r="B149" s="1" t="s">
        <v>2262</v>
      </c>
      <c r="C149" s="1" t="s">
        <v>113</v>
      </c>
      <c r="D149" s="1" t="s">
        <v>1977</v>
      </c>
      <c r="E149" s="9">
        <v>42896</v>
      </c>
      <c r="F149" s="1" t="str">
        <f>VLOOKUP(D149,Table11[[Name]:[Native]],3,FALSE)</f>
        <v>灞桥区</v>
      </c>
      <c r="G149" s="12" t="str">
        <f ca="1">VLOOKUP(F149,Table11[[Native]:[Population4]],5,FALSE)</f>
        <v>西安市</v>
      </c>
    </row>
    <row r="150" spans="1:7" ht="15.75" thickBot="1" x14ac:dyDescent="0.3">
      <c r="A150" t="s">
        <v>2263</v>
      </c>
      <c r="B150" s="1" t="s">
        <v>2264</v>
      </c>
      <c r="C150" s="1" t="s">
        <v>113</v>
      </c>
      <c r="D150" s="1" t="s">
        <v>1989</v>
      </c>
      <c r="E150" s="9">
        <v>67827</v>
      </c>
      <c r="F150" s="1" t="str">
        <f>VLOOKUP(D150,Table11[[Name]:[Native]],3,FALSE)</f>
        <v>阎良区</v>
      </c>
      <c r="G150" s="12" t="str">
        <f ca="1">VLOOKUP(F150,Table11[[Native]:[Population4]],5,FALSE)</f>
        <v>西安市</v>
      </c>
    </row>
    <row r="151" spans="1:7" ht="15.75" thickBot="1" x14ac:dyDescent="0.3">
      <c r="A151" t="s">
        <v>2265</v>
      </c>
      <c r="B151" s="1" t="s">
        <v>2266</v>
      </c>
      <c r="C151" s="1" t="s">
        <v>113</v>
      </c>
      <c r="D151" s="1" t="s">
        <v>1997</v>
      </c>
      <c r="E151" s="9">
        <v>50173</v>
      </c>
      <c r="F151" s="1" t="str">
        <f>VLOOKUP(D151,Table11[[Name]:[Native]],3,FALSE)</f>
        <v>未央区</v>
      </c>
      <c r="G151" s="12" t="str">
        <f ca="1">VLOOKUP(F151,Table11[[Native]:[Population4]],5,FALSE)</f>
        <v>西安市</v>
      </c>
    </row>
    <row r="152" spans="1:7" ht="15.75" thickBot="1" x14ac:dyDescent="0.3">
      <c r="A152" t="s">
        <v>1654</v>
      </c>
      <c r="B152" s="1" t="s">
        <v>2267</v>
      </c>
      <c r="C152" s="1" t="s">
        <v>113</v>
      </c>
      <c r="D152" s="1" t="s">
        <v>1986</v>
      </c>
      <c r="E152" s="9">
        <v>28153</v>
      </c>
      <c r="F152" s="1" t="str">
        <f>VLOOKUP(D152,Table11[[Name]:[Native]],3,FALSE)</f>
        <v>临潼区</v>
      </c>
      <c r="G152" s="12" t="str">
        <f ca="1">VLOOKUP(F152,Table11[[Native]:[Population4]],5,FALSE)</f>
        <v>西安市</v>
      </c>
    </row>
    <row r="153" spans="1:7" ht="15.75" thickBot="1" x14ac:dyDescent="0.3">
      <c r="A153" t="s">
        <v>1906</v>
      </c>
      <c r="B153" s="1" t="s">
        <v>1907</v>
      </c>
      <c r="C153" s="1" t="s">
        <v>113</v>
      </c>
      <c r="D153" s="1" t="s">
        <v>1989</v>
      </c>
      <c r="E153" s="9">
        <v>14343</v>
      </c>
      <c r="F153" s="1" t="str">
        <f>VLOOKUP(D153,Table11[[Name]:[Native]],3,FALSE)</f>
        <v>阎良区</v>
      </c>
      <c r="G153" s="12" t="str">
        <f ca="1">VLOOKUP(F153,Table11[[Native]:[Population4]],5,FALSE)</f>
        <v>西安市</v>
      </c>
    </row>
    <row r="154" spans="1:7" ht="15.75" thickBot="1" x14ac:dyDescent="0.3">
      <c r="A154" t="s">
        <v>2268</v>
      </c>
      <c r="B154" s="1" t="s">
        <v>2269</v>
      </c>
      <c r="C154" s="1" t="s">
        <v>113</v>
      </c>
      <c r="D154" s="1" t="s">
        <v>1977</v>
      </c>
      <c r="E154" s="9">
        <v>54191</v>
      </c>
      <c r="F154" s="1" t="str">
        <f>VLOOKUP(D154,Table11[[Name]:[Native]],3,FALSE)</f>
        <v>灞桥区</v>
      </c>
      <c r="G154" s="12" t="str">
        <f ca="1">VLOOKUP(F154,Table11[[Native]:[Population4]],5,FALSE)</f>
        <v>西安市</v>
      </c>
    </row>
    <row r="155" spans="1:7" ht="15.75" thickBot="1" x14ac:dyDescent="0.3">
      <c r="A155" t="s">
        <v>2270</v>
      </c>
      <c r="B155" s="1" t="s">
        <v>2271</v>
      </c>
      <c r="C155" s="1" t="s">
        <v>113</v>
      </c>
      <c r="D155" s="1" t="s">
        <v>1986</v>
      </c>
      <c r="E155" s="9">
        <v>22259</v>
      </c>
      <c r="F155" s="1" t="str">
        <f>VLOOKUP(D155,Table11[[Name]:[Native]],3,FALSE)</f>
        <v>临潼区</v>
      </c>
      <c r="G155" s="12" t="str">
        <f ca="1">VLOOKUP(F155,Table11[[Native]:[Population4]],5,FALSE)</f>
        <v>西安市</v>
      </c>
    </row>
    <row r="156" spans="1:7" ht="15.75" thickBot="1" x14ac:dyDescent="0.3">
      <c r="A156" t="s">
        <v>2272</v>
      </c>
      <c r="B156" s="1" t="s">
        <v>2273</v>
      </c>
      <c r="C156" s="1" t="s">
        <v>113</v>
      </c>
      <c r="D156" s="1" t="s">
        <v>1977</v>
      </c>
      <c r="E156" s="9">
        <v>72599</v>
      </c>
      <c r="F156" s="1" t="str">
        <f>VLOOKUP(D156,Table11[[Name]:[Native]],3,FALSE)</f>
        <v>灞桥区</v>
      </c>
      <c r="G156" s="12" t="str">
        <f ca="1">VLOOKUP(F156,Table11[[Native]:[Population4]],5,FALSE)</f>
        <v>西安市</v>
      </c>
    </row>
    <row r="157" spans="1:7" ht="15.75" thickBot="1" x14ac:dyDescent="0.3">
      <c r="A157" t="s">
        <v>2274</v>
      </c>
      <c r="B157" s="1" t="s">
        <v>2275</v>
      </c>
      <c r="C157" s="1" t="s">
        <v>113</v>
      </c>
      <c r="D157" s="1" t="s">
        <v>2004</v>
      </c>
      <c r="E157" s="9">
        <v>51889</v>
      </c>
      <c r="F157" s="1" t="str">
        <f>VLOOKUP(D157,Table11[[Name]:[Native]],3,FALSE)</f>
        <v>新城区</v>
      </c>
      <c r="G157" s="12" t="str">
        <f ca="1">VLOOKUP(F157,Table11[[Native]:[Population4]],5,FALSE)</f>
        <v>西安市</v>
      </c>
    </row>
    <row r="158" spans="1:7" ht="15.75" thickBot="1" x14ac:dyDescent="0.3">
      <c r="A158" t="s">
        <v>2276</v>
      </c>
      <c r="B158" s="1" t="s">
        <v>2277</v>
      </c>
      <c r="C158" s="1" t="s">
        <v>113</v>
      </c>
      <c r="D158" s="1" t="s">
        <v>1997</v>
      </c>
      <c r="E158" s="9">
        <v>46447</v>
      </c>
      <c r="F158" s="1" t="str">
        <f>VLOOKUP(D158,Table11[[Name]:[Native]],3,FALSE)</f>
        <v>未央区</v>
      </c>
      <c r="G158" s="12" t="str">
        <f ca="1">VLOOKUP(F158,Table11[[Native]:[Population4]],5,FALSE)</f>
        <v>西安市</v>
      </c>
    </row>
    <row r="159" spans="1:7" ht="15.75" thickBot="1" x14ac:dyDescent="0.3">
      <c r="A159" t="s">
        <v>2278</v>
      </c>
      <c r="B159" s="1" t="s">
        <v>2279</v>
      </c>
      <c r="C159" s="1" t="s">
        <v>113</v>
      </c>
      <c r="D159" s="1" t="s">
        <v>1986</v>
      </c>
      <c r="E159" s="9">
        <v>21901</v>
      </c>
      <c r="F159" s="1" t="str">
        <f>VLOOKUP(D159,Table11[[Name]:[Native]],3,FALSE)</f>
        <v>临潼区</v>
      </c>
      <c r="G159" s="12" t="str">
        <f ca="1">VLOOKUP(F159,Table11[[Native]:[Population4]],5,FALSE)</f>
        <v>西安市</v>
      </c>
    </row>
    <row r="160" spans="1:7" ht="15.75" thickBot="1" x14ac:dyDescent="0.3">
      <c r="A160" t="s">
        <v>2280</v>
      </c>
      <c r="B160" s="1" t="s">
        <v>2281</v>
      </c>
      <c r="C160" s="1" t="s">
        <v>7</v>
      </c>
      <c r="D160" s="1" t="s">
        <v>1974</v>
      </c>
      <c r="E160" s="9">
        <v>45591</v>
      </c>
      <c r="F160" s="1" t="str">
        <f>VLOOKUP(D160,Table11[[Name]:[Native]],3,FALSE)</f>
        <v>周至县</v>
      </c>
      <c r="G160" s="12" t="str">
        <f ca="1">VLOOKUP(F160,Table11[[Native]:[Population4]],5,FALSE)</f>
        <v>西安市</v>
      </c>
    </row>
    <row r="161" spans="1:7" ht="15.75" thickBot="1" x14ac:dyDescent="0.3">
      <c r="A161" t="s">
        <v>2282</v>
      </c>
      <c r="B161" s="1" t="s">
        <v>2283</v>
      </c>
      <c r="C161" s="1" t="s">
        <v>113</v>
      </c>
      <c r="D161" s="1" t="s">
        <v>2031</v>
      </c>
      <c r="E161" s="9">
        <v>16710</v>
      </c>
      <c r="F161" s="1" t="str">
        <f>VLOOKUP(D161,Table11[[Name]:[Native]],3,FALSE)</f>
        <v>长安区</v>
      </c>
      <c r="G161" s="12" t="str">
        <f ca="1">VLOOKUP(F161,Table11[[Native]:[Population4]],5,FALSE)</f>
        <v>西安市</v>
      </c>
    </row>
    <row r="162" spans="1:7" ht="15.75" thickBot="1" x14ac:dyDescent="0.3">
      <c r="A162" t="s">
        <v>2284</v>
      </c>
      <c r="B162" s="1" t="s">
        <v>2285</v>
      </c>
      <c r="C162" s="1" t="s">
        <v>113</v>
      </c>
      <c r="D162" s="1" t="s">
        <v>1982</v>
      </c>
      <c r="E162" s="9">
        <v>22759</v>
      </c>
      <c r="F162" s="1" t="str">
        <f>VLOOKUP(D162,Table11[[Name]:[Native]],3,FALSE)</f>
        <v>西咸新区</v>
      </c>
      <c r="G162" s="12" t="str">
        <f ca="1">VLOOKUP(F162,Table11[[Native]:[Population4]],5,FALSE)</f>
        <v>西安市</v>
      </c>
    </row>
    <row r="163" spans="1:7" ht="15.75" thickBot="1" x14ac:dyDescent="0.3">
      <c r="A163" t="s">
        <v>2286</v>
      </c>
      <c r="B163" s="1" t="s">
        <v>2287</v>
      </c>
      <c r="C163" s="1" t="s">
        <v>113</v>
      </c>
      <c r="D163" s="1" t="s">
        <v>2031</v>
      </c>
      <c r="E163" s="9">
        <v>33543</v>
      </c>
      <c r="F163" s="1" t="str">
        <f>VLOOKUP(D163,Table11[[Name]:[Native]],3,FALSE)</f>
        <v>长安区</v>
      </c>
      <c r="G163" s="12" t="str">
        <f ca="1">VLOOKUP(F163,Table11[[Native]:[Population4]],5,FALSE)</f>
        <v>西安市</v>
      </c>
    </row>
    <row r="164" spans="1:7" ht="15.75" thickBot="1" x14ac:dyDescent="0.3">
      <c r="A164" t="s">
        <v>1003</v>
      </c>
      <c r="B164" s="1" t="s">
        <v>1004</v>
      </c>
      <c r="C164" s="1" t="s">
        <v>7</v>
      </c>
      <c r="D164" s="1" t="s">
        <v>1982</v>
      </c>
      <c r="E164" s="9">
        <v>31014</v>
      </c>
      <c r="F164" s="1" t="str">
        <f>VLOOKUP(D164,Table11[[Name]:[Native]],3,FALSE)</f>
        <v>西咸新区</v>
      </c>
      <c r="G164" s="12" t="str">
        <f ca="1">VLOOKUP(F164,Table11[[Native]:[Population4]],5,FALSE)</f>
        <v>西安市</v>
      </c>
    </row>
    <row r="165" spans="1:7" ht="15.75" thickBot="1" x14ac:dyDescent="0.3">
      <c r="A165" t="s">
        <v>2288</v>
      </c>
      <c r="B165" s="1" t="s">
        <v>2289</v>
      </c>
      <c r="C165" s="1" t="s">
        <v>113</v>
      </c>
      <c r="D165" s="1" t="s">
        <v>1986</v>
      </c>
      <c r="E165" s="9">
        <v>23321</v>
      </c>
      <c r="F165" s="1" t="str">
        <f>VLOOKUP(D165,Table11[[Name]:[Native]],3,FALSE)</f>
        <v>临潼区</v>
      </c>
      <c r="G165" s="12" t="str">
        <f ca="1">VLOOKUP(F165,Table11[[Native]:[Population4]],5,FALSE)</f>
        <v>西安市</v>
      </c>
    </row>
    <row r="166" spans="1:7" ht="15.75" thickBot="1" x14ac:dyDescent="0.3">
      <c r="A166" t="s">
        <v>2290</v>
      </c>
      <c r="B166" s="1" t="s">
        <v>2291</v>
      </c>
      <c r="C166" s="1" t="s">
        <v>113</v>
      </c>
      <c r="D166" s="1" t="s">
        <v>1994</v>
      </c>
      <c r="E166" s="9">
        <v>39270</v>
      </c>
      <c r="F166" s="1" t="str">
        <f>VLOOKUP(D166,Table11[[Name]:[Native]],3,FALSE)</f>
        <v>鄠邑区</v>
      </c>
      <c r="G166" s="12" t="str">
        <f ca="1">VLOOKUP(F166,Table11[[Native]:[Population4]],5,FALSE)</f>
        <v>西安市</v>
      </c>
    </row>
    <row r="167" spans="1:7" ht="15.75" thickBot="1" x14ac:dyDescent="0.3">
      <c r="A167" t="s">
        <v>2292</v>
      </c>
      <c r="B167" s="1" t="s">
        <v>2293</v>
      </c>
      <c r="C167" s="1" t="s">
        <v>113</v>
      </c>
      <c r="D167" s="1" t="s">
        <v>2009</v>
      </c>
      <c r="E167" s="9">
        <v>127204</v>
      </c>
      <c r="F167" s="1" t="str">
        <f>VLOOKUP(D167,Table11[[Name]:[Native]],3,FALSE)</f>
        <v>雁塔区</v>
      </c>
      <c r="G167" s="12" t="str">
        <f ca="1">VLOOKUP(F167,Table11[[Native]:[Population4]],5,FALSE)</f>
        <v>西安市</v>
      </c>
    </row>
    <row r="168" spans="1:7" ht="15.75" thickBot="1" x14ac:dyDescent="0.3">
      <c r="A168" t="s">
        <v>2294</v>
      </c>
      <c r="B168" s="1" t="s">
        <v>2295</v>
      </c>
      <c r="C168" s="1" t="s">
        <v>113</v>
      </c>
      <c r="D168" s="1" t="s">
        <v>1986</v>
      </c>
      <c r="E168" s="9">
        <v>20619</v>
      </c>
      <c r="F168" s="1" t="str">
        <f>VLOOKUP(D168,Table11[[Name]:[Native]],3,FALSE)</f>
        <v>临潼区</v>
      </c>
      <c r="G168" s="12" t="str">
        <f ca="1">VLOOKUP(F168,Table11[[Native]:[Population4]],5,FALSE)</f>
        <v>西安市</v>
      </c>
    </row>
    <row r="169" spans="1:7" ht="15.75" thickBot="1" x14ac:dyDescent="0.3">
      <c r="A169" t="s">
        <v>2296</v>
      </c>
      <c r="B169" s="1" t="s">
        <v>2297</v>
      </c>
      <c r="C169" s="1" t="s">
        <v>7</v>
      </c>
      <c r="D169" s="1" t="s">
        <v>1968</v>
      </c>
      <c r="E169" s="9">
        <v>23314</v>
      </c>
      <c r="F169" s="1" t="str">
        <f>VLOOKUP(D169,Table11[[Name]:[Native]],3,FALSE)</f>
        <v>蓝田县</v>
      </c>
      <c r="G169" s="12" t="str">
        <f ca="1">VLOOKUP(F169,Table11[[Native]:[Population4]],5,FALSE)</f>
        <v>西安市</v>
      </c>
    </row>
    <row r="170" spans="1:7" ht="15.75" thickBot="1" x14ac:dyDescent="0.3">
      <c r="A170" t="s">
        <v>2298</v>
      </c>
      <c r="B170" s="1" t="s">
        <v>2299</v>
      </c>
      <c r="C170" s="1" t="s">
        <v>113</v>
      </c>
      <c r="D170" s="1" t="s">
        <v>1994</v>
      </c>
      <c r="E170" s="9">
        <v>60000</v>
      </c>
      <c r="F170" s="1" t="str">
        <f>VLOOKUP(D170,Table11[[Name]:[Native]],3,FALSE)</f>
        <v>鄠邑区</v>
      </c>
      <c r="G170" s="12" t="str">
        <f ca="1">VLOOKUP(F170,Table11[[Native]:[Population4]],5,FALSE)</f>
        <v>西安市</v>
      </c>
    </row>
    <row r="171" spans="1:7" ht="15.75" thickBot="1" x14ac:dyDescent="0.3">
      <c r="A171" t="s">
        <v>2300</v>
      </c>
      <c r="B171" s="1" t="s">
        <v>2301</v>
      </c>
      <c r="C171" s="1" t="s">
        <v>113</v>
      </c>
      <c r="D171" s="1" t="s">
        <v>1983</v>
      </c>
      <c r="E171" s="9">
        <v>68107</v>
      </c>
      <c r="F171" s="1" t="str">
        <f>VLOOKUP(D171,Table11[[Name]:[Native]],3,FALSE)</f>
        <v>莲湖区</v>
      </c>
      <c r="G171" s="12" t="str">
        <f ca="1">VLOOKUP(F171,Table11[[Native]:[Population4]],5,FALSE)</f>
        <v>西安市</v>
      </c>
    </row>
    <row r="172" spans="1:7" ht="15.75" thickBot="1" x14ac:dyDescent="0.3">
      <c r="A172" t="s">
        <v>2302</v>
      </c>
      <c r="B172" s="1" t="s">
        <v>2303</v>
      </c>
      <c r="C172" s="1" t="s">
        <v>113</v>
      </c>
      <c r="D172" s="1" t="s">
        <v>2009</v>
      </c>
      <c r="E172" s="9">
        <v>191873</v>
      </c>
      <c r="F172" s="1" t="str">
        <f>VLOOKUP(D172,Table11[[Name]:[Native]],3,FALSE)</f>
        <v>雁塔区</v>
      </c>
      <c r="G172" s="12" t="str">
        <f ca="1">VLOOKUP(F172,Table11[[Native]:[Population4]],5,FALSE)</f>
        <v>西安市</v>
      </c>
    </row>
    <row r="173" spans="1:7" ht="15.75" thickBot="1" x14ac:dyDescent="0.3">
      <c r="A173" t="s">
        <v>2304</v>
      </c>
      <c r="B173" s="1" t="s">
        <v>2305</v>
      </c>
      <c r="C173" s="1" t="s">
        <v>113</v>
      </c>
      <c r="D173" s="1" t="s">
        <v>2016</v>
      </c>
      <c r="E173" s="9">
        <v>29633</v>
      </c>
      <c r="F173" s="1" t="str">
        <f>VLOOKUP(D173,Table11[[Name]:[Native]],3,FALSE)</f>
        <v>高陵区</v>
      </c>
      <c r="G173" s="12" t="str">
        <f ca="1">VLOOKUP(F173,Table11[[Native]:[Population4]],5,FALSE)</f>
        <v>西安市</v>
      </c>
    </row>
    <row r="174" spans="1:7" ht="15.75" thickBot="1" x14ac:dyDescent="0.3">
      <c r="A174" t="s">
        <v>2306</v>
      </c>
      <c r="B174" s="1" t="s">
        <v>2307</v>
      </c>
      <c r="C174" s="1" t="s">
        <v>113</v>
      </c>
      <c r="D174" s="1" t="s">
        <v>1997</v>
      </c>
      <c r="E174" s="9">
        <v>139047</v>
      </c>
      <c r="F174" s="1" t="str">
        <f>VLOOKUP(D174,Table11[[Name]:[Native]],3,FALSE)</f>
        <v>未央区</v>
      </c>
      <c r="G174" s="12" t="str">
        <f ca="1">VLOOKUP(F174,Table11[[Native]:[Population4]],5,FALSE)</f>
        <v>西安市</v>
      </c>
    </row>
    <row r="175" spans="1:7" ht="15.75" thickBot="1" x14ac:dyDescent="0.3">
      <c r="A175" t="s">
        <v>2308</v>
      </c>
      <c r="B175" s="1" t="s">
        <v>2309</v>
      </c>
      <c r="C175" s="1" t="s">
        <v>113</v>
      </c>
      <c r="D175" s="1" t="s">
        <v>1971</v>
      </c>
      <c r="E175" s="9">
        <v>128140</v>
      </c>
      <c r="F175" s="1" t="str">
        <f>VLOOKUP(D175,Table11[[Name]:[Native]],3,FALSE)</f>
        <v>碑林区</v>
      </c>
      <c r="G175" s="12" t="str">
        <f ca="1">VLOOKUP(F175,Table11[[Native]:[Population4]],5,FALSE)</f>
        <v>西安市</v>
      </c>
    </row>
    <row r="176" spans="1:7" ht="15.75" thickBot="1" x14ac:dyDescent="0.3">
      <c r="A176" t="s">
        <v>2310</v>
      </c>
      <c r="B176" s="1" t="s">
        <v>2311</v>
      </c>
      <c r="C176" s="1" t="s">
        <v>113</v>
      </c>
      <c r="D176" s="1" t="s">
        <v>1982</v>
      </c>
      <c r="E176" s="9">
        <v>38051</v>
      </c>
      <c r="F176" s="1" t="str">
        <f>VLOOKUP(D176,Table11[[Name]:[Native]],3,FALSE)</f>
        <v>西咸新区</v>
      </c>
      <c r="G176" s="12" t="str">
        <f ca="1">VLOOKUP(F176,Table11[[Native]:[Population4]],5,FALSE)</f>
        <v>西安市</v>
      </c>
    </row>
    <row r="177" spans="1:7" ht="15.75" thickBot="1" x14ac:dyDescent="0.3">
      <c r="A177" t="s">
        <v>2312</v>
      </c>
      <c r="B177" s="1" t="s">
        <v>2313</v>
      </c>
      <c r="C177" s="1" t="s">
        <v>113</v>
      </c>
      <c r="D177" s="1" t="s">
        <v>1989</v>
      </c>
      <c r="E177" s="9">
        <v>25418</v>
      </c>
      <c r="F177" s="1" t="str">
        <f>VLOOKUP(D177,Table11[[Name]:[Native]],3,FALSE)</f>
        <v>阎良区</v>
      </c>
      <c r="G177" s="12" t="str">
        <f ca="1">VLOOKUP(F177,Table11[[Native]:[Population4]],5,FALSE)</f>
        <v>西安市</v>
      </c>
    </row>
    <row r="178" spans="1:7" ht="15.75" thickBot="1" x14ac:dyDescent="0.3">
      <c r="A178" t="s">
        <v>2314</v>
      </c>
      <c r="B178" s="1" t="s">
        <v>2315</v>
      </c>
      <c r="C178" s="1" t="s">
        <v>7</v>
      </c>
      <c r="D178" s="1" t="s">
        <v>1974</v>
      </c>
      <c r="E178" s="9">
        <v>57054</v>
      </c>
      <c r="F178" s="1" t="str">
        <f>VLOOKUP(D178,Table11[[Name]:[Native]],3,FALSE)</f>
        <v>周至县</v>
      </c>
      <c r="G178" s="12" t="str">
        <f ca="1">VLOOKUP(F178,Table11[[Native]:[Population4]],5,FALSE)</f>
        <v>西安市</v>
      </c>
    </row>
    <row r="179" spans="1:7" ht="15.75" thickBot="1" x14ac:dyDescent="0.3">
      <c r="A179" t="s">
        <v>2316</v>
      </c>
      <c r="B179" s="1" t="s">
        <v>2317</v>
      </c>
      <c r="C179" s="1" t="s">
        <v>113</v>
      </c>
      <c r="D179" s="1" t="s">
        <v>2004</v>
      </c>
      <c r="E179" s="9">
        <v>49300</v>
      </c>
      <c r="F179" s="1" t="str">
        <f>VLOOKUP(D179,Table11[[Name]:[Native]],3,FALSE)</f>
        <v>新城区</v>
      </c>
      <c r="G179" s="12" t="str">
        <f ca="1">VLOOKUP(F179,Table11[[Native]:[Population4]],5,FALSE)</f>
        <v>西安市</v>
      </c>
    </row>
    <row r="180" spans="1:7" ht="15.75" thickBot="1" x14ac:dyDescent="0.3">
      <c r="A180" t="s">
        <v>2318</v>
      </c>
      <c r="B180" s="1" t="s">
        <v>2319</v>
      </c>
      <c r="C180" s="1" t="s">
        <v>113</v>
      </c>
      <c r="D180" s="1" t="s">
        <v>1982</v>
      </c>
      <c r="E180" s="9">
        <v>32550</v>
      </c>
      <c r="F180" s="1" t="str">
        <f>VLOOKUP(D180,Table11[[Name]:[Native]],3,FALSE)</f>
        <v>西咸新区</v>
      </c>
      <c r="G180" s="12" t="str">
        <f ca="1">VLOOKUP(F180,Table11[[Native]:[Population4]],5,FALSE)</f>
        <v>西安市</v>
      </c>
    </row>
    <row r="181" spans="1:7" ht="15.75" thickBot="1" x14ac:dyDescent="0.3">
      <c r="A181" t="s">
        <v>2320</v>
      </c>
      <c r="B181" s="1" t="s">
        <v>2321</v>
      </c>
      <c r="C181" s="1" t="s">
        <v>7</v>
      </c>
      <c r="D181" s="1" t="s">
        <v>1974</v>
      </c>
      <c r="E181" s="9">
        <v>18824</v>
      </c>
      <c r="F181" s="1" t="str">
        <f>VLOOKUP(D181,Table11[[Name]:[Native]],3,FALSE)</f>
        <v>周至县</v>
      </c>
      <c r="G181" s="12" t="str">
        <f ca="1">VLOOKUP(F181,Table11[[Native]:[Population4]],5,FALSE)</f>
        <v>西安市</v>
      </c>
    </row>
    <row r="182" spans="1:7" ht="15.75" thickBot="1" x14ac:dyDescent="0.3">
      <c r="A182" t="s">
        <v>2322</v>
      </c>
      <c r="B182" s="1" t="s">
        <v>2323</v>
      </c>
      <c r="C182" s="1" t="s">
        <v>113</v>
      </c>
      <c r="D182" s="1" t="s">
        <v>2004</v>
      </c>
      <c r="E182" s="9">
        <v>42347</v>
      </c>
      <c r="F182" s="1" t="str">
        <f>VLOOKUP(D182,Table11[[Name]:[Native]],3,FALSE)</f>
        <v>新城区</v>
      </c>
      <c r="G182" s="12" t="str">
        <f ca="1">VLOOKUP(F182,Table11[[Native]:[Population4]],5,FALSE)</f>
        <v>西安市</v>
      </c>
    </row>
    <row r="183" spans="1:7" ht="15.75" thickBot="1" x14ac:dyDescent="0.3">
      <c r="A183" t="s">
        <v>2324</v>
      </c>
      <c r="B183" s="1" t="s">
        <v>2325</v>
      </c>
      <c r="C183" s="1" t="s">
        <v>113</v>
      </c>
      <c r="D183" s="1" t="s">
        <v>2031</v>
      </c>
      <c r="E183" s="9">
        <v>29824</v>
      </c>
      <c r="F183" s="1" t="str">
        <f>VLOOKUP(D183,Table11[[Name]:[Native]],3,FALSE)</f>
        <v>长安区</v>
      </c>
      <c r="G183" s="12" t="str">
        <f ca="1">VLOOKUP(F183,Table11[[Native]:[Population4]],5,FALSE)</f>
        <v>西安市</v>
      </c>
    </row>
    <row r="184" spans="1:7" ht="15.75" thickBot="1" x14ac:dyDescent="0.3">
      <c r="A184" t="s">
        <v>2326</v>
      </c>
      <c r="B184" s="1" t="s">
        <v>2327</v>
      </c>
      <c r="C184" s="1" t="s">
        <v>7</v>
      </c>
      <c r="D184" s="1" t="s">
        <v>1994</v>
      </c>
      <c r="E184" s="9">
        <v>27642</v>
      </c>
      <c r="F184" s="8" t="str">
        <f>VLOOKUP(D184,Table11[[Name]:[Native]],3,FALSE)</f>
        <v>鄠邑区</v>
      </c>
      <c r="G184" s="12" t="str">
        <f ca="1">VLOOKUP(F184,Table11[[Native]:[Population4]],5,FALSE)</f>
        <v>西安市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D5114-D18D-496D-976A-D86CCB8137A7}">
  <dimension ref="A1:G150"/>
  <sheetViews>
    <sheetView workbookViewId="0">
      <selection activeCell="A2" sqref="A2:G150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3166</v>
      </c>
      <c r="G1" t="s">
        <v>3170</v>
      </c>
    </row>
    <row r="2" spans="1:7" ht="15.75" thickBot="1" x14ac:dyDescent="0.3">
      <c r="A2" t="s">
        <v>2328</v>
      </c>
      <c r="B2" s="1" t="s">
        <v>2329</v>
      </c>
      <c r="C2" s="1" t="s">
        <v>7</v>
      </c>
      <c r="D2" s="1" t="s">
        <v>2330</v>
      </c>
      <c r="E2" s="9">
        <v>5625</v>
      </c>
      <c r="F2" s="7" t="str">
        <f>VLOOKUP(D2,Table11[[Name]:[Native]],3,FALSE)</f>
        <v>黄陵县</v>
      </c>
      <c r="G2" s="12" t="str">
        <f ca="1">VLOOKUP(F2,Table11[[Native]:[Population4]],5,FALSE)</f>
        <v>延安市</v>
      </c>
    </row>
    <row r="3" spans="1:7" ht="15.75" thickBot="1" x14ac:dyDescent="0.3">
      <c r="A3" t="s">
        <v>2331</v>
      </c>
      <c r="B3" s="1" t="s">
        <v>2332</v>
      </c>
      <c r="C3" s="1" t="s">
        <v>7</v>
      </c>
      <c r="D3" s="1" t="s">
        <v>2333</v>
      </c>
      <c r="E3" s="9">
        <v>11692</v>
      </c>
      <c r="F3" s="1" t="str">
        <f>VLOOKUP(D3,Table11[[Name]:[Native]],3,FALSE)</f>
        <v>子长市</v>
      </c>
      <c r="G3" s="12" t="str">
        <f ca="1">VLOOKUP(F3,Table11[[Native]:[Population4]],5,FALSE)</f>
        <v>延安市</v>
      </c>
    </row>
    <row r="4" spans="1:7" ht="15.75" thickBot="1" x14ac:dyDescent="0.3">
      <c r="A4" t="s">
        <v>2334</v>
      </c>
      <c r="B4" s="1" t="s">
        <v>2335</v>
      </c>
      <c r="C4" s="1" t="s">
        <v>7</v>
      </c>
      <c r="D4" s="1" t="s">
        <v>2336</v>
      </c>
      <c r="E4" s="9">
        <v>6899</v>
      </c>
      <c r="F4" s="1" t="str">
        <f>VLOOKUP(D4,Table11[[Name]:[Native]],3,FALSE)</f>
        <v>延长县</v>
      </c>
      <c r="G4" s="12" t="str">
        <f ca="1">VLOOKUP(F4,Table11[[Native]:[Population4]],5,FALSE)</f>
        <v>延安市</v>
      </c>
    </row>
    <row r="5" spans="1:7" ht="15.75" thickBot="1" x14ac:dyDescent="0.3">
      <c r="A5" s="1" t="s">
        <v>2337</v>
      </c>
      <c r="B5" s="1" t="s">
        <v>2338</v>
      </c>
      <c r="C5" s="1" t="s">
        <v>7</v>
      </c>
      <c r="D5" s="1" t="s">
        <v>2336</v>
      </c>
      <c r="E5" s="9">
        <v>3620</v>
      </c>
      <c r="F5" s="1" t="str">
        <f>VLOOKUP(D5,Table11[[Name]:[Native]],3,FALSE)</f>
        <v>延长县</v>
      </c>
      <c r="G5" s="12" t="str">
        <f ca="1">VLOOKUP(F5,Table11[[Native]:[Population4]],5,FALSE)</f>
        <v>延安市</v>
      </c>
    </row>
    <row r="6" spans="1:7" ht="15.75" thickBot="1" x14ac:dyDescent="0.3">
      <c r="A6" t="s">
        <v>2339</v>
      </c>
      <c r="B6" s="1" t="s">
        <v>2340</v>
      </c>
      <c r="C6" s="1" t="s">
        <v>7</v>
      </c>
      <c r="D6" s="1" t="s">
        <v>2341</v>
      </c>
      <c r="E6" s="9">
        <v>12921</v>
      </c>
      <c r="F6" s="1" t="str">
        <f>VLOOKUP(D6,Table11[[Name]:[Native]],3,FALSE)</f>
        <v>吴起县</v>
      </c>
      <c r="G6" s="12" t="str">
        <f ca="1">VLOOKUP(F6,Table11[[Native]:[Population4]],5,FALSE)</f>
        <v>延安市</v>
      </c>
    </row>
    <row r="7" spans="1:7" ht="15.75" thickBot="1" x14ac:dyDescent="0.3">
      <c r="A7" t="s">
        <v>2342</v>
      </c>
      <c r="B7" s="1" t="s">
        <v>2343</v>
      </c>
      <c r="C7" s="1" t="s">
        <v>7</v>
      </c>
      <c r="D7" s="1" t="s">
        <v>2344</v>
      </c>
      <c r="E7" s="9">
        <v>4657</v>
      </c>
      <c r="F7" s="1" t="str">
        <f>VLOOKUP(D7,Table11[[Name]:[Native]],3,FALSE)</f>
        <v>黄龙县</v>
      </c>
      <c r="G7" s="12" t="str">
        <f ca="1">VLOOKUP(F7,Table11[[Native]:[Population4]],5,FALSE)</f>
        <v>延安市</v>
      </c>
    </row>
    <row r="8" spans="1:7" ht="15.75" thickBot="1" x14ac:dyDescent="0.3">
      <c r="A8" t="s">
        <v>2345</v>
      </c>
      <c r="B8" s="1" t="s">
        <v>2346</v>
      </c>
      <c r="C8" s="1" t="s">
        <v>11</v>
      </c>
      <c r="D8" s="1" t="s">
        <v>2347</v>
      </c>
      <c r="E8" s="9">
        <v>8302</v>
      </c>
      <c r="F8" s="1" t="str">
        <f>VLOOKUP(D8,Table11[[Name]:[Native]],3,FALSE)</f>
        <v>洛川县</v>
      </c>
      <c r="G8" s="12" t="str">
        <f ca="1">VLOOKUP(F8,Table11[[Native]:[Population4]],5,FALSE)</f>
        <v>延安市</v>
      </c>
    </row>
    <row r="9" spans="1:7" ht="15.75" thickBot="1" x14ac:dyDescent="0.3">
      <c r="A9" s="1" t="s">
        <v>2348</v>
      </c>
      <c r="B9" s="1" t="s">
        <v>2349</v>
      </c>
      <c r="C9" s="1" t="s">
        <v>11</v>
      </c>
      <c r="D9" s="1" t="s">
        <v>2344</v>
      </c>
      <c r="E9" s="9">
        <v>1226</v>
      </c>
      <c r="F9" s="1" t="str">
        <f>VLOOKUP(D9,Table11[[Name]:[Native]],3,FALSE)</f>
        <v>黄龙县</v>
      </c>
      <c r="G9" s="12" t="str">
        <f ca="1">VLOOKUP(F9,Table11[[Native]:[Population4]],5,FALSE)</f>
        <v>延安市</v>
      </c>
    </row>
    <row r="10" spans="1:7" ht="15.75" thickBot="1" x14ac:dyDescent="0.3">
      <c r="A10" t="s">
        <v>2350</v>
      </c>
      <c r="B10" s="1" t="s">
        <v>2351</v>
      </c>
      <c r="C10" s="1" t="s">
        <v>113</v>
      </c>
      <c r="D10" s="1" t="s">
        <v>2352</v>
      </c>
      <c r="E10" s="9">
        <v>60371</v>
      </c>
      <c r="F10" s="1" t="str">
        <f>VLOOKUP(D10,Table11[[Name]:[Native]],3,FALSE)</f>
        <v>志丹县</v>
      </c>
      <c r="G10" s="12" t="str">
        <f ca="1">VLOOKUP(F10,Table11[[Native]:[Population4]],5,FALSE)</f>
        <v>延安市</v>
      </c>
    </row>
    <row r="11" spans="1:7" ht="15.75" thickBot="1" x14ac:dyDescent="0.3">
      <c r="A11" t="s">
        <v>2353</v>
      </c>
      <c r="B11" s="1" t="s">
        <v>2354</v>
      </c>
      <c r="C11" s="1" t="s">
        <v>113</v>
      </c>
      <c r="D11" s="1" t="s">
        <v>2355</v>
      </c>
      <c r="E11" s="9">
        <v>67388</v>
      </c>
      <c r="F11" s="1" t="str">
        <f>VLOOKUP(D11,Table11[[Name]:[Native]],3,FALSE)</f>
        <v>宝塔区</v>
      </c>
      <c r="G11" s="12" t="str">
        <f ca="1">VLOOKUP(F11,Table11[[Native]:[Population4]],5,FALSE)</f>
        <v>延安市</v>
      </c>
    </row>
    <row r="12" spans="1:7" ht="15.75" thickBot="1" x14ac:dyDescent="0.3">
      <c r="A12" t="s">
        <v>2356</v>
      </c>
      <c r="B12" s="1" t="s">
        <v>2357</v>
      </c>
      <c r="C12" s="1" t="s">
        <v>11</v>
      </c>
      <c r="D12" s="1" t="s">
        <v>2358</v>
      </c>
      <c r="E12" s="9">
        <v>7594</v>
      </c>
      <c r="F12" s="1" t="str">
        <f>VLOOKUP(D12,Table11[[Name]:[Native]],3,FALSE)</f>
        <v>富县</v>
      </c>
      <c r="G12" s="12" t="str">
        <f ca="1">VLOOKUP(F12,Table11[[Native]:[Population4]],5,FALSE)</f>
        <v>延安市</v>
      </c>
    </row>
    <row r="13" spans="1:7" ht="15.75" thickBot="1" x14ac:dyDescent="0.3">
      <c r="A13" t="s">
        <v>2359</v>
      </c>
      <c r="B13" s="1" t="s">
        <v>2360</v>
      </c>
      <c r="C13" s="1" t="s">
        <v>113</v>
      </c>
      <c r="D13" s="1" t="s">
        <v>2358</v>
      </c>
      <c r="E13" s="9">
        <v>25611</v>
      </c>
      <c r="F13" s="1" t="str">
        <f>VLOOKUP(D13,Table11[[Name]:[Native]],3,FALSE)</f>
        <v>富县</v>
      </c>
      <c r="G13" s="12" t="str">
        <f ca="1">VLOOKUP(F13,Table11[[Native]:[Population4]],5,FALSE)</f>
        <v>延安市</v>
      </c>
    </row>
    <row r="14" spans="1:7" ht="15.75" thickBot="1" x14ac:dyDescent="0.3">
      <c r="A14" t="s">
        <v>2361</v>
      </c>
      <c r="B14" s="1" t="s">
        <v>2362</v>
      </c>
      <c r="C14" s="1" t="s">
        <v>7</v>
      </c>
      <c r="D14" s="1" t="s">
        <v>2341</v>
      </c>
      <c r="E14" s="9">
        <v>5449</v>
      </c>
      <c r="F14" s="1" t="str">
        <f>VLOOKUP(D14,Table11[[Name]:[Native]],3,FALSE)</f>
        <v>吴起县</v>
      </c>
      <c r="G14" s="12" t="str">
        <f ca="1">VLOOKUP(F14,Table11[[Native]:[Population4]],5,FALSE)</f>
        <v>延安市</v>
      </c>
    </row>
    <row r="15" spans="1:7" ht="15.75" thickBot="1" x14ac:dyDescent="0.3">
      <c r="A15" t="s">
        <v>2363</v>
      </c>
      <c r="B15" s="1" t="s">
        <v>2364</v>
      </c>
      <c r="C15" s="1" t="s">
        <v>7</v>
      </c>
      <c r="D15" s="1" t="s">
        <v>2341</v>
      </c>
      <c r="E15" s="9">
        <v>4614</v>
      </c>
      <c r="F15" s="1" t="str">
        <f>VLOOKUP(D15,Table11[[Name]:[Native]],3,FALSE)</f>
        <v>吴起县</v>
      </c>
      <c r="G15" s="12" t="str">
        <f ca="1">VLOOKUP(F15,Table11[[Native]:[Population4]],5,FALSE)</f>
        <v>延安市</v>
      </c>
    </row>
    <row r="16" spans="1:7" ht="15.75" thickBot="1" x14ac:dyDescent="0.3">
      <c r="A16" t="s">
        <v>2365</v>
      </c>
      <c r="B16" s="1" t="s">
        <v>2366</v>
      </c>
      <c r="C16" s="1" t="s">
        <v>7</v>
      </c>
      <c r="D16" s="1" t="s">
        <v>2355</v>
      </c>
      <c r="E16" s="9">
        <v>10138</v>
      </c>
      <c r="F16" s="1" t="str">
        <f>VLOOKUP(D16,Table11[[Name]:[Native]],3,FALSE)</f>
        <v>宝塔区</v>
      </c>
      <c r="G16" s="12" t="str">
        <f ca="1">VLOOKUP(F16,Table11[[Native]:[Population4]],5,FALSE)</f>
        <v>延安市</v>
      </c>
    </row>
    <row r="17" spans="1:7" ht="15.75" thickBot="1" x14ac:dyDescent="0.3">
      <c r="A17" t="s">
        <v>2367</v>
      </c>
      <c r="B17" s="1" t="s">
        <v>2368</v>
      </c>
      <c r="C17" s="1" t="s">
        <v>7</v>
      </c>
      <c r="D17" s="1" t="s">
        <v>2352</v>
      </c>
      <c r="E17" s="9">
        <v>10404</v>
      </c>
      <c r="F17" s="1" t="str">
        <f>VLOOKUP(D17,Table11[[Name]:[Native]],3,FALSE)</f>
        <v>志丹县</v>
      </c>
      <c r="G17" s="12" t="str">
        <f ca="1">VLOOKUP(F17,Table11[[Native]:[Population4]],5,FALSE)</f>
        <v>延安市</v>
      </c>
    </row>
    <row r="18" spans="1:7" ht="15.75" thickBot="1" x14ac:dyDescent="0.3">
      <c r="A18" t="s">
        <v>2369</v>
      </c>
      <c r="B18" s="1" t="s">
        <v>2370</v>
      </c>
      <c r="C18" s="1" t="s">
        <v>113</v>
      </c>
      <c r="D18" s="1" t="s">
        <v>2371</v>
      </c>
      <c r="E18" s="9">
        <v>47205</v>
      </c>
      <c r="F18" s="1" t="str">
        <f>VLOOKUP(D18,Table11[[Name]:[Native]],3,FALSE)</f>
        <v>宜川县</v>
      </c>
      <c r="G18" s="12" t="str">
        <f ca="1">VLOOKUP(F18,Table11[[Native]:[Population4]],5,FALSE)</f>
        <v>延安市</v>
      </c>
    </row>
    <row r="19" spans="1:7" ht="15.75" thickBot="1" x14ac:dyDescent="0.3">
      <c r="A19" t="s">
        <v>2372</v>
      </c>
      <c r="B19" s="1" t="s">
        <v>2373</v>
      </c>
      <c r="C19" s="1" t="s">
        <v>7</v>
      </c>
      <c r="D19" s="1" t="s">
        <v>2374</v>
      </c>
      <c r="E19" s="9">
        <v>8959</v>
      </c>
      <c r="F19" s="1" t="str">
        <f>VLOOKUP(D19,Table11[[Name]:[Native]],3,FALSE)</f>
        <v>甘泉县</v>
      </c>
      <c r="G19" s="12" t="str">
        <f ca="1">VLOOKUP(F19,Table11[[Native]:[Population4]],5,FALSE)</f>
        <v>延安市</v>
      </c>
    </row>
    <row r="20" spans="1:7" ht="15.75" thickBot="1" x14ac:dyDescent="0.3">
      <c r="A20" t="s">
        <v>2375</v>
      </c>
      <c r="B20" s="1" t="s">
        <v>2376</v>
      </c>
      <c r="C20" s="1" t="s">
        <v>113</v>
      </c>
      <c r="D20" s="1" t="s">
        <v>2377</v>
      </c>
      <c r="E20" s="9">
        <v>71228</v>
      </c>
      <c r="F20" s="1" t="str">
        <f>VLOOKUP(D20,Table11[[Name]:[Native]],3,FALSE)</f>
        <v>延川县</v>
      </c>
      <c r="G20" s="12" t="str">
        <f ca="1">VLOOKUP(F20,Table11[[Native]:[Population4]],5,FALSE)</f>
        <v>延安市</v>
      </c>
    </row>
    <row r="21" spans="1:7" ht="15.75" thickBot="1" x14ac:dyDescent="0.3">
      <c r="A21" t="s">
        <v>2378</v>
      </c>
      <c r="B21" s="1" t="s">
        <v>1751</v>
      </c>
      <c r="C21" s="1" t="s">
        <v>7</v>
      </c>
      <c r="D21" s="1" t="s">
        <v>2330</v>
      </c>
      <c r="E21" s="9">
        <v>29676</v>
      </c>
      <c r="F21" s="1" t="str">
        <f>VLOOKUP(D21,Table11[[Name]:[Native]],3,FALSE)</f>
        <v>黄陵县</v>
      </c>
      <c r="G21" s="12" t="str">
        <f ca="1">VLOOKUP(F21,Table11[[Native]:[Population4]],5,FALSE)</f>
        <v>延安市</v>
      </c>
    </row>
    <row r="22" spans="1:7" ht="15.75" thickBot="1" x14ac:dyDescent="0.3">
      <c r="A22" t="s">
        <v>2379</v>
      </c>
      <c r="B22" s="1" t="s">
        <v>2380</v>
      </c>
      <c r="C22" s="1" t="s">
        <v>11</v>
      </c>
      <c r="D22" s="1" t="s">
        <v>2374</v>
      </c>
      <c r="E22" s="9">
        <v>2391</v>
      </c>
      <c r="F22" s="1" t="str">
        <f>VLOOKUP(D22,Table11[[Name]:[Native]],3,FALSE)</f>
        <v>甘泉县</v>
      </c>
      <c r="G22" s="12" t="str">
        <f ca="1">VLOOKUP(F22,Table11[[Native]:[Population4]],5,FALSE)</f>
        <v>延安市</v>
      </c>
    </row>
    <row r="23" spans="1:7" ht="15.75" thickBot="1" x14ac:dyDescent="0.3">
      <c r="A23" t="s">
        <v>2381</v>
      </c>
      <c r="B23" s="1" t="s">
        <v>2382</v>
      </c>
      <c r="C23" s="1" t="s">
        <v>11</v>
      </c>
      <c r="D23" s="1" t="s">
        <v>2344</v>
      </c>
      <c r="E23" s="9">
        <v>2417</v>
      </c>
      <c r="F23" s="1" t="str">
        <f>VLOOKUP(D23,Table11[[Name]:[Native]],3,FALSE)</f>
        <v>黄龙县</v>
      </c>
      <c r="G23" s="12" t="str">
        <f ca="1">VLOOKUP(F23,Table11[[Native]:[Population4]],5,FALSE)</f>
        <v>延安市</v>
      </c>
    </row>
    <row r="24" spans="1:7" ht="15.75" thickBot="1" x14ac:dyDescent="0.3">
      <c r="A24" t="s">
        <v>2383</v>
      </c>
      <c r="B24" s="1" t="s">
        <v>2384</v>
      </c>
      <c r="C24" s="1" t="s">
        <v>113</v>
      </c>
      <c r="D24" s="1" t="s">
        <v>2355</v>
      </c>
      <c r="E24" s="9">
        <v>44294</v>
      </c>
      <c r="F24" s="1" t="str">
        <f>VLOOKUP(D24,Table11[[Name]:[Native]],3,FALSE)</f>
        <v>宝塔区</v>
      </c>
      <c r="G24" s="12" t="str">
        <f ca="1">VLOOKUP(F24,Table11[[Native]:[Population4]],5,FALSE)</f>
        <v>延安市</v>
      </c>
    </row>
    <row r="25" spans="1:7" ht="15.75" thickBot="1" x14ac:dyDescent="0.3">
      <c r="A25" t="s">
        <v>2385</v>
      </c>
      <c r="B25" s="1" t="s">
        <v>2386</v>
      </c>
      <c r="C25" s="1" t="s">
        <v>113</v>
      </c>
      <c r="D25" s="1" t="s">
        <v>2347</v>
      </c>
      <c r="E25" s="9">
        <v>55096</v>
      </c>
      <c r="F25" s="1" t="str">
        <f>VLOOKUP(D25,Table11[[Name]:[Native]],3,FALSE)</f>
        <v>洛川县</v>
      </c>
      <c r="G25" s="12" t="str">
        <f ca="1">VLOOKUP(F25,Table11[[Native]:[Population4]],5,FALSE)</f>
        <v>延安市</v>
      </c>
    </row>
    <row r="26" spans="1:7" ht="15.75" thickBot="1" x14ac:dyDescent="0.3">
      <c r="A26" t="s">
        <v>2387</v>
      </c>
      <c r="B26" s="1" t="s">
        <v>2388</v>
      </c>
      <c r="C26" s="1" t="s">
        <v>11</v>
      </c>
      <c r="D26" s="1" t="s">
        <v>2355</v>
      </c>
      <c r="E26" s="9">
        <v>10135</v>
      </c>
      <c r="F26" s="1" t="str">
        <f>VLOOKUP(D26,Table11[[Name]:[Native]],3,FALSE)</f>
        <v>宝塔区</v>
      </c>
      <c r="G26" s="12" t="str">
        <f ca="1">VLOOKUP(F26,Table11[[Native]:[Population4]],5,FALSE)</f>
        <v>延安市</v>
      </c>
    </row>
    <row r="27" spans="1:7" ht="15.75" thickBot="1" x14ac:dyDescent="0.3">
      <c r="A27" t="s">
        <v>2389</v>
      </c>
      <c r="B27" s="1" t="s">
        <v>2390</v>
      </c>
      <c r="C27" s="1" t="s">
        <v>7</v>
      </c>
      <c r="D27" s="1" t="s">
        <v>2358</v>
      </c>
      <c r="E27" s="9">
        <v>39593</v>
      </c>
      <c r="F27" s="1" t="str">
        <f>VLOOKUP(D27,Table11[[Name]:[Native]],3,FALSE)</f>
        <v>富县</v>
      </c>
      <c r="G27" s="12" t="str">
        <f ca="1">VLOOKUP(F27,Table11[[Native]:[Population4]],5,FALSE)</f>
        <v>延安市</v>
      </c>
    </row>
    <row r="28" spans="1:7" ht="15.75" thickBot="1" x14ac:dyDescent="0.3">
      <c r="A28" t="s">
        <v>2391</v>
      </c>
      <c r="B28" s="1" t="s">
        <v>2392</v>
      </c>
      <c r="C28" s="1" t="s">
        <v>7</v>
      </c>
      <c r="D28" s="1" t="s">
        <v>2355</v>
      </c>
      <c r="E28" s="9">
        <v>9167</v>
      </c>
      <c r="F28" s="1" t="str">
        <f>VLOOKUP(D28,Table11[[Name]:[Native]],3,FALSE)</f>
        <v>宝塔区</v>
      </c>
      <c r="G28" s="12" t="str">
        <f ca="1">VLOOKUP(F28,Table11[[Native]:[Population4]],5,FALSE)</f>
        <v>延安市</v>
      </c>
    </row>
    <row r="29" spans="1:7" ht="15.75" thickBot="1" x14ac:dyDescent="0.3">
      <c r="A29" t="s">
        <v>2393</v>
      </c>
      <c r="B29" s="1" t="s">
        <v>2394</v>
      </c>
      <c r="C29" s="1" t="s">
        <v>11</v>
      </c>
      <c r="D29" s="1" t="s">
        <v>2371</v>
      </c>
      <c r="E29" s="9">
        <v>4186</v>
      </c>
      <c r="F29" s="1" t="str">
        <f>VLOOKUP(D29,Table11[[Name]:[Native]],3,FALSE)</f>
        <v>宜川县</v>
      </c>
      <c r="G29" s="12" t="str">
        <f ca="1">VLOOKUP(F29,Table11[[Native]:[Population4]],5,FALSE)</f>
        <v>延安市</v>
      </c>
    </row>
    <row r="30" spans="1:7" ht="15.75" thickBot="1" x14ac:dyDescent="0.3">
      <c r="A30" t="s">
        <v>61</v>
      </c>
      <c r="B30" s="1" t="s">
        <v>62</v>
      </c>
      <c r="C30" s="1" t="s">
        <v>7</v>
      </c>
      <c r="D30" s="1" t="s">
        <v>2395</v>
      </c>
      <c r="E30" s="9">
        <v>6623</v>
      </c>
      <c r="F30" s="1" t="str">
        <f>VLOOKUP(D30,Table11[[Name]:[Native]],3,FALSE)</f>
        <v>安塞区</v>
      </c>
      <c r="G30" s="12" t="str">
        <f ca="1">VLOOKUP(F30,Table11[[Native]:[Population4]],5,FALSE)</f>
        <v>延安市</v>
      </c>
    </row>
    <row r="31" spans="1:7" ht="15.75" thickBot="1" x14ac:dyDescent="0.3">
      <c r="A31" t="s">
        <v>2396</v>
      </c>
      <c r="B31" s="1" t="s">
        <v>2397</v>
      </c>
      <c r="C31" s="1" t="s">
        <v>11</v>
      </c>
      <c r="D31" s="1" t="s">
        <v>2374</v>
      </c>
      <c r="E31" s="9">
        <v>3569</v>
      </c>
      <c r="F31" s="1" t="str">
        <f>VLOOKUP(D31,Table11[[Name]:[Native]],3,FALSE)</f>
        <v>甘泉县</v>
      </c>
      <c r="G31" s="12" t="str">
        <f ca="1">VLOOKUP(F31,Table11[[Native]:[Population4]],5,FALSE)</f>
        <v>延安市</v>
      </c>
    </row>
    <row r="32" spans="1:7" ht="15.75" thickBot="1" x14ac:dyDescent="0.3">
      <c r="A32" t="s">
        <v>2398</v>
      </c>
      <c r="B32" s="1" t="s">
        <v>2399</v>
      </c>
      <c r="C32" s="1" t="s">
        <v>11</v>
      </c>
      <c r="D32" s="1" t="s">
        <v>2344</v>
      </c>
      <c r="E32" s="9">
        <v>1956</v>
      </c>
      <c r="F32" s="1" t="str">
        <f>VLOOKUP(D32,Table11[[Name]:[Native]],3,FALSE)</f>
        <v>黄龙县</v>
      </c>
      <c r="G32" s="12" t="str">
        <f ca="1">VLOOKUP(F32,Table11[[Native]:[Population4]],5,FALSE)</f>
        <v>延安市</v>
      </c>
    </row>
    <row r="33" spans="1:7" ht="15.75" thickBot="1" x14ac:dyDescent="0.3">
      <c r="A33" t="s">
        <v>2400</v>
      </c>
      <c r="B33" s="1" t="s">
        <v>2401</v>
      </c>
      <c r="C33" s="1" t="s">
        <v>11</v>
      </c>
      <c r="D33" s="1" t="s">
        <v>2355</v>
      </c>
      <c r="E33" s="9">
        <v>2330</v>
      </c>
      <c r="F33" s="1" t="str">
        <f>VLOOKUP(D33,Table11[[Name]:[Native]],3,FALSE)</f>
        <v>宝塔区</v>
      </c>
      <c r="G33" s="12" t="str">
        <f ca="1">VLOOKUP(F33,Table11[[Native]:[Population4]],5,FALSE)</f>
        <v>延安市</v>
      </c>
    </row>
    <row r="34" spans="1:7" ht="15.75" thickBot="1" x14ac:dyDescent="0.3">
      <c r="A34" t="s">
        <v>2402</v>
      </c>
      <c r="B34" s="1" t="s">
        <v>2403</v>
      </c>
      <c r="C34" s="1" t="s">
        <v>11</v>
      </c>
      <c r="D34" s="1" t="s">
        <v>2355</v>
      </c>
      <c r="E34" s="9">
        <v>3647</v>
      </c>
      <c r="F34" s="1" t="str">
        <f>VLOOKUP(D34,Table11[[Name]:[Native]],3,FALSE)</f>
        <v>宝塔区</v>
      </c>
      <c r="G34" s="12" t="str">
        <f ca="1">VLOOKUP(F34,Table11[[Native]:[Population4]],5,FALSE)</f>
        <v>延安市</v>
      </c>
    </row>
    <row r="35" spans="1:7" ht="15.75" thickBot="1" x14ac:dyDescent="0.3">
      <c r="A35" t="s">
        <v>1302</v>
      </c>
      <c r="B35" s="1" t="s">
        <v>1303</v>
      </c>
      <c r="C35" s="1" t="s">
        <v>7</v>
      </c>
      <c r="D35" s="1" t="s">
        <v>2377</v>
      </c>
      <c r="E35" s="9">
        <v>7038</v>
      </c>
      <c r="F35" s="1" t="str">
        <f>VLOOKUP(D35,Table11[[Name]:[Native]],3,FALSE)</f>
        <v>延川县</v>
      </c>
      <c r="G35" s="12" t="str">
        <f ca="1">VLOOKUP(F35,Table11[[Native]:[Population4]],5,FALSE)</f>
        <v>延安市</v>
      </c>
    </row>
    <row r="36" spans="1:7" ht="15.75" thickBot="1" x14ac:dyDescent="0.3">
      <c r="A36" t="s">
        <v>2404</v>
      </c>
      <c r="B36" s="1" t="s">
        <v>2405</v>
      </c>
      <c r="C36" s="1" t="s">
        <v>7</v>
      </c>
      <c r="D36" s="1" t="s">
        <v>2336</v>
      </c>
      <c r="E36" s="9">
        <v>8196</v>
      </c>
      <c r="F36" s="1" t="str">
        <f>VLOOKUP(D36,Table11[[Name]:[Native]],3,FALSE)</f>
        <v>延长县</v>
      </c>
      <c r="G36" s="12" t="str">
        <f ca="1">VLOOKUP(F36,Table11[[Native]:[Population4]],5,FALSE)</f>
        <v>延安市</v>
      </c>
    </row>
    <row r="37" spans="1:7" ht="15.75" thickBot="1" x14ac:dyDescent="0.3">
      <c r="A37" t="s">
        <v>2406</v>
      </c>
      <c r="B37" s="1" t="s">
        <v>2407</v>
      </c>
      <c r="C37" s="1" t="s">
        <v>11</v>
      </c>
      <c r="D37" s="1" t="s">
        <v>2377</v>
      </c>
      <c r="E37" s="9">
        <v>3644</v>
      </c>
      <c r="F37" s="1" t="str">
        <f>VLOOKUP(D37,Table11[[Name]:[Native]],3,FALSE)</f>
        <v>延川县</v>
      </c>
      <c r="G37" s="12" t="str">
        <f ca="1">VLOOKUP(F37,Table11[[Native]:[Population4]],5,FALSE)</f>
        <v>延安市</v>
      </c>
    </row>
    <row r="38" spans="1:7" ht="15.75" thickBot="1" x14ac:dyDescent="0.3">
      <c r="A38" t="s">
        <v>2408</v>
      </c>
      <c r="B38" s="1" t="s">
        <v>2409</v>
      </c>
      <c r="C38" s="1" t="s">
        <v>7</v>
      </c>
      <c r="D38" s="1" t="s">
        <v>2355</v>
      </c>
      <c r="E38" s="9">
        <v>19085</v>
      </c>
      <c r="F38" s="1" t="str">
        <f>VLOOKUP(D38,Table11[[Name]:[Native]],3,FALSE)</f>
        <v>宝塔区</v>
      </c>
      <c r="G38" s="12" t="str">
        <f ca="1">VLOOKUP(F38,Table11[[Native]:[Population4]],5,FALSE)</f>
        <v>延安市</v>
      </c>
    </row>
    <row r="39" spans="1:7" ht="15.75" thickBot="1" x14ac:dyDescent="0.3">
      <c r="A39" s="1" t="s">
        <v>2410</v>
      </c>
      <c r="B39" s="1" t="s">
        <v>2411</v>
      </c>
      <c r="C39" s="1" t="s">
        <v>11</v>
      </c>
      <c r="D39" s="1" t="s">
        <v>2344</v>
      </c>
      <c r="E39" s="9">
        <v>969</v>
      </c>
      <c r="F39" s="1" t="str">
        <f>VLOOKUP(D39,Table11[[Name]:[Native]],3,FALSE)</f>
        <v>黄龙县</v>
      </c>
      <c r="G39" s="12" t="str">
        <f ca="1">VLOOKUP(F39,Table11[[Native]:[Population4]],5,FALSE)</f>
        <v>延安市</v>
      </c>
    </row>
    <row r="40" spans="1:7" ht="15.75" thickBot="1" x14ac:dyDescent="0.3">
      <c r="A40" t="s">
        <v>2412</v>
      </c>
      <c r="B40" s="1" t="s">
        <v>2413</v>
      </c>
      <c r="C40" s="1" t="s">
        <v>7</v>
      </c>
      <c r="D40" s="1" t="s">
        <v>2347</v>
      </c>
      <c r="E40" s="9">
        <v>17638</v>
      </c>
      <c r="F40" s="1" t="str">
        <f>VLOOKUP(D40,Table11[[Name]:[Native]],3,FALSE)</f>
        <v>洛川县</v>
      </c>
      <c r="G40" s="12" t="str">
        <f ca="1">VLOOKUP(F40,Table11[[Native]:[Population4]],5,FALSE)</f>
        <v>延安市</v>
      </c>
    </row>
    <row r="41" spans="1:7" ht="15.75" thickBot="1" x14ac:dyDescent="0.3">
      <c r="A41" t="s">
        <v>2414</v>
      </c>
      <c r="B41" s="1" t="s">
        <v>2415</v>
      </c>
      <c r="C41" s="1" t="s">
        <v>7</v>
      </c>
      <c r="D41" s="1" t="s">
        <v>2395</v>
      </c>
      <c r="E41" s="9">
        <v>14939</v>
      </c>
      <c r="F41" s="1" t="str">
        <f>VLOOKUP(D41,Table11[[Name]:[Native]],3,FALSE)</f>
        <v>安塞区</v>
      </c>
      <c r="G41" s="12" t="str">
        <f ca="1">VLOOKUP(F41,Table11[[Native]:[Population4]],5,FALSE)</f>
        <v>延安市</v>
      </c>
    </row>
    <row r="42" spans="1:7" ht="15.75" thickBot="1" x14ac:dyDescent="0.3">
      <c r="A42" t="s">
        <v>2416</v>
      </c>
      <c r="B42" s="1" t="s">
        <v>2417</v>
      </c>
      <c r="C42" s="1" t="s">
        <v>7</v>
      </c>
      <c r="D42" s="1" t="s">
        <v>2371</v>
      </c>
      <c r="E42" s="9">
        <v>4152</v>
      </c>
      <c r="F42" s="1" t="str">
        <f>VLOOKUP(D42,Table11[[Name]:[Native]],3,FALSE)</f>
        <v>宜川县</v>
      </c>
      <c r="G42" s="12" t="str">
        <f ca="1">VLOOKUP(F42,Table11[[Native]:[Population4]],5,FALSE)</f>
        <v>延安市</v>
      </c>
    </row>
    <row r="43" spans="1:7" ht="15.75" thickBot="1" x14ac:dyDescent="0.3">
      <c r="A43" t="s">
        <v>2418</v>
      </c>
      <c r="B43" s="1" t="s">
        <v>2419</v>
      </c>
      <c r="C43" s="1" t="s">
        <v>7</v>
      </c>
      <c r="D43" s="1" t="s">
        <v>2377</v>
      </c>
      <c r="E43" s="9">
        <v>5602</v>
      </c>
      <c r="F43" s="1" t="str">
        <f>VLOOKUP(D43,Table11[[Name]:[Native]],3,FALSE)</f>
        <v>延川县</v>
      </c>
      <c r="G43" s="12" t="str">
        <f ca="1">VLOOKUP(F43,Table11[[Native]:[Population4]],5,FALSE)</f>
        <v>延安市</v>
      </c>
    </row>
    <row r="44" spans="1:7" ht="15.75" thickBot="1" x14ac:dyDescent="0.3">
      <c r="A44" t="s">
        <v>2420</v>
      </c>
      <c r="B44" s="1" t="s">
        <v>2421</v>
      </c>
      <c r="C44" s="1" t="s">
        <v>7</v>
      </c>
      <c r="D44" s="1" t="s">
        <v>2395</v>
      </c>
      <c r="E44" s="9">
        <v>14188</v>
      </c>
      <c r="F44" s="1" t="str">
        <f>VLOOKUP(D44,Table11[[Name]:[Native]],3,FALSE)</f>
        <v>安塞区</v>
      </c>
      <c r="G44" s="12" t="str">
        <f ca="1">VLOOKUP(F44,Table11[[Native]:[Population4]],5,FALSE)</f>
        <v>延安市</v>
      </c>
    </row>
    <row r="45" spans="1:7" ht="15.75" thickBot="1" x14ac:dyDescent="0.3">
      <c r="A45" t="s">
        <v>2422</v>
      </c>
      <c r="B45" s="1" t="s">
        <v>2423</v>
      </c>
      <c r="C45" s="1" t="s">
        <v>7</v>
      </c>
      <c r="D45" s="1" t="s">
        <v>2333</v>
      </c>
      <c r="E45" s="9">
        <v>10857</v>
      </c>
      <c r="F45" s="1" t="str">
        <f>VLOOKUP(D45,Table11[[Name]:[Native]],3,FALSE)</f>
        <v>子长市</v>
      </c>
      <c r="G45" s="12" t="str">
        <f ca="1">VLOOKUP(F45,Table11[[Native]:[Population4]],5,FALSE)</f>
        <v>延安市</v>
      </c>
    </row>
    <row r="46" spans="1:7" ht="15.75" thickBot="1" x14ac:dyDescent="0.3">
      <c r="A46" t="s">
        <v>2424</v>
      </c>
      <c r="B46" s="1" t="s">
        <v>2425</v>
      </c>
      <c r="C46" s="1" t="s">
        <v>7</v>
      </c>
      <c r="D46" s="1" t="s">
        <v>2347</v>
      </c>
      <c r="E46" s="9">
        <v>13692</v>
      </c>
      <c r="F46" s="1" t="str">
        <f>VLOOKUP(D46,Table11[[Name]:[Native]],3,FALSE)</f>
        <v>洛川县</v>
      </c>
      <c r="G46" s="12" t="str">
        <f ca="1">VLOOKUP(F46,Table11[[Native]:[Population4]],5,FALSE)</f>
        <v>延安市</v>
      </c>
    </row>
    <row r="47" spans="1:7" ht="15.75" thickBot="1" x14ac:dyDescent="0.3">
      <c r="A47" t="s">
        <v>2426</v>
      </c>
      <c r="B47" s="1" t="s">
        <v>2427</v>
      </c>
      <c r="C47" s="1" t="s">
        <v>7</v>
      </c>
      <c r="D47" s="1" t="s">
        <v>2336</v>
      </c>
      <c r="E47" s="9">
        <v>11372</v>
      </c>
      <c r="F47" s="1" t="str">
        <f>VLOOKUP(D47,Table11[[Name]:[Native]],3,FALSE)</f>
        <v>延长县</v>
      </c>
      <c r="G47" s="12" t="str">
        <f ca="1">VLOOKUP(F47,Table11[[Native]:[Population4]],5,FALSE)</f>
        <v>延安市</v>
      </c>
    </row>
    <row r="48" spans="1:7" ht="15.75" thickBot="1" x14ac:dyDescent="0.3">
      <c r="A48" t="s">
        <v>2428</v>
      </c>
      <c r="B48" s="1" t="s">
        <v>2429</v>
      </c>
      <c r="C48" s="1" t="s">
        <v>11</v>
      </c>
      <c r="D48" s="1" t="s">
        <v>2371</v>
      </c>
      <c r="E48" s="9">
        <v>6124</v>
      </c>
      <c r="F48" s="1" t="str">
        <f>VLOOKUP(D48,Table11[[Name]:[Native]],3,FALSE)</f>
        <v>宜川县</v>
      </c>
      <c r="G48" s="12" t="str">
        <f ca="1">VLOOKUP(F48,Table11[[Native]:[Population4]],5,FALSE)</f>
        <v>延安市</v>
      </c>
    </row>
    <row r="49" spans="1:7" ht="15.75" thickBot="1" x14ac:dyDescent="0.3">
      <c r="A49" t="s">
        <v>2430</v>
      </c>
      <c r="B49" s="1" t="s">
        <v>2431</v>
      </c>
      <c r="C49" s="1" t="s">
        <v>7</v>
      </c>
      <c r="D49" s="1" t="s">
        <v>2344</v>
      </c>
      <c r="E49" s="9">
        <v>5146</v>
      </c>
      <c r="F49" s="1" t="str">
        <f>VLOOKUP(D49,Table11[[Name]:[Native]],3,FALSE)</f>
        <v>黄龙县</v>
      </c>
      <c r="G49" s="12" t="str">
        <f ca="1">VLOOKUP(F49,Table11[[Native]:[Population4]],5,FALSE)</f>
        <v>延安市</v>
      </c>
    </row>
    <row r="50" spans="1:7" ht="15.75" thickBot="1" x14ac:dyDescent="0.3">
      <c r="A50" t="s">
        <v>2432</v>
      </c>
      <c r="B50" s="1" t="s">
        <v>2433</v>
      </c>
      <c r="C50" s="1" t="s">
        <v>7</v>
      </c>
      <c r="D50" s="1" t="s">
        <v>2352</v>
      </c>
      <c r="E50" s="9">
        <v>8895</v>
      </c>
      <c r="F50" s="1" t="str">
        <f>VLOOKUP(D50,Table11[[Name]:[Native]],3,FALSE)</f>
        <v>志丹县</v>
      </c>
      <c r="G50" s="12" t="str">
        <f ca="1">VLOOKUP(F50,Table11[[Native]:[Population4]],5,FALSE)</f>
        <v>延安市</v>
      </c>
    </row>
    <row r="51" spans="1:7" ht="15.75" thickBot="1" x14ac:dyDescent="0.3">
      <c r="A51" t="s">
        <v>2434</v>
      </c>
      <c r="B51" s="1" t="s">
        <v>2435</v>
      </c>
      <c r="C51" s="1" t="s">
        <v>11</v>
      </c>
      <c r="D51" s="1" t="s">
        <v>2347</v>
      </c>
      <c r="E51" s="9">
        <v>5729</v>
      </c>
      <c r="F51" s="1" t="str">
        <f>VLOOKUP(D51,Table11[[Name]:[Native]],3,FALSE)</f>
        <v>洛川县</v>
      </c>
      <c r="G51" s="12" t="str">
        <f ca="1">VLOOKUP(F51,Table11[[Native]:[Population4]],5,FALSE)</f>
        <v>延安市</v>
      </c>
    </row>
    <row r="52" spans="1:7" ht="15.75" thickBot="1" x14ac:dyDescent="0.3">
      <c r="A52" t="s">
        <v>2436</v>
      </c>
      <c r="B52" s="1" t="s">
        <v>2437</v>
      </c>
      <c r="C52" s="1" t="s">
        <v>7</v>
      </c>
      <c r="D52" s="1" t="s">
        <v>2347</v>
      </c>
      <c r="E52" s="9">
        <v>15467</v>
      </c>
      <c r="F52" s="1" t="str">
        <f>VLOOKUP(D52,Table11[[Name]:[Native]],3,FALSE)</f>
        <v>洛川县</v>
      </c>
      <c r="G52" s="12" t="str">
        <f ca="1">VLOOKUP(F52,Table11[[Native]:[Population4]],5,FALSE)</f>
        <v>延安市</v>
      </c>
    </row>
    <row r="53" spans="1:7" ht="15.75" thickBot="1" x14ac:dyDescent="0.3">
      <c r="A53" t="s">
        <v>2438</v>
      </c>
      <c r="B53" s="1" t="s">
        <v>2439</v>
      </c>
      <c r="C53" s="1" t="s">
        <v>7</v>
      </c>
      <c r="D53" s="1" t="s">
        <v>2371</v>
      </c>
      <c r="E53" s="9">
        <v>6983</v>
      </c>
      <c r="F53" s="1" t="str">
        <f>VLOOKUP(D53,Table11[[Name]:[Native]],3,FALSE)</f>
        <v>宜川县</v>
      </c>
      <c r="G53" s="12" t="str">
        <f ca="1">VLOOKUP(F53,Table11[[Native]:[Population4]],5,FALSE)</f>
        <v>延安市</v>
      </c>
    </row>
    <row r="54" spans="1:7" ht="15.75" thickBot="1" x14ac:dyDescent="0.3">
      <c r="A54" t="s">
        <v>2440</v>
      </c>
      <c r="B54" s="1" t="s">
        <v>1513</v>
      </c>
      <c r="C54" s="1" t="s">
        <v>7</v>
      </c>
      <c r="D54" s="1" t="s">
        <v>2347</v>
      </c>
      <c r="E54" s="9">
        <v>28019</v>
      </c>
      <c r="F54" s="1" t="str">
        <f>VLOOKUP(D54,Table11[[Name]:[Native]],3,FALSE)</f>
        <v>洛川县</v>
      </c>
      <c r="G54" s="12" t="str">
        <f ca="1">VLOOKUP(F54,Table11[[Native]:[Population4]],5,FALSE)</f>
        <v>延安市</v>
      </c>
    </row>
    <row r="55" spans="1:7" ht="15.75" thickBot="1" x14ac:dyDescent="0.3">
      <c r="A55" t="s">
        <v>2441</v>
      </c>
      <c r="B55" s="1" t="s">
        <v>2442</v>
      </c>
      <c r="C55" s="1" t="s">
        <v>11</v>
      </c>
      <c r="D55" s="1" t="s">
        <v>2374</v>
      </c>
      <c r="E55" s="9">
        <v>4376</v>
      </c>
      <c r="F55" s="1" t="str">
        <f>VLOOKUP(D55,Table11[[Name]:[Native]],3,FALSE)</f>
        <v>甘泉县</v>
      </c>
      <c r="G55" s="12" t="str">
        <f ca="1">VLOOKUP(F55,Table11[[Native]:[Population4]],5,FALSE)</f>
        <v>延安市</v>
      </c>
    </row>
    <row r="56" spans="1:7" ht="15.75" thickBot="1" x14ac:dyDescent="0.3">
      <c r="A56" t="s">
        <v>2443</v>
      </c>
      <c r="B56" s="1" t="s">
        <v>2444</v>
      </c>
      <c r="C56" s="1" t="s">
        <v>7</v>
      </c>
      <c r="D56" s="1" t="s">
        <v>2336</v>
      </c>
      <c r="E56" s="9">
        <v>4978</v>
      </c>
      <c r="F56" s="1" t="str">
        <f>VLOOKUP(D56,Table11[[Name]:[Native]],3,FALSE)</f>
        <v>延长县</v>
      </c>
      <c r="G56" s="12" t="str">
        <f ca="1">VLOOKUP(F56,Table11[[Native]:[Population4]],5,FALSE)</f>
        <v>延安市</v>
      </c>
    </row>
    <row r="57" spans="1:7" ht="15.75" thickBot="1" x14ac:dyDescent="0.3">
      <c r="A57" t="s">
        <v>2445</v>
      </c>
      <c r="B57" s="1" t="s">
        <v>2446</v>
      </c>
      <c r="C57" s="1" t="s">
        <v>7</v>
      </c>
      <c r="D57" s="1" t="s">
        <v>2395</v>
      </c>
      <c r="E57" s="9">
        <v>7591</v>
      </c>
      <c r="F57" s="1" t="str">
        <f>VLOOKUP(D57,Table11[[Name]:[Native]],3,FALSE)</f>
        <v>安塞区</v>
      </c>
      <c r="G57" s="12" t="str">
        <f ca="1">VLOOKUP(F57,Table11[[Native]:[Population4]],5,FALSE)</f>
        <v>延安市</v>
      </c>
    </row>
    <row r="58" spans="1:7" ht="15.75" thickBot="1" x14ac:dyDescent="0.3">
      <c r="A58" t="s">
        <v>2447</v>
      </c>
      <c r="B58" s="1" t="s">
        <v>2448</v>
      </c>
      <c r="C58" s="1" t="s">
        <v>7</v>
      </c>
      <c r="D58" s="1" t="s">
        <v>2333</v>
      </c>
      <c r="E58" s="9">
        <v>11381</v>
      </c>
      <c r="F58" s="1" t="str">
        <f>VLOOKUP(D58,Table11[[Name]:[Native]],3,FALSE)</f>
        <v>子长市</v>
      </c>
      <c r="G58" s="12" t="str">
        <f ca="1">VLOOKUP(F58,Table11[[Native]:[Population4]],5,FALSE)</f>
        <v>延安市</v>
      </c>
    </row>
    <row r="59" spans="1:7" ht="15.75" thickBot="1" x14ac:dyDescent="0.3">
      <c r="A59" t="s">
        <v>2449</v>
      </c>
      <c r="B59" s="1" t="s">
        <v>2450</v>
      </c>
      <c r="C59" s="1" t="s">
        <v>7</v>
      </c>
      <c r="D59" s="1" t="s">
        <v>2355</v>
      </c>
      <c r="E59" s="9">
        <v>7762</v>
      </c>
      <c r="F59" s="1" t="str">
        <f>VLOOKUP(D59,Table11[[Name]:[Native]],3,FALSE)</f>
        <v>宝塔区</v>
      </c>
      <c r="G59" s="12" t="str">
        <f ca="1">VLOOKUP(F59,Table11[[Native]:[Population4]],5,FALSE)</f>
        <v>延安市</v>
      </c>
    </row>
    <row r="60" spans="1:7" ht="15.75" thickBot="1" x14ac:dyDescent="0.3">
      <c r="A60" t="s">
        <v>2451</v>
      </c>
      <c r="B60" s="1" t="s">
        <v>2452</v>
      </c>
      <c r="C60" s="1" t="s">
        <v>7</v>
      </c>
      <c r="D60" s="1" t="s">
        <v>2355</v>
      </c>
      <c r="E60" s="9">
        <v>21167</v>
      </c>
      <c r="F60" s="1" t="str">
        <f>VLOOKUP(D60,Table11[[Name]:[Native]],3,FALSE)</f>
        <v>宝塔区</v>
      </c>
      <c r="G60" s="12" t="str">
        <f ca="1">VLOOKUP(F60,Table11[[Native]:[Population4]],5,FALSE)</f>
        <v>延安市</v>
      </c>
    </row>
    <row r="61" spans="1:7" ht="15.75" thickBot="1" x14ac:dyDescent="0.3">
      <c r="A61" t="s">
        <v>481</v>
      </c>
      <c r="B61" s="1" t="s">
        <v>482</v>
      </c>
      <c r="C61" s="1" t="s">
        <v>7</v>
      </c>
      <c r="D61" s="1" t="s">
        <v>2355</v>
      </c>
      <c r="E61" s="9">
        <v>46991</v>
      </c>
      <c r="F61" s="1" t="str">
        <f>VLOOKUP(D61,Table11[[Name]:[Native]],3,FALSE)</f>
        <v>宝塔区</v>
      </c>
      <c r="G61" s="12" t="str">
        <f ca="1">VLOOKUP(F61,Table11[[Native]:[Population4]],5,FALSE)</f>
        <v>延安市</v>
      </c>
    </row>
    <row r="62" spans="1:7" ht="15.75" thickBot="1" x14ac:dyDescent="0.3">
      <c r="A62" t="s">
        <v>2453</v>
      </c>
      <c r="B62" s="1" t="s">
        <v>2454</v>
      </c>
      <c r="C62" s="1" t="s">
        <v>7</v>
      </c>
      <c r="D62" s="1" t="s">
        <v>2330</v>
      </c>
      <c r="E62" s="9">
        <v>20188</v>
      </c>
      <c r="F62" s="1" t="str">
        <f>VLOOKUP(D62,Table11[[Name]:[Native]],3,FALSE)</f>
        <v>黄陵县</v>
      </c>
      <c r="G62" s="12" t="str">
        <f ca="1">VLOOKUP(F62,Table11[[Native]:[Population4]],5,FALSE)</f>
        <v>延安市</v>
      </c>
    </row>
    <row r="63" spans="1:7" ht="15.75" thickBot="1" x14ac:dyDescent="0.3">
      <c r="A63" t="s">
        <v>2455</v>
      </c>
      <c r="B63" s="1" t="s">
        <v>2456</v>
      </c>
      <c r="C63" s="1" t="s">
        <v>11</v>
      </c>
      <c r="D63" s="1" t="s">
        <v>2395</v>
      </c>
      <c r="E63" s="9">
        <v>5183</v>
      </c>
      <c r="F63" s="1" t="str">
        <f>VLOOKUP(D63,Table11[[Name]:[Native]],3,FALSE)</f>
        <v>安塞区</v>
      </c>
      <c r="G63" s="12" t="str">
        <f ca="1">VLOOKUP(F63,Table11[[Native]:[Population4]],5,FALSE)</f>
        <v>延安市</v>
      </c>
    </row>
    <row r="64" spans="1:7" ht="15.75" thickBot="1" x14ac:dyDescent="0.3">
      <c r="A64" t="s">
        <v>2457</v>
      </c>
      <c r="B64" s="1" t="s">
        <v>2458</v>
      </c>
      <c r="C64" s="1" t="s">
        <v>11</v>
      </c>
      <c r="D64" s="1" t="s">
        <v>2333</v>
      </c>
      <c r="E64" s="9">
        <v>9969</v>
      </c>
      <c r="F64" s="1" t="str">
        <f>VLOOKUP(D64,Table11[[Name]:[Native]],3,FALSE)</f>
        <v>子长市</v>
      </c>
      <c r="G64" s="12" t="str">
        <f ca="1">VLOOKUP(F64,Table11[[Native]:[Population4]],5,FALSE)</f>
        <v>延安市</v>
      </c>
    </row>
    <row r="65" spans="1:7" ht="15.75" thickBot="1" x14ac:dyDescent="0.3">
      <c r="A65" t="s">
        <v>2459</v>
      </c>
      <c r="B65" s="1" t="s">
        <v>2460</v>
      </c>
      <c r="C65" s="1" t="s">
        <v>7</v>
      </c>
      <c r="D65" s="1" t="s">
        <v>2336</v>
      </c>
      <c r="E65" s="9">
        <v>4947</v>
      </c>
      <c r="F65" s="1" t="str">
        <f>VLOOKUP(D65,Table11[[Name]:[Native]],3,FALSE)</f>
        <v>延长县</v>
      </c>
      <c r="G65" s="12" t="str">
        <f ca="1">VLOOKUP(F65,Table11[[Native]:[Population4]],5,FALSE)</f>
        <v>延安市</v>
      </c>
    </row>
    <row r="66" spans="1:7" ht="15.75" thickBot="1" x14ac:dyDescent="0.3">
      <c r="A66" t="s">
        <v>2461</v>
      </c>
      <c r="B66" s="1" t="s">
        <v>2462</v>
      </c>
      <c r="C66" s="1" t="s">
        <v>7</v>
      </c>
      <c r="D66" s="1" t="s">
        <v>2355</v>
      </c>
      <c r="E66" s="9">
        <v>6544</v>
      </c>
      <c r="F66" s="1" t="str">
        <f>VLOOKUP(D66,Table11[[Name]:[Native]],3,FALSE)</f>
        <v>宝塔区</v>
      </c>
      <c r="G66" s="12" t="str">
        <f ca="1">VLOOKUP(F66,Table11[[Native]:[Population4]],5,FALSE)</f>
        <v>延安市</v>
      </c>
    </row>
    <row r="67" spans="1:7" ht="15.75" thickBot="1" x14ac:dyDescent="0.3">
      <c r="A67" t="s">
        <v>2463</v>
      </c>
      <c r="B67" s="1" t="s">
        <v>2464</v>
      </c>
      <c r="C67" s="1" t="s">
        <v>7</v>
      </c>
      <c r="D67" s="1" t="s">
        <v>2333</v>
      </c>
      <c r="E67" s="9">
        <v>9394</v>
      </c>
      <c r="F67" s="1" t="str">
        <f>VLOOKUP(D67,Table11[[Name]:[Native]],3,FALSE)</f>
        <v>子长市</v>
      </c>
      <c r="G67" s="12" t="str">
        <f ca="1">VLOOKUP(F67,Table11[[Native]:[Population4]],5,FALSE)</f>
        <v>延安市</v>
      </c>
    </row>
    <row r="68" spans="1:7" ht="15.75" thickBot="1" x14ac:dyDescent="0.3">
      <c r="A68" t="s">
        <v>2465</v>
      </c>
      <c r="B68" s="1" t="s">
        <v>2466</v>
      </c>
      <c r="C68" s="1" t="s">
        <v>113</v>
      </c>
      <c r="D68" s="1" t="s">
        <v>2374</v>
      </c>
      <c r="E68" s="9">
        <v>38142</v>
      </c>
      <c r="F68" s="1" t="str">
        <f>VLOOKUP(D68,Table11[[Name]:[Native]],3,FALSE)</f>
        <v>甘泉县</v>
      </c>
      <c r="G68" s="12" t="str">
        <f ca="1">VLOOKUP(F68,Table11[[Native]:[Population4]],5,FALSE)</f>
        <v>延安市</v>
      </c>
    </row>
    <row r="69" spans="1:7" ht="15.75" thickBot="1" x14ac:dyDescent="0.3">
      <c r="A69" t="s">
        <v>1164</v>
      </c>
      <c r="B69" s="1" t="s">
        <v>1165</v>
      </c>
      <c r="C69" s="1" t="s">
        <v>7</v>
      </c>
      <c r="D69" s="1" t="s">
        <v>2341</v>
      </c>
      <c r="E69" s="9">
        <v>5957</v>
      </c>
      <c r="F69" s="1" t="str">
        <f>VLOOKUP(D69,Table11[[Name]:[Native]],3,FALSE)</f>
        <v>吴起县</v>
      </c>
      <c r="G69" s="12" t="str">
        <f ca="1">VLOOKUP(F69,Table11[[Native]:[Population4]],5,FALSE)</f>
        <v>延安市</v>
      </c>
    </row>
    <row r="70" spans="1:7" ht="15.75" thickBot="1" x14ac:dyDescent="0.3">
      <c r="A70" t="s">
        <v>2467</v>
      </c>
      <c r="B70" s="1" t="s">
        <v>2468</v>
      </c>
      <c r="C70" s="1" t="s">
        <v>11</v>
      </c>
      <c r="D70" s="1" t="s">
        <v>2358</v>
      </c>
      <c r="E70" s="9">
        <v>3762</v>
      </c>
      <c r="F70" s="1" t="str">
        <f>VLOOKUP(D70,Table11[[Name]:[Native]],3,FALSE)</f>
        <v>富县</v>
      </c>
      <c r="G70" s="12" t="str">
        <f ca="1">VLOOKUP(F70,Table11[[Native]:[Population4]],5,FALSE)</f>
        <v>延安市</v>
      </c>
    </row>
    <row r="71" spans="1:7" ht="15.75" thickBot="1" x14ac:dyDescent="0.3">
      <c r="A71" t="s">
        <v>2469</v>
      </c>
      <c r="B71" s="1" t="s">
        <v>2470</v>
      </c>
      <c r="C71" s="1" t="s">
        <v>7</v>
      </c>
      <c r="D71" s="1" t="s">
        <v>2333</v>
      </c>
      <c r="E71" s="9">
        <v>8400</v>
      </c>
      <c r="F71" s="1" t="str">
        <f>VLOOKUP(D71,Table11[[Name]:[Native]],3,FALSE)</f>
        <v>子长市</v>
      </c>
      <c r="G71" s="12" t="str">
        <f ca="1">VLOOKUP(F71,Table11[[Native]:[Population4]],5,FALSE)</f>
        <v>延安市</v>
      </c>
    </row>
    <row r="72" spans="1:7" ht="15.75" thickBot="1" x14ac:dyDescent="0.3">
      <c r="A72" t="s">
        <v>2471</v>
      </c>
      <c r="B72" s="1" t="s">
        <v>2472</v>
      </c>
      <c r="C72" s="1" t="s">
        <v>11</v>
      </c>
      <c r="D72" s="1" t="s">
        <v>2336</v>
      </c>
      <c r="E72" s="9">
        <v>4214</v>
      </c>
      <c r="F72" s="1" t="str">
        <f>VLOOKUP(D72,Table11[[Name]:[Native]],3,FALSE)</f>
        <v>延长县</v>
      </c>
      <c r="G72" s="12" t="str">
        <f ca="1">VLOOKUP(F72,Table11[[Native]:[Population4]],5,FALSE)</f>
        <v>延安市</v>
      </c>
    </row>
    <row r="73" spans="1:7" ht="15.75" thickBot="1" x14ac:dyDescent="0.3">
      <c r="A73" t="s">
        <v>2473</v>
      </c>
      <c r="B73" s="1" t="s">
        <v>2474</v>
      </c>
      <c r="C73" s="1" t="s">
        <v>7</v>
      </c>
      <c r="D73" s="1" t="s">
        <v>2355</v>
      </c>
      <c r="E73" s="9">
        <v>4960</v>
      </c>
      <c r="F73" s="1" t="str">
        <f>VLOOKUP(D73,Table11[[Name]:[Native]],3,FALSE)</f>
        <v>宝塔区</v>
      </c>
      <c r="G73" s="12" t="str">
        <f ca="1">VLOOKUP(F73,Table11[[Native]:[Population4]],5,FALSE)</f>
        <v>延安市</v>
      </c>
    </row>
    <row r="74" spans="1:7" ht="15.75" thickBot="1" x14ac:dyDescent="0.3">
      <c r="A74" t="s">
        <v>2475</v>
      </c>
      <c r="B74" s="1" t="s">
        <v>2476</v>
      </c>
      <c r="C74" s="1" t="s">
        <v>113</v>
      </c>
      <c r="D74" s="1" t="s">
        <v>2355</v>
      </c>
      <c r="E74" s="9">
        <v>57320</v>
      </c>
      <c r="F74" s="1" t="str">
        <f>VLOOKUP(D74,Table11[[Name]:[Native]],3,FALSE)</f>
        <v>宝塔区</v>
      </c>
      <c r="G74" s="12" t="str">
        <f ca="1">VLOOKUP(F74,Table11[[Native]:[Population4]],5,FALSE)</f>
        <v>延安市</v>
      </c>
    </row>
    <row r="75" spans="1:7" ht="15.75" thickBot="1" x14ac:dyDescent="0.3">
      <c r="A75" t="s">
        <v>2477</v>
      </c>
      <c r="B75" s="1" t="s">
        <v>2478</v>
      </c>
      <c r="C75" s="1" t="s">
        <v>7</v>
      </c>
      <c r="D75" s="1" t="s">
        <v>2358</v>
      </c>
      <c r="E75" s="9">
        <v>7121</v>
      </c>
      <c r="F75" s="1" t="str">
        <f>VLOOKUP(D75,Table11[[Name]:[Native]],3,FALSE)</f>
        <v>富县</v>
      </c>
      <c r="G75" s="12" t="str">
        <f ca="1">VLOOKUP(F75,Table11[[Native]:[Population4]],5,FALSE)</f>
        <v>延安市</v>
      </c>
    </row>
    <row r="76" spans="1:7" ht="15.75" thickBot="1" x14ac:dyDescent="0.3">
      <c r="A76" t="s">
        <v>495</v>
      </c>
      <c r="B76" s="1" t="s">
        <v>496</v>
      </c>
      <c r="C76" s="1" t="s">
        <v>7</v>
      </c>
      <c r="D76" s="1" t="s">
        <v>2355</v>
      </c>
      <c r="E76" s="9">
        <v>7351</v>
      </c>
      <c r="F76" s="1" t="str">
        <f>VLOOKUP(D76,Table11[[Name]:[Native]],3,FALSE)</f>
        <v>宝塔区</v>
      </c>
      <c r="G76" s="12" t="str">
        <f ca="1">VLOOKUP(F76,Table11[[Native]:[Population4]],5,FALSE)</f>
        <v>延安市</v>
      </c>
    </row>
    <row r="77" spans="1:7" ht="15.75" thickBot="1" x14ac:dyDescent="0.3">
      <c r="A77" t="s">
        <v>2479</v>
      </c>
      <c r="B77" s="1" t="s">
        <v>2480</v>
      </c>
      <c r="C77" s="1" t="s">
        <v>7</v>
      </c>
      <c r="D77" s="1" t="s">
        <v>2395</v>
      </c>
      <c r="E77" s="9">
        <v>10497</v>
      </c>
      <c r="F77" s="1" t="str">
        <f>VLOOKUP(D77,Table11[[Name]:[Native]],3,FALSE)</f>
        <v>安塞区</v>
      </c>
      <c r="G77" s="12" t="str">
        <f ca="1">VLOOKUP(F77,Table11[[Native]:[Population4]],5,FALSE)</f>
        <v>延安市</v>
      </c>
    </row>
    <row r="78" spans="1:7" ht="15.75" thickBot="1" x14ac:dyDescent="0.3">
      <c r="A78" t="s">
        <v>2481</v>
      </c>
      <c r="B78" s="1" t="s">
        <v>2482</v>
      </c>
      <c r="C78" s="1" t="s">
        <v>7</v>
      </c>
      <c r="D78" s="1" t="s">
        <v>2347</v>
      </c>
      <c r="E78" s="9">
        <v>6682</v>
      </c>
      <c r="F78" s="1" t="str">
        <f>VLOOKUP(D78,Table11[[Name]:[Native]],3,FALSE)</f>
        <v>洛川县</v>
      </c>
      <c r="G78" s="12" t="str">
        <f ca="1">VLOOKUP(F78,Table11[[Native]:[Population4]],5,FALSE)</f>
        <v>延安市</v>
      </c>
    </row>
    <row r="79" spans="1:7" ht="15.75" thickBot="1" x14ac:dyDescent="0.3">
      <c r="A79" t="s">
        <v>2483</v>
      </c>
      <c r="B79" s="1" t="s">
        <v>2484</v>
      </c>
      <c r="C79" s="1" t="s">
        <v>11</v>
      </c>
      <c r="D79" s="1" t="s">
        <v>2358</v>
      </c>
      <c r="E79" s="9">
        <v>8966</v>
      </c>
      <c r="F79" s="1" t="str">
        <f>VLOOKUP(D79,Table11[[Name]:[Native]],3,FALSE)</f>
        <v>富县</v>
      </c>
      <c r="G79" s="12" t="str">
        <f ca="1">VLOOKUP(F79,Table11[[Native]:[Population4]],5,FALSE)</f>
        <v>延安市</v>
      </c>
    </row>
    <row r="80" spans="1:7" ht="15.75" thickBot="1" x14ac:dyDescent="0.3">
      <c r="A80" t="s">
        <v>2485</v>
      </c>
      <c r="B80" s="1" t="s">
        <v>2486</v>
      </c>
      <c r="C80" s="1" t="s">
        <v>7</v>
      </c>
      <c r="D80" s="1" t="s">
        <v>2377</v>
      </c>
      <c r="E80" s="9">
        <v>3388</v>
      </c>
      <c r="F80" s="1" t="str">
        <f>VLOOKUP(D80,Table11[[Name]:[Native]],3,FALSE)</f>
        <v>延川县</v>
      </c>
      <c r="G80" s="12" t="str">
        <f ca="1">VLOOKUP(F80,Table11[[Native]:[Population4]],5,FALSE)</f>
        <v>延安市</v>
      </c>
    </row>
    <row r="81" spans="1:7" ht="15.75" thickBot="1" x14ac:dyDescent="0.3">
      <c r="A81" t="s">
        <v>2487</v>
      </c>
      <c r="B81" s="1" t="s">
        <v>2488</v>
      </c>
      <c r="C81" s="1" t="s">
        <v>113</v>
      </c>
      <c r="D81" s="1" t="s">
        <v>2355</v>
      </c>
      <c r="E81" s="9">
        <v>69345</v>
      </c>
      <c r="F81" s="1" t="str">
        <f>VLOOKUP(D81,Table11[[Name]:[Native]],3,FALSE)</f>
        <v>宝塔区</v>
      </c>
      <c r="G81" s="12" t="str">
        <f ca="1">VLOOKUP(F81,Table11[[Native]:[Population4]],5,FALSE)</f>
        <v>延安市</v>
      </c>
    </row>
    <row r="82" spans="1:7" ht="15.75" thickBot="1" x14ac:dyDescent="0.3">
      <c r="A82" t="s">
        <v>2489</v>
      </c>
      <c r="B82" s="1" t="s">
        <v>2490</v>
      </c>
      <c r="C82" s="1" t="s">
        <v>113</v>
      </c>
      <c r="D82" s="1" t="s">
        <v>2330</v>
      </c>
      <c r="E82" s="9">
        <v>45302</v>
      </c>
      <c r="F82" s="1" t="str">
        <f>VLOOKUP(D82,Table11[[Name]:[Native]],3,FALSE)</f>
        <v>黄陵县</v>
      </c>
      <c r="G82" s="12" t="str">
        <f ca="1">VLOOKUP(F82,Table11[[Native]:[Population4]],5,FALSE)</f>
        <v>延安市</v>
      </c>
    </row>
    <row r="83" spans="1:7" ht="15.75" thickBot="1" x14ac:dyDescent="0.3">
      <c r="A83" t="s">
        <v>2491</v>
      </c>
      <c r="B83" s="1" t="s">
        <v>2492</v>
      </c>
      <c r="C83" s="1" t="s">
        <v>11</v>
      </c>
      <c r="D83" s="1" t="s">
        <v>2374</v>
      </c>
      <c r="E83" s="9">
        <v>4292</v>
      </c>
      <c r="F83" s="1" t="str">
        <f>VLOOKUP(D83,Table11[[Name]:[Native]],3,FALSE)</f>
        <v>甘泉县</v>
      </c>
      <c r="G83" s="12" t="str">
        <f ca="1">VLOOKUP(F83,Table11[[Native]:[Population4]],5,FALSE)</f>
        <v>延安市</v>
      </c>
    </row>
    <row r="84" spans="1:7" ht="15.75" thickBot="1" x14ac:dyDescent="0.3">
      <c r="A84" t="s">
        <v>2493</v>
      </c>
      <c r="B84" s="1" t="s">
        <v>2494</v>
      </c>
      <c r="C84" s="1" t="s">
        <v>113</v>
      </c>
      <c r="D84" s="1" t="s">
        <v>2336</v>
      </c>
      <c r="E84" s="9">
        <v>58832</v>
      </c>
      <c r="F84" s="1" t="str">
        <f>VLOOKUP(D84,Table11[[Name]:[Native]],3,FALSE)</f>
        <v>延长县</v>
      </c>
      <c r="G84" s="12" t="str">
        <f ca="1">VLOOKUP(F84,Table11[[Native]:[Population4]],5,FALSE)</f>
        <v>延安市</v>
      </c>
    </row>
    <row r="85" spans="1:7" ht="15.75" thickBot="1" x14ac:dyDescent="0.3">
      <c r="A85" t="s">
        <v>2495</v>
      </c>
      <c r="B85" s="1" t="s">
        <v>2496</v>
      </c>
      <c r="C85" s="1" t="s">
        <v>7</v>
      </c>
      <c r="D85" s="1" t="s">
        <v>2355</v>
      </c>
      <c r="E85" s="9">
        <v>18016</v>
      </c>
      <c r="F85" s="1" t="str">
        <f>VLOOKUP(D85,Table11[[Name]:[Native]],3,FALSE)</f>
        <v>宝塔区</v>
      </c>
      <c r="G85" s="12" t="str">
        <f ca="1">VLOOKUP(F85,Table11[[Native]:[Population4]],5,FALSE)</f>
        <v>延安市</v>
      </c>
    </row>
    <row r="86" spans="1:7" ht="15.75" thickBot="1" x14ac:dyDescent="0.3">
      <c r="A86" t="s">
        <v>2497</v>
      </c>
      <c r="B86" s="1" t="s">
        <v>2498</v>
      </c>
      <c r="C86" s="1" t="s">
        <v>11</v>
      </c>
      <c r="D86" s="1" t="s">
        <v>2347</v>
      </c>
      <c r="E86" s="9">
        <v>10277</v>
      </c>
      <c r="F86" s="1" t="str">
        <f>VLOOKUP(D86,Table11[[Name]:[Native]],3,FALSE)</f>
        <v>洛川县</v>
      </c>
      <c r="G86" s="12" t="str">
        <f ca="1">VLOOKUP(F86,Table11[[Native]:[Population4]],5,FALSE)</f>
        <v>延安市</v>
      </c>
    </row>
    <row r="87" spans="1:7" ht="15.75" thickBot="1" x14ac:dyDescent="0.3">
      <c r="A87" t="s">
        <v>2499</v>
      </c>
      <c r="B87" s="1" t="s">
        <v>2500</v>
      </c>
      <c r="C87" s="1" t="s">
        <v>7</v>
      </c>
      <c r="D87" s="1" t="s">
        <v>2371</v>
      </c>
      <c r="E87" s="9">
        <v>16233</v>
      </c>
      <c r="F87" s="1" t="str">
        <f>VLOOKUP(D87,Table11[[Name]:[Native]],3,FALSE)</f>
        <v>宜川县</v>
      </c>
      <c r="G87" s="12" t="str">
        <f ca="1">VLOOKUP(F87,Table11[[Native]:[Population4]],5,FALSE)</f>
        <v>延安市</v>
      </c>
    </row>
    <row r="88" spans="1:7" ht="15.75" thickBot="1" x14ac:dyDescent="0.3">
      <c r="A88" t="s">
        <v>2501</v>
      </c>
      <c r="B88" s="1" t="s">
        <v>2502</v>
      </c>
      <c r="C88" s="1" t="s">
        <v>11</v>
      </c>
      <c r="D88" s="1" t="s">
        <v>2333</v>
      </c>
      <c r="E88" s="9">
        <v>3231</v>
      </c>
      <c r="F88" s="1" t="str">
        <f>VLOOKUP(D88,Table11[[Name]:[Native]],3,FALSE)</f>
        <v>子长市</v>
      </c>
      <c r="G88" s="12" t="str">
        <f ca="1">VLOOKUP(F88,Table11[[Native]:[Population4]],5,FALSE)</f>
        <v>延安市</v>
      </c>
    </row>
    <row r="89" spans="1:7" ht="15.75" thickBot="1" x14ac:dyDescent="0.3">
      <c r="A89" t="s">
        <v>2503</v>
      </c>
      <c r="B89" s="1" t="s">
        <v>2504</v>
      </c>
      <c r="C89" s="1" t="s">
        <v>7</v>
      </c>
      <c r="D89" s="1" t="s">
        <v>2344</v>
      </c>
      <c r="E89" s="9">
        <v>7795</v>
      </c>
      <c r="F89" s="1" t="str">
        <f>VLOOKUP(D89,Table11[[Name]:[Native]],3,FALSE)</f>
        <v>黄龙县</v>
      </c>
      <c r="G89" s="12" t="str">
        <f ca="1">VLOOKUP(F89,Table11[[Native]:[Population4]],5,FALSE)</f>
        <v>延安市</v>
      </c>
    </row>
    <row r="90" spans="1:7" ht="15.75" thickBot="1" x14ac:dyDescent="0.3">
      <c r="A90" t="s">
        <v>2505</v>
      </c>
      <c r="B90" s="1" t="s">
        <v>2506</v>
      </c>
      <c r="C90" s="1" t="s">
        <v>7</v>
      </c>
      <c r="D90" s="1" t="s">
        <v>2344</v>
      </c>
      <c r="E90" s="9">
        <v>21028</v>
      </c>
      <c r="F90" s="1" t="str">
        <f>VLOOKUP(D90,Table11[[Name]:[Native]],3,FALSE)</f>
        <v>黄龙县</v>
      </c>
      <c r="G90" s="12" t="str">
        <f ca="1">VLOOKUP(F90,Table11[[Native]:[Population4]],5,FALSE)</f>
        <v>延安市</v>
      </c>
    </row>
    <row r="91" spans="1:7" ht="15.75" thickBot="1" x14ac:dyDescent="0.3">
      <c r="A91" t="s">
        <v>198</v>
      </c>
      <c r="B91" s="1" t="s">
        <v>197</v>
      </c>
      <c r="C91" s="1" t="s">
        <v>7</v>
      </c>
      <c r="D91" s="1" t="s">
        <v>2374</v>
      </c>
      <c r="E91" s="9">
        <v>4708</v>
      </c>
      <c r="F91" s="1" t="str">
        <f>VLOOKUP(D91,Table11[[Name]:[Native]],3,FALSE)</f>
        <v>甘泉县</v>
      </c>
      <c r="G91" s="12" t="str">
        <f ca="1">VLOOKUP(F91,Table11[[Native]:[Population4]],5,FALSE)</f>
        <v>延安市</v>
      </c>
    </row>
    <row r="92" spans="1:7" ht="15.75" thickBot="1" x14ac:dyDescent="0.3">
      <c r="A92" t="s">
        <v>2507</v>
      </c>
      <c r="B92" s="1" t="s">
        <v>2508</v>
      </c>
      <c r="C92" s="1" t="s">
        <v>11</v>
      </c>
      <c r="D92" s="1" t="s">
        <v>2347</v>
      </c>
      <c r="E92" s="9">
        <v>5297</v>
      </c>
      <c r="F92" s="1" t="str">
        <f>VLOOKUP(D92,Table11[[Name]:[Native]],3,FALSE)</f>
        <v>洛川县</v>
      </c>
      <c r="G92" s="12" t="str">
        <f ca="1">VLOOKUP(F92,Table11[[Native]:[Population4]],5,FALSE)</f>
        <v>延安市</v>
      </c>
    </row>
    <row r="93" spans="1:7" ht="15.75" thickBot="1" x14ac:dyDescent="0.3">
      <c r="A93" t="s">
        <v>2509</v>
      </c>
      <c r="B93" s="1" t="s">
        <v>2510</v>
      </c>
      <c r="C93" s="1" t="s">
        <v>7</v>
      </c>
      <c r="D93" s="1" t="s">
        <v>2347</v>
      </c>
      <c r="E93" s="9">
        <v>22864</v>
      </c>
      <c r="F93" s="1" t="str">
        <f>VLOOKUP(D93,Table11[[Name]:[Native]],3,FALSE)</f>
        <v>洛川县</v>
      </c>
      <c r="G93" s="12" t="str">
        <f ca="1">VLOOKUP(F93,Table11[[Native]:[Population4]],5,FALSE)</f>
        <v>延安市</v>
      </c>
    </row>
    <row r="94" spans="1:7" ht="15.75" thickBot="1" x14ac:dyDescent="0.3">
      <c r="A94" t="s">
        <v>2511</v>
      </c>
      <c r="B94" s="1" t="s">
        <v>2512</v>
      </c>
      <c r="C94" s="1" t="s">
        <v>11</v>
      </c>
      <c r="D94" s="1" t="s">
        <v>2371</v>
      </c>
      <c r="E94" s="9">
        <v>4076</v>
      </c>
      <c r="F94" s="1" t="str">
        <f>VLOOKUP(D94,Table11[[Name]:[Native]],3,FALSE)</f>
        <v>宜川县</v>
      </c>
      <c r="G94" s="12" t="str">
        <f ca="1">VLOOKUP(F94,Table11[[Native]:[Population4]],5,FALSE)</f>
        <v>延安市</v>
      </c>
    </row>
    <row r="95" spans="1:7" ht="15.75" thickBot="1" x14ac:dyDescent="0.3">
      <c r="A95" t="s">
        <v>2513</v>
      </c>
      <c r="B95" s="1" t="s">
        <v>210</v>
      </c>
      <c r="C95" s="1" t="s">
        <v>7</v>
      </c>
      <c r="D95" s="1" t="s">
        <v>2352</v>
      </c>
      <c r="E95" s="9">
        <v>8384</v>
      </c>
      <c r="F95" s="1" t="str">
        <f>VLOOKUP(D95,Table11[[Name]:[Native]],3,FALSE)</f>
        <v>志丹县</v>
      </c>
      <c r="G95" s="12" t="str">
        <f ca="1">VLOOKUP(F95,Table11[[Native]:[Population4]],5,FALSE)</f>
        <v>延安市</v>
      </c>
    </row>
    <row r="96" spans="1:7" ht="15.75" thickBot="1" x14ac:dyDescent="0.3">
      <c r="A96" t="s">
        <v>211</v>
      </c>
      <c r="B96" s="1" t="s">
        <v>212</v>
      </c>
      <c r="C96" s="1" t="s">
        <v>7</v>
      </c>
      <c r="D96" s="1" t="s">
        <v>2330</v>
      </c>
      <c r="E96" s="9">
        <v>6435</v>
      </c>
      <c r="F96" s="1" t="str">
        <f>VLOOKUP(D96,Table11[[Name]:[Native]],3,FALSE)</f>
        <v>黄陵县</v>
      </c>
      <c r="G96" s="12" t="str">
        <f ca="1">VLOOKUP(F96,Table11[[Native]:[Population4]],5,FALSE)</f>
        <v>延安市</v>
      </c>
    </row>
    <row r="97" spans="1:7" ht="15.75" thickBot="1" x14ac:dyDescent="0.3">
      <c r="A97" t="s">
        <v>2514</v>
      </c>
      <c r="B97" s="1" t="s">
        <v>2515</v>
      </c>
      <c r="C97" s="1" t="s">
        <v>7</v>
      </c>
      <c r="D97" s="1" t="s">
        <v>2352</v>
      </c>
      <c r="E97" s="9">
        <v>8860</v>
      </c>
      <c r="F97" s="1" t="str">
        <f>VLOOKUP(D97,Table11[[Name]:[Native]],3,FALSE)</f>
        <v>志丹县</v>
      </c>
      <c r="G97" s="12" t="str">
        <f ca="1">VLOOKUP(F97,Table11[[Native]:[Population4]],5,FALSE)</f>
        <v>延安市</v>
      </c>
    </row>
    <row r="98" spans="1:7" ht="15.75" thickBot="1" x14ac:dyDescent="0.3">
      <c r="A98" t="s">
        <v>2516</v>
      </c>
      <c r="B98" s="1" t="s">
        <v>2517</v>
      </c>
      <c r="C98" s="1" t="s">
        <v>11</v>
      </c>
      <c r="D98" s="1" t="s">
        <v>2333</v>
      </c>
      <c r="E98" s="9">
        <v>6026</v>
      </c>
      <c r="F98" s="1" t="str">
        <f>VLOOKUP(D98,Table11[[Name]:[Native]],3,FALSE)</f>
        <v>子长市</v>
      </c>
      <c r="G98" s="12" t="str">
        <f ca="1">VLOOKUP(F98,Table11[[Native]:[Population4]],5,FALSE)</f>
        <v>延安市</v>
      </c>
    </row>
    <row r="99" spans="1:7" ht="15.75" thickBot="1" x14ac:dyDescent="0.3">
      <c r="A99" t="s">
        <v>2518</v>
      </c>
      <c r="B99" s="1" t="s">
        <v>2519</v>
      </c>
      <c r="C99" s="1" t="s">
        <v>7</v>
      </c>
      <c r="D99" s="1" t="s">
        <v>2358</v>
      </c>
      <c r="E99" s="9">
        <v>4666</v>
      </c>
      <c r="F99" s="1" t="str">
        <f>VLOOKUP(D99,Table11[[Name]:[Native]],3,FALSE)</f>
        <v>富县</v>
      </c>
      <c r="G99" s="12" t="str">
        <f ca="1">VLOOKUP(F99,Table11[[Native]:[Population4]],5,FALSE)</f>
        <v>延安市</v>
      </c>
    </row>
    <row r="100" spans="1:7" ht="15.75" thickBot="1" x14ac:dyDescent="0.3">
      <c r="A100" s="1" t="s">
        <v>2520</v>
      </c>
      <c r="B100" s="1" t="s">
        <v>2521</v>
      </c>
      <c r="C100" s="1" t="s">
        <v>11</v>
      </c>
      <c r="D100" s="1" t="s">
        <v>2355</v>
      </c>
      <c r="E100" s="9">
        <v>3138</v>
      </c>
      <c r="F100" s="1" t="str">
        <f>VLOOKUP(D100,Table11[[Name]:[Native]],3,FALSE)</f>
        <v>宝塔区</v>
      </c>
      <c r="G100" s="12" t="str">
        <f ca="1">VLOOKUP(F100,Table11[[Native]:[Population4]],5,FALSE)</f>
        <v>延安市</v>
      </c>
    </row>
    <row r="101" spans="1:7" ht="15.75" thickBot="1" x14ac:dyDescent="0.3">
      <c r="A101" t="s">
        <v>2522</v>
      </c>
      <c r="B101" s="1" t="s">
        <v>2523</v>
      </c>
      <c r="C101" s="1" t="s">
        <v>11</v>
      </c>
      <c r="D101" s="1" t="s">
        <v>2330</v>
      </c>
      <c r="E101" s="9">
        <v>5453</v>
      </c>
      <c r="F101" s="1" t="str">
        <f>VLOOKUP(D101,Table11[[Name]:[Native]],3,FALSE)</f>
        <v>黄陵县</v>
      </c>
      <c r="G101" s="12" t="str">
        <f ca="1">VLOOKUP(F101,Table11[[Native]:[Population4]],5,FALSE)</f>
        <v>延安市</v>
      </c>
    </row>
    <row r="102" spans="1:7" ht="15.75" thickBot="1" x14ac:dyDescent="0.3">
      <c r="A102" t="s">
        <v>2524</v>
      </c>
      <c r="B102" s="1" t="s">
        <v>2525</v>
      </c>
      <c r="C102" s="1" t="s">
        <v>7</v>
      </c>
      <c r="D102" s="1" t="s">
        <v>2330</v>
      </c>
      <c r="E102" s="9">
        <v>10592</v>
      </c>
      <c r="F102" s="1" t="str">
        <f>VLOOKUP(D102,Table11[[Name]:[Native]],3,FALSE)</f>
        <v>黄陵县</v>
      </c>
      <c r="G102" s="12" t="str">
        <f ca="1">VLOOKUP(F102,Table11[[Native]:[Population4]],5,FALSE)</f>
        <v>延安市</v>
      </c>
    </row>
    <row r="103" spans="1:7" ht="15.75" thickBot="1" x14ac:dyDescent="0.3">
      <c r="A103" t="s">
        <v>2526</v>
      </c>
      <c r="B103" s="1" t="s">
        <v>2527</v>
      </c>
      <c r="C103" s="1" t="s">
        <v>7</v>
      </c>
      <c r="D103" s="1" t="s">
        <v>2341</v>
      </c>
      <c r="E103" s="9">
        <v>5879</v>
      </c>
      <c r="F103" s="1" t="str">
        <f>VLOOKUP(D103,Table11[[Name]:[Native]],3,FALSE)</f>
        <v>吴起县</v>
      </c>
      <c r="G103" s="12" t="str">
        <f ca="1">VLOOKUP(F103,Table11[[Native]:[Population4]],5,FALSE)</f>
        <v>延安市</v>
      </c>
    </row>
    <row r="104" spans="1:7" ht="15.75" thickBot="1" x14ac:dyDescent="0.3">
      <c r="A104" t="s">
        <v>2528</v>
      </c>
      <c r="B104" s="1" t="s">
        <v>2529</v>
      </c>
      <c r="C104" s="1" t="s">
        <v>7</v>
      </c>
      <c r="D104" s="1" t="s">
        <v>2347</v>
      </c>
      <c r="E104" s="9">
        <v>10042</v>
      </c>
      <c r="F104" s="1" t="str">
        <f>VLOOKUP(D104,Table11[[Name]:[Native]],3,FALSE)</f>
        <v>洛川县</v>
      </c>
      <c r="G104" s="12" t="str">
        <f ca="1">VLOOKUP(F104,Table11[[Native]:[Population4]],5,FALSE)</f>
        <v>延安市</v>
      </c>
    </row>
    <row r="105" spans="1:7" ht="15.75" thickBot="1" x14ac:dyDescent="0.3">
      <c r="A105" s="1" t="s">
        <v>2530</v>
      </c>
      <c r="B105" s="1" t="s">
        <v>2531</v>
      </c>
      <c r="C105" s="1" t="s">
        <v>11</v>
      </c>
      <c r="D105" s="1" t="s">
        <v>2395</v>
      </c>
      <c r="E105" s="9">
        <v>4038</v>
      </c>
      <c r="F105" s="1" t="str">
        <f>VLOOKUP(D105,Table11[[Name]:[Native]],3,FALSE)</f>
        <v>安塞区</v>
      </c>
      <c r="G105" s="12" t="str">
        <f ca="1">VLOOKUP(F105,Table11[[Native]:[Population4]],5,FALSE)</f>
        <v>延安市</v>
      </c>
    </row>
    <row r="106" spans="1:7" ht="15.75" thickBot="1" x14ac:dyDescent="0.3">
      <c r="A106" t="s">
        <v>2532</v>
      </c>
      <c r="B106" s="1" t="s">
        <v>2533</v>
      </c>
      <c r="C106" s="1" t="s">
        <v>11</v>
      </c>
      <c r="D106" s="1" t="s">
        <v>2341</v>
      </c>
      <c r="E106" s="9">
        <v>3871</v>
      </c>
      <c r="F106" s="1" t="str">
        <f>VLOOKUP(D106,Table11[[Name]:[Native]],3,FALSE)</f>
        <v>吴起县</v>
      </c>
      <c r="G106" s="12" t="str">
        <f ca="1">VLOOKUP(F106,Table11[[Native]:[Population4]],5,FALSE)</f>
        <v>延安市</v>
      </c>
    </row>
    <row r="107" spans="1:7" ht="15.75" thickBot="1" x14ac:dyDescent="0.3">
      <c r="A107" t="s">
        <v>2534</v>
      </c>
      <c r="B107" s="1" t="s">
        <v>2535</v>
      </c>
      <c r="C107" s="1" t="s">
        <v>11</v>
      </c>
      <c r="D107" s="1" t="s">
        <v>2395</v>
      </c>
      <c r="E107" s="9">
        <v>11453</v>
      </c>
      <c r="F107" s="1" t="str">
        <f>VLOOKUP(D107,Table11[[Name]:[Native]],3,FALSE)</f>
        <v>安塞区</v>
      </c>
      <c r="G107" s="12" t="str">
        <f ca="1">VLOOKUP(F107,Table11[[Native]:[Population4]],5,FALSE)</f>
        <v>延安市</v>
      </c>
    </row>
    <row r="108" spans="1:7" ht="15.75" thickBot="1" x14ac:dyDescent="0.3">
      <c r="A108" t="s">
        <v>2536</v>
      </c>
      <c r="B108" s="1" t="s">
        <v>2537</v>
      </c>
      <c r="C108" s="1" t="s">
        <v>7</v>
      </c>
      <c r="D108" s="1" t="s">
        <v>2355</v>
      </c>
      <c r="E108" s="9">
        <v>26425</v>
      </c>
      <c r="F108" s="1" t="str">
        <f>VLOOKUP(D108,Table11[[Name]:[Native]],3,FALSE)</f>
        <v>宝塔区</v>
      </c>
      <c r="G108" s="12" t="str">
        <f ca="1">VLOOKUP(F108,Table11[[Native]:[Population4]],5,FALSE)</f>
        <v>延安市</v>
      </c>
    </row>
    <row r="109" spans="1:7" ht="15.75" thickBot="1" x14ac:dyDescent="0.3">
      <c r="A109" t="s">
        <v>2538</v>
      </c>
      <c r="B109" s="1" t="s">
        <v>2539</v>
      </c>
      <c r="C109" s="1" t="s">
        <v>113</v>
      </c>
      <c r="D109" s="1" t="s">
        <v>2333</v>
      </c>
      <c r="E109" s="9">
        <v>113698</v>
      </c>
      <c r="F109" s="1" t="str">
        <f>VLOOKUP(D109,Table11[[Name]:[Native]],3,FALSE)</f>
        <v>子长市</v>
      </c>
      <c r="G109" s="12" t="str">
        <f ca="1">VLOOKUP(F109,Table11[[Native]:[Population4]],5,FALSE)</f>
        <v>延安市</v>
      </c>
    </row>
    <row r="110" spans="1:7" ht="15.75" thickBot="1" x14ac:dyDescent="0.3">
      <c r="A110" t="s">
        <v>2540</v>
      </c>
      <c r="B110" s="1" t="s">
        <v>2541</v>
      </c>
      <c r="C110" s="1" t="s">
        <v>7</v>
      </c>
      <c r="D110" s="1" t="s">
        <v>2344</v>
      </c>
      <c r="E110" s="9">
        <v>1700</v>
      </c>
      <c r="F110" s="1" t="str">
        <f>VLOOKUP(D110,Table11[[Name]:[Native]],3,FALSE)</f>
        <v>黄龙县</v>
      </c>
      <c r="G110" s="12" t="str">
        <f ca="1">VLOOKUP(F110,Table11[[Native]:[Population4]],5,FALSE)</f>
        <v>延安市</v>
      </c>
    </row>
    <row r="111" spans="1:7" ht="15.75" thickBot="1" x14ac:dyDescent="0.3">
      <c r="A111" t="s">
        <v>2542</v>
      </c>
      <c r="B111" s="1" t="s">
        <v>2543</v>
      </c>
      <c r="C111" s="1" t="s">
        <v>7</v>
      </c>
      <c r="D111" s="1" t="s">
        <v>2377</v>
      </c>
      <c r="E111" s="9">
        <v>11075</v>
      </c>
      <c r="F111" s="1" t="str">
        <f>VLOOKUP(D111,Table11[[Name]:[Native]],3,FALSE)</f>
        <v>延川县</v>
      </c>
      <c r="G111" s="12" t="str">
        <f ca="1">VLOOKUP(F111,Table11[[Native]:[Population4]],5,FALSE)</f>
        <v>延安市</v>
      </c>
    </row>
    <row r="112" spans="1:7" ht="15.75" thickBot="1" x14ac:dyDescent="0.3">
      <c r="A112" s="1" t="s">
        <v>2544</v>
      </c>
      <c r="B112" s="1" t="s">
        <v>2545</v>
      </c>
      <c r="C112" s="1" t="s">
        <v>11</v>
      </c>
      <c r="D112" s="1" t="s">
        <v>2352</v>
      </c>
      <c r="E112" s="9">
        <v>3679</v>
      </c>
      <c r="F112" s="1" t="str">
        <f>VLOOKUP(D112,Table11[[Name]:[Native]],3,FALSE)</f>
        <v>志丹县</v>
      </c>
      <c r="G112" s="12" t="str">
        <f ca="1">VLOOKUP(F112,Table11[[Native]:[Population4]],5,FALSE)</f>
        <v>延安市</v>
      </c>
    </row>
    <row r="113" spans="1:7" ht="15.75" thickBot="1" x14ac:dyDescent="0.3">
      <c r="A113" t="s">
        <v>2546</v>
      </c>
      <c r="B113" s="1" t="s">
        <v>2547</v>
      </c>
      <c r="C113" s="1" t="s">
        <v>7</v>
      </c>
      <c r="D113" s="1" t="s">
        <v>2341</v>
      </c>
      <c r="E113" s="9">
        <v>7831</v>
      </c>
      <c r="F113" s="1" t="str">
        <f>VLOOKUP(D113,Table11[[Name]:[Native]],3,FALSE)</f>
        <v>吴起县</v>
      </c>
      <c r="G113" s="12" t="str">
        <f ca="1">VLOOKUP(F113,Table11[[Native]:[Population4]],5,FALSE)</f>
        <v>延安市</v>
      </c>
    </row>
    <row r="114" spans="1:7" ht="15.75" thickBot="1" x14ac:dyDescent="0.3">
      <c r="A114" t="s">
        <v>2548</v>
      </c>
      <c r="B114" s="1" t="s">
        <v>2549</v>
      </c>
      <c r="C114" s="1" t="s">
        <v>7</v>
      </c>
      <c r="D114" s="1" t="s">
        <v>2341</v>
      </c>
      <c r="E114" s="9">
        <v>8281</v>
      </c>
      <c r="F114" s="1" t="str">
        <f>VLOOKUP(D114,Table11[[Name]:[Native]],3,FALSE)</f>
        <v>吴起县</v>
      </c>
      <c r="G114" s="12" t="str">
        <f ca="1">VLOOKUP(F114,Table11[[Native]:[Population4]],5,FALSE)</f>
        <v>延安市</v>
      </c>
    </row>
    <row r="115" spans="1:7" ht="15.75" thickBot="1" x14ac:dyDescent="0.3">
      <c r="A115" t="s">
        <v>2550</v>
      </c>
      <c r="B115" s="1" t="s">
        <v>2551</v>
      </c>
      <c r="C115" s="1" t="s">
        <v>113</v>
      </c>
      <c r="D115" s="1" t="s">
        <v>2341</v>
      </c>
      <c r="E115" s="9">
        <v>71042</v>
      </c>
      <c r="F115" s="1" t="str">
        <f>VLOOKUP(D115,Table11[[Name]:[Native]],3,FALSE)</f>
        <v>吴起县</v>
      </c>
      <c r="G115" s="12" t="str">
        <f ca="1">VLOOKUP(F115,Table11[[Native]:[Population4]],5,FALSE)</f>
        <v>延安市</v>
      </c>
    </row>
    <row r="116" spans="1:7" ht="15.75" thickBot="1" x14ac:dyDescent="0.3">
      <c r="A116" t="s">
        <v>2552</v>
      </c>
      <c r="B116" s="1" t="s">
        <v>2553</v>
      </c>
      <c r="C116" s="1" t="s">
        <v>7</v>
      </c>
      <c r="D116" s="1" t="s">
        <v>2374</v>
      </c>
      <c r="E116" s="9">
        <v>10751</v>
      </c>
      <c r="F116" s="1" t="str">
        <f>VLOOKUP(D116,Table11[[Name]:[Native]],3,FALSE)</f>
        <v>甘泉县</v>
      </c>
      <c r="G116" s="12" t="str">
        <f ca="1">VLOOKUP(F116,Table11[[Native]:[Population4]],5,FALSE)</f>
        <v>延安市</v>
      </c>
    </row>
    <row r="117" spans="1:7" ht="15.75" thickBot="1" x14ac:dyDescent="0.3">
      <c r="A117" t="s">
        <v>2554</v>
      </c>
      <c r="B117" s="1" t="s">
        <v>2555</v>
      </c>
      <c r="C117" s="1" t="s">
        <v>7</v>
      </c>
      <c r="D117" s="1" t="s">
        <v>2352</v>
      </c>
      <c r="E117" s="9">
        <v>13213</v>
      </c>
      <c r="F117" s="1" t="str">
        <f>VLOOKUP(D117,Table11[[Name]:[Native]],3,FALSE)</f>
        <v>志丹县</v>
      </c>
      <c r="G117" s="12" t="str">
        <f ca="1">VLOOKUP(F117,Table11[[Native]:[Population4]],5,FALSE)</f>
        <v>延安市</v>
      </c>
    </row>
    <row r="118" spans="1:7" ht="15.75" thickBot="1" x14ac:dyDescent="0.3">
      <c r="A118" t="s">
        <v>2556</v>
      </c>
      <c r="B118" s="1" t="s">
        <v>2557</v>
      </c>
      <c r="C118" s="1" t="s">
        <v>11</v>
      </c>
      <c r="D118" s="1" t="s">
        <v>2371</v>
      </c>
      <c r="E118" s="9">
        <v>5371</v>
      </c>
      <c r="F118" s="1" t="str">
        <f>VLOOKUP(D118,Table11[[Name]:[Native]],3,FALSE)</f>
        <v>宜川县</v>
      </c>
      <c r="G118" s="12" t="str">
        <f ca="1">VLOOKUP(F118,Table11[[Native]:[Population4]],5,FALSE)</f>
        <v>延安市</v>
      </c>
    </row>
    <row r="119" spans="1:7" ht="15.75" thickBot="1" x14ac:dyDescent="0.3">
      <c r="A119" t="s">
        <v>2558</v>
      </c>
      <c r="B119" s="1" t="s">
        <v>2559</v>
      </c>
      <c r="C119" s="1" t="s">
        <v>11</v>
      </c>
      <c r="D119" s="1" t="s">
        <v>2341</v>
      </c>
      <c r="E119" s="9">
        <v>5933</v>
      </c>
      <c r="F119" s="1" t="str">
        <f>VLOOKUP(D119,Table11[[Name]:[Native]],3,FALSE)</f>
        <v>吴起县</v>
      </c>
      <c r="G119" s="12" t="str">
        <f ca="1">VLOOKUP(F119,Table11[[Native]:[Population4]],5,FALSE)</f>
        <v>延安市</v>
      </c>
    </row>
    <row r="120" spans="1:7" ht="15.75" thickBot="1" x14ac:dyDescent="0.3">
      <c r="A120" t="s">
        <v>2560</v>
      </c>
      <c r="B120" s="1" t="s">
        <v>2561</v>
      </c>
      <c r="C120" s="1" t="s">
        <v>11</v>
      </c>
      <c r="D120" s="1" t="s">
        <v>2341</v>
      </c>
      <c r="E120" s="9">
        <v>7390</v>
      </c>
      <c r="F120" s="1" t="str">
        <f>VLOOKUP(D120,Table11[[Name]:[Native]],3,FALSE)</f>
        <v>吴起县</v>
      </c>
      <c r="G120" s="12" t="str">
        <f ca="1">VLOOKUP(F120,Table11[[Native]:[Population4]],5,FALSE)</f>
        <v>延安市</v>
      </c>
    </row>
    <row r="121" spans="1:7" ht="15.75" thickBot="1" x14ac:dyDescent="0.3">
      <c r="A121" s="1" t="s">
        <v>2562</v>
      </c>
      <c r="B121" s="1" t="s">
        <v>2563</v>
      </c>
      <c r="C121" s="1" t="s">
        <v>11</v>
      </c>
      <c r="D121" s="1" t="s">
        <v>2377</v>
      </c>
      <c r="E121" s="9">
        <v>3944</v>
      </c>
      <c r="F121" s="1" t="str">
        <f>VLOOKUP(D121,Table11[[Name]:[Native]],3,FALSE)</f>
        <v>延川县</v>
      </c>
      <c r="G121" s="12" t="str">
        <f ca="1">VLOOKUP(F121,Table11[[Native]:[Population4]],5,FALSE)</f>
        <v>延安市</v>
      </c>
    </row>
    <row r="122" spans="1:7" ht="15.75" thickBot="1" x14ac:dyDescent="0.3">
      <c r="A122" t="s">
        <v>2564</v>
      </c>
      <c r="B122" s="1" t="s">
        <v>2565</v>
      </c>
      <c r="C122" s="1" t="s">
        <v>7</v>
      </c>
      <c r="D122" s="1" t="s">
        <v>2377</v>
      </c>
      <c r="E122" s="9">
        <v>6909</v>
      </c>
      <c r="F122" s="1" t="str">
        <f>VLOOKUP(D122,Table11[[Name]:[Native]],3,FALSE)</f>
        <v>延川县</v>
      </c>
      <c r="G122" s="12" t="str">
        <f ca="1">VLOOKUP(F122,Table11[[Native]:[Population4]],5,FALSE)</f>
        <v>延安市</v>
      </c>
    </row>
    <row r="123" spans="1:7" ht="15.75" thickBot="1" x14ac:dyDescent="0.3">
      <c r="A123" t="s">
        <v>2566</v>
      </c>
      <c r="B123" s="1" t="s">
        <v>2567</v>
      </c>
      <c r="C123" s="1" t="s">
        <v>7</v>
      </c>
      <c r="D123" s="1" t="s">
        <v>2333</v>
      </c>
      <c r="E123" s="9">
        <v>19272</v>
      </c>
      <c r="F123" s="1" t="str">
        <f>VLOOKUP(D123,Table11[[Name]:[Native]],3,FALSE)</f>
        <v>子长市</v>
      </c>
      <c r="G123" s="12" t="str">
        <f ca="1">VLOOKUP(F123,Table11[[Native]:[Population4]],5,FALSE)</f>
        <v>延安市</v>
      </c>
    </row>
    <row r="124" spans="1:7" ht="15.75" thickBot="1" x14ac:dyDescent="0.3">
      <c r="A124" t="s">
        <v>2568</v>
      </c>
      <c r="B124" s="1" t="s">
        <v>2569</v>
      </c>
      <c r="C124" s="1" t="s">
        <v>7</v>
      </c>
      <c r="D124" s="1" t="s">
        <v>2358</v>
      </c>
      <c r="E124" s="9">
        <v>23168</v>
      </c>
      <c r="F124" s="1" t="str">
        <f>VLOOKUP(D124,Table11[[Name]:[Native]],3,FALSE)</f>
        <v>富县</v>
      </c>
      <c r="G124" s="12" t="str">
        <f ca="1">VLOOKUP(F124,Table11[[Native]:[Population4]],5,FALSE)</f>
        <v>延安市</v>
      </c>
    </row>
    <row r="125" spans="1:7" ht="15.75" thickBot="1" x14ac:dyDescent="0.3">
      <c r="A125" t="s">
        <v>2570</v>
      </c>
      <c r="B125" s="1" t="s">
        <v>2571</v>
      </c>
      <c r="C125" s="1" t="s">
        <v>7</v>
      </c>
      <c r="D125" s="1" t="s">
        <v>2395</v>
      </c>
      <c r="E125" s="9">
        <v>14499</v>
      </c>
      <c r="F125" s="1" t="str">
        <f>VLOOKUP(D125,Table11[[Name]:[Native]],3,FALSE)</f>
        <v>安塞区</v>
      </c>
      <c r="G125" s="12" t="str">
        <f ca="1">VLOOKUP(F125,Table11[[Native]:[Population4]],5,FALSE)</f>
        <v>延安市</v>
      </c>
    </row>
    <row r="126" spans="1:7" ht="15.75" thickBot="1" x14ac:dyDescent="0.3">
      <c r="A126" t="s">
        <v>2572</v>
      </c>
      <c r="B126" s="1" t="s">
        <v>2573</v>
      </c>
      <c r="C126" s="1" t="s">
        <v>7</v>
      </c>
      <c r="D126" s="1" t="s">
        <v>2377</v>
      </c>
      <c r="E126" s="9">
        <v>7557</v>
      </c>
      <c r="F126" s="1" t="str">
        <f>VLOOKUP(D126,Table11[[Name]:[Native]],3,FALSE)</f>
        <v>延川县</v>
      </c>
      <c r="G126" s="12" t="str">
        <f ca="1">VLOOKUP(F126,Table11[[Native]:[Population4]],5,FALSE)</f>
        <v>延安市</v>
      </c>
    </row>
    <row r="127" spans="1:7" ht="15.75" thickBot="1" x14ac:dyDescent="0.3">
      <c r="A127" t="s">
        <v>2574</v>
      </c>
      <c r="B127" s="1" t="s">
        <v>2575</v>
      </c>
      <c r="C127" s="1" t="s">
        <v>7</v>
      </c>
      <c r="D127" s="1" t="s">
        <v>2355</v>
      </c>
      <c r="E127" s="9">
        <v>20012</v>
      </c>
      <c r="F127" s="1" t="str">
        <f>VLOOKUP(D127,Table11[[Name]:[Native]],3,FALSE)</f>
        <v>宝塔区</v>
      </c>
      <c r="G127" s="12" t="str">
        <f ca="1">VLOOKUP(F127,Table11[[Native]:[Population4]],5,FALSE)</f>
        <v>延安市</v>
      </c>
    </row>
    <row r="128" spans="1:7" ht="15.75" thickBot="1" x14ac:dyDescent="0.3">
      <c r="A128" t="s">
        <v>2576</v>
      </c>
      <c r="B128" s="1" t="s">
        <v>2577</v>
      </c>
      <c r="C128" s="1" t="s">
        <v>11</v>
      </c>
      <c r="D128" s="1" t="s">
        <v>2330</v>
      </c>
      <c r="E128" s="9">
        <v>6532</v>
      </c>
      <c r="F128" s="1" t="str">
        <f>VLOOKUP(D128,Table11[[Name]:[Native]],3,FALSE)</f>
        <v>黄陵县</v>
      </c>
      <c r="G128" s="12" t="str">
        <f ca="1">VLOOKUP(F128,Table11[[Native]:[Population4]],5,FALSE)</f>
        <v>延安市</v>
      </c>
    </row>
    <row r="129" spans="1:7" ht="15.75" thickBot="1" x14ac:dyDescent="0.3">
      <c r="A129" t="s">
        <v>2578</v>
      </c>
      <c r="B129" s="1" t="s">
        <v>2579</v>
      </c>
      <c r="C129" s="1" t="s">
        <v>11</v>
      </c>
      <c r="D129" s="1" t="s">
        <v>2344</v>
      </c>
      <c r="E129" s="9">
        <v>2498</v>
      </c>
      <c r="F129" s="1" t="str">
        <f>VLOOKUP(D129,Table11[[Name]:[Native]],3,FALSE)</f>
        <v>黄龙县</v>
      </c>
      <c r="G129" s="12" t="str">
        <f ca="1">VLOOKUP(F129,Table11[[Native]:[Population4]],5,FALSE)</f>
        <v>延安市</v>
      </c>
    </row>
    <row r="130" spans="1:7" ht="15.75" thickBot="1" x14ac:dyDescent="0.3">
      <c r="A130" t="s">
        <v>2580</v>
      </c>
      <c r="B130" s="1" t="s">
        <v>2581</v>
      </c>
      <c r="C130" s="1" t="s">
        <v>11</v>
      </c>
      <c r="D130" s="1" t="s">
        <v>2371</v>
      </c>
      <c r="E130" s="9">
        <v>5201</v>
      </c>
      <c r="F130" s="1" t="str">
        <f>VLOOKUP(D130,Table11[[Name]:[Native]],3,FALSE)</f>
        <v>宜川县</v>
      </c>
      <c r="G130" s="12" t="str">
        <f ca="1">VLOOKUP(F130,Table11[[Native]:[Population4]],5,FALSE)</f>
        <v>延安市</v>
      </c>
    </row>
    <row r="131" spans="1:7" ht="15.75" thickBot="1" x14ac:dyDescent="0.3">
      <c r="A131" t="s">
        <v>2582</v>
      </c>
      <c r="B131" s="1" t="s">
        <v>2583</v>
      </c>
      <c r="C131" s="1" t="s">
        <v>7</v>
      </c>
      <c r="D131" s="1" t="s">
        <v>2352</v>
      </c>
      <c r="E131" s="9">
        <v>7196</v>
      </c>
      <c r="F131" s="1" t="str">
        <f>VLOOKUP(D131,Table11[[Name]:[Native]],3,FALSE)</f>
        <v>志丹县</v>
      </c>
      <c r="G131" s="12" t="str">
        <f ca="1">VLOOKUP(F131,Table11[[Native]:[Population4]],5,FALSE)</f>
        <v>延安市</v>
      </c>
    </row>
    <row r="132" spans="1:7" ht="15.75" thickBot="1" x14ac:dyDescent="0.3">
      <c r="A132" t="s">
        <v>2584</v>
      </c>
      <c r="B132" s="1" t="s">
        <v>2585</v>
      </c>
      <c r="C132" s="1" t="s">
        <v>7</v>
      </c>
      <c r="D132" s="1" t="s">
        <v>2352</v>
      </c>
      <c r="E132" s="9">
        <v>9533</v>
      </c>
      <c r="F132" s="1" t="str">
        <f>VLOOKUP(D132,Table11[[Name]:[Native]],3,FALSE)</f>
        <v>志丹县</v>
      </c>
      <c r="G132" s="12" t="str">
        <f ca="1">VLOOKUP(F132,Table11[[Native]:[Population4]],5,FALSE)</f>
        <v>延安市</v>
      </c>
    </row>
    <row r="133" spans="1:7" ht="15.75" thickBot="1" x14ac:dyDescent="0.3">
      <c r="A133" t="s">
        <v>2586</v>
      </c>
      <c r="B133" s="1" t="s">
        <v>2587</v>
      </c>
      <c r="C133" s="1" t="s">
        <v>7</v>
      </c>
      <c r="D133" s="1" t="s">
        <v>2377</v>
      </c>
      <c r="E133" s="9">
        <v>47990</v>
      </c>
      <c r="F133" s="1" t="str">
        <f>VLOOKUP(D133,Table11[[Name]:[Native]],3,FALSE)</f>
        <v>延川县</v>
      </c>
      <c r="G133" s="12" t="str">
        <f ca="1">VLOOKUP(F133,Table11[[Native]:[Population4]],5,FALSE)</f>
        <v>延安市</v>
      </c>
    </row>
    <row r="134" spans="1:7" ht="15.75" thickBot="1" x14ac:dyDescent="0.3">
      <c r="A134" t="s">
        <v>2588</v>
      </c>
      <c r="B134" s="1" t="s">
        <v>2589</v>
      </c>
      <c r="C134" s="1" t="s">
        <v>7</v>
      </c>
      <c r="D134" s="1" t="s">
        <v>2347</v>
      </c>
      <c r="E134" s="9">
        <v>21579</v>
      </c>
      <c r="F134" s="1" t="str">
        <f>VLOOKUP(D134,Table11[[Name]:[Native]],3,FALSE)</f>
        <v>洛川县</v>
      </c>
      <c r="G134" s="12" t="str">
        <f ca="1">VLOOKUP(F134,Table11[[Native]:[Population4]],5,FALSE)</f>
        <v>延安市</v>
      </c>
    </row>
    <row r="135" spans="1:7" ht="15.75" thickBot="1" x14ac:dyDescent="0.3">
      <c r="A135" t="s">
        <v>2590</v>
      </c>
      <c r="B135" s="1" t="s">
        <v>2591</v>
      </c>
      <c r="C135" s="1" t="s">
        <v>11</v>
      </c>
      <c r="D135" s="1" t="s">
        <v>2355</v>
      </c>
      <c r="E135" s="9">
        <v>4184</v>
      </c>
      <c r="F135" s="1" t="str">
        <f>VLOOKUP(D135,Table11[[Name]:[Native]],3,FALSE)</f>
        <v>宝塔区</v>
      </c>
      <c r="G135" s="12" t="str">
        <f ca="1">VLOOKUP(F135,Table11[[Native]:[Population4]],5,FALSE)</f>
        <v>延安市</v>
      </c>
    </row>
    <row r="136" spans="1:7" ht="15.75" thickBot="1" x14ac:dyDescent="0.3">
      <c r="A136" t="s">
        <v>2592</v>
      </c>
      <c r="B136" s="1" t="s">
        <v>2593</v>
      </c>
      <c r="C136" s="1" t="s">
        <v>7</v>
      </c>
      <c r="D136" s="1" t="s">
        <v>2333</v>
      </c>
      <c r="E136" s="9">
        <v>6659</v>
      </c>
      <c r="F136" s="1" t="str">
        <f>VLOOKUP(D136,Table11[[Name]:[Native]],3,FALSE)</f>
        <v>子长市</v>
      </c>
      <c r="G136" s="12" t="str">
        <f ca="1">VLOOKUP(F136,Table11[[Native]:[Population4]],5,FALSE)</f>
        <v>延安市</v>
      </c>
    </row>
    <row r="137" spans="1:7" ht="15.75" thickBot="1" x14ac:dyDescent="0.3">
      <c r="A137" t="s">
        <v>2594</v>
      </c>
      <c r="B137" s="1" t="s">
        <v>2595</v>
      </c>
      <c r="C137" s="1" t="s">
        <v>7</v>
      </c>
      <c r="D137" s="1" t="s">
        <v>2333</v>
      </c>
      <c r="E137" s="9">
        <v>6331</v>
      </c>
      <c r="F137" s="1" t="str">
        <f>VLOOKUP(D137,Table11[[Name]:[Native]],3,FALSE)</f>
        <v>子长市</v>
      </c>
      <c r="G137" s="12" t="str">
        <f ca="1">VLOOKUP(F137,Table11[[Native]:[Population4]],5,FALSE)</f>
        <v>延安市</v>
      </c>
    </row>
    <row r="138" spans="1:7" ht="15.75" thickBot="1" x14ac:dyDescent="0.3">
      <c r="A138" t="s">
        <v>2596</v>
      </c>
      <c r="B138" s="1" t="s">
        <v>2597</v>
      </c>
      <c r="C138" s="1" t="s">
        <v>7</v>
      </c>
      <c r="D138" s="1" t="s">
        <v>2371</v>
      </c>
      <c r="E138" s="9">
        <v>17672</v>
      </c>
      <c r="F138" s="1" t="str">
        <f>VLOOKUP(D138,Table11[[Name]:[Native]],3,FALSE)</f>
        <v>宜川县</v>
      </c>
      <c r="G138" s="12" t="str">
        <f ca="1">VLOOKUP(F138,Table11[[Native]:[Population4]],5,FALSE)</f>
        <v>延安市</v>
      </c>
    </row>
    <row r="139" spans="1:7" ht="15.75" thickBot="1" x14ac:dyDescent="0.3">
      <c r="A139" t="s">
        <v>2300</v>
      </c>
      <c r="B139" s="1" t="s">
        <v>2301</v>
      </c>
      <c r="C139" s="1" t="s">
        <v>113</v>
      </c>
      <c r="D139" s="1" t="s">
        <v>2355</v>
      </c>
      <c r="E139" s="9">
        <v>15835</v>
      </c>
      <c r="F139" s="1" t="str">
        <f>VLOOKUP(D139,Table11[[Name]:[Native]],3,FALSE)</f>
        <v>宝塔区</v>
      </c>
      <c r="G139" s="12" t="str">
        <f ca="1">VLOOKUP(F139,Table11[[Native]:[Population4]],5,FALSE)</f>
        <v>延安市</v>
      </c>
    </row>
    <row r="140" spans="1:7" ht="15.75" thickBot="1" x14ac:dyDescent="0.3">
      <c r="A140" t="s">
        <v>2598</v>
      </c>
      <c r="B140" s="1" t="s">
        <v>2599</v>
      </c>
      <c r="C140" s="1" t="s">
        <v>7</v>
      </c>
      <c r="D140" s="1" t="s">
        <v>2358</v>
      </c>
      <c r="E140" s="9">
        <v>10748</v>
      </c>
      <c r="F140" s="1" t="str">
        <f>VLOOKUP(D140,Table11[[Name]:[Native]],3,FALSE)</f>
        <v>富县</v>
      </c>
      <c r="G140" s="12" t="str">
        <f ca="1">VLOOKUP(F140,Table11[[Native]:[Population4]],5,FALSE)</f>
        <v>延安市</v>
      </c>
    </row>
    <row r="141" spans="1:7" ht="15.75" thickBot="1" x14ac:dyDescent="0.3">
      <c r="A141" t="s">
        <v>2600</v>
      </c>
      <c r="B141" s="1" t="s">
        <v>2601</v>
      </c>
      <c r="C141" s="1" t="s">
        <v>7</v>
      </c>
      <c r="D141" s="1" t="s">
        <v>2336</v>
      </c>
      <c r="E141" s="9">
        <v>11629</v>
      </c>
      <c r="F141" s="1" t="str">
        <f>VLOOKUP(D141,Table11[[Name]:[Native]],3,FALSE)</f>
        <v>延长县</v>
      </c>
      <c r="G141" s="12" t="str">
        <f ca="1">VLOOKUP(F141,Table11[[Native]:[Population4]],5,FALSE)</f>
        <v>延安市</v>
      </c>
    </row>
    <row r="142" spans="1:7" ht="15.75" thickBot="1" x14ac:dyDescent="0.3">
      <c r="A142" t="s">
        <v>2602</v>
      </c>
      <c r="B142" s="1" t="s">
        <v>2603</v>
      </c>
      <c r="C142" s="1" t="s">
        <v>7</v>
      </c>
      <c r="D142" s="1" t="s">
        <v>2358</v>
      </c>
      <c r="E142" s="9">
        <v>9865</v>
      </c>
      <c r="F142" s="1" t="str">
        <f>VLOOKUP(D142,Table11[[Name]:[Native]],3,FALSE)</f>
        <v>富县</v>
      </c>
      <c r="G142" s="12" t="str">
        <f ca="1">VLOOKUP(F142,Table11[[Native]:[Population4]],5,FALSE)</f>
        <v>延安市</v>
      </c>
    </row>
    <row r="143" spans="1:7" ht="15.75" thickBot="1" x14ac:dyDescent="0.3">
      <c r="A143" s="1" t="s">
        <v>2604</v>
      </c>
      <c r="B143" s="1" t="s">
        <v>2605</v>
      </c>
      <c r="C143" s="1" t="s">
        <v>11</v>
      </c>
      <c r="D143" s="1" t="s">
        <v>2352</v>
      </c>
      <c r="E143" s="9">
        <v>4786</v>
      </c>
      <c r="F143" s="1" t="str">
        <f>VLOOKUP(D143,Table11[[Name]:[Native]],3,FALSE)</f>
        <v>志丹县</v>
      </c>
      <c r="G143" s="12" t="str">
        <f ca="1">VLOOKUP(F143,Table11[[Native]:[Population4]],5,FALSE)</f>
        <v>延安市</v>
      </c>
    </row>
    <row r="144" spans="1:7" ht="15.75" thickBot="1" x14ac:dyDescent="0.3">
      <c r="A144" t="s">
        <v>2606</v>
      </c>
      <c r="B144" s="1" t="s">
        <v>2607</v>
      </c>
      <c r="C144" s="1" t="s">
        <v>7</v>
      </c>
      <c r="D144" s="1" t="s">
        <v>2395</v>
      </c>
      <c r="E144" s="9">
        <v>12779</v>
      </c>
      <c r="F144" s="1" t="str">
        <f>VLOOKUP(D144,Table11[[Name]:[Native]],3,FALSE)</f>
        <v>安塞区</v>
      </c>
      <c r="G144" s="12" t="str">
        <f ca="1">VLOOKUP(F144,Table11[[Native]:[Population4]],5,FALSE)</f>
        <v>延安市</v>
      </c>
    </row>
    <row r="145" spans="1:7" ht="15.75" thickBot="1" x14ac:dyDescent="0.3">
      <c r="A145" t="s">
        <v>2608</v>
      </c>
      <c r="B145" s="1" t="s">
        <v>2609</v>
      </c>
      <c r="C145" s="1" t="s">
        <v>7</v>
      </c>
      <c r="D145" s="1" t="s">
        <v>2336</v>
      </c>
      <c r="E145" s="9">
        <v>10704</v>
      </c>
      <c r="F145" s="1" t="str">
        <f>VLOOKUP(D145,Table11[[Name]:[Native]],3,FALSE)</f>
        <v>延长县</v>
      </c>
      <c r="G145" s="12" t="str">
        <f ca="1">VLOOKUP(F145,Table11[[Native]:[Population4]],5,FALSE)</f>
        <v>延安市</v>
      </c>
    </row>
    <row r="146" spans="1:7" ht="15.75" thickBot="1" x14ac:dyDescent="0.3">
      <c r="A146" t="s">
        <v>2610</v>
      </c>
      <c r="B146" s="1" t="s">
        <v>2611</v>
      </c>
      <c r="C146" s="1" t="s">
        <v>113</v>
      </c>
      <c r="D146" s="1" t="s">
        <v>2395</v>
      </c>
      <c r="E146" s="9">
        <v>57902</v>
      </c>
      <c r="F146" s="1" t="str">
        <f>VLOOKUP(D146,Table11[[Name]:[Native]],3,FALSE)</f>
        <v>安塞区</v>
      </c>
      <c r="G146" s="12" t="str">
        <f ca="1">VLOOKUP(F146,Table11[[Native]:[Population4]],5,FALSE)</f>
        <v>延安市</v>
      </c>
    </row>
    <row r="147" spans="1:7" ht="15.75" thickBot="1" x14ac:dyDescent="0.3">
      <c r="A147" t="s">
        <v>2612</v>
      </c>
      <c r="B147" s="1" t="s">
        <v>2613</v>
      </c>
      <c r="C147" s="1" t="s">
        <v>11</v>
      </c>
      <c r="D147" s="1" t="s">
        <v>2352</v>
      </c>
      <c r="E147" s="9">
        <v>5168</v>
      </c>
      <c r="F147" s="1" t="str">
        <f>VLOOKUP(D147,Table11[[Name]:[Native]],3,FALSE)</f>
        <v>志丹县</v>
      </c>
      <c r="G147" s="12" t="str">
        <f ca="1">VLOOKUP(F147,Table11[[Native]:[Population4]],5,FALSE)</f>
        <v>延安市</v>
      </c>
    </row>
    <row r="148" spans="1:7" ht="15.75" thickBot="1" x14ac:dyDescent="0.3">
      <c r="A148" t="s">
        <v>2614</v>
      </c>
      <c r="B148" s="1" t="s">
        <v>2615</v>
      </c>
      <c r="C148" s="1" t="s">
        <v>7</v>
      </c>
      <c r="D148" s="1" t="s">
        <v>2358</v>
      </c>
      <c r="E148" s="9">
        <v>8633</v>
      </c>
      <c r="F148" s="1" t="str">
        <f>VLOOKUP(D148,Table11[[Name]:[Native]],3,FALSE)</f>
        <v>富县</v>
      </c>
      <c r="G148" s="12" t="str">
        <f ca="1">VLOOKUP(F148,Table11[[Native]:[Population4]],5,FALSE)</f>
        <v>延安市</v>
      </c>
    </row>
    <row r="149" spans="1:7" ht="15.75" thickBot="1" x14ac:dyDescent="0.3">
      <c r="A149" t="s">
        <v>2616</v>
      </c>
      <c r="B149" s="1" t="s">
        <v>2617</v>
      </c>
      <c r="C149" s="1" t="s">
        <v>7</v>
      </c>
      <c r="D149" s="1" t="s">
        <v>2341</v>
      </c>
      <c r="E149" s="9">
        <v>5893</v>
      </c>
      <c r="F149" s="1" t="str">
        <f>VLOOKUP(D149,Table11[[Name]:[Native]],3,FALSE)</f>
        <v>吴起县</v>
      </c>
      <c r="G149" s="12" t="str">
        <f ca="1">VLOOKUP(F149,Table11[[Native]:[Population4]],5,FALSE)</f>
        <v>延安市</v>
      </c>
    </row>
    <row r="150" spans="1:7" ht="15.75" thickBot="1" x14ac:dyDescent="0.3">
      <c r="A150" t="s">
        <v>2618</v>
      </c>
      <c r="B150" s="1" t="s">
        <v>2619</v>
      </c>
      <c r="C150" s="1" t="s">
        <v>7</v>
      </c>
      <c r="D150" s="1" t="s">
        <v>2395</v>
      </c>
      <c r="E150" s="9">
        <v>11860</v>
      </c>
      <c r="F150" s="8" t="str">
        <f>VLOOKUP(D150,Table11[[Name]:[Native]],3,FALSE)</f>
        <v>安塞区</v>
      </c>
      <c r="G150" s="12" t="str">
        <f ca="1">VLOOKUP(F150,Table11[[Native]:[Population4]],5,FALSE)</f>
        <v>延安市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19232-31DB-4808-8385-83C544C38613}">
  <dimension ref="A1:G206"/>
  <sheetViews>
    <sheetView workbookViewId="0">
      <selection activeCell="A2" sqref="A2:G206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3166</v>
      </c>
      <c r="G1" t="s">
        <v>3170</v>
      </c>
    </row>
    <row r="2" spans="1:7" ht="15.75" thickBot="1" x14ac:dyDescent="0.3">
      <c r="A2" t="s">
        <v>2620</v>
      </c>
      <c r="B2" s="1" t="s">
        <v>2621</v>
      </c>
      <c r="C2" s="1" t="s">
        <v>11</v>
      </c>
      <c r="D2" s="1" t="s">
        <v>2622</v>
      </c>
      <c r="E2" s="9">
        <v>5837</v>
      </c>
      <c r="F2" s="7" t="str">
        <f>VLOOKUP(D2,Table11[[Name]:[Native]],3,FALSE)</f>
        <v>横山区</v>
      </c>
      <c r="G2" s="12" t="str">
        <f ca="1">VLOOKUP(F2,Table11[[Native]:[Population4]],5,FALSE)</f>
        <v>榆林市</v>
      </c>
    </row>
    <row r="3" spans="1:7" ht="15.75" thickBot="1" x14ac:dyDescent="0.3">
      <c r="A3" t="s">
        <v>2623</v>
      </c>
      <c r="B3" s="1" t="s">
        <v>2624</v>
      </c>
      <c r="C3" s="1" t="s">
        <v>7</v>
      </c>
      <c r="D3" s="1" t="s">
        <v>2625</v>
      </c>
      <c r="E3" s="9">
        <v>16158</v>
      </c>
      <c r="F3" s="1" t="str">
        <f>VLOOKUP(D3,Table11[[Name]:[Native]],3,FALSE)</f>
        <v>定边县</v>
      </c>
      <c r="G3" s="12" t="str">
        <f ca="1">VLOOKUP(F3,Table11[[Native]:[Population4]],5,FALSE)</f>
        <v>榆林市</v>
      </c>
    </row>
    <row r="4" spans="1:7" ht="15.75" thickBot="1" x14ac:dyDescent="0.3">
      <c r="A4" t="s">
        <v>2626</v>
      </c>
      <c r="B4" s="1" t="s">
        <v>2627</v>
      </c>
      <c r="C4" s="1" t="s">
        <v>7</v>
      </c>
      <c r="D4" s="1" t="s">
        <v>2628</v>
      </c>
      <c r="E4" s="9">
        <v>4537</v>
      </c>
      <c r="F4" s="1" t="str">
        <f>VLOOKUP(D4,Table11[[Name]:[Native]],3,FALSE)</f>
        <v>榆阳区</v>
      </c>
      <c r="G4" s="12" t="str">
        <f ca="1">VLOOKUP(F4,Table11[[Native]:[Population4]],5,FALSE)</f>
        <v>榆林市</v>
      </c>
    </row>
    <row r="5" spans="1:7" ht="15.75" thickBot="1" x14ac:dyDescent="0.3">
      <c r="A5" t="s">
        <v>2629</v>
      </c>
      <c r="B5" s="1" t="s">
        <v>2630</v>
      </c>
      <c r="C5" s="1" t="s">
        <v>7</v>
      </c>
      <c r="D5" s="1" t="s">
        <v>2631</v>
      </c>
      <c r="E5" s="9">
        <v>10086</v>
      </c>
      <c r="F5" s="1" t="str">
        <f>VLOOKUP(D5,Table11[[Name]:[Native]],3,FALSE)</f>
        <v>绥德县</v>
      </c>
      <c r="G5" s="12" t="str">
        <f ca="1">VLOOKUP(F5,Table11[[Native]:[Population4]],5,FALSE)</f>
        <v>榆林市</v>
      </c>
    </row>
    <row r="6" spans="1:7" ht="15.75" thickBot="1" x14ac:dyDescent="0.3">
      <c r="A6" t="s">
        <v>2632</v>
      </c>
      <c r="B6" s="1" t="s">
        <v>2633</v>
      </c>
      <c r="C6" s="1" t="s">
        <v>7</v>
      </c>
      <c r="D6" s="1" t="s">
        <v>2622</v>
      </c>
      <c r="E6" s="9">
        <v>22170</v>
      </c>
      <c r="F6" s="1" t="str">
        <f>VLOOKUP(D6,Table11[[Name]:[Native]],3,FALSE)</f>
        <v>横山区</v>
      </c>
      <c r="G6" s="12" t="str">
        <f ca="1">VLOOKUP(F6,Table11[[Native]:[Population4]],5,FALSE)</f>
        <v>榆林市</v>
      </c>
    </row>
    <row r="7" spans="1:7" ht="15.75" thickBot="1" x14ac:dyDescent="0.3">
      <c r="A7" t="s">
        <v>2634</v>
      </c>
      <c r="B7" s="1" t="s">
        <v>2635</v>
      </c>
      <c r="C7" s="1" t="s">
        <v>7</v>
      </c>
      <c r="D7" s="1" t="s">
        <v>2625</v>
      </c>
      <c r="E7" s="9">
        <v>17861</v>
      </c>
      <c r="F7" s="1" t="str">
        <f>VLOOKUP(D7,Table11[[Name]:[Native]],3,FALSE)</f>
        <v>定边县</v>
      </c>
      <c r="G7" s="12" t="str">
        <f ca="1">VLOOKUP(F7,Table11[[Native]:[Population4]],5,FALSE)</f>
        <v>榆林市</v>
      </c>
    </row>
    <row r="8" spans="1:7" ht="15.75" thickBot="1" x14ac:dyDescent="0.3">
      <c r="A8" t="s">
        <v>2636</v>
      </c>
      <c r="B8" s="1" t="s">
        <v>2637</v>
      </c>
      <c r="C8" s="1" t="s">
        <v>7</v>
      </c>
      <c r="D8" s="1" t="s">
        <v>2625</v>
      </c>
      <c r="E8" s="9">
        <v>7825</v>
      </c>
      <c r="F8" s="1" t="str">
        <f>VLOOKUP(D8,Table11[[Name]:[Native]],3,FALSE)</f>
        <v>定边县</v>
      </c>
      <c r="G8" s="12" t="str">
        <f ca="1">VLOOKUP(F8,Table11[[Native]:[Population4]],5,FALSE)</f>
        <v>榆林市</v>
      </c>
    </row>
    <row r="9" spans="1:7" ht="15.75" thickBot="1" x14ac:dyDescent="0.3">
      <c r="A9" t="s">
        <v>2638</v>
      </c>
      <c r="B9" s="1" t="s">
        <v>2639</v>
      </c>
      <c r="C9" s="1" t="s">
        <v>7</v>
      </c>
      <c r="D9" s="1" t="s">
        <v>2628</v>
      </c>
      <c r="E9" s="9">
        <v>7541</v>
      </c>
      <c r="F9" s="1" t="str">
        <f>VLOOKUP(D9,Table11[[Name]:[Native]],3,FALSE)</f>
        <v>榆阳区</v>
      </c>
      <c r="G9" s="12" t="str">
        <f ca="1">VLOOKUP(F9,Table11[[Native]:[Population4]],5,FALSE)</f>
        <v>榆林市</v>
      </c>
    </row>
    <row r="10" spans="1:7" ht="15.75" thickBot="1" x14ac:dyDescent="0.3">
      <c r="A10" t="s">
        <v>2640</v>
      </c>
      <c r="B10" s="1" t="s">
        <v>2641</v>
      </c>
      <c r="C10" s="1" t="s">
        <v>7</v>
      </c>
      <c r="D10" s="1" t="s">
        <v>2622</v>
      </c>
      <c r="E10" s="9">
        <v>15539</v>
      </c>
      <c r="F10" s="1" t="str">
        <f>VLOOKUP(D10,Table11[[Name]:[Native]],3,FALSE)</f>
        <v>横山区</v>
      </c>
      <c r="G10" s="12" t="str">
        <f ca="1">VLOOKUP(F10,Table11[[Native]:[Population4]],5,FALSE)</f>
        <v>榆林市</v>
      </c>
    </row>
    <row r="11" spans="1:7" ht="15.75" thickBot="1" x14ac:dyDescent="0.3">
      <c r="A11" t="s">
        <v>2642</v>
      </c>
      <c r="B11" s="1" t="s">
        <v>2643</v>
      </c>
      <c r="C11" s="1" t="s">
        <v>11</v>
      </c>
      <c r="D11" s="1" t="s">
        <v>2628</v>
      </c>
      <c r="E11" s="9">
        <v>7640</v>
      </c>
      <c r="F11" s="1" t="str">
        <f>VLOOKUP(D11,Table11[[Name]:[Native]],3,FALSE)</f>
        <v>榆阳区</v>
      </c>
      <c r="G11" s="12" t="str">
        <f ca="1">VLOOKUP(F11,Table11[[Native]:[Population4]],5,FALSE)</f>
        <v>榆林市</v>
      </c>
    </row>
    <row r="12" spans="1:7" ht="15.75" thickBot="1" x14ac:dyDescent="0.3">
      <c r="A12" t="s">
        <v>2644</v>
      </c>
      <c r="B12" s="1" t="s">
        <v>2645</v>
      </c>
      <c r="C12" s="1" t="s">
        <v>11</v>
      </c>
      <c r="D12" s="1" t="s">
        <v>2628</v>
      </c>
      <c r="E12" s="9">
        <v>5556</v>
      </c>
      <c r="F12" s="1" t="str">
        <f>VLOOKUP(D12,Table11[[Name]:[Native]],3,FALSE)</f>
        <v>榆阳区</v>
      </c>
      <c r="G12" s="12" t="str">
        <f ca="1">VLOOKUP(F12,Table11[[Native]:[Population4]],5,FALSE)</f>
        <v>榆林市</v>
      </c>
    </row>
    <row r="13" spans="1:7" ht="15.75" thickBot="1" x14ac:dyDescent="0.3">
      <c r="A13" t="s">
        <v>2646</v>
      </c>
      <c r="B13" s="1" t="s">
        <v>2647</v>
      </c>
      <c r="C13" s="1" t="s">
        <v>113</v>
      </c>
      <c r="D13" s="1" t="s">
        <v>2628</v>
      </c>
      <c r="E13" s="9">
        <v>73459</v>
      </c>
      <c r="F13" s="1" t="str">
        <f>VLOOKUP(D13,Table11[[Name]:[Native]],3,FALSE)</f>
        <v>榆阳区</v>
      </c>
      <c r="G13" s="12" t="str">
        <f ca="1">VLOOKUP(F13,Table11[[Native]:[Population4]],5,FALSE)</f>
        <v>榆林市</v>
      </c>
    </row>
    <row r="14" spans="1:7" ht="15.75" thickBot="1" x14ac:dyDescent="0.3">
      <c r="A14" t="s">
        <v>2648</v>
      </c>
      <c r="B14" s="1" t="s">
        <v>2649</v>
      </c>
      <c r="C14" s="1" t="s">
        <v>7</v>
      </c>
      <c r="D14" s="1" t="s">
        <v>2650</v>
      </c>
      <c r="E14" s="9">
        <v>8113</v>
      </c>
      <c r="F14" s="1" t="str">
        <f>VLOOKUP(D14,Table11[[Name]:[Native]],3,FALSE)</f>
        <v>吴堡县</v>
      </c>
      <c r="G14" s="12" t="str">
        <f ca="1">VLOOKUP(F14,Table11[[Native]:[Population4]],5,FALSE)</f>
        <v>榆林市</v>
      </c>
    </row>
    <row r="15" spans="1:7" ht="15.75" thickBot="1" x14ac:dyDescent="0.3">
      <c r="A15" t="s">
        <v>2651</v>
      </c>
      <c r="B15" s="1" t="s">
        <v>374</v>
      </c>
      <c r="C15" s="1" t="s">
        <v>113</v>
      </c>
      <c r="D15" s="1" t="s">
        <v>2622</v>
      </c>
      <c r="E15" s="9">
        <v>86246</v>
      </c>
      <c r="F15" s="1" t="str">
        <f>VLOOKUP(D15,Table11[[Name]:[Native]],3,FALSE)</f>
        <v>横山区</v>
      </c>
      <c r="G15" s="12" t="str">
        <f ca="1">VLOOKUP(F15,Table11[[Native]:[Population4]],5,FALSE)</f>
        <v>榆林市</v>
      </c>
    </row>
    <row r="16" spans="1:7" ht="15.75" thickBot="1" x14ac:dyDescent="0.3">
      <c r="A16" t="s">
        <v>2652</v>
      </c>
      <c r="B16" s="1" t="s">
        <v>2653</v>
      </c>
      <c r="C16" s="1" t="s">
        <v>7</v>
      </c>
      <c r="D16" s="1" t="s">
        <v>2654</v>
      </c>
      <c r="E16" s="9">
        <v>11248</v>
      </c>
      <c r="F16" s="1" t="str">
        <f>VLOOKUP(D16,Table11[[Name]:[Native]],3,FALSE)</f>
        <v>米脂县</v>
      </c>
      <c r="G16" s="12" t="str">
        <f ca="1">VLOOKUP(F16,Table11[[Native]:[Population4]],5,FALSE)</f>
        <v>榆林市</v>
      </c>
    </row>
    <row r="17" spans="1:7" ht="15.75" thickBot="1" x14ac:dyDescent="0.3">
      <c r="A17" t="s">
        <v>2655</v>
      </c>
      <c r="B17" s="1" t="s">
        <v>2656</v>
      </c>
      <c r="C17" s="1" t="s">
        <v>113</v>
      </c>
      <c r="D17" s="1" t="s">
        <v>2628</v>
      </c>
      <c r="E17" s="9">
        <v>51873</v>
      </c>
      <c r="F17" s="1" t="str">
        <f>VLOOKUP(D17,Table11[[Name]:[Native]],3,FALSE)</f>
        <v>榆阳区</v>
      </c>
      <c r="G17" s="12" t="str">
        <f ca="1">VLOOKUP(F17,Table11[[Native]:[Population4]],5,FALSE)</f>
        <v>榆林市</v>
      </c>
    </row>
    <row r="18" spans="1:7" ht="15.75" thickBot="1" x14ac:dyDescent="0.3">
      <c r="A18" t="s">
        <v>2657</v>
      </c>
      <c r="B18" s="1" t="s">
        <v>2658</v>
      </c>
      <c r="C18" s="1" t="s">
        <v>7</v>
      </c>
      <c r="D18" s="1" t="s">
        <v>2631</v>
      </c>
      <c r="E18" s="9">
        <v>12687</v>
      </c>
      <c r="F18" s="1" t="str">
        <f>VLOOKUP(D18,Table11[[Name]:[Native]],3,FALSE)</f>
        <v>绥德县</v>
      </c>
      <c r="G18" s="12" t="str">
        <f ca="1">VLOOKUP(F18,Table11[[Native]:[Population4]],5,FALSE)</f>
        <v>榆林市</v>
      </c>
    </row>
    <row r="19" spans="1:7" ht="15.75" thickBot="1" x14ac:dyDescent="0.3">
      <c r="A19" t="s">
        <v>2659</v>
      </c>
      <c r="B19" s="1" t="s">
        <v>2660</v>
      </c>
      <c r="C19" s="1" t="s">
        <v>7</v>
      </c>
      <c r="D19" s="1" t="s">
        <v>2661</v>
      </c>
      <c r="E19" s="9">
        <v>15208</v>
      </c>
      <c r="F19" s="1" t="str">
        <f>VLOOKUP(D19,Table11[[Name]:[Native]],3,FALSE)</f>
        <v>神木市</v>
      </c>
      <c r="G19" s="12" t="str">
        <f ca="1">VLOOKUP(F19,Table11[[Native]:[Population4]],5,FALSE)</f>
        <v>榆林市</v>
      </c>
    </row>
    <row r="20" spans="1:7" ht="15.75" thickBot="1" x14ac:dyDescent="0.3">
      <c r="A20" t="s">
        <v>2662</v>
      </c>
      <c r="B20" s="1" t="s">
        <v>2663</v>
      </c>
      <c r="C20" s="1" t="s">
        <v>7</v>
      </c>
      <c r="D20" s="1" t="s">
        <v>2664</v>
      </c>
      <c r="E20" s="9">
        <v>10466</v>
      </c>
      <c r="F20" s="1" t="str">
        <f>VLOOKUP(D20,Table11[[Name]:[Native]],3,FALSE)</f>
        <v>府谷县</v>
      </c>
      <c r="G20" s="12" t="str">
        <f ca="1">VLOOKUP(F20,Table11[[Native]:[Population4]],5,FALSE)</f>
        <v>榆林市</v>
      </c>
    </row>
    <row r="21" spans="1:7" ht="15.75" thickBot="1" x14ac:dyDescent="0.3">
      <c r="A21" t="s">
        <v>2665</v>
      </c>
      <c r="B21" s="1" t="s">
        <v>2666</v>
      </c>
      <c r="C21" s="1" t="s">
        <v>7</v>
      </c>
      <c r="D21" s="1" t="s">
        <v>2628</v>
      </c>
      <c r="E21" s="9">
        <v>4353</v>
      </c>
      <c r="F21" s="1" t="str">
        <f>VLOOKUP(D21,Table11[[Name]:[Native]],3,FALSE)</f>
        <v>榆阳区</v>
      </c>
      <c r="G21" s="12" t="str">
        <f ca="1">VLOOKUP(F21,Table11[[Native]:[Population4]],5,FALSE)</f>
        <v>榆林市</v>
      </c>
    </row>
    <row r="22" spans="1:7" ht="15.75" thickBot="1" x14ac:dyDescent="0.3">
      <c r="A22" t="s">
        <v>2667</v>
      </c>
      <c r="B22" s="1" t="s">
        <v>2668</v>
      </c>
      <c r="C22" s="1" t="s">
        <v>7</v>
      </c>
      <c r="D22" s="1" t="s">
        <v>2661</v>
      </c>
      <c r="E22" s="9">
        <v>59883</v>
      </c>
      <c r="F22" s="1" t="str">
        <f>VLOOKUP(D22,Table11[[Name]:[Native]],3,FALSE)</f>
        <v>神木市</v>
      </c>
      <c r="G22" s="12" t="str">
        <f ca="1">VLOOKUP(F22,Table11[[Native]:[Population4]],5,FALSE)</f>
        <v>榆林市</v>
      </c>
    </row>
    <row r="23" spans="1:7" ht="15.75" thickBot="1" x14ac:dyDescent="0.3">
      <c r="A23" t="s">
        <v>2669</v>
      </c>
      <c r="B23" s="1" t="s">
        <v>2670</v>
      </c>
      <c r="C23" s="1" t="s">
        <v>11</v>
      </c>
      <c r="D23" s="1" t="s">
        <v>2671</v>
      </c>
      <c r="E23" s="9">
        <v>4107</v>
      </c>
      <c r="F23" s="1" t="str">
        <f>VLOOKUP(D23,Table11[[Name]:[Native]],3,FALSE)</f>
        <v>靖边县</v>
      </c>
      <c r="G23" s="12" t="str">
        <f ca="1">VLOOKUP(F23,Table11[[Native]:[Population4]],5,FALSE)</f>
        <v>榆林市</v>
      </c>
    </row>
    <row r="24" spans="1:7" ht="15.75" thickBot="1" x14ac:dyDescent="0.3">
      <c r="A24" t="s">
        <v>2672</v>
      </c>
      <c r="B24" s="1" t="s">
        <v>2673</v>
      </c>
      <c r="C24" s="1" t="s">
        <v>7</v>
      </c>
      <c r="D24" s="1" t="s">
        <v>2622</v>
      </c>
      <c r="E24" s="9">
        <v>19396</v>
      </c>
      <c r="F24" s="1" t="str">
        <f>VLOOKUP(D24,Table11[[Name]:[Native]],3,FALSE)</f>
        <v>横山区</v>
      </c>
      <c r="G24" s="12" t="str">
        <f ca="1">VLOOKUP(F24,Table11[[Native]:[Population4]],5,FALSE)</f>
        <v>榆林市</v>
      </c>
    </row>
    <row r="25" spans="1:7" ht="15.75" thickBot="1" x14ac:dyDescent="0.3">
      <c r="A25" t="s">
        <v>2674</v>
      </c>
      <c r="B25" s="1" t="s">
        <v>2675</v>
      </c>
      <c r="C25" s="1" t="s">
        <v>7</v>
      </c>
      <c r="D25" s="1" t="s">
        <v>2622</v>
      </c>
      <c r="E25" s="9">
        <v>17172</v>
      </c>
      <c r="F25" s="1" t="str">
        <f>VLOOKUP(D25,Table11[[Name]:[Native]],3,FALSE)</f>
        <v>横山区</v>
      </c>
      <c r="G25" s="12" t="str">
        <f ca="1">VLOOKUP(F25,Table11[[Native]:[Population4]],5,FALSE)</f>
        <v>榆林市</v>
      </c>
    </row>
    <row r="26" spans="1:7" ht="15.75" thickBot="1" x14ac:dyDescent="0.3">
      <c r="A26" t="s">
        <v>2674</v>
      </c>
      <c r="B26" s="1" t="s">
        <v>2676</v>
      </c>
      <c r="C26" s="1" t="s">
        <v>7</v>
      </c>
      <c r="D26" s="1" t="s">
        <v>2677</v>
      </c>
      <c r="E26" s="9">
        <v>5015</v>
      </c>
      <c r="F26" s="1" t="str">
        <f>VLOOKUP(D26,Table11[[Name]:[Native]],3,FALSE)</f>
        <v>子洲县</v>
      </c>
      <c r="G26" s="12" t="str">
        <f ca="1">VLOOKUP(F26,Table11[[Native]:[Population4]],5,FALSE)</f>
        <v>榆林市</v>
      </c>
    </row>
    <row r="27" spans="1:7" ht="15.75" thickBot="1" x14ac:dyDescent="0.3">
      <c r="A27" t="s">
        <v>2678</v>
      </c>
      <c r="B27" s="1" t="s">
        <v>2679</v>
      </c>
      <c r="C27" s="1" t="s">
        <v>7</v>
      </c>
      <c r="D27" s="1" t="s">
        <v>2661</v>
      </c>
      <c r="E27" s="9">
        <v>28581</v>
      </c>
      <c r="F27" s="1" t="str">
        <f>VLOOKUP(D27,Table11[[Name]:[Native]],3,FALSE)</f>
        <v>神木市</v>
      </c>
      <c r="G27" s="12" t="str">
        <f ca="1">VLOOKUP(F27,Table11[[Native]:[Population4]],5,FALSE)</f>
        <v>榆林市</v>
      </c>
    </row>
    <row r="28" spans="1:7" ht="15.75" thickBot="1" x14ac:dyDescent="0.3">
      <c r="A28" t="s">
        <v>2680</v>
      </c>
      <c r="B28" s="1" t="s">
        <v>2681</v>
      </c>
      <c r="C28" s="1" t="s">
        <v>7</v>
      </c>
      <c r="D28" s="1" t="s">
        <v>2682</v>
      </c>
      <c r="E28" s="9">
        <v>5704</v>
      </c>
      <c r="F28" s="1" t="str">
        <f>VLOOKUP(D28,Table11[[Name]:[Native]],3,FALSE)</f>
        <v>清涧县</v>
      </c>
      <c r="G28" s="12" t="str">
        <f ca="1">VLOOKUP(F28,Table11[[Native]:[Population4]],5,FALSE)</f>
        <v>榆林市</v>
      </c>
    </row>
    <row r="29" spans="1:7" ht="15.75" thickBot="1" x14ac:dyDescent="0.3">
      <c r="A29" t="s">
        <v>2683</v>
      </c>
      <c r="B29" s="1" t="s">
        <v>2684</v>
      </c>
      <c r="C29" s="1" t="s">
        <v>7</v>
      </c>
      <c r="D29" s="1" t="s">
        <v>2685</v>
      </c>
      <c r="E29" s="9">
        <v>11330</v>
      </c>
      <c r="F29" s="1" t="str">
        <f>VLOOKUP(D29,Table11[[Name]:[Native]],3,FALSE)</f>
        <v>佳县</v>
      </c>
      <c r="G29" s="12" t="str">
        <f ca="1">VLOOKUP(F29,Table11[[Native]:[Population4]],5,FALSE)</f>
        <v>榆林市</v>
      </c>
    </row>
    <row r="30" spans="1:7" ht="15.75" thickBot="1" x14ac:dyDescent="0.3">
      <c r="A30" t="s">
        <v>2686</v>
      </c>
      <c r="B30" s="1" t="s">
        <v>2687</v>
      </c>
      <c r="C30" s="1" t="s">
        <v>113</v>
      </c>
      <c r="D30" s="1" t="s">
        <v>2625</v>
      </c>
      <c r="E30" s="9">
        <v>99732</v>
      </c>
      <c r="F30" s="1" t="str">
        <f>VLOOKUP(D30,Table11[[Name]:[Native]],3,FALSE)</f>
        <v>定边县</v>
      </c>
      <c r="G30" s="12" t="str">
        <f ca="1">VLOOKUP(F30,Table11[[Native]:[Population4]],5,FALSE)</f>
        <v>榆林市</v>
      </c>
    </row>
    <row r="31" spans="1:7" ht="15.75" thickBot="1" x14ac:dyDescent="0.3">
      <c r="A31" t="s">
        <v>2688</v>
      </c>
      <c r="B31" s="1" t="s">
        <v>2689</v>
      </c>
      <c r="C31" s="1" t="s">
        <v>7</v>
      </c>
      <c r="D31" s="1" t="s">
        <v>2631</v>
      </c>
      <c r="E31" s="9">
        <v>6871</v>
      </c>
      <c r="F31" s="1" t="str">
        <f>VLOOKUP(D31,Table11[[Name]:[Native]],3,FALSE)</f>
        <v>绥德县</v>
      </c>
      <c r="G31" s="12" t="str">
        <f ca="1">VLOOKUP(F31,Table11[[Native]:[Population4]],5,FALSE)</f>
        <v>榆林市</v>
      </c>
    </row>
    <row r="32" spans="1:7" ht="15.75" thickBot="1" x14ac:dyDescent="0.3">
      <c r="A32" t="s">
        <v>2690</v>
      </c>
      <c r="B32" s="1" t="s">
        <v>2691</v>
      </c>
      <c r="C32" s="1" t="s">
        <v>7</v>
      </c>
      <c r="D32" s="1" t="s">
        <v>2671</v>
      </c>
      <c r="E32" s="9">
        <v>48001</v>
      </c>
      <c r="F32" s="1" t="str">
        <f>VLOOKUP(D32,Table11[[Name]:[Native]],3,FALSE)</f>
        <v>靖边县</v>
      </c>
      <c r="G32" s="12" t="str">
        <f ca="1">VLOOKUP(F32,Table11[[Native]:[Population4]],5,FALSE)</f>
        <v>榆林市</v>
      </c>
    </row>
    <row r="33" spans="1:7" ht="15.75" thickBot="1" x14ac:dyDescent="0.3">
      <c r="A33" t="s">
        <v>2692</v>
      </c>
      <c r="B33" s="1" t="s">
        <v>2693</v>
      </c>
      <c r="C33" s="1" t="s">
        <v>7</v>
      </c>
      <c r="D33" s="1" t="s">
        <v>2625</v>
      </c>
      <c r="E33" s="9">
        <v>7279</v>
      </c>
      <c r="F33" s="1" t="str">
        <f>VLOOKUP(D33,Table11[[Name]:[Native]],3,FALSE)</f>
        <v>定边县</v>
      </c>
      <c r="G33" s="12" t="str">
        <f ca="1">VLOOKUP(F33,Table11[[Native]:[Population4]],5,FALSE)</f>
        <v>榆林市</v>
      </c>
    </row>
    <row r="34" spans="1:7" ht="15.75" thickBot="1" x14ac:dyDescent="0.3">
      <c r="A34" t="s">
        <v>2694</v>
      </c>
      <c r="B34" s="1" t="s">
        <v>2695</v>
      </c>
      <c r="C34" s="1" t="s">
        <v>7</v>
      </c>
      <c r="D34" s="1" t="s">
        <v>2654</v>
      </c>
      <c r="E34" s="9">
        <v>9966</v>
      </c>
      <c r="F34" s="1" t="str">
        <f>VLOOKUP(D34,Table11[[Name]:[Native]],3,FALSE)</f>
        <v>米脂县</v>
      </c>
      <c r="G34" s="12" t="str">
        <f ca="1">VLOOKUP(F34,Table11[[Native]:[Population4]],5,FALSE)</f>
        <v>榆林市</v>
      </c>
    </row>
    <row r="35" spans="1:7" ht="15.75" thickBot="1" x14ac:dyDescent="0.3">
      <c r="A35" t="s">
        <v>2696</v>
      </c>
      <c r="B35" s="1" t="s">
        <v>2697</v>
      </c>
      <c r="C35" s="1" t="s">
        <v>7</v>
      </c>
      <c r="D35" s="1" t="s">
        <v>2661</v>
      </c>
      <c r="E35" s="9">
        <v>10600</v>
      </c>
      <c r="F35" s="1" t="str">
        <f>VLOOKUP(D35,Table11[[Name]:[Native]],3,FALSE)</f>
        <v>神木市</v>
      </c>
      <c r="G35" s="12" t="str">
        <f ca="1">VLOOKUP(F35,Table11[[Native]:[Population4]],5,FALSE)</f>
        <v>榆林市</v>
      </c>
    </row>
    <row r="36" spans="1:7" ht="15.75" thickBot="1" x14ac:dyDescent="0.3">
      <c r="A36" t="s">
        <v>2698</v>
      </c>
      <c r="B36" s="1" t="s">
        <v>2699</v>
      </c>
      <c r="C36" s="1" t="s">
        <v>7</v>
      </c>
      <c r="D36" s="1" t="s">
        <v>2685</v>
      </c>
      <c r="E36" s="9">
        <v>6379</v>
      </c>
      <c r="F36" s="1" t="str">
        <f>VLOOKUP(D36,Table11[[Name]:[Native]],3,FALSE)</f>
        <v>佳县</v>
      </c>
      <c r="G36" s="12" t="str">
        <f ca="1">VLOOKUP(F36,Table11[[Native]:[Population4]],5,FALSE)</f>
        <v>榆林市</v>
      </c>
    </row>
    <row r="37" spans="1:7" ht="15.75" thickBot="1" x14ac:dyDescent="0.3">
      <c r="A37" t="s">
        <v>2700</v>
      </c>
      <c r="B37" s="1" t="s">
        <v>2701</v>
      </c>
      <c r="C37" s="1" t="s">
        <v>7</v>
      </c>
      <c r="D37" s="1" t="s">
        <v>2625</v>
      </c>
      <c r="E37" s="9">
        <v>4368</v>
      </c>
      <c r="F37" s="1" t="str">
        <f>VLOOKUP(D37,Table11[[Name]:[Native]],3,FALSE)</f>
        <v>定边县</v>
      </c>
      <c r="G37" s="12" t="str">
        <f ca="1">VLOOKUP(F37,Table11[[Native]:[Population4]],5,FALSE)</f>
        <v>榆林市</v>
      </c>
    </row>
    <row r="38" spans="1:7" ht="15.75" thickBot="1" x14ac:dyDescent="0.3">
      <c r="A38" t="s">
        <v>2702</v>
      </c>
      <c r="B38" s="1" t="s">
        <v>2703</v>
      </c>
      <c r="C38" s="1" t="s">
        <v>7</v>
      </c>
      <c r="D38" s="1" t="s">
        <v>2625</v>
      </c>
      <c r="E38" s="9">
        <v>7843</v>
      </c>
      <c r="F38" s="1" t="str">
        <f>VLOOKUP(D38,Table11[[Name]:[Native]],3,FALSE)</f>
        <v>定边县</v>
      </c>
      <c r="G38" s="12" t="str">
        <f ca="1">VLOOKUP(F38,Table11[[Native]:[Population4]],5,FALSE)</f>
        <v>榆林市</v>
      </c>
    </row>
    <row r="39" spans="1:7" ht="15.75" thickBot="1" x14ac:dyDescent="0.3">
      <c r="A39" t="s">
        <v>2704</v>
      </c>
      <c r="B39" s="1" t="s">
        <v>2705</v>
      </c>
      <c r="C39" s="1" t="s">
        <v>7</v>
      </c>
      <c r="D39" s="1" t="s">
        <v>2664</v>
      </c>
      <c r="E39" s="9">
        <v>119394</v>
      </c>
      <c r="F39" s="1" t="str">
        <f>VLOOKUP(D39,Table11[[Name]:[Native]],3,FALSE)</f>
        <v>府谷县</v>
      </c>
      <c r="G39" s="12" t="str">
        <f ca="1">VLOOKUP(F39,Table11[[Native]:[Population4]],5,FALSE)</f>
        <v>榆林市</v>
      </c>
    </row>
    <row r="40" spans="1:7" ht="15.75" thickBot="1" x14ac:dyDescent="0.3">
      <c r="A40" t="s">
        <v>2706</v>
      </c>
      <c r="B40" s="1" t="s">
        <v>2707</v>
      </c>
      <c r="C40" s="1" t="s">
        <v>7</v>
      </c>
      <c r="D40" s="1" t="s">
        <v>2661</v>
      </c>
      <c r="E40" s="9">
        <v>13851</v>
      </c>
      <c r="F40" s="1" t="str">
        <f>VLOOKUP(D40,Table11[[Name]:[Native]],3,FALSE)</f>
        <v>神木市</v>
      </c>
      <c r="G40" s="12" t="str">
        <f ca="1">VLOOKUP(F40,Table11[[Native]:[Population4]],5,FALSE)</f>
        <v>榆林市</v>
      </c>
    </row>
    <row r="41" spans="1:7" ht="15.75" thickBot="1" x14ac:dyDescent="0.3">
      <c r="A41" t="s">
        <v>2708</v>
      </c>
      <c r="B41" s="1" t="s">
        <v>2709</v>
      </c>
      <c r="C41" s="1" t="s">
        <v>11</v>
      </c>
      <c r="D41" s="1" t="s">
        <v>2671</v>
      </c>
      <c r="E41" s="9">
        <v>2750</v>
      </c>
      <c r="F41" s="1" t="str">
        <f>VLOOKUP(D41,Table11[[Name]:[Native]],3,FALSE)</f>
        <v>靖边县</v>
      </c>
      <c r="G41" s="12" t="str">
        <f ca="1">VLOOKUP(F41,Table11[[Native]:[Population4]],5,FALSE)</f>
        <v>榆林市</v>
      </c>
    </row>
    <row r="42" spans="1:7" ht="15.75" thickBot="1" x14ac:dyDescent="0.3">
      <c r="A42" t="s">
        <v>2710</v>
      </c>
      <c r="B42" s="1" t="s">
        <v>2711</v>
      </c>
      <c r="C42" s="1" t="s">
        <v>11</v>
      </c>
      <c r="D42" s="1" t="s">
        <v>2677</v>
      </c>
      <c r="E42" s="9">
        <v>4208</v>
      </c>
      <c r="F42" s="1" t="str">
        <f>VLOOKUP(D42,Table11[[Name]:[Native]],3,FALSE)</f>
        <v>子洲县</v>
      </c>
      <c r="G42" s="12" t="str">
        <f ca="1">VLOOKUP(F42,Table11[[Native]:[Population4]],5,FALSE)</f>
        <v>榆林市</v>
      </c>
    </row>
    <row r="43" spans="1:7" ht="15.75" thickBot="1" x14ac:dyDescent="0.3">
      <c r="A43" t="s">
        <v>2712</v>
      </c>
      <c r="B43" s="1" t="s">
        <v>2713</v>
      </c>
      <c r="C43" s="1" t="s">
        <v>7</v>
      </c>
      <c r="D43" s="1" t="s">
        <v>2682</v>
      </c>
      <c r="E43" s="9">
        <v>7611</v>
      </c>
      <c r="F43" s="1" t="str">
        <f>VLOOKUP(D43,Table11[[Name]:[Native]],3,FALSE)</f>
        <v>清涧县</v>
      </c>
      <c r="G43" s="12" t="str">
        <f ca="1">VLOOKUP(F43,Table11[[Native]:[Population4]],5,FALSE)</f>
        <v>榆林市</v>
      </c>
    </row>
    <row r="44" spans="1:7" ht="15.75" thickBot="1" x14ac:dyDescent="0.3">
      <c r="A44" t="s">
        <v>2714</v>
      </c>
      <c r="B44" s="1" t="s">
        <v>2715</v>
      </c>
      <c r="C44" s="1" t="s">
        <v>11</v>
      </c>
      <c r="D44" s="1" t="s">
        <v>2654</v>
      </c>
      <c r="E44" s="9">
        <v>4939</v>
      </c>
      <c r="F44" s="1" t="str">
        <f>VLOOKUP(D44,Table11[[Name]:[Native]],3,FALSE)</f>
        <v>米脂县</v>
      </c>
      <c r="G44" s="12" t="str">
        <f ca="1">VLOOKUP(F44,Table11[[Native]:[Population4]],5,FALSE)</f>
        <v>榆林市</v>
      </c>
    </row>
    <row r="45" spans="1:7" ht="15.75" thickBot="1" x14ac:dyDescent="0.3">
      <c r="A45" t="s">
        <v>2716</v>
      </c>
      <c r="B45" s="1" t="s">
        <v>2717</v>
      </c>
      <c r="C45" s="1" t="s">
        <v>7</v>
      </c>
      <c r="D45" s="1" t="s">
        <v>2622</v>
      </c>
      <c r="E45" s="9">
        <v>17828</v>
      </c>
      <c r="F45" s="1" t="str">
        <f>VLOOKUP(D45,Table11[[Name]:[Native]],3,FALSE)</f>
        <v>横山区</v>
      </c>
      <c r="G45" s="12" t="str">
        <f ca="1">VLOOKUP(F45,Table11[[Native]:[Population4]],5,FALSE)</f>
        <v>榆林市</v>
      </c>
    </row>
    <row r="46" spans="1:7" ht="15.75" thickBot="1" x14ac:dyDescent="0.3">
      <c r="A46" t="s">
        <v>2402</v>
      </c>
      <c r="B46" s="1" t="s">
        <v>2403</v>
      </c>
      <c r="C46" s="1" t="s">
        <v>11</v>
      </c>
      <c r="D46" s="1" t="s">
        <v>2685</v>
      </c>
      <c r="E46" s="9">
        <v>6876</v>
      </c>
      <c r="F46" s="1" t="str">
        <f>VLOOKUP(D46,Table11[[Name]:[Native]],3,FALSE)</f>
        <v>佳县</v>
      </c>
      <c r="G46" s="12" t="str">
        <f ca="1">VLOOKUP(F46,Table11[[Native]:[Population4]],5,FALSE)</f>
        <v>榆林市</v>
      </c>
    </row>
    <row r="47" spans="1:7" ht="15.75" thickBot="1" x14ac:dyDescent="0.3">
      <c r="A47" s="1" t="s">
        <v>2718</v>
      </c>
      <c r="B47" s="1" t="s">
        <v>2719</v>
      </c>
      <c r="C47" s="1" t="s">
        <v>11</v>
      </c>
      <c r="D47" s="1" t="s">
        <v>2677</v>
      </c>
      <c r="E47" s="9">
        <v>4129</v>
      </c>
      <c r="F47" s="1" t="str">
        <f>VLOOKUP(D47,Table11[[Name]:[Native]],3,FALSE)</f>
        <v>子洲县</v>
      </c>
      <c r="G47" s="12" t="str">
        <f ca="1">VLOOKUP(F47,Table11[[Native]:[Population4]],5,FALSE)</f>
        <v>榆林市</v>
      </c>
    </row>
    <row r="48" spans="1:7" ht="15.75" thickBot="1" x14ac:dyDescent="0.3">
      <c r="A48" t="s">
        <v>733</v>
      </c>
      <c r="B48" s="1" t="s">
        <v>734</v>
      </c>
      <c r="C48" s="1" t="s">
        <v>7</v>
      </c>
      <c r="D48" s="1" t="s">
        <v>2664</v>
      </c>
      <c r="E48" s="9">
        <v>5693</v>
      </c>
      <c r="F48" s="1" t="str">
        <f>VLOOKUP(D48,Table11[[Name]:[Native]],3,FALSE)</f>
        <v>府谷县</v>
      </c>
      <c r="G48" s="12" t="str">
        <f ca="1">VLOOKUP(F48,Table11[[Native]:[Population4]],5,FALSE)</f>
        <v>榆林市</v>
      </c>
    </row>
    <row r="49" spans="1:7" ht="15.75" thickBot="1" x14ac:dyDescent="0.3">
      <c r="A49" t="s">
        <v>2720</v>
      </c>
      <c r="B49" s="1" t="s">
        <v>2721</v>
      </c>
      <c r="C49" s="1" t="s">
        <v>113</v>
      </c>
      <c r="D49" s="1" t="s">
        <v>2628</v>
      </c>
      <c r="E49" s="9">
        <v>43816</v>
      </c>
      <c r="F49" s="1" t="str">
        <f>VLOOKUP(D49,Table11[[Name]:[Native]],3,FALSE)</f>
        <v>榆阳区</v>
      </c>
      <c r="G49" s="12" t="str">
        <f ca="1">VLOOKUP(F49,Table11[[Native]:[Population4]],5,FALSE)</f>
        <v>榆林市</v>
      </c>
    </row>
    <row r="50" spans="1:7" ht="15.75" thickBot="1" x14ac:dyDescent="0.3">
      <c r="A50" t="s">
        <v>2722</v>
      </c>
      <c r="B50" s="1" t="s">
        <v>2723</v>
      </c>
      <c r="C50" s="1" t="s">
        <v>7</v>
      </c>
      <c r="D50" s="1" t="s">
        <v>2650</v>
      </c>
      <c r="E50" s="9">
        <v>7876</v>
      </c>
      <c r="F50" s="1" t="str">
        <f>VLOOKUP(D50,Table11[[Name]:[Native]],3,FALSE)</f>
        <v>吴堡县</v>
      </c>
      <c r="G50" s="12" t="str">
        <f ca="1">VLOOKUP(F50,Table11[[Native]:[Population4]],5,FALSE)</f>
        <v>榆林市</v>
      </c>
    </row>
    <row r="51" spans="1:7" ht="15.75" thickBot="1" x14ac:dyDescent="0.3">
      <c r="A51" t="s">
        <v>2724</v>
      </c>
      <c r="B51" s="1" t="s">
        <v>2725</v>
      </c>
      <c r="C51" s="1" t="s">
        <v>7</v>
      </c>
      <c r="D51" s="1" t="s">
        <v>2654</v>
      </c>
      <c r="E51" s="9">
        <v>5576</v>
      </c>
      <c r="F51" s="1" t="str">
        <f>VLOOKUP(D51,Table11[[Name]:[Native]],3,FALSE)</f>
        <v>米脂县</v>
      </c>
      <c r="G51" s="12" t="str">
        <f ca="1">VLOOKUP(F51,Table11[[Native]:[Population4]],5,FALSE)</f>
        <v>榆林市</v>
      </c>
    </row>
    <row r="52" spans="1:7" ht="15.75" thickBot="1" x14ac:dyDescent="0.3">
      <c r="A52" t="s">
        <v>2726</v>
      </c>
      <c r="B52" s="1" t="s">
        <v>2727</v>
      </c>
      <c r="C52" s="1" t="s">
        <v>7</v>
      </c>
      <c r="D52" s="1" t="s">
        <v>2664</v>
      </c>
      <c r="E52" s="9">
        <v>9630</v>
      </c>
      <c r="F52" s="1" t="str">
        <f>VLOOKUP(D52,Table11[[Name]:[Native]],3,FALSE)</f>
        <v>府谷县</v>
      </c>
      <c r="G52" s="12" t="str">
        <f ca="1">VLOOKUP(F52,Table11[[Native]:[Population4]],5,FALSE)</f>
        <v>榆林市</v>
      </c>
    </row>
    <row r="53" spans="1:7" ht="15.75" thickBot="1" x14ac:dyDescent="0.3">
      <c r="A53" t="s">
        <v>2728</v>
      </c>
      <c r="B53" s="1" t="s">
        <v>2729</v>
      </c>
      <c r="C53" s="1" t="s">
        <v>7</v>
      </c>
      <c r="D53" s="1" t="s">
        <v>2628</v>
      </c>
      <c r="E53" s="9">
        <v>6660</v>
      </c>
      <c r="F53" s="1" t="str">
        <f>VLOOKUP(D53,Table11[[Name]:[Native]],3,FALSE)</f>
        <v>榆阳区</v>
      </c>
      <c r="G53" s="12" t="str">
        <f ca="1">VLOOKUP(F53,Table11[[Native]:[Population4]],5,FALSE)</f>
        <v>榆林市</v>
      </c>
    </row>
    <row r="54" spans="1:7" ht="15.75" thickBot="1" x14ac:dyDescent="0.3">
      <c r="A54" t="s">
        <v>2730</v>
      </c>
      <c r="B54" s="1" t="s">
        <v>2731</v>
      </c>
      <c r="C54" s="1" t="s">
        <v>11</v>
      </c>
      <c r="D54" s="1" t="s">
        <v>2664</v>
      </c>
      <c r="E54" s="9">
        <v>4140</v>
      </c>
      <c r="F54" s="1" t="str">
        <f>VLOOKUP(D54,Table11[[Name]:[Native]],3,FALSE)</f>
        <v>府谷县</v>
      </c>
      <c r="G54" s="12" t="str">
        <f ca="1">VLOOKUP(F54,Table11[[Native]:[Population4]],5,FALSE)</f>
        <v>榆林市</v>
      </c>
    </row>
    <row r="55" spans="1:7" ht="15.75" thickBot="1" x14ac:dyDescent="0.3">
      <c r="A55" t="s">
        <v>2732</v>
      </c>
      <c r="B55" s="1" t="s">
        <v>2733</v>
      </c>
      <c r="C55" s="1" t="s">
        <v>7</v>
      </c>
      <c r="D55" s="1" t="s">
        <v>2671</v>
      </c>
      <c r="E55" s="9">
        <v>6009</v>
      </c>
      <c r="F55" s="1" t="str">
        <f>VLOOKUP(D55,Table11[[Name]:[Native]],3,FALSE)</f>
        <v>靖边县</v>
      </c>
      <c r="G55" s="12" t="str">
        <f ca="1">VLOOKUP(F55,Table11[[Native]:[Population4]],5,FALSE)</f>
        <v>榆林市</v>
      </c>
    </row>
    <row r="56" spans="1:7" ht="15.75" thickBot="1" x14ac:dyDescent="0.3">
      <c r="A56" t="s">
        <v>2734</v>
      </c>
      <c r="B56" s="1" t="s">
        <v>2735</v>
      </c>
      <c r="C56" s="1" t="s">
        <v>7</v>
      </c>
      <c r="D56" s="1" t="s">
        <v>2622</v>
      </c>
      <c r="E56" s="9">
        <v>12226</v>
      </c>
      <c r="F56" s="1" t="str">
        <f>VLOOKUP(D56,Table11[[Name]:[Native]],3,FALSE)</f>
        <v>横山区</v>
      </c>
      <c r="G56" s="12" t="str">
        <f ca="1">VLOOKUP(F56,Table11[[Native]:[Population4]],5,FALSE)</f>
        <v>榆林市</v>
      </c>
    </row>
    <row r="57" spans="1:7" ht="15.75" thickBot="1" x14ac:dyDescent="0.3">
      <c r="A57" t="s">
        <v>2736</v>
      </c>
      <c r="B57" s="1" t="s">
        <v>2737</v>
      </c>
      <c r="C57" s="1" t="s">
        <v>113</v>
      </c>
      <c r="D57" s="1" t="s">
        <v>2628</v>
      </c>
      <c r="E57" s="9">
        <v>47959</v>
      </c>
      <c r="F57" s="1" t="str">
        <f>VLOOKUP(D57,Table11[[Name]:[Native]],3,FALSE)</f>
        <v>榆阳区</v>
      </c>
      <c r="G57" s="12" t="str">
        <f ca="1">VLOOKUP(F57,Table11[[Native]:[Population4]],5,FALSE)</f>
        <v>榆林市</v>
      </c>
    </row>
    <row r="58" spans="1:7" ht="15.75" thickBot="1" x14ac:dyDescent="0.3">
      <c r="A58" t="s">
        <v>2738</v>
      </c>
      <c r="B58" s="1" t="s">
        <v>2739</v>
      </c>
      <c r="C58" s="1" t="s">
        <v>11</v>
      </c>
      <c r="D58" s="1" t="s">
        <v>2682</v>
      </c>
      <c r="E58" s="9">
        <v>3842</v>
      </c>
      <c r="F58" s="1" t="str">
        <f>VLOOKUP(D58,Table11[[Name]:[Native]],3,FALSE)</f>
        <v>清涧县</v>
      </c>
      <c r="G58" s="12" t="str">
        <f ca="1">VLOOKUP(F58,Table11[[Native]:[Population4]],5,FALSE)</f>
        <v>榆林市</v>
      </c>
    </row>
    <row r="59" spans="1:7" ht="15.75" thickBot="1" x14ac:dyDescent="0.3">
      <c r="A59" t="s">
        <v>2740</v>
      </c>
      <c r="B59" s="1" t="s">
        <v>2741</v>
      </c>
      <c r="C59" s="1" t="s">
        <v>7</v>
      </c>
      <c r="D59" s="1" t="s">
        <v>2625</v>
      </c>
      <c r="E59" s="9">
        <v>14469</v>
      </c>
      <c r="F59" s="1" t="str">
        <f>VLOOKUP(D59,Table11[[Name]:[Native]],3,FALSE)</f>
        <v>定边县</v>
      </c>
      <c r="G59" s="12" t="str">
        <f ca="1">VLOOKUP(F59,Table11[[Native]:[Population4]],5,FALSE)</f>
        <v>榆林市</v>
      </c>
    </row>
    <row r="60" spans="1:7" ht="15.75" thickBot="1" x14ac:dyDescent="0.3">
      <c r="A60" t="s">
        <v>2742</v>
      </c>
      <c r="B60" s="1" t="s">
        <v>2743</v>
      </c>
      <c r="C60" s="1" t="s">
        <v>7</v>
      </c>
      <c r="D60" s="1" t="s">
        <v>2664</v>
      </c>
      <c r="E60" s="9">
        <v>5232</v>
      </c>
      <c r="F60" s="1" t="str">
        <f>VLOOKUP(D60,Table11[[Name]:[Native]],3,FALSE)</f>
        <v>府谷县</v>
      </c>
      <c r="G60" s="12" t="str">
        <f ca="1">VLOOKUP(F60,Table11[[Native]:[Population4]],5,FALSE)</f>
        <v>榆林市</v>
      </c>
    </row>
    <row r="61" spans="1:7" ht="15.75" thickBot="1" x14ac:dyDescent="0.3">
      <c r="A61" t="s">
        <v>2744</v>
      </c>
      <c r="B61" s="1" t="s">
        <v>2745</v>
      </c>
      <c r="C61" s="1" t="s">
        <v>11</v>
      </c>
      <c r="D61" s="1" t="s">
        <v>2631</v>
      </c>
      <c r="E61" s="9">
        <v>5215</v>
      </c>
      <c r="F61" s="1" t="str">
        <f>VLOOKUP(D61,Table11[[Name]:[Native]],3,FALSE)</f>
        <v>绥德县</v>
      </c>
      <c r="G61" s="12" t="str">
        <f ca="1">VLOOKUP(F61,Table11[[Native]:[Population4]],5,FALSE)</f>
        <v>榆林市</v>
      </c>
    </row>
    <row r="62" spans="1:7" ht="15.75" thickBot="1" x14ac:dyDescent="0.3">
      <c r="A62" t="s">
        <v>2746</v>
      </c>
      <c r="B62" s="1" t="s">
        <v>2747</v>
      </c>
      <c r="C62" s="1" t="s">
        <v>7</v>
      </c>
      <c r="D62" s="1" t="s">
        <v>2661</v>
      </c>
      <c r="E62" s="9">
        <v>3427</v>
      </c>
      <c r="F62" s="1" t="str">
        <f>VLOOKUP(D62,Table11[[Name]:[Native]],3,FALSE)</f>
        <v>神木市</v>
      </c>
      <c r="G62" s="12" t="str">
        <f ca="1">VLOOKUP(F62,Table11[[Native]:[Population4]],5,FALSE)</f>
        <v>榆林市</v>
      </c>
    </row>
    <row r="63" spans="1:7" ht="15.75" thickBot="1" x14ac:dyDescent="0.3">
      <c r="A63" t="s">
        <v>2748</v>
      </c>
      <c r="B63" s="1" t="s">
        <v>2749</v>
      </c>
      <c r="C63" s="1" t="s">
        <v>7</v>
      </c>
      <c r="D63" s="1" t="s">
        <v>2677</v>
      </c>
      <c r="E63" s="9">
        <v>11382</v>
      </c>
      <c r="F63" s="1" t="str">
        <f>VLOOKUP(D63,Table11[[Name]:[Native]],3,FALSE)</f>
        <v>子洲县</v>
      </c>
      <c r="G63" s="12" t="str">
        <f ca="1">VLOOKUP(F63,Table11[[Native]:[Population4]],5,FALSE)</f>
        <v>榆林市</v>
      </c>
    </row>
    <row r="64" spans="1:7" ht="15.75" thickBot="1" x14ac:dyDescent="0.3">
      <c r="A64" t="s">
        <v>2750</v>
      </c>
      <c r="B64" s="1" t="s">
        <v>2751</v>
      </c>
      <c r="C64" s="1" t="s">
        <v>7</v>
      </c>
      <c r="D64" s="1" t="s">
        <v>2625</v>
      </c>
      <c r="E64" s="9">
        <v>33178</v>
      </c>
      <c r="F64" s="1" t="str">
        <f>VLOOKUP(D64,Table11[[Name]:[Native]],3,FALSE)</f>
        <v>定边县</v>
      </c>
      <c r="G64" s="12" t="str">
        <f ca="1">VLOOKUP(F64,Table11[[Native]:[Population4]],5,FALSE)</f>
        <v>榆林市</v>
      </c>
    </row>
    <row r="65" spans="1:7" ht="15.75" thickBot="1" x14ac:dyDescent="0.3">
      <c r="A65" t="s">
        <v>2752</v>
      </c>
      <c r="B65" s="1" t="s">
        <v>2753</v>
      </c>
      <c r="C65" s="1" t="s">
        <v>7</v>
      </c>
      <c r="D65" s="1" t="s">
        <v>2671</v>
      </c>
      <c r="E65" s="9">
        <v>5539</v>
      </c>
      <c r="F65" s="1" t="str">
        <f>VLOOKUP(D65,Table11[[Name]:[Native]],3,FALSE)</f>
        <v>靖边县</v>
      </c>
      <c r="G65" s="12" t="str">
        <f ca="1">VLOOKUP(F65,Table11[[Native]:[Population4]],5,FALSE)</f>
        <v>榆林市</v>
      </c>
    </row>
    <row r="66" spans="1:7" ht="15.75" thickBot="1" x14ac:dyDescent="0.3">
      <c r="A66" t="s">
        <v>2754</v>
      </c>
      <c r="B66" s="1" t="s">
        <v>2755</v>
      </c>
      <c r="C66" s="1" t="s">
        <v>7</v>
      </c>
      <c r="D66" s="1" t="s">
        <v>2625</v>
      </c>
      <c r="E66" s="9">
        <v>10228</v>
      </c>
      <c r="F66" s="1" t="str">
        <f>VLOOKUP(D66,Table11[[Name]:[Native]],3,FALSE)</f>
        <v>定边县</v>
      </c>
      <c r="G66" s="12" t="str">
        <f ca="1">VLOOKUP(F66,Table11[[Native]:[Population4]],5,FALSE)</f>
        <v>榆林市</v>
      </c>
    </row>
    <row r="67" spans="1:7" ht="15.75" thickBot="1" x14ac:dyDescent="0.3">
      <c r="A67" t="s">
        <v>2756</v>
      </c>
      <c r="B67" s="1" t="s">
        <v>2757</v>
      </c>
      <c r="C67" s="1" t="s">
        <v>11</v>
      </c>
      <c r="D67" s="1" t="s">
        <v>2628</v>
      </c>
      <c r="E67" s="9">
        <v>8671</v>
      </c>
      <c r="F67" s="1" t="str">
        <f>VLOOKUP(D67,Table11[[Name]:[Native]],3,FALSE)</f>
        <v>榆阳区</v>
      </c>
      <c r="G67" s="12" t="str">
        <f ca="1">VLOOKUP(F67,Table11[[Native]:[Population4]],5,FALSE)</f>
        <v>榆林市</v>
      </c>
    </row>
    <row r="68" spans="1:7" ht="15.75" thickBot="1" x14ac:dyDescent="0.3">
      <c r="A68" t="s">
        <v>2758</v>
      </c>
      <c r="B68" s="1" t="s">
        <v>2759</v>
      </c>
      <c r="C68" s="1" t="s">
        <v>7</v>
      </c>
      <c r="D68" s="1" t="s">
        <v>2677</v>
      </c>
      <c r="E68" s="9">
        <v>8288</v>
      </c>
      <c r="F68" s="1" t="str">
        <f>VLOOKUP(D68,Table11[[Name]:[Native]],3,FALSE)</f>
        <v>子洲县</v>
      </c>
      <c r="G68" s="12" t="str">
        <f ca="1">VLOOKUP(F68,Table11[[Native]:[Population4]],5,FALSE)</f>
        <v>榆林市</v>
      </c>
    </row>
    <row r="69" spans="1:7" ht="15.75" thickBot="1" x14ac:dyDescent="0.3">
      <c r="A69" t="s">
        <v>2760</v>
      </c>
      <c r="B69" s="1" t="s">
        <v>2761</v>
      </c>
      <c r="C69" s="1" t="s">
        <v>7</v>
      </c>
      <c r="D69" s="1" t="s">
        <v>2664</v>
      </c>
      <c r="E69" s="9">
        <v>10516</v>
      </c>
      <c r="F69" s="1" t="str">
        <f>VLOOKUP(D69,Table11[[Name]:[Native]],3,FALSE)</f>
        <v>府谷县</v>
      </c>
      <c r="G69" s="12" t="str">
        <f ca="1">VLOOKUP(F69,Table11[[Native]:[Population4]],5,FALSE)</f>
        <v>榆林市</v>
      </c>
    </row>
    <row r="70" spans="1:7" ht="15.75" thickBot="1" x14ac:dyDescent="0.3">
      <c r="A70" t="s">
        <v>2762</v>
      </c>
      <c r="B70" s="1" t="s">
        <v>2763</v>
      </c>
      <c r="C70" s="1" t="s">
        <v>7</v>
      </c>
      <c r="D70" s="1" t="s">
        <v>2671</v>
      </c>
      <c r="E70" s="9">
        <v>4465</v>
      </c>
      <c r="F70" s="1" t="str">
        <f>VLOOKUP(D70,Table11[[Name]:[Native]],3,FALSE)</f>
        <v>靖边县</v>
      </c>
      <c r="G70" s="12" t="str">
        <f ca="1">VLOOKUP(F70,Table11[[Native]:[Population4]],5,FALSE)</f>
        <v>榆林市</v>
      </c>
    </row>
    <row r="71" spans="1:7" ht="15.75" thickBot="1" x14ac:dyDescent="0.3">
      <c r="A71" t="s">
        <v>2764</v>
      </c>
      <c r="B71" s="1" t="s">
        <v>2765</v>
      </c>
      <c r="C71" s="1" t="s">
        <v>11</v>
      </c>
      <c r="D71" s="1" t="s">
        <v>2625</v>
      </c>
      <c r="E71" s="9">
        <v>5813</v>
      </c>
      <c r="F71" s="1" t="str">
        <f>VLOOKUP(D71,Table11[[Name]:[Native]],3,FALSE)</f>
        <v>定边县</v>
      </c>
      <c r="G71" s="12" t="str">
        <f ca="1">VLOOKUP(F71,Table11[[Native]:[Population4]],5,FALSE)</f>
        <v>榆林市</v>
      </c>
    </row>
    <row r="72" spans="1:7" ht="15.75" thickBot="1" x14ac:dyDescent="0.3">
      <c r="A72" t="s">
        <v>2766</v>
      </c>
      <c r="B72" s="1" t="s">
        <v>2767</v>
      </c>
      <c r="C72" s="1" t="s">
        <v>7</v>
      </c>
      <c r="D72" s="1" t="s">
        <v>2661</v>
      </c>
      <c r="E72" s="9">
        <v>2504</v>
      </c>
      <c r="F72" s="1" t="str">
        <f>VLOOKUP(D72,Table11[[Name]:[Native]],3,FALSE)</f>
        <v>神木市</v>
      </c>
      <c r="G72" s="12" t="str">
        <f ca="1">VLOOKUP(F72,Table11[[Native]:[Population4]],5,FALSE)</f>
        <v>榆林市</v>
      </c>
    </row>
    <row r="73" spans="1:7" ht="15.75" thickBot="1" x14ac:dyDescent="0.3">
      <c r="A73" t="s">
        <v>2768</v>
      </c>
      <c r="B73" s="1" t="s">
        <v>2769</v>
      </c>
      <c r="C73" s="1" t="s">
        <v>113</v>
      </c>
      <c r="D73" s="1" t="s">
        <v>2685</v>
      </c>
      <c r="E73" s="9">
        <v>30553</v>
      </c>
      <c r="F73" s="1" t="str">
        <f>VLOOKUP(D73,Table11[[Name]:[Native]],3,FALSE)</f>
        <v>佳县</v>
      </c>
      <c r="G73" s="12" t="str">
        <f ca="1">VLOOKUP(F73,Table11[[Native]:[Population4]],5,FALSE)</f>
        <v>榆林市</v>
      </c>
    </row>
    <row r="74" spans="1:7" ht="15.75" thickBot="1" x14ac:dyDescent="0.3">
      <c r="A74" t="s">
        <v>2770</v>
      </c>
      <c r="B74" s="1" t="s">
        <v>2771</v>
      </c>
      <c r="C74" s="1" t="s">
        <v>11</v>
      </c>
      <c r="D74" s="1" t="s">
        <v>2661</v>
      </c>
      <c r="E74" s="9">
        <v>2758</v>
      </c>
      <c r="F74" s="1" t="str">
        <f>VLOOKUP(D74,Table11[[Name]:[Native]],3,FALSE)</f>
        <v>神木市</v>
      </c>
      <c r="G74" s="12" t="str">
        <f ca="1">VLOOKUP(F74,Table11[[Native]:[Population4]],5,FALSE)</f>
        <v>榆林市</v>
      </c>
    </row>
    <row r="75" spans="1:7" ht="15.75" thickBot="1" x14ac:dyDescent="0.3">
      <c r="A75" t="s">
        <v>2772</v>
      </c>
      <c r="B75" s="1" t="s">
        <v>2773</v>
      </c>
      <c r="C75" s="1" t="s">
        <v>7</v>
      </c>
      <c r="D75" s="1" t="s">
        <v>2682</v>
      </c>
      <c r="E75" s="9">
        <v>15379</v>
      </c>
      <c r="F75" s="1" t="str">
        <f>VLOOKUP(D75,Table11[[Name]:[Native]],3,FALSE)</f>
        <v>清涧县</v>
      </c>
      <c r="G75" s="12" t="str">
        <f ca="1">VLOOKUP(F75,Table11[[Native]:[Population4]],5,FALSE)</f>
        <v>榆林市</v>
      </c>
    </row>
    <row r="76" spans="1:7" ht="15.75" thickBot="1" x14ac:dyDescent="0.3">
      <c r="A76" t="s">
        <v>2774</v>
      </c>
      <c r="B76" s="1" t="s">
        <v>2775</v>
      </c>
      <c r="C76" s="1" t="s">
        <v>11</v>
      </c>
      <c r="D76" s="1" t="s">
        <v>2654</v>
      </c>
      <c r="E76" s="9">
        <v>6196</v>
      </c>
      <c r="F76" s="1" t="str">
        <f>VLOOKUP(D76,Table11[[Name]:[Native]],3,FALSE)</f>
        <v>米脂县</v>
      </c>
      <c r="G76" s="12" t="str">
        <f ca="1">VLOOKUP(F76,Table11[[Native]:[Population4]],5,FALSE)</f>
        <v>榆林市</v>
      </c>
    </row>
    <row r="77" spans="1:7" ht="15.75" thickBot="1" x14ac:dyDescent="0.3">
      <c r="A77" t="s">
        <v>2776</v>
      </c>
      <c r="B77" s="1" t="s">
        <v>2777</v>
      </c>
      <c r="C77" s="1" t="s">
        <v>7</v>
      </c>
      <c r="D77" s="1" t="s">
        <v>2661</v>
      </c>
      <c r="E77" s="9">
        <v>25561</v>
      </c>
      <c r="F77" s="1" t="str">
        <f>VLOOKUP(D77,Table11[[Name]:[Native]],3,FALSE)</f>
        <v>神木市</v>
      </c>
      <c r="G77" s="12" t="str">
        <f ca="1">VLOOKUP(F77,Table11[[Native]:[Population4]],5,FALSE)</f>
        <v>榆林市</v>
      </c>
    </row>
    <row r="78" spans="1:7" ht="15.75" thickBot="1" x14ac:dyDescent="0.3">
      <c r="A78" t="s">
        <v>2778</v>
      </c>
      <c r="B78" s="1" t="s">
        <v>2779</v>
      </c>
      <c r="C78" s="1" t="s">
        <v>7</v>
      </c>
      <c r="D78" s="1" t="s">
        <v>2628</v>
      </c>
      <c r="E78" s="9">
        <v>13672</v>
      </c>
      <c r="F78" s="1" t="str">
        <f>VLOOKUP(D78,Table11[[Name]:[Native]],3,FALSE)</f>
        <v>榆阳区</v>
      </c>
      <c r="G78" s="12" t="str">
        <f ca="1">VLOOKUP(F78,Table11[[Native]:[Population4]],5,FALSE)</f>
        <v>榆林市</v>
      </c>
    </row>
    <row r="79" spans="1:7" ht="15.75" thickBot="1" x14ac:dyDescent="0.3">
      <c r="A79" t="s">
        <v>2780</v>
      </c>
      <c r="B79" s="1" t="s">
        <v>2781</v>
      </c>
      <c r="C79" s="1" t="s">
        <v>7</v>
      </c>
      <c r="D79" s="1" t="s">
        <v>2685</v>
      </c>
      <c r="E79" s="9">
        <v>6904</v>
      </c>
      <c r="F79" s="1" t="str">
        <f>VLOOKUP(D79,Table11[[Name]:[Native]],3,FALSE)</f>
        <v>佳县</v>
      </c>
      <c r="G79" s="12" t="str">
        <f ca="1">VLOOKUP(F79,Table11[[Native]:[Population4]],5,FALSE)</f>
        <v>榆林市</v>
      </c>
    </row>
    <row r="80" spans="1:7" ht="15.75" thickBot="1" x14ac:dyDescent="0.3">
      <c r="A80" t="s">
        <v>2782</v>
      </c>
      <c r="B80" s="1" t="s">
        <v>2783</v>
      </c>
      <c r="C80" s="1" t="s">
        <v>7</v>
      </c>
      <c r="D80" s="1" t="s">
        <v>2625</v>
      </c>
      <c r="E80" s="9">
        <v>11341</v>
      </c>
      <c r="F80" s="1" t="str">
        <f>VLOOKUP(D80,Table11[[Name]:[Native]],3,FALSE)</f>
        <v>定边县</v>
      </c>
      <c r="G80" s="12" t="str">
        <f ca="1">VLOOKUP(F80,Table11[[Native]:[Population4]],5,FALSE)</f>
        <v>榆林市</v>
      </c>
    </row>
    <row r="81" spans="1:7" ht="15.75" thickBot="1" x14ac:dyDescent="0.3">
      <c r="A81" t="s">
        <v>2784</v>
      </c>
      <c r="B81" s="1" t="s">
        <v>2785</v>
      </c>
      <c r="C81" s="1" t="s">
        <v>7</v>
      </c>
      <c r="D81" s="1" t="s">
        <v>2631</v>
      </c>
      <c r="E81" s="9">
        <v>10099</v>
      </c>
      <c r="F81" s="1" t="str">
        <f>VLOOKUP(D81,Table11[[Name]:[Native]],3,FALSE)</f>
        <v>绥德县</v>
      </c>
      <c r="G81" s="12" t="str">
        <f ca="1">VLOOKUP(F81,Table11[[Native]:[Population4]],5,FALSE)</f>
        <v>榆林市</v>
      </c>
    </row>
    <row r="82" spans="1:7" ht="15.75" thickBot="1" x14ac:dyDescent="0.3">
      <c r="A82" t="s">
        <v>2786</v>
      </c>
      <c r="B82" s="1" t="s">
        <v>2787</v>
      </c>
      <c r="C82" s="1" t="s">
        <v>7</v>
      </c>
      <c r="D82" s="1" t="s">
        <v>2685</v>
      </c>
      <c r="E82" s="9">
        <v>19357</v>
      </c>
      <c r="F82" s="1" t="str">
        <f>VLOOKUP(D82,Table11[[Name]:[Native]],3,FALSE)</f>
        <v>佳县</v>
      </c>
      <c r="G82" s="12" t="str">
        <f ca="1">VLOOKUP(F82,Table11[[Native]:[Population4]],5,FALSE)</f>
        <v>榆林市</v>
      </c>
    </row>
    <row r="83" spans="1:7" ht="15.75" thickBot="1" x14ac:dyDescent="0.3">
      <c r="A83" t="s">
        <v>2788</v>
      </c>
      <c r="B83" s="1" t="s">
        <v>2789</v>
      </c>
      <c r="C83" s="1" t="s">
        <v>7</v>
      </c>
      <c r="D83" s="1" t="s">
        <v>2650</v>
      </c>
      <c r="E83" s="9">
        <v>7665</v>
      </c>
      <c r="F83" s="1" t="str">
        <f>VLOOKUP(D83,Table11[[Name]:[Native]],3,FALSE)</f>
        <v>吴堡县</v>
      </c>
      <c r="G83" s="12" t="str">
        <f ca="1">VLOOKUP(F83,Table11[[Native]:[Population4]],5,FALSE)</f>
        <v>榆林市</v>
      </c>
    </row>
    <row r="84" spans="1:7" ht="15.75" thickBot="1" x14ac:dyDescent="0.3">
      <c r="A84" t="s">
        <v>2790</v>
      </c>
      <c r="B84" s="1" t="s">
        <v>2791</v>
      </c>
      <c r="C84" s="1" t="s">
        <v>7</v>
      </c>
      <c r="D84" s="1" t="s">
        <v>2682</v>
      </c>
      <c r="E84" s="9">
        <v>50519</v>
      </c>
      <c r="F84" s="1" t="str">
        <f>VLOOKUP(D84,Table11[[Name]:[Native]],3,FALSE)</f>
        <v>清涧县</v>
      </c>
      <c r="G84" s="12" t="str">
        <f ca="1">VLOOKUP(F84,Table11[[Native]:[Population4]],5,FALSE)</f>
        <v>榆林市</v>
      </c>
    </row>
    <row r="85" spans="1:7" ht="15.75" thickBot="1" x14ac:dyDescent="0.3">
      <c r="A85" t="s">
        <v>2792</v>
      </c>
      <c r="B85" s="1" t="s">
        <v>2793</v>
      </c>
      <c r="C85" s="1" t="s">
        <v>7</v>
      </c>
      <c r="D85" s="1" t="s">
        <v>2661</v>
      </c>
      <c r="E85" s="9">
        <v>4157</v>
      </c>
      <c r="F85" s="1" t="str">
        <f>VLOOKUP(D85,Table11[[Name]:[Native]],3,FALSE)</f>
        <v>神木市</v>
      </c>
      <c r="G85" s="12" t="str">
        <f ca="1">VLOOKUP(F85,Table11[[Native]:[Population4]],5,FALSE)</f>
        <v>榆林市</v>
      </c>
    </row>
    <row r="86" spans="1:7" ht="15.75" thickBot="1" x14ac:dyDescent="0.3">
      <c r="A86" t="s">
        <v>2794</v>
      </c>
      <c r="B86" s="1" t="s">
        <v>2795</v>
      </c>
      <c r="C86" s="1" t="s">
        <v>7</v>
      </c>
      <c r="D86" s="1" t="s">
        <v>2664</v>
      </c>
      <c r="E86" s="9">
        <v>14909</v>
      </c>
      <c r="F86" s="1" t="str">
        <f>VLOOKUP(D86,Table11[[Name]:[Native]],3,FALSE)</f>
        <v>府谷县</v>
      </c>
      <c r="G86" s="12" t="str">
        <f ca="1">VLOOKUP(F86,Table11[[Native]:[Population4]],5,FALSE)</f>
        <v>榆林市</v>
      </c>
    </row>
    <row r="87" spans="1:7" ht="15.75" thickBot="1" x14ac:dyDescent="0.3">
      <c r="A87" t="s">
        <v>2796</v>
      </c>
      <c r="B87" s="1" t="s">
        <v>2797</v>
      </c>
      <c r="C87" s="1" t="s">
        <v>7</v>
      </c>
      <c r="D87" s="1" t="s">
        <v>2677</v>
      </c>
      <c r="E87" s="9">
        <v>9403</v>
      </c>
      <c r="F87" s="1" t="str">
        <f>VLOOKUP(D87,Table11[[Name]:[Native]],3,FALSE)</f>
        <v>子洲县</v>
      </c>
      <c r="G87" s="12" t="str">
        <f ca="1">VLOOKUP(F87,Table11[[Native]:[Population4]],5,FALSE)</f>
        <v>榆林市</v>
      </c>
    </row>
    <row r="88" spans="1:7" ht="15.75" thickBot="1" x14ac:dyDescent="0.3">
      <c r="A88" t="s">
        <v>2798</v>
      </c>
      <c r="B88" s="1" t="s">
        <v>2799</v>
      </c>
      <c r="C88" s="1" t="s">
        <v>7</v>
      </c>
      <c r="D88" s="1" t="s">
        <v>2622</v>
      </c>
      <c r="E88" s="9">
        <v>7792</v>
      </c>
      <c r="F88" s="1" t="str">
        <f>VLOOKUP(D88,Table11[[Name]:[Native]],3,FALSE)</f>
        <v>横山区</v>
      </c>
      <c r="G88" s="12" t="str">
        <f ca="1">VLOOKUP(F88,Table11[[Native]:[Population4]],5,FALSE)</f>
        <v>榆林市</v>
      </c>
    </row>
    <row r="89" spans="1:7" ht="15.75" thickBot="1" x14ac:dyDescent="0.3">
      <c r="A89" t="s">
        <v>2800</v>
      </c>
      <c r="B89" s="1" t="s">
        <v>2801</v>
      </c>
      <c r="C89" s="1" t="s">
        <v>7</v>
      </c>
      <c r="D89" s="1" t="s">
        <v>2682</v>
      </c>
      <c r="E89" s="9">
        <v>7615</v>
      </c>
      <c r="F89" s="1" t="str">
        <f>VLOOKUP(D89,Table11[[Name]:[Native]],3,FALSE)</f>
        <v>清涧县</v>
      </c>
      <c r="G89" s="12" t="str">
        <f ca="1">VLOOKUP(F89,Table11[[Native]:[Population4]],5,FALSE)</f>
        <v>榆林市</v>
      </c>
    </row>
    <row r="90" spans="1:7" ht="15.75" thickBot="1" x14ac:dyDescent="0.3">
      <c r="A90" t="s">
        <v>2802</v>
      </c>
      <c r="B90" s="1" t="s">
        <v>2803</v>
      </c>
      <c r="C90" s="1" t="s">
        <v>11</v>
      </c>
      <c r="D90" s="1" t="s">
        <v>2654</v>
      </c>
      <c r="E90" s="9">
        <v>3469</v>
      </c>
      <c r="F90" s="1" t="str">
        <f>VLOOKUP(D90,Table11[[Name]:[Native]],3,FALSE)</f>
        <v>米脂县</v>
      </c>
      <c r="G90" s="12" t="str">
        <f ca="1">VLOOKUP(F90,Table11[[Native]:[Population4]],5,FALSE)</f>
        <v>榆林市</v>
      </c>
    </row>
    <row r="91" spans="1:7" ht="15.75" thickBot="1" x14ac:dyDescent="0.3">
      <c r="A91" t="s">
        <v>2804</v>
      </c>
      <c r="B91" s="1" t="s">
        <v>2805</v>
      </c>
      <c r="C91" s="1" t="s">
        <v>7</v>
      </c>
      <c r="D91" s="1" t="s">
        <v>2685</v>
      </c>
      <c r="E91" s="9">
        <v>16929</v>
      </c>
      <c r="F91" s="1" t="str">
        <f>VLOOKUP(D91,Table11[[Name]:[Native]],3,FALSE)</f>
        <v>佳县</v>
      </c>
      <c r="G91" s="12" t="str">
        <f ca="1">VLOOKUP(F91,Table11[[Native]:[Population4]],5,FALSE)</f>
        <v>榆林市</v>
      </c>
    </row>
    <row r="92" spans="1:7" ht="15.75" thickBot="1" x14ac:dyDescent="0.3">
      <c r="A92" t="s">
        <v>2806</v>
      </c>
      <c r="B92" s="1" t="s">
        <v>2807</v>
      </c>
      <c r="C92" s="1" t="s">
        <v>11</v>
      </c>
      <c r="D92" s="1" t="s">
        <v>2677</v>
      </c>
      <c r="E92" s="9">
        <v>3381</v>
      </c>
      <c r="F92" s="1" t="str">
        <f>VLOOKUP(D92,Table11[[Name]:[Native]],3,FALSE)</f>
        <v>子洲县</v>
      </c>
      <c r="G92" s="12" t="str">
        <f ca="1">VLOOKUP(F92,Table11[[Native]:[Population4]],5,FALSE)</f>
        <v>榆林市</v>
      </c>
    </row>
    <row r="93" spans="1:7" ht="15.75" thickBot="1" x14ac:dyDescent="0.3">
      <c r="A93" t="s">
        <v>2808</v>
      </c>
      <c r="B93" s="1" t="s">
        <v>2809</v>
      </c>
      <c r="C93" s="1" t="s">
        <v>7</v>
      </c>
      <c r="D93" s="1" t="s">
        <v>2654</v>
      </c>
      <c r="E93" s="9">
        <v>11365</v>
      </c>
      <c r="F93" s="1" t="str">
        <f>VLOOKUP(D93,Table11[[Name]:[Native]],3,FALSE)</f>
        <v>米脂县</v>
      </c>
      <c r="G93" s="12" t="str">
        <f ca="1">VLOOKUP(F93,Table11[[Native]:[Population4]],5,FALSE)</f>
        <v>榆林市</v>
      </c>
    </row>
    <row r="94" spans="1:7" ht="15.75" thickBot="1" x14ac:dyDescent="0.3">
      <c r="A94" t="s">
        <v>2810</v>
      </c>
      <c r="B94" s="1" t="s">
        <v>2811</v>
      </c>
      <c r="C94" s="1" t="s">
        <v>7</v>
      </c>
      <c r="D94" s="1" t="s">
        <v>2671</v>
      </c>
      <c r="E94" s="9">
        <v>5572</v>
      </c>
      <c r="F94" s="1" t="str">
        <f>VLOOKUP(D94,Table11[[Name]:[Native]],3,FALSE)</f>
        <v>靖边县</v>
      </c>
      <c r="G94" s="12" t="str">
        <f ca="1">VLOOKUP(F94,Table11[[Native]:[Population4]],5,FALSE)</f>
        <v>榆林市</v>
      </c>
    </row>
    <row r="95" spans="1:7" ht="15.75" thickBot="1" x14ac:dyDescent="0.3">
      <c r="A95" t="s">
        <v>2812</v>
      </c>
      <c r="B95" s="1" t="s">
        <v>2813</v>
      </c>
      <c r="C95" s="1" t="s">
        <v>7</v>
      </c>
      <c r="D95" s="1" t="s">
        <v>2677</v>
      </c>
      <c r="E95" s="9">
        <v>15128</v>
      </c>
      <c r="F95" s="1" t="str">
        <f>VLOOKUP(D95,Table11[[Name]:[Native]],3,FALSE)</f>
        <v>子洲县</v>
      </c>
      <c r="G95" s="12" t="str">
        <f ca="1">VLOOKUP(F95,Table11[[Native]:[Population4]],5,FALSE)</f>
        <v>榆林市</v>
      </c>
    </row>
    <row r="96" spans="1:7" ht="15.75" thickBot="1" x14ac:dyDescent="0.3">
      <c r="A96" t="s">
        <v>2814</v>
      </c>
      <c r="B96" s="1" t="s">
        <v>2815</v>
      </c>
      <c r="C96" s="1" t="s">
        <v>7</v>
      </c>
      <c r="D96" s="1" t="s">
        <v>2628</v>
      </c>
      <c r="E96" s="9">
        <v>9435</v>
      </c>
      <c r="F96" s="1" t="str">
        <f>VLOOKUP(D96,Table11[[Name]:[Native]],3,FALSE)</f>
        <v>榆阳区</v>
      </c>
      <c r="G96" s="12" t="str">
        <f ca="1">VLOOKUP(F96,Table11[[Native]:[Population4]],5,FALSE)</f>
        <v>榆林市</v>
      </c>
    </row>
    <row r="97" spans="1:7" ht="15.75" thickBot="1" x14ac:dyDescent="0.3">
      <c r="A97" t="s">
        <v>2816</v>
      </c>
      <c r="B97" s="1" t="s">
        <v>2817</v>
      </c>
      <c r="C97" s="1" t="s">
        <v>7</v>
      </c>
      <c r="D97" s="1" t="s">
        <v>2628</v>
      </c>
      <c r="E97" s="9">
        <v>9136</v>
      </c>
      <c r="F97" s="1" t="str">
        <f>VLOOKUP(D97,Table11[[Name]:[Native]],3,FALSE)</f>
        <v>榆阳区</v>
      </c>
      <c r="G97" s="12" t="str">
        <f ca="1">VLOOKUP(F97,Table11[[Native]:[Population4]],5,FALSE)</f>
        <v>榆林市</v>
      </c>
    </row>
    <row r="98" spans="1:7" ht="15.75" thickBot="1" x14ac:dyDescent="0.3">
      <c r="A98" t="s">
        <v>2818</v>
      </c>
      <c r="B98" s="1" t="s">
        <v>2819</v>
      </c>
      <c r="C98" s="1" t="s">
        <v>11</v>
      </c>
      <c r="D98" s="1" t="s">
        <v>2631</v>
      </c>
      <c r="E98" s="9">
        <v>6738</v>
      </c>
      <c r="F98" s="1" t="str">
        <f>VLOOKUP(D98,Table11[[Name]:[Native]],3,FALSE)</f>
        <v>绥德县</v>
      </c>
      <c r="G98" s="12" t="str">
        <f ca="1">VLOOKUP(F98,Table11[[Native]:[Population4]],5,FALSE)</f>
        <v>榆林市</v>
      </c>
    </row>
    <row r="99" spans="1:7" ht="15.75" thickBot="1" x14ac:dyDescent="0.3">
      <c r="A99" t="s">
        <v>2820</v>
      </c>
      <c r="B99" s="1" t="s">
        <v>2821</v>
      </c>
      <c r="C99" s="1" t="s">
        <v>11</v>
      </c>
      <c r="D99" s="1" t="s">
        <v>2661</v>
      </c>
      <c r="E99" s="9">
        <v>30563</v>
      </c>
      <c r="F99" s="1" t="str">
        <f>VLOOKUP(D99,Table11[[Name]:[Native]],3,FALSE)</f>
        <v>神木市</v>
      </c>
      <c r="G99" s="12" t="str">
        <f ca="1">VLOOKUP(F99,Table11[[Native]:[Population4]],5,FALSE)</f>
        <v>榆林市</v>
      </c>
    </row>
    <row r="100" spans="1:7" ht="15.75" thickBot="1" x14ac:dyDescent="0.3">
      <c r="A100" t="s">
        <v>2822</v>
      </c>
      <c r="B100" s="1" t="s">
        <v>2823</v>
      </c>
      <c r="C100" s="1" t="s">
        <v>7</v>
      </c>
      <c r="D100" s="1" t="s">
        <v>2631</v>
      </c>
      <c r="E100" s="9">
        <v>17750</v>
      </c>
      <c r="F100" s="1" t="str">
        <f>VLOOKUP(D100,Table11[[Name]:[Native]],3,FALSE)</f>
        <v>绥德县</v>
      </c>
      <c r="G100" s="12" t="str">
        <f ca="1">VLOOKUP(F100,Table11[[Native]:[Population4]],5,FALSE)</f>
        <v>榆林市</v>
      </c>
    </row>
    <row r="101" spans="1:7" ht="15.75" thickBot="1" x14ac:dyDescent="0.3">
      <c r="A101" t="s">
        <v>2824</v>
      </c>
      <c r="B101" s="1" t="s">
        <v>2825</v>
      </c>
      <c r="C101" s="1" t="s">
        <v>7</v>
      </c>
      <c r="D101" s="1" t="s">
        <v>2677</v>
      </c>
      <c r="E101" s="9">
        <v>13895</v>
      </c>
      <c r="F101" s="1" t="str">
        <f>VLOOKUP(D101,Table11[[Name]:[Native]],3,FALSE)</f>
        <v>子洲县</v>
      </c>
      <c r="G101" s="12" t="str">
        <f ca="1">VLOOKUP(F101,Table11[[Native]:[Population4]],5,FALSE)</f>
        <v>榆林市</v>
      </c>
    </row>
    <row r="102" spans="1:7" ht="15.75" thickBot="1" x14ac:dyDescent="0.3">
      <c r="A102" t="s">
        <v>2826</v>
      </c>
      <c r="B102" s="1" t="s">
        <v>2827</v>
      </c>
      <c r="C102" s="1" t="s">
        <v>7</v>
      </c>
      <c r="D102" s="1" t="s">
        <v>2661</v>
      </c>
      <c r="E102" s="9">
        <v>4605</v>
      </c>
      <c r="F102" s="1" t="str">
        <f>VLOOKUP(D102,Table11[[Name]:[Native]],3,FALSE)</f>
        <v>神木市</v>
      </c>
      <c r="G102" s="12" t="str">
        <f ca="1">VLOOKUP(F102,Table11[[Native]:[Population4]],5,FALSE)</f>
        <v>榆林市</v>
      </c>
    </row>
    <row r="103" spans="1:7" ht="15.75" thickBot="1" x14ac:dyDescent="0.3">
      <c r="A103" t="s">
        <v>2828</v>
      </c>
      <c r="B103" s="1" t="s">
        <v>2829</v>
      </c>
      <c r="C103" s="1" t="s">
        <v>11</v>
      </c>
      <c r="D103" s="1" t="s">
        <v>2628</v>
      </c>
      <c r="E103" s="9">
        <v>11186</v>
      </c>
      <c r="F103" s="1" t="str">
        <f>VLOOKUP(D103,Table11[[Name]:[Native]],3,FALSE)</f>
        <v>榆阳区</v>
      </c>
      <c r="G103" s="12" t="str">
        <f ca="1">VLOOKUP(F103,Table11[[Native]:[Population4]],5,FALSE)</f>
        <v>榆林市</v>
      </c>
    </row>
    <row r="104" spans="1:7" ht="15.75" thickBot="1" x14ac:dyDescent="0.3">
      <c r="A104" t="s">
        <v>2830</v>
      </c>
      <c r="B104" s="1" t="s">
        <v>2831</v>
      </c>
      <c r="C104" s="1" t="s">
        <v>7</v>
      </c>
      <c r="D104" s="1" t="s">
        <v>2664</v>
      </c>
      <c r="E104" s="9">
        <v>16149</v>
      </c>
      <c r="F104" s="1" t="str">
        <f>VLOOKUP(D104,Table11[[Name]:[Native]],3,FALSE)</f>
        <v>府谷县</v>
      </c>
      <c r="G104" s="12" t="str">
        <f ca="1">VLOOKUP(F104,Table11[[Native]:[Population4]],5,FALSE)</f>
        <v>榆林市</v>
      </c>
    </row>
    <row r="105" spans="1:7" ht="15.75" thickBot="1" x14ac:dyDescent="0.3">
      <c r="A105" t="s">
        <v>2832</v>
      </c>
      <c r="B105" s="1" t="s">
        <v>2833</v>
      </c>
      <c r="C105" s="1" t="s">
        <v>7</v>
      </c>
      <c r="D105" s="1" t="s">
        <v>2677</v>
      </c>
      <c r="E105" s="9">
        <v>17689</v>
      </c>
      <c r="F105" s="1" t="str">
        <f>VLOOKUP(D105,Table11[[Name]:[Native]],3,FALSE)</f>
        <v>子洲县</v>
      </c>
      <c r="G105" s="12" t="str">
        <f ca="1">VLOOKUP(F105,Table11[[Native]:[Population4]],5,FALSE)</f>
        <v>榆林市</v>
      </c>
    </row>
    <row r="106" spans="1:7" ht="15.75" thickBot="1" x14ac:dyDescent="0.3">
      <c r="A106" t="s">
        <v>2834</v>
      </c>
      <c r="B106" s="1" t="s">
        <v>2835</v>
      </c>
      <c r="C106" s="1" t="s">
        <v>7</v>
      </c>
      <c r="D106" s="1" t="s">
        <v>2631</v>
      </c>
      <c r="E106" s="9">
        <v>62842</v>
      </c>
      <c r="F106" s="1" t="str">
        <f>VLOOKUP(D106,Table11[[Name]:[Native]],3,FALSE)</f>
        <v>绥德县</v>
      </c>
      <c r="G106" s="12" t="str">
        <f ca="1">VLOOKUP(F106,Table11[[Native]:[Population4]],5,FALSE)</f>
        <v>榆林市</v>
      </c>
    </row>
    <row r="107" spans="1:7" ht="15.75" thickBot="1" x14ac:dyDescent="0.3">
      <c r="A107" t="s">
        <v>2836</v>
      </c>
      <c r="B107" s="1" t="s">
        <v>2837</v>
      </c>
      <c r="C107" s="1" t="s">
        <v>7</v>
      </c>
      <c r="D107" s="1" t="s">
        <v>2664</v>
      </c>
      <c r="E107" s="9">
        <v>4063</v>
      </c>
      <c r="F107" s="1" t="str">
        <f>VLOOKUP(D107,Table11[[Name]:[Native]],3,FALSE)</f>
        <v>府谷县</v>
      </c>
      <c r="G107" s="12" t="str">
        <f ca="1">VLOOKUP(F107,Table11[[Native]:[Population4]],5,FALSE)</f>
        <v>榆林市</v>
      </c>
    </row>
    <row r="108" spans="1:7" ht="15.75" thickBot="1" x14ac:dyDescent="0.3">
      <c r="A108" t="s">
        <v>2838</v>
      </c>
      <c r="B108" s="1" t="s">
        <v>2839</v>
      </c>
      <c r="C108" s="1" t="s">
        <v>7</v>
      </c>
      <c r="D108" s="1" t="s">
        <v>2685</v>
      </c>
      <c r="E108" s="9">
        <v>8734</v>
      </c>
      <c r="F108" s="1" t="str">
        <f>VLOOKUP(D108,Table11[[Name]:[Native]],3,FALSE)</f>
        <v>佳县</v>
      </c>
      <c r="G108" s="12" t="str">
        <f ca="1">VLOOKUP(F108,Table11[[Native]:[Population4]],5,FALSE)</f>
        <v>榆林市</v>
      </c>
    </row>
    <row r="109" spans="1:7" ht="15.75" thickBot="1" x14ac:dyDescent="0.3">
      <c r="A109" t="s">
        <v>2840</v>
      </c>
      <c r="B109" s="1" t="s">
        <v>2841</v>
      </c>
      <c r="C109" s="1" t="s">
        <v>11</v>
      </c>
      <c r="D109" s="1" t="s">
        <v>2622</v>
      </c>
      <c r="E109" s="9">
        <v>8644</v>
      </c>
      <c r="F109" s="1" t="str">
        <f>VLOOKUP(D109,Table11[[Name]:[Native]],3,FALSE)</f>
        <v>横山区</v>
      </c>
      <c r="G109" s="12" t="str">
        <f ca="1">VLOOKUP(F109,Table11[[Native]:[Population4]],5,FALSE)</f>
        <v>榆林市</v>
      </c>
    </row>
    <row r="110" spans="1:7" ht="15.75" thickBot="1" x14ac:dyDescent="0.3">
      <c r="A110" t="s">
        <v>2842</v>
      </c>
      <c r="B110" s="1" t="s">
        <v>2843</v>
      </c>
      <c r="C110" s="1" t="s">
        <v>7</v>
      </c>
      <c r="D110" s="1" t="s">
        <v>2671</v>
      </c>
      <c r="E110" s="9">
        <v>17542</v>
      </c>
      <c r="F110" s="1" t="str">
        <f>VLOOKUP(D110,Table11[[Name]:[Native]],3,FALSE)</f>
        <v>靖边县</v>
      </c>
      <c r="G110" s="12" t="str">
        <f ca="1">VLOOKUP(F110,Table11[[Native]:[Population4]],5,FALSE)</f>
        <v>榆林市</v>
      </c>
    </row>
    <row r="111" spans="1:7" ht="15.75" thickBot="1" x14ac:dyDescent="0.3">
      <c r="A111" t="s">
        <v>2844</v>
      </c>
      <c r="B111" s="1" t="s">
        <v>2845</v>
      </c>
      <c r="C111" s="1" t="s">
        <v>7</v>
      </c>
      <c r="D111" s="1" t="s">
        <v>2628</v>
      </c>
      <c r="E111" s="9">
        <v>17352</v>
      </c>
      <c r="F111" s="1" t="str">
        <f>VLOOKUP(D111,Table11[[Name]:[Native]],3,FALSE)</f>
        <v>榆阳区</v>
      </c>
      <c r="G111" s="12" t="str">
        <f ca="1">VLOOKUP(F111,Table11[[Native]:[Population4]],5,FALSE)</f>
        <v>榆林市</v>
      </c>
    </row>
    <row r="112" spans="1:7" ht="15.75" thickBot="1" x14ac:dyDescent="0.3">
      <c r="A112" t="s">
        <v>2846</v>
      </c>
      <c r="B112" s="1" t="s">
        <v>2847</v>
      </c>
      <c r="C112" s="1" t="s">
        <v>7</v>
      </c>
      <c r="D112" s="1" t="s">
        <v>2677</v>
      </c>
      <c r="E112" s="9">
        <v>9402</v>
      </c>
      <c r="F112" s="1" t="str">
        <f>VLOOKUP(D112,Table11[[Name]:[Native]],3,FALSE)</f>
        <v>子洲县</v>
      </c>
      <c r="G112" s="12" t="str">
        <f ca="1">VLOOKUP(F112,Table11[[Native]:[Population4]],5,FALSE)</f>
        <v>榆林市</v>
      </c>
    </row>
    <row r="113" spans="1:7" ht="15.75" thickBot="1" x14ac:dyDescent="0.3">
      <c r="A113" t="s">
        <v>2848</v>
      </c>
      <c r="B113" s="1" t="s">
        <v>2849</v>
      </c>
      <c r="C113" s="1" t="s">
        <v>11</v>
      </c>
      <c r="D113" s="1" t="s">
        <v>2664</v>
      </c>
      <c r="E113" s="9">
        <v>2397</v>
      </c>
      <c r="F113" s="1" t="str">
        <f>VLOOKUP(D113,Table11[[Name]:[Native]],3,FALSE)</f>
        <v>府谷县</v>
      </c>
      <c r="G113" s="12" t="str">
        <f ca="1">VLOOKUP(F113,Table11[[Native]:[Population4]],5,FALSE)</f>
        <v>榆林市</v>
      </c>
    </row>
    <row r="114" spans="1:7" ht="15.75" thickBot="1" x14ac:dyDescent="0.3">
      <c r="A114" s="1" t="s">
        <v>2850</v>
      </c>
      <c r="B114" s="1" t="s">
        <v>2851</v>
      </c>
      <c r="C114" s="1" t="s">
        <v>11</v>
      </c>
      <c r="D114" s="1" t="s">
        <v>2664</v>
      </c>
      <c r="E114" s="9">
        <v>4608</v>
      </c>
      <c r="F114" s="1" t="str">
        <f>VLOOKUP(D114,Table11[[Name]:[Native]],3,FALSE)</f>
        <v>府谷县</v>
      </c>
      <c r="G114" s="12" t="str">
        <f ca="1">VLOOKUP(F114,Table11[[Native]:[Population4]],5,FALSE)</f>
        <v>榆林市</v>
      </c>
    </row>
    <row r="115" spans="1:7" ht="15.75" thickBot="1" x14ac:dyDescent="0.3">
      <c r="A115" t="s">
        <v>2852</v>
      </c>
      <c r="B115" s="1" t="s">
        <v>2853</v>
      </c>
      <c r="C115" s="1" t="s">
        <v>113</v>
      </c>
      <c r="D115" s="1" t="s">
        <v>2628</v>
      </c>
      <c r="E115" s="9">
        <v>55019</v>
      </c>
      <c r="F115" s="1" t="str">
        <f>VLOOKUP(D115,Table11[[Name]:[Native]],3,FALSE)</f>
        <v>榆阳区</v>
      </c>
      <c r="G115" s="12" t="str">
        <f ca="1">VLOOKUP(F115,Table11[[Native]:[Population4]],5,FALSE)</f>
        <v>榆林市</v>
      </c>
    </row>
    <row r="116" spans="1:7" ht="15.75" thickBot="1" x14ac:dyDescent="0.3">
      <c r="A116" t="s">
        <v>861</v>
      </c>
      <c r="B116" s="1" t="s">
        <v>2854</v>
      </c>
      <c r="C116" s="1" t="s">
        <v>7</v>
      </c>
      <c r="D116" s="1" t="s">
        <v>2664</v>
      </c>
      <c r="E116" s="9">
        <v>5279</v>
      </c>
      <c r="F116" s="1" t="str">
        <f>VLOOKUP(D116,Table11[[Name]:[Native]],3,FALSE)</f>
        <v>府谷县</v>
      </c>
      <c r="G116" s="12" t="str">
        <f ca="1">VLOOKUP(F116,Table11[[Native]:[Population4]],5,FALSE)</f>
        <v>榆林市</v>
      </c>
    </row>
    <row r="117" spans="1:7" ht="15.75" thickBot="1" x14ac:dyDescent="0.3">
      <c r="A117" t="s">
        <v>2855</v>
      </c>
      <c r="B117" s="1" t="s">
        <v>2856</v>
      </c>
      <c r="C117" s="1" t="s">
        <v>7</v>
      </c>
      <c r="D117" s="1" t="s">
        <v>2671</v>
      </c>
      <c r="E117" s="9">
        <v>8181</v>
      </c>
      <c r="F117" s="1" t="str">
        <f>VLOOKUP(D117,Table11[[Name]:[Native]],3,FALSE)</f>
        <v>靖边县</v>
      </c>
      <c r="G117" s="12" t="str">
        <f ca="1">VLOOKUP(F117,Table11[[Native]:[Population4]],5,FALSE)</f>
        <v>榆林市</v>
      </c>
    </row>
    <row r="118" spans="1:7" ht="15.75" thickBot="1" x14ac:dyDescent="0.3">
      <c r="A118" t="s">
        <v>2857</v>
      </c>
      <c r="B118" s="1" t="s">
        <v>2858</v>
      </c>
      <c r="C118" s="1" t="s">
        <v>7</v>
      </c>
      <c r="D118" s="1" t="s">
        <v>2628</v>
      </c>
      <c r="E118" s="9">
        <v>15428</v>
      </c>
      <c r="F118" s="1" t="str">
        <f>VLOOKUP(D118,Table11[[Name]:[Native]],3,FALSE)</f>
        <v>榆阳区</v>
      </c>
      <c r="G118" s="12" t="str">
        <f ca="1">VLOOKUP(F118,Table11[[Native]:[Population4]],5,FALSE)</f>
        <v>榆林市</v>
      </c>
    </row>
    <row r="119" spans="1:7" ht="15.75" thickBot="1" x14ac:dyDescent="0.3">
      <c r="A119" t="s">
        <v>2859</v>
      </c>
      <c r="B119" s="1" t="s">
        <v>2860</v>
      </c>
      <c r="C119" s="1" t="s">
        <v>7</v>
      </c>
      <c r="D119" s="1" t="s">
        <v>2628</v>
      </c>
      <c r="E119" s="9">
        <v>16724</v>
      </c>
      <c r="F119" s="1" t="str">
        <f>VLOOKUP(D119,Table11[[Name]:[Native]],3,FALSE)</f>
        <v>榆阳区</v>
      </c>
      <c r="G119" s="12" t="str">
        <f ca="1">VLOOKUP(F119,Table11[[Native]:[Population4]],5,FALSE)</f>
        <v>榆林市</v>
      </c>
    </row>
    <row r="120" spans="1:7" ht="15.75" thickBot="1" x14ac:dyDescent="0.3">
      <c r="A120" t="s">
        <v>2861</v>
      </c>
      <c r="B120" s="1" t="s">
        <v>2862</v>
      </c>
      <c r="C120" s="1" t="s">
        <v>7</v>
      </c>
      <c r="D120" s="1" t="s">
        <v>2677</v>
      </c>
      <c r="E120" s="9">
        <v>9165</v>
      </c>
      <c r="F120" s="1" t="str">
        <f>VLOOKUP(D120,Table11[[Name]:[Native]],3,FALSE)</f>
        <v>子洲县</v>
      </c>
      <c r="G120" s="12" t="str">
        <f ca="1">VLOOKUP(F120,Table11[[Native]:[Population4]],5,FALSE)</f>
        <v>榆林市</v>
      </c>
    </row>
    <row r="121" spans="1:7" ht="15.75" thickBot="1" x14ac:dyDescent="0.3">
      <c r="A121" t="s">
        <v>2863</v>
      </c>
      <c r="B121" s="1" t="s">
        <v>2864</v>
      </c>
      <c r="C121" s="1" t="s">
        <v>7</v>
      </c>
      <c r="D121" s="1" t="s">
        <v>2664</v>
      </c>
      <c r="E121" s="9">
        <v>12137</v>
      </c>
      <c r="F121" s="1" t="str">
        <f>VLOOKUP(D121,Table11[[Name]:[Native]],3,FALSE)</f>
        <v>府谷县</v>
      </c>
      <c r="G121" s="12" t="str">
        <f ca="1">VLOOKUP(F121,Table11[[Native]:[Population4]],5,FALSE)</f>
        <v>榆林市</v>
      </c>
    </row>
    <row r="122" spans="1:7" ht="15.75" thickBot="1" x14ac:dyDescent="0.3">
      <c r="A122" t="s">
        <v>2865</v>
      </c>
      <c r="B122" s="1" t="s">
        <v>2866</v>
      </c>
      <c r="C122" s="1" t="s">
        <v>7</v>
      </c>
      <c r="D122" s="1" t="s">
        <v>2654</v>
      </c>
      <c r="E122" s="9">
        <v>7727</v>
      </c>
      <c r="F122" s="1" t="str">
        <f>VLOOKUP(D122,Table11[[Name]:[Native]],3,FALSE)</f>
        <v>米脂县</v>
      </c>
      <c r="G122" s="12" t="str">
        <f ca="1">VLOOKUP(F122,Table11[[Native]:[Population4]],5,FALSE)</f>
        <v>榆林市</v>
      </c>
    </row>
    <row r="123" spans="1:7" ht="15.75" thickBot="1" x14ac:dyDescent="0.3">
      <c r="A123" t="s">
        <v>2867</v>
      </c>
      <c r="B123" s="1" t="s">
        <v>2868</v>
      </c>
      <c r="C123" s="1" t="s">
        <v>7</v>
      </c>
      <c r="D123" s="1" t="s">
        <v>2661</v>
      </c>
      <c r="E123" s="9">
        <v>5517</v>
      </c>
      <c r="F123" s="1" t="str">
        <f>VLOOKUP(D123,Table11[[Name]:[Native]],3,FALSE)</f>
        <v>神木市</v>
      </c>
      <c r="G123" s="12" t="str">
        <f ca="1">VLOOKUP(F123,Table11[[Native]:[Population4]],5,FALSE)</f>
        <v>榆林市</v>
      </c>
    </row>
    <row r="124" spans="1:7" ht="15.75" thickBot="1" x14ac:dyDescent="0.3">
      <c r="A124" t="s">
        <v>2869</v>
      </c>
      <c r="B124" s="1" t="s">
        <v>2870</v>
      </c>
      <c r="C124" s="1" t="s">
        <v>113</v>
      </c>
      <c r="D124" s="1" t="s">
        <v>2628</v>
      </c>
      <c r="E124" s="9">
        <v>60304</v>
      </c>
      <c r="F124" s="1" t="str">
        <f>VLOOKUP(D124,Table11[[Name]:[Native]],3,FALSE)</f>
        <v>榆阳区</v>
      </c>
      <c r="G124" s="12" t="str">
        <f ca="1">VLOOKUP(F124,Table11[[Native]:[Population4]],5,FALSE)</f>
        <v>榆林市</v>
      </c>
    </row>
    <row r="125" spans="1:7" ht="15.75" thickBot="1" x14ac:dyDescent="0.3">
      <c r="A125" t="s">
        <v>2871</v>
      </c>
      <c r="B125" s="1" t="s">
        <v>2872</v>
      </c>
      <c r="C125" s="1" t="s">
        <v>7</v>
      </c>
      <c r="D125" s="1" t="s">
        <v>2628</v>
      </c>
      <c r="E125" s="9">
        <v>11499</v>
      </c>
      <c r="F125" s="1" t="str">
        <f>VLOOKUP(D125,Table11[[Name]:[Native]],3,FALSE)</f>
        <v>榆阳区</v>
      </c>
      <c r="G125" s="12" t="str">
        <f ca="1">VLOOKUP(F125,Table11[[Native]:[Population4]],5,FALSE)</f>
        <v>榆林市</v>
      </c>
    </row>
    <row r="126" spans="1:7" ht="15.75" thickBot="1" x14ac:dyDescent="0.3">
      <c r="A126" t="s">
        <v>2873</v>
      </c>
      <c r="B126" s="1" t="s">
        <v>2874</v>
      </c>
      <c r="C126" s="1" t="s">
        <v>7</v>
      </c>
      <c r="D126" s="1" t="s">
        <v>2661</v>
      </c>
      <c r="E126" s="9">
        <v>204525</v>
      </c>
      <c r="F126" s="1" t="str">
        <f>VLOOKUP(D126,Table11[[Name]:[Native]],3,FALSE)</f>
        <v>神木市</v>
      </c>
      <c r="G126" s="12" t="str">
        <f ca="1">VLOOKUP(F126,Table11[[Native]:[Population4]],5,FALSE)</f>
        <v>榆林市</v>
      </c>
    </row>
    <row r="127" spans="1:7" ht="15.75" thickBot="1" x14ac:dyDescent="0.3">
      <c r="A127" t="s">
        <v>2875</v>
      </c>
      <c r="B127" s="1" t="s">
        <v>2876</v>
      </c>
      <c r="C127" s="1" t="s">
        <v>7</v>
      </c>
      <c r="D127" s="1" t="s">
        <v>2625</v>
      </c>
      <c r="E127" s="9">
        <v>11437</v>
      </c>
      <c r="F127" s="1" t="str">
        <f>VLOOKUP(D127,Table11[[Name]:[Native]],3,FALSE)</f>
        <v>定边县</v>
      </c>
      <c r="G127" s="12" t="str">
        <f ca="1">VLOOKUP(F127,Table11[[Native]:[Population4]],5,FALSE)</f>
        <v>榆林市</v>
      </c>
    </row>
    <row r="128" spans="1:7" ht="15.75" thickBot="1" x14ac:dyDescent="0.3">
      <c r="A128" t="s">
        <v>2877</v>
      </c>
      <c r="B128" s="1" t="s">
        <v>2878</v>
      </c>
      <c r="C128" s="1" t="s">
        <v>7</v>
      </c>
      <c r="D128" s="1" t="s">
        <v>2631</v>
      </c>
      <c r="E128" s="9">
        <v>14214</v>
      </c>
      <c r="F128" s="1" t="str">
        <f>VLOOKUP(D128,Table11[[Name]:[Native]],3,FALSE)</f>
        <v>绥德县</v>
      </c>
      <c r="G128" s="12" t="str">
        <f ca="1">VLOOKUP(F128,Table11[[Native]:[Population4]],5,FALSE)</f>
        <v>榆林市</v>
      </c>
    </row>
    <row r="129" spans="1:7" ht="15.75" thickBot="1" x14ac:dyDescent="0.3">
      <c r="A129" t="s">
        <v>2879</v>
      </c>
      <c r="B129" s="1" t="s">
        <v>2880</v>
      </c>
      <c r="C129" s="1" t="s">
        <v>7</v>
      </c>
      <c r="D129" s="1" t="s">
        <v>2682</v>
      </c>
      <c r="E129" s="9">
        <v>7341</v>
      </c>
      <c r="F129" s="1" t="str">
        <f>VLOOKUP(D129,Table11[[Name]:[Native]],3,FALSE)</f>
        <v>清涧县</v>
      </c>
      <c r="G129" s="12" t="str">
        <f ca="1">VLOOKUP(F129,Table11[[Native]:[Population4]],5,FALSE)</f>
        <v>榆林市</v>
      </c>
    </row>
    <row r="130" spans="1:7" ht="15.75" thickBot="1" x14ac:dyDescent="0.3">
      <c r="A130" t="s">
        <v>2881</v>
      </c>
      <c r="B130" s="1" t="s">
        <v>2882</v>
      </c>
      <c r="C130" s="1" t="s">
        <v>7</v>
      </c>
      <c r="D130" s="1" t="s">
        <v>2622</v>
      </c>
      <c r="E130" s="9">
        <v>12942</v>
      </c>
      <c r="F130" s="1" t="str">
        <f>VLOOKUP(D130,Table11[[Name]:[Native]],3,FALSE)</f>
        <v>横山区</v>
      </c>
      <c r="G130" s="12" t="str">
        <f ca="1">VLOOKUP(F130,Table11[[Native]:[Population4]],5,FALSE)</f>
        <v>榆林市</v>
      </c>
    </row>
    <row r="131" spans="1:7" ht="15.75" thickBot="1" x14ac:dyDescent="0.3">
      <c r="A131" t="s">
        <v>2883</v>
      </c>
      <c r="B131" s="1" t="s">
        <v>2884</v>
      </c>
      <c r="C131" s="1" t="s">
        <v>11</v>
      </c>
      <c r="D131" s="1" t="s">
        <v>2622</v>
      </c>
      <c r="E131" s="9">
        <v>8923</v>
      </c>
      <c r="F131" s="1" t="str">
        <f>VLOOKUP(D131,Table11[[Name]:[Native]],3,FALSE)</f>
        <v>横山区</v>
      </c>
      <c r="G131" s="12" t="str">
        <f ca="1">VLOOKUP(F131,Table11[[Native]:[Population4]],5,FALSE)</f>
        <v>榆林市</v>
      </c>
    </row>
    <row r="132" spans="1:7" ht="15.75" thickBot="1" x14ac:dyDescent="0.3">
      <c r="A132" t="s">
        <v>2885</v>
      </c>
      <c r="B132" s="1" t="s">
        <v>2886</v>
      </c>
      <c r="C132" s="1" t="s">
        <v>11</v>
      </c>
      <c r="D132" s="1" t="s">
        <v>2622</v>
      </c>
      <c r="E132" s="9">
        <v>4335</v>
      </c>
      <c r="F132" s="1" t="str">
        <f>VLOOKUP(D132,Table11[[Name]:[Native]],3,FALSE)</f>
        <v>横山区</v>
      </c>
      <c r="G132" s="12" t="str">
        <f ca="1">VLOOKUP(F132,Table11[[Native]:[Population4]],5,FALSE)</f>
        <v>榆林市</v>
      </c>
    </row>
    <row r="133" spans="1:7" ht="15.75" thickBot="1" x14ac:dyDescent="0.3">
      <c r="A133" t="s">
        <v>2887</v>
      </c>
      <c r="B133" s="1" t="s">
        <v>2888</v>
      </c>
      <c r="C133" s="1" t="s">
        <v>113</v>
      </c>
      <c r="D133" s="1" t="s">
        <v>2677</v>
      </c>
      <c r="E133" s="9">
        <v>40027</v>
      </c>
      <c r="F133" s="1" t="str">
        <f>VLOOKUP(D133,Table11[[Name]:[Native]],3,FALSE)</f>
        <v>子洲县</v>
      </c>
      <c r="G133" s="12" t="str">
        <f ca="1">VLOOKUP(F133,Table11[[Native]:[Population4]],5,FALSE)</f>
        <v>榆林市</v>
      </c>
    </row>
    <row r="134" spans="1:7" ht="15.75" thickBot="1" x14ac:dyDescent="0.3">
      <c r="A134" t="s">
        <v>2889</v>
      </c>
      <c r="B134" s="1" t="s">
        <v>2890</v>
      </c>
      <c r="C134" s="1" t="s">
        <v>11</v>
      </c>
      <c r="D134" s="1" t="s">
        <v>2677</v>
      </c>
      <c r="E134" s="9">
        <v>4681</v>
      </c>
      <c r="F134" s="1" t="str">
        <f>VLOOKUP(D134,Table11[[Name]:[Native]],3,FALSE)</f>
        <v>子洲县</v>
      </c>
      <c r="G134" s="12" t="str">
        <f ca="1">VLOOKUP(F134,Table11[[Native]:[Population4]],5,FALSE)</f>
        <v>榆林市</v>
      </c>
    </row>
    <row r="135" spans="1:7" ht="15.75" thickBot="1" x14ac:dyDescent="0.3">
      <c r="A135" t="s">
        <v>2891</v>
      </c>
      <c r="B135" s="1" t="s">
        <v>2892</v>
      </c>
      <c r="C135" s="1" t="s">
        <v>7</v>
      </c>
      <c r="D135" s="1" t="s">
        <v>2631</v>
      </c>
      <c r="E135" s="9">
        <v>28952</v>
      </c>
      <c r="F135" s="1" t="str">
        <f>VLOOKUP(D135,Table11[[Name]:[Native]],3,FALSE)</f>
        <v>绥德县</v>
      </c>
      <c r="G135" s="12" t="str">
        <f ca="1">VLOOKUP(F135,Table11[[Native]:[Population4]],5,FALSE)</f>
        <v>榆林市</v>
      </c>
    </row>
    <row r="136" spans="1:7" ht="15.75" thickBot="1" x14ac:dyDescent="0.3">
      <c r="A136" t="s">
        <v>2893</v>
      </c>
      <c r="B136" s="1" t="s">
        <v>2894</v>
      </c>
      <c r="C136" s="1" t="s">
        <v>113</v>
      </c>
      <c r="D136" s="1" t="s">
        <v>2650</v>
      </c>
      <c r="E136" s="9">
        <v>36427</v>
      </c>
      <c r="F136" s="1" t="str">
        <f>VLOOKUP(D136,Table11[[Name]:[Native]],3,FALSE)</f>
        <v>吴堡县</v>
      </c>
      <c r="G136" s="12" t="str">
        <f ca="1">VLOOKUP(F136,Table11[[Native]:[Population4]],5,FALSE)</f>
        <v>榆林市</v>
      </c>
    </row>
    <row r="137" spans="1:7" ht="15.75" thickBot="1" x14ac:dyDescent="0.3">
      <c r="A137" t="s">
        <v>2895</v>
      </c>
      <c r="B137" s="1" t="s">
        <v>2896</v>
      </c>
      <c r="C137" s="1" t="s">
        <v>7</v>
      </c>
      <c r="D137" s="1" t="s">
        <v>2661</v>
      </c>
      <c r="E137" s="9">
        <v>19583</v>
      </c>
      <c r="F137" s="1" t="str">
        <f>VLOOKUP(D137,Table11[[Name]:[Native]],3,FALSE)</f>
        <v>神木市</v>
      </c>
      <c r="G137" s="12" t="str">
        <f ca="1">VLOOKUP(F137,Table11[[Native]:[Population4]],5,FALSE)</f>
        <v>榆林市</v>
      </c>
    </row>
    <row r="138" spans="1:7" ht="15.75" thickBot="1" x14ac:dyDescent="0.3">
      <c r="A138" t="s">
        <v>2897</v>
      </c>
      <c r="B138" s="1" t="s">
        <v>2898</v>
      </c>
      <c r="C138" s="1" t="s">
        <v>11</v>
      </c>
      <c r="D138" s="1" t="s">
        <v>2661</v>
      </c>
      <c r="E138" s="9">
        <v>2022</v>
      </c>
      <c r="F138" s="1" t="str">
        <f>VLOOKUP(D138,Table11[[Name]:[Native]],3,FALSE)</f>
        <v>神木市</v>
      </c>
      <c r="G138" s="12" t="str">
        <f ca="1">VLOOKUP(F138,Table11[[Native]:[Population4]],5,FALSE)</f>
        <v>榆林市</v>
      </c>
    </row>
    <row r="139" spans="1:7" ht="15.75" thickBot="1" x14ac:dyDescent="0.3">
      <c r="A139" t="s">
        <v>2899</v>
      </c>
      <c r="B139" s="1" t="s">
        <v>2900</v>
      </c>
      <c r="C139" s="1" t="s">
        <v>7</v>
      </c>
      <c r="D139" s="1" t="s">
        <v>2654</v>
      </c>
      <c r="E139" s="9">
        <v>6698</v>
      </c>
      <c r="F139" s="1" t="str">
        <f>VLOOKUP(D139,Table11[[Name]:[Native]],3,FALSE)</f>
        <v>米脂县</v>
      </c>
      <c r="G139" s="12" t="str">
        <f ca="1">VLOOKUP(F139,Table11[[Native]:[Population4]],5,FALSE)</f>
        <v>榆林市</v>
      </c>
    </row>
    <row r="140" spans="1:7" ht="15.75" thickBot="1" x14ac:dyDescent="0.3">
      <c r="A140" t="s">
        <v>2901</v>
      </c>
      <c r="B140" s="1" t="s">
        <v>2902</v>
      </c>
      <c r="C140" s="1" t="s">
        <v>7</v>
      </c>
      <c r="D140" s="1" t="s">
        <v>2622</v>
      </c>
      <c r="E140" s="9">
        <v>8634</v>
      </c>
      <c r="F140" s="1" t="str">
        <f>VLOOKUP(D140,Table11[[Name]:[Native]],3,FALSE)</f>
        <v>横山区</v>
      </c>
      <c r="G140" s="12" t="str">
        <f ca="1">VLOOKUP(F140,Table11[[Native]:[Population4]],5,FALSE)</f>
        <v>榆林市</v>
      </c>
    </row>
    <row r="141" spans="1:7" ht="15.75" thickBot="1" x14ac:dyDescent="0.3">
      <c r="A141" t="s">
        <v>2903</v>
      </c>
      <c r="B141" s="1" t="s">
        <v>2904</v>
      </c>
      <c r="C141" s="1" t="s">
        <v>7</v>
      </c>
      <c r="D141" s="1" t="s">
        <v>2671</v>
      </c>
      <c r="E141" s="9">
        <v>6198</v>
      </c>
      <c r="F141" s="1" t="str">
        <f>VLOOKUP(D141,Table11[[Name]:[Native]],3,FALSE)</f>
        <v>靖边县</v>
      </c>
      <c r="G141" s="12" t="str">
        <f ca="1">VLOOKUP(F141,Table11[[Native]:[Population4]],5,FALSE)</f>
        <v>榆林市</v>
      </c>
    </row>
    <row r="142" spans="1:7" ht="15.75" thickBot="1" x14ac:dyDescent="0.3">
      <c r="A142" t="s">
        <v>2905</v>
      </c>
      <c r="B142" s="1" t="s">
        <v>2906</v>
      </c>
      <c r="C142" s="1" t="s">
        <v>7</v>
      </c>
      <c r="D142" s="1" t="s">
        <v>2664</v>
      </c>
      <c r="E142" s="9">
        <v>8861</v>
      </c>
      <c r="F142" s="1" t="str">
        <f>VLOOKUP(D142,Table11[[Name]:[Native]],3,FALSE)</f>
        <v>府谷县</v>
      </c>
      <c r="G142" s="12" t="str">
        <f ca="1">VLOOKUP(F142,Table11[[Native]:[Population4]],5,FALSE)</f>
        <v>榆林市</v>
      </c>
    </row>
    <row r="143" spans="1:7" ht="15.75" thickBot="1" x14ac:dyDescent="0.3">
      <c r="A143" t="s">
        <v>2907</v>
      </c>
      <c r="B143" s="1" t="s">
        <v>2525</v>
      </c>
      <c r="C143" s="1" t="s">
        <v>7</v>
      </c>
      <c r="D143" s="1" t="s">
        <v>2631</v>
      </c>
      <c r="E143" s="9">
        <v>10331</v>
      </c>
      <c r="F143" s="1" t="str">
        <f>VLOOKUP(D143,Table11[[Name]:[Native]],3,FALSE)</f>
        <v>绥德县</v>
      </c>
      <c r="G143" s="12" t="str">
        <f ca="1">VLOOKUP(F143,Table11[[Native]:[Population4]],5,FALSE)</f>
        <v>榆林市</v>
      </c>
    </row>
    <row r="144" spans="1:7" ht="15.75" thickBot="1" x14ac:dyDescent="0.3">
      <c r="A144" t="s">
        <v>2908</v>
      </c>
      <c r="B144" s="1" t="s">
        <v>2909</v>
      </c>
      <c r="C144" s="1" t="s">
        <v>7</v>
      </c>
      <c r="D144" s="1" t="s">
        <v>2685</v>
      </c>
      <c r="E144" s="9">
        <v>20247</v>
      </c>
      <c r="F144" s="1" t="str">
        <f>VLOOKUP(D144,Table11[[Name]:[Native]],3,FALSE)</f>
        <v>佳县</v>
      </c>
      <c r="G144" s="12" t="str">
        <f ca="1">VLOOKUP(F144,Table11[[Native]:[Population4]],5,FALSE)</f>
        <v>榆林市</v>
      </c>
    </row>
    <row r="145" spans="1:7" ht="15.75" thickBot="1" x14ac:dyDescent="0.3">
      <c r="A145" t="s">
        <v>2910</v>
      </c>
      <c r="B145" s="1" t="s">
        <v>2911</v>
      </c>
      <c r="C145" s="1" t="s">
        <v>11</v>
      </c>
      <c r="D145" s="1" t="s">
        <v>2677</v>
      </c>
      <c r="E145" s="9">
        <v>5458</v>
      </c>
      <c r="F145" s="1" t="str">
        <f>VLOOKUP(D145,Table11[[Name]:[Native]],3,FALSE)</f>
        <v>子洲县</v>
      </c>
      <c r="G145" s="12" t="str">
        <f ca="1">VLOOKUP(F145,Table11[[Native]:[Population4]],5,FALSE)</f>
        <v>榆林市</v>
      </c>
    </row>
    <row r="146" spans="1:7" ht="15.75" thickBot="1" x14ac:dyDescent="0.3">
      <c r="A146" t="s">
        <v>2912</v>
      </c>
      <c r="B146" s="1" t="s">
        <v>2913</v>
      </c>
      <c r="C146" s="1" t="s">
        <v>113</v>
      </c>
      <c r="D146" s="1" t="s">
        <v>2628</v>
      </c>
      <c r="E146" s="9">
        <v>60124</v>
      </c>
      <c r="F146" s="1" t="str">
        <f>VLOOKUP(D146,Table11[[Name]:[Native]],3,FALSE)</f>
        <v>榆阳区</v>
      </c>
      <c r="G146" s="12" t="str">
        <f ca="1">VLOOKUP(F146,Table11[[Native]:[Population4]],5,FALSE)</f>
        <v>榆林市</v>
      </c>
    </row>
    <row r="147" spans="1:7" ht="15.75" thickBot="1" x14ac:dyDescent="0.3">
      <c r="A147" t="s">
        <v>2914</v>
      </c>
      <c r="B147" s="1" t="s">
        <v>2915</v>
      </c>
      <c r="C147" s="1" t="s">
        <v>7</v>
      </c>
      <c r="D147" s="1" t="s">
        <v>2685</v>
      </c>
      <c r="E147" s="9">
        <v>11050</v>
      </c>
      <c r="F147" s="1" t="str">
        <f>VLOOKUP(D147,Table11[[Name]:[Native]],3,FALSE)</f>
        <v>佳县</v>
      </c>
      <c r="G147" s="12" t="str">
        <f ca="1">VLOOKUP(F147,Table11[[Native]:[Population4]],5,FALSE)</f>
        <v>榆林市</v>
      </c>
    </row>
    <row r="148" spans="1:7" ht="15.75" thickBot="1" x14ac:dyDescent="0.3">
      <c r="A148" t="s">
        <v>2916</v>
      </c>
      <c r="B148" s="1" t="s">
        <v>2917</v>
      </c>
      <c r="C148" s="1" t="s">
        <v>11</v>
      </c>
      <c r="D148" s="1" t="s">
        <v>2664</v>
      </c>
      <c r="E148" s="9">
        <v>2747</v>
      </c>
      <c r="F148" s="1" t="str">
        <f>VLOOKUP(D148,Table11[[Name]:[Native]],3,FALSE)</f>
        <v>府谷县</v>
      </c>
      <c r="G148" s="12" t="str">
        <f ca="1">VLOOKUP(F148,Table11[[Native]:[Population4]],5,FALSE)</f>
        <v>榆林市</v>
      </c>
    </row>
    <row r="149" spans="1:7" ht="15.75" thickBot="1" x14ac:dyDescent="0.3">
      <c r="A149" t="s">
        <v>2918</v>
      </c>
      <c r="B149" s="1" t="s">
        <v>2919</v>
      </c>
      <c r="C149" s="1" t="s">
        <v>11</v>
      </c>
      <c r="D149" s="1" t="s">
        <v>2625</v>
      </c>
      <c r="E149" s="9">
        <v>4433</v>
      </c>
      <c r="F149" s="1" t="str">
        <f>VLOOKUP(D149,Table11[[Name]:[Native]],3,FALSE)</f>
        <v>定边县</v>
      </c>
      <c r="G149" s="12" t="str">
        <f ca="1">VLOOKUP(F149,Table11[[Native]:[Population4]],5,FALSE)</f>
        <v>榆林市</v>
      </c>
    </row>
    <row r="150" spans="1:7" ht="15.75" thickBot="1" x14ac:dyDescent="0.3">
      <c r="A150" t="s">
        <v>2920</v>
      </c>
      <c r="B150" s="1" t="s">
        <v>2921</v>
      </c>
      <c r="C150" s="1" t="s">
        <v>7</v>
      </c>
      <c r="D150" s="1" t="s">
        <v>2671</v>
      </c>
      <c r="E150" s="9">
        <v>6937</v>
      </c>
      <c r="F150" s="1" t="str">
        <f>VLOOKUP(D150,Table11[[Name]:[Native]],3,FALSE)</f>
        <v>靖边县</v>
      </c>
      <c r="G150" s="12" t="str">
        <f ca="1">VLOOKUP(F150,Table11[[Native]:[Population4]],5,FALSE)</f>
        <v>榆林市</v>
      </c>
    </row>
    <row r="151" spans="1:7" ht="15.75" thickBot="1" x14ac:dyDescent="0.3">
      <c r="A151" t="s">
        <v>2922</v>
      </c>
      <c r="B151" s="1" t="s">
        <v>2923</v>
      </c>
      <c r="C151" s="1" t="s">
        <v>7</v>
      </c>
      <c r="D151" s="1" t="s">
        <v>2661</v>
      </c>
      <c r="E151" s="9">
        <v>4144</v>
      </c>
      <c r="F151" s="1" t="str">
        <f>VLOOKUP(D151,Table11[[Name]:[Native]],3,FALSE)</f>
        <v>神木市</v>
      </c>
      <c r="G151" s="12" t="str">
        <f ca="1">VLOOKUP(F151,Table11[[Native]:[Population4]],5,FALSE)</f>
        <v>榆林市</v>
      </c>
    </row>
    <row r="152" spans="1:7" ht="15.75" thickBot="1" x14ac:dyDescent="0.3">
      <c r="A152" t="s">
        <v>2924</v>
      </c>
      <c r="B152" s="1" t="s">
        <v>2925</v>
      </c>
      <c r="C152" s="1" t="s">
        <v>7</v>
      </c>
      <c r="D152" s="1" t="s">
        <v>2622</v>
      </c>
      <c r="E152" s="9">
        <v>7798</v>
      </c>
      <c r="F152" s="1" t="str">
        <f>VLOOKUP(D152,Table11[[Name]:[Native]],3,FALSE)</f>
        <v>横山区</v>
      </c>
      <c r="G152" s="12" t="str">
        <f ca="1">VLOOKUP(F152,Table11[[Native]:[Population4]],5,FALSE)</f>
        <v>榆林市</v>
      </c>
    </row>
    <row r="153" spans="1:7" ht="15.75" thickBot="1" x14ac:dyDescent="0.3">
      <c r="A153" t="s">
        <v>2926</v>
      </c>
      <c r="B153" s="1" t="s">
        <v>2927</v>
      </c>
      <c r="C153" s="1" t="s">
        <v>7</v>
      </c>
      <c r="D153" s="1" t="s">
        <v>2664</v>
      </c>
      <c r="E153" s="9">
        <v>3018</v>
      </c>
      <c r="F153" s="1" t="str">
        <f>VLOOKUP(D153,Table11[[Name]:[Native]],3,FALSE)</f>
        <v>府谷县</v>
      </c>
      <c r="G153" s="12" t="str">
        <f ca="1">VLOOKUP(F153,Table11[[Native]:[Population4]],5,FALSE)</f>
        <v>榆林市</v>
      </c>
    </row>
    <row r="154" spans="1:7" ht="15.75" thickBot="1" x14ac:dyDescent="0.3">
      <c r="A154" t="s">
        <v>2928</v>
      </c>
      <c r="B154" s="1" t="s">
        <v>2929</v>
      </c>
      <c r="C154" s="1" t="s">
        <v>11</v>
      </c>
      <c r="D154" s="1" t="s">
        <v>2625</v>
      </c>
      <c r="E154" s="9">
        <v>5403</v>
      </c>
      <c r="F154" s="1" t="str">
        <f>VLOOKUP(D154,Table11[[Name]:[Native]],3,FALSE)</f>
        <v>定边县</v>
      </c>
      <c r="G154" s="12" t="str">
        <f ca="1">VLOOKUP(F154,Table11[[Native]:[Population4]],5,FALSE)</f>
        <v>榆林市</v>
      </c>
    </row>
    <row r="155" spans="1:7" ht="15.75" thickBot="1" x14ac:dyDescent="0.3">
      <c r="A155" t="s">
        <v>2930</v>
      </c>
      <c r="B155" s="1" t="s">
        <v>2931</v>
      </c>
      <c r="C155" s="1" t="s">
        <v>7</v>
      </c>
      <c r="D155" s="1" t="s">
        <v>2622</v>
      </c>
      <c r="E155" s="9">
        <v>14367</v>
      </c>
      <c r="F155" s="1" t="str">
        <f>VLOOKUP(D155,Table11[[Name]:[Native]],3,FALSE)</f>
        <v>横山区</v>
      </c>
      <c r="G155" s="12" t="str">
        <f ca="1">VLOOKUP(F155,Table11[[Native]:[Population4]],5,FALSE)</f>
        <v>榆林市</v>
      </c>
    </row>
    <row r="156" spans="1:7" ht="15.75" thickBot="1" x14ac:dyDescent="0.3">
      <c r="A156" t="s">
        <v>2932</v>
      </c>
      <c r="B156" s="1" t="s">
        <v>2933</v>
      </c>
      <c r="C156" s="1" t="s">
        <v>7</v>
      </c>
      <c r="D156" s="1" t="s">
        <v>2685</v>
      </c>
      <c r="E156" s="9">
        <v>22910</v>
      </c>
      <c r="F156" s="1" t="str">
        <f>VLOOKUP(D156,Table11[[Name]:[Native]],3,FALSE)</f>
        <v>佳县</v>
      </c>
      <c r="G156" s="12" t="str">
        <f ca="1">VLOOKUP(F156,Table11[[Native]:[Population4]],5,FALSE)</f>
        <v>榆林市</v>
      </c>
    </row>
    <row r="157" spans="1:7" ht="15.75" thickBot="1" x14ac:dyDescent="0.3">
      <c r="A157" t="s">
        <v>2934</v>
      </c>
      <c r="B157" s="1" t="s">
        <v>2935</v>
      </c>
      <c r="C157" s="1" t="s">
        <v>7</v>
      </c>
      <c r="D157" s="1" t="s">
        <v>2622</v>
      </c>
      <c r="E157" s="9">
        <v>10319</v>
      </c>
      <c r="F157" s="1" t="str">
        <f>VLOOKUP(D157,Table11[[Name]:[Native]],3,FALSE)</f>
        <v>横山区</v>
      </c>
      <c r="G157" s="12" t="str">
        <f ca="1">VLOOKUP(F157,Table11[[Native]:[Population4]],5,FALSE)</f>
        <v>榆林市</v>
      </c>
    </row>
    <row r="158" spans="1:7" ht="15.75" thickBot="1" x14ac:dyDescent="0.3">
      <c r="A158" t="s">
        <v>2936</v>
      </c>
      <c r="B158" s="1" t="s">
        <v>2937</v>
      </c>
      <c r="C158" s="1" t="s">
        <v>7</v>
      </c>
      <c r="D158" s="1" t="s">
        <v>2682</v>
      </c>
      <c r="E158" s="9">
        <v>10686</v>
      </c>
      <c r="F158" s="1" t="str">
        <f>VLOOKUP(D158,Table11[[Name]:[Native]],3,FALSE)</f>
        <v>清涧县</v>
      </c>
      <c r="G158" s="12" t="str">
        <f ca="1">VLOOKUP(F158,Table11[[Native]:[Population4]],5,FALSE)</f>
        <v>榆林市</v>
      </c>
    </row>
    <row r="159" spans="1:7" ht="15.75" thickBot="1" x14ac:dyDescent="0.3">
      <c r="A159" t="s">
        <v>2938</v>
      </c>
      <c r="B159" s="1" t="s">
        <v>2939</v>
      </c>
      <c r="C159" s="1" t="s">
        <v>11</v>
      </c>
      <c r="D159" s="1" t="s">
        <v>2628</v>
      </c>
      <c r="E159" s="9">
        <v>8546</v>
      </c>
      <c r="F159" s="1" t="str">
        <f>VLOOKUP(D159,Table11[[Name]:[Native]],3,FALSE)</f>
        <v>榆阳区</v>
      </c>
      <c r="G159" s="12" t="str">
        <f ca="1">VLOOKUP(F159,Table11[[Native]:[Population4]],5,FALSE)</f>
        <v>榆林市</v>
      </c>
    </row>
    <row r="160" spans="1:7" ht="15.75" thickBot="1" x14ac:dyDescent="0.3">
      <c r="A160" t="s">
        <v>948</v>
      </c>
      <c r="B160" s="1" t="s">
        <v>270</v>
      </c>
      <c r="C160" s="1" t="s">
        <v>7</v>
      </c>
      <c r="D160" s="1" t="s">
        <v>2671</v>
      </c>
      <c r="E160" s="9">
        <v>5905</v>
      </c>
      <c r="F160" s="1" t="str">
        <f>VLOOKUP(D160,Table11[[Name]:[Native]],3,FALSE)</f>
        <v>靖边县</v>
      </c>
      <c r="G160" s="12" t="str">
        <f ca="1">VLOOKUP(F160,Table11[[Native]:[Population4]],5,FALSE)</f>
        <v>榆林市</v>
      </c>
    </row>
    <row r="161" spans="1:7" ht="15.75" thickBot="1" x14ac:dyDescent="0.3">
      <c r="A161" t="s">
        <v>2940</v>
      </c>
      <c r="B161" s="1" t="s">
        <v>2941</v>
      </c>
      <c r="C161" s="1" t="s">
        <v>7</v>
      </c>
      <c r="D161" s="1" t="s">
        <v>2628</v>
      </c>
      <c r="E161" s="9">
        <v>11232</v>
      </c>
      <c r="F161" s="1" t="str">
        <f>VLOOKUP(D161,Table11[[Name]:[Native]],3,FALSE)</f>
        <v>榆阳区</v>
      </c>
      <c r="G161" s="12" t="str">
        <f ca="1">VLOOKUP(F161,Table11[[Native]:[Population4]],5,FALSE)</f>
        <v>榆林市</v>
      </c>
    </row>
    <row r="162" spans="1:7" ht="15.75" thickBot="1" x14ac:dyDescent="0.3">
      <c r="A162" t="s">
        <v>2942</v>
      </c>
      <c r="B162" s="1" t="s">
        <v>2943</v>
      </c>
      <c r="C162" s="1" t="s">
        <v>7</v>
      </c>
      <c r="D162" s="1" t="s">
        <v>2671</v>
      </c>
      <c r="E162" s="9">
        <v>10177</v>
      </c>
      <c r="F162" s="1" t="str">
        <f>VLOOKUP(D162,Table11[[Name]:[Native]],3,FALSE)</f>
        <v>靖边县</v>
      </c>
      <c r="G162" s="12" t="str">
        <f ca="1">VLOOKUP(F162,Table11[[Native]:[Population4]],5,FALSE)</f>
        <v>榆林市</v>
      </c>
    </row>
    <row r="163" spans="1:7" ht="15.75" thickBot="1" x14ac:dyDescent="0.3">
      <c r="A163" t="s">
        <v>2944</v>
      </c>
      <c r="B163" s="1" t="s">
        <v>2945</v>
      </c>
      <c r="C163" s="1" t="s">
        <v>7</v>
      </c>
      <c r="D163" s="1" t="s">
        <v>2625</v>
      </c>
      <c r="E163" s="9">
        <v>6283</v>
      </c>
      <c r="F163" s="1" t="str">
        <f>VLOOKUP(D163,Table11[[Name]:[Native]],3,FALSE)</f>
        <v>定边县</v>
      </c>
      <c r="G163" s="12" t="str">
        <f ca="1">VLOOKUP(F163,Table11[[Native]:[Population4]],5,FALSE)</f>
        <v>榆林市</v>
      </c>
    </row>
    <row r="164" spans="1:7" ht="15.75" thickBot="1" x14ac:dyDescent="0.3">
      <c r="A164" t="s">
        <v>2946</v>
      </c>
      <c r="B164" s="1" t="s">
        <v>2947</v>
      </c>
      <c r="C164" s="1" t="s">
        <v>11</v>
      </c>
      <c r="D164" s="1" t="s">
        <v>2671</v>
      </c>
      <c r="E164" s="9">
        <v>3825</v>
      </c>
      <c r="F164" s="1" t="str">
        <f>VLOOKUP(D164,Table11[[Name]:[Native]],3,FALSE)</f>
        <v>靖边县</v>
      </c>
      <c r="G164" s="12" t="str">
        <f ca="1">VLOOKUP(F164,Table11[[Native]:[Population4]],5,FALSE)</f>
        <v>榆林市</v>
      </c>
    </row>
    <row r="165" spans="1:7" ht="15.75" thickBot="1" x14ac:dyDescent="0.3">
      <c r="A165" t="s">
        <v>2948</v>
      </c>
      <c r="B165" s="1" t="s">
        <v>2949</v>
      </c>
      <c r="C165" s="1" t="s">
        <v>11</v>
      </c>
      <c r="D165" s="1" t="s">
        <v>2631</v>
      </c>
      <c r="E165" s="9">
        <v>29186</v>
      </c>
      <c r="F165" s="1" t="str">
        <f>VLOOKUP(D165,Table11[[Name]:[Native]],3,FALSE)</f>
        <v>绥德县</v>
      </c>
      <c r="G165" s="12" t="str">
        <f ca="1">VLOOKUP(F165,Table11[[Native]:[Population4]],5,FALSE)</f>
        <v>榆林市</v>
      </c>
    </row>
    <row r="166" spans="1:7" ht="15.75" thickBot="1" x14ac:dyDescent="0.3">
      <c r="A166" t="s">
        <v>2950</v>
      </c>
      <c r="B166" s="1" t="s">
        <v>2951</v>
      </c>
      <c r="C166" s="1" t="s">
        <v>7</v>
      </c>
      <c r="D166" s="1" t="s">
        <v>2650</v>
      </c>
      <c r="E166" s="9">
        <v>5671</v>
      </c>
      <c r="F166" s="1" t="str">
        <f>VLOOKUP(D166,Table11[[Name]:[Native]],3,FALSE)</f>
        <v>吴堡县</v>
      </c>
      <c r="G166" s="12" t="str">
        <f ca="1">VLOOKUP(F166,Table11[[Native]:[Population4]],5,FALSE)</f>
        <v>榆林市</v>
      </c>
    </row>
    <row r="167" spans="1:7" ht="15.75" thickBot="1" x14ac:dyDescent="0.3">
      <c r="A167" t="s">
        <v>2952</v>
      </c>
      <c r="B167" s="1" t="s">
        <v>2953</v>
      </c>
      <c r="C167" s="1" t="s">
        <v>113</v>
      </c>
      <c r="D167" s="1" t="s">
        <v>2628</v>
      </c>
      <c r="E167" s="9">
        <v>27416</v>
      </c>
      <c r="F167" s="1" t="str">
        <f>VLOOKUP(D167,Table11[[Name]:[Native]],3,FALSE)</f>
        <v>榆阳区</v>
      </c>
      <c r="G167" s="12" t="str">
        <f ca="1">VLOOKUP(F167,Table11[[Native]:[Population4]],5,FALSE)</f>
        <v>榆林市</v>
      </c>
    </row>
    <row r="168" spans="1:7" ht="15.75" thickBot="1" x14ac:dyDescent="0.3">
      <c r="A168" t="s">
        <v>2954</v>
      </c>
      <c r="B168" s="1" t="s">
        <v>1905</v>
      </c>
      <c r="C168" s="1" t="s">
        <v>7</v>
      </c>
      <c r="D168" s="1" t="s">
        <v>2664</v>
      </c>
      <c r="E168" s="9">
        <v>18371</v>
      </c>
      <c r="F168" s="1" t="str">
        <f>VLOOKUP(D168,Table11[[Name]:[Native]],3,FALSE)</f>
        <v>府谷县</v>
      </c>
      <c r="G168" s="12" t="str">
        <f ca="1">VLOOKUP(F168,Table11[[Native]:[Population4]],5,FALSE)</f>
        <v>榆林市</v>
      </c>
    </row>
    <row r="169" spans="1:7" ht="15.75" thickBot="1" x14ac:dyDescent="0.3">
      <c r="A169" t="s">
        <v>2955</v>
      </c>
      <c r="B169" s="1" t="s">
        <v>2956</v>
      </c>
      <c r="C169" s="1" t="s">
        <v>7</v>
      </c>
      <c r="D169" s="1" t="s">
        <v>2685</v>
      </c>
      <c r="E169" s="9">
        <v>17565</v>
      </c>
      <c r="F169" s="1" t="str">
        <f>VLOOKUP(D169,Table11[[Name]:[Native]],3,FALSE)</f>
        <v>佳县</v>
      </c>
      <c r="G169" s="12" t="str">
        <f ca="1">VLOOKUP(F169,Table11[[Native]:[Population4]],5,FALSE)</f>
        <v>榆林市</v>
      </c>
    </row>
    <row r="170" spans="1:7" ht="15.75" thickBot="1" x14ac:dyDescent="0.3">
      <c r="A170" t="s">
        <v>2957</v>
      </c>
      <c r="B170" s="1" t="s">
        <v>2958</v>
      </c>
      <c r="C170" s="1" t="s">
        <v>7</v>
      </c>
      <c r="D170" s="1" t="s">
        <v>2631</v>
      </c>
      <c r="E170" s="9">
        <v>10438</v>
      </c>
      <c r="F170" s="1" t="str">
        <f>VLOOKUP(D170,Table11[[Name]:[Native]],3,FALSE)</f>
        <v>绥德县</v>
      </c>
      <c r="G170" s="12" t="str">
        <f ca="1">VLOOKUP(F170,Table11[[Native]:[Population4]],5,FALSE)</f>
        <v>榆林市</v>
      </c>
    </row>
    <row r="171" spans="1:7" ht="15.75" thickBot="1" x14ac:dyDescent="0.3">
      <c r="A171" t="s">
        <v>2959</v>
      </c>
      <c r="B171" s="1" t="s">
        <v>2960</v>
      </c>
      <c r="C171" s="1" t="s">
        <v>7</v>
      </c>
      <c r="D171" s="1" t="s">
        <v>2631</v>
      </c>
      <c r="E171" s="9">
        <v>9540</v>
      </c>
      <c r="F171" s="1" t="str">
        <f>VLOOKUP(D171,Table11[[Name]:[Native]],3,FALSE)</f>
        <v>绥德县</v>
      </c>
      <c r="G171" s="12" t="str">
        <f ca="1">VLOOKUP(F171,Table11[[Native]:[Population4]],5,FALSE)</f>
        <v>榆林市</v>
      </c>
    </row>
    <row r="172" spans="1:7" ht="15.75" thickBot="1" x14ac:dyDescent="0.3">
      <c r="A172" t="s">
        <v>2961</v>
      </c>
      <c r="B172" s="1" t="s">
        <v>2962</v>
      </c>
      <c r="C172" s="1" t="s">
        <v>11</v>
      </c>
      <c r="D172" s="1" t="s">
        <v>2650</v>
      </c>
      <c r="E172" s="9">
        <v>4614</v>
      </c>
      <c r="F172" s="1" t="str">
        <f>VLOOKUP(D172,Table11[[Name]:[Native]],3,FALSE)</f>
        <v>吴堡县</v>
      </c>
      <c r="G172" s="12" t="str">
        <f ca="1">VLOOKUP(F172,Table11[[Native]:[Population4]],5,FALSE)</f>
        <v>榆林市</v>
      </c>
    </row>
    <row r="173" spans="1:7" ht="15.75" thickBot="1" x14ac:dyDescent="0.3">
      <c r="A173" t="s">
        <v>2963</v>
      </c>
      <c r="B173" s="1" t="s">
        <v>2964</v>
      </c>
      <c r="C173" s="1" t="s">
        <v>11</v>
      </c>
      <c r="D173" s="1" t="s">
        <v>2625</v>
      </c>
      <c r="E173" s="9">
        <v>5712</v>
      </c>
      <c r="F173" s="1" t="str">
        <f>VLOOKUP(D173,Table11[[Name]:[Native]],3,FALSE)</f>
        <v>定边县</v>
      </c>
      <c r="G173" s="12" t="str">
        <f ca="1">VLOOKUP(F173,Table11[[Native]:[Population4]],5,FALSE)</f>
        <v>榆林市</v>
      </c>
    </row>
    <row r="174" spans="1:7" ht="15.75" thickBot="1" x14ac:dyDescent="0.3">
      <c r="A174" t="s">
        <v>2965</v>
      </c>
      <c r="B174" s="1" t="s">
        <v>2966</v>
      </c>
      <c r="C174" s="1" t="s">
        <v>7</v>
      </c>
      <c r="D174" s="1" t="s">
        <v>2625</v>
      </c>
      <c r="E174" s="9">
        <v>4228</v>
      </c>
      <c r="F174" s="1" t="str">
        <f>VLOOKUP(D174,Table11[[Name]:[Native]],3,FALSE)</f>
        <v>定边县</v>
      </c>
      <c r="G174" s="12" t="str">
        <f ca="1">VLOOKUP(F174,Table11[[Native]:[Population4]],5,FALSE)</f>
        <v>榆林市</v>
      </c>
    </row>
    <row r="175" spans="1:7" ht="15.75" thickBot="1" x14ac:dyDescent="0.3">
      <c r="A175" t="s">
        <v>2967</v>
      </c>
      <c r="B175" s="1" t="s">
        <v>2968</v>
      </c>
      <c r="C175" s="1" t="s">
        <v>7</v>
      </c>
      <c r="D175" s="1" t="s">
        <v>2654</v>
      </c>
      <c r="E175" s="9">
        <v>9259</v>
      </c>
      <c r="F175" s="1" t="str">
        <f>VLOOKUP(D175,Table11[[Name]:[Native]],3,FALSE)</f>
        <v>米脂县</v>
      </c>
      <c r="G175" s="12" t="str">
        <f ca="1">VLOOKUP(F175,Table11[[Native]:[Population4]],5,FALSE)</f>
        <v>榆林市</v>
      </c>
    </row>
    <row r="176" spans="1:7" ht="15.75" thickBot="1" x14ac:dyDescent="0.3">
      <c r="A176" t="s">
        <v>2969</v>
      </c>
      <c r="B176" s="1" t="s">
        <v>2970</v>
      </c>
      <c r="C176" s="1" t="s">
        <v>7</v>
      </c>
      <c r="D176" s="1" t="s">
        <v>2625</v>
      </c>
      <c r="E176" s="9">
        <v>9480</v>
      </c>
      <c r="F176" s="1" t="str">
        <f>VLOOKUP(D176,Table11[[Name]:[Native]],3,FALSE)</f>
        <v>定边县</v>
      </c>
      <c r="G176" s="12" t="str">
        <f ca="1">VLOOKUP(F176,Table11[[Native]:[Population4]],5,FALSE)</f>
        <v>榆林市</v>
      </c>
    </row>
    <row r="177" spans="1:7" ht="15.75" thickBot="1" x14ac:dyDescent="0.3">
      <c r="A177" t="s">
        <v>2971</v>
      </c>
      <c r="B177" s="1" t="s">
        <v>2972</v>
      </c>
      <c r="C177" s="1" t="s">
        <v>7</v>
      </c>
      <c r="D177" s="1" t="s">
        <v>2671</v>
      </c>
      <c r="E177" s="9">
        <v>4357</v>
      </c>
      <c r="F177" s="1" t="str">
        <f>VLOOKUP(D177,Table11[[Name]:[Native]],3,FALSE)</f>
        <v>靖边县</v>
      </c>
      <c r="G177" s="12" t="str">
        <f ca="1">VLOOKUP(F177,Table11[[Native]:[Population4]],5,FALSE)</f>
        <v>榆林市</v>
      </c>
    </row>
    <row r="178" spans="1:7" ht="15.75" thickBot="1" x14ac:dyDescent="0.3">
      <c r="A178" t="s">
        <v>2973</v>
      </c>
      <c r="B178" s="1" t="s">
        <v>2974</v>
      </c>
      <c r="C178" s="1" t="s">
        <v>7</v>
      </c>
      <c r="D178" s="1" t="s">
        <v>2671</v>
      </c>
      <c r="E178" s="9">
        <v>10749</v>
      </c>
      <c r="F178" s="1" t="str">
        <f>VLOOKUP(D178,Table11[[Name]:[Native]],3,FALSE)</f>
        <v>靖边县</v>
      </c>
      <c r="G178" s="12" t="str">
        <f ca="1">VLOOKUP(F178,Table11[[Native]:[Population4]],5,FALSE)</f>
        <v>榆林市</v>
      </c>
    </row>
    <row r="179" spans="1:7" ht="15.75" thickBot="1" x14ac:dyDescent="0.3">
      <c r="A179" t="s">
        <v>2975</v>
      </c>
      <c r="B179" s="1" t="s">
        <v>2976</v>
      </c>
      <c r="C179" s="1" t="s">
        <v>7</v>
      </c>
      <c r="D179" s="1" t="s">
        <v>2631</v>
      </c>
      <c r="E179" s="9">
        <v>22029</v>
      </c>
      <c r="F179" s="1" t="str">
        <f>VLOOKUP(D179,Table11[[Name]:[Native]],3,FALSE)</f>
        <v>绥德县</v>
      </c>
      <c r="G179" s="12" t="str">
        <f ca="1">VLOOKUP(F179,Table11[[Native]:[Population4]],5,FALSE)</f>
        <v>榆林市</v>
      </c>
    </row>
    <row r="180" spans="1:7" ht="15.75" thickBot="1" x14ac:dyDescent="0.3">
      <c r="A180" t="s">
        <v>2977</v>
      </c>
      <c r="B180" s="1" t="s">
        <v>2978</v>
      </c>
      <c r="C180" s="1" t="s">
        <v>7</v>
      </c>
      <c r="D180" s="1" t="s">
        <v>2654</v>
      </c>
      <c r="E180" s="9">
        <v>16554</v>
      </c>
      <c r="F180" s="1" t="str">
        <f>VLOOKUP(D180,Table11[[Name]:[Native]],3,FALSE)</f>
        <v>米脂县</v>
      </c>
      <c r="G180" s="12" t="str">
        <f ca="1">VLOOKUP(F180,Table11[[Native]:[Population4]],5,FALSE)</f>
        <v>榆林市</v>
      </c>
    </row>
    <row r="181" spans="1:7" ht="15.75" thickBot="1" x14ac:dyDescent="0.3">
      <c r="A181" t="s">
        <v>2979</v>
      </c>
      <c r="B181" s="1" t="s">
        <v>2980</v>
      </c>
      <c r="C181" s="1" t="s">
        <v>113</v>
      </c>
      <c r="D181" s="1" t="s">
        <v>2654</v>
      </c>
      <c r="E181" s="9">
        <v>61956</v>
      </c>
      <c r="F181" s="1" t="str">
        <f>VLOOKUP(D181,Table11[[Name]:[Native]],3,FALSE)</f>
        <v>米脂县</v>
      </c>
      <c r="G181" s="12" t="str">
        <f ca="1">VLOOKUP(F181,Table11[[Native]:[Population4]],5,FALSE)</f>
        <v>榆林市</v>
      </c>
    </row>
    <row r="182" spans="1:7" ht="15.75" thickBot="1" x14ac:dyDescent="0.3">
      <c r="A182" t="s">
        <v>2981</v>
      </c>
      <c r="B182" s="1" t="s">
        <v>2982</v>
      </c>
      <c r="C182" s="1" t="s">
        <v>11</v>
      </c>
      <c r="D182" s="1" t="s">
        <v>2625</v>
      </c>
      <c r="E182" s="9">
        <v>8533</v>
      </c>
      <c r="F182" s="1" t="str">
        <f>VLOOKUP(D182,Table11[[Name]:[Native]],3,FALSE)</f>
        <v>定边县</v>
      </c>
      <c r="G182" s="12" t="str">
        <f ca="1">VLOOKUP(F182,Table11[[Native]:[Population4]],5,FALSE)</f>
        <v>榆林市</v>
      </c>
    </row>
    <row r="183" spans="1:7" ht="15.75" thickBot="1" x14ac:dyDescent="0.3">
      <c r="A183" t="s">
        <v>2983</v>
      </c>
      <c r="B183" s="1" t="s">
        <v>2984</v>
      </c>
      <c r="C183" s="1" t="s">
        <v>7</v>
      </c>
      <c r="D183" s="1" t="s">
        <v>2628</v>
      </c>
      <c r="E183" s="9">
        <v>8805</v>
      </c>
      <c r="F183" s="1" t="str">
        <f>VLOOKUP(D183,Table11[[Name]:[Native]],3,FALSE)</f>
        <v>榆阳区</v>
      </c>
      <c r="G183" s="12" t="str">
        <f ca="1">VLOOKUP(F183,Table11[[Native]:[Population4]],5,FALSE)</f>
        <v>榆林市</v>
      </c>
    </row>
    <row r="184" spans="1:7" ht="15.75" thickBot="1" x14ac:dyDescent="0.3">
      <c r="A184" t="s">
        <v>2985</v>
      </c>
      <c r="B184" s="1" t="s">
        <v>2986</v>
      </c>
      <c r="C184" s="1" t="s">
        <v>7</v>
      </c>
      <c r="D184" s="1" t="s">
        <v>2628</v>
      </c>
      <c r="E184" s="9">
        <v>15728</v>
      </c>
      <c r="F184" s="1" t="str">
        <f>VLOOKUP(D184,Table11[[Name]:[Native]],3,FALSE)</f>
        <v>榆阳区</v>
      </c>
      <c r="G184" s="12" t="str">
        <f ca="1">VLOOKUP(F184,Table11[[Native]:[Population4]],5,FALSE)</f>
        <v>榆林市</v>
      </c>
    </row>
    <row r="185" spans="1:7" ht="15.75" thickBot="1" x14ac:dyDescent="0.3">
      <c r="A185" t="s">
        <v>2987</v>
      </c>
      <c r="B185" s="1" t="s">
        <v>2988</v>
      </c>
      <c r="C185" s="1" t="s">
        <v>7</v>
      </c>
      <c r="D185" s="1" t="s">
        <v>2682</v>
      </c>
      <c r="E185" s="9">
        <v>10678</v>
      </c>
      <c r="F185" s="1" t="str">
        <f>VLOOKUP(D185,Table11[[Name]:[Native]],3,FALSE)</f>
        <v>清涧县</v>
      </c>
      <c r="G185" s="12" t="str">
        <f ca="1">VLOOKUP(F185,Table11[[Native]:[Population4]],5,FALSE)</f>
        <v>榆林市</v>
      </c>
    </row>
    <row r="186" spans="1:7" ht="15.75" thickBot="1" x14ac:dyDescent="0.3">
      <c r="A186" t="s">
        <v>2989</v>
      </c>
      <c r="B186" s="1" t="s">
        <v>2990</v>
      </c>
      <c r="C186" s="1" t="s">
        <v>11</v>
      </c>
      <c r="D186" s="1" t="s">
        <v>2685</v>
      </c>
      <c r="E186" s="9">
        <v>6911</v>
      </c>
      <c r="F186" s="1" t="str">
        <f>VLOOKUP(D186,Table11[[Name]:[Native]],3,FALSE)</f>
        <v>佳县</v>
      </c>
      <c r="G186" s="12" t="str">
        <f ca="1">VLOOKUP(F186,Table11[[Native]:[Population4]],5,FALSE)</f>
        <v>榆林市</v>
      </c>
    </row>
    <row r="187" spans="1:7" ht="15.75" thickBot="1" x14ac:dyDescent="0.3">
      <c r="A187" t="s">
        <v>2991</v>
      </c>
      <c r="B187" s="1" t="s">
        <v>2992</v>
      </c>
      <c r="C187" s="1" t="s">
        <v>7</v>
      </c>
      <c r="D187" s="1" t="s">
        <v>2631</v>
      </c>
      <c r="E187" s="9">
        <v>8012</v>
      </c>
      <c r="F187" s="1" t="str">
        <f>VLOOKUP(D187,Table11[[Name]:[Native]],3,FALSE)</f>
        <v>绥德县</v>
      </c>
      <c r="G187" s="12" t="str">
        <f ca="1">VLOOKUP(F187,Table11[[Native]:[Population4]],5,FALSE)</f>
        <v>榆林市</v>
      </c>
    </row>
    <row r="188" spans="1:7" ht="15.75" thickBot="1" x14ac:dyDescent="0.3">
      <c r="A188" t="s">
        <v>2993</v>
      </c>
      <c r="B188" s="1" t="s">
        <v>2994</v>
      </c>
      <c r="C188" s="1" t="s">
        <v>7</v>
      </c>
      <c r="D188" s="1" t="s">
        <v>2631</v>
      </c>
      <c r="E188" s="9">
        <v>21951</v>
      </c>
      <c r="F188" s="1" t="str">
        <f>VLOOKUP(D188,Table11[[Name]:[Native]],3,FALSE)</f>
        <v>绥德县</v>
      </c>
      <c r="G188" s="12" t="str">
        <f ca="1">VLOOKUP(F188,Table11[[Native]:[Population4]],5,FALSE)</f>
        <v>榆林市</v>
      </c>
    </row>
    <row r="189" spans="1:7" ht="15.75" thickBot="1" x14ac:dyDescent="0.3">
      <c r="A189" t="s">
        <v>2995</v>
      </c>
      <c r="B189" s="1" t="s">
        <v>2996</v>
      </c>
      <c r="C189" s="1" t="s">
        <v>113</v>
      </c>
      <c r="D189" s="1" t="s">
        <v>2671</v>
      </c>
      <c r="E189" s="9">
        <v>181354</v>
      </c>
      <c r="F189" s="1" t="str">
        <f>VLOOKUP(D189,Table11[[Name]:[Native]],3,FALSE)</f>
        <v>靖边县</v>
      </c>
      <c r="G189" s="12" t="str">
        <f ca="1">VLOOKUP(F189,Table11[[Native]:[Population4]],5,FALSE)</f>
        <v>榆林市</v>
      </c>
    </row>
    <row r="190" spans="1:7" ht="15.75" thickBot="1" x14ac:dyDescent="0.3">
      <c r="A190" t="s">
        <v>2997</v>
      </c>
      <c r="B190" s="1" t="s">
        <v>2998</v>
      </c>
      <c r="C190" s="1" t="s">
        <v>7</v>
      </c>
      <c r="D190" s="1" t="s">
        <v>2650</v>
      </c>
      <c r="E190" s="9">
        <v>5382</v>
      </c>
      <c r="F190" s="1" t="str">
        <f>VLOOKUP(D190,Table11[[Name]:[Native]],3,FALSE)</f>
        <v>吴堡县</v>
      </c>
      <c r="G190" s="12" t="str">
        <f ca="1">VLOOKUP(F190,Table11[[Native]:[Population4]],5,FALSE)</f>
        <v>榆林市</v>
      </c>
    </row>
    <row r="191" spans="1:7" ht="15.75" thickBot="1" x14ac:dyDescent="0.3">
      <c r="A191" s="1" t="s">
        <v>2999</v>
      </c>
      <c r="B191" s="1" t="s">
        <v>3000</v>
      </c>
      <c r="C191" s="1" t="s">
        <v>7</v>
      </c>
      <c r="D191" s="1" t="s">
        <v>2625</v>
      </c>
      <c r="E191" s="9">
        <v>8449</v>
      </c>
      <c r="F191" s="1" t="str">
        <f>VLOOKUP(D191,Table11[[Name]:[Native]],3,FALSE)</f>
        <v>定边县</v>
      </c>
      <c r="G191" s="12" t="str">
        <f ca="1">VLOOKUP(F191,Table11[[Native]:[Population4]],5,FALSE)</f>
        <v>榆林市</v>
      </c>
    </row>
    <row r="192" spans="1:7" ht="15.75" thickBot="1" x14ac:dyDescent="0.3">
      <c r="A192" t="s">
        <v>3001</v>
      </c>
      <c r="B192" s="1" t="s">
        <v>3002</v>
      </c>
      <c r="C192" s="1" t="s">
        <v>7</v>
      </c>
      <c r="D192" s="1" t="s">
        <v>2622</v>
      </c>
      <c r="E192" s="9">
        <v>7885</v>
      </c>
      <c r="F192" s="1" t="str">
        <f>VLOOKUP(D192,Table11[[Name]:[Native]],3,FALSE)</f>
        <v>横山区</v>
      </c>
      <c r="G192" s="12" t="str">
        <f ca="1">VLOOKUP(F192,Table11[[Native]:[Population4]],5,FALSE)</f>
        <v>榆林市</v>
      </c>
    </row>
    <row r="193" spans="1:7" ht="15.75" thickBot="1" x14ac:dyDescent="0.3">
      <c r="A193" t="s">
        <v>3003</v>
      </c>
      <c r="B193" s="1" t="s">
        <v>3004</v>
      </c>
      <c r="C193" s="1" t="s">
        <v>11</v>
      </c>
      <c r="D193" s="1" t="s">
        <v>2664</v>
      </c>
      <c r="E193" s="9">
        <v>2975</v>
      </c>
      <c r="F193" s="1" t="str">
        <f>VLOOKUP(D193,Table11[[Name]:[Native]],3,FALSE)</f>
        <v>府谷县</v>
      </c>
      <c r="G193" s="12" t="str">
        <f ca="1">VLOOKUP(F193,Table11[[Native]:[Population4]],5,FALSE)</f>
        <v>榆林市</v>
      </c>
    </row>
    <row r="194" spans="1:7" ht="15.75" thickBot="1" x14ac:dyDescent="0.3">
      <c r="A194" t="s">
        <v>3005</v>
      </c>
      <c r="B194" s="1" t="s">
        <v>3006</v>
      </c>
      <c r="C194" s="1" t="s">
        <v>7</v>
      </c>
      <c r="D194" s="1" t="s">
        <v>2682</v>
      </c>
      <c r="E194" s="9">
        <v>9563</v>
      </c>
      <c r="F194" s="1" t="str">
        <f>VLOOKUP(D194,Table11[[Name]:[Native]],3,FALSE)</f>
        <v>清涧县</v>
      </c>
      <c r="G194" s="12" t="str">
        <f ca="1">VLOOKUP(F194,Table11[[Native]:[Population4]],5,FALSE)</f>
        <v>榆林市</v>
      </c>
    </row>
    <row r="195" spans="1:7" ht="15.75" thickBot="1" x14ac:dyDescent="0.3">
      <c r="A195" t="s">
        <v>1023</v>
      </c>
      <c r="B195" s="1" t="s">
        <v>1024</v>
      </c>
      <c r="C195" s="1" t="s">
        <v>7</v>
      </c>
      <c r="D195" s="1" t="s">
        <v>2628</v>
      </c>
      <c r="E195" s="9">
        <v>23946</v>
      </c>
      <c r="F195" s="1" t="str">
        <f>VLOOKUP(D195,Table11[[Name]:[Native]],3,FALSE)</f>
        <v>榆阳区</v>
      </c>
      <c r="G195" s="12" t="str">
        <f ca="1">VLOOKUP(F195,Table11[[Native]:[Population4]],5,FALSE)</f>
        <v>榆林市</v>
      </c>
    </row>
    <row r="196" spans="1:7" ht="15.75" thickBot="1" x14ac:dyDescent="0.3">
      <c r="A196" t="s">
        <v>3007</v>
      </c>
      <c r="B196" s="1" t="s">
        <v>3008</v>
      </c>
      <c r="C196" s="1" t="s">
        <v>7</v>
      </c>
      <c r="D196" s="1" t="s">
        <v>2671</v>
      </c>
      <c r="E196" s="9">
        <v>8260</v>
      </c>
      <c r="F196" s="1" t="str">
        <f>VLOOKUP(D196,Table11[[Name]:[Native]],3,FALSE)</f>
        <v>靖边县</v>
      </c>
      <c r="G196" s="12" t="str">
        <f ca="1">VLOOKUP(F196,Table11[[Native]:[Population4]],5,FALSE)</f>
        <v>榆林市</v>
      </c>
    </row>
    <row r="197" spans="1:7" ht="15.75" thickBot="1" x14ac:dyDescent="0.3">
      <c r="A197" t="s">
        <v>3009</v>
      </c>
      <c r="B197" s="1" t="s">
        <v>3010</v>
      </c>
      <c r="C197" s="1" t="s">
        <v>7</v>
      </c>
      <c r="D197" s="1" t="s">
        <v>2631</v>
      </c>
      <c r="E197" s="9">
        <v>9147</v>
      </c>
      <c r="F197" s="1" t="str">
        <f>VLOOKUP(D197,Table11[[Name]:[Native]],3,FALSE)</f>
        <v>绥德县</v>
      </c>
      <c r="G197" s="12" t="str">
        <f ca="1">VLOOKUP(F197,Table11[[Native]:[Population4]],5,FALSE)</f>
        <v>榆林市</v>
      </c>
    </row>
    <row r="198" spans="1:7" ht="15.75" thickBot="1" x14ac:dyDescent="0.3">
      <c r="A198" t="s">
        <v>3011</v>
      </c>
      <c r="B198" s="1" t="s">
        <v>3012</v>
      </c>
      <c r="C198" s="1" t="s">
        <v>7</v>
      </c>
      <c r="D198" s="1" t="s">
        <v>2661</v>
      </c>
      <c r="E198" s="9">
        <v>18004</v>
      </c>
      <c r="F198" s="1" t="str">
        <f>VLOOKUP(D198,Table11[[Name]:[Native]],3,FALSE)</f>
        <v>神木市</v>
      </c>
      <c r="G198" s="12" t="str">
        <f ca="1">VLOOKUP(F198,Table11[[Native]:[Population4]],5,FALSE)</f>
        <v>榆林市</v>
      </c>
    </row>
    <row r="199" spans="1:7" ht="15.75" thickBot="1" x14ac:dyDescent="0.3">
      <c r="A199" t="s">
        <v>3013</v>
      </c>
      <c r="B199" s="1" t="s">
        <v>3014</v>
      </c>
      <c r="C199" s="1" t="s">
        <v>7</v>
      </c>
      <c r="D199" s="1" t="s">
        <v>2671</v>
      </c>
      <c r="E199" s="9">
        <v>6535</v>
      </c>
      <c r="F199" s="1" t="str">
        <f>VLOOKUP(D199,Table11[[Name]:[Native]],3,FALSE)</f>
        <v>靖边县</v>
      </c>
      <c r="G199" s="12" t="str">
        <f ca="1">VLOOKUP(F199,Table11[[Native]:[Population4]],5,FALSE)</f>
        <v>榆林市</v>
      </c>
    </row>
    <row r="200" spans="1:7" ht="15.75" thickBot="1" x14ac:dyDescent="0.3">
      <c r="A200" t="s">
        <v>3015</v>
      </c>
      <c r="B200" s="1" t="s">
        <v>3016</v>
      </c>
      <c r="C200" s="1" t="s">
        <v>7</v>
      </c>
      <c r="D200" s="1" t="s">
        <v>2671</v>
      </c>
      <c r="E200" s="9">
        <v>9476</v>
      </c>
      <c r="F200" s="1" t="str">
        <f>VLOOKUP(D200,Table11[[Name]:[Native]],3,FALSE)</f>
        <v>靖边县</v>
      </c>
      <c r="G200" s="12" t="str">
        <f ca="1">VLOOKUP(F200,Table11[[Native]:[Population4]],5,FALSE)</f>
        <v>榆林市</v>
      </c>
    </row>
    <row r="201" spans="1:7" ht="15.75" thickBot="1" x14ac:dyDescent="0.3">
      <c r="A201" t="s">
        <v>3017</v>
      </c>
      <c r="B201" s="1" t="s">
        <v>3018</v>
      </c>
      <c r="C201" s="1" t="s">
        <v>7</v>
      </c>
      <c r="D201" s="1" t="s">
        <v>2677</v>
      </c>
      <c r="E201" s="9">
        <v>7118</v>
      </c>
      <c r="F201" s="1" t="str">
        <f>VLOOKUP(D201,Table11[[Name]:[Native]],3,FALSE)</f>
        <v>子洲县</v>
      </c>
      <c r="G201" s="12" t="str">
        <f ca="1">VLOOKUP(F201,Table11[[Native]:[Population4]],5,FALSE)</f>
        <v>榆林市</v>
      </c>
    </row>
    <row r="202" spans="1:7" ht="15.75" thickBot="1" x14ac:dyDescent="0.3">
      <c r="A202" t="s">
        <v>3019</v>
      </c>
      <c r="B202" s="1" t="s">
        <v>3020</v>
      </c>
      <c r="C202" s="1" t="s">
        <v>11</v>
      </c>
      <c r="D202" s="1" t="s">
        <v>2625</v>
      </c>
      <c r="E202" s="9">
        <v>3966</v>
      </c>
      <c r="F202" s="1" t="str">
        <f>VLOOKUP(D202,Table11[[Name]:[Native]],3,FALSE)</f>
        <v>定边县</v>
      </c>
      <c r="G202" s="12" t="str">
        <f ca="1">VLOOKUP(F202,Table11[[Native]:[Population4]],5,FALSE)</f>
        <v>榆林市</v>
      </c>
    </row>
    <row r="203" spans="1:7" ht="15.75" thickBot="1" x14ac:dyDescent="0.3">
      <c r="A203" t="s">
        <v>3021</v>
      </c>
      <c r="B203" s="1" t="s">
        <v>3022</v>
      </c>
      <c r="C203" s="1" t="s">
        <v>7</v>
      </c>
      <c r="D203" s="1" t="s">
        <v>2625</v>
      </c>
      <c r="E203" s="9">
        <v>15351</v>
      </c>
      <c r="F203" s="1" t="str">
        <f>VLOOKUP(D203,Table11[[Name]:[Native]],3,FALSE)</f>
        <v>定边县</v>
      </c>
      <c r="G203" s="12" t="str">
        <f ca="1">VLOOKUP(F203,Table11[[Native]:[Population4]],5,FALSE)</f>
        <v>榆林市</v>
      </c>
    </row>
    <row r="204" spans="1:7" ht="15.75" thickBot="1" x14ac:dyDescent="0.3">
      <c r="A204" t="s">
        <v>3023</v>
      </c>
      <c r="B204" s="1" t="s">
        <v>3024</v>
      </c>
      <c r="C204" s="1" t="s">
        <v>7</v>
      </c>
      <c r="D204" s="1" t="s">
        <v>2677</v>
      </c>
      <c r="E204" s="9">
        <v>5617</v>
      </c>
      <c r="F204" s="1" t="str">
        <f>VLOOKUP(D204,Table11[[Name]:[Native]],3,FALSE)</f>
        <v>子洲县</v>
      </c>
      <c r="G204" s="12" t="str">
        <f ca="1">VLOOKUP(F204,Table11[[Native]:[Population4]],5,FALSE)</f>
        <v>榆林市</v>
      </c>
    </row>
    <row r="205" spans="1:7" ht="15.75" thickBot="1" x14ac:dyDescent="0.3">
      <c r="A205" t="s">
        <v>3025</v>
      </c>
      <c r="B205" s="1" t="s">
        <v>3026</v>
      </c>
      <c r="C205" s="1" t="s">
        <v>7</v>
      </c>
      <c r="D205" s="1" t="s">
        <v>2685</v>
      </c>
      <c r="E205" s="9">
        <v>10414</v>
      </c>
      <c r="F205" s="1" t="str">
        <f>VLOOKUP(D205,Table11[[Name]:[Native]],3,FALSE)</f>
        <v>佳县</v>
      </c>
      <c r="G205" s="12" t="str">
        <f ca="1">VLOOKUP(F205,Table11[[Native]:[Population4]],5,FALSE)</f>
        <v>榆林市</v>
      </c>
    </row>
    <row r="206" spans="1:7" ht="15.75" thickBot="1" x14ac:dyDescent="0.3">
      <c r="A206" t="s">
        <v>3027</v>
      </c>
      <c r="B206" s="1" t="s">
        <v>3028</v>
      </c>
      <c r="C206" s="1" t="s">
        <v>7</v>
      </c>
      <c r="D206" s="1" t="s">
        <v>2685</v>
      </c>
      <c r="E206" s="9">
        <v>8507</v>
      </c>
      <c r="F206" s="8" t="str">
        <f>VLOOKUP(D206,Table11[[Name]:[Native]],3,FALSE)</f>
        <v>佳县</v>
      </c>
      <c r="G206" s="12" t="str">
        <f ca="1">VLOOKUP(F206,Table11[[Native]:[Population4]],5,FALSE)</f>
        <v>榆林市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8FCAB-E787-4503-BFA0-91C6C9256CC5}">
  <dimension ref="A1:P1536"/>
  <sheetViews>
    <sheetView tabSelected="1" workbookViewId="0">
      <selection activeCell="P2" sqref="P2:P1536"/>
    </sheetView>
  </sheetViews>
  <sheetFormatPr defaultRowHeight="15" x14ac:dyDescent="0.25"/>
  <cols>
    <col min="1" max="9" width="11.28515625" customWidth="1"/>
  </cols>
  <sheetData>
    <row r="1" spans="1:16" x14ac:dyDescent="0.25">
      <c r="A1" t="s">
        <v>3166</v>
      </c>
      <c r="B1" t="s">
        <v>3178</v>
      </c>
      <c r="C1" t="s">
        <v>4124</v>
      </c>
      <c r="D1" t="s">
        <v>3170</v>
      </c>
      <c r="E1" t="s">
        <v>3171</v>
      </c>
      <c r="F1" t="s">
        <v>3172</v>
      </c>
      <c r="G1" t="s">
        <v>3173</v>
      </c>
      <c r="H1" t="s">
        <v>3174</v>
      </c>
      <c r="I1" t="s">
        <v>3175</v>
      </c>
      <c r="J1" t="s">
        <v>3176</v>
      </c>
      <c r="K1" t="s">
        <v>3177</v>
      </c>
      <c r="L1" t="s">
        <v>4125</v>
      </c>
      <c r="M1" t="s">
        <v>4126</v>
      </c>
      <c r="N1" t="s">
        <v>4127</v>
      </c>
      <c r="O1" t="s">
        <v>5654</v>
      </c>
      <c r="P1" t="s">
        <v>5655</v>
      </c>
    </row>
    <row r="2" spans="1:16" hidden="1" x14ac:dyDescent="0.25">
      <c r="A2" t="s">
        <v>2328</v>
      </c>
      <c r="B2" t="str">
        <f t="shared" ref="B2:B65" si="0">IF(COUNTIF(A:A,A2)&gt;1,_xlfn.CONCAT(A2," (",N2,")"),A2)</f>
        <v>Ādăng Zhèn</v>
      </c>
      <c r="C2" t="str">
        <f t="shared" ref="C2:C65" si="1">IF(COUNTIF(B:B,B2)&gt;1,_xlfn.CONCAT(A2," (",M2,")"),B2)</f>
        <v>Ādăng Zhèn</v>
      </c>
      <c r="D2" t="s">
        <v>2329</v>
      </c>
      <c r="E2" t="s">
        <v>7</v>
      </c>
      <c r="F2" t="str">
        <f>_xlfn.CONCAT(D2,", ",H2,", ",I2,", ","陕西省")</f>
        <v>阿党镇, 黄陵县, 延安市, 陕西省</v>
      </c>
      <c r="G2">
        <v>5625</v>
      </c>
      <c r="H2" t="s">
        <v>3138</v>
      </c>
      <c r="I2" t="s">
        <v>3133</v>
      </c>
      <c r="J2">
        <f>VLOOKUP(F2,[1]!china_towns_second__2[[Column1]:[Y]],3,FALSE)</f>
        <v>35.682545470120701</v>
      </c>
      <c r="K2">
        <f>VLOOKUP(F2,[1]!china_towns_second__2[[Column1]:[Y]],2,FALSE)</f>
        <v>109.29454079999999</v>
      </c>
      <c r="L2" t="s">
        <v>4128</v>
      </c>
      <c r="M2" t="str">
        <f>VLOOKUP(H2,CHOOSE({1,2},Table11[Native],Table11[Name]),2,0)</f>
        <v>Huánglíng Xiàn</v>
      </c>
      <c r="N2" s="13" t="str">
        <f>VLOOKUP(I2,CHOOSE({1,2},Table11[Native],Table11[Name]),2,0)</f>
        <v>Yán'ān Shì</v>
      </c>
      <c r="O2" s="13" t="str">
        <f t="shared" ref="O2:O65" si="2">_xlfn.CONCAT(L2," (",N2,")")</f>
        <v>Adang Zhen (Yán'ān Shì)</v>
      </c>
      <c r="P2" s="13" t="str">
        <f t="shared" ref="P2:P65" si="3">IF(COUNTIF(O:O,O2)&gt;1,_xlfn.CONCAT(L2," (",M2,")"),O2)</f>
        <v>Adang Zhen (Yán'ān Shì)</v>
      </c>
    </row>
    <row r="3" spans="1:16" hidden="1" x14ac:dyDescent="0.25">
      <c r="A3" t="s">
        <v>2620</v>
      </c>
      <c r="B3" t="str">
        <f t="shared" si="0"/>
        <v>Àihăomăo Xiāng</v>
      </c>
      <c r="C3" t="str">
        <f t="shared" si="1"/>
        <v>Àihăomăo Xiāng</v>
      </c>
      <c r="D3" t="s">
        <v>2621</v>
      </c>
      <c r="E3" t="s">
        <v>11</v>
      </c>
      <c r="F3" t="str">
        <f>_xlfn.CONCAT(D3,", ",H3,", ",I3,", ","陕西省")</f>
        <v>艾好峁乡, 横山区, 榆林市, 陕西省</v>
      </c>
      <c r="G3">
        <v>5837</v>
      </c>
      <c r="H3" t="s">
        <v>3151</v>
      </c>
      <c r="I3" t="s">
        <v>3148</v>
      </c>
      <c r="J3" t="e">
        <f>VLOOKUP(F3,[1]!china_towns_second__2[[Column1]:[Y]],3,FALSE)</f>
        <v>#N/A</v>
      </c>
      <c r="K3" t="e">
        <f>VLOOKUP(F3,[1]!china_towns_second__2[[Column1]:[Y]],2,FALSE)</f>
        <v>#N/A</v>
      </c>
      <c r="L3" t="s">
        <v>4129</v>
      </c>
      <c r="M3" t="str">
        <f>VLOOKUP(H3,CHOOSE({1,2},Table11[Native],Table11[Name]),2,0)</f>
        <v>Héngshān Qū</v>
      </c>
      <c r="N3" s="13" t="str">
        <f>VLOOKUP(I3,CHOOSE({1,2},Table11[Native],Table11[Name]),2,0)</f>
        <v>Yúlín Shì</v>
      </c>
      <c r="O3" s="13" t="str">
        <f t="shared" si="2"/>
        <v>Aihaomao Xiang (Yúlín Shì)</v>
      </c>
      <c r="P3" s="13" t="str">
        <f t="shared" si="3"/>
        <v>Aihaomao Xiang (Yúlín Shì)</v>
      </c>
    </row>
    <row r="4" spans="1:16" hidden="1" x14ac:dyDescent="0.25">
      <c r="A4" t="s">
        <v>2623</v>
      </c>
      <c r="B4" t="str">
        <f t="shared" si="0"/>
        <v>Ānbiān Zhèn</v>
      </c>
      <c r="C4" t="str">
        <f t="shared" si="1"/>
        <v>Ānbiān Zhèn</v>
      </c>
      <c r="D4" t="s">
        <v>2624</v>
      </c>
      <c r="E4" t="s">
        <v>7</v>
      </c>
      <c r="F4" t="str">
        <f>_xlfn.CONCAT(D4,", ",H4,", ",I4,", ","陕西省")</f>
        <v>安边镇, 定边县, 榆林市, 陕西省</v>
      </c>
      <c r="G4">
        <v>16158</v>
      </c>
      <c r="H4" t="s">
        <v>3149</v>
      </c>
      <c r="I4" t="s">
        <v>3148</v>
      </c>
      <c r="J4">
        <f>VLOOKUP(F4,[1]!china_towns_second__2[[Column1]:[Y]],3,FALSE)</f>
        <v>37.474783580355997</v>
      </c>
      <c r="K4">
        <f>VLOOKUP(F4,[1]!china_towns_second__2[[Column1]:[Y]],2,FALSE)</f>
        <v>108.0644889</v>
      </c>
      <c r="L4" t="s">
        <v>4130</v>
      </c>
      <c r="M4" t="str">
        <f>VLOOKUP(H4,CHOOSE({1,2},Table11[Native],Table11[Name]),2,0)</f>
        <v>Dìngbiān Xiàn</v>
      </c>
      <c r="N4" s="13" t="str">
        <f>VLOOKUP(I4,CHOOSE({1,2},Table11[Native],Table11[Name]),2,0)</f>
        <v>Yúlín Shì</v>
      </c>
      <c r="O4" s="13" t="str">
        <f t="shared" si="2"/>
        <v>Anbian Zhen (Yúlín Shì)</v>
      </c>
      <c r="P4" s="13" t="str">
        <f t="shared" si="3"/>
        <v>Anbian Zhen (Yúlín Shì)</v>
      </c>
    </row>
    <row r="5" spans="1:16" hidden="1" x14ac:dyDescent="0.25">
      <c r="A5" t="s">
        <v>1966</v>
      </c>
      <c r="B5" t="str">
        <f t="shared" si="0"/>
        <v>Āncūn Zhèn</v>
      </c>
      <c r="C5" t="str">
        <f t="shared" si="1"/>
        <v>Āncūn Zhèn</v>
      </c>
      <c r="D5" t="s">
        <v>1967</v>
      </c>
      <c r="E5" t="s">
        <v>7</v>
      </c>
      <c r="F5" t="str">
        <f>_xlfn.CONCAT(D5,", ",H5,", ",I5,", ","陕西省")</f>
        <v>安村镇, 蓝田县, 西安市, 陕西省</v>
      </c>
      <c r="G5">
        <v>26340</v>
      </c>
      <c r="H5" t="s">
        <v>3108</v>
      </c>
      <c r="I5" t="s">
        <v>3102</v>
      </c>
      <c r="J5">
        <f>VLOOKUP(F5,[1]!china_towns_second__2[[Column1]:[Y]],3,FALSE)</f>
        <v>34.134517036267397</v>
      </c>
      <c r="K5">
        <f>VLOOKUP(F5,[1]!china_towns_second__2[[Column1]:[Y]],2,FALSE)</f>
        <v>109.2734911</v>
      </c>
      <c r="L5" t="s">
        <v>4131</v>
      </c>
      <c r="M5" t="str">
        <f>VLOOKUP(H5,CHOOSE({1,2},Table11[Native],Table11[Name]),2,0)</f>
        <v>Lántián Xiàn</v>
      </c>
      <c r="N5" s="13" t="str">
        <f>VLOOKUP(I5,CHOOSE({1,2},Table11[Native],Table11[Name]),2,0)</f>
        <v>Xī'ān Shì</v>
      </c>
      <c r="O5" s="13" t="str">
        <f t="shared" si="2"/>
        <v>Ancun Zhen (Xī'ān Shì)</v>
      </c>
      <c r="P5" s="13" t="str">
        <f t="shared" si="3"/>
        <v>Ancun Zhen (Xī'ān Shì)</v>
      </c>
    </row>
    <row r="6" spans="1:16" hidden="1" x14ac:dyDescent="0.25">
      <c r="A6" t="s">
        <v>2331</v>
      </c>
      <c r="B6" t="str">
        <f t="shared" si="0"/>
        <v>Āndìng Zhèn</v>
      </c>
      <c r="C6" t="str">
        <f t="shared" si="1"/>
        <v>Āndìng Zhèn</v>
      </c>
      <c r="D6" t="s">
        <v>2332</v>
      </c>
      <c r="E6" t="s">
        <v>7</v>
      </c>
      <c r="F6" t="str">
        <f>_xlfn.CONCAT(D6,", ",H6,", ",I6,", ","陕西省")</f>
        <v>安定镇, 子长市, 延安市, 陕西省</v>
      </c>
      <c r="G6">
        <v>11692</v>
      </c>
      <c r="H6" t="s">
        <v>3146</v>
      </c>
      <c r="I6" t="s">
        <v>3133</v>
      </c>
      <c r="J6">
        <f>VLOOKUP(F6,[1]!china_towns_second__2[[Column1]:[Y]],3,FALSE)</f>
        <v>37.1635859881805</v>
      </c>
      <c r="K6">
        <f>VLOOKUP(F6,[1]!china_towns_second__2[[Column1]:[Y]],2,FALSE)</f>
        <v>109.4421318</v>
      </c>
      <c r="L6" t="s">
        <v>4132</v>
      </c>
      <c r="M6" t="str">
        <f>VLOOKUP(H6,CHOOSE({1,2},Table11[Native],Table11[Name]),2,0)</f>
        <v>Zicháng Shì</v>
      </c>
      <c r="N6" s="13" t="str">
        <f>VLOOKUP(I6,CHOOSE({1,2},Table11[Native],Table11[Name]),2,0)</f>
        <v>Yán'ān Shì</v>
      </c>
      <c r="O6" s="13" t="str">
        <f t="shared" si="2"/>
        <v>Anding Zhen (Yán'ān Shì)</v>
      </c>
      <c r="P6" s="13" t="str">
        <f t="shared" si="3"/>
        <v>Anding Zhen (Yán'ān Shì)</v>
      </c>
    </row>
    <row r="7" spans="1:16" hidden="1" x14ac:dyDescent="0.25">
      <c r="A7" t="s">
        <v>2334</v>
      </c>
      <c r="B7" t="str">
        <f t="shared" si="0"/>
        <v>Āngōu Zhèn</v>
      </c>
      <c r="C7" t="str">
        <f t="shared" si="1"/>
        <v>Āngōu Zhèn</v>
      </c>
      <c r="D7" t="s">
        <v>2335</v>
      </c>
      <c r="E7" t="s">
        <v>7</v>
      </c>
      <c r="F7" t="str">
        <f>_xlfn.CONCAT(D7,", ",H7,", ",I7,", ","陕西省")</f>
        <v>安沟镇, 延长县, 延安市, 陕西省</v>
      </c>
      <c r="G7">
        <v>6899</v>
      </c>
      <c r="H7" t="s">
        <v>3142</v>
      </c>
      <c r="I7" t="s">
        <v>3133</v>
      </c>
      <c r="J7">
        <f>VLOOKUP(F7,[1]!china_towns_second__2[[Column1]:[Y]],3,FALSE)</f>
        <v>36.465923185877799</v>
      </c>
      <c r="K7">
        <f>VLOOKUP(F7,[1]!china_towns_second__2[[Column1]:[Y]],2,FALSE)</f>
        <v>110.0565539</v>
      </c>
      <c r="L7" t="s">
        <v>4133</v>
      </c>
      <c r="M7" t="str">
        <f>VLOOKUP(H7,CHOOSE({1,2},Table11[Native],Table11[Name]),2,0)</f>
        <v>Yáncháng Xiàn</v>
      </c>
      <c r="N7" s="13" t="str">
        <f>VLOOKUP(I7,CHOOSE({1,2},Table11[Native],Table11[Name]),2,0)</f>
        <v>Yán'ān Shì</v>
      </c>
      <c r="O7" s="13" t="str">
        <f t="shared" si="2"/>
        <v>Angou Zhen (Yán'ān Shì)</v>
      </c>
      <c r="P7" s="13" t="str">
        <f t="shared" si="3"/>
        <v>Angou Zhen (Yán'ān Shì)</v>
      </c>
    </row>
    <row r="8" spans="1:16" hidden="1" x14ac:dyDescent="0.25">
      <c r="A8" t="s">
        <v>2337</v>
      </c>
      <c r="B8" t="str">
        <f t="shared" si="0"/>
        <v>Ānhé Zhèn</v>
      </c>
      <c r="C8" t="str">
        <f t="shared" si="1"/>
        <v>Ānhé Zhèn</v>
      </c>
      <c r="D8" t="s">
        <v>2338</v>
      </c>
      <c r="E8" t="s">
        <v>7</v>
      </c>
      <c r="F8" t="str">
        <f>_xlfn.CONCAT(D8,", ",H8,", ",I8,", ","陕西省")</f>
        <v>安河镇, 延长县, 延安市, 陕西省</v>
      </c>
      <c r="G8">
        <v>3620</v>
      </c>
      <c r="H8" t="s">
        <v>3142</v>
      </c>
      <c r="I8" t="s">
        <v>3133</v>
      </c>
      <c r="J8">
        <f>VLOOKUP(F8,[1]!china_towns_second__2[[Column1]:[Y]],3,FALSE)</f>
        <v>36.552994300000002</v>
      </c>
      <c r="K8">
        <f>VLOOKUP(F8,[1]!china_towns_second__2[[Column1]:[Y]],2,FALSE)</f>
        <v>110.2976965</v>
      </c>
      <c r="L8" t="s">
        <v>4134</v>
      </c>
      <c r="M8" t="str">
        <f>VLOOKUP(H8,CHOOSE({1,2},Table11[Native],Table11[Name]),2,0)</f>
        <v>Yáncháng Xiàn</v>
      </c>
      <c r="N8" s="13" t="str">
        <f>VLOOKUP(I8,CHOOSE({1,2},Table11[Native],Table11[Name]),2,0)</f>
        <v>Yán'ān Shì</v>
      </c>
      <c r="O8" s="13" t="str">
        <f t="shared" si="2"/>
        <v>Anhe Zhen (Yán'ān Shì)</v>
      </c>
      <c r="P8" s="13" t="str">
        <f t="shared" si="3"/>
        <v>Anhe Zhen (Yán'ān Shì)</v>
      </c>
    </row>
    <row r="9" spans="1:16" hidden="1" x14ac:dyDescent="0.25">
      <c r="A9" t="s">
        <v>339</v>
      </c>
      <c r="B9" t="str">
        <f t="shared" si="0"/>
        <v>Ānlè Zhèn</v>
      </c>
      <c r="C9" t="str">
        <f t="shared" si="1"/>
        <v>Ānlè Zhèn</v>
      </c>
      <c r="D9" t="s">
        <v>340</v>
      </c>
      <c r="E9" t="s">
        <v>7</v>
      </c>
      <c r="F9" t="str">
        <f>_xlfn.CONCAT(D9,", ",H9,", ",I9,", ","陕西省")</f>
        <v>安乐镇, 岐山县, 宝鸡市, 陕西省</v>
      </c>
      <c r="G9">
        <v>26364</v>
      </c>
      <c r="H9" t="s">
        <v>3055</v>
      </c>
      <c r="I9" t="s">
        <v>3045</v>
      </c>
      <c r="J9">
        <f>VLOOKUP(F9,[1]!china_towns_second__2[[Column1]:[Y]],3,FALSE)</f>
        <v>34.220663500000001</v>
      </c>
      <c r="K9">
        <f>VLOOKUP(F9,[1]!china_towns_second__2[[Column1]:[Y]],2,FALSE)</f>
        <v>107.6623278</v>
      </c>
      <c r="L9" t="s">
        <v>4135</v>
      </c>
      <c r="M9" t="str">
        <f>VLOOKUP(H9,CHOOSE({1,2},Table11[Native],Table11[Name]),2,0)</f>
        <v>Qíshān Xiàn</v>
      </c>
      <c r="N9" s="13" t="str">
        <f>VLOOKUP(I9,CHOOSE({1,2},Table11[Native],Table11[Name]),2,0)</f>
        <v>Băojī Shì</v>
      </c>
      <c r="O9" s="13" t="str">
        <f t="shared" si="2"/>
        <v>Anle Zhen (Băojī Shì)</v>
      </c>
      <c r="P9" s="13" t="str">
        <f t="shared" si="3"/>
        <v>Anle Zhen (Băojī Shì)</v>
      </c>
    </row>
    <row r="10" spans="1:16" hidden="1" x14ac:dyDescent="0.25">
      <c r="A10" t="s">
        <v>623</v>
      </c>
      <c r="B10" t="str">
        <f t="shared" si="0"/>
        <v>Ānlèhé Zhèn</v>
      </c>
      <c r="C10" t="str">
        <f t="shared" si="1"/>
        <v>Ānlèhé Zhèn</v>
      </c>
      <c r="D10" t="s">
        <v>624</v>
      </c>
      <c r="E10" t="s">
        <v>7</v>
      </c>
      <c r="F10" t="str">
        <f>_xlfn.CONCAT(D10,", ",H10,", ",I10,", ","陕西省")</f>
        <v>安乐河镇, 宁强县, 汉中市, 陕西省</v>
      </c>
      <c r="G10">
        <v>8419</v>
      </c>
      <c r="H10" t="s">
        <v>3067</v>
      </c>
      <c r="I10" t="s">
        <v>3059</v>
      </c>
      <c r="J10">
        <f>VLOOKUP(F10,[1]!china_towns_second__2[[Column1]:[Y]],3,FALSE)</f>
        <v>32.8593141473795</v>
      </c>
      <c r="K10">
        <f>VLOOKUP(F10,[1]!china_towns_second__2[[Column1]:[Y]],2,FALSE)</f>
        <v>105.7849823</v>
      </c>
      <c r="L10" t="s">
        <v>4136</v>
      </c>
      <c r="M10" t="str">
        <f>VLOOKUP(H10,CHOOSE({1,2},Table11[Native],Table11[Name]),2,0)</f>
        <v>Níngqiáng Xiàn</v>
      </c>
      <c r="N10" s="13" t="str">
        <f>VLOOKUP(I10,CHOOSE({1,2},Table11[Native],Table11[Name]),2,0)</f>
        <v>Hànzhōng Shì</v>
      </c>
      <c r="O10" s="13" t="str">
        <f t="shared" si="2"/>
        <v>Anlehe Zhen (Hànzhōng Shì)</v>
      </c>
      <c r="P10" s="13" t="str">
        <f t="shared" si="3"/>
        <v>Anlehe Zhen (Hànzhōng Shì)</v>
      </c>
    </row>
    <row r="11" spans="1:16" hidden="1" x14ac:dyDescent="0.25">
      <c r="A11" t="s">
        <v>1366</v>
      </c>
      <c r="B11" t="str">
        <f t="shared" si="0"/>
        <v>Ānlĭ Zhèn</v>
      </c>
      <c r="C11" t="str">
        <f t="shared" si="1"/>
        <v>Ānlĭ Zhèn</v>
      </c>
      <c r="D11" t="s">
        <v>1367</v>
      </c>
      <c r="E11" t="s">
        <v>7</v>
      </c>
      <c r="F11" t="str">
        <f>_xlfn.CONCAT(D11,", ",H11,", ",I11,", ","陕西省")</f>
        <v>安里镇, 澄城县, 渭南市, 陕西省</v>
      </c>
      <c r="G11">
        <v>23406</v>
      </c>
      <c r="H11" t="s">
        <v>3089</v>
      </c>
      <c r="I11" t="s">
        <v>3087</v>
      </c>
      <c r="J11">
        <f>VLOOKUP(F11,[1]!china_towns_second__2[[Column1]:[Y]],3,FALSE)</f>
        <v>35.213200546545501</v>
      </c>
      <c r="K11">
        <f>VLOOKUP(F11,[1]!china_towns_second__2[[Column1]:[Y]],2,FALSE)</f>
        <v>109.8328369</v>
      </c>
      <c r="L11" t="s">
        <v>4137</v>
      </c>
      <c r="M11" t="str">
        <f>VLOOKUP(H11,CHOOSE({1,2},Table11[Native],Table11[Name]),2,0)</f>
        <v>Chéngchéng Xiàn</v>
      </c>
      <c r="N11" s="13" t="str">
        <f>VLOOKUP(I11,CHOOSE({1,2},Table11[Native],Table11[Name]),2,0)</f>
        <v>Wèinán Shì</v>
      </c>
      <c r="O11" s="13" t="str">
        <f t="shared" si="2"/>
        <v>Anli Zhen (Wèinán Shì)</v>
      </c>
      <c r="P11" s="13" t="str">
        <f t="shared" si="3"/>
        <v>Anli Zhen (Wèinán Shì)</v>
      </c>
    </row>
    <row r="12" spans="1:16" hidden="1" x14ac:dyDescent="0.25">
      <c r="A12" t="s">
        <v>1369</v>
      </c>
      <c r="B12" t="str">
        <f t="shared" si="0"/>
        <v>Ānrén Zhèn</v>
      </c>
      <c r="C12" t="str">
        <f t="shared" si="1"/>
        <v>Ānrén Zhèn</v>
      </c>
      <c r="D12" t="s">
        <v>1370</v>
      </c>
      <c r="E12" t="s">
        <v>7</v>
      </c>
      <c r="F12" t="str">
        <f>_xlfn.CONCAT(D12,", ",H12,", ",I12,", ","陕西省")</f>
        <v>安仁镇, 大荔县, 渭南市, 陕西省</v>
      </c>
      <c r="G12">
        <v>31169</v>
      </c>
      <c r="H12" t="s">
        <v>3090</v>
      </c>
      <c r="I12" t="s">
        <v>3087</v>
      </c>
      <c r="J12">
        <f>VLOOKUP(F12,[1]!china_towns_second__2[[Column1]:[Y]],3,FALSE)</f>
        <v>34.865418628406601</v>
      </c>
      <c r="K12">
        <f>VLOOKUP(F12,[1]!china_towns_second__2[[Column1]:[Y]],2,FALSE)</f>
        <v>110.085686</v>
      </c>
      <c r="L12" t="s">
        <v>4138</v>
      </c>
      <c r="M12" t="str">
        <f>VLOOKUP(H12,CHOOSE({1,2},Table11[Native],Table11[Name]),2,0)</f>
        <v>Dàlì Xiàn</v>
      </c>
      <c r="N12" s="13" t="str">
        <f>VLOOKUP(I12,CHOOSE({1,2},Table11[Native],Table11[Name]),2,0)</f>
        <v>Wèinán Shì</v>
      </c>
      <c r="O12" s="13" t="str">
        <f t="shared" si="2"/>
        <v>Anren Zhen (Wèinán Shì)</v>
      </c>
      <c r="P12" s="13" t="str">
        <f t="shared" si="3"/>
        <v>Anren Zhen (Wèinán Shì)</v>
      </c>
    </row>
    <row r="13" spans="1:16" hidden="1" x14ac:dyDescent="0.25">
      <c r="A13" t="s">
        <v>1711</v>
      </c>
      <c r="B13" t="str">
        <f t="shared" si="0"/>
        <v>Ānwú Zhèn [incl. Jiănglù Xiāng, Lóngquán Xiāng]</v>
      </c>
      <c r="C13" t="str">
        <f t="shared" si="1"/>
        <v>Ānwú Zhèn [incl. Jiănglù Xiāng, Lóngquán Xiāng]</v>
      </c>
      <c r="D13" t="s">
        <v>1712</v>
      </c>
      <c r="E13" t="s">
        <v>7</v>
      </c>
      <c r="F13" t="str">
        <f>_xlfn.CONCAT(D13,", ",H13,", ",I13,", ","陕西省")</f>
        <v>安吴镇, 泾阳县, 咸阳市, 陕西省</v>
      </c>
      <c r="G13">
        <v>36465</v>
      </c>
      <c r="H13" t="s">
        <v>3121</v>
      </c>
      <c r="I13" t="s">
        <v>3117</v>
      </c>
      <c r="J13">
        <f>VLOOKUP(F13,[1]!china_towns_second__2[[Column1]:[Y]],3,FALSE)</f>
        <v>34.684885525353799</v>
      </c>
      <c r="K13">
        <f>VLOOKUP(F13,[1]!china_towns_second__2[[Column1]:[Y]],2,FALSE)</f>
        <v>108.8282304</v>
      </c>
      <c r="L13" t="s">
        <v>4139</v>
      </c>
      <c r="M13" t="str">
        <f>VLOOKUP(H13,CHOOSE({1,2},Table11[Native],Table11[Name]),2,0)</f>
        <v>Jīngyáng Xiàn</v>
      </c>
      <c r="N13" s="13" t="str">
        <f>VLOOKUP(I13,CHOOSE({1,2},Table11[Native],Table11[Name]),2,0)</f>
        <v>Xiányáng Shì</v>
      </c>
      <c r="O13" s="13" t="str">
        <f t="shared" si="2"/>
        <v>Anwu Zhen [incl. Jianglu Xiang, Longquan Xiang] (Xiányáng Shì)</v>
      </c>
      <c r="P13" s="13" t="str">
        <f t="shared" si="3"/>
        <v>Anwu Zhen [incl. Jianglu Xiang, Longquan Xiang] (Xiányáng Shì)</v>
      </c>
    </row>
    <row r="14" spans="1:16" hidden="1" x14ac:dyDescent="0.25">
      <c r="A14" t="s">
        <v>2626</v>
      </c>
      <c r="B14" t="str">
        <f t="shared" si="0"/>
        <v>Ānyá Zhèn</v>
      </c>
      <c r="C14" t="str">
        <f t="shared" si="1"/>
        <v>Ānyá Zhèn</v>
      </c>
      <c r="D14" t="s">
        <v>2627</v>
      </c>
      <c r="E14" t="s">
        <v>7</v>
      </c>
      <c r="F14" t="str">
        <f>_xlfn.CONCAT(D14,", ",H14,", ",I14,", ","陕西省")</f>
        <v>安崖镇, 榆阳区, 榆林市, 陕西省</v>
      </c>
      <c r="G14">
        <v>4537</v>
      </c>
      <c r="H14" t="s">
        <v>3159</v>
      </c>
      <c r="I14" t="s">
        <v>3148</v>
      </c>
      <c r="J14">
        <f>VLOOKUP(F14,[1]!china_towns_second__2[[Column1]:[Y]],3,FALSE)</f>
        <v>38.427</v>
      </c>
      <c r="K14">
        <f>VLOOKUP(F14,[1]!china_towns_second__2[[Column1]:[Y]],2,FALSE)</f>
        <v>110.2677</v>
      </c>
      <c r="L14" t="s">
        <v>4140</v>
      </c>
      <c r="M14" t="str">
        <f>VLOOKUP(H14,CHOOSE({1,2},Table11[Native],Table11[Name]),2,0)</f>
        <v>Yúyáng Qū</v>
      </c>
      <c r="N14" s="13" t="str">
        <f>VLOOKUP(I14,CHOOSE({1,2},Table11[Native],Table11[Name]),2,0)</f>
        <v>Yúlín Shì</v>
      </c>
      <c r="O14" s="13" t="str">
        <f t="shared" si="2"/>
        <v>Anya Zhen (Yúlín Shì)</v>
      </c>
      <c r="P14" s="13" t="str">
        <f t="shared" si="3"/>
        <v>Anya Zhen (Yúlín Shì)</v>
      </c>
    </row>
    <row r="15" spans="1:16" hidden="1" x14ac:dyDescent="0.25">
      <c r="A15" t="s">
        <v>1290</v>
      </c>
      <c r="B15" t="str">
        <f t="shared" si="0"/>
        <v>Āzhuāng Zhèn</v>
      </c>
      <c r="C15" t="str">
        <f t="shared" si="1"/>
        <v>Āzhuāng Zhèn</v>
      </c>
      <c r="D15" t="s">
        <v>1291</v>
      </c>
      <c r="E15" t="s">
        <v>7</v>
      </c>
      <c r="F15" t="str">
        <f>_xlfn.CONCAT(D15,", ",H15,", ",I15,", ","陕西省")</f>
        <v>阿庄镇, 印台区, 铜川市, 陕西省</v>
      </c>
      <c r="G15">
        <v>10375</v>
      </c>
      <c r="H15" t="s">
        <v>3085</v>
      </c>
      <c r="I15" t="s">
        <v>3081</v>
      </c>
      <c r="J15">
        <f>VLOOKUP(F15,[1]!china_towns_second__2[[Column1]:[Y]],3,FALSE)</f>
        <v>35.199540968091299</v>
      </c>
      <c r="K15">
        <f>VLOOKUP(F15,[1]!china_towns_second__2[[Column1]:[Y]],2,FALSE)</f>
        <v>109.2945708</v>
      </c>
      <c r="L15" t="s">
        <v>4141</v>
      </c>
      <c r="M15" t="str">
        <f>VLOOKUP(H15,CHOOSE({1,2},Table11[Native],Table11[Name]),2,0)</f>
        <v>Yìntái Qū</v>
      </c>
      <c r="N15" s="13" t="str">
        <f>VLOOKUP(I15,CHOOSE({1,2},Table11[Native],Table11[Name]),2,0)</f>
        <v>Tóngchuān Shì</v>
      </c>
      <c r="O15" s="13" t="str">
        <f t="shared" si="2"/>
        <v>Azhuang Zhen (Tóngchuān Shì)</v>
      </c>
      <c r="P15" s="13" t="str">
        <f t="shared" si="3"/>
        <v>Azhuang Zhen (Tóngchuān Shì)</v>
      </c>
    </row>
    <row r="16" spans="1:16" hidden="1" x14ac:dyDescent="0.25">
      <c r="A16" t="s">
        <v>342</v>
      </c>
      <c r="B16" t="str">
        <f t="shared" si="0"/>
        <v>Bādù Zhèn</v>
      </c>
      <c r="C16" t="str">
        <f t="shared" si="1"/>
        <v>Bādù Zhèn</v>
      </c>
      <c r="D16" t="s">
        <v>343</v>
      </c>
      <c r="E16" t="s">
        <v>7</v>
      </c>
      <c r="F16" t="str">
        <f>_xlfn.CONCAT(D16,", ",H16,", ",I16,", ","陕西省")</f>
        <v>八渡镇, 陇县, 宝鸡市, 陕西省</v>
      </c>
      <c r="G16">
        <v>8433</v>
      </c>
      <c r="H16" t="s">
        <v>3052</v>
      </c>
      <c r="I16" t="s">
        <v>3045</v>
      </c>
      <c r="J16">
        <f>VLOOKUP(F16,[1]!china_towns_second__2[[Column1]:[Y]],3,FALSE)</f>
        <v>34.7038642065502</v>
      </c>
      <c r="K16">
        <f>VLOOKUP(F16,[1]!china_towns_second__2[[Column1]:[Y]],2,FALSE)</f>
        <v>106.7910389</v>
      </c>
      <c r="L16" t="s">
        <v>4142</v>
      </c>
      <c r="M16" t="str">
        <f>VLOOKUP(H16,CHOOSE({1,2},Table11[Native],Table11[Name]),2,0)</f>
        <v>Lŏng Xiàn</v>
      </c>
      <c r="N16" s="13" t="str">
        <f>VLOOKUP(I16,CHOOSE({1,2},Table11[Native],Table11[Name]),2,0)</f>
        <v>Băojī Shì</v>
      </c>
      <c r="O16" s="13" t="str">
        <f t="shared" si="2"/>
        <v>Badu Zhen (Băojī Shì)</v>
      </c>
      <c r="P16" s="13" t="str">
        <f t="shared" si="3"/>
        <v>Badu Zhen (Băojī Shì)</v>
      </c>
    </row>
    <row r="17" spans="1:16" hidden="1" x14ac:dyDescent="0.25">
      <c r="A17" t="s">
        <v>5</v>
      </c>
      <c r="B17" t="str">
        <f t="shared" si="0"/>
        <v>Bàhé Zhèn</v>
      </c>
      <c r="C17" t="str">
        <f t="shared" si="1"/>
        <v>Bàhé Zhèn</v>
      </c>
      <c r="D17" t="s">
        <v>6</v>
      </c>
      <c r="E17" t="s">
        <v>7</v>
      </c>
      <c r="F17" t="str">
        <f>_xlfn.CONCAT(D17,", ",H17,", ",I17,", ","陕西省")</f>
        <v>坝河镇, 汉滨区, 安康市, 陕西省</v>
      </c>
      <c r="G17">
        <v>8437</v>
      </c>
      <c r="H17" t="s">
        <v>3035</v>
      </c>
      <c r="I17" t="s">
        <v>3031</v>
      </c>
      <c r="J17">
        <f>VLOOKUP(F17,[1]!china_towns_second__2[[Column1]:[Y]],3,FALSE)</f>
        <v>32.624182490673903</v>
      </c>
      <c r="K17">
        <f>VLOOKUP(F17,[1]!china_towns_second__2[[Column1]:[Y]],2,FALSE)</f>
        <v>109.30305269999999</v>
      </c>
      <c r="L17" t="s">
        <v>4143</v>
      </c>
      <c r="M17" t="str">
        <f>VLOOKUP(H17,CHOOSE({1,2},Table11[Native],Table11[Name]),2,0)</f>
        <v>Hànbīn Qū</v>
      </c>
      <c r="N17" s="13" t="str">
        <f>VLOOKUP(I17,CHOOSE({1,2},Table11[Native],Table11[Name]),2,0)</f>
        <v>Ānkāng Shì</v>
      </c>
      <c r="O17" s="13" t="str">
        <f t="shared" si="2"/>
        <v>Bahe Zhen (Ānkāng Shì)</v>
      </c>
      <c r="P17" s="13" t="str">
        <f t="shared" si="3"/>
        <v>Bahe Zhen (Ānkāng Shì)</v>
      </c>
    </row>
    <row r="18" spans="1:16" hidden="1" x14ac:dyDescent="0.25">
      <c r="A18" t="s">
        <v>2339</v>
      </c>
      <c r="B18" t="str">
        <f t="shared" si="0"/>
        <v>Báibào Zhèn</v>
      </c>
      <c r="C18" t="str">
        <f t="shared" si="1"/>
        <v>Báibào Zhèn</v>
      </c>
      <c r="D18" t="s">
        <v>2340</v>
      </c>
      <c r="E18" t="s">
        <v>7</v>
      </c>
      <c r="F18" t="str">
        <f>_xlfn.CONCAT(D18,", ",H18,", ",I18,", ","陕西省")</f>
        <v>白豹镇, 吴起县, 延安市, 陕西省</v>
      </c>
      <c r="G18">
        <v>12921</v>
      </c>
      <c r="H18" t="s">
        <v>3141</v>
      </c>
      <c r="I18" t="s">
        <v>3133</v>
      </c>
      <c r="J18">
        <f>VLOOKUP(F18,[1]!china_towns_second__2[[Column1]:[Y]],3,FALSE)</f>
        <v>36.702036844816398</v>
      </c>
      <c r="K18">
        <f>VLOOKUP(F18,[1]!china_towns_second__2[[Column1]:[Y]],2,FALSE)</f>
        <v>108.1590336</v>
      </c>
      <c r="L18" t="s">
        <v>4144</v>
      </c>
      <c r="M18" t="str">
        <f>VLOOKUP(H18,CHOOSE({1,2},Table11[Native],Table11[Name]),2,0)</f>
        <v>Wúqĭ Xiàn</v>
      </c>
      <c r="N18" s="13" t="str">
        <f>VLOOKUP(I18,CHOOSE({1,2},Table11[Native],Table11[Name]),2,0)</f>
        <v>Yán'ān Shì</v>
      </c>
      <c r="O18" s="13" t="str">
        <f t="shared" si="2"/>
        <v>Baibao Zhen (Yán'ān Shì)</v>
      </c>
      <c r="P18" s="13" t="str">
        <f t="shared" si="3"/>
        <v>Baibao Zhen (Yán'ān Shì)</v>
      </c>
    </row>
    <row r="19" spans="1:16" hidden="1" x14ac:dyDescent="0.25">
      <c r="A19" t="s">
        <v>9</v>
      </c>
      <c r="B19" t="str">
        <f t="shared" si="0"/>
        <v>Báijiā Xiāng</v>
      </c>
      <c r="C19" t="str">
        <f t="shared" si="1"/>
        <v>Báijiā Xiāng</v>
      </c>
      <c r="D19" t="s">
        <v>10</v>
      </c>
      <c r="E19" t="s">
        <v>11</v>
      </c>
      <c r="F19" t="str">
        <f>_xlfn.CONCAT(D19,", ",H19,", ",I19,", ","陕西省")</f>
        <v>白家乡, 镇坪县, 安康市, 陕西省</v>
      </c>
      <c r="G19">
        <v>2595</v>
      </c>
      <c r="H19" t="s">
        <v>3042</v>
      </c>
      <c r="I19" t="s">
        <v>3031</v>
      </c>
      <c r="J19" t="e">
        <f>VLOOKUP(F19,[1]!china_towns_second__2[[Column1]:[Y]],3,FALSE)</f>
        <v>#N/A</v>
      </c>
      <c r="K19" t="e">
        <f>VLOOKUP(F19,[1]!china_towns_second__2[[Column1]:[Y]],2,FALSE)</f>
        <v>#N/A</v>
      </c>
      <c r="L19" t="s">
        <v>4145</v>
      </c>
      <c r="M19" t="str">
        <f>VLOOKUP(H19,CHOOSE({1,2},Table11[Native],Table11[Name]),2,0)</f>
        <v>Zhènpíng Xiàn</v>
      </c>
      <c r="N19" s="13" t="str">
        <f>VLOOKUP(I19,CHOOSE({1,2},Table11[Native],Table11[Name]),2,0)</f>
        <v>Ānkāng Shì</v>
      </c>
      <c r="O19" s="13" t="str">
        <f t="shared" si="2"/>
        <v>Baijia Xiang (Ānkāng Shì)</v>
      </c>
      <c r="P19" s="13" t="str">
        <f t="shared" si="3"/>
        <v>Baijia Xiang (Ānkāng Shì)</v>
      </c>
    </row>
    <row r="20" spans="1:16" hidden="1" x14ac:dyDescent="0.25">
      <c r="A20" t="s">
        <v>2629</v>
      </c>
      <c r="B20" t="str">
        <f t="shared" si="0"/>
        <v>Báijiājiăn Zhèn</v>
      </c>
      <c r="C20" t="str">
        <f t="shared" si="1"/>
        <v>Báijiājiăn Zhèn</v>
      </c>
      <c r="D20" t="s">
        <v>2630</v>
      </c>
      <c r="E20" t="s">
        <v>7</v>
      </c>
      <c r="F20" t="str">
        <f>_xlfn.CONCAT(D20,", ",H20,", ",I20,", ","陕西省")</f>
        <v>白家硷镇, 绥德县, 榆林市, 陕西省</v>
      </c>
      <c r="G20">
        <v>10086</v>
      </c>
      <c r="H20" t="s">
        <v>3157</v>
      </c>
      <c r="I20" t="s">
        <v>3148</v>
      </c>
      <c r="J20">
        <f>VLOOKUP(F20,[1]!china_towns_second__2[[Column1]:[Y]],3,FALSE)</f>
        <v>37.4523609200252</v>
      </c>
      <c r="K20">
        <f>VLOOKUP(F20,[1]!china_towns_second__2[[Column1]:[Y]],2,FALSE)</f>
        <v>110.3418897</v>
      </c>
      <c r="L20" t="s">
        <v>4146</v>
      </c>
      <c r="M20" t="str">
        <f>VLOOKUP(H20,CHOOSE({1,2},Table11[Native],Table11[Name]),2,0)</f>
        <v>Suídé Xiàn</v>
      </c>
      <c r="N20" s="13" t="str">
        <f>VLOOKUP(I20,CHOOSE({1,2},Table11[Native],Table11[Name]),2,0)</f>
        <v>Yúlín Shì</v>
      </c>
      <c r="O20" s="13" t="str">
        <f t="shared" si="2"/>
        <v>Baijiajian Zhen (Yúlín Shì)</v>
      </c>
      <c r="P20" s="13" t="str">
        <f t="shared" si="3"/>
        <v>Baijiajian Zhen (Yúlín Shì)</v>
      </c>
    </row>
    <row r="21" spans="1:16" hidden="1" x14ac:dyDescent="0.25">
      <c r="A21" t="s">
        <v>2632</v>
      </c>
      <c r="B21" t="str">
        <f t="shared" si="0"/>
        <v>Báijiè Zhèn</v>
      </c>
      <c r="C21" t="str">
        <f t="shared" si="1"/>
        <v>Báijiè Zhèn</v>
      </c>
      <c r="D21" t="s">
        <v>2633</v>
      </c>
      <c r="E21" t="s">
        <v>7</v>
      </c>
      <c r="F21" t="str">
        <f>_xlfn.CONCAT(D21,", ",H21,", ",I21,", ","陕西省")</f>
        <v>白界镇, 横山区, 榆林市, 陕西省</v>
      </c>
      <c r="G21">
        <v>22170</v>
      </c>
      <c r="H21" t="s">
        <v>3151</v>
      </c>
      <c r="I21" t="s">
        <v>3148</v>
      </c>
      <c r="J21">
        <f>VLOOKUP(F21,[1]!china_towns_second__2[[Column1]:[Y]],3,FALSE)</f>
        <v>38.116542433381298</v>
      </c>
      <c r="K21">
        <f>VLOOKUP(F21,[1]!china_towns_second__2[[Column1]:[Y]],2,FALSE)</f>
        <v>109.66506800000001</v>
      </c>
      <c r="L21" t="s">
        <v>4147</v>
      </c>
      <c r="M21" t="str">
        <f>VLOOKUP(H21,CHOOSE({1,2},Table11[Native],Table11[Name]),2,0)</f>
        <v>Héngshān Qū</v>
      </c>
      <c r="N21" s="13" t="str">
        <f>VLOOKUP(I21,CHOOSE({1,2},Table11[Native],Table11[Name]),2,0)</f>
        <v>Yúlín Shì</v>
      </c>
      <c r="O21" s="13" t="str">
        <f t="shared" si="2"/>
        <v>Baijie Zhen (Yúlín Shì)</v>
      </c>
      <c r="P21" s="13" t="str">
        <f t="shared" si="3"/>
        <v>Baijie Zhen (Yúlín Shì)</v>
      </c>
    </row>
    <row r="22" spans="1:16" hidden="1" x14ac:dyDescent="0.25">
      <c r="A22" t="s">
        <v>1372</v>
      </c>
      <c r="B22" t="str">
        <f t="shared" si="0"/>
        <v>Băiliáng Zhèn</v>
      </c>
      <c r="C22" t="str">
        <f t="shared" si="1"/>
        <v>Băiliáng Zhèn</v>
      </c>
      <c r="D22" t="s">
        <v>1373</v>
      </c>
      <c r="E22" t="s">
        <v>7</v>
      </c>
      <c r="F22" t="str">
        <f>_xlfn.CONCAT(D22,", ",H22,", ",I22,", ","陕西省")</f>
        <v>百良镇, 合阳县, 渭南市, 陕西省</v>
      </c>
      <c r="G22">
        <v>40398</v>
      </c>
      <c r="H22" t="s">
        <v>3094</v>
      </c>
      <c r="I22" t="s">
        <v>3087</v>
      </c>
      <c r="J22">
        <f>VLOOKUP(F22,[1]!china_towns_second__2[[Column1]:[Y]],3,FALSE)</f>
        <v>35.285951465903402</v>
      </c>
      <c r="K22">
        <f>VLOOKUP(F22,[1]!china_towns_second__2[[Column1]:[Y]],2,FALSE)</f>
        <v>110.33913130000001</v>
      </c>
      <c r="L22" t="s">
        <v>4148</v>
      </c>
      <c r="M22" t="str">
        <f>VLOOKUP(H22,CHOOSE({1,2},Table11[Native],Table11[Name]),2,0)</f>
        <v>Héyáng Xiàn</v>
      </c>
      <c r="N22" s="13" t="str">
        <f>VLOOKUP(I22,CHOOSE({1,2},Table11[Native],Table11[Name]),2,0)</f>
        <v>Wèinán Shì</v>
      </c>
      <c r="O22" s="13" t="str">
        <f t="shared" si="2"/>
        <v>Bailiang Zhen (Wèinán Shì)</v>
      </c>
      <c r="P22" s="13" t="str">
        <f t="shared" si="3"/>
        <v>Bailiang Zhen (Wèinán Shì)</v>
      </c>
    </row>
    <row r="23" spans="1:16" hidden="1" x14ac:dyDescent="0.25">
      <c r="A23" t="s">
        <v>13</v>
      </c>
      <c r="B23" t="str">
        <f t="shared" si="0"/>
        <v>Báiliŭ Zhèn [incl. Zhāngpíng Xiāng]</v>
      </c>
      <c r="C23" t="str">
        <f t="shared" si="1"/>
        <v>Báiliŭ Zhèn [incl. Zhāngpíng Xiāng]</v>
      </c>
      <c r="D23" t="s">
        <v>14</v>
      </c>
      <c r="E23" t="s">
        <v>7</v>
      </c>
      <c r="F23" t="str">
        <f>_xlfn.CONCAT(D23,", ",H23,", ",I23,", ","陕西省")</f>
        <v>白柳镇, 旬阳县, 安康市, 陕西省</v>
      </c>
      <c r="G23">
        <v>14484</v>
      </c>
      <c r="H23" t="s">
        <v>3041</v>
      </c>
      <c r="I23" t="s">
        <v>3031</v>
      </c>
      <c r="J23">
        <f>VLOOKUP(F23,[1]!china_towns_second__2[[Column1]:[Y]],3,FALSE)</f>
        <v>32.953737736022397</v>
      </c>
      <c r="K23">
        <f>VLOOKUP(F23,[1]!china_towns_second__2[[Column1]:[Y]],2,FALSE)</f>
        <v>109.3106375</v>
      </c>
      <c r="L23" t="s">
        <v>4149</v>
      </c>
      <c r="M23" t="str">
        <f>VLOOKUP(H23,CHOOSE({1,2},Table11[Native],Table11[Name]),2,0)</f>
        <v>Xúnyáng Xiàn</v>
      </c>
      <c r="N23" s="13" t="str">
        <f>VLOOKUP(I23,CHOOSE({1,2},Table11[Native],Table11[Name]),2,0)</f>
        <v>Ānkāng Shì</v>
      </c>
      <c r="O23" s="13" t="str">
        <f t="shared" si="2"/>
        <v>Bailiu Zhen [incl. Zhangping Xiang] (Ānkāng Shì)</v>
      </c>
      <c r="P23" s="13" t="str">
        <f t="shared" si="3"/>
        <v>Bailiu Zhen [incl. Zhangping Xiang] (Ānkāng Shì)</v>
      </c>
    </row>
    <row r="24" spans="1:16" hidden="1" x14ac:dyDescent="0.25">
      <c r="A24" t="s">
        <v>626</v>
      </c>
      <c r="B24" t="str">
        <f t="shared" si="0"/>
        <v>Báilóngtáng Zhèn</v>
      </c>
      <c r="C24" t="str">
        <f t="shared" si="1"/>
        <v>Báilóngtáng Zhèn</v>
      </c>
      <c r="D24" t="s">
        <v>627</v>
      </c>
      <c r="E24" t="s">
        <v>7</v>
      </c>
      <c r="F24" t="str">
        <f>_xlfn.CONCAT(D24,", ",H24,", ",I24,", ","陕西省")</f>
        <v>白龙塘镇, 西乡县, 汉中市, 陕西省</v>
      </c>
      <c r="G24">
        <v>13488</v>
      </c>
      <c r="H24" t="s">
        <v>3068</v>
      </c>
      <c r="I24" t="s">
        <v>3059</v>
      </c>
      <c r="J24">
        <f>VLOOKUP(F24,[1]!china_towns_second__2[[Column1]:[Y]],3,FALSE)</f>
        <v>33.107757460820501</v>
      </c>
      <c r="K24">
        <f>VLOOKUP(F24,[1]!china_towns_second__2[[Column1]:[Y]],2,FALSE)</f>
        <v>107.8355217</v>
      </c>
      <c r="L24" t="s">
        <v>4150</v>
      </c>
      <c r="M24" t="str">
        <f>VLOOKUP(H24,CHOOSE({1,2},Table11[Native],Table11[Name]),2,0)</f>
        <v>Xīxiāng Xiàn</v>
      </c>
      <c r="N24" s="13" t="str">
        <f>VLOOKUP(I24,CHOOSE({1,2},Table11[Native],Table11[Name]),2,0)</f>
        <v>Hànzhōng Shì</v>
      </c>
      <c r="O24" s="13" t="str">
        <f t="shared" si="2"/>
        <v>Bailongtang Zhen (Hànzhōng Shì)</v>
      </c>
      <c r="P24" s="13" t="str">
        <f t="shared" si="3"/>
        <v>Bailongtang Zhen (Hànzhōng Shì)</v>
      </c>
    </row>
    <row r="25" spans="1:16" hidden="1" x14ac:dyDescent="0.25">
      <c r="A25" t="s">
        <v>1039</v>
      </c>
      <c r="B25" t="str">
        <f t="shared" si="0"/>
        <v>Báilŭchŭ Xiāng</v>
      </c>
      <c r="C25" t="str">
        <f t="shared" si="1"/>
        <v>Báilŭchŭ Xiāng</v>
      </c>
      <c r="D25" t="s">
        <v>1040</v>
      </c>
      <c r="E25" t="s">
        <v>11</v>
      </c>
      <c r="F25" t="str">
        <f>_xlfn.CONCAT(D25,", ",H25,", ",I25,", ","陕西省")</f>
        <v>白鲁础乡, 商南县, 商洛市, 陕西省</v>
      </c>
      <c r="G25">
        <v>5535</v>
      </c>
      <c r="H25" t="s">
        <v>3075</v>
      </c>
      <c r="I25" t="s">
        <v>3072</v>
      </c>
      <c r="J25" t="e">
        <f>VLOOKUP(F25,[1]!china_towns_second__2[[Column1]:[Y]],3,FALSE)</f>
        <v>#N/A</v>
      </c>
      <c r="K25" t="e">
        <f>VLOOKUP(F25,[1]!china_towns_second__2[[Column1]:[Y]],2,FALSE)</f>
        <v>#N/A</v>
      </c>
      <c r="L25" t="s">
        <v>4151</v>
      </c>
      <c r="M25" t="str">
        <f>VLOOKUP(H25,CHOOSE({1,2},Table11[Native],Table11[Name]),2,0)</f>
        <v>Shāngnán Xiàn</v>
      </c>
      <c r="N25" s="13" t="str">
        <f>VLOOKUP(I25,CHOOSE({1,2},Table11[Native],Table11[Name]),2,0)</f>
        <v>Shāngluò Shì</v>
      </c>
      <c r="O25" s="13" t="str">
        <f t="shared" si="2"/>
        <v>Bailuchu Xiang (Shāngluò Shì)</v>
      </c>
      <c r="P25" s="13" t="str">
        <f t="shared" si="3"/>
        <v>Bailuchu Xiang (Shāngluò Shì)</v>
      </c>
    </row>
    <row r="26" spans="1:16" hidden="1" x14ac:dyDescent="0.25">
      <c r="A26" t="s">
        <v>2342</v>
      </c>
      <c r="B26" t="str">
        <f t="shared" si="0"/>
        <v>Báimătān Zhèn</v>
      </c>
      <c r="C26" t="str">
        <f t="shared" si="1"/>
        <v>Báimătān Zhèn</v>
      </c>
      <c r="D26" t="s">
        <v>2343</v>
      </c>
      <c r="E26" t="s">
        <v>7</v>
      </c>
      <c r="F26" t="str">
        <f>_xlfn.CONCAT(D26,", ",H26,", ",I26,", ","陕西省")</f>
        <v>白马滩镇, 黄龙县, 延安市, 陕西省</v>
      </c>
      <c r="G26">
        <v>4657</v>
      </c>
      <c r="H26" t="s">
        <v>3139</v>
      </c>
      <c r="I26" t="s">
        <v>3133</v>
      </c>
      <c r="J26">
        <f>VLOOKUP(F26,[1]!china_towns_second__2[[Column1]:[Y]],3,FALSE)</f>
        <v>35.566951328618899</v>
      </c>
      <c r="K26">
        <f>VLOOKUP(F26,[1]!china_towns_second__2[[Column1]:[Y]],2,FALSE)</f>
        <v>110.12142110000001</v>
      </c>
      <c r="L26" t="s">
        <v>4152</v>
      </c>
      <c r="M26" t="str">
        <f>VLOOKUP(H26,CHOOSE({1,2},Table11[Native],Table11[Name]),2,0)</f>
        <v>Huánglóng Xiàn</v>
      </c>
      <c r="N26" s="13" t="str">
        <f>VLOOKUP(I26,CHOOSE({1,2},Table11[Native],Table11[Name]),2,0)</f>
        <v>Yán'ān Shì</v>
      </c>
      <c r="O26" s="13" t="str">
        <f t="shared" si="2"/>
        <v>Baimatan Zhen (Yán'ān Shì)</v>
      </c>
      <c r="P26" s="13" t="str">
        <f t="shared" si="3"/>
        <v>Baimatan Zhen (Yán'ān Shì)</v>
      </c>
    </row>
    <row r="27" spans="1:16" hidden="1" x14ac:dyDescent="0.25">
      <c r="A27" t="s">
        <v>629</v>
      </c>
      <c r="B27" t="str">
        <f t="shared" si="0"/>
        <v>Báimiănxiá Zhèn</v>
      </c>
      <c r="C27" t="str">
        <f t="shared" si="1"/>
        <v>Báimiănxiá Zhèn</v>
      </c>
      <c r="D27" t="s">
        <v>630</v>
      </c>
      <c r="E27" t="s">
        <v>7</v>
      </c>
      <c r="F27" t="str">
        <f>_xlfn.CONCAT(D27,", ",H27,", ",I27,", ","陕西省")</f>
        <v>白勉峡镇, 西乡县, 汉中市, 陕西省</v>
      </c>
      <c r="G27">
        <v>5963</v>
      </c>
      <c r="H27" t="s">
        <v>3068</v>
      </c>
      <c r="I27" t="s">
        <v>3059</v>
      </c>
      <c r="J27">
        <f>VLOOKUP(F27,[1]!china_towns_second__2[[Column1]:[Y]],3,FALSE)</f>
        <v>32.9503335452942</v>
      </c>
      <c r="K27">
        <f>VLOOKUP(F27,[1]!china_towns_second__2[[Column1]:[Y]],2,FALSE)</f>
        <v>107.96904910000001</v>
      </c>
      <c r="L27" t="s">
        <v>4153</v>
      </c>
      <c r="M27" t="str">
        <f>VLOOKUP(H27,CHOOSE({1,2},Table11[Native],Table11[Name]),2,0)</f>
        <v>Xīxiāng Xiàn</v>
      </c>
      <c r="N27" s="13" t="str">
        <f>VLOOKUP(I27,CHOOSE({1,2},Table11[Native],Table11[Name]),2,0)</f>
        <v>Hànzhōng Shì</v>
      </c>
      <c r="O27" s="13" t="str">
        <f t="shared" si="2"/>
        <v>Baimianxia Zhen (Hànzhōng Shì)</v>
      </c>
      <c r="P27" s="13" t="str">
        <f t="shared" si="3"/>
        <v>Baimianxia Zhen (Hànzhōng Shì)</v>
      </c>
    </row>
    <row r="28" spans="1:16" hidden="1" x14ac:dyDescent="0.25">
      <c r="A28" t="s">
        <v>1375</v>
      </c>
      <c r="B28" t="str">
        <f t="shared" si="0"/>
        <v>Báimiào Xiāng</v>
      </c>
      <c r="C28" t="str">
        <f t="shared" si="1"/>
        <v>Báimiào Xiāng</v>
      </c>
      <c r="D28" t="s">
        <v>1376</v>
      </c>
      <c r="E28" t="s">
        <v>11</v>
      </c>
      <c r="F28" t="str">
        <f>_xlfn.CONCAT(D28,", ",H28,", ",I28,", ","陕西省")</f>
        <v>白庙乡, 富平县, 渭南市, 陕西省</v>
      </c>
      <c r="G28">
        <v>13614</v>
      </c>
      <c r="H28" t="s">
        <v>3091</v>
      </c>
      <c r="I28" t="s">
        <v>3087</v>
      </c>
      <c r="J28" t="e">
        <f>VLOOKUP(F28,[1]!china_towns_second__2[[Column1]:[Y]],3,FALSE)</f>
        <v>#N/A</v>
      </c>
      <c r="K28" t="e">
        <f>VLOOKUP(F28,[1]!china_towns_second__2[[Column1]:[Y]],2,FALSE)</f>
        <v>#N/A</v>
      </c>
      <c r="L28" t="s">
        <v>4154</v>
      </c>
      <c r="M28" t="str">
        <f>VLOOKUP(H28,CHOOSE({1,2},Table11[Native],Table11[Name]),2,0)</f>
        <v>Fùpíng Xiàn</v>
      </c>
      <c r="N28" s="13" t="str">
        <f>VLOOKUP(I28,CHOOSE({1,2},Table11[Native],Table11[Name]),2,0)</f>
        <v>Wèinán Shì</v>
      </c>
      <c r="O28" s="13" t="str">
        <f t="shared" si="2"/>
        <v>Baimiao Xiang (Wèinán Shì)</v>
      </c>
      <c r="P28" s="13" t="str">
        <f t="shared" si="3"/>
        <v>Baimiao Xiang (Wèinán Shì)</v>
      </c>
    </row>
    <row r="29" spans="1:16" hidden="1" x14ac:dyDescent="0.25">
      <c r="A29" t="s">
        <v>2634</v>
      </c>
      <c r="B29" t="str">
        <f t="shared" si="0"/>
        <v>Báiníjĭng Zhèn</v>
      </c>
      <c r="C29" t="str">
        <f t="shared" si="1"/>
        <v>Báiníjĭng Zhèn</v>
      </c>
      <c r="D29" t="s">
        <v>2635</v>
      </c>
      <c r="E29" t="s">
        <v>7</v>
      </c>
      <c r="F29" t="str">
        <f>_xlfn.CONCAT(D29,", ",H29,", ",I29,", ","陕西省")</f>
        <v>白泥井镇, 定边县, 榆林市, 陕西省</v>
      </c>
      <c r="G29">
        <v>17861</v>
      </c>
      <c r="H29" t="s">
        <v>3149</v>
      </c>
      <c r="I29" t="s">
        <v>3148</v>
      </c>
      <c r="J29">
        <f>VLOOKUP(F29,[1]!china_towns_second__2[[Column1]:[Y]],3,FALSE)</f>
        <v>37.739118886595797</v>
      </c>
      <c r="K29">
        <f>VLOOKUP(F29,[1]!china_towns_second__2[[Column1]:[Y]],2,FALSE)</f>
        <v>107.8181276</v>
      </c>
      <c r="L29" t="s">
        <v>4155</v>
      </c>
      <c r="M29" t="str">
        <f>VLOOKUP(H29,CHOOSE({1,2},Table11[Native],Table11[Name]),2,0)</f>
        <v>Dìngbiān Xiàn</v>
      </c>
      <c r="N29" s="13" t="str">
        <f>VLOOKUP(I29,CHOOSE({1,2},Table11[Native],Table11[Name]),2,0)</f>
        <v>Yúlín Shì</v>
      </c>
      <c r="O29" s="13" t="str">
        <f t="shared" si="2"/>
        <v>Bainijing Zhen (Yúlín Shì)</v>
      </c>
      <c r="P29" s="13" t="str">
        <f t="shared" si="3"/>
        <v>Bainijing Zhen (Yúlín Shì)</v>
      </c>
    </row>
    <row r="30" spans="1:16" hidden="1" x14ac:dyDescent="0.25">
      <c r="A30" t="s">
        <v>631</v>
      </c>
      <c r="B30" t="str">
        <f t="shared" si="0"/>
        <v>Báiquèsì Zhèn</v>
      </c>
      <c r="C30" t="str">
        <f t="shared" si="1"/>
        <v>Báiquèsì Zhèn</v>
      </c>
      <c r="D30" t="s">
        <v>632</v>
      </c>
      <c r="E30" t="s">
        <v>7</v>
      </c>
      <c r="F30" t="str">
        <f>_xlfn.CONCAT(D30,", ",H30,", ",I30,", ","陕西省")</f>
        <v>白雀寺镇, 略阳县, 汉中市, 陕西省</v>
      </c>
      <c r="G30">
        <v>7144</v>
      </c>
      <c r="H30" t="s">
        <v>3064</v>
      </c>
      <c r="I30" t="s">
        <v>3059</v>
      </c>
      <c r="J30">
        <f>VLOOKUP(F30,[1]!china_towns_second__2[[Column1]:[Y]],3,FALSE)</f>
        <v>33.237651217308098</v>
      </c>
      <c r="K30">
        <f>VLOOKUP(F30,[1]!china_towns_second__2[[Column1]:[Y]],2,FALSE)</f>
        <v>106.05102770000001</v>
      </c>
      <c r="L30" t="s">
        <v>4156</v>
      </c>
      <c r="M30" t="str">
        <f>VLOOKUP(H30,CHOOSE({1,2},Table11[Native],Table11[Name]),2,0)</f>
        <v>Lüèyáng Xiàn</v>
      </c>
      <c r="N30" s="13" t="str">
        <f>VLOOKUP(I30,CHOOSE({1,2},Table11[Native],Table11[Name]),2,0)</f>
        <v>Hànzhōng Shì</v>
      </c>
      <c r="O30" s="13" t="str">
        <f t="shared" si="2"/>
        <v>Baiquesi Zhen (Hànzhōng Shì)</v>
      </c>
      <c r="P30" s="13" t="str">
        <f t="shared" si="3"/>
        <v>Baiquesi Zhen (Hànzhōng Shì)</v>
      </c>
    </row>
    <row r="31" spans="1:16" hidden="1" x14ac:dyDescent="0.25">
      <c r="A31" t="s">
        <v>634</v>
      </c>
      <c r="B31" t="str">
        <f t="shared" si="0"/>
        <v>Báishígōu Xiāng</v>
      </c>
      <c r="C31" t="str">
        <f t="shared" si="1"/>
        <v>Báishígōu Xiāng</v>
      </c>
      <c r="D31" t="s">
        <v>635</v>
      </c>
      <c r="E31" t="s">
        <v>11</v>
      </c>
      <c r="F31" t="str">
        <f>_xlfn.CONCAT(D31,", ",H31,", ",I31,", ","陕西省")</f>
        <v>白石沟乡, 略阳县, 汉中市, 陕西省</v>
      </c>
      <c r="G31">
        <v>9566</v>
      </c>
      <c r="H31" t="s">
        <v>3064</v>
      </c>
      <c r="I31" t="s">
        <v>3059</v>
      </c>
      <c r="J31" t="e">
        <f>VLOOKUP(F31,[1]!china_towns_second__2[[Column1]:[Y]],3,FALSE)</f>
        <v>#N/A</v>
      </c>
      <c r="K31" t="e">
        <f>VLOOKUP(F31,[1]!china_towns_second__2[[Column1]:[Y]],2,FALSE)</f>
        <v>#N/A</v>
      </c>
      <c r="L31" t="s">
        <v>4157</v>
      </c>
      <c r="M31" t="str">
        <f>VLOOKUP(H31,CHOOSE({1,2},Table11[Native],Table11[Name]),2,0)</f>
        <v>Lüèyáng Xiàn</v>
      </c>
      <c r="N31" s="13" t="str">
        <f>VLOOKUP(I31,CHOOSE({1,2},Table11[Native],Table11[Name]),2,0)</f>
        <v>Hànzhōng Shì</v>
      </c>
      <c r="O31" s="13" t="str">
        <f t="shared" si="2"/>
        <v>Baishigou Xiang (Hànzhōng Shì)</v>
      </c>
      <c r="P31" s="13" t="str">
        <f t="shared" si="3"/>
        <v>Baishigou Xiang (Hànzhōng Shì)</v>
      </c>
    </row>
    <row r="32" spans="1:16" hidden="1" x14ac:dyDescent="0.25">
      <c r="A32" t="s">
        <v>636</v>
      </c>
      <c r="B32" t="str">
        <f t="shared" si="0"/>
        <v>Báishuĭjiāng Zhèn</v>
      </c>
      <c r="C32" t="str">
        <f t="shared" si="1"/>
        <v>Báishuĭjiāng Zhèn</v>
      </c>
      <c r="D32" t="s">
        <v>637</v>
      </c>
      <c r="E32" t="s">
        <v>7</v>
      </c>
      <c r="F32" t="str">
        <f>_xlfn.CONCAT(D32,", ",H32,", ",I32,", ","陕西省")</f>
        <v>白水江镇, 略阳县, 汉中市, 陕西省</v>
      </c>
      <c r="G32">
        <v>10054</v>
      </c>
      <c r="H32" t="s">
        <v>3064</v>
      </c>
      <c r="I32" t="s">
        <v>3059</v>
      </c>
      <c r="J32">
        <f>VLOOKUP(F32,[1]!china_towns_second__2[[Column1]:[Y]],3,FALSE)</f>
        <v>33.566044168293203</v>
      </c>
      <c r="K32">
        <f>VLOOKUP(F32,[1]!china_towns_second__2[[Column1]:[Y]],2,FALSE)</f>
        <v>106.04034299999999</v>
      </c>
      <c r="L32" t="s">
        <v>4158</v>
      </c>
      <c r="M32" t="str">
        <f>VLOOKUP(H32,CHOOSE({1,2},Table11[Native],Table11[Name]),2,0)</f>
        <v>Lüèyáng Xiàn</v>
      </c>
      <c r="N32" s="13" t="str">
        <f>VLOOKUP(I32,CHOOSE({1,2},Table11[Native],Table11[Name]),2,0)</f>
        <v>Hànzhōng Shì</v>
      </c>
      <c r="O32" s="13" t="str">
        <f t="shared" si="2"/>
        <v>Baishuijiang Zhen (Hànzhōng Shì)</v>
      </c>
      <c r="P32" s="13" t="str">
        <f t="shared" si="3"/>
        <v>Baishuijiang Zhen (Hànzhōng Shì)</v>
      </c>
    </row>
    <row r="33" spans="1:16" hidden="1" x14ac:dyDescent="0.25">
      <c r="A33" t="s">
        <v>1969</v>
      </c>
      <c r="B33" t="str">
        <f t="shared" si="0"/>
        <v>Bǎishùlín Jiēdào</v>
      </c>
      <c r="C33" t="str">
        <f t="shared" si="1"/>
        <v>Bǎishùlín Jiēdào</v>
      </c>
      <c r="D33" t="s">
        <v>1970</v>
      </c>
      <c r="E33" t="s">
        <v>113</v>
      </c>
      <c r="F33" t="str">
        <f>_xlfn.CONCAT(D33,", ",H33,", ",I33,", ","陕西省")</f>
        <v>柏树林街道, 碑林区, 西安市, 陕西省</v>
      </c>
      <c r="G33">
        <v>49949</v>
      </c>
      <c r="H33" t="s">
        <v>3104</v>
      </c>
      <c r="I33" t="s">
        <v>3102</v>
      </c>
      <c r="J33">
        <f>VLOOKUP(F33,[1]!china_towns_second__2[[Column1]:[Y]],3,FALSE)</f>
        <v>34.257200439701798</v>
      </c>
      <c r="K33">
        <f>VLOOKUP(F33,[1]!china_towns_second__2[[Column1]:[Y]],2,FALSE)</f>
        <v>108.9564048</v>
      </c>
      <c r="L33" t="s">
        <v>4159</v>
      </c>
      <c r="M33" t="str">
        <f>VLOOKUP(H33,CHOOSE({1,2},Table11[Native],Table11[Name]),2,0)</f>
        <v>Bēilín Qū</v>
      </c>
      <c r="N33" s="13" t="str">
        <f>VLOOKUP(I33,CHOOSE({1,2},Table11[Native],Table11[Name]),2,0)</f>
        <v>Xī'ān Shì</v>
      </c>
      <c r="O33" s="13" t="str">
        <f t="shared" si="2"/>
        <v>Baishulin Jiedao (Xī'ān Shì)</v>
      </c>
      <c r="P33" s="13" t="str">
        <f t="shared" si="3"/>
        <v>Baishulin Jiedao (Xī'ān Shì)</v>
      </c>
    </row>
    <row r="34" spans="1:16" hidden="1" x14ac:dyDescent="0.25">
      <c r="A34" t="s">
        <v>2636</v>
      </c>
      <c r="B34" t="str">
        <f t="shared" si="0"/>
        <v>Báiwānzi Zhèn</v>
      </c>
      <c r="C34" t="str">
        <f t="shared" si="1"/>
        <v>Báiwānzi Zhèn</v>
      </c>
      <c r="D34" t="s">
        <v>2637</v>
      </c>
      <c r="E34" t="s">
        <v>7</v>
      </c>
      <c r="F34" t="str">
        <f>_xlfn.CONCAT(D34,", ",H34,", ",I34,", ","陕西省")</f>
        <v>白湾子镇, 定边县, 榆林市, 陕西省</v>
      </c>
      <c r="G34">
        <v>7825</v>
      </c>
      <c r="H34" t="s">
        <v>3149</v>
      </c>
      <c r="I34" t="s">
        <v>3148</v>
      </c>
      <c r="J34">
        <f>VLOOKUP(F34,[1]!china_towns_second__2[[Column1]:[Y]],3,FALSE)</f>
        <v>37.308884544605498</v>
      </c>
      <c r="K34">
        <f>VLOOKUP(F34,[1]!china_towns_second__2[[Column1]:[Y]],2,FALSE)</f>
        <v>107.5421427</v>
      </c>
      <c r="L34" t="s">
        <v>4160</v>
      </c>
      <c r="M34" t="str">
        <f>VLOOKUP(H34,CHOOSE({1,2},Table11[Native],Table11[Name]),2,0)</f>
        <v>Dìngbiān Xiàn</v>
      </c>
      <c r="N34" s="13" t="str">
        <f>VLOOKUP(I34,CHOOSE({1,2},Table11[Native],Table11[Name]),2,0)</f>
        <v>Yúlín Shì</v>
      </c>
      <c r="O34" s="13" t="str">
        <f t="shared" si="2"/>
        <v>Baiwanzi Zhen (Yúlín Shì)</v>
      </c>
      <c r="P34" s="13" t="str">
        <f t="shared" si="3"/>
        <v>Baiwanzi Zhen (Yúlín Shì)</v>
      </c>
    </row>
    <row r="35" spans="1:16" hidden="1" x14ac:dyDescent="0.25">
      <c r="A35" t="s">
        <v>1042</v>
      </c>
      <c r="B35" t="str">
        <f t="shared" si="0"/>
        <v>Báiyángdiàn Zhèn</v>
      </c>
      <c r="C35" t="str">
        <f t="shared" si="1"/>
        <v>Báiyángdiàn Zhèn</v>
      </c>
      <c r="D35" t="s">
        <v>1043</v>
      </c>
      <c r="E35" t="s">
        <v>7</v>
      </c>
      <c r="F35" t="str">
        <f>_xlfn.CONCAT(D35,", ",H35,", ",I35,", ","陕西省")</f>
        <v>白杨店镇, 商州区, 商洛市, 陕西省</v>
      </c>
      <c r="G35">
        <v>18658</v>
      </c>
      <c r="H35" t="s">
        <v>3076</v>
      </c>
      <c r="I35" t="s">
        <v>3072</v>
      </c>
      <c r="J35">
        <f>VLOOKUP(F35,[1]!china_towns_second__2[[Column1]:[Y]],3,FALSE)</f>
        <v>33.781072500000001</v>
      </c>
      <c r="K35">
        <f>VLOOKUP(F35,[1]!china_towns_second__2[[Column1]:[Y]],2,FALSE)</f>
        <v>110.07623340000001</v>
      </c>
      <c r="L35" t="s">
        <v>4161</v>
      </c>
      <c r="M35" t="str">
        <f>VLOOKUP(H35,CHOOSE({1,2},Table11[Native],Table11[Name]),2,0)</f>
        <v>Shāngzhōu Qū</v>
      </c>
      <c r="N35" s="13" t="str">
        <f>VLOOKUP(I35,CHOOSE({1,2},Table11[Native],Table11[Name]),2,0)</f>
        <v>Shāngluò Shì</v>
      </c>
      <c r="O35" s="13" t="str">
        <f t="shared" si="2"/>
        <v>Baiyangdian Zhen (Shāngluò Shì)</v>
      </c>
      <c r="P35" s="13" t="str">
        <f t="shared" si="3"/>
        <v>Baiyangdian Zhen (Shāngluò Shì)</v>
      </c>
    </row>
    <row r="36" spans="1:16" hidden="1" x14ac:dyDescent="0.25">
      <c r="A36" t="s">
        <v>2345</v>
      </c>
      <c r="B36" t="str">
        <f t="shared" si="0"/>
        <v>Băiyì Xiāng</v>
      </c>
      <c r="C36" t="str">
        <f t="shared" si="1"/>
        <v>Băiyì Xiāng</v>
      </c>
      <c r="D36" t="s">
        <v>2346</v>
      </c>
      <c r="E36" t="s">
        <v>11</v>
      </c>
      <c r="F36" t="str">
        <f>_xlfn.CONCAT(D36,", ",H36,", ",I36,", ","陕西省")</f>
        <v>百益乡, 洛川县, 延安市, 陕西省</v>
      </c>
      <c r="G36">
        <v>8302</v>
      </c>
      <c r="H36" t="s">
        <v>3140</v>
      </c>
      <c r="I36" t="s">
        <v>3133</v>
      </c>
      <c r="J36" t="e">
        <f>VLOOKUP(F36,[1]!china_towns_second__2[[Column1]:[Y]],3,FALSE)</f>
        <v>#N/A</v>
      </c>
      <c r="K36" t="e">
        <f>VLOOKUP(F36,[1]!china_towns_second__2[[Column1]:[Y]],2,FALSE)</f>
        <v>#N/A</v>
      </c>
      <c r="L36" t="s">
        <v>4162</v>
      </c>
      <c r="M36" t="str">
        <f>VLOOKUP(H36,CHOOSE({1,2},Table11[Native],Table11[Name]),2,0)</f>
        <v>Luòchuān Xiàn</v>
      </c>
      <c r="N36" s="13" t="str">
        <f>VLOOKUP(I36,CHOOSE({1,2},Table11[Native],Table11[Name]),2,0)</f>
        <v>Yán'ān Shì</v>
      </c>
      <c r="O36" s="13" t="str">
        <f t="shared" si="2"/>
        <v>Baiyi Xiang (Yán'ān Shì)</v>
      </c>
      <c r="P36" s="13" t="str">
        <f t="shared" si="3"/>
        <v>Baiyi Xiang (Yán'ān Shì)</v>
      </c>
    </row>
    <row r="37" spans="1:16" hidden="1" x14ac:dyDescent="0.25">
      <c r="A37" t="s">
        <v>638</v>
      </c>
      <c r="B37" t="str">
        <f t="shared" si="0"/>
        <v>Báiyù Xiāng</v>
      </c>
      <c r="C37" t="str">
        <f t="shared" si="1"/>
        <v>Báiyù Xiāng</v>
      </c>
      <c r="D37" t="s">
        <v>639</v>
      </c>
      <c r="E37" t="s">
        <v>11</v>
      </c>
      <c r="F37" t="str">
        <f>_xlfn.CONCAT(D37,", ",H37,", ",I37,", ","陕西省")</f>
        <v>白玉乡, 南郑区, 汉中市, 陕西省</v>
      </c>
      <c r="G37">
        <v>1969</v>
      </c>
      <c r="H37" t="s">
        <v>3066</v>
      </c>
      <c r="I37" t="s">
        <v>3059</v>
      </c>
      <c r="J37" t="e">
        <f>VLOOKUP(F37,[1]!china_towns_second__2[[Column1]:[Y]],3,FALSE)</f>
        <v>#N/A</v>
      </c>
      <c r="K37" t="e">
        <f>VLOOKUP(F37,[1]!china_towns_second__2[[Column1]:[Y]],2,FALSE)</f>
        <v>#N/A</v>
      </c>
      <c r="L37" t="s">
        <v>4163</v>
      </c>
      <c r="M37" t="str">
        <f>VLOOKUP(H37,CHOOSE({1,2},Table11[Native],Table11[Name]),2,0)</f>
        <v>Nánzhèng Qū</v>
      </c>
      <c r="N37" s="13" t="str">
        <f>VLOOKUP(I37,CHOOSE({1,2},Table11[Native],Table11[Name]),2,0)</f>
        <v>Hànzhōng Shì</v>
      </c>
      <c r="O37" s="13" t="str">
        <f t="shared" si="2"/>
        <v>Baiyu Xiang (Hànzhōng Shì)</v>
      </c>
      <c r="P37" s="13" t="str">
        <f t="shared" si="3"/>
        <v>Baiyu Xiang (Hànzhōng Shì)</v>
      </c>
    </row>
    <row r="38" spans="1:16" hidden="1" x14ac:dyDescent="0.25">
      <c r="A38" t="s">
        <v>2348</v>
      </c>
      <c r="B38" t="str">
        <f t="shared" si="0"/>
        <v>Bǎiyù Xiāng</v>
      </c>
      <c r="C38" t="str">
        <f t="shared" si="1"/>
        <v>Bǎiyù Xiāng</v>
      </c>
      <c r="D38" t="s">
        <v>2349</v>
      </c>
      <c r="E38" t="s">
        <v>11</v>
      </c>
      <c r="F38" t="str">
        <f>_xlfn.CONCAT(D38,", ",H38,", ",I38,", ","陕西省")</f>
        <v>柏峪乡, 黄龙县, 延安市, 陕西省</v>
      </c>
      <c r="G38">
        <v>1226</v>
      </c>
      <c r="H38" t="s">
        <v>3139</v>
      </c>
      <c r="I38" t="s">
        <v>3133</v>
      </c>
      <c r="J38" t="e">
        <f>VLOOKUP(F38,[1]!china_towns_second__2[[Column1]:[Y]],3,FALSE)</f>
        <v>#N/A</v>
      </c>
      <c r="K38" t="e">
        <f>VLOOKUP(F38,[1]!china_towns_second__2[[Column1]:[Y]],2,FALSE)</f>
        <v>#N/A</v>
      </c>
      <c r="L38" t="s">
        <v>4163</v>
      </c>
      <c r="M38" t="str">
        <f>VLOOKUP(H38,CHOOSE({1,2},Table11[Native],Table11[Name]),2,0)</f>
        <v>Huánglóng Xiàn</v>
      </c>
      <c r="N38" s="13" t="str">
        <f>VLOOKUP(I38,CHOOSE({1,2},Table11[Native],Table11[Name]),2,0)</f>
        <v>Yán'ān Shì</v>
      </c>
      <c r="O38" s="13" t="str">
        <f t="shared" si="2"/>
        <v>Baiyu Xiang (Yán'ān Shì)</v>
      </c>
      <c r="P38" s="13" t="str">
        <f t="shared" si="3"/>
        <v>Baiyu Xiang (Yán'ān Shì)</v>
      </c>
    </row>
    <row r="39" spans="1:16" hidden="1" x14ac:dyDescent="0.25">
      <c r="A39" t="s">
        <v>1045</v>
      </c>
      <c r="B39" t="str">
        <f t="shared" si="0"/>
        <v>Bǎiyùsì Zhèn</v>
      </c>
      <c r="C39" t="str">
        <f t="shared" si="1"/>
        <v>Bǎiyùsì Zhèn</v>
      </c>
      <c r="D39" t="s">
        <v>1046</v>
      </c>
      <c r="E39" t="s">
        <v>7</v>
      </c>
      <c r="F39" t="str">
        <f>_xlfn.CONCAT(D39,", ",H39,", ",I39,", ","陕西省")</f>
        <v>柏峪寺镇, 洛南县, 商洛市, 陕西省</v>
      </c>
      <c r="G39">
        <v>6560</v>
      </c>
      <c r="H39" t="s">
        <v>3074</v>
      </c>
      <c r="I39" t="s">
        <v>3072</v>
      </c>
      <c r="J39">
        <f>VLOOKUP(F39,[1]!china_towns_second__2[[Column1]:[Y]],3,FALSE)</f>
        <v>34.116296001018199</v>
      </c>
      <c r="K39">
        <f>VLOOKUP(F39,[1]!china_towns_second__2[[Column1]:[Y]],2,FALSE)</f>
        <v>110.29222660000001</v>
      </c>
      <c r="L39" t="s">
        <v>4164</v>
      </c>
      <c r="M39" t="str">
        <f>VLOOKUP(H39,CHOOSE({1,2},Table11[Native],Table11[Name]),2,0)</f>
        <v>Luònán Xiàn</v>
      </c>
      <c r="N39" s="13" t="str">
        <f>VLOOKUP(I39,CHOOSE({1,2},Table11[Native],Table11[Name]),2,0)</f>
        <v>Shāngluò Shì</v>
      </c>
      <c r="O39" s="13" t="str">
        <f t="shared" si="2"/>
        <v>Baiyusi Zhen (Shāngluò Shì)</v>
      </c>
      <c r="P39" s="13" t="str">
        <f t="shared" si="3"/>
        <v>Baiyusi Zhen (Shāngluò Shì)</v>
      </c>
    </row>
    <row r="40" spans="1:16" hidden="1" x14ac:dyDescent="0.25">
      <c r="A40" t="s">
        <v>16</v>
      </c>
      <c r="B40" t="str">
        <f t="shared" si="0"/>
        <v>Bājiāo Xiāng</v>
      </c>
      <c r="C40" t="str">
        <f t="shared" si="1"/>
        <v>Bājiāo Xiāng</v>
      </c>
      <c r="D40" t="s">
        <v>17</v>
      </c>
      <c r="E40" t="s">
        <v>11</v>
      </c>
      <c r="F40" t="str">
        <f>_xlfn.CONCAT(D40,", ",H40,", ",I40,", ","陕西省")</f>
        <v>芭蕉乡, 紫阳县, 安康市, 陕西省</v>
      </c>
      <c r="G40">
        <v>7564</v>
      </c>
      <c r="H40" t="s">
        <v>3043</v>
      </c>
      <c r="I40" t="s">
        <v>3031</v>
      </c>
      <c r="J40" t="e">
        <f>VLOOKUP(F40,[1]!china_towns_second__2[[Column1]:[Y]],3,FALSE)</f>
        <v>#N/A</v>
      </c>
      <c r="K40" t="e">
        <f>VLOOKUP(F40,[1]!china_towns_second__2[[Column1]:[Y]],2,FALSE)</f>
        <v>#N/A</v>
      </c>
      <c r="L40" t="s">
        <v>4165</v>
      </c>
      <c r="M40" t="str">
        <f>VLOOKUP(H40,CHOOSE({1,2},Table11[Native],Table11[Name]),2,0)</f>
        <v>Zĭyáng Xiàn</v>
      </c>
      <c r="N40" s="13" t="str">
        <f>VLOOKUP(I40,CHOOSE({1,2},Table11[Native],Table11[Name]),2,0)</f>
        <v>Ānkāng Shì</v>
      </c>
      <c r="O40" s="13" t="str">
        <f t="shared" si="2"/>
        <v>Bajiao Xiang (Ānkāng Shì)</v>
      </c>
      <c r="P40" s="13" t="str">
        <f t="shared" si="3"/>
        <v>Bajiao Xiang (Ānkāng Shì)</v>
      </c>
    </row>
    <row r="41" spans="1:16" hidden="1" x14ac:dyDescent="0.25">
      <c r="A41" t="s">
        <v>2638</v>
      </c>
      <c r="B41" t="str">
        <f t="shared" si="0"/>
        <v>Bālāsù Zhèn</v>
      </c>
      <c r="C41" t="str">
        <f t="shared" si="1"/>
        <v>Bālāsù Zhèn</v>
      </c>
      <c r="D41" t="s">
        <v>2639</v>
      </c>
      <c r="E41" t="s">
        <v>7</v>
      </c>
      <c r="F41" t="str">
        <f>_xlfn.CONCAT(D41,", ",H41,", ",I41,", ","陕西省")</f>
        <v>巴拉素镇, 榆阳区, 榆林市, 陕西省</v>
      </c>
      <c r="G41">
        <v>7541</v>
      </c>
      <c r="H41" t="s">
        <v>3159</v>
      </c>
      <c r="I41" t="s">
        <v>3148</v>
      </c>
      <c r="J41">
        <f>VLOOKUP(F41,[1]!china_towns_second__2[[Column1]:[Y]],3,FALSE)</f>
        <v>38.277209379809399</v>
      </c>
      <c r="K41">
        <f>VLOOKUP(F41,[1]!china_towns_second__2[[Column1]:[Y]],2,FALSE)</f>
        <v>109.3060502</v>
      </c>
      <c r="L41" t="s">
        <v>4166</v>
      </c>
      <c r="M41" t="str">
        <f>VLOOKUP(H41,CHOOSE({1,2},Table11[Native],Table11[Name]),2,0)</f>
        <v>Yúyáng Qū</v>
      </c>
      <c r="N41" s="13" t="str">
        <f>VLOOKUP(I41,CHOOSE({1,2},Table11[Native],Table11[Name]),2,0)</f>
        <v>Yúlín Shì</v>
      </c>
      <c r="O41" s="13" t="str">
        <f t="shared" si="2"/>
        <v>Balasu Zhen (Yúlín Shì)</v>
      </c>
      <c r="P41" s="13" t="str">
        <f t="shared" si="3"/>
        <v>Balasu Zhen (Yúlín Shì)</v>
      </c>
    </row>
    <row r="42" spans="1:16" hidden="1" x14ac:dyDescent="0.25">
      <c r="A42" t="s">
        <v>641</v>
      </c>
      <c r="B42" t="str">
        <f t="shared" si="0"/>
        <v>Bālĭguān Zhèn</v>
      </c>
      <c r="C42" t="str">
        <f t="shared" si="1"/>
        <v>Bālĭguān Zhèn</v>
      </c>
      <c r="D42" t="s">
        <v>642</v>
      </c>
      <c r="E42" t="s">
        <v>7</v>
      </c>
      <c r="F42" t="str">
        <f>_xlfn.CONCAT(D42,", ",H42,", ",I42,", ","陕西省")</f>
        <v>八里关镇, 洋县, 汉中市, 陕西省</v>
      </c>
      <c r="G42">
        <v>3134</v>
      </c>
      <c r="H42" t="s">
        <v>3069</v>
      </c>
      <c r="I42" t="s">
        <v>3059</v>
      </c>
      <c r="J42">
        <f>VLOOKUP(F42,[1]!china_towns_second__2[[Column1]:[Y]],3,FALSE)</f>
        <v>33.438383854532603</v>
      </c>
      <c r="K42">
        <f>VLOOKUP(F42,[1]!china_towns_second__2[[Column1]:[Y]],2,FALSE)</f>
        <v>107.5735602</v>
      </c>
      <c r="L42" t="s">
        <v>4167</v>
      </c>
      <c r="M42" t="str">
        <f>VLOOKUP(H42,CHOOSE({1,2},Table11[Native],Table11[Name]),2,0)</f>
        <v>Yáng Xiàn</v>
      </c>
      <c r="N42" s="13" t="str">
        <f>VLOOKUP(I42,CHOOSE({1,2},Table11[Native],Table11[Name]),2,0)</f>
        <v>Hànzhōng Shì</v>
      </c>
      <c r="O42" s="13" t="str">
        <f t="shared" si="2"/>
        <v>Baliguan Zhen (Hànzhōng Shì)</v>
      </c>
      <c r="P42" s="13" t="str">
        <f t="shared" si="3"/>
        <v>Baliguan Zhen (Hànzhōng Shì)</v>
      </c>
    </row>
    <row r="43" spans="1:16" hidden="1" x14ac:dyDescent="0.25">
      <c r="A43" t="s">
        <v>644</v>
      </c>
      <c r="B43" t="str">
        <f t="shared" si="0"/>
        <v>Bāmiào Zhèn</v>
      </c>
      <c r="C43" t="str">
        <f t="shared" si="1"/>
        <v>Bāmiào Zhèn</v>
      </c>
      <c r="D43" t="s">
        <v>645</v>
      </c>
      <c r="E43" t="s">
        <v>7</v>
      </c>
      <c r="F43" t="str">
        <f>_xlfn.CONCAT(D43,", ",H43,", ",I43,", ","陕西省")</f>
        <v>巴庙镇, 镇巴县, 汉中市, 陕西省</v>
      </c>
      <c r="G43">
        <v>15111</v>
      </c>
      <c r="H43" t="s">
        <v>3070</v>
      </c>
      <c r="I43" t="s">
        <v>3059</v>
      </c>
      <c r="J43">
        <f>VLOOKUP(F43,[1]!china_towns_second__2[[Column1]:[Y]],3,FALSE)</f>
        <v>32.548281349708802</v>
      </c>
      <c r="K43">
        <f>VLOOKUP(F43,[1]!china_towns_second__2[[Column1]:[Y]],2,FALSE)</f>
        <v>108.18402949999999</v>
      </c>
      <c r="L43" t="s">
        <v>4168</v>
      </c>
      <c r="M43" t="str">
        <f>VLOOKUP(H43,CHOOSE({1,2},Table11[Native],Table11[Name]),2,0)</f>
        <v>Zhènbā Xiàn</v>
      </c>
      <c r="N43" s="13" t="str">
        <f>VLOOKUP(I43,CHOOSE({1,2},Table11[Native],Table11[Name]),2,0)</f>
        <v>Hànzhōng Shì</v>
      </c>
      <c r="O43" s="13" t="str">
        <f t="shared" si="2"/>
        <v>Bamiao Zhen (Hànzhōng Shì)</v>
      </c>
      <c r="P43" s="13" t="str">
        <f t="shared" si="3"/>
        <v>Bamiao Zhen (Hànzhōng Shì)</v>
      </c>
    </row>
    <row r="44" spans="1:16" hidden="1" x14ac:dyDescent="0.25">
      <c r="A44" t="s">
        <v>1972</v>
      </c>
      <c r="B44" t="str">
        <f t="shared" si="0"/>
        <v>Bănfángzi Zhèn</v>
      </c>
      <c r="C44" t="str">
        <f t="shared" si="1"/>
        <v>Bănfángzi Zhèn</v>
      </c>
      <c r="D44" t="s">
        <v>1973</v>
      </c>
      <c r="E44" t="s">
        <v>7</v>
      </c>
      <c r="F44" t="str">
        <f>_xlfn.CONCAT(D44,", ",H44,", ",I44,", ","陕西省")</f>
        <v>板房子镇, 周至县, 西安市, 陕西省</v>
      </c>
      <c r="G44">
        <v>2264</v>
      </c>
      <c r="H44" t="s">
        <v>3115</v>
      </c>
      <c r="I44" t="s">
        <v>3102</v>
      </c>
      <c r="J44">
        <f>VLOOKUP(F44,[1]!china_towns_second__2[[Column1]:[Y]],3,FALSE)</f>
        <v>33.795310782733097</v>
      </c>
      <c r="K44">
        <f>VLOOKUP(F44,[1]!china_towns_second__2[[Column1]:[Y]],2,FALSE)</f>
        <v>108.0456676</v>
      </c>
      <c r="L44" t="s">
        <v>4169</v>
      </c>
      <c r="M44" t="str">
        <f>VLOOKUP(H44,CHOOSE({1,2},Table11[Native],Table11[Name]),2,0)</f>
        <v>Zhōuzhì Xiàn</v>
      </c>
      <c r="N44" s="13" t="str">
        <f>VLOOKUP(I44,CHOOSE({1,2},Table11[Native],Table11[Name]),2,0)</f>
        <v>Xī'ān Shì</v>
      </c>
      <c r="O44" s="13" t="str">
        <f t="shared" si="2"/>
        <v>Banfangzi Zhen (Xī'ān Shì)</v>
      </c>
      <c r="P44" s="13" t="str">
        <f t="shared" si="3"/>
        <v>Banfangzi Zhen (Xī'ān Shì)</v>
      </c>
    </row>
    <row r="45" spans="1:16" hidden="1" x14ac:dyDescent="0.25">
      <c r="A45" t="s">
        <v>1048</v>
      </c>
      <c r="B45" t="str">
        <f t="shared" si="0"/>
        <v>Bănqiáo Zhèn (Shāngluò Shì)</v>
      </c>
      <c r="C45" t="str">
        <f t="shared" si="1"/>
        <v>Bănqiáo Zhèn (Shāngluò Shì)</v>
      </c>
      <c r="D45" t="s">
        <v>1049</v>
      </c>
      <c r="E45" t="s">
        <v>7</v>
      </c>
      <c r="F45" t="str">
        <f>_xlfn.CONCAT(D45,", ",H45,", ",I45,", ","陕西省")</f>
        <v>板桥镇, 商州区, 商洛市, 陕西省</v>
      </c>
      <c r="G45">
        <v>11828</v>
      </c>
      <c r="H45" t="s">
        <v>3076</v>
      </c>
      <c r="I45" t="s">
        <v>3072</v>
      </c>
      <c r="J45">
        <f>VLOOKUP(F45,[1]!china_towns_second__2[[Column1]:[Y]],3,FALSE)</f>
        <v>33.967086581832199</v>
      </c>
      <c r="K45">
        <f>VLOOKUP(F45,[1]!china_towns_second__2[[Column1]:[Y]],2,FALSE)</f>
        <v>109.98849060000001</v>
      </c>
      <c r="L45" t="s">
        <v>4170</v>
      </c>
      <c r="M45" t="str">
        <f>VLOOKUP(H45,CHOOSE({1,2},Table11[Native],Table11[Name]),2,0)</f>
        <v>Shāngzhōu Qū</v>
      </c>
      <c r="N45" s="13" t="str">
        <f>VLOOKUP(I45,CHOOSE({1,2},Table11[Native],Table11[Name]),2,0)</f>
        <v>Shāngluò Shì</v>
      </c>
      <c r="O45" s="13" t="str">
        <f t="shared" si="2"/>
        <v>Banqiao Zhen (Shangluo Shi) (Shāngluò Shì)</v>
      </c>
      <c r="P45" s="13" t="str">
        <f t="shared" si="3"/>
        <v>Banqiao Zhen (Shangluo Shi) (Shāngluò Shì)</v>
      </c>
    </row>
    <row r="46" spans="1:16" hidden="1" x14ac:dyDescent="0.25">
      <c r="A46" t="s">
        <v>1048</v>
      </c>
      <c r="B46" t="str">
        <f t="shared" si="0"/>
        <v>Bănqiáo Zhèn (Wèinán Shì)</v>
      </c>
      <c r="C46" t="str">
        <f t="shared" si="1"/>
        <v>Bănqiáo Zhèn (Wèinán Shì)</v>
      </c>
      <c r="D46" t="s">
        <v>1049</v>
      </c>
      <c r="E46" t="s">
        <v>7</v>
      </c>
      <c r="F46" t="str">
        <f>_xlfn.CONCAT(D46,", ",H46,", ",I46,", ","陕西省")</f>
        <v>板桥镇, 韩城市, 渭南市, 陕西省</v>
      </c>
      <c r="G46">
        <v>9971</v>
      </c>
      <c r="H46" t="s">
        <v>3093</v>
      </c>
      <c r="I46" t="s">
        <v>3087</v>
      </c>
      <c r="J46">
        <f>VLOOKUP(F46,[1]!china_towns_second__2[[Column1]:[Y]],3,FALSE)</f>
        <v>35.531357433516</v>
      </c>
      <c r="K46">
        <f>VLOOKUP(F46,[1]!china_towns_second__2[[Column1]:[Y]],2,FALSE)</f>
        <v>110.3083743</v>
      </c>
      <c r="L46" t="s">
        <v>4171</v>
      </c>
      <c r="M46" t="str">
        <f>VLOOKUP(H46,CHOOSE({1,2},Table11[Native],Table11[Name]),2,0)</f>
        <v>Hánchéng Shì</v>
      </c>
      <c r="N46" s="13" t="str">
        <f>VLOOKUP(I46,CHOOSE({1,2},Table11[Native],Table11[Name]),2,0)</f>
        <v>Wèinán Shì</v>
      </c>
      <c r="O46" s="13" t="str">
        <f t="shared" si="2"/>
        <v>Banqiao Zhen (Weinan Shi) (Wèinán Shì)</v>
      </c>
      <c r="P46" s="13" t="str">
        <f t="shared" si="3"/>
        <v>Banqiao Zhen (Weinan Shi) (Wèinán Shì)</v>
      </c>
    </row>
    <row r="47" spans="1:16" hidden="1" x14ac:dyDescent="0.25">
      <c r="A47" t="s">
        <v>19</v>
      </c>
      <c r="B47" t="str">
        <f t="shared" si="0"/>
        <v>Bāntáo Zhèn [→ Huíshuĭ Zhèn, Jièlĭng Zhèn]</v>
      </c>
      <c r="C47" t="str">
        <f t="shared" si="1"/>
        <v>Bāntáo Zhèn [→ Huíshuĭ Zhèn, Jièlĭng Zhèn]</v>
      </c>
      <c r="D47" t="s">
        <v>20</v>
      </c>
      <c r="E47" t="s">
        <v>7</v>
      </c>
      <c r="F47" t="str">
        <f>_xlfn.CONCAT(D47,", ",H47,", ",I47,", ","陕西省")</f>
        <v>斑桃镇, 紫阳县, 安康市, 陕西省</v>
      </c>
      <c r="G47">
        <v>7461</v>
      </c>
      <c r="H47" t="s">
        <v>3043</v>
      </c>
      <c r="I47" t="s">
        <v>3031</v>
      </c>
      <c r="J47">
        <f>VLOOKUP(F47,[1]!china_towns_second__2[[Column1]:[Y]],3,FALSE)</f>
        <v>32.284279531400998</v>
      </c>
      <c r="K47">
        <f>VLOOKUP(F47,[1]!china_towns_second__2[[Column1]:[Y]],2,FALSE)</f>
        <v>108.6357407</v>
      </c>
      <c r="L47" t="s">
        <v>4172</v>
      </c>
      <c r="M47" t="str">
        <f>VLOOKUP(H47,CHOOSE({1,2},Table11[Native],Table11[Name]),2,0)</f>
        <v>Zĭyáng Xiàn</v>
      </c>
      <c r="N47" s="13" t="str">
        <f>VLOOKUP(I47,CHOOSE({1,2},Table11[Native],Table11[Name]),2,0)</f>
        <v>Ānkāng Shì</v>
      </c>
      <c r="O47" s="13" t="str">
        <f t="shared" si="2"/>
        <v>Bantao Zhen [→ Huishui Zhen, Jieling Zhen] (Ānkāng Shì)</v>
      </c>
      <c r="P47" s="13" t="str">
        <f t="shared" si="3"/>
        <v>Bantao Zhen [→ Huishui Zhen, Jieling Zhen] (Ānkāng Shì)</v>
      </c>
    </row>
    <row r="48" spans="1:16" hidden="1" x14ac:dyDescent="0.25">
      <c r="A48" t="s">
        <v>1050</v>
      </c>
      <c r="B48" t="str">
        <f t="shared" si="0"/>
        <v>Bănyán Zhèn</v>
      </c>
      <c r="C48" t="str">
        <f t="shared" si="1"/>
        <v>Bănyán Zhèn</v>
      </c>
      <c r="D48" t="s">
        <v>1051</v>
      </c>
      <c r="E48" t="s">
        <v>7</v>
      </c>
      <c r="F48" t="str">
        <f>_xlfn.CONCAT(D48,", ",H48,", ",I48,", ","陕西省")</f>
        <v>板岩镇, 山阳县, 商洛市, 陕西省</v>
      </c>
      <c r="G48">
        <v>23458</v>
      </c>
      <c r="H48" t="s">
        <v>3077</v>
      </c>
      <c r="I48" t="s">
        <v>3072</v>
      </c>
      <c r="J48">
        <f>VLOOKUP(F48,[1]!china_towns_second__2[[Column1]:[Y]],3,FALSE)</f>
        <v>33.423933612064602</v>
      </c>
      <c r="K48">
        <f>VLOOKUP(F48,[1]!china_towns_second__2[[Column1]:[Y]],2,FALSE)</f>
        <v>109.8015748</v>
      </c>
      <c r="L48" t="s">
        <v>4173</v>
      </c>
      <c r="M48" t="str">
        <f>VLOOKUP(H48,CHOOSE({1,2},Table11[Native],Table11[Name]),2,0)</f>
        <v>Shānyáng Xiàn</v>
      </c>
      <c r="N48" s="13" t="str">
        <f>VLOOKUP(I48,CHOOSE({1,2},Table11[Native],Table11[Name]),2,0)</f>
        <v>Shāngluò Shì</v>
      </c>
      <c r="O48" s="13" t="str">
        <f t="shared" si="2"/>
        <v>Banyan Zhen (Shāngluò Shì)</v>
      </c>
      <c r="P48" s="13" t="str">
        <f t="shared" si="3"/>
        <v>Banyan Zhen (Shāngluò Shì)</v>
      </c>
    </row>
    <row r="49" spans="1:16" hidden="1" x14ac:dyDescent="0.25">
      <c r="A49" t="s">
        <v>2350</v>
      </c>
      <c r="B49" t="str">
        <f t="shared" si="0"/>
        <v>Băo'ān Jiēdào</v>
      </c>
      <c r="C49" t="str">
        <f t="shared" si="1"/>
        <v>Băo'ān Jiēdào</v>
      </c>
      <c r="D49" t="s">
        <v>2351</v>
      </c>
      <c r="E49" t="s">
        <v>113</v>
      </c>
      <c r="F49" t="str">
        <f>_xlfn.CONCAT(D49,", ",H49,", ",I49,", ","陕西省")</f>
        <v>保安街道, 志丹县, 延安市, 陕西省</v>
      </c>
      <c r="G49">
        <v>60371</v>
      </c>
      <c r="H49" t="s">
        <v>3145</v>
      </c>
      <c r="I49" t="s">
        <v>3133</v>
      </c>
      <c r="J49" t="e">
        <f>VLOOKUP(F49,[1]!china_towns_second__2[[Column1]:[Y]],3,FALSE)</f>
        <v>#N/A</v>
      </c>
      <c r="K49" t="e">
        <f>VLOOKUP(F49,[1]!china_towns_second__2[[Column1]:[Y]],2,FALSE)</f>
        <v>#N/A</v>
      </c>
      <c r="L49" t="s">
        <v>4174</v>
      </c>
      <c r="M49" t="str">
        <f>VLOOKUP(H49,CHOOSE({1,2},Table11[Native],Table11[Name]),2,0)</f>
        <v>Zhìdān Xiàn</v>
      </c>
      <c r="N49" s="13" t="str">
        <f>VLOOKUP(I49,CHOOSE({1,2},Table11[Native],Table11[Name]),2,0)</f>
        <v>Yán'ān Shì</v>
      </c>
      <c r="O49" s="13" t="str">
        <f t="shared" si="2"/>
        <v>Bao'an Jiedao (Yán'ān Shì)</v>
      </c>
      <c r="P49" s="13" t="str">
        <f t="shared" si="3"/>
        <v>Bao'an Jiedao (Yán'ān Shì)</v>
      </c>
    </row>
    <row r="50" spans="1:16" hidden="1" x14ac:dyDescent="0.25">
      <c r="A50" t="s">
        <v>1053</v>
      </c>
      <c r="B50" t="str">
        <f t="shared" si="0"/>
        <v>Băo'ān Zhèn</v>
      </c>
      <c r="C50" t="str">
        <f t="shared" si="1"/>
        <v>Băo'ān Zhèn</v>
      </c>
      <c r="D50" t="s">
        <v>1054</v>
      </c>
      <c r="E50" t="s">
        <v>7</v>
      </c>
      <c r="F50" t="str">
        <f>_xlfn.CONCAT(D50,", ",H50,", ",I50,", ","陕西省")</f>
        <v>保安镇, 洛南县, 商洛市, 陕西省</v>
      </c>
      <c r="G50">
        <v>23384</v>
      </c>
      <c r="H50" t="s">
        <v>3074</v>
      </c>
      <c r="I50" t="s">
        <v>3072</v>
      </c>
      <c r="J50">
        <f>VLOOKUP(F50,[1]!china_towns_second__2[[Column1]:[Y]],3,FALSE)</f>
        <v>34.1786401405421</v>
      </c>
      <c r="K50">
        <f>VLOOKUP(F50,[1]!china_towns_second__2[[Column1]:[Y]],2,FALSE)</f>
        <v>109.9740506</v>
      </c>
      <c r="L50" t="s">
        <v>4175</v>
      </c>
      <c r="M50" t="str">
        <f>VLOOKUP(H50,CHOOSE({1,2},Table11[Native],Table11[Name]),2,0)</f>
        <v>Luònán Xiàn</v>
      </c>
      <c r="N50" s="13" t="str">
        <f>VLOOKUP(I50,CHOOSE({1,2},Table11[Native],Table11[Name]),2,0)</f>
        <v>Shāngluò Shì</v>
      </c>
      <c r="O50" s="13" t="str">
        <f t="shared" si="2"/>
        <v>Bao'an Zhen (Shāngluò Shì)</v>
      </c>
      <c r="P50" s="13" t="str">
        <f t="shared" si="3"/>
        <v>Bao'an Zhen (Shāngluò Shì)</v>
      </c>
    </row>
    <row r="51" spans="1:16" hidden="1" x14ac:dyDescent="0.25">
      <c r="A51" t="s">
        <v>647</v>
      </c>
      <c r="B51" t="str">
        <f t="shared" si="0"/>
        <v>Bāochéng Zhèn</v>
      </c>
      <c r="C51" t="str">
        <f t="shared" si="1"/>
        <v>Bāochéng Zhèn</v>
      </c>
      <c r="D51" t="s">
        <v>648</v>
      </c>
      <c r="E51" t="s">
        <v>7</v>
      </c>
      <c r="F51" t="str">
        <f>_xlfn.CONCAT(D51,", ",H51,", ",I51,", ","陕西省")</f>
        <v>褒城镇, 勉县, 汉中市, 陕西省</v>
      </c>
      <c r="G51">
        <v>11897</v>
      </c>
      <c r="H51" t="s">
        <v>3065</v>
      </c>
      <c r="I51" t="s">
        <v>3059</v>
      </c>
      <c r="J51">
        <f>VLOOKUP(F51,[1]!china_towns_second__2[[Column1]:[Y]],3,FALSE)</f>
        <v>33.208858207298299</v>
      </c>
      <c r="K51">
        <f>VLOOKUP(F51,[1]!china_towns_second__2[[Column1]:[Y]],2,FALSE)</f>
        <v>106.93056439999999</v>
      </c>
      <c r="L51" t="s">
        <v>4176</v>
      </c>
      <c r="M51" t="str">
        <f>VLOOKUP(H51,CHOOSE({1,2},Table11[Native],Table11[Name]),2,0)</f>
        <v>Miăn Xiàn</v>
      </c>
      <c r="N51" s="13" t="str">
        <f>VLOOKUP(I51,CHOOSE({1,2},Table11[Native],Table11[Name]),2,0)</f>
        <v>Hànzhōng Shì</v>
      </c>
      <c r="O51" s="13" t="str">
        <f t="shared" si="2"/>
        <v>Baocheng Zhen (Hànzhōng Shì)</v>
      </c>
      <c r="P51" s="13" t="str">
        <f t="shared" si="3"/>
        <v>Baocheng Zhen (Hànzhōng Shì)</v>
      </c>
    </row>
    <row r="52" spans="1:16" hidden="1" x14ac:dyDescent="0.25">
      <c r="A52" t="s">
        <v>650</v>
      </c>
      <c r="B52" t="str">
        <f t="shared" si="0"/>
        <v>Băoshān Zhèn</v>
      </c>
      <c r="C52" t="str">
        <f t="shared" si="1"/>
        <v>Băoshān Zhèn</v>
      </c>
      <c r="D52" t="s">
        <v>651</v>
      </c>
      <c r="E52" t="s">
        <v>7</v>
      </c>
      <c r="F52" t="str">
        <f>_xlfn.CONCAT(D52,", ",H52,", ",I52,", ","陕西省")</f>
        <v>宝山镇, 城固县, 汉中市, 陕西省</v>
      </c>
      <c r="G52">
        <v>13583</v>
      </c>
      <c r="H52" t="s">
        <v>3060</v>
      </c>
      <c r="I52" t="s">
        <v>3059</v>
      </c>
      <c r="J52">
        <f>VLOOKUP(F52,[1]!china_towns_second__2[[Column1]:[Y]],3,FALSE)</f>
        <v>33.198873300000002</v>
      </c>
      <c r="K52">
        <f>VLOOKUP(F52,[1]!china_towns_second__2[[Column1]:[Y]],2,FALSE)</f>
        <v>107.34379269999999</v>
      </c>
      <c r="L52" t="s">
        <v>4177</v>
      </c>
      <c r="M52" t="str">
        <f>VLOOKUP(H52,CHOOSE({1,2},Table11[Native],Table11[Name]),2,0)</f>
        <v>Chénggù Xiàn</v>
      </c>
      <c r="N52" s="13" t="str">
        <f>VLOOKUP(I52,CHOOSE({1,2},Table11[Native],Table11[Name]),2,0)</f>
        <v>Hànzhōng Shì</v>
      </c>
      <c r="O52" s="13" t="str">
        <f t="shared" si="2"/>
        <v>Baoshan Zhen (Hànzhōng Shì)</v>
      </c>
      <c r="P52" s="13" t="str">
        <f t="shared" si="3"/>
        <v>Baoshan Zhen (Hànzhōng Shì)</v>
      </c>
    </row>
    <row r="53" spans="1:16" hidden="1" x14ac:dyDescent="0.25">
      <c r="A53" t="s">
        <v>2353</v>
      </c>
      <c r="B53" t="str">
        <f t="shared" si="0"/>
        <v>Băotăshān Jiēdào</v>
      </c>
      <c r="C53" t="str">
        <f t="shared" si="1"/>
        <v>Băotăshān Jiēdào</v>
      </c>
      <c r="D53" t="s">
        <v>2354</v>
      </c>
      <c r="E53" t="s">
        <v>113</v>
      </c>
      <c r="F53" t="str">
        <f>_xlfn.CONCAT(D53,", ",H53,", ",I53,", ","陕西省")</f>
        <v>宝塔山街道, 宝塔区, 延安市, 陕西省</v>
      </c>
      <c r="G53">
        <v>67388</v>
      </c>
      <c r="H53" t="s">
        <v>3135</v>
      </c>
      <c r="I53" t="s">
        <v>3133</v>
      </c>
      <c r="J53">
        <f>VLOOKUP(F53,[1]!china_towns_second__2[[Column1]:[Y]],3,FALSE)</f>
        <v>36.610796778938401</v>
      </c>
      <c r="K53">
        <f>VLOOKUP(F53,[1]!china_towns_second__2[[Column1]:[Y]],2,FALSE)</f>
        <v>109.4859941</v>
      </c>
      <c r="L53" t="s">
        <v>4178</v>
      </c>
      <c r="M53" t="str">
        <f>VLOOKUP(H53,CHOOSE({1,2},Table11[Native],Table11[Name]),2,0)</f>
        <v>Băotă Qū</v>
      </c>
      <c r="N53" s="13" t="str">
        <f>VLOOKUP(I53,CHOOSE({1,2},Table11[Native],Table11[Name]),2,0)</f>
        <v>Yán'ān Shì</v>
      </c>
      <c r="O53" s="13" t="str">
        <f t="shared" si="2"/>
        <v>Baotashan Jiedao (Yán'ān Shì)</v>
      </c>
      <c r="P53" s="13" t="str">
        <f t="shared" si="3"/>
        <v>Baotashan Jiedao (Yán'ān Shì)</v>
      </c>
    </row>
    <row r="54" spans="1:16" hidden="1" x14ac:dyDescent="0.25">
      <c r="A54" t="s">
        <v>1975</v>
      </c>
      <c r="B54" t="str">
        <f t="shared" si="0"/>
        <v>Bàqiáo Jiēdào</v>
      </c>
      <c r="C54" t="str">
        <f t="shared" si="1"/>
        <v>Bàqiáo Jiēdào</v>
      </c>
      <c r="D54" t="s">
        <v>1976</v>
      </c>
      <c r="E54" t="s">
        <v>113</v>
      </c>
      <c r="F54" t="str">
        <f>_xlfn.CONCAT(D54,", ",H54,", ",I54,", ","陕西省")</f>
        <v>灞桥街道, 灞桥区, 西安市, 陕西省</v>
      </c>
      <c r="G54">
        <v>52557</v>
      </c>
      <c r="H54" t="s">
        <v>3103</v>
      </c>
      <c r="I54" t="s">
        <v>3102</v>
      </c>
      <c r="J54">
        <f>VLOOKUP(F54,[1]!china_towns_second__2[[Column1]:[Y]],3,FALSE)</f>
        <v>34.333793274044297</v>
      </c>
      <c r="K54">
        <f>VLOOKUP(F54,[1]!china_towns_second__2[[Column1]:[Y]],2,FALSE)</f>
        <v>109.07033560000001</v>
      </c>
      <c r="L54" t="s">
        <v>4179</v>
      </c>
      <c r="M54" t="str">
        <f>VLOOKUP(H54,CHOOSE({1,2},Table11[Native],Table11[Name]),2,0)</f>
        <v>Bàqiáo Qū</v>
      </c>
      <c r="N54" s="13" t="str">
        <f>VLOOKUP(I54,CHOOSE({1,2},Table11[Native],Table11[Name]),2,0)</f>
        <v>Xī'ān Shì</v>
      </c>
      <c r="O54" s="13" t="str">
        <f t="shared" si="2"/>
        <v>Baqiao Jiedao (Xī'ān Shì)</v>
      </c>
      <c r="P54" s="13" t="str">
        <f t="shared" si="3"/>
        <v>Baqiao Jiedao (Xī'ān Shì)</v>
      </c>
    </row>
    <row r="55" spans="1:16" hidden="1" x14ac:dyDescent="0.25">
      <c r="A55" t="s">
        <v>653</v>
      </c>
      <c r="B55" t="str">
        <f t="shared" si="0"/>
        <v>Bāshān Zhèn (Hànzhōng Shì)</v>
      </c>
      <c r="C55" t="str">
        <f t="shared" si="1"/>
        <v>Bāshān Zhèn (Níngqiáng Xiàn)</v>
      </c>
      <c r="D55" t="s">
        <v>654</v>
      </c>
      <c r="E55" t="s">
        <v>7</v>
      </c>
      <c r="F55" t="str">
        <f>_xlfn.CONCAT(D55,", ",H55,", ",I55,", ","陕西省")</f>
        <v>巴山镇, 宁强县, 汉中市, 陕西省</v>
      </c>
      <c r="G55">
        <v>9804</v>
      </c>
      <c r="H55" t="s">
        <v>3067</v>
      </c>
      <c r="I55" t="s">
        <v>3059</v>
      </c>
      <c r="J55">
        <f>VLOOKUP(F55,[1]!china_towns_second__2[[Column1]:[Y]],3,FALSE)</f>
        <v>32.7238781970876</v>
      </c>
      <c r="K55">
        <f>VLOOKUP(F55,[1]!china_towns_second__2[[Column1]:[Y]],2,FALSE)</f>
        <v>106.2391586</v>
      </c>
      <c r="L55" t="s">
        <v>4180</v>
      </c>
      <c r="M55" t="str">
        <f>VLOOKUP(H55,CHOOSE({1,2},Table11[Native],Table11[Name]),2,0)</f>
        <v>Níngqiáng Xiàn</v>
      </c>
      <c r="N55" s="13" t="str">
        <f>VLOOKUP(I55,CHOOSE({1,2},Table11[Native],Table11[Name]),2,0)</f>
        <v>Hànzhōng Shì</v>
      </c>
      <c r="O55" s="13" t="str">
        <f t="shared" si="2"/>
        <v>Bashan Zhen (Ningqiang Xian) (Hànzhōng Shì)</v>
      </c>
      <c r="P55" s="13" t="str">
        <f t="shared" si="3"/>
        <v>Bashan Zhen (Ningqiang Xian) (Hànzhōng Shì)</v>
      </c>
    </row>
    <row r="56" spans="1:16" hidden="1" x14ac:dyDescent="0.25">
      <c r="A56" t="s">
        <v>653</v>
      </c>
      <c r="B56" t="str">
        <f t="shared" si="0"/>
        <v>Bāshān Zhèn (Hànzhōng Shì)</v>
      </c>
      <c r="C56" t="str">
        <f t="shared" si="1"/>
        <v>Bāshān Zhèn (Zhènbā Xiàn)</v>
      </c>
      <c r="D56" t="s">
        <v>654</v>
      </c>
      <c r="E56" t="s">
        <v>7</v>
      </c>
      <c r="F56" t="str">
        <f>_xlfn.CONCAT(D56,", ",H56,", ",I56,", ","陕西省")</f>
        <v>巴山镇, 镇巴县, 汉中市, 陕西省</v>
      </c>
      <c r="G56">
        <v>10561</v>
      </c>
      <c r="H56" t="s">
        <v>3070</v>
      </c>
      <c r="I56" t="s">
        <v>3059</v>
      </c>
      <c r="J56">
        <f>VLOOKUP(F56,[1]!china_towns_second__2[[Column1]:[Y]],3,FALSE)</f>
        <v>32.309219970296802</v>
      </c>
      <c r="K56">
        <f>VLOOKUP(F56,[1]!china_towns_second__2[[Column1]:[Y]],2,FALSE)</f>
        <v>108.0887827</v>
      </c>
      <c r="L56" t="s">
        <v>4181</v>
      </c>
      <c r="M56" t="str">
        <f>VLOOKUP(H56,CHOOSE({1,2},Table11[Native],Table11[Name]),2,0)</f>
        <v>Zhènbā Xiàn</v>
      </c>
      <c r="N56" s="13" t="str">
        <f>VLOOKUP(I56,CHOOSE({1,2},Table11[Native],Table11[Name]),2,0)</f>
        <v>Hànzhōng Shì</v>
      </c>
      <c r="O56" s="13" t="str">
        <f t="shared" si="2"/>
        <v>Bashan Zhen (Zhenba Xian) (Hànzhōng Shì)</v>
      </c>
      <c r="P56" s="13" t="str">
        <f t="shared" si="3"/>
        <v>Bashan Zhen (Zhenba Xian) (Hànzhōng Shì)</v>
      </c>
    </row>
    <row r="57" spans="1:16" hidden="1" x14ac:dyDescent="0.25">
      <c r="A57" t="s">
        <v>21</v>
      </c>
      <c r="B57" t="str">
        <f t="shared" si="0"/>
        <v>Bāxiān Zhèn</v>
      </c>
      <c r="C57" t="str">
        <f t="shared" si="1"/>
        <v>Bāxiān Zhèn</v>
      </c>
      <c r="D57" t="s">
        <v>22</v>
      </c>
      <c r="E57" t="s">
        <v>7</v>
      </c>
      <c r="F57" t="str">
        <f>_xlfn.CONCAT(D57,", ",H57,", ",I57,", ","陕西省")</f>
        <v>八仙镇, 平利县, 安康市, 陕西省</v>
      </c>
      <c r="G57">
        <v>24654</v>
      </c>
      <c r="H57" t="s">
        <v>3039</v>
      </c>
      <c r="I57" t="s">
        <v>3031</v>
      </c>
      <c r="J57">
        <f>VLOOKUP(F57,[1]!china_towns_second__2[[Column1]:[Y]],3,FALSE)</f>
        <v>32.109794866573999</v>
      </c>
      <c r="K57">
        <f>VLOOKUP(F57,[1]!china_towns_second__2[[Column1]:[Y]],2,FALSE)</f>
        <v>109.2023173</v>
      </c>
      <c r="L57" t="s">
        <v>4182</v>
      </c>
      <c r="M57" t="str">
        <f>VLOOKUP(H57,CHOOSE({1,2},Table11[Native],Table11[Name]),2,0)</f>
        <v>Pínglì Xiàn</v>
      </c>
      <c r="N57" s="13" t="str">
        <f>VLOOKUP(I57,CHOOSE({1,2},Table11[Native],Table11[Name]),2,0)</f>
        <v>Ānkāng Shì</v>
      </c>
      <c r="O57" s="13" t="str">
        <f t="shared" si="2"/>
        <v>Baxian Zhen (Ānkāng Shì)</v>
      </c>
      <c r="P57" s="13" t="str">
        <f t="shared" si="3"/>
        <v>Baxian Zhen (Ānkāng Shì)</v>
      </c>
    </row>
    <row r="58" spans="1:16" hidden="1" x14ac:dyDescent="0.25">
      <c r="A58" t="s">
        <v>345</v>
      </c>
      <c r="B58" t="str">
        <f t="shared" si="0"/>
        <v>Bāyú Zhèn</v>
      </c>
      <c r="C58" t="str">
        <f t="shared" si="1"/>
        <v>Bāyú Zhèn</v>
      </c>
      <c r="D58" t="s">
        <v>346</v>
      </c>
      <c r="E58" t="s">
        <v>7</v>
      </c>
      <c r="F58" t="str">
        <f>_xlfn.CONCAT(D58,", ",H58,", ",I58,", ","陕西省")</f>
        <v>八鱼镇, 渭滨区, 宝鸡市, 陕西省</v>
      </c>
      <c r="G58">
        <v>26601</v>
      </c>
      <c r="H58" t="s">
        <v>3057</v>
      </c>
      <c r="I58" t="s">
        <v>3045</v>
      </c>
      <c r="J58">
        <f>VLOOKUP(F58,[1]!china_towns_second__2[[Column1]:[Y]],3,FALSE)</f>
        <v>34.2720622077413</v>
      </c>
      <c r="K58">
        <f>VLOOKUP(F58,[1]!china_towns_second__2[[Column1]:[Y]],2,FALSE)</f>
        <v>107.2843091</v>
      </c>
      <c r="L58" t="s">
        <v>4183</v>
      </c>
      <c r="M58" t="str">
        <f>VLOOKUP(H58,CHOOSE({1,2},Table11[Native],Table11[Name]),2,0)</f>
        <v>Wèibīn Qū</v>
      </c>
      <c r="N58" s="13" t="str">
        <f>VLOOKUP(I58,CHOOSE({1,2},Table11[Native],Table11[Name]),2,0)</f>
        <v>Băojī Shì</v>
      </c>
      <c r="O58" s="13" t="str">
        <f t="shared" si="2"/>
        <v>Bayu Zhen (Băojī Shì)</v>
      </c>
      <c r="P58" s="13" t="str">
        <f t="shared" si="3"/>
        <v>Bayu Zhen (Băojī Shì)</v>
      </c>
    </row>
    <row r="59" spans="1:16" hidden="1" x14ac:dyDescent="0.25">
      <c r="A59" t="s">
        <v>1978</v>
      </c>
      <c r="B59" t="str">
        <f t="shared" si="0"/>
        <v>Bàyuán Zhèn</v>
      </c>
      <c r="C59" t="str">
        <f t="shared" si="1"/>
        <v>Bàyuán Zhèn</v>
      </c>
      <c r="D59" t="s">
        <v>1979</v>
      </c>
      <c r="E59" t="s">
        <v>7</v>
      </c>
      <c r="F59" t="str">
        <f>_xlfn.CONCAT(D59,", ",H59,", ",I59,", ","陕西省")</f>
        <v>灞源镇, 蓝田县, 西安市, 陕西省</v>
      </c>
      <c r="G59">
        <v>16227</v>
      </c>
      <c r="H59" t="s">
        <v>3108</v>
      </c>
      <c r="I59" t="s">
        <v>3102</v>
      </c>
      <c r="J59">
        <f>VLOOKUP(F59,[1]!china_towns_second__2[[Column1]:[Y]],3,FALSE)</f>
        <v>34.166453027306503</v>
      </c>
      <c r="K59">
        <f>VLOOKUP(F59,[1]!china_towns_second__2[[Column1]:[Y]],2,FALSE)</f>
        <v>109.6890523</v>
      </c>
      <c r="L59" t="s">
        <v>4184</v>
      </c>
      <c r="M59" t="str">
        <f>VLOOKUP(H59,CHOOSE({1,2},Table11[Native],Table11[Name]),2,0)</f>
        <v>Lántián Xiàn</v>
      </c>
      <c r="N59" s="13" t="str">
        <f>VLOOKUP(I59,CHOOSE({1,2},Table11[Native],Table11[Name]),2,0)</f>
        <v>Xī'ān Shì</v>
      </c>
      <c r="O59" s="13" t="str">
        <f t="shared" si="2"/>
        <v>Bayuan Zhen (Xī'ān Shì)</v>
      </c>
      <c r="P59" s="13" t="str">
        <f t="shared" si="3"/>
        <v>Bayuan Zhen (Xī'ān Shì)</v>
      </c>
    </row>
    <row r="60" spans="1:16" hidden="1" x14ac:dyDescent="0.25">
      <c r="A60" t="s">
        <v>655</v>
      </c>
      <c r="B60" t="str">
        <f t="shared" si="0"/>
        <v>Bēibà Zhèn [incl. Xīhé Zhèn]</v>
      </c>
      <c r="C60" t="str">
        <f t="shared" si="1"/>
        <v>Bēibà Zhèn [incl. Xīhé Zhèn]</v>
      </c>
      <c r="D60" t="s">
        <v>656</v>
      </c>
      <c r="E60" t="s">
        <v>7</v>
      </c>
      <c r="F60" t="str">
        <f>_xlfn.CONCAT(D60,", ",H60,", ",I60,", ","陕西省")</f>
        <v>碑坝镇, 南郑区, 汉中市, 陕西省</v>
      </c>
      <c r="G60">
        <v>11102</v>
      </c>
      <c r="H60" t="s">
        <v>3066</v>
      </c>
      <c r="I60" t="s">
        <v>3059</v>
      </c>
      <c r="J60">
        <f>VLOOKUP(F60,[1]!china_towns_second__2[[Column1]:[Y]],3,FALSE)</f>
        <v>32.636551377510301</v>
      </c>
      <c r="K60">
        <f>VLOOKUP(F60,[1]!china_towns_second__2[[Column1]:[Y]],2,FALSE)</f>
        <v>107.1794184</v>
      </c>
      <c r="L60" t="s">
        <v>4185</v>
      </c>
      <c r="M60" t="str">
        <f>VLOOKUP(H60,CHOOSE({1,2},Table11[Native],Table11[Name]),2,0)</f>
        <v>Nánzhèng Qū</v>
      </c>
      <c r="N60" s="13" t="str">
        <f>VLOOKUP(I60,CHOOSE({1,2},Table11[Native],Table11[Name]),2,0)</f>
        <v>Hànzhōng Shì</v>
      </c>
      <c r="O60" s="13" t="str">
        <f t="shared" si="2"/>
        <v>Beiba Zhen [incl. Xihe Zhen] (Hànzhōng Shì)</v>
      </c>
      <c r="P60" s="13" t="str">
        <f t="shared" si="3"/>
        <v>Beiba Zhen [incl. Xihe Zhen] (Hànzhōng Shì)</v>
      </c>
    </row>
    <row r="61" spans="1:16" hidden="1" x14ac:dyDescent="0.25">
      <c r="A61" t="s">
        <v>2356</v>
      </c>
      <c r="B61" t="str">
        <f t="shared" si="0"/>
        <v>Bĕidàodé Xiāng</v>
      </c>
      <c r="C61" t="str">
        <f t="shared" si="1"/>
        <v>Bĕidàodé Xiāng</v>
      </c>
      <c r="D61" t="s">
        <v>2357</v>
      </c>
      <c r="E61" t="s">
        <v>11</v>
      </c>
      <c r="F61" t="str">
        <f>_xlfn.CONCAT(D61,", ",H61,", ",I61,", ","陕西省")</f>
        <v>北道德乡, 富县, 延安市, 陕西省</v>
      </c>
      <c r="G61">
        <v>7594</v>
      </c>
      <c r="H61" t="s">
        <v>3136</v>
      </c>
      <c r="I61" t="s">
        <v>3133</v>
      </c>
      <c r="J61" t="e">
        <f>VLOOKUP(F61,[1]!china_towns_second__2[[Column1]:[Y]],3,FALSE)</f>
        <v>#N/A</v>
      </c>
      <c r="K61" t="e">
        <f>VLOOKUP(F61,[1]!china_towns_second__2[[Column1]:[Y]],2,FALSE)</f>
        <v>#N/A</v>
      </c>
      <c r="L61" t="s">
        <v>4186</v>
      </c>
      <c r="M61" t="str">
        <f>VLOOKUP(H61,CHOOSE({1,2},Table11[Native],Table11[Name]),2,0)</f>
        <v>Fù Xiàn</v>
      </c>
      <c r="N61" s="13" t="str">
        <f>VLOOKUP(I61,CHOOSE({1,2},Table11[Native],Table11[Name]),2,0)</f>
        <v>Yán'ān Shì</v>
      </c>
      <c r="O61" s="13" t="str">
        <f t="shared" si="2"/>
        <v>Beidaode Xiang (Yán'ān Shì)</v>
      </c>
      <c r="P61" s="13" t="str">
        <f t="shared" si="3"/>
        <v>Beidaode Xiang (Yán'ān Shì)</v>
      </c>
    </row>
    <row r="62" spans="1:16" hidden="1" x14ac:dyDescent="0.25">
      <c r="A62" t="s">
        <v>1980</v>
      </c>
      <c r="B62" t="str">
        <f t="shared" si="0"/>
        <v>Bĕidù Jiēdào</v>
      </c>
      <c r="C62" t="str">
        <f t="shared" si="1"/>
        <v>Bĕidù Jiēdào</v>
      </c>
      <c r="D62" t="s">
        <v>1981</v>
      </c>
      <c r="E62" t="s">
        <v>113</v>
      </c>
      <c r="F62" t="str">
        <f>_xlfn.CONCAT(D62,", ",H62,", ",I62,", ","陕西省")</f>
        <v>北杜街道, 西咸新区, 西安市, 陕西省</v>
      </c>
      <c r="G62">
        <v>20236</v>
      </c>
      <c r="H62" t="s">
        <v>3167</v>
      </c>
      <c r="I62" t="s">
        <v>3102</v>
      </c>
      <c r="J62" t="e">
        <f>VLOOKUP(F62,[1]!china_towns_second__2[[Column1]:[Y]],3,FALSE)</f>
        <v>#N/A</v>
      </c>
      <c r="K62" t="e">
        <f>VLOOKUP(F62,[1]!china_towns_second__2[[Column1]:[Y]],2,FALSE)</f>
        <v>#N/A</v>
      </c>
      <c r="L62" t="s">
        <v>4187</v>
      </c>
      <c r="M62" t="str">
        <f>VLOOKUP(H62,CHOOSE({1,2},Table11[Native],Table11[Name]),2,0)</f>
        <v>Xīxián Xīnqū</v>
      </c>
      <c r="N62" s="13" t="str">
        <f>VLOOKUP(I62,CHOOSE({1,2},Table11[Native],Table11[Name]),2,0)</f>
        <v>Xī'ān Shì</v>
      </c>
      <c r="O62" s="13" t="str">
        <f t="shared" si="2"/>
        <v>Beidu Jiedao (Xī'ān Shì)</v>
      </c>
      <c r="P62" s="13" t="str">
        <f t="shared" si="3"/>
        <v>Beidu Jiedao (Xī'ān Shì)</v>
      </c>
    </row>
    <row r="63" spans="1:16" hidden="1" x14ac:dyDescent="0.25">
      <c r="A63" t="s">
        <v>657</v>
      </c>
      <c r="B63" t="str">
        <f t="shared" si="0"/>
        <v>Bĕiguān Jiēdào (Hànzhōng Shì)</v>
      </c>
      <c r="C63" t="str">
        <f t="shared" si="1"/>
        <v>Bĕiguān Jiēdào (Hànzhōng Shì)</v>
      </c>
      <c r="D63" t="s">
        <v>658</v>
      </c>
      <c r="E63" t="s">
        <v>113</v>
      </c>
      <c r="F63" t="str">
        <f>_xlfn.CONCAT(D63,", ",H63,", ",I63,", ","陕西省")</f>
        <v>北关街道, 汉台区, 汉中市, 陕西省</v>
      </c>
      <c r="G63">
        <v>102960</v>
      </c>
      <c r="H63" t="s">
        <v>3062</v>
      </c>
      <c r="I63" t="s">
        <v>3059</v>
      </c>
      <c r="J63">
        <f>VLOOKUP(F63,[1]!china_towns_second__2[[Column1]:[Y]],3,FALSE)</f>
        <v>33.095380214175101</v>
      </c>
      <c r="K63">
        <f>VLOOKUP(F63,[1]!china_towns_second__2[[Column1]:[Y]],2,FALSE)</f>
        <v>107.0198254</v>
      </c>
      <c r="L63" t="s">
        <v>4188</v>
      </c>
      <c r="M63" t="str">
        <f>VLOOKUP(H63,CHOOSE({1,2},Table11[Native],Table11[Name]),2,0)</f>
        <v>Hàntái Qū</v>
      </c>
      <c r="N63" s="13" t="str">
        <f>VLOOKUP(I63,CHOOSE({1,2},Table11[Native],Table11[Name]),2,0)</f>
        <v>Hànzhōng Shì</v>
      </c>
      <c r="O63" s="13" t="str">
        <f t="shared" si="2"/>
        <v>Beiguan Jiedao (Hanzhong Shi) (Hànzhōng Shì)</v>
      </c>
      <c r="P63" s="13" t="str">
        <f t="shared" si="3"/>
        <v>Beiguan Jiedao (Hanzhong Shi) (Hànzhōng Shì)</v>
      </c>
    </row>
    <row r="64" spans="1:16" hidden="1" x14ac:dyDescent="0.25">
      <c r="A64" t="s">
        <v>657</v>
      </c>
      <c r="B64" t="str">
        <f t="shared" si="0"/>
        <v>Bĕiguān Jiēdào (Xī'ān Shì)</v>
      </c>
      <c r="C64" t="str">
        <f t="shared" si="1"/>
        <v>Bĕiguān Jiēdào (Xī'ān Shì)</v>
      </c>
      <c r="D64" t="s">
        <v>658</v>
      </c>
      <c r="E64" t="s">
        <v>113</v>
      </c>
      <c r="F64" t="str">
        <f>_xlfn.CONCAT(D64,", ",H64,", ",I64,", ","陕西省")</f>
        <v>北关街道, 莲湖区, 西安市, 陕西省</v>
      </c>
      <c r="G64">
        <v>66430</v>
      </c>
      <c r="H64" t="s">
        <v>3109</v>
      </c>
      <c r="I64" t="s">
        <v>3102</v>
      </c>
      <c r="J64">
        <f>VLOOKUP(F64,[1]!china_towns_second__2[[Column1]:[Y]],3,FALSE)</f>
        <v>34.2875623496382</v>
      </c>
      <c r="K64">
        <f>VLOOKUP(F64,[1]!china_towns_second__2[[Column1]:[Y]],2,FALSE)</f>
        <v>108.9403495</v>
      </c>
      <c r="L64" t="s">
        <v>4189</v>
      </c>
      <c r="M64" t="str">
        <f>VLOOKUP(H64,CHOOSE({1,2},Table11[Native],Table11[Name]),2,0)</f>
        <v>Liánhú Qū</v>
      </c>
      <c r="N64" s="13" t="str">
        <f>VLOOKUP(I64,CHOOSE({1,2},Table11[Native],Table11[Name]),2,0)</f>
        <v>Xī'ān Shì</v>
      </c>
      <c r="O64" s="13" t="str">
        <f t="shared" si="2"/>
        <v>Beiguan Jiedao (Xi'an Shi) (Xī'ān Shì)</v>
      </c>
      <c r="P64" s="13" t="str">
        <f t="shared" si="3"/>
        <v>Beiguan Jiedao (Xi'an Shi) (Xī'ān Shì)</v>
      </c>
    </row>
    <row r="65" spans="1:16" hidden="1" x14ac:dyDescent="0.25">
      <c r="A65" t="s">
        <v>1714</v>
      </c>
      <c r="B65" t="str">
        <f t="shared" si="0"/>
        <v>Bĕijí Zhèn</v>
      </c>
      <c r="C65" t="str">
        <f t="shared" si="1"/>
        <v>Bĕijí Zhèn</v>
      </c>
      <c r="D65" t="s">
        <v>1715</v>
      </c>
      <c r="E65" t="s">
        <v>7</v>
      </c>
      <c r="F65" t="str">
        <f>_xlfn.CONCAT(D65,", ",H65,", ",I65,", ","陕西省")</f>
        <v>北极镇, 彬州市, 咸阳市, 陕西省</v>
      </c>
      <c r="G65">
        <v>20648</v>
      </c>
      <c r="H65" t="s">
        <v>3118</v>
      </c>
      <c r="I65" t="s">
        <v>3117</v>
      </c>
      <c r="J65">
        <f>VLOOKUP(F65,[1]!china_towns_second__2[[Column1]:[Y]],3,FALSE)</f>
        <v>35.206111787390697</v>
      </c>
      <c r="K65">
        <f>VLOOKUP(F65,[1]!china_towns_second__2[[Column1]:[Y]],2,FALSE)</f>
        <v>108.0340204</v>
      </c>
      <c r="L65" t="s">
        <v>4190</v>
      </c>
      <c r="M65" t="str">
        <f>VLOOKUP(H65,CHOOSE({1,2},Table11[Native],Table11[Name]),2,0)</f>
        <v>Bīnzhōu Shì</v>
      </c>
      <c r="N65" s="13" t="str">
        <f>VLOOKUP(I65,CHOOSE({1,2},Table11[Native],Table11[Name]),2,0)</f>
        <v>Xiányáng Shì</v>
      </c>
      <c r="O65" s="13" t="str">
        <f t="shared" si="2"/>
        <v>Beiji Zhen (Xiányáng Shì)</v>
      </c>
      <c r="P65" s="13" t="str">
        <f t="shared" si="3"/>
        <v>Beiji Zhen (Xiányáng Shì)</v>
      </c>
    </row>
    <row r="66" spans="1:16" hidden="1" x14ac:dyDescent="0.25">
      <c r="A66" t="s">
        <v>1379</v>
      </c>
      <c r="B66" t="str">
        <f t="shared" ref="B66:B129" si="4">IF(COUNTIF(A:A,A66)&gt;1,_xlfn.CONCAT(A66," (",N66,")"),A66)</f>
        <v>Bĕijĭngtóu Xiāng</v>
      </c>
      <c r="C66" t="str">
        <f t="shared" ref="C66:C129" si="5">IF(COUNTIF(B:B,B66)&gt;1,_xlfn.CONCAT(A66," (",M66,")"),B66)</f>
        <v>Bĕijĭngtóu Xiāng</v>
      </c>
      <c r="D66" t="s">
        <v>1380</v>
      </c>
      <c r="E66" t="s">
        <v>11</v>
      </c>
      <c r="F66" t="str">
        <f>_xlfn.CONCAT(D66,", ",H66,", ",I66,", ","陕西省")</f>
        <v>北井头乡, 白水县, 渭南市, 陕西省</v>
      </c>
      <c r="G66">
        <v>17572</v>
      </c>
      <c r="H66" t="s">
        <v>3088</v>
      </c>
      <c r="I66" t="s">
        <v>3087</v>
      </c>
      <c r="J66" t="e">
        <f>VLOOKUP(F66,[1]!china_towns_second__2[[Column1]:[Y]],3,FALSE)</f>
        <v>#N/A</v>
      </c>
      <c r="K66" t="e">
        <f>VLOOKUP(F66,[1]!china_towns_second__2[[Column1]:[Y]],2,FALSE)</f>
        <v>#N/A</v>
      </c>
      <c r="L66" t="s">
        <v>4191</v>
      </c>
      <c r="M66" t="str">
        <f>VLOOKUP(H66,CHOOSE({1,2},Table11[Native],Table11[Name]),2,0)</f>
        <v>Báishuĭ Xiàn</v>
      </c>
      <c r="N66" s="13" t="str">
        <f>VLOOKUP(I66,CHOOSE({1,2},Table11[Native],Table11[Name]),2,0)</f>
        <v>Wèinán Shì</v>
      </c>
      <c r="O66" s="13" t="str">
        <f t="shared" ref="O66:O129" si="6">_xlfn.CONCAT(L66," (",N66,")")</f>
        <v>Beijingtou Xiang (Wèinán Shì)</v>
      </c>
      <c r="P66" s="13" t="str">
        <f t="shared" ref="P66:P129" si="7">IF(COUNTIF(O:O,O66)&gt;1,_xlfn.CONCAT(L66," (",M66,")"),O66)</f>
        <v>Beijingtou Xiang (Wèinán Shì)</v>
      </c>
    </row>
    <row r="67" spans="1:16" hidden="1" x14ac:dyDescent="0.25">
      <c r="A67" t="s">
        <v>1055</v>
      </c>
      <c r="B67" t="str">
        <f t="shared" si="4"/>
        <v>Bĕikuānpíng Zhèn</v>
      </c>
      <c r="C67" t="str">
        <f t="shared" si="5"/>
        <v>Bĕikuānpíng Zhèn</v>
      </c>
      <c r="D67" t="s">
        <v>1056</v>
      </c>
      <c r="E67" t="s">
        <v>7</v>
      </c>
      <c r="F67" t="str">
        <f>_xlfn.CONCAT(D67,", ",H67,", ",I67,", ","陕西省")</f>
        <v>北宽坪镇, 商州区, 商洛市, 陕西省</v>
      </c>
      <c r="G67">
        <v>14386</v>
      </c>
      <c r="H67" t="s">
        <v>3076</v>
      </c>
      <c r="I67" t="s">
        <v>3072</v>
      </c>
      <c r="J67">
        <f>VLOOKUP(F67,[1]!china_towns_second__2[[Column1]:[Y]],3,FALSE)</f>
        <v>33.918673117460699</v>
      </c>
      <c r="K67">
        <f>VLOOKUP(F67,[1]!china_towns_second__2[[Column1]:[Y]],2,FALSE)</f>
        <v>110.1691538</v>
      </c>
      <c r="L67" t="s">
        <v>4192</v>
      </c>
      <c r="M67" t="str">
        <f>VLOOKUP(H67,CHOOSE({1,2},Table11[Native],Table11[Name]),2,0)</f>
        <v>Shāngzhōu Qū</v>
      </c>
      <c r="N67" s="13" t="str">
        <f>VLOOKUP(I67,CHOOSE({1,2},Table11[Native],Table11[Name]),2,0)</f>
        <v>Shāngluò Shì</v>
      </c>
      <c r="O67" s="13" t="str">
        <f t="shared" si="6"/>
        <v>Beikuanping Zhen (Shāngluò Shì)</v>
      </c>
      <c r="P67" s="13" t="str">
        <f t="shared" si="7"/>
        <v>Beikuanping Zhen (Shāngluò Shì)</v>
      </c>
    </row>
    <row r="68" spans="1:16" hidden="1" x14ac:dyDescent="0.25">
      <c r="A68" t="s">
        <v>1382</v>
      </c>
      <c r="B68" t="str">
        <f t="shared" si="4"/>
        <v>Bĕishè Xiāng</v>
      </c>
      <c r="C68" t="str">
        <f t="shared" si="5"/>
        <v>Bĕishè Xiāng</v>
      </c>
      <c r="D68" t="s">
        <v>1383</v>
      </c>
      <c r="E68" t="s">
        <v>11</v>
      </c>
      <c r="F68" t="str">
        <f>_xlfn.CONCAT(D68,", ",H68,", ",I68,", ","陕西省")</f>
        <v>北社乡, 华阴市, 渭南市, 陕西省</v>
      </c>
      <c r="G68">
        <v>10135</v>
      </c>
      <c r="H68" t="s">
        <v>3095</v>
      </c>
      <c r="I68" t="s">
        <v>3087</v>
      </c>
      <c r="J68" t="e">
        <f>VLOOKUP(F68,[1]!china_towns_second__2[[Column1]:[Y]],3,FALSE)</f>
        <v>#N/A</v>
      </c>
      <c r="K68" t="e">
        <f>VLOOKUP(F68,[1]!china_towns_second__2[[Column1]:[Y]],2,FALSE)</f>
        <v>#N/A</v>
      </c>
      <c r="L68" t="s">
        <v>4193</v>
      </c>
      <c r="M68" t="str">
        <f>VLOOKUP(H68,CHOOSE({1,2},Table11[Native],Table11[Name]),2,0)</f>
        <v>Huáyīn Shì</v>
      </c>
      <c r="N68" s="13" t="str">
        <f>VLOOKUP(I68,CHOOSE({1,2},Table11[Native],Table11[Name]),2,0)</f>
        <v>Wèinán Shì</v>
      </c>
      <c r="O68" s="13" t="str">
        <f t="shared" si="6"/>
        <v>Beishe Xiang (Wèinán Shì)</v>
      </c>
      <c r="P68" s="13" t="str">
        <f t="shared" si="7"/>
        <v>Beishe Xiang (Wèinán Shì)</v>
      </c>
    </row>
    <row r="69" spans="1:16" hidden="1" x14ac:dyDescent="0.25">
      <c r="A69" t="s">
        <v>1984</v>
      </c>
      <c r="B69" t="str">
        <f t="shared" si="4"/>
        <v>Bĕitián Jiēdào</v>
      </c>
      <c r="C69" t="str">
        <f t="shared" si="5"/>
        <v>Bĕitián Jiēdào</v>
      </c>
      <c r="D69" t="s">
        <v>1985</v>
      </c>
      <c r="E69" t="s">
        <v>113</v>
      </c>
      <c r="F69" t="str">
        <f>_xlfn.CONCAT(D69,", ",H69,", ",I69,", ","陕西省")</f>
        <v>北田街道, 临潼区, 西安市, 陕西省</v>
      </c>
      <c r="G69">
        <v>22416</v>
      </c>
      <c r="H69" t="s">
        <v>3110</v>
      </c>
      <c r="I69" t="s">
        <v>3102</v>
      </c>
      <c r="J69">
        <f>VLOOKUP(F69,[1]!china_towns_second__2[[Column1]:[Y]],3,FALSE)</f>
        <v>34.459782609004101</v>
      </c>
      <c r="K69">
        <f>VLOOKUP(F69,[1]!china_towns_second__2[[Column1]:[Y]],2,FALSE)</f>
        <v>109.1938112</v>
      </c>
      <c r="L69" t="s">
        <v>4194</v>
      </c>
      <c r="M69" t="str">
        <f>VLOOKUP(H69,CHOOSE({1,2},Table11[Native],Table11[Name]),2,0)</f>
        <v>Líntóng Qū</v>
      </c>
      <c r="N69" s="13" t="str">
        <f>VLOOKUP(I69,CHOOSE({1,2},Table11[Native],Table11[Name]),2,0)</f>
        <v>Xī'ān Shì</v>
      </c>
      <c r="O69" s="13" t="str">
        <f t="shared" si="6"/>
        <v>Beitian Jiedao (Xī'ān Shì)</v>
      </c>
      <c r="P69" s="13" t="str">
        <f t="shared" si="7"/>
        <v>Beitian Jiedao (Xī'ān Shì)</v>
      </c>
    </row>
    <row r="70" spans="1:16" hidden="1" x14ac:dyDescent="0.25">
      <c r="A70" t="s">
        <v>1987</v>
      </c>
      <c r="B70" t="str">
        <f t="shared" si="4"/>
        <v>Bĕitún Jiēdào</v>
      </c>
      <c r="C70" t="str">
        <f t="shared" si="5"/>
        <v>Bĕitún Jiēdào</v>
      </c>
      <c r="D70" t="s">
        <v>1988</v>
      </c>
      <c r="E70" t="s">
        <v>113</v>
      </c>
      <c r="F70" t="str">
        <f>_xlfn.CONCAT(D70,", ",H70,", ",I70,", ","陕西省")</f>
        <v>北屯街道, 阎良区, 西安市, 陕西省</v>
      </c>
      <c r="G70">
        <v>23641</v>
      </c>
      <c r="H70" t="s">
        <v>3113</v>
      </c>
      <c r="I70" t="s">
        <v>3102</v>
      </c>
      <c r="J70">
        <f>VLOOKUP(F70,[1]!china_towns_second__2[[Column1]:[Y]],3,FALSE)</f>
        <v>34.614535980943003</v>
      </c>
      <c r="K70">
        <f>VLOOKUP(F70,[1]!china_towns_second__2[[Column1]:[Y]],2,FALSE)</f>
        <v>109.2308073</v>
      </c>
      <c r="L70" t="s">
        <v>4195</v>
      </c>
      <c r="M70" t="str">
        <f>VLOOKUP(H70,CHOOSE({1,2},Table11[Native],Table11[Name]),2,0)</f>
        <v>Yánliáng Qū</v>
      </c>
      <c r="N70" s="13" t="str">
        <f>VLOOKUP(I70,CHOOSE({1,2},Table11[Native],Table11[Name]),2,0)</f>
        <v>Xī'ān Shì</v>
      </c>
      <c r="O70" s="13" t="str">
        <f t="shared" si="6"/>
        <v>Beitun Jiedao (Xī'ān Shì)</v>
      </c>
      <c r="P70" s="13" t="str">
        <f t="shared" si="7"/>
        <v>Beitun Jiedao (Xī'ān Shì)</v>
      </c>
    </row>
    <row r="71" spans="1:16" hidden="1" x14ac:dyDescent="0.25">
      <c r="A71" t="s">
        <v>1385</v>
      </c>
      <c r="B71" t="str">
        <f t="shared" si="4"/>
        <v>Bĕiyuán Zhèn</v>
      </c>
      <c r="C71" t="str">
        <f t="shared" si="5"/>
        <v>Bĕiyuán Zhèn</v>
      </c>
      <c r="D71" t="s">
        <v>1386</v>
      </c>
      <c r="E71" t="s">
        <v>7</v>
      </c>
      <c r="F71" t="str">
        <f>_xlfn.CONCAT(D71,", ",H71,", ",I71,", ","陕西省")</f>
        <v>北塬镇, 白水县, 渭南市, 陕西省</v>
      </c>
      <c r="G71">
        <v>15130</v>
      </c>
      <c r="H71" t="s">
        <v>3088</v>
      </c>
      <c r="I71" t="s">
        <v>3087</v>
      </c>
      <c r="J71">
        <f>VLOOKUP(F71,[1]!china_towns_second__2[[Column1]:[Y]],3,FALSE)</f>
        <v>35.382657432018902</v>
      </c>
      <c r="K71">
        <f>VLOOKUP(F71,[1]!china_towns_second__2[[Column1]:[Y]],2,FALSE)</f>
        <v>109.56135449999999</v>
      </c>
      <c r="L71" t="s">
        <v>4196</v>
      </c>
      <c r="M71" t="str">
        <f>VLOOKUP(H71,CHOOSE({1,2},Table11[Native],Table11[Name]),2,0)</f>
        <v>Báishuĭ Xiàn</v>
      </c>
      <c r="N71" s="13" t="str">
        <f>VLOOKUP(I71,CHOOSE({1,2},Table11[Native],Table11[Name]),2,0)</f>
        <v>Wèinán Shì</v>
      </c>
      <c r="O71" s="13" t="str">
        <f t="shared" si="6"/>
        <v>Beiyuan Zhen (Wèinán Shì)</v>
      </c>
      <c r="P71" s="13" t="str">
        <f t="shared" si="7"/>
        <v>Beiyuan Zhen (Wèinán Shì)</v>
      </c>
    </row>
    <row r="72" spans="1:16" hidden="1" x14ac:dyDescent="0.25">
      <c r="A72" t="s">
        <v>1990</v>
      </c>
      <c r="B72" t="str">
        <f t="shared" si="4"/>
        <v>Bĕiyuànmén Jiēdào</v>
      </c>
      <c r="C72" t="str">
        <f t="shared" si="5"/>
        <v>Bĕiyuànmén Jiēdào</v>
      </c>
      <c r="D72" t="s">
        <v>1991</v>
      </c>
      <c r="E72" t="s">
        <v>113</v>
      </c>
      <c r="F72" t="str">
        <f>_xlfn.CONCAT(D72,", ",H72,", ",I72,", ","陕西省")</f>
        <v>北院门街道, 莲湖区, 西安市, 陕西省</v>
      </c>
      <c r="G72">
        <v>79871</v>
      </c>
      <c r="H72" t="s">
        <v>3109</v>
      </c>
      <c r="I72" t="s">
        <v>3102</v>
      </c>
      <c r="J72">
        <f>VLOOKUP(F72,[1]!china_towns_second__2[[Column1]:[Y]],3,FALSE)</f>
        <v>34.262136169702202</v>
      </c>
      <c r="K72">
        <f>VLOOKUP(F72,[1]!china_towns_second__2[[Column1]:[Y]],2,FALSE)</f>
        <v>108.92919980000001</v>
      </c>
      <c r="L72" t="s">
        <v>4197</v>
      </c>
      <c r="M72" t="str">
        <f>VLOOKUP(H72,CHOOSE({1,2},Table11[Native],Table11[Name]),2,0)</f>
        <v>Liánhú Qū</v>
      </c>
      <c r="N72" s="13" t="str">
        <f>VLOOKUP(I72,CHOOSE({1,2},Table11[Native],Table11[Name]),2,0)</f>
        <v>Xī'ān Shì</v>
      </c>
      <c r="O72" s="13" t="str">
        <f t="shared" si="6"/>
        <v>Beiyuanmen Jiedao (Xī'ān Shì)</v>
      </c>
      <c r="P72" s="13" t="str">
        <f t="shared" si="7"/>
        <v>Beiyuanmen Jiedao (Xī'ān Shì)</v>
      </c>
    </row>
    <row r="73" spans="1:16" hidden="1" x14ac:dyDescent="0.25">
      <c r="A73" t="s">
        <v>348</v>
      </c>
      <c r="B73" t="str">
        <f t="shared" si="4"/>
        <v>Biāojiăo Zhèn</v>
      </c>
      <c r="C73" t="str">
        <f t="shared" si="5"/>
        <v>Biāojiăo Zhèn</v>
      </c>
      <c r="D73" t="s">
        <v>349</v>
      </c>
      <c r="E73" t="s">
        <v>7</v>
      </c>
      <c r="F73" t="str">
        <f>_xlfn.CONCAT(D73,", ",H73,", ",I73,", ","陕西省")</f>
        <v>彪角镇, 凤翔区, 宝鸡市, 陕西省</v>
      </c>
      <c r="G73">
        <v>31665</v>
      </c>
      <c r="H73" t="s">
        <v>3048</v>
      </c>
      <c r="I73" t="s">
        <v>3045</v>
      </c>
      <c r="J73">
        <f>VLOOKUP(F73,[1]!china_towns_second__2[[Column1]:[Y]],3,FALSE)</f>
        <v>34.4440444807841</v>
      </c>
      <c r="K73">
        <f>VLOOKUP(F73,[1]!china_towns_second__2[[Column1]:[Y]],2,FALSE)</f>
        <v>107.45940109999999</v>
      </c>
      <c r="L73" t="s">
        <v>4198</v>
      </c>
      <c r="M73" t="str">
        <f>VLOOKUP(H73,CHOOSE({1,2},Table11[Native],Table11[Name]),2,0)</f>
        <v>Fèngxiáng Qū</v>
      </c>
      <c r="N73" s="13" t="str">
        <f>VLOOKUP(I73,CHOOSE({1,2},Table11[Native],Table11[Name]),2,0)</f>
        <v>Băojī Shì</v>
      </c>
      <c r="O73" s="13" t="str">
        <f t="shared" si="6"/>
        <v>Biaojiao Zhen (Băojī Shì)</v>
      </c>
      <c r="P73" s="13" t="str">
        <f t="shared" si="7"/>
        <v>Biaojiao Zhen (Băojī Shì)</v>
      </c>
    </row>
    <row r="74" spans="1:16" hidden="1" x14ac:dyDescent="0.25">
      <c r="A74" t="s">
        <v>1387</v>
      </c>
      <c r="B74" t="str">
        <f t="shared" si="4"/>
        <v>Bìjiā Xiāng</v>
      </c>
      <c r="C74" t="str">
        <f t="shared" si="5"/>
        <v>Bìjiā Xiāng</v>
      </c>
      <c r="D74" t="s">
        <v>1388</v>
      </c>
      <c r="E74" t="s">
        <v>11</v>
      </c>
      <c r="F74" t="str">
        <f>_xlfn.CONCAT(D74,", ",H74,", ",I74,", ","陕西省")</f>
        <v>毕家乡, 华州区, 渭南市, 陕西省</v>
      </c>
      <c r="G74">
        <v>16251</v>
      </c>
      <c r="H74" t="s">
        <v>3096</v>
      </c>
      <c r="I74" t="s">
        <v>3087</v>
      </c>
      <c r="J74" t="e">
        <f>VLOOKUP(F74,[1]!china_towns_second__2[[Column1]:[Y]],3,FALSE)</f>
        <v>#N/A</v>
      </c>
      <c r="K74" t="e">
        <f>VLOOKUP(F74,[1]!china_towns_second__2[[Column1]:[Y]],2,FALSE)</f>
        <v>#N/A</v>
      </c>
      <c r="L74" t="s">
        <v>4199</v>
      </c>
      <c r="M74" t="str">
        <f>VLOOKUP(H74,CHOOSE({1,2},Table11[Native],Table11[Name]),2,0)</f>
        <v>Huázhōu Qū</v>
      </c>
      <c r="N74" s="13" t="str">
        <f>VLOOKUP(I74,CHOOSE({1,2},Table11[Native],Table11[Name]),2,0)</f>
        <v>Wèinán Shì</v>
      </c>
      <c r="O74" s="13" t="str">
        <f t="shared" si="6"/>
        <v>Bijia Xiang (Wèinán Shì)</v>
      </c>
      <c r="P74" s="13" t="str">
        <f t="shared" si="7"/>
        <v>Bijia Xiang (Wèinán Shì)</v>
      </c>
    </row>
    <row r="75" spans="1:16" hidden="1" x14ac:dyDescent="0.25">
      <c r="A75" t="s">
        <v>2640</v>
      </c>
      <c r="B75" t="str">
        <f t="shared" si="4"/>
        <v>Bōluó Zhèn</v>
      </c>
      <c r="C75" t="str">
        <f t="shared" si="5"/>
        <v>Bōluó Zhèn</v>
      </c>
      <c r="D75" t="s">
        <v>2641</v>
      </c>
      <c r="E75" t="s">
        <v>7</v>
      </c>
      <c r="F75" t="str">
        <f>_xlfn.CONCAT(D75,", ",H75,", ",I75,", ","陕西省")</f>
        <v>波罗镇, 横山区, 榆林市, 陕西省</v>
      </c>
      <c r="G75">
        <v>15539</v>
      </c>
      <c r="H75" t="s">
        <v>3151</v>
      </c>
      <c r="I75" t="s">
        <v>3148</v>
      </c>
      <c r="J75">
        <f>VLOOKUP(F75,[1]!china_towns_second__2[[Column1]:[Y]],3,FALSE)</f>
        <v>38.081540855735902</v>
      </c>
      <c r="K75">
        <f>VLOOKUP(F75,[1]!china_towns_second__2[[Column1]:[Y]],2,FALSE)</f>
        <v>109.4538122</v>
      </c>
      <c r="L75" t="s">
        <v>4200</v>
      </c>
      <c r="M75" t="str">
        <f>VLOOKUP(H75,CHOOSE({1,2},Table11[Native],Table11[Name]),2,0)</f>
        <v>Héngshān Qū</v>
      </c>
      <c r="N75" s="13" t="str">
        <f>VLOOKUP(I75,CHOOSE({1,2},Table11[Native],Table11[Name]),2,0)</f>
        <v>Yúlín Shì</v>
      </c>
      <c r="O75" s="13" t="str">
        <f t="shared" si="6"/>
        <v>Boluo Zhen (Yúlín Shì)</v>
      </c>
      <c r="P75" s="13" t="str">
        <f t="shared" si="7"/>
        <v>Boluo Zhen (Yúlín Shì)</v>
      </c>
    </row>
    <row r="76" spans="1:16" hidden="1" x14ac:dyDescent="0.25">
      <c r="A76" t="s">
        <v>1390</v>
      </c>
      <c r="B76" t="str">
        <f t="shared" si="4"/>
        <v>Bóshì Xiāng</v>
      </c>
      <c r="C76" t="str">
        <f t="shared" si="5"/>
        <v>Bóshì Xiāng</v>
      </c>
      <c r="D76" t="s">
        <v>1391</v>
      </c>
      <c r="E76" t="s">
        <v>11</v>
      </c>
      <c r="F76" t="str">
        <f>_xlfn.CONCAT(D76,", ",H76,", ",I76,", ","陕西省")</f>
        <v>伯士乡, 大荔县, 渭南市, 陕西省</v>
      </c>
      <c r="G76">
        <v>15937</v>
      </c>
      <c r="H76" t="s">
        <v>3090</v>
      </c>
      <c r="I76" t="s">
        <v>3087</v>
      </c>
      <c r="J76" t="e">
        <f>VLOOKUP(F76,[1]!china_towns_second__2[[Column1]:[Y]],3,FALSE)</f>
        <v>#N/A</v>
      </c>
      <c r="K76" t="e">
        <f>VLOOKUP(F76,[1]!china_towns_second__2[[Column1]:[Y]],2,FALSE)</f>
        <v>#N/A</v>
      </c>
      <c r="L76" t="s">
        <v>4201</v>
      </c>
      <c r="M76" t="str">
        <f>VLOOKUP(H76,CHOOSE({1,2},Table11[Native],Table11[Name]),2,0)</f>
        <v>Dàlì Xiàn</v>
      </c>
      <c r="N76" s="13" t="str">
        <f>VLOOKUP(I76,CHOOSE({1,2},Table11[Native],Table11[Name]),2,0)</f>
        <v>Wèinán Shì</v>
      </c>
      <c r="O76" s="13" t="str">
        <f t="shared" si="6"/>
        <v>Boshi Xiang (Wèinán Shì)</v>
      </c>
      <c r="P76" s="13" t="str">
        <f t="shared" si="7"/>
        <v>Boshi Xiang (Wèinán Shì)</v>
      </c>
    </row>
    <row r="77" spans="1:16" hidden="1" x14ac:dyDescent="0.25">
      <c r="A77" t="s">
        <v>660</v>
      </c>
      <c r="B77" t="str">
        <f t="shared" si="4"/>
        <v>Bówàng Jiēdào</v>
      </c>
      <c r="C77" t="str">
        <f t="shared" si="5"/>
        <v>Bówàng Jiēdào</v>
      </c>
      <c r="D77" t="s">
        <v>661</v>
      </c>
      <c r="E77" t="s">
        <v>113</v>
      </c>
      <c r="F77" t="str">
        <f>_xlfn.CONCAT(D77,", ",H77,", ",I77,", ","陕西省")</f>
        <v>博望街道, 城固县, 汉中市, 陕西省</v>
      </c>
      <c r="G77">
        <v>116375</v>
      </c>
      <c r="H77" t="s">
        <v>3060</v>
      </c>
      <c r="I77" t="s">
        <v>3059</v>
      </c>
      <c r="J77" t="e">
        <f>VLOOKUP(F77,[1]!china_towns_second__2[[Column1]:[Y]],3,FALSE)</f>
        <v>#N/A</v>
      </c>
      <c r="K77" t="e">
        <f>VLOOKUP(F77,[1]!china_towns_second__2[[Column1]:[Y]],2,FALSE)</f>
        <v>#N/A</v>
      </c>
      <c r="L77" t="s">
        <v>4202</v>
      </c>
      <c r="M77" t="str">
        <f>VLOOKUP(H77,CHOOSE({1,2},Table11[Native],Table11[Name]),2,0)</f>
        <v>Chénggù Xiàn</v>
      </c>
      <c r="N77" s="13" t="str">
        <f>VLOOKUP(I77,CHOOSE({1,2},Table11[Native],Table11[Name]),2,0)</f>
        <v>Hànzhōng Shì</v>
      </c>
      <c r="O77" s="13" t="str">
        <f t="shared" si="6"/>
        <v>Bowang Jiedao (Hànzhōng Shì)</v>
      </c>
      <c r="P77" s="13" t="str">
        <f t="shared" si="7"/>
        <v>Bowang Jiedao (Hànzhōng Shì)</v>
      </c>
    </row>
    <row r="78" spans="1:16" hidden="1" x14ac:dyDescent="0.25">
      <c r="A78" t="s">
        <v>1392</v>
      </c>
      <c r="B78" t="str">
        <f t="shared" si="4"/>
        <v>Bùchāng Xiāng</v>
      </c>
      <c r="C78" t="str">
        <f t="shared" si="5"/>
        <v>Bùchāng Xiāng</v>
      </c>
      <c r="D78" t="s">
        <v>1393</v>
      </c>
      <c r="E78" t="s">
        <v>11</v>
      </c>
      <c r="F78" t="str">
        <f>_xlfn.CONCAT(D78,", ",H78,", ",I78,", ","陕西省")</f>
        <v>步昌乡, 大荔县, 渭南市, 陕西省</v>
      </c>
      <c r="G78">
        <v>18639</v>
      </c>
      <c r="H78" t="s">
        <v>3090</v>
      </c>
      <c r="I78" t="s">
        <v>3087</v>
      </c>
      <c r="J78" t="e">
        <f>VLOOKUP(F78,[1]!china_towns_second__2[[Column1]:[Y]],3,FALSE)</f>
        <v>#N/A</v>
      </c>
      <c r="K78" t="e">
        <f>VLOOKUP(F78,[1]!china_towns_second__2[[Column1]:[Y]],2,FALSE)</f>
        <v>#N/A</v>
      </c>
      <c r="L78" t="s">
        <v>4203</v>
      </c>
      <c r="M78" t="str">
        <f>VLOOKUP(H78,CHOOSE({1,2},Table11[Native],Table11[Name]),2,0)</f>
        <v>Dàlì Xiàn</v>
      </c>
      <c r="N78" s="13" t="str">
        <f>VLOOKUP(I78,CHOOSE({1,2},Table11[Native],Table11[Name]),2,0)</f>
        <v>Wèinán Shì</v>
      </c>
      <c r="O78" s="13" t="str">
        <f t="shared" si="6"/>
        <v>Buchang Xiang (Wèinán Shì)</v>
      </c>
      <c r="P78" s="13" t="str">
        <f t="shared" si="7"/>
        <v>Buchang Xiang (Wèinán Shì)</v>
      </c>
    </row>
    <row r="79" spans="1:16" hidden="1" x14ac:dyDescent="0.25">
      <c r="A79" t="s">
        <v>2642</v>
      </c>
      <c r="B79" t="str">
        <f t="shared" si="4"/>
        <v>Bŭlànghé Xiāng</v>
      </c>
      <c r="C79" t="str">
        <f t="shared" si="5"/>
        <v>Bŭlànghé Xiāng</v>
      </c>
      <c r="D79" t="s">
        <v>2643</v>
      </c>
      <c r="E79" t="s">
        <v>11</v>
      </c>
      <c r="F79" t="str">
        <f>_xlfn.CONCAT(D79,", ",H79,", ",I79,", ","陕西省")</f>
        <v>补浪河乡, 榆阳区, 榆林市, 陕西省</v>
      </c>
      <c r="G79">
        <v>7640</v>
      </c>
      <c r="H79" t="s">
        <v>3159</v>
      </c>
      <c r="I79" t="s">
        <v>3148</v>
      </c>
      <c r="J79" t="e">
        <f>VLOOKUP(F79,[1]!china_towns_second__2[[Column1]:[Y]],3,FALSE)</f>
        <v>#N/A</v>
      </c>
      <c r="K79" t="e">
        <f>VLOOKUP(F79,[1]!china_towns_second__2[[Column1]:[Y]],2,FALSE)</f>
        <v>#N/A</v>
      </c>
      <c r="L79" t="s">
        <v>4204</v>
      </c>
      <c r="M79" t="str">
        <f>VLOOKUP(H79,CHOOSE({1,2},Table11[Native],Table11[Name]),2,0)</f>
        <v>Yúyáng Qū</v>
      </c>
      <c r="N79" s="13" t="str">
        <f>VLOOKUP(I79,CHOOSE({1,2},Table11[Native],Table11[Name]),2,0)</f>
        <v>Yúlín Shì</v>
      </c>
      <c r="O79" s="13" t="str">
        <f t="shared" si="6"/>
        <v>Bulanghe Xiang (Yúlín Shì)</v>
      </c>
      <c r="P79" s="13" t="str">
        <f t="shared" si="7"/>
        <v>Bulanghe Xiang (Yúlín Shì)</v>
      </c>
    </row>
    <row r="80" spans="1:16" hidden="1" x14ac:dyDescent="0.25">
      <c r="A80" t="s">
        <v>1057</v>
      </c>
      <c r="B80" t="str">
        <f t="shared" si="4"/>
        <v>Càichuān Zhèn</v>
      </c>
      <c r="C80" t="str">
        <f t="shared" si="5"/>
        <v>Càichuān Zhèn</v>
      </c>
      <c r="D80" t="s">
        <v>1058</v>
      </c>
      <c r="E80" t="s">
        <v>7</v>
      </c>
      <c r="F80" t="str">
        <f>_xlfn.CONCAT(D80,", ",H80,", ",I80,", ","陕西省")</f>
        <v>蔡川镇, 丹凤县, 商洛市, 陕西省</v>
      </c>
      <c r="G80">
        <v>8789</v>
      </c>
      <c r="H80" t="s">
        <v>3073</v>
      </c>
      <c r="I80" t="s">
        <v>3072</v>
      </c>
      <c r="J80">
        <f>VLOOKUP(F80,[1]!china_towns_second__2[[Column1]:[Y]],3,FALSE)</f>
        <v>33.858855353263898</v>
      </c>
      <c r="K80">
        <f>VLOOKUP(F80,[1]!china_towns_second__2[[Column1]:[Y]],2,FALSE)</f>
        <v>110.3283392</v>
      </c>
      <c r="L80" t="s">
        <v>4205</v>
      </c>
      <c r="M80" t="str">
        <f>VLOOKUP(H80,CHOOSE({1,2},Table11[Native],Table11[Name]),2,0)</f>
        <v>Dānfèng Xiàn</v>
      </c>
      <c r="N80" s="13" t="str">
        <f>VLOOKUP(I80,CHOOSE({1,2},Table11[Native],Table11[Name]),2,0)</f>
        <v>Shāngluò Shì</v>
      </c>
      <c r="O80" s="13" t="str">
        <f t="shared" si="6"/>
        <v>Caichuan Zhen (Shāngluò Shì)</v>
      </c>
      <c r="P80" s="13" t="str">
        <f t="shared" si="7"/>
        <v>Caichuan Zhen (Shāngluò Shì)</v>
      </c>
    </row>
    <row r="81" spans="1:16" hidden="1" x14ac:dyDescent="0.25">
      <c r="A81" t="s">
        <v>351</v>
      </c>
      <c r="B81" t="str">
        <f t="shared" si="4"/>
        <v>Càijiāpō Zhèn</v>
      </c>
      <c r="C81" t="str">
        <f t="shared" si="5"/>
        <v>Càijiāpō Zhèn</v>
      </c>
      <c r="D81" t="s">
        <v>352</v>
      </c>
      <c r="E81" t="s">
        <v>7</v>
      </c>
      <c r="F81" t="str">
        <f>_xlfn.CONCAT(D81,", ",H81,", ",I81,", ","陕西省")</f>
        <v>蔡家坡镇, 岐山县, 宝鸡市, 陕西省</v>
      </c>
      <c r="G81">
        <v>74031</v>
      </c>
      <c r="H81" t="s">
        <v>3055</v>
      </c>
      <c r="I81" t="s">
        <v>3045</v>
      </c>
      <c r="J81">
        <f>VLOOKUP(F81,[1]!china_towns_second__2[[Column1]:[Y]],3,FALSE)</f>
        <v>34.234659885604202</v>
      </c>
      <c r="K81">
        <f>VLOOKUP(F81,[1]!china_towns_second__2[[Column1]:[Y]],2,FALSE)</f>
        <v>107.6117711</v>
      </c>
      <c r="L81" t="s">
        <v>4206</v>
      </c>
      <c r="M81" t="str">
        <f>VLOOKUP(H81,CHOOSE({1,2},Table11[Native],Table11[Name]),2,0)</f>
        <v>Qíshān Xiàn</v>
      </c>
      <c r="N81" s="13" t="str">
        <f>VLOOKUP(I81,CHOOSE({1,2},Table11[Native],Table11[Name]),2,0)</f>
        <v>Băojī Shì</v>
      </c>
      <c r="O81" s="13" t="str">
        <f t="shared" si="6"/>
        <v>Caijiapo Zhen (Băojī Shì)</v>
      </c>
      <c r="P81" s="13" t="str">
        <f t="shared" si="7"/>
        <v>Caijiapo Zhen (Băojī Shì)</v>
      </c>
    </row>
    <row r="82" spans="1:16" hidden="1" x14ac:dyDescent="0.25">
      <c r="A82" t="s">
        <v>24</v>
      </c>
      <c r="B82" t="str">
        <f t="shared" si="4"/>
        <v>Cāngshàng Zhèn</v>
      </c>
      <c r="C82" t="str">
        <f t="shared" si="5"/>
        <v>Cāngshàng Zhèn</v>
      </c>
      <c r="D82" t="s">
        <v>25</v>
      </c>
      <c r="E82" t="s">
        <v>7</v>
      </c>
      <c r="F82" t="str">
        <f>_xlfn.CONCAT(D82,", ",H82,", ",I82,", ","陕西省")</f>
        <v>仓上镇, 白河县, 安康市, 陕西省</v>
      </c>
      <c r="G82">
        <v>13567</v>
      </c>
      <c r="H82" t="s">
        <v>3033</v>
      </c>
      <c r="I82" t="s">
        <v>3031</v>
      </c>
      <c r="J82">
        <f>VLOOKUP(F82,[1]!china_towns_second__2[[Column1]:[Y]],3,FALSE)</f>
        <v>32.8142515478051</v>
      </c>
      <c r="K82">
        <f>VLOOKUP(F82,[1]!china_towns_second__2[[Column1]:[Y]],2,FALSE)</f>
        <v>109.7211028</v>
      </c>
      <c r="L82" t="s">
        <v>4207</v>
      </c>
      <c r="M82" t="str">
        <f>VLOOKUP(H82,CHOOSE({1,2},Table11[Native],Table11[Name]),2,0)</f>
        <v>Báihé Xiàn</v>
      </c>
      <c r="N82" s="13" t="str">
        <f>VLOOKUP(I82,CHOOSE({1,2},Table11[Native],Table11[Name]),2,0)</f>
        <v>Ānkāng Shì</v>
      </c>
      <c r="O82" s="13" t="str">
        <f t="shared" si="6"/>
        <v>Cangshang Zhen (Ānkāng Shì)</v>
      </c>
      <c r="P82" s="13" t="str">
        <f t="shared" si="7"/>
        <v>Cangshang Zhen (Ānkāng Shì)</v>
      </c>
    </row>
    <row r="83" spans="1:16" hidden="1" x14ac:dyDescent="0.25">
      <c r="A83" t="s">
        <v>353</v>
      </c>
      <c r="B83" t="str">
        <f t="shared" si="4"/>
        <v>Căobì Zhèn</v>
      </c>
      <c r="C83" t="str">
        <f t="shared" si="5"/>
        <v>Căobì Zhèn</v>
      </c>
      <c r="D83" t="s">
        <v>354</v>
      </c>
      <c r="E83" t="s">
        <v>7</v>
      </c>
      <c r="F83" t="str">
        <f>_xlfn.CONCAT(D83,", ",H83,", ",I83,", ","陕西省")</f>
        <v>草碧镇, 千阳县, 宝鸡市, 陕西省</v>
      </c>
      <c r="G83">
        <v>5938</v>
      </c>
      <c r="H83" t="s">
        <v>3054</v>
      </c>
      <c r="I83" t="s">
        <v>3045</v>
      </c>
      <c r="J83">
        <f>VLOOKUP(F83,[1]!china_towns_second__2[[Column1]:[Y]],3,FALSE)</f>
        <v>34.814915423172302</v>
      </c>
      <c r="K83">
        <f>VLOOKUP(F83,[1]!china_towns_second__2[[Column1]:[Y]],2,FALSE)</f>
        <v>107.0800112</v>
      </c>
      <c r="L83" t="s">
        <v>4208</v>
      </c>
      <c r="M83" t="str">
        <f>VLOOKUP(H83,CHOOSE({1,2},Table11[Native],Table11[Name]),2,0)</f>
        <v>Qiānyáng Xiàn</v>
      </c>
      <c r="N83" s="13" t="str">
        <f>VLOOKUP(I83,CHOOSE({1,2},Table11[Native],Table11[Name]),2,0)</f>
        <v>Băojī Shì</v>
      </c>
      <c r="O83" s="13" t="str">
        <f t="shared" si="6"/>
        <v>Caobi Zhen (Băojī Shì)</v>
      </c>
      <c r="P83" s="13" t="str">
        <f t="shared" si="7"/>
        <v>Caobi Zhen (Băojī Shì)</v>
      </c>
    </row>
    <row r="84" spans="1:16" hidden="1" x14ac:dyDescent="0.25">
      <c r="A84" t="s">
        <v>1394</v>
      </c>
      <c r="B84" t="str">
        <f t="shared" si="4"/>
        <v>Cáocūn Zhèn</v>
      </c>
      <c r="C84" t="str">
        <f t="shared" si="5"/>
        <v>Cáocūn Zhèn</v>
      </c>
      <c r="D84" t="s">
        <v>1395</v>
      </c>
      <c r="E84" t="s">
        <v>7</v>
      </c>
      <c r="F84" t="str">
        <f>_xlfn.CONCAT(D84,", ",H84,", ",I84,", ","陕西省")</f>
        <v>曹村镇, 富平县, 渭南市, 陕西省</v>
      </c>
      <c r="G84">
        <v>30457</v>
      </c>
      <c r="H84" t="s">
        <v>3091</v>
      </c>
      <c r="I84" t="s">
        <v>3087</v>
      </c>
      <c r="J84">
        <f>VLOOKUP(F84,[1]!china_towns_second__2[[Column1]:[Y]],3,FALSE)</f>
        <v>34.936566864033097</v>
      </c>
      <c r="K84">
        <f>VLOOKUP(F84,[1]!china_towns_second__2[[Column1]:[Y]],2,FALSE)</f>
        <v>109.16946710000001</v>
      </c>
      <c r="L84" t="s">
        <v>4209</v>
      </c>
      <c r="M84" t="str">
        <f>VLOOKUP(H84,CHOOSE({1,2},Table11[Native],Table11[Name]),2,0)</f>
        <v>Fùpíng Xiàn</v>
      </c>
      <c r="N84" s="13" t="str">
        <f>VLOOKUP(I84,CHOOSE({1,2},Table11[Native],Table11[Name]),2,0)</f>
        <v>Wèinán Shì</v>
      </c>
      <c r="O84" s="13" t="str">
        <f t="shared" si="6"/>
        <v>Caocun Zhen (Wèinán Shì)</v>
      </c>
      <c r="P84" s="13" t="str">
        <f t="shared" si="7"/>
        <v>Caocun Zhen (Wèinán Shì)</v>
      </c>
    </row>
    <row r="85" spans="1:16" hidden="1" x14ac:dyDescent="0.25">
      <c r="A85" t="s">
        <v>358</v>
      </c>
      <c r="B85" t="str">
        <f t="shared" si="4"/>
        <v>Cáojiā Zhèn</v>
      </c>
      <c r="C85" t="str">
        <f t="shared" si="5"/>
        <v>Cáojiā Zhèn</v>
      </c>
      <c r="D85" t="s">
        <v>359</v>
      </c>
      <c r="E85" t="s">
        <v>7</v>
      </c>
      <c r="F85" t="str">
        <f>_xlfn.CONCAT(D85,", ",H85,", ",I85,", ","陕西省")</f>
        <v>曹家镇, 岐山县, 宝鸡市, 陕西省</v>
      </c>
      <c r="G85">
        <v>19919</v>
      </c>
      <c r="H85" t="s">
        <v>3055</v>
      </c>
      <c r="I85" t="s">
        <v>3045</v>
      </c>
      <c r="J85">
        <f>VLOOKUP(F85,[1]!china_towns_second__2[[Column1]:[Y]],3,FALSE)</f>
        <v>34.244558499999997</v>
      </c>
      <c r="K85">
        <f>VLOOKUP(F85,[1]!china_towns_second__2[[Column1]:[Y]],2,FALSE)</f>
        <v>107.6045639</v>
      </c>
      <c r="L85" t="s">
        <v>4210</v>
      </c>
      <c r="M85" t="str">
        <f>VLOOKUP(H85,CHOOSE({1,2},Table11[Native],Table11[Name]),2,0)</f>
        <v>Qíshān Xiàn</v>
      </c>
      <c r="N85" s="13" t="str">
        <f>VLOOKUP(I85,CHOOSE({1,2},Table11[Native],Table11[Name]),2,0)</f>
        <v>Băojī Shì</v>
      </c>
      <c r="O85" s="13" t="str">
        <f t="shared" si="6"/>
        <v>Caojia Zhen (Băojī Shì)</v>
      </c>
      <c r="P85" s="13" t="str">
        <f t="shared" si="7"/>
        <v>Caojia Zhen (Băojī Shì)</v>
      </c>
    </row>
    <row r="86" spans="1:16" hidden="1" x14ac:dyDescent="0.25">
      <c r="A86" t="s">
        <v>356</v>
      </c>
      <c r="B86" t="str">
        <f t="shared" si="4"/>
        <v>Cáojiāwān Zhèn</v>
      </c>
      <c r="C86" t="str">
        <f t="shared" si="5"/>
        <v>Cáojiāwān Zhèn</v>
      </c>
      <c r="D86" t="s">
        <v>357</v>
      </c>
      <c r="E86" t="s">
        <v>7</v>
      </c>
      <c r="F86" t="str">
        <f>_xlfn.CONCAT(D86,", ",H86,", ",I86,", ","陕西省")</f>
        <v>曹家湾镇, 陇县, 宝鸡市, 陕西省</v>
      </c>
      <c r="G86">
        <v>15835</v>
      </c>
      <c r="H86" t="s">
        <v>3052</v>
      </c>
      <c r="I86" t="s">
        <v>3045</v>
      </c>
      <c r="J86">
        <f>VLOOKUP(F86,[1]!china_towns_second__2[[Column1]:[Y]],3,FALSE)</f>
        <v>34.860391184346902</v>
      </c>
      <c r="K86">
        <f>VLOOKUP(F86,[1]!china_towns_second__2[[Column1]:[Y]],2,FALSE)</f>
        <v>106.64405859999999</v>
      </c>
      <c r="L86" t="s">
        <v>4211</v>
      </c>
      <c r="M86" t="str">
        <f>VLOOKUP(H86,CHOOSE({1,2},Table11[Native],Table11[Name]),2,0)</f>
        <v>Lŏng Xiàn</v>
      </c>
      <c r="N86" s="13" t="str">
        <f>VLOOKUP(I86,CHOOSE({1,2},Table11[Native],Table11[Name]),2,0)</f>
        <v>Băojī Shì</v>
      </c>
      <c r="O86" s="13" t="str">
        <f t="shared" si="6"/>
        <v>Caojiawan Zhen (Băojī Shì)</v>
      </c>
      <c r="P86" s="13" t="str">
        <f t="shared" si="7"/>
        <v>Caojiawan Zhen (Băojī Shì)</v>
      </c>
    </row>
    <row r="87" spans="1:16" hidden="1" x14ac:dyDescent="0.25">
      <c r="A87" t="s">
        <v>662</v>
      </c>
      <c r="B87" t="str">
        <f t="shared" si="4"/>
        <v>Căomiào Xiāng</v>
      </c>
      <c r="C87" t="str">
        <f t="shared" si="5"/>
        <v>Căomiào Xiāng</v>
      </c>
      <c r="D87" t="s">
        <v>663</v>
      </c>
      <c r="E87" t="s">
        <v>11</v>
      </c>
      <c r="F87" t="str">
        <f>_xlfn.CONCAT(D87,", ",H87,", ",I87,", ","陕西省")</f>
        <v>草庙乡, 洋县, 汉中市, 陕西省</v>
      </c>
      <c r="G87">
        <v>13696</v>
      </c>
      <c r="H87" t="s">
        <v>3069</v>
      </c>
      <c r="I87" t="s">
        <v>3059</v>
      </c>
      <c r="J87" t="e">
        <f>VLOOKUP(F87,[1]!china_towns_second__2[[Column1]:[Y]],3,FALSE)</f>
        <v>#N/A</v>
      </c>
      <c r="K87" t="e">
        <f>VLOOKUP(F87,[1]!china_towns_second__2[[Column1]:[Y]],2,FALSE)</f>
        <v>#N/A</v>
      </c>
      <c r="L87" t="s">
        <v>4212</v>
      </c>
      <c r="M87" t="str">
        <f>VLOOKUP(H87,CHOOSE({1,2},Table11[Native],Table11[Name]),2,0)</f>
        <v>Yáng Xiàn</v>
      </c>
      <c r="N87" s="13" t="str">
        <f>VLOOKUP(I87,CHOOSE({1,2},Table11[Native],Table11[Name]),2,0)</f>
        <v>Hànzhōng Shì</v>
      </c>
      <c r="O87" s="13" t="str">
        <f t="shared" si="6"/>
        <v>Caomiao Xiang (Hànzhōng Shì)</v>
      </c>
      <c r="P87" s="13" t="str">
        <f t="shared" si="7"/>
        <v>Caomiao Xiang (Hànzhōng Shì)</v>
      </c>
    </row>
    <row r="88" spans="1:16" hidden="1" x14ac:dyDescent="0.25">
      <c r="A88" t="s">
        <v>1060</v>
      </c>
      <c r="B88" t="str">
        <f t="shared" si="4"/>
        <v>Cáopíng Zhèn [incl. Càiyùyáo Zhèn]</v>
      </c>
      <c r="C88" t="str">
        <f t="shared" si="5"/>
        <v>Cáopíng Zhèn [incl. Càiyùyáo Zhèn]</v>
      </c>
      <c r="D88" t="s">
        <v>1061</v>
      </c>
      <c r="E88" t="s">
        <v>7</v>
      </c>
      <c r="F88" t="str">
        <f>_xlfn.CONCAT(D88,", ",H88,", ",I88,", ","陕西省")</f>
        <v>曹坪镇, 柞水县, 商洛市, 陕西省</v>
      </c>
      <c r="G88">
        <v>11819</v>
      </c>
      <c r="H88" t="s">
        <v>3078</v>
      </c>
      <c r="I88" t="s">
        <v>3072</v>
      </c>
      <c r="J88">
        <f>VLOOKUP(F88,[1]!china_towns_second__2[[Column1]:[Y]],3,FALSE)</f>
        <v>33.786210875255698</v>
      </c>
      <c r="K88">
        <f>VLOOKUP(F88,[1]!china_towns_second__2[[Column1]:[Y]],2,FALSE)</f>
        <v>109.42385609999999</v>
      </c>
      <c r="L88" t="s">
        <v>4213</v>
      </c>
      <c r="M88" t="str">
        <f>VLOOKUP(H88,CHOOSE({1,2},Table11[Native],Table11[Name]),2,0)</f>
        <v>Zhàshuĭ Xiàn</v>
      </c>
      <c r="N88" s="13" t="str">
        <f>VLOOKUP(I88,CHOOSE({1,2},Table11[Native],Table11[Name]),2,0)</f>
        <v>Shāngluò Shì</v>
      </c>
      <c r="O88" s="13" t="str">
        <f t="shared" si="6"/>
        <v>Caoping Zhen [incl. Caiyuyao Zhen] (Shāngluò Shì)</v>
      </c>
      <c r="P88" s="13" t="str">
        <f t="shared" si="7"/>
        <v>Caoping Zhen [incl. Caiyuyao Zhen] (Shāngluò Shì)</v>
      </c>
    </row>
    <row r="89" spans="1:16" hidden="1" x14ac:dyDescent="0.25">
      <c r="A89" t="s">
        <v>1995</v>
      </c>
      <c r="B89" t="str">
        <f t="shared" si="4"/>
        <v>Căotān Jiēdào</v>
      </c>
      <c r="C89" t="str">
        <f t="shared" si="5"/>
        <v>Căotān Jiēdào</v>
      </c>
      <c r="D89" t="s">
        <v>1996</v>
      </c>
      <c r="E89" t="s">
        <v>113</v>
      </c>
      <c r="F89" t="str">
        <f>_xlfn.CONCAT(D89,", ",H89,", ",I89,", ","陕西省")</f>
        <v>草滩街道, 未央区, 西安市, 陕西省</v>
      </c>
      <c r="G89">
        <v>86571</v>
      </c>
      <c r="H89" t="s">
        <v>3111</v>
      </c>
      <c r="I89" t="s">
        <v>3102</v>
      </c>
      <c r="J89">
        <f>VLOOKUP(F89,[1]!china_towns_second__2[[Column1]:[Y]],3,FALSE)</f>
        <v>34.391833202985403</v>
      </c>
      <c r="K89">
        <f>VLOOKUP(F89,[1]!china_towns_second__2[[Column1]:[Y]],2,FALSE)</f>
        <v>108.9512014</v>
      </c>
      <c r="L89" t="s">
        <v>4214</v>
      </c>
      <c r="M89" t="str">
        <f>VLOOKUP(H89,CHOOSE({1,2},Table11[Native],Table11[Name]),2,0)</f>
        <v>Wèiyāng Qū</v>
      </c>
      <c r="N89" s="13" t="str">
        <f>VLOOKUP(I89,CHOOSE({1,2},Table11[Native],Table11[Name]),2,0)</f>
        <v>Xī'ān Shì</v>
      </c>
      <c r="O89" s="13" t="str">
        <f t="shared" si="6"/>
        <v>Caotan Jiedao (Xī'ān Shì)</v>
      </c>
      <c r="P89" s="13" t="str">
        <f t="shared" si="7"/>
        <v>Caotan Jiedao (Xī'ān Shì)</v>
      </c>
    </row>
    <row r="90" spans="1:16" hidden="1" x14ac:dyDescent="0.25">
      <c r="A90" t="s">
        <v>1992</v>
      </c>
      <c r="B90" t="str">
        <f t="shared" si="4"/>
        <v>Căotáng Jiēdào</v>
      </c>
      <c r="C90" t="str">
        <f t="shared" si="5"/>
        <v>Căotáng Jiēdào</v>
      </c>
      <c r="D90" t="s">
        <v>1993</v>
      </c>
      <c r="E90" t="s">
        <v>113</v>
      </c>
      <c r="F90" t="str">
        <f>_xlfn.CONCAT(D90,", ",H90,", ",I90,", ","陕西省")</f>
        <v>草堂街道, 鄠邑区, 西安市, 陕西省</v>
      </c>
      <c r="G90">
        <v>31237</v>
      </c>
      <c r="H90" t="s">
        <v>3107</v>
      </c>
      <c r="I90" t="s">
        <v>3102</v>
      </c>
      <c r="J90" t="e">
        <f>VLOOKUP(F90,[1]!china_towns_second__2[[Column1]:[Y]],3,FALSE)</f>
        <v>#N/A</v>
      </c>
      <c r="K90" t="e">
        <f>VLOOKUP(F90,[1]!china_towns_second__2[[Column1]:[Y]],2,FALSE)</f>
        <v>#N/A</v>
      </c>
      <c r="L90" t="s">
        <v>4215</v>
      </c>
      <c r="M90" t="str">
        <f>VLOOKUP(H90,CHOOSE({1,2},Table11[Native],Table11[Name]),2,0)</f>
        <v>Hùyì Qū</v>
      </c>
      <c r="N90" s="13" t="str">
        <f>VLOOKUP(I90,CHOOSE({1,2},Table11[Native],Table11[Name]),2,0)</f>
        <v>Xī'ān Shì</v>
      </c>
      <c r="O90" s="13" t="str">
        <f t="shared" si="6"/>
        <v>Caotang Jiedao (Xī'ān Shì)</v>
      </c>
      <c r="P90" s="13" t="str">
        <f t="shared" si="7"/>
        <v>Caotang Jiedao (Xī'ān Shì)</v>
      </c>
    </row>
    <row r="91" spans="1:16" hidden="1" x14ac:dyDescent="0.25">
      <c r="A91" t="s">
        <v>675</v>
      </c>
      <c r="B91" t="str">
        <f t="shared" si="4"/>
        <v>Chá Zhèn</v>
      </c>
      <c r="C91" t="str">
        <f t="shared" si="5"/>
        <v>Chá Zhèn</v>
      </c>
      <c r="D91" t="s">
        <v>676</v>
      </c>
      <c r="E91" t="s">
        <v>7</v>
      </c>
      <c r="F91" t="str">
        <f>_xlfn.CONCAT(D91,", ",H91,", ",I91,", ","陕西省")</f>
        <v>茶镇, 西乡县, 汉中市, 陕西省</v>
      </c>
      <c r="G91">
        <v>9639</v>
      </c>
      <c r="H91" t="s">
        <v>3068</v>
      </c>
      <c r="I91" t="s">
        <v>3059</v>
      </c>
      <c r="J91">
        <f>VLOOKUP(F91,[1]!china_towns_second__2[[Column1]:[Y]],3,FALSE)</f>
        <v>32.983508923901603</v>
      </c>
      <c r="K91">
        <f>VLOOKUP(F91,[1]!china_towns_second__2[[Column1]:[Y]],2,FALSE)</f>
        <v>108.06745600000001</v>
      </c>
      <c r="L91" t="s">
        <v>4216</v>
      </c>
      <c r="M91" t="str">
        <f>VLOOKUP(H91,CHOOSE({1,2},Table11[Native],Table11[Name]),2,0)</f>
        <v>Xīxiāng Xiàn</v>
      </c>
      <c r="N91" s="13" t="str">
        <f>VLOOKUP(I91,CHOOSE({1,2},Table11[Native],Table11[Name]),2,0)</f>
        <v>Hànzhōng Shì</v>
      </c>
      <c r="O91" s="13" t="str">
        <f t="shared" si="6"/>
        <v>Cha Zhen (Hànzhōng Shì)</v>
      </c>
      <c r="P91" s="13" t="str">
        <f t="shared" si="7"/>
        <v>Cha Zhen (Hànzhōng Shì)</v>
      </c>
    </row>
    <row r="92" spans="1:16" hidden="1" x14ac:dyDescent="0.25">
      <c r="A92" t="s">
        <v>664</v>
      </c>
      <c r="B92" t="str">
        <f t="shared" si="4"/>
        <v>Chádiàn Zhèn</v>
      </c>
      <c r="C92" t="str">
        <f t="shared" si="5"/>
        <v>Chádiàn Zhèn</v>
      </c>
      <c r="D92" t="s">
        <v>665</v>
      </c>
      <c r="E92" t="s">
        <v>7</v>
      </c>
      <c r="F92" t="str">
        <f>_xlfn.CONCAT(D92,", ",H92,", ",I92,", ","陕西省")</f>
        <v>茶店镇, 勉县, 汉中市, 陕西省</v>
      </c>
      <c r="G92">
        <v>9426</v>
      </c>
      <c r="H92" t="s">
        <v>3065</v>
      </c>
      <c r="I92" t="s">
        <v>3059</v>
      </c>
      <c r="J92">
        <f>VLOOKUP(F92,[1]!china_towns_second__2[[Column1]:[Y]],3,FALSE)</f>
        <v>33.260759358051097</v>
      </c>
      <c r="K92">
        <f>VLOOKUP(F92,[1]!china_towns_second__2[[Column1]:[Y]],2,FALSE)</f>
        <v>106.5248704</v>
      </c>
      <c r="L92" t="s">
        <v>4217</v>
      </c>
      <c r="M92" t="str">
        <f>VLOOKUP(H92,CHOOSE({1,2},Table11[Native],Table11[Name]),2,0)</f>
        <v>Miăn Xiàn</v>
      </c>
      <c r="N92" s="13" t="str">
        <f>VLOOKUP(I92,CHOOSE({1,2},Table11[Native],Table11[Name]),2,0)</f>
        <v>Hànzhōng Shì</v>
      </c>
      <c r="O92" s="13" t="str">
        <f t="shared" si="6"/>
        <v>Chadian Zhen (Hànzhōng Shì)</v>
      </c>
      <c r="P92" s="13" t="str">
        <f t="shared" si="7"/>
        <v>Chadian Zhen (Hànzhōng Shì)</v>
      </c>
    </row>
    <row r="93" spans="1:16" hidden="1" x14ac:dyDescent="0.25">
      <c r="A93" t="s">
        <v>2359</v>
      </c>
      <c r="B93" t="str">
        <f t="shared" si="4"/>
        <v>Cháfāng Jiēdào [incl. Jiāodào Zhèn]</v>
      </c>
      <c r="C93" t="str">
        <f t="shared" si="5"/>
        <v>Cháfāng Jiēdào [incl. Jiāodào Zhèn]</v>
      </c>
      <c r="D93" t="s">
        <v>2360</v>
      </c>
      <c r="E93" t="s">
        <v>113</v>
      </c>
      <c r="F93" t="str">
        <f>_xlfn.CONCAT(D93,", ",H93,", ",I93,", ","陕西省")</f>
        <v>茶坊街道, 富县, 延安市, 陕西省</v>
      </c>
      <c r="G93">
        <v>25611</v>
      </c>
      <c r="H93" t="s">
        <v>3136</v>
      </c>
      <c r="I93" t="s">
        <v>3133</v>
      </c>
      <c r="J93" t="e">
        <f>VLOOKUP(F93,[1]!china_towns_second__2[[Column1]:[Y]],3,FALSE)</f>
        <v>#N/A</v>
      </c>
      <c r="K93" t="e">
        <f>VLOOKUP(F93,[1]!china_towns_second__2[[Column1]:[Y]],2,FALSE)</f>
        <v>#N/A</v>
      </c>
      <c r="L93" t="s">
        <v>4218</v>
      </c>
      <c r="M93" t="str">
        <f>VLOOKUP(H93,CHOOSE({1,2},Table11[Native],Table11[Name]),2,0)</f>
        <v>Fù Xiàn</v>
      </c>
      <c r="N93" s="13" t="str">
        <f>VLOOKUP(I93,CHOOSE({1,2},Table11[Native],Table11[Name]),2,0)</f>
        <v>Yán'ān Shì</v>
      </c>
      <c r="O93" s="13" t="str">
        <f t="shared" si="6"/>
        <v>Chafang Jiedao [incl. Jiaodao Zhen] (Yán'ān Shì)</v>
      </c>
      <c r="P93" s="13" t="str">
        <f t="shared" si="7"/>
        <v>Chafang Jiedao [incl. Jiaodao Zhen] (Yán'ān Shì)</v>
      </c>
    </row>
    <row r="94" spans="1:16" hidden="1" x14ac:dyDescent="0.25">
      <c r="A94" t="s">
        <v>2644</v>
      </c>
      <c r="B94" t="str">
        <f t="shared" si="4"/>
        <v>Chàhézé Xiāng</v>
      </c>
      <c r="C94" t="str">
        <f t="shared" si="5"/>
        <v>Chàhézé Xiāng</v>
      </c>
      <c r="D94" t="s">
        <v>2645</v>
      </c>
      <c r="E94" t="s">
        <v>11</v>
      </c>
      <c r="F94" t="str">
        <f>_xlfn.CONCAT(D94,", ",H94,", ",I94,", ","陕西省")</f>
        <v>岔河则乡, 榆阳区, 榆林市, 陕西省</v>
      </c>
      <c r="G94">
        <v>5556</v>
      </c>
      <c r="H94" t="s">
        <v>3159</v>
      </c>
      <c r="I94" t="s">
        <v>3148</v>
      </c>
      <c r="J94" t="e">
        <f>VLOOKUP(F94,[1]!china_towns_second__2[[Column1]:[Y]],3,FALSE)</f>
        <v>#N/A</v>
      </c>
      <c r="K94" t="e">
        <f>VLOOKUP(F94,[1]!china_towns_second__2[[Column1]:[Y]],2,FALSE)</f>
        <v>#N/A</v>
      </c>
      <c r="L94" t="s">
        <v>4219</v>
      </c>
      <c r="M94" t="str">
        <f>VLOOKUP(H94,CHOOSE({1,2},Table11[Native],Table11[Name]),2,0)</f>
        <v>Yúyáng Qū</v>
      </c>
      <c r="N94" s="13" t="str">
        <f>VLOOKUP(I94,CHOOSE({1,2},Table11[Native],Table11[Name]),2,0)</f>
        <v>Yúlín Shì</v>
      </c>
      <c r="O94" s="13" t="str">
        <f t="shared" si="6"/>
        <v>Chaheze Xiang (Yúlín Shì)</v>
      </c>
      <c r="P94" s="13" t="str">
        <f t="shared" si="7"/>
        <v>Chaheze Xiang (Yúlín Shì)</v>
      </c>
    </row>
    <row r="95" spans="1:16" hidden="1" x14ac:dyDescent="0.25">
      <c r="A95" t="s">
        <v>1063</v>
      </c>
      <c r="B95" t="str">
        <f t="shared" si="4"/>
        <v>Cháipíng Zhèn [incl. Lóngshèng Xiāng, Yúshī Xiāng]</v>
      </c>
      <c r="C95" t="str">
        <f t="shared" si="5"/>
        <v>Cháipíng Zhèn [incl. Lóngshèng Xiāng, Yúshī Xiāng]</v>
      </c>
      <c r="D95" t="s">
        <v>1064</v>
      </c>
      <c r="E95" t="s">
        <v>7</v>
      </c>
      <c r="F95" t="str">
        <f>_xlfn.CONCAT(D95,", ",H95,", ",I95,", ","陕西省")</f>
        <v>柴坪镇, 镇安县, 商洛市, 陕西省</v>
      </c>
      <c r="G95">
        <v>21261</v>
      </c>
      <c r="H95" t="s">
        <v>3079</v>
      </c>
      <c r="I95" t="s">
        <v>3072</v>
      </c>
      <c r="J95">
        <f>VLOOKUP(F95,[1]!china_towns_second__2[[Column1]:[Y]],3,FALSE)</f>
        <v>33.3297789249944</v>
      </c>
      <c r="K95">
        <f>VLOOKUP(F95,[1]!china_towns_second__2[[Column1]:[Y]],2,FALSE)</f>
        <v>108.90187419999999</v>
      </c>
      <c r="L95" t="s">
        <v>4220</v>
      </c>
      <c r="M95" t="str">
        <f>VLOOKUP(H95,CHOOSE({1,2},Table11[Native],Table11[Name]),2,0)</f>
        <v>Zhèn'ān Xiàn</v>
      </c>
      <c r="N95" s="13" t="str">
        <f>VLOOKUP(I95,CHOOSE({1,2},Table11[Native],Table11[Name]),2,0)</f>
        <v>Shāngluò Shì</v>
      </c>
      <c r="O95" s="13" t="str">
        <f t="shared" si="6"/>
        <v>Chaiping Zhen [incl. Longsheng Xiang, Yushi Xiang] (Shāngluò Shì)</v>
      </c>
      <c r="P95" s="13" t="str">
        <f t="shared" si="7"/>
        <v>Chaiping Zhen [incl. Longsheng Xiang, Yushi Xiang] (Shāngluò Shì)</v>
      </c>
    </row>
    <row r="96" spans="1:16" hidden="1" x14ac:dyDescent="0.25">
      <c r="A96" t="s">
        <v>27</v>
      </c>
      <c r="B96" t="str">
        <f t="shared" si="4"/>
        <v>Cháng'ān Zhèn</v>
      </c>
      <c r="C96" t="str">
        <f t="shared" si="5"/>
        <v>Cháng'ān Zhèn</v>
      </c>
      <c r="D96" t="s">
        <v>28</v>
      </c>
      <c r="E96" t="s">
        <v>7</v>
      </c>
      <c r="F96" t="str">
        <f>_xlfn.CONCAT(D96,", ",H96,", ",I96,", ","陕西省")</f>
        <v>长安镇, 平利县, 安康市, 陕西省</v>
      </c>
      <c r="G96">
        <v>17406</v>
      </c>
      <c r="H96" t="s">
        <v>3039</v>
      </c>
      <c r="I96" t="s">
        <v>3031</v>
      </c>
      <c r="J96">
        <f>VLOOKUP(F96,[1]!china_towns_second__2[[Column1]:[Y]],3,FALSE)</f>
        <v>32.3689417099175</v>
      </c>
      <c r="K96">
        <f>VLOOKUP(F96,[1]!china_towns_second__2[[Column1]:[Y]],2,FALSE)</f>
        <v>109.4697381</v>
      </c>
      <c r="L96" t="s">
        <v>4221</v>
      </c>
      <c r="M96" t="str">
        <f>VLOOKUP(H96,CHOOSE({1,2},Table11[Native],Table11[Name]),2,0)</f>
        <v>Pínglì Xiàn</v>
      </c>
      <c r="N96" s="13" t="str">
        <f>VLOOKUP(I96,CHOOSE({1,2},Table11[Native],Table11[Name]),2,0)</f>
        <v>Ānkāng Shì</v>
      </c>
      <c r="O96" s="13" t="str">
        <f t="shared" si="6"/>
        <v>Chang'an Zhen (Ānkāng Shì)</v>
      </c>
      <c r="P96" s="13" t="str">
        <f t="shared" si="7"/>
        <v>Chang'an Zhen (Ānkāng Shì)</v>
      </c>
    </row>
    <row r="97" spans="1:16" hidden="1" x14ac:dyDescent="0.25">
      <c r="A97" t="s">
        <v>1998</v>
      </c>
      <c r="B97" t="str">
        <f t="shared" si="4"/>
        <v>Cháng'ānlù Jiēdào</v>
      </c>
      <c r="C97" t="str">
        <f t="shared" si="5"/>
        <v>Cháng'ānlù Jiēdào</v>
      </c>
      <c r="D97" t="s">
        <v>1999</v>
      </c>
      <c r="E97" t="s">
        <v>113</v>
      </c>
      <c r="F97" t="str">
        <f>_xlfn.CONCAT(D97,", ",H97,", ",I97,", ","陕西省")</f>
        <v>长安路街道, 碑林区, 西安市, 陕西省</v>
      </c>
      <c r="G97">
        <v>57416</v>
      </c>
      <c r="H97" t="s">
        <v>3104</v>
      </c>
      <c r="I97" t="s">
        <v>3102</v>
      </c>
      <c r="J97">
        <f>VLOOKUP(F97,[1]!china_towns_second__2[[Column1]:[Y]],3,FALSE)</f>
        <v>34.242013890221202</v>
      </c>
      <c r="K97">
        <f>VLOOKUP(F97,[1]!china_towns_second__2[[Column1]:[Y]],2,FALSE)</f>
        <v>108.94085099999999</v>
      </c>
      <c r="L97" t="s">
        <v>4222</v>
      </c>
      <c r="M97" t="str">
        <f>VLOOKUP(H97,CHOOSE({1,2},Table11[Native],Table11[Name]),2,0)</f>
        <v>Bēilín Qū</v>
      </c>
      <c r="N97" s="13" t="str">
        <f>VLOOKUP(I97,CHOOSE({1,2},Table11[Native],Table11[Name]),2,0)</f>
        <v>Xī'ān Shì</v>
      </c>
      <c r="O97" s="13" t="str">
        <f t="shared" si="6"/>
        <v>Chang'anlu Jiedao (Xī'ān Shì)</v>
      </c>
      <c r="P97" s="13" t="str">
        <f t="shared" si="7"/>
        <v>Chang'anlu Jiedao (Xī'ān Shì)</v>
      </c>
    </row>
    <row r="98" spans="1:16" hidden="1" x14ac:dyDescent="0.25">
      <c r="A98" t="s">
        <v>2361</v>
      </c>
      <c r="B98" t="str">
        <f t="shared" si="4"/>
        <v>Chángchéng Zhèn</v>
      </c>
      <c r="C98" t="str">
        <f t="shared" si="5"/>
        <v>Chángchéng Zhèn</v>
      </c>
      <c r="D98" t="s">
        <v>2362</v>
      </c>
      <c r="E98" t="s">
        <v>7</v>
      </c>
      <c r="F98" t="str">
        <f>_xlfn.CONCAT(D98,", ",H98,", ",I98,", ","陕西省")</f>
        <v>长城镇, 吴起县, 延安市, 陕西省</v>
      </c>
      <c r="G98">
        <v>5449</v>
      </c>
      <c r="H98" t="s">
        <v>3141</v>
      </c>
      <c r="I98" t="s">
        <v>3133</v>
      </c>
      <c r="J98">
        <f>VLOOKUP(F98,[1]!china_towns_second__2[[Column1]:[Y]],3,FALSE)</f>
        <v>37.295504743023699</v>
      </c>
      <c r="K98">
        <f>VLOOKUP(F98,[1]!china_towns_second__2[[Column1]:[Y]],2,FALSE)</f>
        <v>108.40047559999999</v>
      </c>
      <c r="L98" t="s">
        <v>4223</v>
      </c>
      <c r="M98" t="str">
        <f>VLOOKUP(H98,CHOOSE({1,2},Table11[Native],Table11[Name]),2,0)</f>
        <v>Wúqĭ Xiàn</v>
      </c>
      <c r="N98" s="13" t="str">
        <f>VLOOKUP(I98,CHOOSE({1,2},Table11[Native],Table11[Name]),2,0)</f>
        <v>Yán'ān Shì</v>
      </c>
      <c r="O98" s="13" t="str">
        <f t="shared" si="6"/>
        <v>Changcheng Zhen (Yán'ān Shì)</v>
      </c>
      <c r="P98" s="13" t="str">
        <f t="shared" si="7"/>
        <v>Changcheng Zhen (Yán'ān Shì)</v>
      </c>
    </row>
    <row r="99" spans="1:16" hidden="1" x14ac:dyDescent="0.25">
      <c r="A99" t="s">
        <v>2646</v>
      </c>
      <c r="B99" t="str">
        <f t="shared" si="4"/>
        <v>Chángchénglù Jiēdào [Yúyáng Zhèn]</v>
      </c>
      <c r="C99" t="str">
        <f t="shared" si="5"/>
        <v>Chángchénglù Jiēdào [Yúyáng Zhèn]</v>
      </c>
      <c r="D99" t="s">
        <v>2647</v>
      </c>
      <c r="E99" t="s">
        <v>113</v>
      </c>
      <c r="F99" t="str">
        <f>_xlfn.CONCAT(D99,", ",H99,", ",I99,", ","陕西省")</f>
        <v>长城路街道, 榆阳区, 榆林市, 陕西省</v>
      </c>
      <c r="G99">
        <v>73459</v>
      </c>
      <c r="H99" t="s">
        <v>3159</v>
      </c>
      <c r="I99" t="s">
        <v>3148</v>
      </c>
      <c r="J99" t="e">
        <f>VLOOKUP(F99,[1]!china_towns_second__2[[Column1]:[Y]],3,FALSE)</f>
        <v>#N/A</v>
      </c>
      <c r="K99" t="e">
        <f>VLOOKUP(F99,[1]!china_towns_second__2[[Column1]:[Y]],2,FALSE)</f>
        <v>#N/A</v>
      </c>
      <c r="L99" t="s">
        <v>4224</v>
      </c>
      <c r="M99" t="str">
        <f>VLOOKUP(H99,CHOOSE({1,2},Table11[Native],Table11[Name]),2,0)</f>
        <v>Yúyáng Qū</v>
      </c>
      <c r="N99" s="13" t="str">
        <f>VLOOKUP(I99,CHOOSE({1,2},Table11[Native],Table11[Name]),2,0)</f>
        <v>Yúlín Shì</v>
      </c>
      <c r="O99" s="13" t="str">
        <f t="shared" si="6"/>
        <v>Changchenglu Jiedao [Yuyang Zhen] (Yúlín Shì)</v>
      </c>
      <c r="P99" s="13" t="str">
        <f t="shared" si="7"/>
        <v>Changchenglu Jiedao [Yuyang Zhen] (Yúlín Shì)</v>
      </c>
    </row>
    <row r="100" spans="1:16" hidden="1" x14ac:dyDescent="0.25">
      <c r="A100" t="s">
        <v>360</v>
      </c>
      <c r="B100" t="str">
        <f t="shared" si="4"/>
        <v>Chángfēng Zhèn</v>
      </c>
      <c r="C100" t="str">
        <f t="shared" si="5"/>
        <v>Chángfēng Zhèn</v>
      </c>
      <c r="D100" t="s">
        <v>361</v>
      </c>
      <c r="E100" t="s">
        <v>7</v>
      </c>
      <c r="F100" t="str">
        <f>_xlfn.CONCAT(D100,", ",H100,", ",I100,", ","陕西省")</f>
        <v>常丰镇, 麟游县, 宝鸡市, 陕西省</v>
      </c>
      <c r="G100">
        <v>8288</v>
      </c>
      <c r="H100" t="s">
        <v>3051</v>
      </c>
      <c r="I100" t="s">
        <v>3045</v>
      </c>
      <c r="J100">
        <f>VLOOKUP(F100,[1]!china_towns_second__2[[Column1]:[Y]],3,FALSE)</f>
        <v>34.688009547266397</v>
      </c>
      <c r="K100">
        <f>VLOOKUP(F100,[1]!china_towns_second__2[[Column1]:[Y]],2,FALSE)</f>
        <v>107.9564369</v>
      </c>
      <c r="L100" t="s">
        <v>4225</v>
      </c>
      <c r="M100" t="str">
        <f>VLOOKUP(H100,CHOOSE({1,2},Table11[Native],Table11[Name]),2,0)</f>
        <v>Línyóu Xiàn</v>
      </c>
      <c r="N100" s="13" t="str">
        <f>VLOOKUP(I100,CHOOSE({1,2},Table11[Native],Table11[Name]),2,0)</f>
        <v>Băojī Shì</v>
      </c>
      <c r="O100" s="13" t="str">
        <f t="shared" si="6"/>
        <v>Changfeng Zhen (Băojī Shì)</v>
      </c>
      <c r="P100" s="13" t="str">
        <f t="shared" si="7"/>
        <v>Changfeng Zhen (Băojī Shì)</v>
      </c>
    </row>
    <row r="101" spans="1:16" hidden="1" x14ac:dyDescent="0.25">
      <c r="A101" t="s">
        <v>666</v>
      </c>
      <c r="B101" t="str">
        <f t="shared" si="4"/>
        <v>Chánggōuhé Zhèn</v>
      </c>
      <c r="C101" t="str">
        <f t="shared" si="5"/>
        <v>Chánggōuhé Zhèn</v>
      </c>
      <c r="D101" t="s">
        <v>667</v>
      </c>
      <c r="E101" t="s">
        <v>7</v>
      </c>
      <c r="F101" t="str">
        <f>_xlfn.CONCAT(D101,", ",H101,", ",I101,", ","陕西省")</f>
        <v>长沟河镇, 勉县, 汉中市, 陕西省</v>
      </c>
      <c r="G101">
        <v>4985</v>
      </c>
      <c r="H101" t="s">
        <v>3065</v>
      </c>
      <c r="I101" t="s">
        <v>3059</v>
      </c>
      <c r="J101">
        <f>VLOOKUP(F101,[1]!china_towns_second__2[[Column1]:[Y]],3,FALSE)</f>
        <v>33.363762073613401</v>
      </c>
      <c r="K101">
        <f>VLOOKUP(F101,[1]!china_towns_second__2[[Column1]:[Y]],2,FALSE)</f>
        <v>106.6817479</v>
      </c>
      <c r="L101" t="s">
        <v>4226</v>
      </c>
      <c r="M101" t="str">
        <f>VLOOKUP(H101,CHOOSE({1,2},Table11[Native],Table11[Name]),2,0)</f>
        <v>Miăn Xiàn</v>
      </c>
      <c r="N101" s="13" t="str">
        <f>VLOOKUP(I101,CHOOSE({1,2},Table11[Native],Table11[Name]),2,0)</f>
        <v>Hànzhōng Shì</v>
      </c>
      <c r="O101" s="13" t="str">
        <f t="shared" si="6"/>
        <v>Changgouhe Zhen (Hànzhōng Shì)</v>
      </c>
      <c r="P101" s="13" t="str">
        <f t="shared" si="7"/>
        <v>Changgouhe Zhen (Hànzhōng Shì)</v>
      </c>
    </row>
    <row r="102" spans="1:16" hidden="1" x14ac:dyDescent="0.25">
      <c r="A102" t="s">
        <v>2363</v>
      </c>
      <c r="B102" t="str">
        <f t="shared" si="4"/>
        <v>Chángguānmiào Zhèn</v>
      </c>
      <c r="C102" t="str">
        <f t="shared" si="5"/>
        <v>Chángguānmiào Zhèn</v>
      </c>
      <c r="D102" t="s">
        <v>2364</v>
      </c>
      <c r="E102" t="s">
        <v>7</v>
      </c>
      <c r="F102" t="str">
        <f>_xlfn.CONCAT(D102,", ",H102,", ",I102,", ","陕西省")</f>
        <v>长官庙镇, 吴起县, 延安市, 陕西省</v>
      </c>
      <c r="G102">
        <v>4614</v>
      </c>
      <c r="H102" t="s">
        <v>3141</v>
      </c>
      <c r="I102" t="s">
        <v>3133</v>
      </c>
      <c r="J102">
        <f>VLOOKUP(F102,[1]!china_towns_second__2[[Column1]:[Y]],3,FALSE)</f>
        <v>36.765624540953098</v>
      </c>
      <c r="K102">
        <f>VLOOKUP(F102,[1]!china_towns_second__2[[Column1]:[Y]],2,FALSE)</f>
        <v>108.0077454</v>
      </c>
      <c r="L102" t="s">
        <v>4227</v>
      </c>
      <c r="M102" t="str">
        <f>VLOOKUP(H102,CHOOSE({1,2},Table11[Native],Table11[Name]),2,0)</f>
        <v>Wúqĭ Xiàn</v>
      </c>
      <c r="N102" s="13" t="str">
        <f>VLOOKUP(I102,CHOOSE({1,2},Table11[Native],Table11[Name]),2,0)</f>
        <v>Yán'ān Shì</v>
      </c>
      <c r="O102" s="13" t="str">
        <f t="shared" si="6"/>
        <v>Changguanmiao Zhen (Yán'ān Shì)</v>
      </c>
      <c r="P102" s="13" t="str">
        <f t="shared" si="7"/>
        <v>Changguanmiao Zhen (Yán'ān Shì)</v>
      </c>
    </row>
    <row r="103" spans="1:16" hidden="1" x14ac:dyDescent="0.25">
      <c r="A103" t="s">
        <v>668</v>
      </c>
      <c r="B103" t="str">
        <f t="shared" si="4"/>
        <v>Chángjiăobà Zhèn</v>
      </c>
      <c r="C103" t="str">
        <f t="shared" si="5"/>
        <v>Chángjiăobà Zhèn</v>
      </c>
      <c r="D103" t="s">
        <v>669</v>
      </c>
      <c r="E103" t="s">
        <v>7</v>
      </c>
      <c r="F103" t="str">
        <f>_xlfn.CONCAT(D103,", ",H103,", ",I103,", ","陕西省")</f>
        <v>长角坝镇, 佛坪县, 汉中市, 陕西省</v>
      </c>
      <c r="G103">
        <v>2626</v>
      </c>
      <c r="H103" t="s">
        <v>3061</v>
      </c>
      <c r="I103" t="s">
        <v>3059</v>
      </c>
      <c r="J103">
        <f>VLOOKUP(F103,[1]!china_towns_second__2[[Column1]:[Y]],3,FALSE)</f>
        <v>33.644696256186201</v>
      </c>
      <c r="K103">
        <f>VLOOKUP(F103,[1]!china_towns_second__2[[Column1]:[Y]],2,FALSE)</f>
        <v>107.96304139999999</v>
      </c>
      <c r="L103" t="s">
        <v>4228</v>
      </c>
      <c r="M103" t="str">
        <f>VLOOKUP(H103,CHOOSE({1,2},Table11[Native],Table11[Name]),2,0)</f>
        <v>Fópíng Xiàn</v>
      </c>
      <c r="N103" s="13" t="str">
        <f>VLOOKUP(I103,CHOOSE({1,2},Table11[Native],Table11[Name]),2,0)</f>
        <v>Hànzhōng Shì</v>
      </c>
      <c r="O103" s="13" t="str">
        <f t="shared" si="6"/>
        <v>Changjiaoba Zhen (Hànzhōng Shì)</v>
      </c>
      <c r="P103" s="13" t="str">
        <f t="shared" si="7"/>
        <v>Changjiaoba Zhen (Hànzhōng Shì)</v>
      </c>
    </row>
    <row r="104" spans="1:16" hidden="1" x14ac:dyDescent="0.25">
      <c r="A104" t="s">
        <v>2000</v>
      </c>
      <c r="B104" t="str">
        <f t="shared" si="4"/>
        <v>Chánglèfāng Jiēdào</v>
      </c>
      <c r="C104" t="str">
        <f t="shared" si="5"/>
        <v>Chánglèfāng Jiēdào</v>
      </c>
      <c r="D104" t="s">
        <v>2001</v>
      </c>
      <c r="E104" t="s">
        <v>113</v>
      </c>
      <c r="F104" t="str">
        <f>_xlfn.CONCAT(D104,", ",H104,", ",I104,", ","陕西省")</f>
        <v>长乐坊街道, 碑林区, 西安市, 陕西省</v>
      </c>
      <c r="G104">
        <v>78299</v>
      </c>
      <c r="H104" t="s">
        <v>3104</v>
      </c>
      <c r="I104" t="s">
        <v>3102</v>
      </c>
      <c r="J104">
        <f>VLOOKUP(F104,[1]!china_towns_second__2[[Column1]:[Y]],3,FALSE)</f>
        <v>34.2651483976843</v>
      </c>
      <c r="K104">
        <f>VLOOKUP(F104,[1]!china_towns_second__2[[Column1]:[Y]],2,FALSE)</f>
        <v>108.98176220000001</v>
      </c>
      <c r="L104" t="s">
        <v>4229</v>
      </c>
      <c r="M104" t="str">
        <f>VLOOKUP(H104,CHOOSE({1,2},Table11[Native],Table11[Name]),2,0)</f>
        <v>Bēilín Qū</v>
      </c>
      <c r="N104" s="13" t="str">
        <f>VLOOKUP(I104,CHOOSE({1,2},Table11[Native],Table11[Name]),2,0)</f>
        <v>Xī'ān Shì</v>
      </c>
      <c r="O104" s="13" t="str">
        <f t="shared" si="6"/>
        <v>Changlefang Jiedao (Xī'ān Shì)</v>
      </c>
      <c r="P104" s="13" t="str">
        <f t="shared" si="7"/>
        <v>Changlefang Jiedao (Xī'ān Shì)</v>
      </c>
    </row>
    <row r="105" spans="1:16" hidden="1" x14ac:dyDescent="0.25">
      <c r="A105" t="s">
        <v>2002</v>
      </c>
      <c r="B105" t="str">
        <f t="shared" si="4"/>
        <v>Chánglèxīlù Jiēdào</v>
      </c>
      <c r="C105" t="str">
        <f t="shared" si="5"/>
        <v>Chánglèxīlù Jiēdào</v>
      </c>
      <c r="D105" t="s">
        <v>2003</v>
      </c>
      <c r="E105" t="s">
        <v>113</v>
      </c>
      <c r="F105" t="str">
        <f>_xlfn.CONCAT(D105,", ",H105,", ",I105,", ","陕西省")</f>
        <v>长乐西路街道, 新城区, 西安市, 陕西省</v>
      </c>
      <c r="G105">
        <v>54367</v>
      </c>
      <c r="H105" t="s">
        <v>3112</v>
      </c>
      <c r="I105" t="s">
        <v>3102</v>
      </c>
      <c r="J105">
        <f>VLOOKUP(F105,[1]!china_towns_second__2[[Column1]:[Y]],3,FALSE)</f>
        <v>34.273881372754502</v>
      </c>
      <c r="K105">
        <f>VLOOKUP(F105,[1]!china_towns_second__2[[Column1]:[Y]],2,FALSE)</f>
        <v>108.9771533</v>
      </c>
      <c r="L105" t="s">
        <v>4230</v>
      </c>
      <c r="M105" t="str">
        <f>VLOOKUP(H105,CHOOSE({1,2},Table11[Native],Table11[Name]),2,0)</f>
        <v>Xīnchéng Qū</v>
      </c>
      <c r="N105" s="13" t="str">
        <f>VLOOKUP(I105,CHOOSE({1,2},Table11[Native],Table11[Name]),2,0)</f>
        <v>Xī'ān Shì</v>
      </c>
      <c r="O105" s="13" t="str">
        <f t="shared" si="6"/>
        <v>Changlexilu Jiedao (Xī'ān Shì)</v>
      </c>
      <c r="P105" s="13" t="str">
        <f t="shared" si="7"/>
        <v>Changlexilu Jiedao (Xī'ān Shì)</v>
      </c>
    </row>
    <row r="106" spans="1:16" hidden="1" x14ac:dyDescent="0.25">
      <c r="A106" t="s">
        <v>2005</v>
      </c>
      <c r="B106" t="str">
        <f t="shared" si="4"/>
        <v>Chánglèzhōnglù Jiēdào</v>
      </c>
      <c r="C106" t="str">
        <f t="shared" si="5"/>
        <v>Chánglèzhōnglù Jiēdào</v>
      </c>
      <c r="D106" t="s">
        <v>2006</v>
      </c>
      <c r="E106" t="s">
        <v>113</v>
      </c>
      <c r="F106" t="str">
        <f>_xlfn.CONCAT(D106,", ",H106,", ",I106,", ","陕西省")</f>
        <v>长乐中路街道, 新城区, 西安市, 陕西省</v>
      </c>
      <c r="G106">
        <v>96189</v>
      </c>
      <c r="H106" t="s">
        <v>3112</v>
      </c>
      <c r="I106" t="s">
        <v>3102</v>
      </c>
      <c r="J106" t="e">
        <f>VLOOKUP(F106,[1]!china_towns_second__2[[Column1]:[Y]],3,FALSE)</f>
        <v>#N/A</v>
      </c>
      <c r="K106" t="e">
        <f>VLOOKUP(F106,[1]!china_towns_second__2[[Column1]:[Y]],2,FALSE)</f>
        <v>#N/A</v>
      </c>
      <c r="L106" t="s">
        <v>4231</v>
      </c>
      <c r="M106" t="str">
        <f>VLOOKUP(H106,CHOOSE({1,2},Table11[Native],Table11[Name]),2,0)</f>
        <v>Xīnchéng Qū</v>
      </c>
      <c r="N106" s="13" t="str">
        <f>VLOOKUP(I106,CHOOSE({1,2},Table11[Native],Table11[Name]),2,0)</f>
        <v>Xī'ān Shì</v>
      </c>
      <c r="O106" s="13" t="str">
        <f t="shared" si="6"/>
        <v>Changlezhonglu Jiedao (Xī'ān Shì)</v>
      </c>
      <c r="P106" s="13" t="str">
        <f t="shared" si="7"/>
        <v>Changlezhonglu Jiedao (Xī'ān Shì)</v>
      </c>
    </row>
    <row r="107" spans="1:16" hidden="1" x14ac:dyDescent="0.25">
      <c r="A107" t="s">
        <v>671</v>
      </c>
      <c r="B107" t="str">
        <f t="shared" si="4"/>
        <v>Chánglĭng Zhèn</v>
      </c>
      <c r="C107" t="str">
        <f t="shared" si="5"/>
        <v>Chánglĭng Zhèn</v>
      </c>
      <c r="D107" t="s">
        <v>672</v>
      </c>
      <c r="E107" t="s">
        <v>7</v>
      </c>
      <c r="F107" t="str">
        <f>_xlfn.CONCAT(D107,", ",H107,", ",I107,", ","陕西省")</f>
        <v>长岭镇, 镇巴县, 汉中市, 陕西省</v>
      </c>
      <c r="G107">
        <v>13202</v>
      </c>
      <c r="H107" t="s">
        <v>3070</v>
      </c>
      <c r="I107" t="s">
        <v>3059</v>
      </c>
      <c r="J107">
        <f>VLOOKUP(F107,[1]!china_towns_second__2[[Column1]:[Y]],3,FALSE)</f>
        <v>32.438694668407898</v>
      </c>
      <c r="K107">
        <f>VLOOKUP(F107,[1]!china_towns_second__2[[Column1]:[Y]],2,FALSE)</f>
        <v>107.84597460000001</v>
      </c>
      <c r="L107" t="s">
        <v>4232</v>
      </c>
      <c r="M107" t="str">
        <f>VLOOKUP(H107,CHOOSE({1,2},Table11[Native],Table11[Name]),2,0)</f>
        <v>Zhènbā Xiàn</v>
      </c>
      <c r="N107" s="13" t="str">
        <f>VLOOKUP(I107,CHOOSE({1,2},Table11[Native],Table11[Name]),2,0)</f>
        <v>Hànzhōng Shì</v>
      </c>
      <c r="O107" s="13" t="str">
        <f t="shared" si="6"/>
        <v>Changling Zhen (Hànzhōng Shì)</v>
      </c>
      <c r="P107" s="13" t="str">
        <f t="shared" si="7"/>
        <v>Changling Zhen (Hànzhōng Shì)</v>
      </c>
    </row>
    <row r="108" spans="1:16" hidden="1" x14ac:dyDescent="0.25">
      <c r="A108" t="s">
        <v>1720</v>
      </c>
      <c r="B108" t="str">
        <f t="shared" si="4"/>
        <v>Chángníng Zhèn [incl. Hédào Xiāng]</v>
      </c>
      <c r="C108" t="str">
        <f t="shared" si="5"/>
        <v>Chángníng Zhèn [incl. Hédào Xiāng]</v>
      </c>
      <c r="D108" t="s">
        <v>1721</v>
      </c>
      <c r="E108" t="s">
        <v>7</v>
      </c>
      <c r="F108" t="str">
        <f>_xlfn.CONCAT(D108,", ",H108,", ",I108,", ","陕西省")</f>
        <v>长宁镇, 武功县, 咸阳市, 陕西省</v>
      </c>
      <c r="G108">
        <v>57945</v>
      </c>
      <c r="H108" t="s">
        <v>3127</v>
      </c>
      <c r="I108" t="s">
        <v>3117</v>
      </c>
      <c r="J108">
        <f>VLOOKUP(F108,[1]!china_towns_second__2[[Column1]:[Y]],3,FALSE)</f>
        <v>34.316538088828601</v>
      </c>
      <c r="K108">
        <f>VLOOKUP(F108,[1]!china_towns_second__2[[Column1]:[Y]],2,FALSE)</f>
        <v>108.2799816</v>
      </c>
      <c r="L108" t="s">
        <v>4233</v>
      </c>
      <c r="M108" t="str">
        <f>VLOOKUP(H108,CHOOSE({1,2},Table11[Native],Table11[Name]),2,0)</f>
        <v>Wŭgōng Xiàn</v>
      </c>
      <c r="N108" s="13" t="str">
        <f>VLOOKUP(I108,CHOOSE({1,2},Table11[Native],Table11[Name]),2,0)</f>
        <v>Xiányáng Shì</v>
      </c>
      <c r="O108" s="13" t="str">
        <f t="shared" si="6"/>
        <v>Changning Zhen [incl. Hedao Xiang] (Xiányáng Shì)</v>
      </c>
      <c r="P108" s="13" t="str">
        <f t="shared" si="7"/>
        <v>Changning Zhen [incl. Hedao Xiang] (Xiányáng Shì)</v>
      </c>
    </row>
    <row r="109" spans="1:16" hidden="1" x14ac:dyDescent="0.25">
      <c r="A109" t="s">
        <v>1717</v>
      </c>
      <c r="B109" t="str">
        <f t="shared" si="4"/>
        <v>Chángníng Zhèn [incl. Shàngyì Xiāng]</v>
      </c>
      <c r="C109" t="str">
        <f t="shared" si="5"/>
        <v>Chángníng Zhèn [incl. Shàngyì Xiāng]</v>
      </c>
      <c r="D109" t="s">
        <v>1718</v>
      </c>
      <c r="E109" t="s">
        <v>7</v>
      </c>
      <c r="F109" t="str">
        <f>_xlfn.CONCAT(D109,", ",H109,", ",I109,", ","陕西省")</f>
        <v>常宁镇, 永寿县, 咸阳市, 陕西省</v>
      </c>
      <c r="G109">
        <v>27814</v>
      </c>
      <c r="H109" t="s">
        <v>3131</v>
      </c>
      <c r="I109" t="s">
        <v>3117</v>
      </c>
      <c r="J109">
        <f>VLOOKUP(F109,[1]!china_towns_second__2[[Column1]:[Y]],3,FALSE)</f>
        <v>34.834389623420599</v>
      </c>
      <c r="K109">
        <f>VLOOKUP(F109,[1]!china_towns_second__2[[Column1]:[Y]],2,FALSE)</f>
        <v>108.2457239</v>
      </c>
      <c r="L109" t="s">
        <v>4234</v>
      </c>
      <c r="M109" t="str">
        <f>VLOOKUP(H109,CHOOSE({1,2},Table11[Native],Table11[Name]),2,0)</f>
        <v>Yŏngshòu Xiàn</v>
      </c>
      <c r="N109" s="13" t="str">
        <f>VLOOKUP(I109,CHOOSE({1,2},Table11[Native],Table11[Name]),2,0)</f>
        <v>Xiányáng Shì</v>
      </c>
      <c r="O109" s="13" t="str">
        <f t="shared" si="6"/>
        <v>Changning Zhen [incl. Shangyi Xiang] (Xiányáng Shì)</v>
      </c>
      <c r="P109" s="13" t="str">
        <f t="shared" si="7"/>
        <v>Changning Zhen [incl. Shangyi Xiang] (Xiányáng Shì)</v>
      </c>
    </row>
    <row r="110" spans="1:16" hidden="1" x14ac:dyDescent="0.25">
      <c r="A110" t="s">
        <v>363</v>
      </c>
      <c r="B110" t="str">
        <f t="shared" si="4"/>
        <v>Chángqīng Zhèn</v>
      </c>
      <c r="C110" t="str">
        <f t="shared" si="5"/>
        <v>Chángqīng Zhèn</v>
      </c>
      <c r="D110" t="s">
        <v>364</v>
      </c>
      <c r="E110" t="s">
        <v>7</v>
      </c>
      <c r="F110" t="str">
        <f>_xlfn.CONCAT(D110,", ",H110,", ",I110,", ","陕西省")</f>
        <v>长青镇, 凤翔区, 宝鸡市, 陕西省</v>
      </c>
      <c r="G110">
        <v>24462</v>
      </c>
      <c r="H110" t="s">
        <v>3048</v>
      </c>
      <c r="I110" t="s">
        <v>3045</v>
      </c>
      <c r="J110">
        <f>VLOOKUP(F110,[1]!china_towns_second__2[[Column1]:[Y]],3,FALSE)</f>
        <v>34.506326497514102</v>
      </c>
      <c r="K110">
        <f>VLOOKUP(F110,[1]!china_towns_second__2[[Column1]:[Y]],2,FALSE)</f>
        <v>107.2237974</v>
      </c>
      <c r="L110" t="s">
        <v>4235</v>
      </c>
      <c r="M110" t="str">
        <f>VLOOKUP(H110,CHOOSE({1,2},Table11[Native],Table11[Name]),2,0)</f>
        <v>Fèngxiáng Qū</v>
      </c>
      <c r="N110" s="13" t="str">
        <f>VLOOKUP(I110,CHOOSE({1,2},Table11[Native],Table11[Name]),2,0)</f>
        <v>Băojī Shì</v>
      </c>
      <c r="O110" s="13" t="str">
        <f t="shared" si="6"/>
        <v>Changqing Zhen (Băojī Shì)</v>
      </c>
      <c r="P110" s="13" t="str">
        <f t="shared" si="7"/>
        <v>Changqing Zhen (Băojī Shì)</v>
      </c>
    </row>
    <row r="111" spans="1:16" hidden="1" x14ac:dyDescent="0.25">
      <c r="A111" t="s">
        <v>365</v>
      </c>
      <c r="B111" t="str">
        <f t="shared" si="4"/>
        <v>Chángxīng Zhèn [incl. Măjiā Zhèn]</v>
      </c>
      <c r="C111" t="str">
        <f t="shared" si="5"/>
        <v>Chángxīng Zhèn [incl. Măjiā Zhèn]</v>
      </c>
      <c r="D111" t="s">
        <v>366</v>
      </c>
      <c r="E111" t="s">
        <v>7</v>
      </c>
      <c r="F111" t="str">
        <f>_xlfn.CONCAT(D111,", ",H111,", ",I111,", ","陕西省")</f>
        <v>常兴镇, 眉县, 宝鸡市, 陕西省</v>
      </c>
      <c r="G111">
        <v>46853</v>
      </c>
      <c r="H111" t="s">
        <v>3053</v>
      </c>
      <c r="I111" t="s">
        <v>3045</v>
      </c>
      <c r="J111">
        <f>VLOOKUP(F111,[1]!china_towns_second__2[[Column1]:[Y]],3,FALSE)</f>
        <v>34.283902160590401</v>
      </c>
      <c r="K111">
        <f>VLOOKUP(F111,[1]!china_towns_second__2[[Column1]:[Y]],2,FALSE)</f>
        <v>107.7832872</v>
      </c>
      <c r="L111" t="s">
        <v>4236</v>
      </c>
      <c r="M111" t="str">
        <f>VLOOKUP(H111,CHOOSE({1,2},Table11[Native],Table11[Name]),2,0)</f>
        <v>Méi Xiàn</v>
      </c>
      <c r="N111" s="13" t="str">
        <f>VLOOKUP(I111,CHOOSE({1,2},Table11[Native],Table11[Name]),2,0)</f>
        <v>Băojī Shì</v>
      </c>
      <c r="O111" s="13" t="str">
        <f t="shared" si="6"/>
        <v>Changxing Zhen [incl. Majia Zhen] (Băojī Shì)</v>
      </c>
      <c r="P111" s="13" t="str">
        <f t="shared" si="7"/>
        <v>Changxing Zhen [incl. Majia Zhen] (Băojī Shì)</v>
      </c>
    </row>
    <row r="112" spans="1:16" hidden="1" x14ac:dyDescent="0.25">
      <c r="A112" t="s">
        <v>2007</v>
      </c>
      <c r="B112" t="str">
        <f t="shared" si="4"/>
        <v>Chángyánbăo Jiēdào</v>
      </c>
      <c r="C112" t="str">
        <f t="shared" si="5"/>
        <v>Chángyánbăo Jiēdào</v>
      </c>
      <c r="D112" t="s">
        <v>2008</v>
      </c>
      <c r="E112" t="s">
        <v>113</v>
      </c>
      <c r="F112" t="str">
        <f>_xlfn.CONCAT(D112,", ",H112,", ",I112,", ","陕西省")</f>
        <v>长延堡街道, 雁塔区, 西安市, 陕西省</v>
      </c>
      <c r="G112">
        <v>214712</v>
      </c>
      <c r="H112" t="s">
        <v>3114</v>
      </c>
      <c r="I112" t="s">
        <v>3102</v>
      </c>
      <c r="J112">
        <f>VLOOKUP(F112,[1]!china_towns_second__2[[Column1]:[Y]],3,FALSE)</f>
        <v>34.197079721467702</v>
      </c>
      <c r="K112">
        <f>VLOOKUP(F112,[1]!china_towns_second__2[[Column1]:[Y]],2,FALSE)</f>
        <v>108.94259700000001</v>
      </c>
      <c r="L112" t="s">
        <v>4237</v>
      </c>
      <c r="M112" t="str">
        <f>VLOOKUP(H112,CHOOSE({1,2},Table11[Native],Table11[Name]),2,0)</f>
        <v>Yàntă Qū</v>
      </c>
      <c r="N112" s="13" t="str">
        <f>VLOOKUP(I112,CHOOSE({1,2},Table11[Native],Table11[Name]),2,0)</f>
        <v>Xī'ān Shì</v>
      </c>
      <c r="O112" s="13" t="str">
        <f t="shared" si="6"/>
        <v>Changyanbao Jiedao (Xī'ān Shì)</v>
      </c>
      <c r="P112" s="13" t="str">
        <f t="shared" si="7"/>
        <v>Changyanbao Jiedao (Xī'ān Shì)</v>
      </c>
    </row>
    <row r="113" spans="1:16" hidden="1" x14ac:dyDescent="0.25">
      <c r="A113" t="s">
        <v>29</v>
      </c>
      <c r="B113" t="str">
        <f t="shared" si="4"/>
        <v>Chángyáng Xiāng</v>
      </c>
      <c r="C113" t="str">
        <f t="shared" si="5"/>
        <v>Chángyáng Xiāng</v>
      </c>
      <c r="D113" t="s">
        <v>30</v>
      </c>
      <c r="E113" t="s">
        <v>11</v>
      </c>
      <c r="F113" t="str">
        <f>_xlfn.CONCAT(D113,", ",H113,", ",I113,", ","陕西省")</f>
        <v>长阳乡, 石泉县, 安康市, 陕西省</v>
      </c>
      <c r="G113">
        <v>7023</v>
      </c>
      <c r="H113" t="s">
        <v>3040</v>
      </c>
      <c r="I113" t="s">
        <v>3031</v>
      </c>
      <c r="J113" t="e">
        <f>VLOOKUP(F113,[1]!china_towns_second__2[[Column1]:[Y]],3,FALSE)</f>
        <v>#N/A</v>
      </c>
      <c r="K113" t="e">
        <f>VLOOKUP(F113,[1]!china_towns_second__2[[Column1]:[Y]],2,FALSE)</f>
        <v>#N/A</v>
      </c>
      <c r="L113" t="s">
        <v>4238</v>
      </c>
      <c r="M113" t="str">
        <f>VLOOKUP(H113,CHOOSE({1,2},Table11[Native],Table11[Name]),2,0)</f>
        <v>Shíquán Xiàn</v>
      </c>
      <c r="N113" s="13" t="str">
        <f>VLOOKUP(I113,CHOOSE({1,2},Table11[Native],Table11[Name]),2,0)</f>
        <v>Ānkāng Shì</v>
      </c>
      <c r="O113" s="13" t="str">
        <f t="shared" si="6"/>
        <v>Changyang Xiang (Ānkāng Shì)</v>
      </c>
      <c r="P113" s="13" t="str">
        <f t="shared" si="7"/>
        <v>Changyang Xiang (Ānkāng Shì)</v>
      </c>
    </row>
    <row r="114" spans="1:16" hidden="1" x14ac:dyDescent="0.25">
      <c r="A114" t="s">
        <v>673</v>
      </c>
      <c r="B114" t="str">
        <f t="shared" si="4"/>
        <v>Chánjiāyán Zhèn</v>
      </c>
      <c r="C114" t="str">
        <f t="shared" si="5"/>
        <v>Chánjiāyán Zhèn</v>
      </c>
      <c r="D114" t="s">
        <v>674</v>
      </c>
      <c r="E114" t="s">
        <v>7</v>
      </c>
      <c r="F114" t="str">
        <f>_xlfn.CONCAT(D114,", ",H114,", ",I114,", ","陕西省")</f>
        <v>禅家岩镇, 宁强县, 汉中市, 陕西省</v>
      </c>
      <c r="G114">
        <v>5713</v>
      </c>
      <c r="H114" t="s">
        <v>3067</v>
      </c>
      <c r="I114" t="s">
        <v>3059</v>
      </c>
      <c r="J114">
        <f>VLOOKUP(F114,[1]!china_towns_second__2[[Column1]:[Y]],3,FALSE)</f>
        <v>32.730207047965102</v>
      </c>
      <c r="K114">
        <f>VLOOKUP(F114,[1]!china_towns_second__2[[Column1]:[Y]],2,FALSE)</f>
        <v>106.4510609</v>
      </c>
      <c r="L114" t="s">
        <v>4239</v>
      </c>
      <c r="M114" t="str">
        <f>VLOOKUP(H114,CHOOSE({1,2},Table11[Native],Table11[Name]),2,0)</f>
        <v>Níngqiáng Xiàn</v>
      </c>
      <c r="N114" s="13" t="str">
        <f>VLOOKUP(I114,CHOOSE({1,2},Table11[Native],Table11[Name]),2,0)</f>
        <v>Hànzhōng Shì</v>
      </c>
      <c r="O114" s="13" t="str">
        <f t="shared" si="6"/>
        <v>Chanjiayan Zhen (Hànzhōng Shì)</v>
      </c>
      <c r="P114" s="13" t="str">
        <f t="shared" si="7"/>
        <v>Chanjiayan Zhen (Hànzhōng Shì)</v>
      </c>
    </row>
    <row r="115" spans="1:16" hidden="1" x14ac:dyDescent="0.25">
      <c r="A115" t="s">
        <v>1396</v>
      </c>
      <c r="B115" t="str">
        <f t="shared" si="4"/>
        <v>Cháoyì Zhèn</v>
      </c>
      <c r="C115" t="str">
        <f t="shared" si="5"/>
        <v>Cháoyì Zhèn</v>
      </c>
      <c r="D115" t="s">
        <v>1397</v>
      </c>
      <c r="E115" t="s">
        <v>7</v>
      </c>
      <c r="F115" t="str">
        <f>_xlfn.CONCAT(D115,", ",H115,", ",I115,", ","陕西省")</f>
        <v>朝邑镇, 大荔县, 渭南市, 陕西省</v>
      </c>
      <c r="G115">
        <v>21311</v>
      </c>
      <c r="H115" t="s">
        <v>3090</v>
      </c>
      <c r="I115" t="s">
        <v>3087</v>
      </c>
      <c r="J115">
        <f>VLOOKUP(F115,[1]!china_towns_second__2[[Column1]:[Y]],3,FALSE)</f>
        <v>34.781948502211002</v>
      </c>
      <c r="K115">
        <f>VLOOKUP(F115,[1]!china_towns_second__2[[Column1]:[Y]],2,FALSE)</f>
        <v>110.0691793</v>
      </c>
      <c r="L115" t="s">
        <v>4240</v>
      </c>
      <c r="M115" t="str">
        <f>VLOOKUP(H115,CHOOSE({1,2},Table11[Native],Table11[Name]),2,0)</f>
        <v>Dàlì Xiàn</v>
      </c>
      <c r="N115" s="13" t="str">
        <f>VLOOKUP(I115,CHOOSE({1,2},Table11[Native],Table11[Name]),2,0)</f>
        <v>Wèinán Shì</v>
      </c>
      <c r="O115" s="13" t="str">
        <f t="shared" si="6"/>
        <v>Chaoyi Zhen (Wèinán Shì)</v>
      </c>
      <c r="P115" s="13" t="str">
        <f t="shared" si="7"/>
        <v>Chaoyi Zhen (Wèinán Shì)</v>
      </c>
    </row>
    <row r="116" spans="1:16" hidden="1" x14ac:dyDescent="0.25">
      <c r="A116" t="s">
        <v>2648</v>
      </c>
      <c r="B116" t="str">
        <f t="shared" si="4"/>
        <v>Chàshàng Zhèn [incl. Dīngjiāwān Xiāng]</v>
      </c>
      <c r="C116" t="str">
        <f t="shared" si="5"/>
        <v>Chàshàng Zhèn [incl. Dīngjiāwān Xiāng]</v>
      </c>
      <c r="D116" t="s">
        <v>2649</v>
      </c>
      <c r="E116" t="s">
        <v>7</v>
      </c>
      <c r="F116" t="str">
        <f>_xlfn.CONCAT(D116,", ",H116,", ",I116,", ","陕西省")</f>
        <v>岔上镇, 吴堡县, 榆林市, 陕西省</v>
      </c>
      <c r="G116">
        <v>8113</v>
      </c>
      <c r="H116" t="s">
        <v>3158</v>
      </c>
      <c r="I116" t="s">
        <v>3148</v>
      </c>
      <c r="J116">
        <f>VLOOKUP(F116,[1]!china_towns_second__2[[Column1]:[Y]],3,FALSE)</f>
        <v>37.669497518013799</v>
      </c>
      <c r="K116">
        <f>VLOOKUP(F116,[1]!china_towns_second__2[[Column1]:[Y]],2,FALSE)</f>
        <v>110.7108934</v>
      </c>
      <c r="L116" t="s">
        <v>4241</v>
      </c>
      <c r="M116" t="str">
        <f>VLOOKUP(H116,CHOOSE({1,2},Table11[Native],Table11[Name]),2,0)</f>
        <v>Wúbǔ Xiàn</v>
      </c>
      <c r="N116" s="13" t="str">
        <f>VLOOKUP(I116,CHOOSE({1,2},Table11[Native],Table11[Name]),2,0)</f>
        <v>Yúlín Shì</v>
      </c>
      <c r="O116" s="13" t="str">
        <f t="shared" si="6"/>
        <v>Chashang Zhen [incl. Dingjiawan Xiang] (Yúlín Shì)</v>
      </c>
      <c r="P116" s="13" t="str">
        <f t="shared" si="7"/>
        <v>Chashang Zhen [incl. Dingjiawan Xiang] (Yúlín Shì)</v>
      </c>
    </row>
    <row r="117" spans="1:16" hidden="1" x14ac:dyDescent="0.25">
      <c r="A117" t="s">
        <v>368</v>
      </c>
      <c r="B117" t="str">
        <f t="shared" si="4"/>
        <v>Chéncāng Zhèn</v>
      </c>
      <c r="C117" t="str">
        <f t="shared" si="5"/>
        <v>Chéncāng Zhèn</v>
      </c>
      <c r="D117" t="s">
        <v>369</v>
      </c>
      <c r="E117" t="s">
        <v>7</v>
      </c>
      <c r="F117" t="str">
        <f>_xlfn.CONCAT(D117,", ",H117,", ",I117,", ","陕西省")</f>
        <v>陈仓镇, 金台区, 宝鸡市, 陕西省</v>
      </c>
      <c r="G117">
        <v>49100</v>
      </c>
      <c r="H117" t="s">
        <v>3050</v>
      </c>
      <c r="I117" t="s">
        <v>3045</v>
      </c>
      <c r="J117">
        <f>VLOOKUP(F117,[1]!china_towns_second__2[[Column1]:[Y]],3,FALSE)</f>
        <v>34.369607586314899</v>
      </c>
      <c r="K117">
        <f>VLOOKUP(F117,[1]!china_towns_second__2[[Column1]:[Y]],2,FALSE)</f>
        <v>107.1911963</v>
      </c>
      <c r="L117" t="s">
        <v>4242</v>
      </c>
      <c r="M117" t="str">
        <f>VLOOKUP(H117,CHOOSE({1,2},Table11[Native],Table11[Name]),2,0)</f>
        <v>Jīntái Qū</v>
      </c>
      <c r="N117" s="13" t="str">
        <f>VLOOKUP(I117,CHOOSE({1,2},Table11[Native],Table11[Name]),2,0)</f>
        <v>Băojī Shì</v>
      </c>
      <c r="O117" s="13" t="str">
        <f t="shared" si="6"/>
        <v>Chencang Zhen (Băojī Shì)</v>
      </c>
      <c r="P117" s="13" t="str">
        <f t="shared" si="7"/>
        <v>Chencang Zhen (Băojī Shì)</v>
      </c>
    </row>
    <row r="118" spans="1:16" hidden="1" x14ac:dyDescent="0.25">
      <c r="A118" t="s">
        <v>371</v>
      </c>
      <c r="B118" t="str">
        <f t="shared" si="4"/>
        <v>Chéncūn Zhèn</v>
      </c>
      <c r="C118" t="str">
        <f t="shared" si="5"/>
        <v>Chéncūn Zhèn</v>
      </c>
      <c r="D118" t="s">
        <v>372</v>
      </c>
      <c r="E118" t="s">
        <v>7</v>
      </c>
      <c r="F118" t="str">
        <f>_xlfn.CONCAT(D118,", ",H118,", ",I118,", ","陕西省")</f>
        <v>陈村镇, 凤翔区, 宝鸡市, 陕西省</v>
      </c>
      <c r="G118">
        <v>24328</v>
      </c>
      <c r="H118" t="s">
        <v>3048</v>
      </c>
      <c r="I118" t="s">
        <v>3045</v>
      </c>
      <c r="J118">
        <f>VLOOKUP(F118,[1]!china_towns_second__2[[Column1]:[Y]],3,FALSE)</f>
        <v>34.475682532116203</v>
      </c>
      <c r="K118">
        <f>VLOOKUP(F118,[1]!china_towns_second__2[[Column1]:[Y]],2,FALSE)</f>
        <v>107.2879489</v>
      </c>
      <c r="L118" t="s">
        <v>4243</v>
      </c>
      <c r="M118" t="str">
        <f>VLOOKUP(H118,CHOOSE({1,2},Table11[Native],Table11[Name]),2,0)</f>
        <v>Fèngxiáng Qū</v>
      </c>
      <c r="N118" s="13" t="str">
        <f>VLOOKUP(I118,CHOOSE({1,2},Table11[Native],Table11[Name]),2,0)</f>
        <v>Băojī Shì</v>
      </c>
      <c r="O118" s="13" t="str">
        <f t="shared" si="6"/>
        <v>Chencun Zhen (Băojī Shì)</v>
      </c>
      <c r="P118" s="13" t="str">
        <f t="shared" si="7"/>
        <v>Chencun Zhen (Băojī Shì)</v>
      </c>
    </row>
    <row r="119" spans="1:16" hidden="1" x14ac:dyDescent="0.25">
      <c r="A119" t="s">
        <v>1066</v>
      </c>
      <c r="B119" t="str">
        <f t="shared" si="4"/>
        <v>Chén'ĕr Zhèn</v>
      </c>
      <c r="C119" t="str">
        <f t="shared" si="5"/>
        <v>Chén'ĕr Zhèn</v>
      </c>
      <c r="D119" t="s">
        <v>1067</v>
      </c>
      <c r="E119" t="s">
        <v>7</v>
      </c>
      <c r="F119" t="str">
        <f>_xlfn.CONCAT(D119,", ",H119,", ",I119,", ","陕西省")</f>
        <v>陈耳镇, 洛南县, 商洛市, 陕西省</v>
      </c>
      <c r="G119">
        <v>4700</v>
      </c>
      <c r="H119" t="s">
        <v>3074</v>
      </c>
      <c r="I119" t="s">
        <v>3072</v>
      </c>
      <c r="J119">
        <f>VLOOKUP(F119,[1]!china_towns_second__2[[Column1]:[Y]],3,FALSE)</f>
        <v>34.317500000000003</v>
      </c>
      <c r="K119">
        <f>VLOOKUP(F119,[1]!china_towns_second__2[[Column1]:[Y]],2,FALSE)</f>
        <v>110.4062</v>
      </c>
      <c r="L119" t="s">
        <v>4244</v>
      </c>
      <c r="M119" t="str">
        <f>VLOOKUP(H119,CHOOSE({1,2},Table11[Native],Table11[Name]),2,0)</f>
        <v>Luònán Xiàn</v>
      </c>
      <c r="N119" s="13" t="str">
        <f>VLOOKUP(I119,CHOOSE({1,2},Table11[Native],Table11[Name]),2,0)</f>
        <v>Shāngluò Shì</v>
      </c>
      <c r="O119" s="13" t="str">
        <f t="shared" si="6"/>
        <v>Chen'er Zhen (Shāngluò Shì)</v>
      </c>
      <c r="P119" s="13" t="str">
        <f t="shared" si="7"/>
        <v>Chen'er Zhen (Shāngluò Shì)</v>
      </c>
    </row>
    <row r="120" spans="1:16" hidden="1" x14ac:dyDescent="0.25">
      <c r="A120" t="s">
        <v>677</v>
      </c>
      <c r="B120" t="str">
        <f t="shared" si="4"/>
        <v>Chéngběi Jiēdào [Chéngguān Zhèn]</v>
      </c>
      <c r="C120" t="str">
        <f t="shared" si="5"/>
        <v>Chéngběi Jiēdào [Chéngguān Zhèn]</v>
      </c>
      <c r="D120" t="s">
        <v>678</v>
      </c>
      <c r="E120" t="s">
        <v>113</v>
      </c>
      <c r="F120" t="str">
        <f>_xlfn.CONCAT(D120,", ",H120,", ",I120,", ","陕西省")</f>
        <v>城北街道, 西乡县, 汉中市, 陕西省</v>
      </c>
      <c r="G120">
        <v>99867</v>
      </c>
      <c r="H120" t="s">
        <v>3068</v>
      </c>
      <c r="I120" t="s">
        <v>3059</v>
      </c>
      <c r="J120" t="e">
        <f>VLOOKUP(F120,[1]!china_towns_second__2[[Column1]:[Y]],3,FALSE)</f>
        <v>#N/A</v>
      </c>
      <c r="K120" t="e">
        <f>VLOOKUP(F120,[1]!china_towns_second__2[[Column1]:[Y]],2,FALSE)</f>
        <v>#N/A</v>
      </c>
      <c r="L120" t="s">
        <v>4245</v>
      </c>
      <c r="M120" t="str">
        <f>VLOOKUP(H120,CHOOSE({1,2},Table11[Native],Table11[Name]),2,0)</f>
        <v>Xīxiāng Xiàn</v>
      </c>
      <c r="N120" s="13" t="str">
        <f>VLOOKUP(I120,CHOOSE({1,2},Table11[Native],Table11[Name]),2,0)</f>
        <v>Hànzhōng Shì</v>
      </c>
      <c r="O120" s="13" t="str">
        <f t="shared" si="6"/>
        <v>Chengbei Jiedao [Chengguan Zhen] (Hànzhōng Shì)</v>
      </c>
      <c r="P120" s="13" t="str">
        <f t="shared" si="7"/>
        <v>Chengbei Jiedao [Chengguan Zhen] (Hànzhōng Shì)</v>
      </c>
    </row>
    <row r="121" spans="1:16" hidden="1" x14ac:dyDescent="0.25">
      <c r="A121" t="s">
        <v>373</v>
      </c>
      <c r="B121" t="str">
        <f t="shared" si="4"/>
        <v>Chéngguān Jiēdào (Băojī Shì)</v>
      </c>
      <c r="C121" t="str">
        <f t="shared" si="5"/>
        <v>Chéngguān Jiēdào (Băojī Shì)</v>
      </c>
      <c r="D121" t="s">
        <v>374</v>
      </c>
      <c r="E121" t="s">
        <v>113</v>
      </c>
      <c r="F121" t="str">
        <f>_xlfn.CONCAT(D121,", ",H121,", ",I121,", ","陕西省")</f>
        <v>城关街道, 扶风县, 宝鸡市, 陕西省</v>
      </c>
      <c r="G121">
        <v>89275</v>
      </c>
      <c r="H121" t="s">
        <v>3049</v>
      </c>
      <c r="I121" t="s">
        <v>3045</v>
      </c>
      <c r="J121" t="e">
        <f>VLOOKUP(F121,[1]!china_towns_second__2[[Column1]:[Y]],3,FALSE)</f>
        <v>#N/A</v>
      </c>
      <c r="K121" t="e">
        <f>VLOOKUP(F121,[1]!china_towns_second__2[[Column1]:[Y]],2,FALSE)</f>
        <v>#N/A</v>
      </c>
      <c r="L121" t="s">
        <v>4246</v>
      </c>
      <c r="M121" t="str">
        <f>VLOOKUP(H121,CHOOSE({1,2},Table11[Native],Table11[Name]),2,0)</f>
        <v>Fúfēng Xiàn</v>
      </c>
      <c r="N121" s="13" t="str">
        <f>VLOOKUP(I121,CHOOSE({1,2},Table11[Native],Table11[Name]),2,0)</f>
        <v>Băojī Shì</v>
      </c>
      <c r="O121" s="13" t="str">
        <f t="shared" si="6"/>
        <v>Chengguan Jiedao (Baoji Shi) (Băojī Shì)</v>
      </c>
      <c r="P121" s="13" t="str">
        <f t="shared" si="7"/>
        <v>Chengguan Jiedao (Baoji Shi) (Băojī Shì)</v>
      </c>
    </row>
    <row r="122" spans="1:16" hidden="1" x14ac:dyDescent="0.25">
      <c r="A122" t="s">
        <v>373</v>
      </c>
      <c r="B122" t="str">
        <f t="shared" si="4"/>
        <v>Chéngguān Jiēdào (Shāngluò Shì)</v>
      </c>
      <c r="C122" t="str">
        <f t="shared" si="5"/>
        <v>Chéngguān Jiēdào (Shāngzhōu Qū)</v>
      </c>
      <c r="D122" t="s">
        <v>374</v>
      </c>
      <c r="E122" t="s">
        <v>113</v>
      </c>
      <c r="F122" t="str">
        <f>_xlfn.CONCAT(D122,", ",H122,", ",I122,", ","陕西省")</f>
        <v>城关街道, 商州区, 商洛市, 陕西省</v>
      </c>
      <c r="G122">
        <v>105851</v>
      </c>
      <c r="H122" t="s">
        <v>3076</v>
      </c>
      <c r="I122" t="s">
        <v>3072</v>
      </c>
      <c r="J122">
        <f>VLOOKUP(F122,[1]!china_towns_second__2[[Column1]:[Y]],3,FALSE)</f>
        <v>33.886902454822497</v>
      </c>
      <c r="K122">
        <f>VLOOKUP(F122,[1]!china_towns_second__2[[Column1]:[Y]],2,FALSE)</f>
        <v>109.9386846</v>
      </c>
      <c r="L122" t="s">
        <v>4247</v>
      </c>
      <c r="M122" t="str">
        <f>VLOOKUP(H122,CHOOSE({1,2},Table11[Native],Table11[Name]),2,0)</f>
        <v>Shāngzhōu Qū</v>
      </c>
      <c r="N122" s="13" t="str">
        <f>VLOOKUP(I122,CHOOSE({1,2},Table11[Native],Table11[Name]),2,0)</f>
        <v>Shāngluò Shì</v>
      </c>
      <c r="O122" s="13" t="str">
        <f t="shared" si="6"/>
        <v>Chengguan Jiedao (Shangzhou Qu) (Shāngluò Shì)</v>
      </c>
      <c r="P122" s="13" t="str">
        <f t="shared" si="7"/>
        <v>Chengguan Jiedao (Shangzhou Qu) (Shāngluò Shì)</v>
      </c>
    </row>
    <row r="123" spans="1:16" hidden="1" x14ac:dyDescent="0.25">
      <c r="A123" t="s">
        <v>373</v>
      </c>
      <c r="B123" t="str">
        <f t="shared" si="4"/>
        <v>Chéngguān Jiēdào (Shāngluò Shì)</v>
      </c>
      <c r="C123" t="str">
        <f t="shared" si="5"/>
        <v>Chéngguān Jiēdào (Luònán Xiàn)</v>
      </c>
      <c r="D123" t="s">
        <v>374</v>
      </c>
      <c r="E123" t="s">
        <v>113</v>
      </c>
      <c r="F123" t="str">
        <f>_xlfn.CONCAT(D123,", ",H123,", ",I123,", ","陕西省")</f>
        <v>城关街道, 洛南县, 商洛市, 陕西省</v>
      </c>
      <c r="G123">
        <v>89324</v>
      </c>
      <c r="H123" t="s">
        <v>3074</v>
      </c>
      <c r="I123" t="s">
        <v>3072</v>
      </c>
      <c r="J123" t="e">
        <f>VLOOKUP(F123,[1]!china_towns_second__2[[Column1]:[Y]],3,FALSE)</f>
        <v>#N/A</v>
      </c>
      <c r="K123" t="e">
        <f>VLOOKUP(F123,[1]!china_towns_second__2[[Column1]:[Y]],2,FALSE)</f>
        <v>#N/A</v>
      </c>
      <c r="L123" t="s">
        <v>4248</v>
      </c>
      <c r="M123" t="str">
        <f>VLOOKUP(H123,CHOOSE({1,2},Table11[Native],Table11[Name]),2,0)</f>
        <v>Luònán Xiàn</v>
      </c>
      <c r="N123" s="13" t="str">
        <f>VLOOKUP(I123,CHOOSE({1,2},Table11[Native],Table11[Name]),2,0)</f>
        <v>Shāngluò Shì</v>
      </c>
      <c r="O123" s="13" t="str">
        <f t="shared" si="6"/>
        <v>Chengguan Jiedao (Luonan Xian) (Shāngluò Shì)</v>
      </c>
      <c r="P123" s="13" t="str">
        <f t="shared" si="7"/>
        <v>Chengguan Jiedao (Luonan Xian) (Shāngluò Shì)</v>
      </c>
    </row>
    <row r="124" spans="1:16" hidden="1" x14ac:dyDescent="0.25">
      <c r="A124" t="s">
        <v>373</v>
      </c>
      <c r="B124" t="str">
        <f t="shared" si="4"/>
        <v>Chéngguān Jiēdào (Shāngluò Shì)</v>
      </c>
      <c r="C124" t="str">
        <f t="shared" si="5"/>
        <v>Chéngguān Jiēdào (Shānyáng Xiàn)</v>
      </c>
      <c r="D124" t="s">
        <v>374</v>
      </c>
      <c r="E124" t="s">
        <v>113</v>
      </c>
      <c r="F124" t="str">
        <f>_xlfn.CONCAT(D124,", ",H124,", ",I124,", ","陕西省")</f>
        <v>城关街道, 山阳县, 商洛市, 陕西省</v>
      </c>
      <c r="G124">
        <v>67194</v>
      </c>
      <c r="H124" t="s">
        <v>3077</v>
      </c>
      <c r="I124" t="s">
        <v>3072</v>
      </c>
      <c r="J124" t="e">
        <f>VLOOKUP(F124,[1]!china_towns_second__2[[Column1]:[Y]],3,FALSE)</f>
        <v>#N/A</v>
      </c>
      <c r="K124" t="e">
        <f>VLOOKUP(F124,[1]!china_towns_second__2[[Column1]:[Y]],2,FALSE)</f>
        <v>#N/A</v>
      </c>
      <c r="L124" t="s">
        <v>4249</v>
      </c>
      <c r="M124" t="str">
        <f>VLOOKUP(H124,CHOOSE({1,2},Table11[Native],Table11[Name]),2,0)</f>
        <v>Shānyáng Xiàn</v>
      </c>
      <c r="N124" s="13" t="str">
        <f>VLOOKUP(I124,CHOOSE({1,2},Table11[Native],Table11[Name]),2,0)</f>
        <v>Shāngluò Shì</v>
      </c>
      <c r="O124" s="13" t="str">
        <f t="shared" si="6"/>
        <v>Chengguan Jiedao (Shanyang Xian) (Shāngluò Shì)</v>
      </c>
      <c r="P124" s="13" t="str">
        <f t="shared" si="7"/>
        <v>Chengguan Jiedao (Shanyang Xian) (Shāngluò Shì)</v>
      </c>
    </row>
    <row r="125" spans="1:16" hidden="1" x14ac:dyDescent="0.25">
      <c r="A125" t="s">
        <v>373</v>
      </c>
      <c r="B125" t="str">
        <f t="shared" si="4"/>
        <v>Chéngguān Jiēdào (Tóngchuān Shì)</v>
      </c>
      <c r="C125" t="str">
        <f t="shared" si="5"/>
        <v>Chéngguān Jiēdào (Yìntái Qū)</v>
      </c>
      <c r="D125" t="s">
        <v>374</v>
      </c>
      <c r="E125" t="s">
        <v>113</v>
      </c>
      <c r="F125" t="str">
        <f>_xlfn.CONCAT(D125,", ",H125,", ",I125,", ","陕西省")</f>
        <v>城关街道, 印台区, 铜川市, 陕西省</v>
      </c>
      <c r="G125">
        <v>35185</v>
      </c>
      <c r="H125" t="s">
        <v>3085</v>
      </c>
      <c r="I125" t="s">
        <v>3081</v>
      </c>
      <c r="J125">
        <f>VLOOKUP(F125,[1]!china_towns_second__2[[Column1]:[Y]],3,FALSE)</f>
        <v>35.112178350680402</v>
      </c>
      <c r="K125">
        <f>VLOOKUP(F125,[1]!china_towns_second__2[[Column1]:[Y]],2,FALSE)</f>
        <v>109.09924150000001</v>
      </c>
      <c r="L125" t="s">
        <v>4250</v>
      </c>
      <c r="M125" t="str">
        <f>VLOOKUP(H125,CHOOSE({1,2},Table11[Native],Table11[Name]),2,0)</f>
        <v>Yìntái Qū</v>
      </c>
      <c r="N125" s="13" t="str">
        <f>VLOOKUP(I125,CHOOSE({1,2},Table11[Native],Table11[Name]),2,0)</f>
        <v>Tóngchuān Shì</v>
      </c>
      <c r="O125" s="13" t="str">
        <f t="shared" si="6"/>
        <v>Chengguan Jiedao (Yintai Qu) (Tóngchuān Shì)</v>
      </c>
      <c r="P125" s="13" t="str">
        <f t="shared" si="7"/>
        <v>Chengguan Jiedao (Yintai Qu) (Tóngchuān Shì)</v>
      </c>
    </row>
    <row r="126" spans="1:16" hidden="1" x14ac:dyDescent="0.25">
      <c r="A126" t="s">
        <v>373</v>
      </c>
      <c r="B126" t="str">
        <f t="shared" si="4"/>
        <v>Chéngguān Jiēdào (Tóngchuān Shì)</v>
      </c>
      <c r="C126" t="str">
        <f t="shared" si="5"/>
        <v>Chéngguān Jiēdào (Yíjūn Xiàn)</v>
      </c>
      <c r="D126" t="s">
        <v>1293</v>
      </c>
      <c r="E126" t="s">
        <v>113</v>
      </c>
      <c r="F126" t="str">
        <f>_xlfn.CONCAT(D126,", ",H126,", ",I126,", ","陕西省")</f>
        <v>宜阳街道, 宜君县, 铜川市, 陕西省</v>
      </c>
      <c r="G126">
        <v>20185</v>
      </c>
      <c r="H126" t="s">
        <v>3084</v>
      </c>
      <c r="I126" t="s">
        <v>3081</v>
      </c>
      <c r="J126" t="e">
        <f>VLOOKUP(F126,[1]!china_towns_second__2[[Column1]:[Y]],3,FALSE)</f>
        <v>#N/A</v>
      </c>
      <c r="K126" t="e">
        <f>VLOOKUP(F126,[1]!china_towns_second__2[[Column1]:[Y]],2,FALSE)</f>
        <v>#N/A</v>
      </c>
      <c r="L126" t="s">
        <v>4251</v>
      </c>
      <c r="M126" t="str">
        <f>VLOOKUP(H126,CHOOSE({1,2},Table11[Native],Table11[Name]),2,0)</f>
        <v>Yíjūn Xiàn</v>
      </c>
      <c r="N126" s="13" t="str">
        <f>VLOOKUP(I126,CHOOSE({1,2},Table11[Native],Table11[Name]),2,0)</f>
        <v>Tóngchuān Shì</v>
      </c>
      <c r="O126" s="13" t="str">
        <f t="shared" si="6"/>
        <v>Chengguan Jiedao (Yijun Xian) (Tóngchuān Shì)</v>
      </c>
      <c r="P126" s="13" t="str">
        <f t="shared" si="7"/>
        <v>Chengguan Jiedao (Yijun Xian) (Tóngchuān Shì)</v>
      </c>
    </row>
    <row r="127" spans="1:16" hidden="1" x14ac:dyDescent="0.25">
      <c r="A127" t="s">
        <v>373</v>
      </c>
      <c r="B127" t="str">
        <f t="shared" si="4"/>
        <v>Chéngguān Jiēdào (Wèinán Shì)</v>
      </c>
      <c r="C127" t="str">
        <f t="shared" si="5"/>
        <v>Chéngguān Jiēdào (Héyáng Xiàn)</v>
      </c>
      <c r="D127" t="s">
        <v>374</v>
      </c>
      <c r="E127" t="s">
        <v>113</v>
      </c>
      <c r="F127" t="str">
        <f>_xlfn.CONCAT(D127,", ",H127,", ",I127,", ","陕西省")</f>
        <v>城关街道, 合阳县, 渭南市, 陕西省</v>
      </c>
      <c r="G127">
        <v>82749</v>
      </c>
      <c r="H127" t="s">
        <v>3094</v>
      </c>
      <c r="I127" t="s">
        <v>3087</v>
      </c>
      <c r="J127" t="e">
        <f>VLOOKUP(F127,[1]!china_towns_second__2[[Column1]:[Y]],3,FALSE)</f>
        <v>#N/A</v>
      </c>
      <c r="K127" t="e">
        <f>VLOOKUP(F127,[1]!china_towns_second__2[[Column1]:[Y]],2,FALSE)</f>
        <v>#N/A</v>
      </c>
      <c r="L127" t="s">
        <v>4252</v>
      </c>
      <c r="M127" t="str">
        <f>VLOOKUP(H127,CHOOSE({1,2},Table11[Native],Table11[Name]),2,0)</f>
        <v>Héyáng Xiàn</v>
      </c>
      <c r="N127" s="13" t="str">
        <f>VLOOKUP(I127,CHOOSE({1,2},Table11[Native],Table11[Name]),2,0)</f>
        <v>Wèinán Shì</v>
      </c>
      <c r="O127" s="13" t="str">
        <f t="shared" si="6"/>
        <v>Chengguan Jiedao (Heyang Xian) (Wèinán Shì)</v>
      </c>
      <c r="P127" s="13" t="str">
        <f t="shared" si="7"/>
        <v>Chengguan Jiedao (Heyang Xian) (Wèinán Shì)</v>
      </c>
    </row>
    <row r="128" spans="1:16" hidden="1" x14ac:dyDescent="0.25">
      <c r="A128" t="s">
        <v>373</v>
      </c>
      <c r="B128" t="str">
        <f t="shared" si="4"/>
        <v>Chéngguān Jiēdào (Wèinán Shì)</v>
      </c>
      <c r="C128" t="str">
        <f t="shared" si="5"/>
        <v>Chéngguān Jiēdào (Chéngchéng Xiàn)</v>
      </c>
      <c r="D128" t="s">
        <v>374</v>
      </c>
      <c r="E128" t="s">
        <v>113</v>
      </c>
      <c r="F128" t="str">
        <f>_xlfn.CONCAT(D128,", ",H128,", ",I128,", ","陕西省")</f>
        <v>城关街道, 澄城县, 渭南市, 陕西省</v>
      </c>
      <c r="G128">
        <v>105817</v>
      </c>
      <c r="H128" t="s">
        <v>3089</v>
      </c>
      <c r="I128" t="s">
        <v>3087</v>
      </c>
      <c r="J128" t="e">
        <f>VLOOKUP(F128,[1]!china_towns_second__2[[Column1]:[Y]],3,FALSE)</f>
        <v>#N/A</v>
      </c>
      <c r="K128" t="e">
        <f>VLOOKUP(F128,[1]!china_towns_second__2[[Column1]:[Y]],2,FALSE)</f>
        <v>#N/A</v>
      </c>
      <c r="L128" t="s">
        <v>4253</v>
      </c>
      <c r="M128" t="str">
        <f>VLOOKUP(H128,CHOOSE({1,2},Table11[Native],Table11[Name]),2,0)</f>
        <v>Chéngchéng Xiàn</v>
      </c>
      <c r="N128" s="13" t="str">
        <f>VLOOKUP(I128,CHOOSE({1,2},Table11[Native],Table11[Name]),2,0)</f>
        <v>Wèinán Shì</v>
      </c>
      <c r="O128" s="13" t="str">
        <f t="shared" si="6"/>
        <v>Chengguan Jiedao (Chengcheng Xian) (Wèinán Shì)</v>
      </c>
      <c r="P128" s="13" t="str">
        <f t="shared" si="7"/>
        <v>Chengguan Jiedao (Chengcheng Xian) (Wèinán Shì)</v>
      </c>
    </row>
    <row r="129" spans="1:16" hidden="1" x14ac:dyDescent="0.25">
      <c r="A129" t="s">
        <v>373</v>
      </c>
      <c r="B129" t="str">
        <f t="shared" si="4"/>
        <v>Chéngguān Jiēdào (Xiányáng Shì)</v>
      </c>
      <c r="C129" t="str">
        <f t="shared" si="5"/>
        <v>Chéngguān Jiēdào (Bīnzhōu Shì)</v>
      </c>
      <c r="D129" t="s">
        <v>374</v>
      </c>
      <c r="E129" t="s">
        <v>113</v>
      </c>
      <c r="F129" t="str">
        <f>_xlfn.CONCAT(D129,", ",H129,", ",I129,", ","陕西省")</f>
        <v>城关街道, 彬州市, 咸阳市, 陕西省</v>
      </c>
      <c r="G129">
        <v>81787</v>
      </c>
      <c r="H129" t="s">
        <v>3118</v>
      </c>
      <c r="I129" t="s">
        <v>3117</v>
      </c>
      <c r="J129" t="e">
        <f>VLOOKUP(F129,[1]!china_towns_second__2[[Column1]:[Y]],3,FALSE)</f>
        <v>#N/A</v>
      </c>
      <c r="K129" t="e">
        <f>VLOOKUP(F129,[1]!china_towns_second__2[[Column1]:[Y]],2,FALSE)</f>
        <v>#N/A</v>
      </c>
      <c r="L129" t="s">
        <v>4254</v>
      </c>
      <c r="M129" t="str">
        <f>VLOOKUP(H129,CHOOSE({1,2},Table11[Native],Table11[Name]),2,0)</f>
        <v>Bīnzhōu Shì</v>
      </c>
      <c r="N129" s="13" t="str">
        <f>VLOOKUP(I129,CHOOSE({1,2},Table11[Native],Table11[Name]),2,0)</f>
        <v>Xiányáng Shì</v>
      </c>
      <c r="O129" s="13" t="str">
        <f t="shared" si="6"/>
        <v>Chengguan Jiedao (Binzhou Shi) (Xiányáng Shì)</v>
      </c>
      <c r="P129" s="13" t="str">
        <f t="shared" si="7"/>
        <v>Chengguan Jiedao (Binzhou Shi) (Xiányáng Shì)</v>
      </c>
    </row>
    <row r="130" spans="1:16" hidden="1" x14ac:dyDescent="0.25">
      <c r="A130" t="s">
        <v>373</v>
      </c>
      <c r="B130" t="str">
        <f t="shared" ref="B130:B193" si="8">IF(COUNTIF(A:A,A130)&gt;1,_xlfn.CONCAT(A130," (",N130,")"),A130)</f>
        <v>Chéngguān Jiēdào (Xiányáng Shì)</v>
      </c>
      <c r="C130" t="str">
        <f t="shared" ref="C130:C193" si="9">IF(COUNTIF(B:B,B130)&gt;1,_xlfn.CONCAT(A130," (",M130,")"),B130)</f>
        <v>Chéngguān Jiēdào (Xúnyì Xiàn)</v>
      </c>
      <c r="D130" t="s">
        <v>374</v>
      </c>
      <c r="E130" t="s">
        <v>113</v>
      </c>
      <c r="F130" t="str">
        <f>_xlfn.CONCAT(D130,", ",H130,", ",I130,", ","陕西省")</f>
        <v>城关街道, 旬邑县, 咸阳市, 陕西省</v>
      </c>
      <c r="G130">
        <v>32451</v>
      </c>
      <c r="H130" t="s">
        <v>3129</v>
      </c>
      <c r="I130" t="s">
        <v>3117</v>
      </c>
      <c r="J130" t="e">
        <f>VLOOKUP(F130,[1]!china_towns_second__2[[Column1]:[Y]],3,FALSE)</f>
        <v>#N/A</v>
      </c>
      <c r="K130" t="e">
        <f>VLOOKUP(F130,[1]!china_towns_second__2[[Column1]:[Y]],2,FALSE)</f>
        <v>#N/A</v>
      </c>
      <c r="L130" t="s">
        <v>4255</v>
      </c>
      <c r="M130" t="str">
        <f>VLOOKUP(H130,CHOOSE({1,2},Table11[Native],Table11[Name]),2,0)</f>
        <v>Xúnyì Xiàn</v>
      </c>
      <c r="N130" s="13" t="str">
        <f>VLOOKUP(I130,CHOOSE({1,2},Table11[Native],Table11[Name]),2,0)</f>
        <v>Xiányáng Shì</v>
      </c>
      <c r="O130" s="13" t="str">
        <f t="shared" ref="O130:O193" si="10">_xlfn.CONCAT(L130," (",N130,")")</f>
        <v>Chengguan Jiedao (Xunyi Xian) (Xiányáng Shì)</v>
      </c>
      <c r="P130" s="13" t="str">
        <f t="shared" ref="P130:P193" si="11">IF(COUNTIF(O:O,O130)&gt;1,_xlfn.CONCAT(L130," (",M130,")"),O130)</f>
        <v>Chengguan Jiedao (Xunyi Xian) (Xiányáng Shì)</v>
      </c>
    </row>
    <row r="131" spans="1:16" hidden="1" x14ac:dyDescent="0.25">
      <c r="A131" t="s">
        <v>373</v>
      </c>
      <c r="B131" t="str">
        <f t="shared" si="8"/>
        <v>Chéngguān Jiēdào (Xiányáng Shì)</v>
      </c>
      <c r="C131" t="str">
        <f t="shared" si="9"/>
        <v>Chéngguān Jiēdào (Chúnhuà Xiàn)</v>
      </c>
      <c r="D131" t="s">
        <v>374</v>
      </c>
      <c r="E131" t="s">
        <v>113</v>
      </c>
      <c r="F131" t="str">
        <f>_xlfn.CONCAT(D131,", ",H131,", ",I131,", ","陕西省")</f>
        <v>城关街道, 淳化县, 咸阳市, 陕西省</v>
      </c>
      <c r="G131">
        <v>32419</v>
      </c>
      <c r="H131" t="s">
        <v>3120</v>
      </c>
      <c r="I131" t="s">
        <v>3117</v>
      </c>
      <c r="J131" t="e">
        <f>VLOOKUP(F131,[1]!china_towns_second__2[[Column1]:[Y]],3,FALSE)</f>
        <v>#N/A</v>
      </c>
      <c r="K131" t="e">
        <f>VLOOKUP(F131,[1]!china_towns_second__2[[Column1]:[Y]],2,FALSE)</f>
        <v>#N/A</v>
      </c>
      <c r="L131" t="s">
        <v>4256</v>
      </c>
      <c r="M131" t="str">
        <f>VLOOKUP(H131,CHOOSE({1,2},Table11[Native],Table11[Name]),2,0)</f>
        <v>Chúnhuà Xiàn</v>
      </c>
      <c r="N131" s="13" t="str">
        <f>VLOOKUP(I131,CHOOSE({1,2},Table11[Native],Table11[Name]),2,0)</f>
        <v>Xiányáng Shì</v>
      </c>
      <c r="O131" s="13" t="str">
        <f t="shared" si="10"/>
        <v>Chengguan Jiedao (Chunhua Xian) (Xiányáng Shì)</v>
      </c>
      <c r="P131" s="13" t="str">
        <f t="shared" si="11"/>
        <v>Chengguan Jiedao (Chunhua Xian) (Xiányáng Shì)</v>
      </c>
    </row>
    <row r="132" spans="1:16" hidden="1" x14ac:dyDescent="0.25">
      <c r="A132" t="s">
        <v>2651</v>
      </c>
      <c r="B132" t="str">
        <f t="shared" si="8"/>
        <v>Chéngguān Jiēdào [Héngshān Zhèn]</v>
      </c>
      <c r="C132" t="str">
        <f t="shared" si="9"/>
        <v>Chéngguān Jiēdào [Héngshān Zhèn]</v>
      </c>
      <c r="D132" t="s">
        <v>374</v>
      </c>
      <c r="E132" t="s">
        <v>113</v>
      </c>
      <c r="F132" t="str">
        <f>_xlfn.CONCAT(D132,", ",H132,", ",I132,", ","陕西省")</f>
        <v>城关街道, 横山区, 榆林市, 陕西省</v>
      </c>
      <c r="G132">
        <v>86246</v>
      </c>
      <c r="H132" t="s">
        <v>3151</v>
      </c>
      <c r="I132" t="s">
        <v>3148</v>
      </c>
      <c r="J132" t="e">
        <f>VLOOKUP(F132,[1]!china_towns_second__2[[Column1]:[Y]],3,FALSE)</f>
        <v>#N/A</v>
      </c>
      <c r="K132" t="e">
        <f>VLOOKUP(F132,[1]!china_towns_second__2[[Column1]:[Y]],2,FALSE)</f>
        <v>#N/A</v>
      </c>
      <c r="L132" t="s">
        <v>4257</v>
      </c>
      <c r="M132" t="str">
        <f>VLOOKUP(H132,CHOOSE({1,2},Table11[Native],Table11[Name]),2,0)</f>
        <v>Héngshān Qū</v>
      </c>
      <c r="N132" s="13" t="str">
        <f>VLOOKUP(I132,CHOOSE({1,2},Table11[Native],Table11[Name]),2,0)</f>
        <v>Yúlín Shì</v>
      </c>
      <c r="O132" s="13" t="str">
        <f t="shared" si="10"/>
        <v>Chengguan Jiedao [Hengshan Zhen] (Yúlín Shì)</v>
      </c>
      <c r="P132" s="13" t="str">
        <f t="shared" si="11"/>
        <v>Chengguan Jiedao [Hengshan Zhen] (Yúlín Shì)</v>
      </c>
    </row>
    <row r="133" spans="1:16" hidden="1" x14ac:dyDescent="0.25">
      <c r="A133" t="s">
        <v>1398</v>
      </c>
      <c r="B133" t="str">
        <f t="shared" si="8"/>
        <v>Chéngguān Jiēdào [incl. Ānlè Xiāng]</v>
      </c>
      <c r="C133" t="str">
        <f t="shared" si="9"/>
        <v>Chéngguān Jiēdào [incl. Ānlè Xiāng]</v>
      </c>
      <c r="D133" t="s">
        <v>374</v>
      </c>
      <c r="E133" t="s">
        <v>113</v>
      </c>
      <c r="F133" t="str">
        <f>_xlfn.CONCAT(D133,", ",H133,", ",I133,", ","陕西省")</f>
        <v>城关街道, 潼关县, 渭南市, 陕西省</v>
      </c>
      <c r="G133">
        <v>60721</v>
      </c>
      <c r="H133" t="s">
        <v>3099</v>
      </c>
      <c r="I133" t="s">
        <v>3087</v>
      </c>
      <c r="J133" t="e">
        <f>VLOOKUP(F133,[1]!china_towns_second__2[[Column1]:[Y]],3,FALSE)</f>
        <v>#N/A</v>
      </c>
      <c r="K133" t="e">
        <f>VLOOKUP(F133,[1]!china_towns_second__2[[Column1]:[Y]],2,FALSE)</f>
        <v>#N/A</v>
      </c>
      <c r="L133" t="s">
        <v>4258</v>
      </c>
      <c r="M133" t="str">
        <f>VLOOKUP(H133,CHOOSE({1,2},Table11[Native],Table11[Name]),2,0)</f>
        <v>Tóngguān Xiàn</v>
      </c>
      <c r="N133" s="13" t="str">
        <f>VLOOKUP(I133,CHOOSE({1,2},Table11[Native],Table11[Name]),2,0)</f>
        <v>Wèinán Shì</v>
      </c>
      <c r="O133" s="13" t="str">
        <f t="shared" si="10"/>
        <v>Chengguan Jiedao [incl. Anle Xiang] (Wèinán Shì)</v>
      </c>
      <c r="P133" s="13" t="str">
        <f t="shared" si="11"/>
        <v>Chengguan Jiedao [incl. Anle Xiang] (Wèinán Shì)</v>
      </c>
    </row>
    <row r="134" spans="1:16" hidden="1" x14ac:dyDescent="0.25">
      <c r="A134" t="s">
        <v>1068</v>
      </c>
      <c r="B134" t="str">
        <f t="shared" si="8"/>
        <v>Chéngguān Jiēdào [incl. Dăngmă Xiāng]</v>
      </c>
      <c r="C134" t="str">
        <f t="shared" si="9"/>
        <v>Chéngguān Jiēdào [incl. Dăngmă Xiāng]</v>
      </c>
      <c r="D134" t="s">
        <v>374</v>
      </c>
      <c r="E134" t="s">
        <v>113</v>
      </c>
      <c r="F134" t="str">
        <f>_xlfn.CONCAT(D134,", ",H134,", ",I134,", ","陕西省")</f>
        <v>城关街道, 商南县, 商洛市, 陕西省</v>
      </c>
      <c r="G134">
        <v>67463</v>
      </c>
      <c r="H134" t="s">
        <v>3075</v>
      </c>
      <c r="I134" t="s">
        <v>3072</v>
      </c>
      <c r="J134" t="e">
        <f>VLOOKUP(F134,[1]!china_towns_second__2[[Column1]:[Y]],3,FALSE)</f>
        <v>#N/A</v>
      </c>
      <c r="K134" t="e">
        <f>VLOOKUP(F134,[1]!china_towns_second__2[[Column1]:[Y]],2,FALSE)</f>
        <v>#N/A</v>
      </c>
      <c r="L134" t="s">
        <v>4259</v>
      </c>
      <c r="M134" t="str">
        <f>VLOOKUP(H134,CHOOSE({1,2},Table11[Native],Table11[Name]),2,0)</f>
        <v>Shāngnán Xiàn</v>
      </c>
      <c r="N134" s="13" t="str">
        <f>VLOOKUP(I134,CHOOSE({1,2},Table11[Native],Table11[Name]),2,0)</f>
        <v>Shāngluò Shì</v>
      </c>
      <c r="O134" s="13" t="str">
        <f t="shared" si="10"/>
        <v>Chengguan Jiedao [incl. Dangma Xiang] (Shāngluò Shì)</v>
      </c>
      <c r="P134" s="13" t="str">
        <f t="shared" si="11"/>
        <v>Chengguan Jiedao [incl. Dangma Xiang] (Shāngluò Shì)</v>
      </c>
    </row>
    <row r="135" spans="1:16" hidden="1" x14ac:dyDescent="0.25">
      <c r="A135" t="s">
        <v>1401</v>
      </c>
      <c r="B135" t="str">
        <f t="shared" si="8"/>
        <v>Chéngguān Jiēdào [incl. Dùcūn Zhèn, Huázhū Xiāng, Dōngshàngguān Xiāng]</v>
      </c>
      <c r="C135" t="str">
        <f t="shared" si="9"/>
        <v>Chéngguān Jiēdào [incl. Dùcūn Zhèn, Huázhū Xiāng, Dōngshàngguān Xiāng]</v>
      </c>
      <c r="D135" t="s">
        <v>374</v>
      </c>
      <c r="E135" t="s">
        <v>113</v>
      </c>
      <c r="F135" t="str">
        <f>_xlfn.CONCAT(D135,", ",H135,", ",I135,", ","陕西省")</f>
        <v>城关街道, 富平县, 渭南市, 陕西省</v>
      </c>
      <c r="G135">
        <v>131201</v>
      </c>
      <c r="H135" t="s">
        <v>3091</v>
      </c>
      <c r="I135" t="s">
        <v>3087</v>
      </c>
      <c r="J135" t="e">
        <f>VLOOKUP(F135,[1]!china_towns_second__2[[Column1]:[Y]],3,FALSE)</f>
        <v>#N/A</v>
      </c>
      <c r="K135" t="e">
        <f>VLOOKUP(F135,[1]!china_towns_second__2[[Column1]:[Y]],2,FALSE)</f>
        <v>#N/A</v>
      </c>
      <c r="L135" t="s">
        <v>4260</v>
      </c>
      <c r="M135" t="str">
        <f>VLOOKUP(H135,CHOOSE({1,2},Table11[Native],Table11[Name]),2,0)</f>
        <v>Fùpíng Xiàn</v>
      </c>
      <c r="N135" s="13" t="str">
        <f>VLOOKUP(I135,CHOOSE({1,2},Table11[Native],Table11[Name]),2,0)</f>
        <v>Wèinán Shì</v>
      </c>
      <c r="O135" s="13" t="str">
        <f t="shared" si="10"/>
        <v>Chengguan Jiedao [incl. Ducun Zhen, Huazhu Xiang, Dongshangguan Xiang] (Wèinán Shì)</v>
      </c>
      <c r="P135" s="13" t="str">
        <f t="shared" si="11"/>
        <v>Chengguan Jiedao [incl. Ducun Zhen, Huazhu Xiang, Dongshangguan Xiang] (Wèinán Shì)</v>
      </c>
    </row>
    <row r="136" spans="1:16" hidden="1" x14ac:dyDescent="0.25">
      <c r="A136" t="s">
        <v>1400</v>
      </c>
      <c r="B136" t="str">
        <f t="shared" si="8"/>
        <v>Chéngguān Jiēdào [incl. Féngléi Zhèn]</v>
      </c>
      <c r="C136" t="str">
        <f t="shared" si="9"/>
        <v>Chéngguān Jiēdào [incl. Féngléi Zhèn]</v>
      </c>
      <c r="D136" t="s">
        <v>374</v>
      </c>
      <c r="E136" t="s">
        <v>113</v>
      </c>
      <c r="F136" t="str">
        <f>_xlfn.CONCAT(D136,", ",H136,", ",I136,", ","陕西省")</f>
        <v>城关街道, 白水县, 渭南市, 陕西省</v>
      </c>
      <c r="G136">
        <v>90516</v>
      </c>
      <c r="H136" t="s">
        <v>3088</v>
      </c>
      <c r="I136" t="s">
        <v>3087</v>
      </c>
      <c r="J136" t="e">
        <f>VLOOKUP(F136,[1]!china_towns_second__2[[Column1]:[Y]],3,FALSE)</f>
        <v>#N/A</v>
      </c>
      <c r="K136" t="e">
        <f>VLOOKUP(F136,[1]!china_towns_second__2[[Column1]:[Y]],2,FALSE)</f>
        <v>#N/A</v>
      </c>
      <c r="L136" t="s">
        <v>4261</v>
      </c>
      <c r="M136" t="str">
        <f>VLOOKUP(H136,CHOOSE({1,2},Table11[Native],Table11[Name]),2,0)</f>
        <v>Báishuĭ Xiàn</v>
      </c>
      <c r="N136" s="13" t="str">
        <f>VLOOKUP(I136,CHOOSE({1,2},Table11[Native],Table11[Name]),2,0)</f>
        <v>Wèinán Shì</v>
      </c>
      <c r="O136" s="13" t="str">
        <f t="shared" si="10"/>
        <v>Chengguan Jiedao [incl. Fenglei Zhen] (Wèinán Shì)</v>
      </c>
      <c r="P136" s="13" t="str">
        <f t="shared" si="11"/>
        <v>Chengguan Jiedao [incl. Fenglei Zhen] (Wèinán Shì)</v>
      </c>
    </row>
    <row r="137" spans="1:16" hidden="1" x14ac:dyDescent="0.25">
      <c r="A137" t="s">
        <v>1723</v>
      </c>
      <c r="B137" t="str">
        <f t="shared" si="8"/>
        <v>Chéngguān Jiēdào [incl. Gāoqú Xiāng]</v>
      </c>
      <c r="C137" t="str">
        <f t="shared" si="9"/>
        <v>Chéngguān Jiēdào [incl. Gāoqú Xiāng]</v>
      </c>
      <c r="D137" t="s">
        <v>374</v>
      </c>
      <c r="E137" t="s">
        <v>113</v>
      </c>
      <c r="F137" t="str">
        <f>_xlfn.CONCAT(D137,", ",H137,", ",I137,", ","陕西省")</f>
        <v>城关街道, 三原县, 咸阳市, 陕西省</v>
      </c>
      <c r="G137">
        <v>128520</v>
      </c>
      <c r="H137" t="s">
        <v>3125</v>
      </c>
      <c r="I137" t="s">
        <v>3117</v>
      </c>
      <c r="J137" t="e">
        <f>VLOOKUP(F137,[1]!china_towns_second__2[[Column1]:[Y]],3,FALSE)</f>
        <v>#N/A</v>
      </c>
      <c r="K137" t="e">
        <f>VLOOKUP(F137,[1]!china_towns_second__2[[Column1]:[Y]],2,FALSE)</f>
        <v>#N/A</v>
      </c>
      <c r="L137" t="s">
        <v>4262</v>
      </c>
      <c r="M137" t="str">
        <f>VLOOKUP(H137,CHOOSE({1,2},Table11[Native],Table11[Name]),2,0)</f>
        <v>Sānyuán Xiàn</v>
      </c>
      <c r="N137" s="13" t="str">
        <f>VLOOKUP(I137,CHOOSE({1,2},Table11[Native],Table11[Name]),2,0)</f>
        <v>Xiányáng Shì</v>
      </c>
      <c r="O137" s="13" t="str">
        <f t="shared" si="10"/>
        <v>Chengguan Jiedao [incl. Gaoqu Xiang] (Xiányáng Shì)</v>
      </c>
      <c r="P137" s="13" t="str">
        <f t="shared" si="11"/>
        <v>Chengguan Jiedao [incl. Gaoqu Xiang] (Xiányáng Shì)</v>
      </c>
    </row>
    <row r="138" spans="1:16" hidden="1" x14ac:dyDescent="0.25">
      <c r="A138" t="s">
        <v>1725</v>
      </c>
      <c r="B138" t="str">
        <f t="shared" si="8"/>
        <v>Chéngguān Jiēdào [incl. Mòxī Xiāng]</v>
      </c>
      <c r="C138" t="str">
        <f t="shared" si="9"/>
        <v>Chéngguān Jiēdào [incl. Mòxī Xiāng]</v>
      </c>
      <c r="D138" t="s">
        <v>374</v>
      </c>
      <c r="E138" t="s">
        <v>113</v>
      </c>
      <c r="F138" t="str">
        <f>_xlfn.CONCAT(D138,", ",H138,", ",I138,", ","陕西省")</f>
        <v>城关街道, 乾县, 咸阳市, 陕西省</v>
      </c>
      <c r="G138">
        <v>110483</v>
      </c>
      <c r="H138" t="s">
        <v>3123</v>
      </c>
      <c r="I138" t="s">
        <v>3117</v>
      </c>
      <c r="J138" t="e">
        <f>VLOOKUP(F138,[1]!china_towns_second__2[[Column1]:[Y]],3,FALSE)</f>
        <v>#N/A</v>
      </c>
      <c r="K138" t="e">
        <f>VLOOKUP(F138,[1]!china_towns_second__2[[Column1]:[Y]],2,FALSE)</f>
        <v>#N/A</v>
      </c>
      <c r="L138" t="s">
        <v>4263</v>
      </c>
      <c r="M138" t="str">
        <f>VLOOKUP(H138,CHOOSE({1,2},Table11[Native],Table11[Name]),2,0)</f>
        <v>Qián Xiàn</v>
      </c>
      <c r="N138" s="13" t="str">
        <f>VLOOKUP(I138,CHOOSE({1,2},Table11[Native],Table11[Name]),2,0)</f>
        <v>Xiányáng Shì</v>
      </c>
      <c r="O138" s="13" t="str">
        <f t="shared" si="10"/>
        <v>Chengguan Jiedao [incl. Moxi Xiang] (Xiányáng Shì)</v>
      </c>
      <c r="P138" s="13" t="str">
        <f t="shared" si="11"/>
        <v>Chengguan Jiedao [incl. Moxi Xiang] (Xiányáng Shì)</v>
      </c>
    </row>
    <row r="139" spans="1:16" hidden="1" x14ac:dyDescent="0.25">
      <c r="A139" t="s">
        <v>1727</v>
      </c>
      <c r="B139" t="str">
        <f t="shared" si="8"/>
        <v>Chéngguān Jiēdào [incl. Yàowángdòng Xiāng, Xīnshí Xiāng]</v>
      </c>
      <c r="C139" t="str">
        <f t="shared" si="9"/>
        <v>Chéngguān Jiēdào [incl. Yàowángdòng Xiāng, Xīnshí Xiāng]</v>
      </c>
      <c r="D139" t="s">
        <v>374</v>
      </c>
      <c r="E139" t="s">
        <v>113</v>
      </c>
      <c r="F139" t="str">
        <f>_xlfn.CONCAT(D139,", ",H139,", ",I139,", ","陕西省")</f>
        <v>城关街道, 礼泉县, 咸阳市, 陕西省</v>
      </c>
      <c r="G139">
        <v>136285</v>
      </c>
      <c r="H139" t="s">
        <v>3122</v>
      </c>
      <c r="I139" t="s">
        <v>3117</v>
      </c>
      <c r="J139" t="e">
        <f>VLOOKUP(F139,[1]!china_towns_second__2[[Column1]:[Y]],3,FALSE)</f>
        <v>#N/A</v>
      </c>
      <c r="K139" t="e">
        <f>VLOOKUP(F139,[1]!china_towns_second__2[[Column1]:[Y]],2,FALSE)</f>
        <v>#N/A</v>
      </c>
      <c r="L139" t="s">
        <v>4264</v>
      </c>
      <c r="M139" t="str">
        <f>VLOOKUP(H139,CHOOSE({1,2},Table11[Native],Table11[Name]),2,0)</f>
        <v>Lĭquán Xiàn</v>
      </c>
      <c r="N139" s="13" t="str">
        <f>VLOOKUP(I139,CHOOSE({1,2},Table11[Native],Table11[Name]),2,0)</f>
        <v>Xiányáng Shì</v>
      </c>
      <c r="O139" s="13" t="str">
        <f t="shared" si="10"/>
        <v>Chengguan Jiedao [incl. Yaowangdong Xiang, Xinshi Xiang] (Xiányáng Shì)</v>
      </c>
      <c r="P139" s="13" t="str">
        <f t="shared" si="11"/>
        <v>Chengguan Jiedao [incl. Yaowangdong Xiang, Xinshi Xiang] (Xiányáng Shì)</v>
      </c>
    </row>
    <row r="140" spans="1:16" hidden="1" x14ac:dyDescent="0.25">
      <c r="A140" t="s">
        <v>32</v>
      </c>
      <c r="B140" t="str">
        <f t="shared" si="8"/>
        <v>Chéngguān Zhèn (Ānkāng Shì)</v>
      </c>
      <c r="C140" t="str">
        <f t="shared" si="9"/>
        <v>Chéngguān Zhèn (Hànyīn Xiàn)</v>
      </c>
      <c r="D140" t="s">
        <v>33</v>
      </c>
      <c r="E140" t="s">
        <v>7</v>
      </c>
      <c r="F140" t="str">
        <f>_xlfn.CONCAT(D140,", ",H140,", ",I140,", ","陕西省")</f>
        <v>城关镇, 汉阴县, 安康市, 陕西省</v>
      </c>
      <c r="G140">
        <v>66926</v>
      </c>
      <c r="H140" t="s">
        <v>3036</v>
      </c>
      <c r="I140" t="s">
        <v>3031</v>
      </c>
      <c r="J140">
        <f>VLOOKUP(F140,[1]!china_towns_second__2[[Column1]:[Y]],3,FALSE)</f>
        <v>32.869130880667498</v>
      </c>
      <c r="K140">
        <f>VLOOKUP(F140,[1]!china_towns_second__2[[Column1]:[Y]],2,FALSE)</f>
        <v>108.4941443</v>
      </c>
      <c r="L140" t="s">
        <v>4265</v>
      </c>
      <c r="M140" t="str">
        <f>VLOOKUP(H140,CHOOSE({1,2},Table11[Native],Table11[Name]),2,0)</f>
        <v>Hànyīn Xiàn</v>
      </c>
      <c r="N140" s="13" t="str">
        <f>VLOOKUP(I140,CHOOSE({1,2},Table11[Native],Table11[Name]),2,0)</f>
        <v>Ānkāng Shì</v>
      </c>
      <c r="O140" s="13" t="str">
        <f t="shared" si="10"/>
        <v>Chengguan Zhen (Hanyin Xian) (Ānkāng Shì)</v>
      </c>
      <c r="P140" s="13" t="str">
        <f t="shared" si="11"/>
        <v>Chengguan Zhen (Hanyin Xian) (Ānkāng Shì)</v>
      </c>
    </row>
    <row r="141" spans="1:16" hidden="1" x14ac:dyDescent="0.25">
      <c r="A141" t="s">
        <v>32</v>
      </c>
      <c r="B141" t="str">
        <f t="shared" si="8"/>
        <v>Chéngguān Zhèn (Ānkāng Shì)</v>
      </c>
      <c r="C141" t="str">
        <f t="shared" si="9"/>
        <v>Chéngguān Zhèn (Shíquán Xiàn)</v>
      </c>
      <c r="D141" t="s">
        <v>33</v>
      </c>
      <c r="E141" t="s">
        <v>7</v>
      </c>
      <c r="F141" t="str">
        <f>_xlfn.CONCAT(D141,", ",H141,", ",I141,", ","陕西省")</f>
        <v>城关镇, 石泉县, 安康市, 陕西省</v>
      </c>
      <c r="G141">
        <v>53422</v>
      </c>
      <c r="H141" t="s">
        <v>3040</v>
      </c>
      <c r="I141" t="s">
        <v>3031</v>
      </c>
      <c r="J141">
        <f>VLOOKUP(F141,[1]!china_towns_second__2[[Column1]:[Y]],3,FALSE)</f>
        <v>33.068065942599702</v>
      </c>
      <c r="K141">
        <f>VLOOKUP(F141,[1]!china_towns_second__2[[Column1]:[Y]],2,FALSE)</f>
        <v>108.236222</v>
      </c>
      <c r="L141" t="s">
        <v>4266</v>
      </c>
      <c r="M141" t="str">
        <f>VLOOKUP(H141,CHOOSE({1,2},Table11[Native],Table11[Name]),2,0)</f>
        <v>Shíquán Xiàn</v>
      </c>
      <c r="N141" s="13" t="str">
        <f>VLOOKUP(I141,CHOOSE({1,2},Table11[Native],Table11[Name]),2,0)</f>
        <v>Ānkāng Shì</v>
      </c>
      <c r="O141" s="13" t="str">
        <f t="shared" si="10"/>
        <v>Chengguan Zhen (Shiquan Xian) (Ānkāng Shì)</v>
      </c>
      <c r="P141" s="13" t="str">
        <f t="shared" si="11"/>
        <v>Chengguan Zhen (Shiquan Xian) (Ānkāng Shì)</v>
      </c>
    </row>
    <row r="142" spans="1:16" hidden="1" x14ac:dyDescent="0.25">
      <c r="A142" t="s">
        <v>32</v>
      </c>
      <c r="B142" t="str">
        <f t="shared" si="8"/>
        <v>Chéngguān Zhèn (Ānkāng Shì)</v>
      </c>
      <c r="C142" t="str">
        <f t="shared" si="9"/>
        <v>Chéngguān Zhèn (Níngshăn Xiàn)</v>
      </c>
      <c r="D142" t="s">
        <v>33</v>
      </c>
      <c r="E142" t="s">
        <v>7</v>
      </c>
      <c r="F142" t="str">
        <f>_xlfn.CONCAT(D142,", ",H142,", ",I142,", ","陕西省")</f>
        <v>城关镇, 宁陕县, 安康市, 陕西省</v>
      </c>
      <c r="G142">
        <v>20515</v>
      </c>
      <c r="H142" t="s">
        <v>3038</v>
      </c>
      <c r="I142" t="s">
        <v>3031</v>
      </c>
      <c r="J142">
        <f>VLOOKUP(F142,[1]!china_towns_second__2[[Column1]:[Y]],3,FALSE)</f>
        <v>33.3967691728879</v>
      </c>
      <c r="K142">
        <f>VLOOKUP(F142,[1]!china_towns_second__2[[Column1]:[Y]],2,FALSE)</f>
        <v>108.4046677</v>
      </c>
      <c r="L142" t="s">
        <v>4267</v>
      </c>
      <c r="M142" t="str">
        <f>VLOOKUP(H142,CHOOSE({1,2},Table11[Native],Table11[Name]),2,0)</f>
        <v>Níngshăn Xiàn</v>
      </c>
      <c r="N142" s="13" t="str">
        <f>VLOOKUP(I142,CHOOSE({1,2},Table11[Native],Table11[Name]),2,0)</f>
        <v>Ānkāng Shì</v>
      </c>
      <c r="O142" s="13" t="str">
        <f t="shared" si="10"/>
        <v>Chengguan Zhen (Ningshan Xian) (Ānkāng Shì)</v>
      </c>
      <c r="P142" s="13" t="str">
        <f t="shared" si="11"/>
        <v>Chengguan Zhen (Ningshan Xian) (Ānkāng Shì)</v>
      </c>
    </row>
    <row r="143" spans="1:16" hidden="1" x14ac:dyDescent="0.25">
      <c r="A143" t="s">
        <v>32</v>
      </c>
      <c r="B143" t="str">
        <f t="shared" si="8"/>
        <v>Chéngguān Zhèn (Ānkāng Shì)</v>
      </c>
      <c r="C143" t="str">
        <f t="shared" si="9"/>
        <v>Chéngguān Zhèn (Zĭyáng Xiàn)</v>
      </c>
      <c r="D143" t="s">
        <v>33</v>
      </c>
      <c r="E143" t="s">
        <v>7</v>
      </c>
      <c r="F143" t="str">
        <f>_xlfn.CONCAT(D143,", ",H143,", ",I143,", ","陕西省")</f>
        <v>城关镇, 紫阳县, 安康市, 陕西省</v>
      </c>
      <c r="G143">
        <v>35496</v>
      </c>
      <c r="H143" t="s">
        <v>3043</v>
      </c>
      <c r="I143" t="s">
        <v>3031</v>
      </c>
      <c r="J143">
        <f>VLOOKUP(F143,[1]!china_towns_second__2[[Column1]:[Y]],3,FALSE)</f>
        <v>32.536207026524202</v>
      </c>
      <c r="K143">
        <f>VLOOKUP(F143,[1]!china_towns_second__2[[Column1]:[Y]],2,FALSE)</f>
        <v>108.5196534</v>
      </c>
      <c r="L143" t="s">
        <v>4268</v>
      </c>
      <c r="M143" t="str">
        <f>VLOOKUP(H143,CHOOSE({1,2},Table11[Native],Table11[Name]),2,0)</f>
        <v>Zĭyáng Xiàn</v>
      </c>
      <c r="N143" s="13" t="str">
        <f>VLOOKUP(I143,CHOOSE({1,2},Table11[Native],Table11[Name]),2,0)</f>
        <v>Ānkāng Shì</v>
      </c>
      <c r="O143" s="13" t="str">
        <f t="shared" si="10"/>
        <v>Chengguan Zhen (Ziyang Xian) (Ānkāng Shì)</v>
      </c>
      <c r="P143" s="13" t="str">
        <f t="shared" si="11"/>
        <v>Chengguan Zhen (Ziyang Xian) (Ānkāng Shì)</v>
      </c>
    </row>
    <row r="144" spans="1:16" hidden="1" x14ac:dyDescent="0.25">
      <c r="A144" t="s">
        <v>32</v>
      </c>
      <c r="B144" t="str">
        <f t="shared" si="8"/>
        <v>Chéngguān Zhèn (Ānkāng Shì)</v>
      </c>
      <c r="C144" t="str">
        <f t="shared" si="9"/>
        <v>Chéngguān Zhèn (Lángāo Xiàn)</v>
      </c>
      <c r="D144" t="s">
        <v>33</v>
      </c>
      <c r="E144" t="s">
        <v>7</v>
      </c>
      <c r="F144" t="str">
        <f>_xlfn.CONCAT(D144,", ",H144,", ",I144,", ","陕西省")</f>
        <v>城关镇, 岚皋县, 安康市, 陕西省</v>
      </c>
      <c r="G144">
        <v>35348</v>
      </c>
      <c r="H144" t="s">
        <v>3037</v>
      </c>
      <c r="I144" t="s">
        <v>3031</v>
      </c>
      <c r="J144">
        <f>VLOOKUP(F144,[1]!china_towns_second__2[[Column1]:[Y]],3,FALSE)</f>
        <v>32.341567103207304</v>
      </c>
      <c r="K144">
        <f>VLOOKUP(F144,[1]!china_towns_second__2[[Column1]:[Y]],2,FALSE)</f>
        <v>108.883712</v>
      </c>
      <c r="L144" t="s">
        <v>4269</v>
      </c>
      <c r="M144" t="str">
        <f>VLOOKUP(H144,CHOOSE({1,2},Table11[Native],Table11[Name]),2,0)</f>
        <v>Lángāo Xiàn</v>
      </c>
      <c r="N144" s="13" t="str">
        <f>VLOOKUP(I144,CHOOSE({1,2},Table11[Native],Table11[Name]),2,0)</f>
        <v>Ānkāng Shì</v>
      </c>
      <c r="O144" s="13" t="str">
        <f t="shared" si="10"/>
        <v>Chengguan Zhen (Langao Xian) (Ānkāng Shì)</v>
      </c>
      <c r="P144" s="13" t="str">
        <f t="shared" si="11"/>
        <v>Chengguan Zhen (Langao Xian) (Ānkāng Shì)</v>
      </c>
    </row>
    <row r="145" spans="1:16" hidden="1" x14ac:dyDescent="0.25">
      <c r="A145" t="s">
        <v>32</v>
      </c>
      <c r="B145" t="str">
        <f t="shared" si="8"/>
        <v>Chéngguān Zhèn (Ānkāng Shì)</v>
      </c>
      <c r="C145" t="str">
        <f t="shared" si="9"/>
        <v>Chéngguān Zhèn (Pínglì Xiàn)</v>
      </c>
      <c r="D145" t="s">
        <v>33</v>
      </c>
      <c r="E145" t="s">
        <v>7</v>
      </c>
      <c r="F145" t="str">
        <f>_xlfn.CONCAT(D145,", ",H145,", ",I145,", ","陕西省")</f>
        <v>城关镇, 平利县, 安康市, 陕西省</v>
      </c>
      <c r="G145">
        <v>45493</v>
      </c>
      <c r="H145" t="s">
        <v>3039</v>
      </c>
      <c r="I145" t="s">
        <v>3031</v>
      </c>
      <c r="J145">
        <f>VLOOKUP(F145,[1]!china_towns_second__2[[Column1]:[Y]],3,FALSE)</f>
        <v>32.401929555551803</v>
      </c>
      <c r="K145">
        <f>VLOOKUP(F145,[1]!china_towns_second__2[[Column1]:[Y]],2,FALSE)</f>
        <v>109.308843</v>
      </c>
      <c r="L145" t="s">
        <v>4270</v>
      </c>
      <c r="M145" t="str">
        <f>VLOOKUP(H145,CHOOSE({1,2},Table11[Native],Table11[Name]),2,0)</f>
        <v>Pínglì Xiàn</v>
      </c>
      <c r="N145" s="13" t="str">
        <f>VLOOKUP(I145,CHOOSE({1,2},Table11[Native],Table11[Name]),2,0)</f>
        <v>Ānkāng Shì</v>
      </c>
      <c r="O145" s="13" t="str">
        <f t="shared" si="10"/>
        <v>Chengguan Zhen (Pingli Xian) (Ānkāng Shì)</v>
      </c>
      <c r="P145" s="13" t="str">
        <f t="shared" si="11"/>
        <v>Chengguan Zhen (Pingli Xian) (Ānkāng Shì)</v>
      </c>
    </row>
    <row r="146" spans="1:16" hidden="1" x14ac:dyDescent="0.25">
      <c r="A146" t="s">
        <v>32</v>
      </c>
      <c r="B146" t="str">
        <f t="shared" si="8"/>
        <v>Chéngguān Zhèn (Ānkāng Shì)</v>
      </c>
      <c r="C146" t="str">
        <f t="shared" si="9"/>
        <v>Chéngguān Zhèn (Zhènpíng Xiàn)</v>
      </c>
      <c r="D146" t="s">
        <v>33</v>
      </c>
      <c r="E146" t="s">
        <v>7</v>
      </c>
      <c r="F146" t="str">
        <f>_xlfn.CONCAT(D146,", ",H146,", ",I146,", ","陕西省")</f>
        <v>城关镇, 镇坪县, 安康市, 陕西省</v>
      </c>
      <c r="G146">
        <v>12932</v>
      </c>
      <c r="H146" t="s">
        <v>3042</v>
      </c>
      <c r="I146" t="s">
        <v>3031</v>
      </c>
      <c r="J146">
        <f>VLOOKUP(F146,[1]!china_towns_second__2[[Column1]:[Y]],3,FALSE)</f>
        <v>31.942984505681601</v>
      </c>
      <c r="K146">
        <f>VLOOKUP(F146,[1]!china_towns_second__2[[Column1]:[Y]],2,FALSE)</f>
        <v>109.5392842</v>
      </c>
      <c r="L146" t="s">
        <v>4271</v>
      </c>
      <c r="M146" t="str">
        <f>VLOOKUP(H146,CHOOSE({1,2},Table11[Native],Table11[Name]),2,0)</f>
        <v>Zhènpíng Xiàn</v>
      </c>
      <c r="N146" s="13" t="str">
        <f>VLOOKUP(I146,CHOOSE({1,2},Table11[Native],Table11[Name]),2,0)</f>
        <v>Ānkāng Shì</v>
      </c>
      <c r="O146" s="13" t="str">
        <f t="shared" si="10"/>
        <v>Chengguan Zhen (Zhenping Xian) (Ānkāng Shì)</v>
      </c>
      <c r="P146" s="13" t="str">
        <f t="shared" si="11"/>
        <v>Chengguan Zhen (Zhenping Xian) (Ānkāng Shì)</v>
      </c>
    </row>
    <row r="147" spans="1:16" hidden="1" x14ac:dyDescent="0.25">
      <c r="A147" t="s">
        <v>32</v>
      </c>
      <c r="B147" t="str">
        <f t="shared" si="8"/>
        <v>Chéngguān Zhèn (Ānkāng Shì)</v>
      </c>
      <c r="C147" t="str">
        <f t="shared" si="9"/>
        <v>Chéngguān Zhèn (Xúnyáng Xiàn)</v>
      </c>
      <c r="D147" t="s">
        <v>33</v>
      </c>
      <c r="E147" t="s">
        <v>7</v>
      </c>
      <c r="F147" t="str">
        <f>_xlfn.CONCAT(D147,", ",H147,", ",I147,", ","陕西省")</f>
        <v>城关镇, 旬阳县, 安康市, 陕西省</v>
      </c>
      <c r="G147">
        <v>67929</v>
      </c>
      <c r="H147" t="s">
        <v>3041</v>
      </c>
      <c r="I147" t="s">
        <v>3031</v>
      </c>
      <c r="J147">
        <f>VLOOKUP(F147,[1]!china_towns_second__2[[Column1]:[Y]],3,FALSE)</f>
        <v>32.852114373376999</v>
      </c>
      <c r="K147">
        <f>VLOOKUP(F147,[1]!china_towns_second__2[[Column1]:[Y]],2,FALSE)</f>
        <v>109.3839273</v>
      </c>
      <c r="L147" t="s">
        <v>4272</v>
      </c>
      <c r="M147" t="str">
        <f>VLOOKUP(H147,CHOOSE({1,2},Table11[Native],Table11[Name]),2,0)</f>
        <v>Xúnyáng Xiàn</v>
      </c>
      <c r="N147" s="13" t="str">
        <f>VLOOKUP(I147,CHOOSE({1,2},Table11[Native],Table11[Name]),2,0)</f>
        <v>Ānkāng Shì</v>
      </c>
      <c r="O147" s="13" t="str">
        <f t="shared" si="10"/>
        <v>Chengguan Zhen (Xunyang Xian) (Ānkāng Shì)</v>
      </c>
      <c r="P147" s="13" t="str">
        <f t="shared" si="11"/>
        <v>Chengguan Zhen (Xunyang Xian) (Ānkāng Shì)</v>
      </c>
    </row>
    <row r="148" spans="1:16" hidden="1" x14ac:dyDescent="0.25">
      <c r="A148" t="s">
        <v>32</v>
      </c>
      <c r="B148" t="str">
        <f t="shared" si="8"/>
        <v>Chéngguān Zhèn (Ānkāng Shì)</v>
      </c>
      <c r="C148" t="str">
        <f t="shared" si="9"/>
        <v>Chéngguān Zhèn (Báihé Xiàn)</v>
      </c>
      <c r="D148" t="s">
        <v>33</v>
      </c>
      <c r="E148" t="s">
        <v>7</v>
      </c>
      <c r="F148" t="str">
        <f>_xlfn.CONCAT(D148,", ",H148,", ",I148,", ","陕西省")</f>
        <v>城关镇, 白河县, 安康市, 陕西省</v>
      </c>
      <c r="G148">
        <v>32379</v>
      </c>
      <c r="H148" t="s">
        <v>3033</v>
      </c>
      <c r="I148" t="s">
        <v>3031</v>
      </c>
      <c r="J148">
        <f>VLOOKUP(F148,[1]!china_towns_second__2[[Column1]:[Y]],3,FALSE)</f>
        <v>32.810852844610302</v>
      </c>
      <c r="K148">
        <f>VLOOKUP(F148,[1]!china_towns_second__2[[Column1]:[Y]],2,FALSE)</f>
        <v>110.06263490000001</v>
      </c>
      <c r="L148" t="s">
        <v>4273</v>
      </c>
      <c r="M148" t="str">
        <f>VLOOKUP(H148,CHOOSE({1,2},Table11[Native],Table11[Name]),2,0)</f>
        <v>Báihé Xiàn</v>
      </c>
      <c r="N148" s="13" t="str">
        <f>VLOOKUP(I148,CHOOSE({1,2},Table11[Native],Table11[Name]),2,0)</f>
        <v>Ānkāng Shì</v>
      </c>
      <c r="O148" s="13" t="str">
        <f t="shared" si="10"/>
        <v>Chengguan Zhen (Baihe Xian) (Ānkāng Shì)</v>
      </c>
      <c r="P148" s="13" t="str">
        <f t="shared" si="11"/>
        <v>Chengguan Zhen (Baihe Xian) (Ānkāng Shì)</v>
      </c>
    </row>
    <row r="149" spans="1:16" hidden="1" x14ac:dyDescent="0.25">
      <c r="A149" t="s">
        <v>32</v>
      </c>
      <c r="B149" t="str">
        <f t="shared" si="8"/>
        <v>Chéngguān Zhèn (Băojī Shì)</v>
      </c>
      <c r="C149" t="str">
        <f t="shared" si="9"/>
        <v>Chéngguān Zhèn (Fèngxiáng Qū)</v>
      </c>
      <c r="D149" t="s">
        <v>33</v>
      </c>
      <c r="E149" t="s">
        <v>7</v>
      </c>
      <c r="F149" t="str">
        <f>_xlfn.CONCAT(D149,", ",H149,", ",I149,", ","陕西省")</f>
        <v>城关镇, 凤翔区, 宝鸡市, 陕西省</v>
      </c>
      <c r="G149">
        <v>100336</v>
      </c>
      <c r="H149" t="s">
        <v>3048</v>
      </c>
      <c r="I149" t="s">
        <v>3045</v>
      </c>
      <c r="J149">
        <f>VLOOKUP(F149,[1]!china_towns_second__2[[Column1]:[Y]],3,FALSE)</f>
        <v>34.518826200954102</v>
      </c>
      <c r="K149">
        <f>VLOOKUP(F149,[1]!china_towns_second__2[[Column1]:[Y]],2,FALSE)</f>
        <v>107.3933742</v>
      </c>
      <c r="L149" t="s">
        <v>4274</v>
      </c>
      <c r="M149" t="str">
        <f>VLOOKUP(H149,CHOOSE({1,2},Table11[Native],Table11[Name]),2,0)</f>
        <v>Fèngxiáng Qū</v>
      </c>
      <c r="N149" s="13" t="str">
        <f>VLOOKUP(I149,CHOOSE({1,2},Table11[Native],Table11[Name]),2,0)</f>
        <v>Băojī Shì</v>
      </c>
      <c r="O149" s="13" t="str">
        <f t="shared" si="10"/>
        <v>Chengguan Zhen (Fengxiang Qu) (Băojī Shì)</v>
      </c>
      <c r="P149" s="13" t="str">
        <f t="shared" si="11"/>
        <v>Chengguan Zhen (Fengxiang Qu) (Băojī Shì)</v>
      </c>
    </row>
    <row r="150" spans="1:16" hidden="1" x14ac:dyDescent="0.25">
      <c r="A150" t="s">
        <v>32</v>
      </c>
      <c r="B150" t="str">
        <f t="shared" si="8"/>
        <v>Chéngguān Zhèn (Băojī Shì)</v>
      </c>
      <c r="C150" t="str">
        <f t="shared" si="9"/>
        <v>Chéngguān Zhèn (Lŏng Xiàn)</v>
      </c>
      <c r="D150" t="s">
        <v>33</v>
      </c>
      <c r="E150" t="s">
        <v>7</v>
      </c>
      <c r="F150" t="str">
        <f>_xlfn.CONCAT(D150,", ",H150,", ",I150,", ","陕西省")</f>
        <v>城关镇, 陇县, 宝鸡市, 陕西省</v>
      </c>
      <c r="G150">
        <v>65967</v>
      </c>
      <c r="H150" t="s">
        <v>3052</v>
      </c>
      <c r="I150" t="s">
        <v>3045</v>
      </c>
      <c r="J150">
        <f>VLOOKUP(F150,[1]!china_towns_second__2[[Column1]:[Y]],3,FALSE)</f>
        <v>34.8974324275434</v>
      </c>
      <c r="K150">
        <f>VLOOKUP(F150,[1]!china_towns_second__2[[Column1]:[Y]],2,FALSE)</f>
        <v>106.8552917</v>
      </c>
      <c r="L150" t="s">
        <v>4275</v>
      </c>
      <c r="M150" t="str">
        <f>VLOOKUP(H150,CHOOSE({1,2},Table11[Native],Table11[Name]),2,0)</f>
        <v>Lŏng Xiàn</v>
      </c>
      <c r="N150" s="13" t="str">
        <f>VLOOKUP(I150,CHOOSE({1,2},Table11[Native],Table11[Name]),2,0)</f>
        <v>Băojī Shì</v>
      </c>
      <c r="O150" s="13" t="str">
        <f t="shared" si="10"/>
        <v>Chengguan Zhen (Long Xian) (Băojī Shì)</v>
      </c>
      <c r="P150" s="13" t="str">
        <f t="shared" si="11"/>
        <v>Chengguan Zhen (Long Xian) (Băojī Shì)</v>
      </c>
    </row>
    <row r="151" spans="1:16" hidden="1" x14ac:dyDescent="0.25">
      <c r="A151" t="s">
        <v>32</v>
      </c>
      <c r="B151" t="str">
        <f t="shared" si="8"/>
        <v>Chéngguān Zhèn (Băojī Shì)</v>
      </c>
      <c r="C151" t="str">
        <f t="shared" si="9"/>
        <v>Chéngguān Zhèn (Qiānyáng Xiàn)</v>
      </c>
      <c r="D151" t="s">
        <v>33</v>
      </c>
      <c r="E151" t="s">
        <v>7</v>
      </c>
      <c r="F151" t="str">
        <f>_xlfn.CONCAT(D151,", ",H151,", ",I151,", ","陕西省")</f>
        <v>城关镇, 千阳县, 宝鸡市, 陕西省</v>
      </c>
      <c r="G151">
        <v>35511</v>
      </c>
      <c r="H151" t="s">
        <v>3054</v>
      </c>
      <c r="I151" t="s">
        <v>3045</v>
      </c>
      <c r="J151">
        <f>VLOOKUP(F151,[1]!china_towns_second__2[[Column1]:[Y]],3,FALSE)</f>
        <v>34.624796770547697</v>
      </c>
      <c r="K151">
        <f>VLOOKUP(F151,[1]!china_towns_second__2[[Column1]:[Y]],2,FALSE)</f>
        <v>107.125162</v>
      </c>
      <c r="L151" t="s">
        <v>4276</v>
      </c>
      <c r="M151" t="str">
        <f>VLOOKUP(H151,CHOOSE({1,2},Table11[Native],Table11[Name]),2,0)</f>
        <v>Qiānyáng Xiàn</v>
      </c>
      <c r="N151" s="13" t="str">
        <f>VLOOKUP(I151,CHOOSE({1,2},Table11[Native],Table11[Name]),2,0)</f>
        <v>Băojī Shì</v>
      </c>
      <c r="O151" s="13" t="str">
        <f t="shared" si="10"/>
        <v>Chengguan Zhen (Qianyang Xian) (Băojī Shì)</v>
      </c>
      <c r="P151" s="13" t="str">
        <f t="shared" si="11"/>
        <v>Chengguan Zhen (Qianyang Xian) (Băojī Shì)</v>
      </c>
    </row>
    <row r="152" spans="1:16" hidden="1" x14ac:dyDescent="0.25">
      <c r="A152" t="s">
        <v>1402</v>
      </c>
      <c r="B152" t="str">
        <f t="shared" si="8"/>
        <v>Chéngguān Zhèn [→ Fèngxiān Jiēdào, Zǐjīng Jiēdào]</v>
      </c>
      <c r="C152" t="str">
        <f t="shared" si="9"/>
        <v>Chéngguān Zhèn [→ Fèngxiān Jiēdào, Zǐjīng Jiēdào]</v>
      </c>
      <c r="D152" t="s">
        <v>33</v>
      </c>
      <c r="E152" t="s">
        <v>7</v>
      </c>
      <c r="F152" t="str">
        <f>_xlfn.CONCAT(D152,", ",H152,", ",I152,", ","陕西省")</f>
        <v>城关镇, 蒲城县, 渭南市, 陕西省</v>
      </c>
      <c r="G152">
        <v>97436</v>
      </c>
      <c r="H152" t="s">
        <v>3098</v>
      </c>
      <c r="I152" t="s">
        <v>3087</v>
      </c>
      <c r="J152">
        <f>VLOOKUP(F152,[1]!china_towns_second__2[[Column1]:[Y]],3,FALSE)</f>
        <v>34.925986189227203</v>
      </c>
      <c r="K152">
        <f>VLOOKUP(F152,[1]!china_towns_second__2[[Column1]:[Y]],2,FALSE)</f>
        <v>109.587075</v>
      </c>
      <c r="L152" t="s">
        <v>4277</v>
      </c>
      <c r="M152" t="str">
        <f>VLOOKUP(H152,CHOOSE({1,2},Table11[Native],Table11[Name]),2,0)</f>
        <v>Púchéng Xiàn</v>
      </c>
      <c r="N152" s="13" t="str">
        <f>VLOOKUP(I152,CHOOSE({1,2},Table11[Native],Table11[Name]),2,0)</f>
        <v>Wèinán Shì</v>
      </c>
      <c r="O152" s="13" t="str">
        <f t="shared" si="10"/>
        <v>Chengguan Zhen [→ Fengxian Jiedao, Zijing Jiedao] (Wèinán Shì)</v>
      </c>
      <c r="P152" s="13" t="str">
        <f t="shared" si="11"/>
        <v>Chengguan Zhen [→ Fengxian Jiedao, Zijing Jiedao] (Wèinán Shì)</v>
      </c>
    </row>
    <row r="153" spans="1:16" hidden="1" x14ac:dyDescent="0.25">
      <c r="A153" t="s">
        <v>2652</v>
      </c>
      <c r="B153" t="str">
        <f t="shared" si="8"/>
        <v>Chéngjiāo Zhèn [Shílĭpū Zhèn]</v>
      </c>
      <c r="C153" t="str">
        <f t="shared" si="9"/>
        <v>Chéngjiāo Zhèn [Shílĭpū Zhèn]</v>
      </c>
      <c r="D153" t="s">
        <v>2653</v>
      </c>
      <c r="E153" t="s">
        <v>7</v>
      </c>
      <c r="F153" t="str">
        <f>_xlfn.CONCAT(D153,", ",H153,", ",I153,", ","陕西省")</f>
        <v>城郊镇, 米脂县, 榆林市, 陕西省</v>
      </c>
      <c r="G153">
        <v>11248</v>
      </c>
      <c r="H153" t="s">
        <v>3154</v>
      </c>
      <c r="I153" t="s">
        <v>3148</v>
      </c>
      <c r="J153">
        <f>VLOOKUP(F153,[1]!china_towns_second__2[[Column1]:[Y]],3,FALSE)</f>
        <v>37.704898946234302</v>
      </c>
      <c r="K153">
        <f>VLOOKUP(F153,[1]!china_towns_second__2[[Column1]:[Y]],2,FALSE)</f>
        <v>110.2094285</v>
      </c>
      <c r="L153" t="s">
        <v>4278</v>
      </c>
      <c r="M153" t="str">
        <f>VLOOKUP(H153,CHOOSE({1,2},Table11[Native],Table11[Name]),2,0)</f>
        <v>Mĭzhī Xiàn</v>
      </c>
      <c r="N153" s="13" t="str">
        <f>VLOOKUP(I153,CHOOSE({1,2},Table11[Native],Table11[Name]),2,0)</f>
        <v>Yúlín Shì</v>
      </c>
      <c r="O153" s="13" t="str">
        <f t="shared" si="10"/>
        <v>Chengjiao Zhen [Shilipu Zhen] (Yúlín Shì)</v>
      </c>
      <c r="P153" s="13" t="str">
        <f t="shared" si="11"/>
        <v>Chengjiao Zhen [Shilipu Zhen] (Yúlín Shì)</v>
      </c>
    </row>
    <row r="154" spans="1:16" hidden="1" x14ac:dyDescent="0.25">
      <c r="A154" t="s">
        <v>2010</v>
      </c>
      <c r="B154" t="str">
        <f t="shared" si="8"/>
        <v>Chénhé Zhèn</v>
      </c>
      <c r="C154" t="str">
        <f t="shared" si="9"/>
        <v>Chénhé Zhèn</v>
      </c>
      <c r="D154" t="s">
        <v>2011</v>
      </c>
      <c r="E154" t="s">
        <v>7</v>
      </c>
      <c r="F154" t="str">
        <f>_xlfn.CONCAT(D154,", ",H154,", ",I154,", ","陕西省")</f>
        <v>陈河镇, 周至县, 西安市, 陕西省</v>
      </c>
      <c r="G154">
        <v>3332</v>
      </c>
      <c r="H154" t="s">
        <v>3115</v>
      </c>
      <c r="I154" t="s">
        <v>3102</v>
      </c>
      <c r="J154">
        <f>VLOOKUP(F154,[1]!china_towns_second__2[[Column1]:[Y]],3,FALSE)</f>
        <v>33.957087666368302</v>
      </c>
      <c r="K154">
        <f>VLOOKUP(F154,[1]!china_towns_second__2[[Column1]:[Y]],2,FALSE)</f>
        <v>108.1068882</v>
      </c>
      <c r="L154" t="s">
        <v>4279</v>
      </c>
      <c r="M154" t="str">
        <f>VLOOKUP(H154,CHOOSE({1,2},Table11[Native],Table11[Name]),2,0)</f>
        <v>Zhōuzhì Xiàn</v>
      </c>
      <c r="N154" s="13" t="str">
        <f>VLOOKUP(I154,CHOOSE({1,2},Table11[Native],Table11[Name]),2,0)</f>
        <v>Xī'ān Shì</v>
      </c>
      <c r="O154" s="13" t="str">
        <f t="shared" si="10"/>
        <v>Chenhe Zhen (Xī'ān Shì)</v>
      </c>
      <c r="P154" s="13" t="str">
        <f t="shared" si="11"/>
        <v>Chenhe Zhen (Xī'ān Shì)</v>
      </c>
    </row>
    <row r="155" spans="1:16" hidden="1" x14ac:dyDescent="0.25">
      <c r="A155" t="s">
        <v>679</v>
      </c>
      <c r="B155" t="str">
        <f t="shared" si="8"/>
        <v>Chénjiābà Zhèn</v>
      </c>
      <c r="C155" t="str">
        <f t="shared" si="9"/>
        <v>Chénjiābà Zhèn</v>
      </c>
      <c r="D155" t="s">
        <v>680</v>
      </c>
      <c r="E155" t="s">
        <v>7</v>
      </c>
      <c r="F155" t="str">
        <f>_xlfn.CONCAT(D155,", ",H155,", ",I155,", ","陕西省")</f>
        <v>陈家坝镇, 佛坪县, 汉中市, 陕西省</v>
      </c>
      <c r="G155">
        <v>3365</v>
      </c>
      <c r="H155" t="s">
        <v>3061</v>
      </c>
      <c r="I155" t="s">
        <v>3059</v>
      </c>
      <c r="J155">
        <f>VLOOKUP(F155,[1]!china_towns_second__2[[Column1]:[Y]],3,FALSE)</f>
        <v>33.460458105809103</v>
      </c>
      <c r="K155">
        <f>VLOOKUP(F155,[1]!china_towns_second__2[[Column1]:[Y]],2,FALSE)</f>
        <v>108.089152</v>
      </c>
      <c r="L155" t="s">
        <v>4280</v>
      </c>
      <c r="M155" t="str">
        <f>VLOOKUP(H155,CHOOSE({1,2},Table11[Native],Table11[Name]),2,0)</f>
        <v>Fópíng Xiàn</v>
      </c>
      <c r="N155" s="13" t="str">
        <f>VLOOKUP(I155,CHOOSE({1,2},Table11[Native],Table11[Name]),2,0)</f>
        <v>Hànzhōng Shì</v>
      </c>
      <c r="O155" s="13" t="str">
        <f t="shared" si="10"/>
        <v>Chenjiaba Zhen (Hànzhōng Shì)</v>
      </c>
      <c r="P155" s="13" t="str">
        <f t="shared" si="11"/>
        <v>Chenjiaba Zhen (Hànzhōng Shì)</v>
      </c>
    </row>
    <row r="156" spans="1:16" hidden="1" x14ac:dyDescent="0.25">
      <c r="A156" t="s">
        <v>681</v>
      </c>
      <c r="B156" t="str">
        <f t="shared" si="8"/>
        <v>Chénjiātān Xiāng</v>
      </c>
      <c r="C156" t="str">
        <f t="shared" si="9"/>
        <v>Chénjiātān Xiāng</v>
      </c>
      <c r="D156" t="s">
        <v>682</v>
      </c>
      <c r="E156" t="s">
        <v>11</v>
      </c>
      <c r="F156" t="str">
        <f>_xlfn.CONCAT(D156,", ",H156,", ",I156,", ","陕西省")</f>
        <v>陈家滩乡, 镇巴县, 汉中市, 陕西省</v>
      </c>
      <c r="G156">
        <v>4449</v>
      </c>
      <c r="H156" t="s">
        <v>3070</v>
      </c>
      <c r="I156" t="s">
        <v>3059</v>
      </c>
      <c r="J156" t="e">
        <f>VLOOKUP(F156,[1]!china_towns_second__2[[Column1]:[Y]],3,FALSE)</f>
        <v>#N/A</v>
      </c>
      <c r="K156" t="e">
        <f>VLOOKUP(F156,[1]!china_towns_second__2[[Column1]:[Y]],2,FALSE)</f>
        <v>#N/A</v>
      </c>
      <c r="L156" t="s">
        <v>4281</v>
      </c>
      <c r="M156" t="str">
        <f>VLOOKUP(H156,CHOOSE({1,2},Table11[Native],Table11[Name]),2,0)</f>
        <v>Zhènbā Xiàn</v>
      </c>
      <c r="N156" s="13" t="str">
        <f>VLOOKUP(I156,CHOOSE({1,2},Table11[Native],Table11[Name]),2,0)</f>
        <v>Hànzhōng Shì</v>
      </c>
      <c r="O156" s="13" t="str">
        <f t="shared" si="10"/>
        <v>Chenjiatan Xiang (Hànzhōng Shì)</v>
      </c>
      <c r="P156" s="13" t="str">
        <f t="shared" si="11"/>
        <v>Chenjiatan Xiang (Hànzhōng Shì)</v>
      </c>
    </row>
    <row r="157" spans="1:16" hidden="1" x14ac:dyDescent="0.25">
      <c r="A157" t="s">
        <v>1295</v>
      </c>
      <c r="B157" t="str">
        <f t="shared" si="8"/>
        <v>Chénlú Zhèn</v>
      </c>
      <c r="C157" t="str">
        <f t="shared" si="9"/>
        <v>Chénlú Zhèn</v>
      </c>
      <c r="D157" t="s">
        <v>1296</v>
      </c>
      <c r="E157" t="s">
        <v>7</v>
      </c>
      <c r="F157" t="str">
        <f>_xlfn.CONCAT(D157,", ",H157,", ",I157,", ","陕西省")</f>
        <v>陈炉镇, 印台区, 铜川市, 陕西省</v>
      </c>
      <c r="G157">
        <v>15642</v>
      </c>
      <c r="H157" t="s">
        <v>3085</v>
      </c>
      <c r="I157" t="s">
        <v>3081</v>
      </c>
      <c r="J157">
        <f>VLOOKUP(F157,[1]!china_towns_second__2[[Column1]:[Y]],3,FALSE)</f>
        <v>35.0370515068618</v>
      </c>
      <c r="K157">
        <f>VLOOKUP(F157,[1]!china_towns_second__2[[Column1]:[Y]],2,FALSE)</f>
        <v>109.1687264</v>
      </c>
      <c r="L157" t="s">
        <v>4282</v>
      </c>
      <c r="M157" t="str">
        <f>VLOOKUP(H157,CHOOSE({1,2},Table11[Native],Table11[Name]),2,0)</f>
        <v>Yìntái Qū</v>
      </c>
      <c r="N157" s="13" t="str">
        <f>VLOOKUP(I157,CHOOSE({1,2},Table11[Native],Table11[Name]),2,0)</f>
        <v>Tóngchuān Shì</v>
      </c>
      <c r="O157" s="13" t="str">
        <f t="shared" si="10"/>
        <v>Chenlu Zhen (Tóngchuān Shì)</v>
      </c>
      <c r="P157" s="13" t="str">
        <f t="shared" si="11"/>
        <v>Chenlu Zhen (Tóngchuān Shì)</v>
      </c>
    </row>
    <row r="158" spans="1:16" hidden="1" x14ac:dyDescent="0.25">
      <c r="A158" t="s">
        <v>2012</v>
      </c>
      <c r="B158" t="str">
        <f t="shared" si="8"/>
        <v>Chényángzhài Jiēdào</v>
      </c>
      <c r="C158" t="str">
        <f t="shared" si="9"/>
        <v>Chényángzhài Jiēdào</v>
      </c>
      <c r="D158" t="s">
        <v>2013</v>
      </c>
      <c r="E158" t="s">
        <v>113</v>
      </c>
      <c r="F158" t="str">
        <f>_xlfn.CONCAT(D158,", ",H158,", ",I158,", ","陕西省")</f>
        <v>陈杨寨街道, 西咸新区, 西安市, 陕西省</v>
      </c>
      <c r="G158">
        <v>36666</v>
      </c>
      <c r="H158" t="s">
        <v>3167</v>
      </c>
      <c r="I158" t="s">
        <v>3102</v>
      </c>
      <c r="J158" t="e">
        <f>VLOOKUP(F158,[1]!china_towns_second__2[[Column1]:[Y]],3,FALSE)</f>
        <v>#N/A</v>
      </c>
      <c r="K158" t="e">
        <f>VLOOKUP(F158,[1]!china_towns_second__2[[Column1]:[Y]],2,FALSE)</f>
        <v>#N/A</v>
      </c>
      <c r="L158" t="s">
        <v>4283</v>
      </c>
      <c r="M158" t="str">
        <f>VLOOKUP(H158,CHOOSE({1,2},Table11[Native],Table11[Name]),2,0)</f>
        <v>Xīxián Xīnqū</v>
      </c>
      <c r="N158" s="13" t="str">
        <f>VLOOKUP(I158,CHOOSE({1,2},Table11[Native],Table11[Name]),2,0)</f>
        <v>Xī'ān Shì</v>
      </c>
      <c r="O158" s="13" t="str">
        <f t="shared" si="10"/>
        <v>Chenyangzhai Jiedao (Xī'ān Shì)</v>
      </c>
      <c r="P158" s="13" t="str">
        <f t="shared" si="11"/>
        <v>Chenyangzhai Jiedao (Xī'ān Shì)</v>
      </c>
    </row>
    <row r="159" spans="1:16" hidden="1" x14ac:dyDescent="0.25">
      <c r="A159" t="s">
        <v>1069</v>
      </c>
      <c r="B159" t="str">
        <f t="shared" si="8"/>
        <v>Chényuán Jiēdào</v>
      </c>
      <c r="C159" t="str">
        <f t="shared" si="9"/>
        <v>Chényuán Jiēdào</v>
      </c>
      <c r="D159" t="s">
        <v>1070</v>
      </c>
      <c r="E159" t="s">
        <v>113</v>
      </c>
      <c r="F159" t="str">
        <f>_xlfn.CONCAT(D159,", ",H159,", ",I159,", ","陕西省")</f>
        <v>陈塬街道, 商州区, 商洛市, 陕西省</v>
      </c>
      <c r="G159">
        <v>14937</v>
      </c>
      <c r="H159" t="s">
        <v>3076</v>
      </c>
      <c r="I159" t="s">
        <v>3072</v>
      </c>
      <c r="J159">
        <f>VLOOKUP(F159,[1]!china_towns_second__2[[Column1]:[Y]],3,FALSE)</f>
        <v>33.897945961806101</v>
      </c>
      <c r="K159">
        <f>VLOOKUP(F159,[1]!china_towns_second__2[[Column1]:[Y]],2,FALSE)</f>
        <v>109.88298519999999</v>
      </c>
      <c r="L159" t="s">
        <v>4284</v>
      </c>
      <c r="M159" t="str">
        <f>VLOOKUP(H159,CHOOSE({1,2},Table11[Native],Table11[Name]),2,0)</f>
        <v>Shāngzhōu Qū</v>
      </c>
      <c r="N159" s="13" t="str">
        <f>VLOOKUP(I159,CHOOSE({1,2},Table11[Native],Table11[Name]),2,0)</f>
        <v>Shāngluò Shì</v>
      </c>
      <c r="O159" s="13" t="str">
        <f t="shared" si="10"/>
        <v>Chenyuan Jiedao (Shāngluò Shì)</v>
      </c>
      <c r="P159" s="13" t="str">
        <f t="shared" si="11"/>
        <v>Chenyuan Jiedao (Shāngluò Shì)</v>
      </c>
    </row>
    <row r="160" spans="1:16" hidden="1" x14ac:dyDescent="0.25">
      <c r="A160" t="s">
        <v>1404</v>
      </c>
      <c r="B160" t="str">
        <f t="shared" si="8"/>
        <v>Chénzhuāng Zhèn</v>
      </c>
      <c r="C160" t="str">
        <f t="shared" si="9"/>
        <v>Chénzhuāng Zhèn</v>
      </c>
      <c r="D160" t="s">
        <v>1405</v>
      </c>
      <c r="E160" t="s">
        <v>7</v>
      </c>
      <c r="F160" t="str">
        <f>_xlfn.CONCAT(D160,", ",H160,", ",I160,", ","陕西省")</f>
        <v>陈庄镇, 蒲城县, 渭南市, 陕西省</v>
      </c>
      <c r="G160">
        <v>24817</v>
      </c>
      <c r="H160" t="s">
        <v>3098</v>
      </c>
      <c r="I160" t="s">
        <v>3087</v>
      </c>
      <c r="J160">
        <f>VLOOKUP(F160,[1]!china_towns_second__2[[Column1]:[Y]],3,FALSE)</f>
        <v>34.871880329977401</v>
      </c>
      <c r="K160">
        <f>VLOOKUP(F160,[1]!china_towns_second__2[[Column1]:[Y]],2,FALSE)</f>
        <v>109.5870929</v>
      </c>
      <c r="L160" t="s">
        <v>4285</v>
      </c>
      <c r="M160" t="str">
        <f>VLOOKUP(H160,CHOOSE({1,2},Table11[Native],Table11[Name]),2,0)</f>
        <v>Púchéng Xiàn</v>
      </c>
      <c r="N160" s="13" t="str">
        <f>VLOOKUP(I160,CHOOSE({1,2},Table11[Native],Table11[Name]),2,0)</f>
        <v>Wèinán Shì</v>
      </c>
      <c r="O160" s="13" t="str">
        <f t="shared" si="10"/>
        <v>Chenzhuang Zhen (Wèinán Shì)</v>
      </c>
      <c r="P160" s="13" t="str">
        <f t="shared" si="11"/>
        <v>Chenzhuang Zhen (Wèinán Shì)</v>
      </c>
    </row>
    <row r="161" spans="1:16" hidden="1" x14ac:dyDescent="0.25">
      <c r="A161" t="s">
        <v>1731</v>
      </c>
      <c r="B161" t="str">
        <f t="shared" si="8"/>
        <v>Chēwù Zhèn</v>
      </c>
      <c r="C161" t="str">
        <f t="shared" si="9"/>
        <v>Chēwù Zhèn</v>
      </c>
      <c r="D161" t="s">
        <v>1732</v>
      </c>
      <c r="E161" t="s">
        <v>7</v>
      </c>
      <c r="F161" t="str">
        <f>_xlfn.CONCAT(D161,", ",H161,", ",I161,", ","陕西省")</f>
        <v>车坞镇, 淳化县, 咸阳市, 陕西省</v>
      </c>
      <c r="G161">
        <v>7537</v>
      </c>
      <c r="H161" t="s">
        <v>3120</v>
      </c>
      <c r="I161" t="s">
        <v>3117</v>
      </c>
      <c r="J161">
        <f>VLOOKUP(F161,[1]!china_towns_second__2[[Column1]:[Y]],3,FALSE)</f>
        <v>34.776224384987998</v>
      </c>
      <c r="K161">
        <f>VLOOKUP(F161,[1]!china_towns_second__2[[Column1]:[Y]],2,FALSE)</f>
        <v>108.5597221</v>
      </c>
      <c r="L161" t="s">
        <v>4286</v>
      </c>
      <c r="M161" t="str">
        <f>VLOOKUP(H161,CHOOSE({1,2},Table11[Native],Table11[Name]),2,0)</f>
        <v>Chúnhuà Xiàn</v>
      </c>
      <c r="N161" s="13" t="str">
        <f>VLOOKUP(I161,CHOOSE({1,2},Table11[Native],Table11[Name]),2,0)</f>
        <v>Xiányáng Shì</v>
      </c>
      <c r="O161" s="13" t="str">
        <f t="shared" si="10"/>
        <v>Chewu Zhen (Xiányáng Shì)</v>
      </c>
      <c r="P161" s="13" t="str">
        <f t="shared" si="11"/>
        <v>Chewu Zhen (Xiányáng Shì)</v>
      </c>
    </row>
    <row r="162" spans="1:16" hidden="1" x14ac:dyDescent="0.25">
      <c r="A162" t="s">
        <v>1733</v>
      </c>
      <c r="B162" t="str">
        <f t="shared" si="8"/>
        <v>Chìgān Zhèn</v>
      </c>
      <c r="C162" t="str">
        <f t="shared" si="9"/>
        <v>Chìgān Zhèn</v>
      </c>
      <c r="D162" t="s">
        <v>1734</v>
      </c>
      <c r="E162" t="s">
        <v>7</v>
      </c>
      <c r="F162" t="str">
        <f>_xlfn.CONCAT(D162,", ",H162,", ",I162,", ","陕西省")</f>
        <v>叱干镇, 礼泉县, 咸阳市, 陕西省</v>
      </c>
      <c r="G162">
        <v>28574</v>
      </c>
      <c r="H162" t="s">
        <v>3122</v>
      </c>
      <c r="I162" t="s">
        <v>3117</v>
      </c>
      <c r="J162">
        <f>VLOOKUP(F162,[1]!china_towns_second__2[[Column1]:[Y]],3,FALSE)</f>
        <v>34.715444765267002</v>
      </c>
      <c r="K162">
        <f>VLOOKUP(F162,[1]!china_towns_second__2[[Column1]:[Y]],2,FALSE)</f>
        <v>108.4562485</v>
      </c>
      <c r="L162" t="s">
        <v>4287</v>
      </c>
      <c r="M162" t="str">
        <f>VLOOKUP(H162,CHOOSE({1,2},Table11[Native],Table11[Name]),2,0)</f>
        <v>Lĭquán Xiàn</v>
      </c>
      <c r="N162" s="13" t="str">
        <f>VLOOKUP(I162,CHOOSE({1,2},Table11[Native],Table11[Name]),2,0)</f>
        <v>Xiányáng Shì</v>
      </c>
      <c r="O162" s="13" t="str">
        <f t="shared" si="10"/>
        <v>Chigan Zhen (Xiányáng Shì)</v>
      </c>
      <c r="P162" s="13" t="str">
        <f t="shared" si="11"/>
        <v>Chigan Zhen (Xiányáng Shì)</v>
      </c>
    </row>
    <row r="163" spans="1:16" hidden="1" x14ac:dyDescent="0.25">
      <c r="A163" t="s">
        <v>37</v>
      </c>
      <c r="B163" t="str">
        <f t="shared" si="8"/>
        <v>Chíhé Zhèn</v>
      </c>
      <c r="C163" t="str">
        <f t="shared" si="9"/>
        <v>Chíhé Zhèn</v>
      </c>
      <c r="D163" t="s">
        <v>38</v>
      </c>
      <c r="E163" t="s">
        <v>7</v>
      </c>
      <c r="F163" t="str">
        <f>_xlfn.CONCAT(D163,", ",H163,", ",I163,", ","陕西省")</f>
        <v>池河镇, 石泉县, 安康市, 陕西省</v>
      </c>
      <c r="G163">
        <v>19866</v>
      </c>
      <c r="H163" t="s">
        <v>3040</v>
      </c>
      <c r="I163" t="s">
        <v>3031</v>
      </c>
      <c r="J163">
        <f>VLOOKUP(F163,[1]!china_towns_second__2[[Column1]:[Y]],3,FALSE)</f>
        <v>32.947066426419099</v>
      </c>
      <c r="K163">
        <f>VLOOKUP(F163,[1]!china_towns_second__2[[Column1]:[Y]],2,FALSE)</f>
        <v>108.32152360000001</v>
      </c>
      <c r="L163" t="s">
        <v>4288</v>
      </c>
      <c r="M163" t="str">
        <f>VLOOKUP(H163,CHOOSE({1,2},Table11[Native],Table11[Name]),2,0)</f>
        <v>Shíquán Xiàn</v>
      </c>
      <c r="N163" s="13" t="str">
        <f>VLOOKUP(I163,CHOOSE({1,2},Table11[Native],Table11[Name]),2,0)</f>
        <v>Ānkāng Shì</v>
      </c>
      <c r="O163" s="13" t="str">
        <f t="shared" si="10"/>
        <v>Chihe Zhen (Ānkāng Shì)</v>
      </c>
      <c r="P163" s="13" t="str">
        <f t="shared" si="11"/>
        <v>Chihe Zhen (Ānkāng Shì)</v>
      </c>
    </row>
    <row r="164" spans="1:16" hidden="1" x14ac:dyDescent="0.25">
      <c r="A164" t="s">
        <v>683</v>
      </c>
      <c r="B164" t="str">
        <f t="shared" si="8"/>
        <v>Chìnán Zhèn</v>
      </c>
      <c r="C164" t="str">
        <f t="shared" si="9"/>
        <v>Chìnán Zhèn</v>
      </c>
      <c r="D164" t="s">
        <v>684</v>
      </c>
      <c r="E164" t="s">
        <v>7</v>
      </c>
      <c r="F164" t="str">
        <f>_xlfn.CONCAT(D164,", ",H164,", ",I164,", ","陕西省")</f>
        <v>赤南镇, 镇巴县, 汉中市, 陕西省</v>
      </c>
      <c r="G164">
        <v>11276</v>
      </c>
      <c r="H164" t="s">
        <v>3070</v>
      </c>
      <c r="I164" t="s">
        <v>3059</v>
      </c>
      <c r="J164">
        <f>VLOOKUP(F164,[1]!china_towns_second__2[[Column1]:[Y]],3,FALSE)</f>
        <v>32.255305439871201</v>
      </c>
      <c r="K164">
        <f>VLOOKUP(F164,[1]!china_towns_second__2[[Column1]:[Y]],2,FALSE)</f>
        <v>107.9023327</v>
      </c>
      <c r="L164" t="s">
        <v>4289</v>
      </c>
      <c r="M164" t="str">
        <f>VLOOKUP(H164,CHOOSE({1,2},Table11[Native],Table11[Name]),2,0)</f>
        <v>Zhènbā Xiàn</v>
      </c>
      <c r="N164" s="13" t="str">
        <f>VLOOKUP(I164,CHOOSE({1,2},Table11[Native],Table11[Name]),2,0)</f>
        <v>Hànzhōng Shì</v>
      </c>
      <c r="O164" s="13" t="str">
        <f t="shared" si="10"/>
        <v>Chinan Zhen (Hànzhōng Shì)</v>
      </c>
      <c r="P164" s="13" t="str">
        <f t="shared" si="11"/>
        <v>Chinan Zhen (Hànzhōng Shì)</v>
      </c>
    </row>
    <row r="165" spans="1:16" hidden="1" x14ac:dyDescent="0.25">
      <c r="A165" t="s">
        <v>376</v>
      </c>
      <c r="B165" t="str">
        <f t="shared" si="8"/>
        <v>Chìshā Zhèn</v>
      </c>
      <c r="C165" t="str">
        <f t="shared" si="9"/>
        <v>Chìshā Zhèn</v>
      </c>
      <c r="D165" t="s">
        <v>377</v>
      </c>
      <c r="E165" t="s">
        <v>7</v>
      </c>
      <c r="F165" t="str">
        <f>_xlfn.CONCAT(D165,", ",H165,", ",I165,", ","陕西省")</f>
        <v>赤沙镇, 陈仓区, 宝鸡市, 陕西省</v>
      </c>
      <c r="G165">
        <v>14194</v>
      </c>
      <c r="H165" t="s">
        <v>3046</v>
      </c>
      <c r="I165" t="s">
        <v>3045</v>
      </c>
      <c r="J165">
        <f>VLOOKUP(F165,[1]!china_towns_second__2[[Column1]:[Y]],3,FALSE)</f>
        <v>34.515515523078101</v>
      </c>
      <c r="K165">
        <f>VLOOKUP(F165,[1]!china_towns_second__2[[Column1]:[Y]],2,FALSE)</f>
        <v>106.6839377</v>
      </c>
      <c r="L165" t="s">
        <v>4290</v>
      </c>
      <c r="M165" t="str">
        <f>VLOOKUP(H165,CHOOSE({1,2},Table11[Native],Table11[Name]),2,0)</f>
        <v>Chéncāng Qū</v>
      </c>
      <c r="N165" s="13" t="str">
        <f>VLOOKUP(I165,CHOOSE({1,2},Table11[Native],Table11[Name]),2,0)</f>
        <v>Băojī Shì</v>
      </c>
      <c r="O165" s="13" t="str">
        <f t="shared" si="10"/>
        <v>Chisha Zhen (Băojī Shì)</v>
      </c>
      <c r="P165" s="13" t="str">
        <f t="shared" si="11"/>
        <v>Chisha Zhen (Băojī Shì)</v>
      </c>
    </row>
    <row r="166" spans="1:16" hidden="1" x14ac:dyDescent="0.25">
      <c r="A166" t="s">
        <v>1406</v>
      </c>
      <c r="B166" t="str">
        <f t="shared" si="8"/>
        <v>Chìshuĭ Zhèn</v>
      </c>
      <c r="C166" t="str">
        <f t="shared" si="9"/>
        <v>Chìshuĭ Zhèn</v>
      </c>
      <c r="D166" t="s">
        <v>1407</v>
      </c>
      <c r="E166" t="s">
        <v>7</v>
      </c>
      <c r="F166" t="str">
        <f>_xlfn.CONCAT(D166,", ",H166,", ",I166,", ","陕西省")</f>
        <v>赤水镇, 华州区, 渭南市, 陕西省</v>
      </c>
      <c r="G166">
        <v>19889</v>
      </c>
      <c r="H166" t="s">
        <v>3096</v>
      </c>
      <c r="I166" t="s">
        <v>3087</v>
      </c>
      <c r="J166">
        <f>VLOOKUP(F166,[1]!china_towns_second__2[[Column1]:[Y]],3,FALSE)</f>
        <v>34.540609867881003</v>
      </c>
      <c r="K166">
        <f>VLOOKUP(F166,[1]!china_towns_second__2[[Column1]:[Y]],2,FALSE)</f>
        <v>109.67819590000001</v>
      </c>
      <c r="L166" t="s">
        <v>4291</v>
      </c>
      <c r="M166" t="str">
        <f>VLOOKUP(H166,CHOOSE({1,2},Table11[Native],Table11[Name]),2,0)</f>
        <v>Huázhōu Qū</v>
      </c>
      <c r="N166" s="13" t="str">
        <f>VLOOKUP(I166,CHOOSE({1,2},Table11[Native],Table11[Name]),2,0)</f>
        <v>Wèinán Shì</v>
      </c>
      <c r="O166" s="13" t="str">
        <f t="shared" si="10"/>
        <v>Chishui Zhen (Wèinán Shì)</v>
      </c>
      <c r="P166" s="13" t="str">
        <f t="shared" si="11"/>
        <v>Chishui Zhen (Wèinán Shì)</v>
      </c>
    </row>
    <row r="167" spans="1:16" hidden="1" x14ac:dyDescent="0.25">
      <c r="A167" t="s">
        <v>2014</v>
      </c>
      <c r="B167" t="str">
        <f t="shared" si="8"/>
        <v>Chónghuáng Jiēdào</v>
      </c>
      <c r="C167" t="str">
        <f t="shared" si="9"/>
        <v>Chónghuáng Jiēdào</v>
      </c>
      <c r="D167" t="s">
        <v>2015</v>
      </c>
      <c r="E167" t="s">
        <v>113</v>
      </c>
      <c r="F167" t="str">
        <f>_xlfn.CONCAT(D167,", ",H167,", ",I167,", ","陕西省")</f>
        <v>崇皇街道, 高陵区, 西安市, 陕西省</v>
      </c>
      <c r="G167">
        <v>23592</v>
      </c>
      <c r="H167" t="s">
        <v>3106</v>
      </c>
      <c r="I167" t="s">
        <v>3102</v>
      </c>
      <c r="J167" t="e">
        <f>VLOOKUP(F167,[1]!china_towns_second__2[[Column1]:[Y]],3,FALSE)</f>
        <v>#N/A</v>
      </c>
      <c r="K167" t="e">
        <f>VLOOKUP(F167,[1]!china_towns_second__2[[Column1]:[Y]],2,FALSE)</f>
        <v>#N/A</v>
      </c>
      <c r="L167" t="s">
        <v>4292</v>
      </c>
      <c r="M167" t="str">
        <f>VLOOKUP(H167,CHOOSE({1,2},Table11[Native],Table11[Name]),2,0)</f>
        <v>Gāolíng Qū</v>
      </c>
      <c r="N167" s="13" t="str">
        <f>VLOOKUP(I167,CHOOSE({1,2},Table11[Native],Table11[Name]),2,0)</f>
        <v>Xī'ān Shì</v>
      </c>
      <c r="O167" s="13" t="str">
        <f t="shared" si="10"/>
        <v>Chonghuang Jiedao (Xī'ān Shì)</v>
      </c>
      <c r="P167" s="13" t="str">
        <f t="shared" si="11"/>
        <v>Chonghuang Jiedao (Xī'ān Shì)</v>
      </c>
    </row>
    <row r="168" spans="1:16" hidden="1" x14ac:dyDescent="0.25">
      <c r="A168" t="s">
        <v>1408</v>
      </c>
      <c r="B168" t="str">
        <f t="shared" si="8"/>
        <v>Chóngníng Zhèn</v>
      </c>
      <c r="C168" t="str">
        <f t="shared" si="9"/>
        <v>Chóngníng Zhèn</v>
      </c>
      <c r="D168" t="s">
        <v>1409</v>
      </c>
      <c r="E168" t="s">
        <v>7</v>
      </c>
      <c r="F168" t="str">
        <f>_xlfn.CONCAT(D168,", ",H168,", ",I168,", ","陕西省")</f>
        <v>崇宁镇, 临渭区, 渭南市, 陕西省</v>
      </c>
      <c r="G168">
        <v>27258</v>
      </c>
      <c r="H168" t="s">
        <v>3097</v>
      </c>
      <c r="I168" t="s">
        <v>3087</v>
      </c>
      <c r="J168">
        <f>VLOOKUP(F168,[1]!china_towns_second__2[[Column1]:[Y]],3,FALSE)</f>
        <v>34.3951273295107</v>
      </c>
      <c r="K168">
        <f>VLOOKUP(F168,[1]!china_towns_second__2[[Column1]:[Y]],2,FALSE)</f>
        <v>109.57395560000001</v>
      </c>
      <c r="L168" t="s">
        <v>4293</v>
      </c>
      <c r="M168" t="str">
        <f>VLOOKUP(H168,CHOOSE({1,2},Table11[Native],Table11[Name]),2,0)</f>
        <v>Línwèi Qū</v>
      </c>
      <c r="N168" s="13" t="str">
        <f>VLOOKUP(I168,CHOOSE({1,2},Table11[Native],Table11[Name]),2,0)</f>
        <v>Wèinán Shì</v>
      </c>
      <c r="O168" s="13" t="str">
        <f t="shared" si="10"/>
        <v>Chongning Zhen (Wèinán Shì)</v>
      </c>
      <c r="P168" s="13" t="str">
        <f t="shared" si="11"/>
        <v>Chongning Zhen (Wèinán Shì)</v>
      </c>
    </row>
    <row r="169" spans="1:16" hidden="1" x14ac:dyDescent="0.25">
      <c r="A169" t="s">
        <v>2017</v>
      </c>
      <c r="B169" t="str">
        <f t="shared" si="8"/>
        <v>Chóngwén Zhèn</v>
      </c>
      <c r="C169" t="str">
        <f t="shared" si="9"/>
        <v>Chóngwén Zhèn</v>
      </c>
      <c r="D169" t="s">
        <v>2018</v>
      </c>
      <c r="E169" t="s">
        <v>7</v>
      </c>
      <c r="F169" t="str">
        <f>_xlfn.CONCAT(D169,", ",H169,", ",I169,", ","陕西省")</f>
        <v>崇文镇, 西咸新区, 西安市, 陕西省</v>
      </c>
      <c r="G169">
        <v>20515</v>
      </c>
      <c r="H169" t="s">
        <v>3167</v>
      </c>
      <c r="I169" t="s">
        <v>3102</v>
      </c>
      <c r="J169">
        <f>VLOOKUP(F169,[1]!china_towns_second__2[[Column1]:[Y]],3,FALSE)</f>
        <v>34.497288820124503</v>
      </c>
      <c r="K169">
        <f>VLOOKUP(F169,[1]!china_towns_second__2[[Column1]:[Y]],2,FALSE)</f>
        <v>108.93448530000001</v>
      </c>
      <c r="L169" t="s">
        <v>4294</v>
      </c>
      <c r="M169" t="str">
        <f>VLOOKUP(H169,CHOOSE({1,2},Table11[Native],Table11[Name]),2,0)</f>
        <v>Xīxián Xīnqū</v>
      </c>
      <c r="N169" s="13" t="str">
        <f>VLOOKUP(I169,CHOOSE({1,2},Table11[Native],Table11[Name]),2,0)</f>
        <v>Xī'ān Shì</v>
      </c>
      <c r="O169" s="13" t="str">
        <f t="shared" si="10"/>
        <v>Chongwen Zhen (Xī'ān Shì)</v>
      </c>
      <c r="P169" s="13" t="str">
        <f t="shared" si="11"/>
        <v>Chongwen Zhen (Xī'ān Shì)</v>
      </c>
    </row>
    <row r="170" spans="1:16" hidden="1" x14ac:dyDescent="0.25">
      <c r="A170" t="s">
        <v>2655</v>
      </c>
      <c r="B170" t="str">
        <f t="shared" si="8"/>
        <v>Chóngwénlù Jiēdào</v>
      </c>
      <c r="C170" t="str">
        <f t="shared" si="9"/>
        <v>Chóngwénlù Jiēdào</v>
      </c>
      <c r="D170" t="s">
        <v>2656</v>
      </c>
      <c r="E170" t="s">
        <v>113</v>
      </c>
      <c r="F170" t="str">
        <f>_xlfn.CONCAT(D170,", ",H170,", ",I170,", ","陕西省")</f>
        <v>崇文路街道, 榆阳区, 榆林市, 陕西省</v>
      </c>
      <c r="G170">
        <v>51873</v>
      </c>
      <c r="H170" t="s">
        <v>3159</v>
      </c>
      <c r="I170" t="s">
        <v>3148</v>
      </c>
      <c r="J170">
        <f>VLOOKUP(F170,[1]!china_towns_second__2[[Column1]:[Y]],3,FALSE)</f>
        <v>38.298634179400402</v>
      </c>
      <c r="K170">
        <f>VLOOKUP(F170,[1]!china_towns_second__2[[Column1]:[Y]],2,FALSE)</f>
        <v>109.71245829999999</v>
      </c>
      <c r="L170" t="s">
        <v>4295</v>
      </c>
      <c r="M170" t="str">
        <f>VLOOKUP(H170,CHOOSE({1,2},Table11[Native],Table11[Name]),2,0)</f>
        <v>Yúyáng Qū</v>
      </c>
      <c r="N170" s="13" t="str">
        <f>VLOOKUP(I170,CHOOSE({1,2},Table11[Native],Table11[Name]),2,0)</f>
        <v>Yúlín Shì</v>
      </c>
      <c r="O170" s="13" t="str">
        <f t="shared" si="10"/>
        <v>Chongwenlu Jiedao (Yúlín Shì)</v>
      </c>
      <c r="P170" s="13" t="str">
        <f t="shared" si="11"/>
        <v>Chongwenlu Jiedao (Yúlín Shì)</v>
      </c>
    </row>
    <row r="171" spans="1:16" hidden="1" x14ac:dyDescent="0.25">
      <c r="A171" t="s">
        <v>1411</v>
      </c>
      <c r="B171" t="str">
        <f t="shared" si="8"/>
        <v>Chóngyèlù Jiēdào</v>
      </c>
      <c r="C171" t="str">
        <f t="shared" si="9"/>
        <v>Chóngyèlù Jiēdào</v>
      </c>
      <c r="D171" t="s">
        <v>1412</v>
      </c>
      <c r="E171" t="s">
        <v>113</v>
      </c>
      <c r="F171" t="str">
        <f>_xlfn.CONCAT(D171,", ",H171,", ",I171,", ","陕西省")</f>
        <v>崇业路街道, 临渭区, 渭南市, 陕西省</v>
      </c>
      <c r="G171">
        <v>31189</v>
      </c>
      <c r="H171" t="s">
        <v>3097</v>
      </c>
      <c r="I171" t="s">
        <v>3087</v>
      </c>
      <c r="J171">
        <f>VLOOKUP(F171,[1]!china_towns_second__2[[Column1]:[Y]],3,FALSE)</f>
        <v>34.507234246318397</v>
      </c>
      <c r="K171">
        <f>VLOOKUP(F171,[1]!china_towns_second__2[[Column1]:[Y]],2,FALSE)</f>
        <v>109.4267286</v>
      </c>
      <c r="L171" t="s">
        <v>4296</v>
      </c>
      <c r="M171" t="str">
        <f>VLOOKUP(H171,CHOOSE({1,2},Table11[Native],Table11[Name]),2,0)</f>
        <v>Línwèi Qū</v>
      </c>
      <c r="N171" s="13" t="str">
        <f>VLOOKUP(I171,CHOOSE({1,2},Table11[Native],Table11[Name]),2,0)</f>
        <v>Wèinán Shì</v>
      </c>
      <c r="O171" s="13" t="str">
        <f t="shared" si="10"/>
        <v>Chongyelu Jiedao (Wèinán Shì)</v>
      </c>
      <c r="P171" s="13" t="str">
        <f t="shared" si="11"/>
        <v>Chongyelu Jiedao (Wèinán Shì)</v>
      </c>
    </row>
    <row r="172" spans="1:16" hidden="1" x14ac:dyDescent="0.25">
      <c r="A172" t="s">
        <v>2365</v>
      </c>
      <c r="B172" t="str">
        <f t="shared" si="8"/>
        <v>Chuānkŏu Zhèn</v>
      </c>
      <c r="C172" t="str">
        <f t="shared" si="9"/>
        <v>Chuānkŏu Zhèn</v>
      </c>
      <c r="D172" t="s">
        <v>2366</v>
      </c>
      <c r="E172" t="s">
        <v>7</v>
      </c>
      <c r="F172" t="str">
        <f>_xlfn.CONCAT(D172,", ",H172,", ",I172,", ","陕西省")</f>
        <v>川口镇, 宝塔区, 延安市, 陕西省</v>
      </c>
      <c r="G172">
        <v>10138</v>
      </c>
      <c r="H172" t="s">
        <v>3135</v>
      </c>
      <c r="I172" t="s">
        <v>3133</v>
      </c>
      <c r="J172">
        <f>VLOOKUP(F172,[1]!china_towns_second__2[[Column1]:[Y]],3,FALSE)</f>
        <v>36.553350304074797</v>
      </c>
      <c r="K172">
        <f>VLOOKUP(F172,[1]!china_towns_second__2[[Column1]:[Y]],2,FALSE)</f>
        <v>109.61963950000001</v>
      </c>
      <c r="L172" t="s">
        <v>4297</v>
      </c>
      <c r="M172" t="str">
        <f>VLOOKUP(H172,CHOOSE({1,2},Table11[Native],Table11[Name]),2,0)</f>
        <v>Băotă Qū</v>
      </c>
      <c r="N172" s="13" t="str">
        <f>VLOOKUP(I172,CHOOSE({1,2},Table11[Native],Table11[Name]),2,0)</f>
        <v>Yán'ān Shì</v>
      </c>
      <c r="O172" s="13" t="str">
        <f t="shared" si="10"/>
        <v>Chuankou Zhen (Yán'ān Shì)</v>
      </c>
      <c r="P172" s="13" t="str">
        <f t="shared" si="11"/>
        <v>Chuankou Zhen (Yán'ān Shì)</v>
      </c>
    </row>
    <row r="173" spans="1:16" hidden="1" x14ac:dyDescent="0.25">
      <c r="A173" t="s">
        <v>1413</v>
      </c>
      <c r="B173" t="str">
        <f t="shared" si="8"/>
        <v>Chūnlín Zhèn</v>
      </c>
      <c r="C173" t="str">
        <f t="shared" si="9"/>
        <v>Chūnlín Zhèn</v>
      </c>
      <c r="D173" t="s">
        <v>1414</v>
      </c>
      <c r="E173" t="s">
        <v>7</v>
      </c>
      <c r="F173" t="str">
        <f>_xlfn.CONCAT(D173,", ",H173,", ",I173,", ","陕西省")</f>
        <v>椿林镇, 蒲城县, 渭南市, 陕西省</v>
      </c>
      <c r="G173">
        <v>32259</v>
      </c>
      <c r="H173" t="s">
        <v>3098</v>
      </c>
      <c r="I173" t="s">
        <v>3087</v>
      </c>
      <c r="J173">
        <f>VLOOKUP(F173,[1]!china_towns_second__2[[Column1]:[Y]],3,FALSE)</f>
        <v>34.986323517392101</v>
      </c>
      <c r="K173">
        <f>VLOOKUP(F173,[1]!china_towns_second__2[[Column1]:[Y]],2,FALSE)</f>
        <v>109.6803355</v>
      </c>
      <c r="L173" t="s">
        <v>4298</v>
      </c>
      <c r="M173" t="str">
        <f>VLOOKUP(H173,CHOOSE({1,2},Table11[Native],Table11[Name]),2,0)</f>
        <v>Púchéng Xiàn</v>
      </c>
      <c r="N173" s="13" t="str">
        <f>VLOOKUP(I173,CHOOSE({1,2},Table11[Native],Table11[Name]),2,0)</f>
        <v>Wèinán Shì</v>
      </c>
      <c r="O173" s="13" t="str">
        <f t="shared" si="10"/>
        <v>Chunlin Zhen (Wèinán Shì)</v>
      </c>
      <c r="P173" s="13" t="str">
        <f t="shared" si="11"/>
        <v>Chunlin Zhen (Wèinán Shì)</v>
      </c>
    </row>
    <row r="174" spans="1:16" hidden="1" x14ac:dyDescent="0.25">
      <c r="A174" t="s">
        <v>39</v>
      </c>
      <c r="B174" t="str">
        <f t="shared" si="8"/>
        <v>Cígōu Zhèn [incl. Dōngzhèn Xiāng]</v>
      </c>
      <c r="C174" t="str">
        <f t="shared" si="9"/>
        <v>Cígōu Zhèn [incl. Dōngzhèn Xiāng]</v>
      </c>
      <c r="D174" t="s">
        <v>40</v>
      </c>
      <c r="E174" t="s">
        <v>7</v>
      </c>
      <c r="F174" t="str">
        <f>_xlfn.CONCAT(D174,", ",H174,", ",I174,", ","陕西省")</f>
        <v>茨沟镇, 汉滨区, 安康市, 陕西省</v>
      </c>
      <c r="G174">
        <v>18182</v>
      </c>
      <c r="H174" t="s">
        <v>3035</v>
      </c>
      <c r="I174" t="s">
        <v>3031</v>
      </c>
      <c r="J174">
        <f>VLOOKUP(F174,[1]!china_towns_second__2[[Column1]:[Y]],3,FALSE)</f>
        <v>33.004326621892602</v>
      </c>
      <c r="K174">
        <f>VLOOKUP(F174,[1]!china_towns_second__2[[Column1]:[Y]],2,FALSE)</f>
        <v>108.9567373</v>
      </c>
      <c r="L174" t="s">
        <v>4299</v>
      </c>
      <c r="M174" t="str">
        <f>VLOOKUP(H174,CHOOSE({1,2},Table11[Native],Table11[Name]),2,0)</f>
        <v>Hànbīn Qū</v>
      </c>
      <c r="N174" s="13" t="str">
        <f>VLOOKUP(I174,CHOOSE({1,2},Table11[Native],Table11[Name]),2,0)</f>
        <v>Ānkāng Shì</v>
      </c>
      <c r="O174" s="13" t="str">
        <f t="shared" si="10"/>
        <v>Cigou Zhen [incl. Dongzhen Xiang] (Ānkāng Shì)</v>
      </c>
      <c r="P174" s="13" t="str">
        <f t="shared" si="11"/>
        <v>Cigou Zhen [incl. Dongzhen Xiang] (Ānkāng Shì)</v>
      </c>
    </row>
    <row r="175" spans="1:16" hidden="1" x14ac:dyDescent="0.25">
      <c r="A175" t="s">
        <v>2019</v>
      </c>
      <c r="B175" t="str">
        <f t="shared" si="8"/>
        <v>Cuìfēng Zhèn</v>
      </c>
      <c r="C175" t="str">
        <f t="shared" si="9"/>
        <v>Cuìfēng Zhèn</v>
      </c>
      <c r="D175" t="s">
        <v>2020</v>
      </c>
      <c r="E175" t="s">
        <v>7</v>
      </c>
      <c r="F175" t="str">
        <f>_xlfn.CONCAT(D175,", ",H175,", ",I175,", ","陕西省")</f>
        <v>翠峰镇, 周至县, 西安市, 陕西省</v>
      </c>
      <c r="G175">
        <v>20033</v>
      </c>
      <c r="H175" t="s">
        <v>3115</v>
      </c>
      <c r="I175" t="s">
        <v>3102</v>
      </c>
      <c r="J175">
        <f>VLOOKUP(F175,[1]!china_towns_second__2[[Column1]:[Y]],3,FALSE)</f>
        <v>34.106727810292803</v>
      </c>
      <c r="K175">
        <f>VLOOKUP(F175,[1]!china_towns_second__2[[Column1]:[Y]],2,FALSE)</f>
        <v>108.0642828</v>
      </c>
      <c r="L175" t="s">
        <v>4300</v>
      </c>
      <c r="M175" t="str">
        <f>VLOOKUP(H175,CHOOSE({1,2},Table11[Native],Table11[Name]),2,0)</f>
        <v>Zhōuzhì Xiàn</v>
      </c>
      <c r="N175" s="13" t="str">
        <f>VLOOKUP(I175,CHOOSE({1,2},Table11[Native],Table11[Name]),2,0)</f>
        <v>Xī'ān Shì</v>
      </c>
      <c r="O175" s="13" t="str">
        <f t="shared" si="10"/>
        <v>Cuifeng Zhen (Xī'ān Shì)</v>
      </c>
      <c r="P175" s="13" t="str">
        <f t="shared" si="11"/>
        <v>Cuifeng Zhen (Xī'ān Shì)</v>
      </c>
    </row>
    <row r="176" spans="1:16" hidden="1" x14ac:dyDescent="0.25">
      <c r="A176" t="s">
        <v>379</v>
      </c>
      <c r="B176" t="str">
        <f t="shared" si="8"/>
        <v>Cuījiātóu Zhèn</v>
      </c>
      <c r="C176" t="str">
        <f t="shared" si="9"/>
        <v>Cuījiātóu Zhèn</v>
      </c>
      <c r="D176" t="s">
        <v>380</v>
      </c>
      <c r="E176" t="s">
        <v>7</v>
      </c>
      <c r="F176" t="str">
        <f>_xlfn.CONCAT(D176,", ",H176,", ",I176,", ","陕西省")</f>
        <v>崔家头镇, 千阳县, 宝鸡市, 陕西省</v>
      </c>
      <c r="G176">
        <v>8020</v>
      </c>
      <c r="H176" t="s">
        <v>3054</v>
      </c>
      <c r="I176" t="s">
        <v>3045</v>
      </c>
      <c r="J176">
        <f>VLOOKUP(F176,[1]!china_towns_second__2[[Column1]:[Y]],3,FALSE)</f>
        <v>34.655149463420301</v>
      </c>
      <c r="K176">
        <f>VLOOKUP(F176,[1]!china_towns_second__2[[Column1]:[Y]],2,FALSE)</f>
        <v>107.24242940000001</v>
      </c>
      <c r="L176" t="s">
        <v>4301</v>
      </c>
      <c r="M176" t="str">
        <f>VLOOKUP(H176,CHOOSE({1,2},Table11[Native],Table11[Name]),2,0)</f>
        <v>Qiānyáng Xiàn</v>
      </c>
      <c r="N176" s="13" t="str">
        <f>VLOOKUP(I176,CHOOSE({1,2},Table11[Native],Table11[Name]),2,0)</f>
        <v>Băojī Shì</v>
      </c>
      <c r="O176" s="13" t="str">
        <f t="shared" si="10"/>
        <v>Cuijiatou Zhen (Băojī Shì)</v>
      </c>
      <c r="P176" s="13" t="str">
        <f t="shared" si="11"/>
        <v>Cuijiatou Zhen (Băojī Shì)</v>
      </c>
    </row>
    <row r="177" spans="1:16" hidden="1" x14ac:dyDescent="0.25">
      <c r="A177" t="s">
        <v>2657</v>
      </c>
      <c r="B177" t="str">
        <f t="shared" si="8"/>
        <v>Cuījiāwān Zhèn</v>
      </c>
      <c r="C177" t="str">
        <f t="shared" si="9"/>
        <v>Cuījiāwān Zhèn</v>
      </c>
      <c r="D177" t="s">
        <v>2658</v>
      </c>
      <c r="E177" t="s">
        <v>7</v>
      </c>
      <c r="F177" t="str">
        <f>_xlfn.CONCAT(D177,", ",H177,", ",I177,", ","陕西省")</f>
        <v>崔家湾镇, 绥德县, 榆林市, 陕西省</v>
      </c>
      <c r="G177">
        <v>12687</v>
      </c>
      <c r="H177" t="s">
        <v>3157</v>
      </c>
      <c r="I177" t="s">
        <v>3148</v>
      </c>
      <c r="J177">
        <f>VLOOKUP(F177,[1]!china_towns_second__2[[Column1]:[Y]],3,FALSE)</f>
        <v>37.352986788304101</v>
      </c>
      <c r="K177">
        <f>VLOOKUP(F177,[1]!china_towns_second__2[[Column1]:[Y]],2,FALSE)</f>
        <v>110.4346553</v>
      </c>
      <c r="L177" t="s">
        <v>4302</v>
      </c>
      <c r="M177" t="str">
        <f>VLOOKUP(H177,CHOOSE({1,2},Table11[Native],Table11[Name]),2,0)</f>
        <v>Suídé Xiàn</v>
      </c>
      <c r="N177" s="13" t="str">
        <f>VLOOKUP(I177,CHOOSE({1,2},Table11[Native],Table11[Name]),2,0)</f>
        <v>Yúlín Shì</v>
      </c>
      <c r="O177" s="13" t="str">
        <f t="shared" si="10"/>
        <v>Cuijiawan Zhen (Yúlín Shì)</v>
      </c>
      <c r="P177" s="13" t="str">
        <f t="shared" si="11"/>
        <v>Cuijiawan Zhen (Yúlín Shì)</v>
      </c>
    </row>
    <row r="178" spans="1:16" hidden="1" x14ac:dyDescent="0.25">
      <c r="A178" t="s">
        <v>381</v>
      </c>
      <c r="B178" t="str">
        <f t="shared" si="8"/>
        <v>Cuīmù Zhèn</v>
      </c>
      <c r="C178" t="str">
        <f t="shared" si="9"/>
        <v>Cuīmù Zhèn</v>
      </c>
      <c r="D178" t="s">
        <v>382</v>
      </c>
      <c r="E178" t="s">
        <v>7</v>
      </c>
      <c r="F178" t="str">
        <f>_xlfn.CONCAT(D178,", ",H178,", ",I178,", ","陕西省")</f>
        <v>崔木镇, 麟游县, 宝鸡市, 陕西省</v>
      </c>
      <c r="G178">
        <v>8369</v>
      </c>
      <c r="H178" t="s">
        <v>3051</v>
      </c>
      <c r="I178" t="s">
        <v>3045</v>
      </c>
      <c r="J178">
        <f>VLOOKUP(F178,[1]!china_towns_second__2[[Column1]:[Y]],3,FALSE)</f>
        <v>34.843752157851704</v>
      </c>
      <c r="K178">
        <f>VLOOKUP(F178,[1]!china_towns_second__2[[Column1]:[Y]],2,FALSE)</f>
        <v>107.82573240000001</v>
      </c>
      <c r="L178" t="s">
        <v>4303</v>
      </c>
      <c r="M178" t="str">
        <f>VLOOKUP(H178,CHOOSE({1,2},Table11[Native],Table11[Name]),2,0)</f>
        <v>Línyóu Xiàn</v>
      </c>
      <c r="N178" s="13" t="str">
        <f>VLOOKUP(I178,CHOOSE({1,2},Table11[Native],Table11[Name]),2,0)</f>
        <v>Băojī Shì</v>
      </c>
      <c r="O178" s="13" t="str">
        <f t="shared" si="10"/>
        <v>Cuimu Zhen (Băojī Shì)</v>
      </c>
      <c r="P178" s="13" t="str">
        <f t="shared" si="11"/>
        <v>Cuimu Zhen (Băojī Shì)</v>
      </c>
    </row>
    <row r="179" spans="1:16" hidden="1" x14ac:dyDescent="0.25">
      <c r="A179" t="s">
        <v>1735</v>
      </c>
      <c r="B179" t="str">
        <f t="shared" si="8"/>
        <v>Cuó'é Zhèn</v>
      </c>
      <c r="C179" t="str">
        <f t="shared" si="9"/>
        <v>Cuó'é Zhèn</v>
      </c>
      <c r="D179" t="s">
        <v>1736</v>
      </c>
      <c r="E179" t="s">
        <v>7</v>
      </c>
      <c r="F179" t="str">
        <f>_xlfn.CONCAT(D179,", ",H179,", ",I179,", ","陕西省")</f>
        <v>嵯峨镇, 三原县, 咸阳市, 陕西省</v>
      </c>
      <c r="G179">
        <v>21005</v>
      </c>
      <c r="H179" t="s">
        <v>3125</v>
      </c>
      <c r="I179" t="s">
        <v>3117</v>
      </c>
      <c r="J179">
        <f>VLOOKUP(F179,[1]!china_towns_second__2[[Column1]:[Y]],3,FALSE)</f>
        <v>34.747450721716802</v>
      </c>
      <c r="K179">
        <f>VLOOKUP(F179,[1]!china_towns_second__2[[Column1]:[Y]],2,FALSE)</f>
        <v>108.8386453</v>
      </c>
      <c r="L179" t="s">
        <v>4304</v>
      </c>
      <c r="M179" t="str">
        <f>VLOOKUP(H179,CHOOSE({1,2},Table11[Native],Table11[Name]),2,0)</f>
        <v>Sānyuán Xiàn</v>
      </c>
      <c r="N179" s="13" t="str">
        <f>VLOOKUP(I179,CHOOSE({1,2},Table11[Native],Table11[Name]),2,0)</f>
        <v>Xiányáng Shì</v>
      </c>
      <c r="O179" s="13" t="str">
        <f t="shared" si="10"/>
        <v>Cuo'e Zhen (Xiányáng Shì)</v>
      </c>
      <c r="P179" s="13" t="str">
        <f t="shared" si="11"/>
        <v>Cuo'e Zhen (Xiányáng Shì)</v>
      </c>
    </row>
    <row r="180" spans="1:16" hidden="1" x14ac:dyDescent="0.25">
      <c r="A180" t="s">
        <v>685</v>
      </c>
      <c r="B180" t="str">
        <f t="shared" si="8"/>
        <v>Dà'ān Zhèn [incl. Miàobà Xiāng]</v>
      </c>
      <c r="C180" t="str">
        <f t="shared" si="9"/>
        <v>Dà'ān Zhèn [incl. Miàobà Xiāng]</v>
      </c>
      <c r="D180" t="s">
        <v>686</v>
      </c>
      <c r="E180" t="s">
        <v>7</v>
      </c>
      <c r="F180" t="str">
        <f>_xlfn.CONCAT(D180,", ",H180,", ",I180,", ","陕西省")</f>
        <v>大安镇, 宁强县, 汉中市, 陕西省</v>
      </c>
      <c r="G180">
        <v>26930</v>
      </c>
      <c r="H180" t="s">
        <v>3067</v>
      </c>
      <c r="I180" t="s">
        <v>3059</v>
      </c>
      <c r="J180">
        <f>VLOOKUP(F180,[1]!china_towns_second__2[[Column1]:[Y]],3,FALSE)</f>
        <v>33.042799329230803</v>
      </c>
      <c r="K180">
        <f>VLOOKUP(F180,[1]!china_towns_second__2[[Column1]:[Y]],2,FALSE)</f>
        <v>106.3157195</v>
      </c>
      <c r="L180" t="s">
        <v>4305</v>
      </c>
      <c r="M180" t="str">
        <f>VLOOKUP(H180,CHOOSE({1,2},Table11[Native],Table11[Name]),2,0)</f>
        <v>Níngqiáng Xiàn</v>
      </c>
      <c r="N180" s="13" t="str">
        <f>VLOOKUP(I180,CHOOSE({1,2},Table11[Native],Table11[Name]),2,0)</f>
        <v>Hànzhōng Shì</v>
      </c>
      <c r="O180" s="13" t="str">
        <f t="shared" si="10"/>
        <v>Da'an Zhen [incl. Miaoba Xiang] (Hànzhōng Shì)</v>
      </c>
      <c r="P180" s="13" t="str">
        <f t="shared" si="11"/>
        <v>Da'an Zhen [incl. Miaoba Xiang] (Hànzhōng Shì)</v>
      </c>
    </row>
    <row r="181" spans="1:16" hidden="1" x14ac:dyDescent="0.25">
      <c r="A181" t="s">
        <v>2659</v>
      </c>
      <c r="B181" t="str">
        <f t="shared" si="8"/>
        <v>Dàbăodāng Zhèn</v>
      </c>
      <c r="C181" t="str">
        <f t="shared" si="9"/>
        <v>Dàbăodāng Zhèn</v>
      </c>
      <c r="D181" t="s">
        <v>2660</v>
      </c>
      <c r="E181" t="s">
        <v>7</v>
      </c>
      <c r="F181" t="str">
        <f>_xlfn.CONCAT(D181,", ",H181,", ",I181,", ","陕西省")</f>
        <v>大保当镇, 神木市, 榆林市, 陕西省</v>
      </c>
      <c r="G181">
        <v>15208</v>
      </c>
      <c r="H181" t="s">
        <v>3156</v>
      </c>
      <c r="I181" t="s">
        <v>3148</v>
      </c>
      <c r="J181">
        <f>VLOOKUP(F181,[1]!china_towns_second__2[[Column1]:[Y]],3,FALSE)</f>
        <v>38.702123255671303</v>
      </c>
      <c r="K181">
        <f>VLOOKUP(F181,[1]!china_towns_second__2[[Column1]:[Y]],2,FALSE)</f>
        <v>109.9516543</v>
      </c>
      <c r="L181" t="s">
        <v>4306</v>
      </c>
      <c r="M181" t="str">
        <f>VLOOKUP(H181,CHOOSE({1,2},Table11[Native],Table11[Name]),2,0)</f>
        <v>Shénmù Shì</v>
      </c>
      <c r="N181" s="13" t="str">
        <f>VLOOKUP(I181,CHOOSE({1,2},Table11[Native],Table11[Name]),2,0)</f>
        <v>Yúlín Shì</v>
      </c>
      <c r="O181" s="13" t="str">
        <f t="shared" si="10"/>
        <v>Dabaodang Zhen (Yúlín Shì)</v>
      </c>
      <c r="P181" s="13" t="str">
        <f t="shared" si="11"/>
        <v>Dabaodang Zhen (Yúlín Shì)</v>
      </c>
    </row>
    <row r="182" spans="1:16" hidden="1" x14ac:dyDescent="0.25">
      <c r="A182" t="s">
        <v>2662</v>
      </c>
      <c r="B182" t="str">
        <f t="shared" si="8"/>
        <v>Dàchānghàn Zhèn</v>
      </c>
      <c r="C182" t="str">
        <f t="shared" si="9"/>
        <v>Dàchānghàn Zhèn</v>
      </c>
      <c r="D182" t="s">
        <v>2663</v>
      </c>
      <c r="E182" t="s">
        <v>7</v>
      </c>
      <c r="F182" t="str">
        <f>_xlfn.CONCAT(D182,", ",H182,", ",I182,", ","陕西省")</f>
        <v>大昌汗镇, 府谷县, 榆林市, 陕西省</v>
      </c>
      <c r="G182">
        <v>10466</v>
      </c>
      <c r="H182" t="s">
        <v>3150</v>
      </c>
      <c r="I182" t="s">
        <v>3148</v>
      </c>
      <c r="J182">
        <f>VLOOKUP(F182,[1]!china_towns_second__2[[Column1]:[Y]],3,FALSE)</f>
        <v>39.303051268169199</v>
      </c>
      <c r="K182">
        <f>VLOOKUP(F182,[1]!china_towns_second__2[[Column1]:[Y]],2,FALSE)</f>
        <v>110.47489040000001</v>
      </c>
      <c r="L182" t="s">
        <v>4307</v>
      </c>
      <c r="M182" t="str">
        <f>VLOOKUP(H182,CHOOSE({1,2},Table11[Native],Table11[Name]),2,0)</f>
        <v>Fŭgŭ Xiàn</v>
      </c>
      <c r="N182" s="13" t="str">
        <f>VLOOKUP(I182,CHOOSE({1,2},Table11[Native],Table11[Name]),2,0)</f>
        <v>Yúlín Shì</v>
      </c>
      <c r="O182" s="13" t="str">
        <f t="shared" si="10"/>
        <v>Dachanghan Zhen (Yúlín Shì)</v>
      </c>
      <c r="P182" s="13" t="str">
        <f t="shared" si="11"/>
        <v>Dachanghan Zhen (Yúlín Shì)</v>
      </c>
    </row>
    <row r="183" spans="1:16" hidden="1" x14ac:dyDescent="0.25">
      <c r="A183" t="s">
        <v>1737</v>
      </c>
      <c r="B183" t="str">
        <f t="shared" si="8"/>
        <v>Dàchéng Zhèn [incl. Xúmù Xiāng]</v>
      </c>
      <c r="C183" t="str">
        <f t="shared" si="9"/>
        <v>Dàchéng Zhèn [incl. Xúmù Xiāng]</v>
      </c>
      <c r="D183" t="s">
        <v>1738</v>
      </c>
      <c r="E183" t="s">
        <v>7</v>
      </c>
      <c r="F183" t="str">
        <f>_xlfn.CONCAT(D183,", ",H183,", ",I183,", ","陕西省")</f>
        <v>大程镇, 三原县, 咸阳市, 陕西省</v>
      </c>
      <c r="G183">
        <v>38150</v>
      </c>
      <c r="H183" t="s">
        <v>3125</v>
      </c>
      <c r="I183" t="s">
        <v>3117</v>
      </c>
      <c r="J183">
        <f>VLOOKUP(F183,[1]!china_towns_second__2[[Column1]:[Y]],3,FALSE)</f>
        <v>34.678109899864197</v>
      </c>
      <c r="K183">
        <f>VLOOKUP(F183,[1]!china_towns_second__2[[Column1]:[Y]],2,FALSE)</f>
        <v>109.103848</v>
      </c>
      <c r="L183" t="s">
        <v>4308</v>
      </c>
      <c r="M183" t="str">
        <f>VLOOKUP(H183,CHOOSE({1,2},Table11[Native],Table11[Name]),2,0)</f>
        <v>Sānyuán Xiàn</v>
      </c>
      <c r="N183" s="13" t="str">
        <f>VLOOKUP(I183,CHOOSE({1,2},Table11[Native],Table11[Name]),2,0)</f>
        <v>Xiányáng Shì</v>
      </c>
      <c r="O183" s="13" t="str">
        <f t="shared" si="10"/>
        <v>Dacheng Zhen [incl. Xumu Xiang] (Xiányáng Shì)</v>
      </c>
      <c r="P183" s="13" t="str">
        <f t="shared" si="11"/>
        <v>Dacheng Zhen [incl. Xumu Xiang] (Xiányáng Shì)</v>
      </c>
    </row>
    <row r="184" spans="1:16" hidden="1" x14ac:dyDescent="0.25">
      <c r="A184" t="s">
        <v>687</v>
      </c>
      <c r="B184" t="str">
        <f t="shared" si="8"/>
        <v>Dàchí Zhèn</v>
      </c>
      <c r="C184" t="str">
        <f t="shared" si="9"/>
        <v>Dàchí Zhèn</v>
      </c>
      <c r="D184" t="s">
        <v>688</v>
      </c>
      <c r="E184" t="s">
        <v>7</v>
      </c>
      <c r="F184" t="str">
        <f>_xlfn.CONCAT(D184,", ",H184,", ",I184,", ","陕西省")</f>
        <v>大池镇, 镇巴县, 汉中市, 陕西省</v>
      </c>
      <c r="G184">
        <v>5047</v>
      </c>
      <c r="H184" t="s">
        <v>3070</v>
      </c>
      <c r="I184" t="s">
        <v>3059</v>
      </c>
      <c r="J184">
        <f>VLOOKUP(F184,[1]!china_towns_second__2[[Column1]:[Y]],3,FALSE)</f>
        <v>32.558540075368001</v>
      </c>
      <c r="K184">
        <f>VLOOKUP(F184,[1]!china_towns_second__2[[Column1]:[Y]],2,FALSE)</f>
        <v>107.5556294</v>
      </c>
      <c r="L184" t="s">
        <v>4309</v>
      </c>
      <c r="M184" t="str">
        <f>VLOOKUP(H184,CHOOSE({1,2},Table11[Native],Table11[Name]),2,0)</f>
        <v>Zhènbā Xiàn</v>
      </c>
      <c r="N184" s="13" t="str">
        <f>VLOOKUP(I184,CHOOSE({1,2},Table11[Native],Table11[Name]),2,0)</f>
        <v>Hànzhōng Shì</v>
      </c>
      <c r="O184" s="13" t="str">
        <f t="shared" si="10"/>
        <v>Dachi Zhen (Hànzhōng Shì)</v>
      </c>
      <c r="P184" s="13" t="str">
        <f t="shared" si="11"/>
        <v>Dachi Zhen (Hànzhōng Shì)</v>
      </c>
    </row>
    <row r="185" spans="1:16" hidden="1" x14ac:dyDescent="0.25">
      <c r="A185" t="s">
        <v>41</v>
      </c>
      <c r="B185" t="str">
        <f t="shared" si="8"/>
        <v>Dàdàohé Zhèn</v>
      </c>
      <c r="C185" t="str">
        <f t="shared" si="9"/>
        <v>Dàdàohé Zhèn</v>
      </c>
      <c r="D185" t="s">
        <v>42</v>
      </c>
      <c r="E185" t="s">
        <v>7</v>
      </c>
      <c r="F185" t="str">
        <f>_xlfn.CONCAT(D185,", ",H185,", ",I185,", ","陕西省")</f>
        <v>大道河镇, 岚皋县, 安康市, 陕西省</v>
      </c>
      <c r="G185">
        <v>5396</v>
      </c>
      <c r="H185" t="s">
        <v>3037</v>
      </c>
      <c r="I185" t="s">
        <v>3031</v>
      </c>
      <c r="J185">
        <f>VLOOKUP(F185,[1]!china_towns_second__2[[Column1]:[Y]],3,FALSE)</f>
        <v>32.523381367308701</v>
      </c>
      <c r="K185">
        <f>VLOOKUP(F185,[1]!china_towns_second__2[[Column1]:[Y]],2,FALSE)</f>
        <v>108.6570226</v>
      </c>
      <c r="L185" t="s">
        <v>4310</v>
      </c>
      <c r="M185" t="str">
        <f>VLOOKUP(H185,CHOOSE({1,2},Table11[Native],Table11[Name]),2,0)</f>
        <v>Lángāo Xiàn</v>
      </c>
      <c r="N185" s="13" t="str">
        <f>VLOOKUP(I185,CHOOSE({1,2},Table11[Native],Table11[Name]),2,0)</f>
        <v>Ānkāng Shì</v>
      </c>
      <c r="O185" s="13" t="str">
        <f t="shared" si="10"/>
        <v>Dadaohe Zhen (Ānkāng Shì)</v>
      </c>
      <c r="P185" s="13" t="str">
        <f t="shared" si="11"/>
        <v>Dadaohe Zhen (Ānkāng Shì)</v>
      </c>
    </row>
    <row r="186" spans="1:16" hidden="1" x14ac:dyDescent="0.25">
      <c r="A186" t="s">
        <v>1739</v>
      </c>
      <c r="B186" t="str">
        <f t="shared" si="8"/>
        <v>Dàdiàn Xiāng</v>
      </c>
      <c r="C186" t="str">
        <f t="shared" si="9"/>
        <v>Dàdiàn Xiāng</v>
      </c>
      <c r="D186" t="s">
        <v>1740</v>
      </c>
      <c r="E186" t="s">
        <v>11</v>
      </c>
      <c r="F186" t="str">
        <f>_xlfn.CONCAT(D186,", ",H186,", ",I186,", ","陕西省")</f>
        <v>大店乡, 淳化县, 咸阳市, 陕西省</v>
      </c>
      <c r="G186">
        <v>6211</v>
      </c>
      <c r="H186" t="s">
        <v>3120</v>
      </c>
      <c r="I186" t="s">
        <v>3117</v>
      </c>
      <c r="J186" t="e">
        <f>VLOOKUP(F186,[1]!china_towns_second__2[[Column1]:[Y]],3,FALSE)</f>
        <v>#N/A</v>
      </c>
      <c r="K186" t="e">
        <f>VLOOKUP(F186,[1]!china_towns_second__2[[Column1]:[Y]],2,FALSE)</f>
        <v>#N/A</v>
      </c>
      <c r="L186" t="s">
        <v>4311</v>
      </c>
      <c r="M186" t="str">
        <f>VLOOKUP(H186,CHOOSE({1,2},Table11[Native],Table11[Name]),2,0)</f>
        <v>Chúnhuà Xiàn</v>
      </c>
      <c r="N186" s="13" t="str">
        <f>VLOOKUP(I186,CHOOSE({1,2},Table11[Native],Table11[Name]),2,0)</f>
        <v>Xiányáng Shì</v>
      </c>
      <c r="O186" s="13" t="str">
        <f t="shared" si="10"/>
        <v>Dadian Xiang (Xiányáng Shì)</v>
      </c>
      <c r="P186" s="13" t="str">
        <f t="shared" si="11"/>
        <v>Dadian Xiang (Xiányáng Shì)</v>
      </c>
    </row>
    <row r="187" spans="1:16" hidden="1" x14ac:dyDescent="0.25">
      <c r="A187" t="s">
        <v>43</v>
      </c>
      <c r="B187" t="str">
        <f t="shared" si="8"/>
        <v>Dàguì Zhèn</v>
      </c>
      <c r="C187" t="str">
        <f t="shared" si="9"/>
        <v>Dàguì Zhèn</v>
      </c>
      <c r="D187" t="s">
        <v>44</v>
      </c>
      <c r="E187" t="s">
        <v>7</v>
      </c>
      <c r="F187" t="str">
        <f>_xlfn.CONCAT(D187,", ",H187,", ",I187,", ","陕西省")</f>
        <v>大贵镇, 平利县, 安康市, 陕西省</v>
      </c>
      <c r="G187">
        <v>11294</v>
      </c>
      <c r="H187" t="s">
        <v>3039</v>
      </c>
      <c r="I187" t="s">
        <v>3031</v>
      </c>
      <c r="J187">
        <f>VLOOKUP(F187,[1]!china_towns_second__2[[Column1]:[Y]],3,FALSE)</f>
        <v>32.439629955933299</v>
      </c>
      <c r="K187">
        <f>VLOOKUP(F187,[1]!china_towns_second__2[[Column1]:[Y]],2,FALSE)</f>
        <v>109.1658936</v>
      </c>
      <c r="L187" t="s">
        <v>4312</v>
      </c>
      <c r="M187" t="str">
        <f>VLOOKUP(H187,CHOOSE({1,2},Table11[Native],Table11[Name]),2,0)</f>
        <v>Pínglì Xiàn</v>
      </c>
      <c r="N187" s="13" t="str">
        <f>VLOOKUP(I187,CHOOSE({1,2},Table11[Native],Table11[Name]),2,0)</f>
        <v>Ānkāng Shì</v>
      </c>
      <c r="O187" s="13" t="str">
        <f t="shared" si="10"/>
        <v>Dagui Zhen (Ānkāng Shì)</v>
      </c>
      <c r="P187" s="13" t="str">
        <f t="shared" si="11"/>
        <v>Dagui Zhen (Ānkāng Shì)</v>
      </c>
    </row>
    <row r="188" spans="1:16" hidden="1" x14ac:dyDescent="0.25">
      <c r="A188" t="s">
        <v>45</v>
      </c>
      <c r="B188" t="str">
        <f t="shared" si="8"/>
        <v>Dàhé Zhèn (Ānkāng Shì)</v>
      </c>
      <c r="C188" t="str">
        <f t="shared" si="9"/>
        <v>Dàhé Zhèn (Ānkāng Shì)</v>
      </c>
      <c r="D188" t="s">
        <v>46</v>
      </c>
      <c r="E188" t="s">
        <v>7</v>
      </c>
      <c r="F188" t="str">
        <f>_xlfn.CONCAT(D188,", ",H188,", ",I188,", ","陕西省")</f>
        <v>大河镇, 汉滨区, 安康市, 陕西省</v>
      </c>
      <c r="G188">
        <v>17066</v>
      </c>
      <c r="H188" t="s">
        <v>3035</v>
      </c>
      <c r="I188" t="s">
        <v>3031</v>
      </c>
      <c r="J188">
        <f>VLOOKUP(F188,[1]!china_towns_second__2[[Column1]:[Y]],3,FALSE)</f>
        <v>32.966315039331903</v>
      </c>
      <c r="K188">
        <f>VLOOKUP(F188,[1]!china_towns_second__2[[Column1]:[Y]],2,FALSE)</f>
        <v>108.7808519</v>
      </c>
      <c r="L188" t="s">
        <v>4313</v>
      </c>
      <c r="M188" t="str">
        <f>VLOOKUP(H188,CHOOSE({1,2},Table11[Native],Table11[Name]),2,0)</f>
        <v>Hànbīn Qū</v>
      </c>
      <c r="N188" s="13" t="str">
        <f>VLOOKUP(I188,CHOOSE({1,2},Table11[Native],Table11[Name]),2,0)</f>
        <v>Ānkāng Shì</v>
      </c>
      <c r="O188" s="13" t="str">
        <f t="shared" si="10"/>
        <v>Dahe Zhen (Ankang Shi) (Ānkāng Shì)</v>
      </c>
      <c r="P188" s="13" t="str">
        <f t="shared" si="11"/>
        <v>Dahe Zhen (Ankang Shi) (Ānkāng Shì)</v>
      </c>
    </row>
    <row r="189" spans="1:16" hidden="1" x14ac:dyDescent="0.25">
      <c r="A189" t="s">
        <v>45</v>
      </c>
      <c r="B189" t="str">
        <f t="shared" si="8"/>
        <v>Dàhé Zhèn (Hànzhōng Shì)</v>
      </c>
      <c r="C189" t="str">
        <f t="shared" si="9"/>
        <v>Dàhé Zhèn (Hànzhōng Shì)</v>
      </c>
      <c r="D189" t="s">
        <v>46</v>
      </c>
      <c r="E189" t="s">
        <v>7</v>
      </c>
      <c r="F189" t="str">
        <f>_xlfn.CONCAT(D189,", ",H189,", ",I189,", ","陕西省")</f>
        <v>大河镇, 西乡县, 汉中市, 陕西省</v>
      </c>
      <c r="G189">
        <v>4716</v>
      </c>
      <c r="H189" t="s">
        <v>3068</v>
      </c>
      <c r="I189" t="s">
        <v>3059</v>
      </c>
      <c r="J189">
        <f>VLOOKUP(F189,[1]!china_towns_second__2[[Column1]:[Y]],3,FALSE)</f>
        <v>32.653821088859097</v>
      </c>
      <c r="K189">
        <f>VLOOKUP(F189,[1]!china_towns_second__2[[Column1]:[Y]],2,FALSE)</f>
        <v>107.41925550000001</v>
      </c>
      <c r="L189" t="s">
        <v>4314</v>
      </c>
      <c r="M189" t="str">
        <f>VLOOKUP(H189,CHOOSE({1,2},Table11[Native],Table11[Name]),2,0)</f>
        <v>Xīxiāng Xiàn</v>
      </c>
      <c r="N189" s="13" t="str">
        <f>VLOOKUP(I189,CHOOSE({1,2},Table11[Native],Table11[Name]),2,0)</f>
        <v>Hànzhōng Shì</v>
      </c>
      <c r="O189" s="13" t="str">
        <f t="shared" si="10"/>
        <v>Dahe Zhen (Hanzhong Shi) (Hànzhōng Shì)</v>
      </c>
      <c r="P189" s="13" t="str">
        <f t="shared" si="11"/>
        <v>Dahe Zhen (Hanzhong Shi) (Hànzhōng Shì)</v>
      </c>
    </row>
    <row r="190" spans="1:16" hidden="1" x14ac:dyDescent="0.25">
      <c r="A190" t="s">
        <v>689</v>
      </c>
      <c r="B190" t="str">
        <f t="shared" si="8"/>
        <v>Dàhébà Zhèn [incl. Shímŭdì Xiāng]</v>
      </c>
      <c r="C190" t="str">
        <f t="shared" si="9"/>
        <v>Dàhébà Zhèn [incl. Shímŭdì Xiāng]</v>
      </c>
      <c r="D190" t="s">
        <v>690</v>
      </c>
      <c r="E190" t="s">
        <v>7</v>
      </c>
      <c r="F190" t="str">
        <f>_xlfn.CONCAT(D190,", ",H190,", ",I190,", ","陕西省")</f>
        <v>大河坝镇, 佛坪县, 汉中市, 陕西省</v>
      </c>
      <c r="G190">
        <v>5430</v>
      </c>
      <c r="H190" t="s">
        <v>3061</v>
      </c>
      <c r="I190" t="s">
        <v>3059</v>
      </c>
      <c r="J190">
        <f>VLOOKUP(F190,[1]!china_towns_second__2[[Column1]:[Y]],3,FALSE)</f>
        <v>33.313241470663002</v>
      </c>
      <c r="K190">
        <f>VLOOKUP(F190,[1]!china_towns_second__2[[Column1]:[Y]],2,FALSE)</f>
        <v>108.01280939999999</v>
      </c>
      <c r="L190" t="s">
        <v>4315</v>
      </c>
      <c r="M190" t="str">
        <f>VLOOKUP(H190,CHOOSE({1,2},Table11[Native],Table11[Name]),2,0)</f>
        <v>Fópíng Xiàn</v>
      </c>
      <c r="N190" s="13" t="str">
        <f>VLOOKUP(I190,CHOOSE({1,2},Table11[Native],Table11[Name]),2,0)</f>
        <v>Hànzhōng Shì</v>
      </c>
      <c r="O190" s="13" t="str">
        <f t="shared" si="10"/>
        <v>Daheba Zhen [incl. Shimudi Xiang] (Hànzhōng Shì)</v>
      </c>
      <c r="P190" s="13" t="str">
        <f t="shared" si="11"/>
        <v>Daheba Zhen [incl. Shimudi Xiang] (Hànzhōng Shì)</v>
      </c>
    </row>
    <row r="191" spans="1:16" hidden="1" x14ac:dyDescent="0.25">
      <c r="A191" t="s">
        <v>691</v>
      </c>
      <c r="B191" t="str">
        <f t="shared" si="8"/>
        <v>Dàhékăn Zhèn</v>
      </c>
      <c r="C191" t="str">
        <f t="shared" si="9"/>
        <v>Dàhékăn Zhèn</v>
      </c>
      <c r="D191" t="s">
        <v>692</v>
      </c>
      <c r="E191" t="s">
        <v>7</v>
      </c>
      <c r="F191" t="str">
        <f>_xlfn.CONCAT(D191,", ",H191,", ",I191,", ","陕西省")</f>
        <v>大河坎镇, 南郑区, 汉中市, 陕西省</v>
      </c>
      <c r="G191">
        <v>68154</v>
      </c>
      <c r="H191" t="s">
        <v>3066</v>
      </c>
      <c r="I191" t="s">
        <v>3059</v>
      </c>
      <c r="J191">
        <f>VLOOKUP(F191,[1]!china_towns_second__2[[Column1]:[Y]],3,FALSE)</f>
        <v>32.996991172064803</v>
      </c>
      <c r="K191">
        <f>VLOOKUP(F191,[1]!china_towns_second__2[[Column1]:[Y]],2,FALSE)</f>
        <v>106.9985873</v>
      </c>
      <c r="L191" t="s">
        <v>4316</v>
      </c>
      <c r="M191" t="str">
        <f>VLOOKUP(H191,CHOOSE({1,2},Table11[Native],Table11[Name]),2,0)</f>
        <v>Nánzhèng Qū</v>
      </c>
      <c r="N191" s="13" t="str">
        <f>VLOOKUP(I191,CHOOSE({1,2},Table11[Native],Table11[Name]),2,0)</f>
        <v>Hànzhōng Shì</v>
      </c>
      <c r="O191" s="13" t="str">
        <f t="shared" si="10"/>
        <v>Dahekan Zhen (Hànzhōng Shì)</v>
      </c>
      <c r="P191" s="13" t="str">
        <f t="shared" si="11"/>
        <v>Dahekan Zhen (Hànzhōng Shì)</v>
      </c>
    </row>
    <row r="192" spans="1:16" hidden="1" x14ac:dyDescent="0.25">
      <c r="A192" t="s">
        <v>2665</v>
      </c>
      <c r="B192" t="str">
        <f t="shared" si="8"/>
        <v>Dàhétă Zhèn</v>
      </c>
      <c r="C192" t="str">
        <f t="shared" si="9"/>
        <v>Dàhétă Zhèn</v>
      </c>
      <c r="D192" t="s">
        <v>2666</v>
      </c>
      <c r="E192" t="s">
        <v>7</v>
      </c>
      <c r="F192" t="str">
        <f>_xlfn.CONCAT(D192,", ",H192,", ",I192,", ","陕西省")</f>
        <v>大河塔镇, 榆阳区, 榆林市, 陕西省</v>
      </c>
      <c r="G192">
        <v>4353</v>
      </c>
      <c r="H192" t="s">
        <v>3159</v>
      </c>
      <c r="I192" t="s">
        <v>3148</v>
      </c>
      <c r="J192">
        <f>VLOOKUP(F192,[1]!china_towns_second__2[[Column1]:[Y]],3,FALSE)</f>
        <v>38.456755896334499</v>
      </c>
      <c r="K192">
        <f>VLOOKUP(F192,[1]!china_towns_second__2[[Column1]:[Y]],2,FALSE)</f>
        <v>110.18876229999999</v>
      </c>
      <c r="L192" t="s">
        <v>4317</v>
      </c>
      <c r="M192" t="str">
        <f>VLOOKUP(H192,CHOOSE({1,2},Table11[Native],Table11[Name]),2,0)</f>
        <v>Yúyáng Qū</v>
      </c>
      <c r="N192" s="13" t="str">
        <f>VLOOKUP(I192,CHOOSE({1,2},Table11[Native],Table11[Name]),2,0)</f>
        <v>Yúlín Shì</v>
      </c>
      <c r="O192" s="13" t="str">
        <f t="shared" si="10"/>
        <v>Daheta Zhen (Yúlín Shì)</v>
      </c>
      <c r="P192" s="13" t="str">
        <f t="shared" si="11"/>
        <v>Daheta Zhen (Yúlín Shì)</v>
      </c>
    </row>
    <row r="193" spans="1:16" hidden="1" x14ac:dyDescent="0.25">
      <c r="A193" t="s">
        <v>1741</v>
      </c>
      <c r="B193" t="str">
        <f t="shared" si="8"/>
        <v>Dàijiā Xiāng</v>
      </c>
      <c r="C193" t="str">
        <f t="shared" si="9"/>
        <v>Dàijiā Xiāng</v>
      </c>
      <c r="D193" t="s">
        <v>1742</v>
      </c>
      <c r="E193" t="s">
        <v>11</v>
      </c>
      <c r="F193" t="str">
        <f>_xlfn.CONCAT(D193,", ",H193,", ",I193,", ","陕西省")</f>
        <v>代家乡, 武功县, 咸阳市, 陕西省</v>
      </c>
      <c r="G193">
        <v>28568</v>
      </c>
      <c r="H193" t="s">
        <v>3127</v>
      </c>
      <c r="I193" t="s">
        <v>3117</v>
      </c>
      <c r="J193" t="e">
        <f>VLOOKUP(F193,[1]!china_towns_second__2[[Column1]:[Y]],3,FALSE)</f>
        <v>#N/A</v>
      </c>
      <c r="K193" t="e">
        <f>VLOOKUP(F193,[1]!china_towns_second__2[[Column1]:[Y]],2,FALSE)</f>
        <v>#N/A</v>
      </c>
      <c r="L193" t="s">
        <v>4318</v>
      </c>
      <c r="M193" t="str">
        <f>VLOOKUP(H193,CHOOSE({1,2},Table11[Native],Table11[Name]),2,0)</f>
        <v>Wŭgōng Xiàn</v>
      </c>
      <c r="N193" s="13" t="str">
        <f>VLOOKUP(I193,CHOOSE({1,2},Table11[Native],Table11[Name]),2,0)</f>
        <v>Xiányáng Shì</v>
      </c>
      <c r="O193" s="13" t="str">
        <f t="shared" si="10"/>
        <v>Daijia Xiang (Xiányáng Shì)</v>
      </c>
      <c r="P193" s="13" t="str">
        <f t="shared" si="11"/>
        <v>Daijia Xiang (Xiányáng Shì)</v>
      </c>
    </row>
    <row r="194" spans="1:16" hidden="1" x14ac:dyDescent="0.25">
      <c r="A194" t="s">
        <v>693</v>
      </c>
      <c r="B194" t="str">
        <f t="shared" ref="B194:B257" si="12">IF(COUNTIF(A:A,A194)&gt;1,_xlfn.CONCAT(A194," (",N194,")"),A194)</f>
        <v>Dàijiābà Zhèn [incl. Gŏngjiāhé Xiāng, Dōnghuánggōu Xiāng]</v>
      </c>
      <c r="C194" t="str">
        <f t="shared" ref="C194:C257" si="13">IF(COUNTIF(B:B,B194)&gt;1,_xlfn.CONCAT(A194," (",M194,")"),B194)</f>
        <v>Dàijiābà Zhèn [incl. Gŏngjiāhé Xiāng, Dōnghuánggōu Xiāng]</v>
      </c>
      <c r="D194" t="s">
        <v>694</v>
      </c>
      <c r="E194" t="s">
        <v>7</v>
      </c>
      <c r="F194" t="str">
        <f>_xlfn.CONCAT(D194,", ",H194,", ",I194,", ","陕西省")</f>
        <v>代家坝镇, 宁强县, 汉中市, 陕西省</v>
      </c>
      <c r="G194">
        <v>26995</v>
      </c>
      <c r="H194" t="s">
        <v>3067</v>
      </c>
      <c r="I194" t="s">
        <v>3059</v>
      </c>
      <c r="J194">
        <f>VLOOKUP(F194,[1]!china_towns_second__2[[Column1]:[Y]],3,FALSE)</f>
        <v>33.039109862997002</v>
      </c>
      <c r="K194">
        <f>VLOOKUP(F194,[1]!china_towns_second__2[[Column1]:[Y]],2,FALSE)</f>
        <v>106.17952080000001</v>
      </c>
      <c r="L194" t="s">
        <v>4319</v>
      </c>
      <c r="M194" t="str">
        <f>VLOOKUP(H194,CHOOSE({1,2},Table11[Native],Table11[Name]),2,0)</f>
        <v>Níngqiáng Xiàn</v>
      </c>
      <c r="N194" s="13" t="str">
        <f>VLOOKUP(I194,CHOOSE({1,2},Table11[Native],Table11[Name]),2,0)</f>
        <v>Hànzhōng Shì</v>
      </c>
      <c r="O194" s="13" t="str">
        <f t="shared" ref="O194:O257" si="14">_xlfn.CONCAT(L194," (",N194,")")</f>
        <v>Daijiaba Zhen [incl. Gongjiahe Xiang, Donghuanggou Xiang] (Hànzhōng Shì)</v>
      </c>
      <c r="P194" s="13" t="str">
        <f t="shared" ref="P194:P257" si="15">IF(COUNTIF(O:O,O194)&gt;1,_xlfn.CONCAT(L194," (",M194,")"),O194)</f>
        <v>Daijiaba Zhen [incl. Gongjiahe Xiang, Donghuanggou Xiang] (Hànzhōng Shì)</v>
      </c>
    </row>
    <row r="195" spans="1:16" hidden="1" x14ac:dyDescent="0.25">
      <c r="A195" t="s">
        <v>2021</v>
      </c>
      <c r="B195" t="str">
        <f t="shared" si="12"/>
        <v>Dàiwáng Jiēdào</v>
      </c>
      <c r="C195" t="str">
        <f t="shared" si="13"/>
        <v>Dàiwáng Jiēdào</v>
      </c>
      <c r="D195" t="s">
        <v>2022</v>
      </c>
      <c r="E195" t="s">
        <v>113</v>
      </c>
      <c r="F195" t="str">
        <f>_xlfn.CONCAT(D195,", ",H195,", ",I195,", ","陕西省")</f>
        <v>代王街道, 临潼区, 西安市, 陕西省</v>
      </c>
      <c r="G195">
        <v>49037</v>
      </c>
      <c r="H195" t="s">
        <v>3110</v>
      </c>
      <c r="I195" t="s">
        <v>3102</v>
      </c>
      <c r="J195">
        <f>VLOOKUP(F195,[1]!china_towns_second__2[[Column1]:[Y]],3,FALSE)</f>
        <v>34.410553130351701</v>
      </c>
      <c r="K195">
        <f>VLOOKUP(F195,[1]!china_towns_second__2[[Column1]:[Y]],2,FALSE)</f>
        <v>109.3194307</v>
      </c>
      <c r="L195" t="s">
        <v>4320</v>
      </c>
      <c r="M195" t="str">
        <f>VLOOKUP(H195,CHOOSE({1,2},Table11[Native],Table11[Name]),2,0)</f>
        <v>Líntóng Qū</v>
      </c>
      <c r="N195" s="13" t="str">
        <f>VLOOKUP(I195,CHOOSE({1,2},Table11[Native],Table11[Name]),2,0)</f>
        <v>Xī'ān Shì</v>
      </c>
      <c r="O195" s="13" t="str">
        <f t="shared" si="14"/>
        <v>Daiwang Jiedao (Xī'ān Shì)</v>
      </c>
      <c r="P195" s="13" t="str">
        <f t="shared" si="15"/>
        <v>Daiwang Jiedao (Xī'ān Shì)</v>
      </c>
    </row>
    <row r="196" spans="1:16" hidden="1" x14ac:dyDescent="0.25">
      <c r="A196" t="s">
        <v>1415</v>
      </c>
      <c r="B196" t="str">
        <f t="shared" si="12"/>
        <v>Dàizìyíng Zhèn</v>
      </c>
      <c r="C196" t="str">
        <f t="shared" si="13"/>
        <v>Dàizìyíng Zhèn</v>
      </c>
      <c r="D196" t="s">
        <v>1416</v>
      </c>
      <c r="E196" t="s">
        <v>7</v>
      </c>
      <c r="F196" t="str">
        <f>_xlfn.CONCAT(D196,", ",H196,", ",I196,", ","陕西省")</f>
        <v>代字营镇, 潼关县, 渭南市, 陕西省</v>
      </c>
      <c r="G196">
        <v>11574</v>
      </c>
      <c r="H196" t="s">
        <v>3099</v>
      </c>
      <c r="I196" t="s">
        <v>3087</v>
      </c>
      <c r="J196">
        <f>VLOOKUP(F196,[1]!china_towns_second__2[[Column1]:[Y]],3,FALSE)</f>
        <v>34.550497118681299</v>
      </c>
      <c r="K196">
        <f>VLOOKUP(F196,[1]!china_towns_second__2[[Column1]:[Y]],2,FALSE)</f>
        <v>110.3284438</v>
      </c>
      <c r="L196" t="s">
        <v>4321</v>
      </c>
      <c r="M196" t="str">
        <f>VLOOKUP(H196,CHOOSE({1,2},Table11[Native],Table11[Name]),2,0)</f>
        <v>Tóngguān Xiàn</v>
      </c>
      <c r="N196" s="13" t="str">
        <f>VLOOKUP(I196,CHOOSE({1,2},Table11[Native],Table11[Name]),2,0)</f>
        <v>Wèinán Shì</v>
      </c>
      <c r="O196" s="13" t="str">
        <f t="shared" si="14"/>
        <v>Daiziying Zhen (Wèinán Shì)</v>
      </c>
      <c r="P196" s="13" t="str">
        <f t="shared" si="15"/>
        <v>Daiziying Zhen (Wèinán Shì)</v>
      </c>
    </row>
    <row r="197" spans="1:16" hidden="1" x14ac:dyDescent="0.25">
      <c r="A197" t="s">
        <v>1071</v>
      </c>
      <c r="B197" t="str">
        <f t="shared" si="12"/>
        <v>Dàjīng Zhèn [incl. Xījīng Xiāng]</v>
      </c>
      <c r="C197" t="str">
        <f t="shared" si="13"/>
        <v>Dàjīng Zhèn [incl. Xījīng Xiāng]</v>
      </c>
      <c r="D197" t="s">
        <v>1072</v>
      </c>
      <c r="E197" t="s">
        <v>7</v>
      </c>
      <c r="F197" t="str">
        <f>_xlfn.CONCAT(D197,", ",H197,", ",I197,", ","陕西省")</f>
        <v>大荆镇, 商州区, 商洛市, 陕西省</v>
      </c>
      <c r="G197">
        <v>38353</v>
      </c>
      <c r="H197" t="s">
        <v>3076</v>
      </c>
      <c r="I197" t="s">
        <v>3072</v>
      </c>
      <c r="J197">
        <f>VLOOKUP(F197,[1]!china_towns_second__2[[Column1]:[Y]],3,FALSE)</f>
        <v>34.073751581618097</v>
      </c>
      <c r="K197">
        <f>VLOOKUP(F197,[1]!china_towns_second__2[[Column1]:[Y]],2,FALSE)</f>
        <v>109.8511637</v>
      </c>
      <c r="L197" t="s">
        <v>4322</v>
      </c>
      <c r="M197" t="str">
        <f>VLOOKUP(H197,CHOOSE({1,2},Table11[Native],Table11[Name]),2,0)</f>
        <v>Shāngzhōu Qū</v>
      </c>
      <c r="N197" s="13" t="str">
        <f>VLOOKUP(I197,CHOOSE({1,2},Table11[Native],Table11[Name]),2,0)</f>
        <v>Shāngluò Shì</v>
      </c>
      <c r="O197" s="13" t="str">
        <f t="shared" si="14"/>
        <v>Dajing Zhen [incl. Xijing Xiang] (Shāngluò Shì)</v>
      </c>
      <c r="P197" s="13" t="str">
        <f t="shared" si="15"/>
        <v>Dajing Zhen [incl. Xijing Xiang] (Shāngluò Shì)</v>
      </c>
    </row>
    <row r="198" spans="1:16" hidden="1" x14ac:dyDescent="0.25">
      <c r="A198" t="s">
        <v>2667</v>
      </c>
      <c r="B198" t="str">
        <f t="shared" si="12"/>
        <v>Dàliŭtă Zhèn</v>
      </c>
      <c r="C198" t="str">
        <f t="shared" si="13"/>
        <v>Dàliŭtă Zhèn</v>
      </c>
      <c r="D198" t="s">
        <v>2668</v>
      </c>
      <c r="E198" t="s">
        <v>7</v>
      </c>
      <c r="F198" t="str">
        <f>_xlfn.CONCAT(D198,", ",H198,", ",I198,", ","陕西省")</f>
        <v>大柳塔镇, 神木市, 榆林市, 陕西省</v>
      </c>
      <c r="G198">
        <v>59883</v>
      </c>
      <c r="H198" t="s">
        <v>3156</v>
      </c>
      <c r="I198" t="s">
        <v>3148</v>
      </c>
      <c r="J198">
        <f>VLOOKUP(F198,[1]!china_towns_second__2[[Column1]:[Y]],3,FALSE)</f>
        <v>39.307015638599403</v>
      </c>
      <c r="K198">
        <f>VLOOKUP(F198,[1]!china_towns_second__2[[Column1]:[Y]],2,FALSE)</f>
        <v>110.2780983</v>
      </c>
      <c r="L198" t="s">
        <v>4323</v>
      </c>
      <c r="M198" t="str">
        <f>VLOOKUP(H198,CHOOSE({1,2},Table11[Native],Table11[Name]),2,0)</f>
        <v>Shénmù Shì</v>
      </c>
      <c r="N198" s="13" t="str">
        <f>VLOOKUP(I198,CHOOSE({1,2},Table11[Native],Table11[Name]),2,0)</f>
        <v>Yúlín Shì</v>
      </c>
      <c r="O198" s="13" t="str">
        <f t="shared" si="14"/>
        <v>Daliuta Zhen (Yúlín Shì)</v>
      </c>
      <c r="P198" s="13" t="str">
        <f t="shared" si="15"/>
        <v>Daliuta Zhen (Yúlín Shì)</v>
      </c>
    </row>
    <row r="199" spans="1:16" hidden="1" x14ac:dyDescent="0.25">
      <c r="A199" t="s">
        <v>2669</v>
      </c>
      <c r="B199" t="str">
        <f t="shared" si="12"/>
        <v>Dàlùgōu Xiāng</v>
      </c>
      <c r="C199" t="str">
        <f t="shared" si="13"/>
        <v>Dàlùgōu Xiāng</v>
      </c>
      <c r="D199" t="s">
        <v>2670</v>
      </c>
      <c r="E199" t="s">
        <v>11</v>
      </c>
      <c r="F199" t="str">
        <f>_xlfn.CONCAT(D199,", ",H199,", ",I199,", ","陕西省")</f>
        <v>大路沟乡, 靖边县, 榆林市, 陕西省</v>
      </c>
      <c r="G199">
        <v>4107</v>
      </c>
      <c r="H199" t="s">
        <v>3153</v>
      </c>
      <c r="I199" t="s">
        <v>3148</v>
      </c>
      <c r="J199" t="e">
        <f>VLOOKUP(F199,[1]!china_towns_second__2[[Column1]:[Y]],3,FALSE)</f>
        <v>#N/A</v>
      </c>
      <c r="K199" t="e">
        <f>VLOOKUP(F199,[1]!china_towns_second__2[[Column1]:[Y]],2,FALSE)</f>
        <v>#N/A</v>
      </c>
      <c r="L199" t="s">
        <v>4324</v>
      </c>
      <c r="M199" t="str">
        <f>VLOOKUP(H199,CHOOSE({1,2},Table11[Native],Table11[Name]),2,0)</f>
        <v>Jìngbiān Xiàn</v>
      </c>
      <c r="N199" s="13" t="str">
        <f>VLOOKUP(I199,CHOOSE({1,2},Table11[Native],Table11[Name]),2,0)</f>
        <v>Yúlín Shì</v>
      </c>
      <c r="O199" s="13" t="str">
        <f t="shared" si="14"/>
        <v>Dalugou Xiang (Yúlín Shì)</v>
      </c>
      <c r="P199" s="13" t="str">
        <f t="shared" si="15"/>
        <v>Dalugou Xiang (Yúlín Shì)</v>
      </c>
    </row>
    <row r="200" spans="1:16" hidden="1" x14ac:dyDescent="0.25">
      <c r="A200" t="s">
        <v>1417</v>
      </c>
      <c r="B200" t="str">
        <f t="shared" si="12"/>
        <v>Dàmíng Zhèn</v>
      </c>
      <c r="C200" t="str">
        <f t="shared" si="13"/>
        <v>Dàmíng Zhèn</v>
      </c>
      <c r="D200" t="s">
        <v>1418</v>
      </c>
      <c r="E200" t="s">
        <v>7</v>
      </c>
      <c r="F200" t="str">
        <f>_xlfn.CONCAT(D200,", ",H200,", ",I200,", ","陕西省")</f>
        <v>大明镇, 华州区, 渭南市, 陕西省</v>
      </c>
      <c r="G200">
        <v>20737</v>
      </c>
      <c r="H200" t="s">
        <v>3096</v>
      </c>
      <c r="I200" t="s">
        <v>3087</v>
      </c>
      <c r="J200">
        <f>VLOOKUP(F200,[1]!china_towns_second__2[[Column1]:[Y]],3,FALSE)</f>
        <v>34.387043473161803</v>
      </c>
      <c r="K200">
        <f>VLOOKUP(F200,[1]!china_towns_second__2[[Column1]:[Y]],2,FALSE)</f>
        <v>109.7389798</v>
      </c>
      <c r="L200" t="s">
        <v>4325</v>
      </c>
      <c r="M200" t="str">
        <f>VLOOKUP(H200,CHOOSE({1,2},Table11[Native],Table11[Name]),2,0)</f>
        <v>Huázhōu Qū</v>
      </c>
      <c r="N200" s="13" t="str">
        <f>VLOOKUP(I200,CHOOSE({1,2},Table11[Native],Table11[Name]),2,0)</f>
        <v>Wèinán Shì</v>
      </c>
      <c r="O200" s="13" t="str">
        <f t="shared" si="14"/>
        <v>Daming Zhen (Wèinán Shì)</v>
      </c>
      <c r="P200" s="13" t="str">
        <f t="shared" si="15"/>
        <v>Daming Zhen (Wèinán Shì)</v>
      </c>
    </row>
    <row r="201" spans="1:16" hidden="1" x14ac:dyDescent="0.25">
      <c r="A201" t="s">
        <v>2023</v>
      </c>
      <c r="B201" t="str">
        <f t="shared" si="12"/>
        <v>Dàmínggōng Jiēdào</v>
      </c>
      <c r="C201" t="str">
        <f t="shared" si="13"/>
        <v>Dàmínggōng Jiēdào</v>
      </c>
      <c r="D201" t="s">
        <v>2024</v>
      </c>
      <c r="E201" t="s">
        <v>113</v>
      </c>
      <c r="F201" t="str">
        <f>_xlfn.CONCAT(D201,", ",H201,", ",I201,", ","陕西省")</f>
        <v>大明宫街道, 未央区, 西安市, 陕西省</v>
      </c>
      <c r="G201">
        <v>70673</v>
      </c>
      <c r="H201" t="s">
        <v>3111</v>
      </c>
      <c r="I201" t="s">
        <v>3102</v>
      </c>
      <c r="J201">
        <f>VLOOKUP(F201,[1]!china_towns_second__2[[Column1]:[Y]],3,FALSE)</f>
        <v>34.3111391668061</v>
      </c>
      <c r="K201">
        <f>VLOOKUP(F201,[1]!china_towns_second__2[[Column1]:[Y]],2,FALSE)</f>
        <v>108.9655343</v>
      </c>
      <c r="L201" t="s">
        <v>4326</v>
      </c>
      <c r="M201" t="str">
        <f>VLOOKUP(H201,CHOOSE({1,2},Table11[Native],Table11[Name]),2,0)</f>
        <v>Wèiyāng Qū</v>
      </c>
      <c r="N201" s="13" t="str">
        <f>VLOOKUP(I201,CHOOSE({1,2},Table11[Native],Table11[Name]),2,0)</f>
        <v>Xī'ān Shì</v>
      </c>
      <c r="O201" s="13" t="str">
        <f t="shared" si="14"/>
        <v>Daminggong Jiedao (Xī'ān Shì)</v>
      </c>
      <c r="P201" s="13" t="str">
        <f t="shared" si="15"/>
        <v>Daminggong Jiedao (Xī'ān Shì)</v>
      </c>
    </row>
    <row r="202" spans="1:16" hidden="1" x14ac:dyDescent="0.25">
      <c r="A202" t="s">
        <v>2367</v>
      </c>
      <c r="B202" t="str">
        <f t="shared" si="12"/>
        <v>Dànbā Zhèn</v>
      </c>
      <c r="C202" t="str">
        <f t="shared" si="13"/>
        <v>Dànbā Zhèn</v>
      </c>
      <c r="D202" t="s">
        <v>2368</v>
      </c>
      <c r="E202" t="s">
        <v>7</v>
      </c>
      <c r="F202" t="str">
        <f>_xlfn.CONCAT(D202,", ",H202,", ",I202,", ","陕西省")</f>
        <v>旦八镇, 志丹县, 延安市, 陕西省</v>
      </c>
      <c r="G202">
        <v>10404</v>
      </c>
      <c r="H202" t="s">
        <v>3145</v>
      </c>
      <c r="I202" t="s">
        <v>3133</v>
      </c>
      <c r="J202">
        <f>VLOOKUP(F202,[1]!china_towns_second__2[[Column1]:[Y]],3,FALSE)</f>
        <v>36.712880710806097</v>
      </c>
      <c r="K202">
        <f>VLOOKUP(F202,[1]!china_towns_second__2[[Column1]:[Y]],2,FALSE)</f>
        <v>108.5609142</v>
      </c>
      <c r="L202" t="s">
        <v>4327</v>
      </c>
      <c r="M202" t="str">
        <f>VLOOKUP(H202,CHOOSE({1,2},Table11[Native],Table11[Name]),2,0)</f>
        <v>Zhìdān Xiàn</v>
      </c>
      <c r="N202" s="13" t="str">
        <f>VLOOKUP(I202,CHOOSE({1,2},Table11[Native],Table11[Name]),2,0)</f>
        <v>Yán'ān Shì</v>
      </c>
      <c r="O202" s="13" t="str">
        <f t="shared" si="14"/>
        <v>Danba Zhen (Yán'ān Shì)</v>
      </c>
      <c r="P202" s="13" t="str">
        <f t="shared" si="15"/>
        <v>Danba Zhen (Yán'ān Shì)</v>
      </c>
    </row>
    <row r="203" spans="1:16" hidden="1" x14ac:dyDescent="0.25">
      <c r="A203" t="s">
        <v>1419</v>
      </c>
      <c r="B203" t="str">
        <f t="shared" si="12"/>
        <v>Dàncūn Zhèn</v>
      </c>
      <c r="C203" t="str">
        <f t="shared" si="13"/>
        <v>Dàncūn Zhèn</v>
      </c>
      <c r="D203" t="s">
        <v>1420</v>
      </c>
      <c r="E203" t="s">
        <v>7</v>
      </c>
      <c r="F203" t="str">
        <f>_xlfn.CONCAT(D203,", ",H203,", ",I203,", ","陕西省")</f>
        <v>淡村镇, 富平县, 渭南市, 陕西省</v>
      </c>
      <c r="G203">
        <v>24776</v>
      </c>
      <c r="H203" t="s">
        <v>3091</v>
      </c>
      <c r="I203" t="s">
        <v>3087</v>
      </c>
      <c r="J203">
        <f>VLOOKUP(F203,[1]!china_towns_second__2[[Column1]:[Y]],3,FALSE)</f>
        <v>34.744472779939201</v>
      </c>
      <c r="K203">
        <f>VLOOKUP(F203,[1]!china_towns_second__2[[Column1]:[Y]],2,FALSE)</f>
        <v>109.07846410000001</v>
      </c>
      <c r="L203" t="s">
        <v>4328</v>
      </c>
      <c r="M203" t="str">
        <f>VLOOKUP(H203,CHOOSE({1,2},Table11[Native],Table11[Name]),2,0)</f>
        <v>Fùpíng Xiàn</v>
      </c>
      <c r="N203" s="13" t="str">
        <f>VLOOKUP(I203,CHOOSE({1,2},Table11[Native],Table11[Name]),2,0)</f>
        <v>Wèinán Shì</v>
      </c>
      <c r="O203" s="13" t="str">
        <f t="shared" si="14"/>
        <v>Dancun Zhen (Wèinán Shì)</v>
      </c>
      <c r="P203" s="13" t="str">
        <f t="shared" si="15"/>
        <v>Dancun Zhen (Wèinán Shì)</v>
      </c>
    </row>
    <row r="204" spans="1:16" hidden="1" x14ac:dyDescent="0.25">
      <c r="A204" t="s">
        <v>2672</v>
      </c>
      <c r="B204" t="str">
        <f t="shared" si="12"/>
        <v>Dăngchà Zhèn</v>
      </c>
      <c r="C204" t="str">
        <f t="shared" si="13"/>
        <v>Dăngchà Zhèn</v>
      </c>
      <c r="D204" t="s">
        <v>2673</v>
      </c>
      <c r="E204" t="s">
        <v>7</v>
      </c>
      <c r="F204" t="str">
        <f>_xlfn.CONCAT(D204,", ",H204,", ",I204,", ","陕西省")</f>
        <v>党岔镇, 横山区, 榆林市, 陕西省</v>
      </c>
      <c r="G204">
        <v>19396</v>
      </c>
      <c r="H204" t="s">
        <v>3151</v>
      </c>
      <c r="I204" t="s">
        <v>3148</v>
      </c>
      <c r="J204">
        <f>VLOOKUP(F204,[1]!china_towns_second__2[[Column1]:[Y]],3,FALSE)</f>
        <v>37.936905425818701</v>
      </c>
      <c r="K204">
        <f>VLOOKUP(F204,[1]!china_towns_second__2[[Column1]:[Y]],2,FALSE)</f>
        <v>109.84531990000001</v>
      </c>
      <c r="L204" t="s">
        <v>4329</v>
      </c>
      <c r="M204" t="str">
        <f>VLOOKUP(H204,CHOOSE({1,2},Table11[Native],Table11[Name]),2,0)</f>
        <v>Héngshān Qū</v>
      </c>
      <c r="N204" s="13" t="str">
        <f>VLOOKUP(I204,CHOOSE({1,2},Table11[Native],Table11[Name]),2,0)</f>
        <v>Yúlín Shì</v>
      </c>
      <c r="O204" s="13" t="str">
        <f t="shared" si="14"/>
        <v>Dangcha Zhen (Yúlín Shì)</v>
      </c>
      <c r="P204" s="13" t="str">
        <f t="shared" si="15"/>
        <v>Dangcha Zhen (Yúlín Shì)</v>
      </c>
    </row>
    <row r="205" spans="1:16" hidden="1" x14ac:dyDescent="0.25">
      <c r="A205" t="s">
        <v>1421</v>
      </c>
      <c r="B205" t="str">
        <f t="shared" si="12"/>
        <v>Dăngmù Zhèn</v>
      </c>
      <c r="C205" t="str">
        <f t="shared" si="13"/>
        <v>Dăngmù Zhèn</v>
      </c>
      <c r="D205" t="s">
        <v>1422</v>
      </c>
      <c r="E205" t="s">
        <v>7</v>
      </c>
      <c r="F205" t="str">
        <f>_xlfn.CONCAT(D205,", ",H205,", ",I205,", ","陕西省")</f>
        <v>党睦镇, 蒲城县, 渭南市, 陕西省</v>
      </c>
      <c r="G205">
        <v>40921</v>
      </c>
      <c r="H205" t="s">
        <v>3098</v>
      </c>
      <c r="I205" t="s">
        <v>3087</v>
      </c>
      <c r="J205">
        <f>VLOOKUP(F205,[1]!china_towns_second__2[[Column1]:[Y]],3,FALSE)</f>
        <v>34.805101996385098</v>
      </c>
      <c r="K205">
        <f>VLOOKUP(F205,[1]!china_towns_second__2[[Column1]:[Y]],2,FALSE)</f>
        <v>109.5891568</v>
      </c>
      <c r="L205" t="s">
        <v>4330</v>
      </c>
      <c r="M205" t="str">
        <f>VLOOKUP(H205,CHOOSE({1,2},Table11[Native],Table11[Name]),2,0)</f>
        <v>Púchéng Xiàn</v>
      </c>
      <c r="N205" s="13" t="str">
        <f>VLOOKUP(I205,CHOOSE({1,2},Table11[Native],Table11[Name]),2,0)</f>
        <v>Wèinán Shì</v>
      </c>
      <c r="O205" s="13" t="str">
        <f t="shared" si="14"/>
        <v>Dangmu Zhen (Wèinán Shì)</v>
      </c>
      <c r="P205" s="13" t="str">
        <f t="shared" si="15"/>
        <v>Dangmu Zhen (Wèinán Shì)</v>
      </c>
    </row>
    <row r="206" spans="1:16" hidden="1" x14ac:dyDescent="0.25">
      <c r="A206" t="s">
        <v>2369</v>
      </c>
      <c r="B206" t="str">
        <f t="shared" si="12"/>
        <v>Dānzhōu Jiēdào</v>
      </c>
      <c r="C206" t="str">
        <f t="shared" si="13"/>
        <v>Dānzhōu Jiēdào</v>
      </c>
      <c r="D206" t="s">
        <v>2370</v>
      </c>
      <c r="E206" t="s">
        <v>113</v>
      </c>
      <c r="F206" t="str">
        <f>_xlfn.CONCAT(D206,", ",H206,", ",I206,", ","陕西省")</f>
        <v>丹州街道, 宜川县, 延安市, 陕西省</v>
      </c>
      <c r="G206">
        <v>47205</v>
      </c>
      <c r="H206" t="s">
        <v>3144</v>
      </c>
      <c r="I206" t="s">
        <v>3133</v>
      </c>
      <c r="J206" t="e">
        <f>VLOOKUP(F206,[1]!china_towns_second__2[[Column1]:[Y]],3,FALSE)</f>
        <v>#N/A</v>
      </c>
      <c r="K206" t="e">
        <f>VLOOKUP(F206,[1]!china_towns_second__2[[Column1]:[Y]],2,FALSE)</f>
        <v>#N/A</v>
      </c>
      <c r="L206" t="s">
        <v>4331</v>
      </c>
      <c r="M206" t="str">
        <f>VLOOKUP(H206,CHOOSE({1,2},Table11[Native],Table11[Name]),2,0)</f>
        <v>Yíchuān Xiàn</v>
      </c>
      <c r="N206" s="13" t="str">
        <f>VLOOKUP(I206,CHOOSE({1,2},Table11[Native],Table11[Name]),2,0)</f>
        <v>Yán'ān Shì</v>
      </c>
      <c r="O206" s="13" t="str">
        <f t="shared" si="14"/>
        <v>Danzhou Jiedao (Yán'ān Shì)</v>
      </c>
      <c r="P206" s="13" t="str">
        <f t="shared" si="15"/>
        <v>Danzhou Jiedao (Yán'ān Shì)</v>
      </c>
    </row>
    <row r="207" spans="1:16" hidden="1" x14ac:dyDescent="0.25">
      <c r="A207" t="s">
        <v>2372</v>
      </c>
      <c r="B207" t="str">
        <f t="shared" si="12"/>
        <v>Dào Zhèn</v>
      </c>
      <c r="C207" t="str">
        <f t="shared" si="13"/>
        <v>Dào Zhèn</v>
      </c>
      <c r="D207" t="s">
        <v>2373</v>
      </c>
      <c r="E207" t="s">
        <v>7</v>
      </c>
      <c r="F207" t="str">
        <f>_xlfn.CONCAT(D207,", ",H207,", ",I207,", ","陕西省")</f>
        <v>道镇, 甘泉县, 延安市, 陕西省</v>
      </c>
      <c r="G207">
        <v>8959</v>
      </c>
      <c r="H207" t="s">
        <v>3137</v>
      </c>
      <c r="I207" t="s">
        <v>3133</v>
      </c>
      <c r="J207">
        <f>VLOOKUP(F207,[1]!china_towns_second__2[[Column1]:[Y]],3,FALSE)</f>
        <v>36.2128370931947</v>
      </c>
      <c r="K207">
        <f>VLOOKUP(F207,[1]!china_towns_second__2[[Column1]:[Y]],2,FALSE)</f>
        <v>109.2680177</v>
      </c>
      <c r="L207" t="s">
        <v>4332</v>
      </c>
      <c r="M207" t="str">
        <f>VLOOKUP(H207,CHOOSE({1,2},Table11[Native],Table11[Name]),2,0)</f>
        <v>Gānquán Xiàn</v>
      </c>
      <c r="N207" s="13" t="str">
        <f>VLOOKUP(I207,CHOOSE({1,2},Table11[Native],Table11[Name]),2,0)</f>
        <v>Yán'ān Shì</v>
      </c>
      <c r="O207" s="13" t="str">
        <f t="shared" si="14"/>
        <v>Dao Zhen (Yán'ān Shì)</v>
      </c>
      <c r="P207" s="13" t="str">
        <f t="shared" si="15"/>
        <v>Dao Zhen (Yán'ān Shì)</v>
      </c>
    </row>
    <row r="208" spans="1:16" hidden="1" x14ac:dyDescent="0.25">
      <c r="A208" t="s">
        <v>1423</v>
      </c>
      <c r="B208" t="str">
        <f t="shared" si="12"/>
        <v>Dàoxián Zhèn [incl. Xiăohuì Xiāng]</v>
      </c>
      <c r="C208" t="str">
        <f t="shared" si="13"/>
        <v>Dàoxián Zhèn [incl. Xiăohuì Xiāng]</v>
      </c>
      <c r="D208" t="s">
        <v>1424</v>
      </c>
      <c r="E208" t="s">
        <v>7</v>
      </c>
      <c r="F208" t="str">
        <f>_xlfn.CONCAT(D208,", ",H208,", ",I208,", ","陕西省")</f>
        <v>到贤镇, 富平县, 渭南市, 陕西省</v>
      </c>
      <c r="G208">
        <v>43536</v>
      </c>
      <c r="H208" t="s">
        <v>3091</v>
      </c>
      <c r="I208" t="s">
        <v>3087</v>
      </c>
      <c r="J208">
        <f>VLOOKUP(F208,[1]!china_towns_second__2[[Column1]:[Y]],3,FALSE)</f>
        <v>34.8674447944164</v>
      </c>
      <c r="K208">
        <f>VLOOKUP(F208,[1]!china_towns_second__2[[Column1]:[Y]],2,FALSE)</f>
        <v>109.3124964</v>
      </c>
      <c r="L208" t="s">
        <v>4333</v>
      </c>
      <c r="M208" t="str">
        <f>VLOOKUP(H208,CHOOSE({1,2},Table11[Native],Table11[Name]),2,0)</f>
        <v>Fùpíng Xiàn</v>
      </c>
      <c r="N208" s="13" t="str">
        <f>VLOOKUP(I208,CHOOSE({1,2},Table11[Native],Table11[Name]),2,0)</f>
        <v>Wèinán Shì</v>
      </c>
      <c r="O208" s="13" t="str">
        <f t="shared" si="14"/>
        <v>Daoxian Zhen [incl. Xiaohui Xiang] (Wèinán Shì)</v>
      </c>
      <c r="P208" s="13" t="str">
        <f t="shared" si="15"/>
        <v>Daoxian Zhen [incl. Xiaohui Xiang] (Wèinán Shì)</v>
      </c>
    </row>
    <row r="209" spans="1:16" hidden="1" x14ac:dyDescent="0.25">
      <c r="A209" t="s">
        <v>695</v>
      </c>
      <c r="B209" t="str">
        <f t="shared" si="12"/>
        <v>Dàpán Xiāng</v>
      </c>
      <c r="C209" t="str">
        <f t="shared" si="13"/>
        <v>Dàpán Xiāng</v>
      </c>
      <c r="D209" t="s">
        <v>696</v>
      </c>
      <c r="E209" t="s">
        <v>11</v>
      </c>
      <c r="F209" t="str">
        <f>_xlfn.CONCAT(D209,", ",H209,", ",I209,", ","陕西省")</f>
        <v>大盘乡, 城固县, 汉中市, 陕西省</v>
      </c>
      <c r="G209">
        <v>6556</v>
      </c>
      <c r="H209" t="s">
        <v>3060</v>
      </c>
      <c r="I209" t="s">
        <v>3059</v>
      </c>
      <c r="J209" t="e">
        <f>VLOOKUP(F209,[1]!china_towns_second__2[[Column1]:[Y]],3,FALSE)</f>
        <v>#N/A</v>
      </c>
      <c r="K209" t="e">
        <f>VLOOKUP(F209,[1]!china_towns_second__2[[Column1]:[Y]],2,FALSE)</f>
        <v>#N/A</v>
      </c>
      <c r="L209" t="s">
        <v>4334</v>
      </c>
      <c r="M209" t="str">
        <f>VLOOKUP(H209,CHOOSE({1,2},Table11[Native],Table11[Name]),2,0)</f>
        <v>Chénggù Xiàn</v>
      </c>
      <c r="N209" s="13" t="str">
        <f>VLOOKUP(I209,CHOOSE({1,2},Table11[Native],Table11[Name]),2,0)</f>
        <v>Hànzhōng Shì</v>
      </c>
      <c r="O209" s="13" t="str">
        <f t="shared" si="14"/>
        <v>Dapan Xiang (Hànzhōng Shì)</v>
      </c>
      <c r="P209" s="13" t="str">
        <f t="shared" si="15"/>
        <v>Dapan Xiang (Hànzhōng Shì)</v>
      </c>
    </row>
    <row r="210" spans="1:16" hidden="1" x14ac:dyDescent="0.25">
      <c r="A210" t="s">
        <v>1073</v>
      </c>
      <c r="B210" t="str">
        <f t="shared" si="12"/>
        <v>Dàpíng Zhèn</v>
      </c>
      <c r="C210" t="str">
        <f t="shared" si="13"/>
        <v>Dàpíng Zhèn</v>
      </c>
      <c r="D210" t="s">
        <v>1074</v>
      </c>
      <c r="E210" t="s">
        <v>7</v>
      </c>
      <c r="F210" t="str">
        <f>_xlfn.CONCAT(D210,", ",H210,", ",I210,", ","陕西省")</f>
        <v>大坪镇, 镇安县, 商洛市, 陕西省</v>
      </c>
      <c r="G210">
        <v>13257</v>
      </c>
      <c r="H210" t="s">
        <v>3079</v>
      </c>
      <c r="I210" t="s">
        <v>3072</v>
      </c>
      <c r="J210">
        <f>VLOOKUP(F210,[1]!china_towns_second__2[[Column1]:[Y]],3,FALSE)</f>
        <v>33.392319103481299</v>
      </c>
      <c r="K210">
        <f>VLOOKUP(F210,[1]!china_towns_second__2[[Column1]:[Y]],2,FALSE)</f>
        <v>109.41604409999999</v>
      </c>
      <c r="L210" t="s">
        <v>4335</v>
      </c>
      <c r="M210" t="str">
        <f>VLOOKUP(H210,CHOOSE({1,2},Table11[Native],Table11[Name]),2,0)</f>
        <v>Zhèn'ān Xiàn</v>
      </c>
      <c r="N210" s="13" t="str">
        <f>VLOOKUP(I210,CHOOSE({1,2},Table11[Native],Table11[Name]),2,0)</f>
        <v>Shāngluò Shì</v>
      </c>
      <c r="O210" s="13" t="str">
        <f t="shared" si="14"/>
        <v>Daping Zhen (Shāngluò Shì)</v>
      </c>
      <c r="P210" s="13" t="str">
        <f t="shared" si="15"/>
        <v>Daping Zhen (Shāngluò Shì)</v>
      </c>
    </row>
    <row r="211" spans="1:16" hidden="1" x14ac:dyDescent="0.25">
      <c r="A211" t="s">
        <v>1075</v>
      </c>
      <c r="B211" t="str">
        <f t="shared" si="12"/>
        <v>Dárén Zhèn</v>
      </c>
      <c r="C211" t="str">
        <f t="shared" si="13"/>
        <v>Dárén Zhèn</v>
      </c>
      <c r="D211" t="s">
        <v>1076</v>
      </c>
      <c r="E211" t="s">
        <v>7</v>
      </c>
      <c r="F211" t="str">
        <f>_xlfn.CONCAT(D211,", ",H211,", ",I211,", ","陕西省")</f>
        <v>达仁镇, 镇安县, 商洛市, 陕西省</v>
      </c>
      <c r="G211">
        <v>11247</v>
      </c>
      <c r="H211" t="s">
        <v>3079</v>
      </c>
      <c r="I211" t="s">
        <v>3072</v>
      </c>
      <c r="J211">
        <f>VLOOKUP(F211,[1]!china_towns_second__2[[Column1]:[Y]],3,FALSE)</f>
        <v>33.217761478191903</v>
      </c>
      <c r="K211">
        <f>VLOOKUP(F211,[1]!china_towns_second__2[[Column1]:[Y]],2,FALSE)</f>
        <v>108.9185475</v>
      </c>
      <c r="L211" t="s">
        <v>4336</v>
      </c>
      <c r="M211" t="str">
        <f>VLOOKUP(H211,CHOOSE({1,2},Table11[Native],Table11[Name]),2,0)</f>
        <v>Zhèn'ān Xiàn</v>
      </c>
      <c r="N211" s="13" t="str">
        <f>VLOOKUP(I211,CHOOSE({1,2},Table11[Native],Table11[Name]),2,0)</f>
        <v>Shāngluò Shì</v>
      </c>
      <c r="O211" s="13" t="str">
        <f t="shared" si="14"/>
        <v>Daren Zhen (Shāngluò Shì)</v>
      </c>
      <c r="P211" s="13" t="str">
        <f t="shared" si="15"/>
        <v>Daren Zhen (Shāngluò Shì)</v>
      </c>
    </row>
    <row r="212" spans="1:16" hidden="1" x14ac:dyDescent="0.25">
      <c r="A212" t="s">
        <v>47</v>
      </c>
      <c r="B212" t="str">
        <f t="shared" si="12"/>
        <v>Dàshuāng Xiāng</v>
      </c>
      <c r="C212" t="str">
        <f t="shared" si="13"/>
        <v>Dàshuāng Xiāng</v>
      </c>
      <c r="D212" t="s">
        <v>48</v>
      </c>
      <c r="E212" t="s">
        <v>11</v>
      </c>
      <c r="F212" t="str">
        <f>_xlfn.CONCAT(D212,", ",H212,", ",I212,", ","陕西省")</f>
        <v>大双乡, 白河县, 安康市, 陕西省</v>
      </c>
      <c r="G212">
        <v>5552</v>
      </c>
      <c r="H212" t="s">
        <v>3033</v>
      </c>
      <c r="I212" t="s">
        <v>3031</v>
      </c>
      <c r="J212" t="e">
        <f>VLOOKUP(F212,[1]!china_towns_second__2[[Column1]:[Y]],3,FALSE)</f>
        <v>#N/A</v>
      </c>
      <c r="K212" t="e">
        <f>VLOOKUP(F212,[1]!china_towns_second__2[[Column1]:[Y]],2,FALSE)</f>
        <v>#N/A</v>
      </c>
      <c r="L212" t="s">
        <v>4337</v>
      </c>
      <c r="M212" t="str">
        <f>VLOOKUP(H212,CHOOSE({1,2},Table11[Native],Table11[Name]),2,0)</f>
        <v>Báihé Xiàn</v>
      </c>
      <c r="N212" s="13" t="str">
        <f>VLOOKUP(I212,CHOOSE({1,2},Table11[Native],Table11[Name]),2,0)</f>
        <v>Ānkāng Shì</v>
      </c>
      <c r="O212" s="13" t="str">
        <f t="shared" si="14"/>
        <v>Dashuang Xiang (Ānkāng Shì)</v>
      </c>
      <c r="P212" s="13" t="str">
        <f t="shared" si="15"/>
        <v>Dashuang Xiang (Ānkāng Shì)</v>
      </c>
    </row>
    <row r="213" spans="1:16" hidden="1" x14ac:dyDescent="0.25">
      <c r="A213" t="s">
        <v>49</v>
      </c>
      <c r="B213" t="str">
        <f t="shared" si="12"/>
        <v>Dàtóng Zhèn</v>
      </c>
      <c r="C213" t="str">
        <f t="shared" si="13"/>
        <v>Dàtóng Zhèn</v>
      </c>
      <c r="D213" t="s">
        <v>50</v>
      </c>
      <c r="E213" t="s">
        <v>7</v>
      </c>
      <c r="F213" t="str">
        <f>_xlfn.CONCAT(D213,", ",H213,", ",I213,", ","陕西省")</f>
        <v>大同镇, 汉滨区, 安康市, 陕西省</v>
      </c>
      <c r="G213">
        <v>37678</v>
      </c>
      <c r="H213" t="s">
        <v>3035</v>
      </c>
      <c r="I213" t="s">
        <v>3031</v>
      </c>
      <c r="J213">
        <f>VLOOKUP(F213,[1]!china_towns_second__2[[Column1]:[Y]],3,FALSE)</f>
        <v>32.725802842338702</v>
      </c>
      <c r="K213">
        <f>VLOOKUP(F213,[1]!china_towns_second__2[[Column1]:[Y]],2,FALSE)</f>
        <v>108.81600109999999</v>
      </c>
      <c r="L213" t="s">
        <v>4338</v>
      </c>
      <c r="M213" t="str">
        <f>VLOOKUP(H213,CHOOSE({1,2},Table11[Native],Table11[Name]),2,0)</f>
        <v>Hànbīn Qū</v>
      </c>
      <c r="N213" s="13" t="str">
        <f>VLOOKUP(I213,CHOOSE({1,2},Table11[Native],Table11[Name]),2,0)</f>
        <v>Ānkāng Shì</v>
      </c>
      <c r="O213" s="13" t="str">
        <f t="shared" si="14"/>
        <v>Datong Zhen (Ānkāng Shì)</v>
      </c>
      <c r="P213" s="13" t="str">
        <f t="shared" si="15"/>
        <v>Datong Zhen (Ānkāng Shì)</v>
      </c>
    </row>
    <row r="214" spans="1:16" hidden="1" x14ac:dyDescent="0.25">
      <c r="A214" t="s">
        <v>2025</v>
      </c>
      <c r="B214" t="str">
        <f t="shared" si="12"/>
        <v>Dàwáng Jiēdào</v>
      </c>
      <c r="C214" t="str">
        <f t="shared" si="13"/>
        <v>Dàwáng Jiēdào</v>
      </c>
      <c r="D214" t="s">
        <v>2026</v>
      </c>
      <c r="E214" t="s">
        <v>113</v>
      </c>
      <c r="F214" t="str">
        <f>_xlfn.CONCAT(D214,", ",H214,", ",I214,", ","陕西省")</f>
        <v>大王街道, 西咸新区, 西安市, 陕西省</v>
      </c>
      <c r="G214">
        <v>29315</v>
      </c>
      <c r="H214" t="s">
        <v>3167</v>
      </c>
      <c r="I214" t="s">
        <v>3102</v>
      </c>
      <c r="J214" t="e">
        <f>VLOOKUP(F214,[1]!china_towns_second__2[[Column1]:[Y]],3,FALSE)</f>
        <v>#N/A</v>
      </c>
      <c r="K214" t="e">
        <f>VLOOKUP(F214,[1]!china_towns_second__2[[Column1]:[Y]],2,FALSE)</f>
        <v>#N/A</v>
      </c>
      <c r="L214" t="s">
        <v>4339</v>
      </c>
      <c r="M214" t="str">
        <f>VLOOKUP(H214,CHOOSE({1,2},Table11[Native],Table11[Name]),2,0)</f>
        <v>Xīxián Xīnqū</v>
      </c>
      <c r="N214" s="13" t="str">
        <f>VLOOKUP(I214,CHOOSE({1,2},Table11[Native],Table11[Name]),2,0)</f>
        <v>Xī'ān Shì</v>
      </c>
      <c r="O214" s="13" t="str">
        <f t="shared" si="14"/>
        <v>Dawang Jiedao (Xī'ān Shì)</v>
      </c>
      <c r="P214" s="13" t="str">
        <f t="shared" si="15"/>
        <v>Dawang Jiedao (Xī'ān Shì)</v>
      </c>
    </row>
    <row r="215" spans="1:16" hidden="1" x14ac:dyDescent="0.25">
      <c r="A215" t="s">
        <v>1425</v>
      </c>
      <c r="B215" t="str">
        <f t="shared" si="12"/>
        <v>Dàwáng Xiāng</v>
      </c>
      <c r="C215" t="str">
        <f t="shared" si="13"/>
        <v>Dàwáng Xiāng</v>
      </c>
      <c r="D215" t="s">
        <v>1426</v>
      </c>
      <c r="E215" t="s">
        <v>11</v>
      </c>
      <c r="F215" t="str">
        <f>_xlfn.CONCAT(D215,", ",H215,", ",I215,", ","陕西省")</f>
        <v>大王乡, 临渭区, 渭南市, 陕西省</v>
      </c>
      <c r="G215">
        <v>14892</v>
      </c>
      <c r="H215" t="s">
        <v>3097</v>
      </c>
      <c r="I215" t="s">
        <v>3087</v>
      </c>
      <c r="J215" t="e">
        <f>VLOOKUP(F215,[1]!china_towns_second__2[[Column1]:[Y]],3,FALSE)</f>
        <v>#N/A</v>
      </c>
      <c r="K215" t="e">
        <f>VLOOKUP(F215,[1]!china_towns_second__2[[Column1]:[Y]],2,FALSE)</f>
        <v>#N/A</v>
      </c>
      <c r="L215" t="s">
        <v>4340</v>
      </c>
      <c r="M215" t="str">
        <f>VLOOKUP(H215,CHOOSE({1,2},Table11[Native],Table11[Name]),2,0)</f>
        <v>Línwèi Qū</v>
      </c>
      <c r="N215" s="13" t="str">
        <f>VLOOKUP(I215,CHOOSE({1,2},Table11[Native],Table11[Name]),2,0)</f>
        <v>Wèinán Shì</v>
      </c>
      <c r="O215" s="13" t="str">
        <f t="shared" si="14"/>
        <v>Dawang Xiang (Wèinán Shì)</v>
      </c>
      <c r="P215" s="13" t="str">
        <f t="shared" si="15"/>
        <v>Dawang Xiang (Wèinán Shì)</v>
      </c>
    </row>
    <row r="216" spans="1:16" hidden="1" x14ac:dyDescent="0.25">
      <c r="A216" t="s">
        <v>1743</v>
      </c>
      <c r="B216" t="str">
        <f t="shared" si="12"/>
        <v>Dàyáng Zhèn</v>
      </c>
      <c r="C216" t="str">
        <f t="shared" si="13"/>
        <v>Dàyáng Zhèn</v>
      </c>
      <c r="D216" t="s">
        <v>1744</v>
      </c>
      <c r="E216" t="s">
        <v>7</v>
      </c>
      <c r="F216" t="str">
        <f>_xlfn.CONCAT(D216,", ",H216,", ",I216,", ","陕西省")</f>
        <v>大杨镇, 乾县, 咸阳市, 陕西省</v>
      </c>
      <c r="G216">
        <v>40359</v>
      </c>
      <c r="H216" t="s">
        <v>3123</v>
      </c>
      <c r="I216" t="s">
        <v>3117</v>
      </c>
      <c r="J216">
        <f>VLOOKUP(F216,[1]!china_towns_second__2[[Column1]:[Y]],3,FALSE)</f>
        <v>34.466222366984098</v>
      </c>
      <c r="K216">
        <f>VLOOKUP(F216,[1]!china_towns_second__2[[Column1]:[Y]],2,FALSE)</f>
        <v>108.2768512</v>
      </c>
      <c r="L216" t="s">
        <v>4341</v>
      </c>
      <c r="M216" t="str">
        <f>VLOOKUP(H216,CHOOSE({1,2},Table11[Native],Table11[Name]),2,0)</f>
        <v>Qián Xiàn</v>
      </c>
      <c r="N216" s="13" t="str">
        <f>VLOOKUP(I216,CHOOSE({1,2},Table11[Native],Table11[Name]),2,0)</f>
        <v>Xiányáng Shì</v>
      </c>
      <c r="O216" s="13" t="str">
        <f t="shared" si="14"/>
        <v>Dayang Zhen (Xiányáng Shì)</v>
      </c>
      <c r="P216" s="13" t="str">
        <f t="shared" si="15"/>
        <v>Dayang Zhen (Xiányáng Shì)</v>
      </c>
    </row>
    <row r="217" spans="1:16" hidden="1" x14ac:dyDescent="0.25">
      <c r="A217" t="s">
        <v>2027</v>
      </c>
      <c r="B217" t="str">
        <f t="shared" si="12"/>
        <v>Dàyàntă Jiēdào</v>
      </c>
      <c r="C217" t="str">
        <f t="shared" si="13"/>
        <v>Dàyàntă Jiēdào</v>
      </c>
      <c r="D217" t="s">
        <v>2028</v>
      </c>
      <c r="E217" t="s">
        <v>113</v>
      </c>
      <c r="F217" t="str">
        <f>_xlfn.CONCAT(D217,", ",H217,", ",I217,", ","陕西省")</f>
        <v>大雁塔街道, 雁塔区, 西安市, 陕西省</v>
      </c>
      <c r="G217">
        <v>99782</v>
      </c>
      <c r="H217" t="s">
        <v>3114</v>
      </c>
      <c r="I217" t="s">
        <v>3102</v>
      </c>
      <c r="J217">
        <f>VLOOKUP(F217,[1]!china_towns_second__2[[Column1]:[Y]],3,FALSE)</f>
        <v>34.223042850798898</v>
      </c>
      <c r="K217">
        <f>VLOOKUP(F217,[1]!china_towns_second__2[[Column1]:[Y]],2,FALSE)</f>
        <v>108.9712969</v>
      </c>
      <c r="L217" t="s">
        <v>4342</v>
      </c>
      <c r="M217" t="str">
        <f>VLOOKUP(H217,CHOOSE({1,2},Table11[Native],Table11[Name]),2,0)</f>
        <v>Yàntă Qū</v>
      </c>
      <c r="N217" s="13" t="str">
        <f>VLOOKUP(I217,CHOOSE({1,2},Table11[Native],Table11[Name]),2,0)</f>
        <v>Xī'ān Shì</v>
      </c>
      <c r="O217" s="13" t="str">
        <f t="shared" si="14"/>
        <v>Dayanta Jiedao (Xī'ān Shì)</v>
      </c>
      <c r="P217" s="13" t="str">
        <f t="shared" si="15"/>
        <v>Dayanta Jiedao (Xī'ān Shì)</v>
      </c>
    </row>
    <row r="218" spans="1:16" hidden="1" x14ac:dyDescent="0.25">
      <c r="A218" t="s">
        <v>383</v>
      </c>
      <c r="B218" t="str">
        <f t="shared" si="12"/>
        <v>Dàyíng Xiāng</v>
      </c>
      <c r="C218" t="str">
        <f t="shared" si="13"/>
        <v>Dàyíng Xiāng</v>
      </c>
      <c r="D218" t="s">
        <v>384</v>
      </c>
      <c r="E218" t="s">
        <v>11</v>
      </c>
      <c r="F218" t="str">
        <f>_xlfn.CONCAT(D218,", ",H218,", ",I218,", ","陕西省")</f>
        <v>大营乡, 岐山县, 宝鸡市, 陕西省</v>
      </c>
      <c r="G218">
        <v>16846</v>
      </c>
      <c r="H218" t="s">
        <v>3055</v>
      </c>
      <c r="I218" t="s">
        <v>3045</v>
      </c>
      <c r="J218" t="e">
        <f>VLOOKUP(F218,[1]!china_towns_second__2[[Column1]:[Y]],3,FALSE)</f>
        <v>#N/A</v>
      </c>
      <c r="K218" t="e">
        <f>VLOOKUP(F218,[1]!china_towns_second__2[[Column1]:[Y]],2,FALSE)</f>
        <v>#N/A</v>
      </c>
      <c r="L218" t="s">
        <v>4343</v>
      </c>
      <c r="M218" t="str">
        <f>VLOOKUP(H218,CHOOSE({1,2},Table11[Native],Table11[Name]),2,0)</f>
        <v>Qíshān Xiàn</v>
      </c>
      <c r="N218" s="13" t="str">
        <f>VLOOKUP(I218,CHOOSE({1,2},Table11[Native],Table11[Name]),2,0)</f>
        <v>Băojī Shì</v>
      </c>
      <c r="O218" s="13" t="str">
        <f t="shared" si="14"/>
        <v>Daying Xiang (Băojī Shì)</v>
      </c>
      <c r="P218" s="13" t="str">
        <f t="shared" si="15"/>
        <v>Daying Xiang (Băojī Shì)</v>
      </c>
    </row>
    <row r="219" spans="1:16" hidden="1" x14ac:dyDescent="0.25">
      <c r="A219" t="s">
        <v>2375</v>
      </c>
      <c r="B219" t="str">
        <f t="shared" si="12"/>
        <v>Dàyǔ Jiēdào [incl. Yánchuān Zhèn, Măjiāhé Xiāng]</v>
      </c>
      <c r="C219" t="str">
        <f t="shared" si="13"/>
        <v>Dàyǔ Jiēdào [incl. Yánchuān Zhèn, Măjiāhé Xiāng]</v>
      </c>
      <c r="D219" t="s">
        <v>2376</v>
      </c>
      <c r="E219" t="s">
        <v>113</v>
      </c>
      <c r="F219" t="str">
        <f>_xlfn.CONCAT(D219,", ",H219,", ",I219,", ","陕西省")</f>
        <v>大禹街道, 延川县, 延安市, 陕西省</v>
      </c>
      <c r="G219">
        <v>71228</v>
      </c>
      <c r="H219" t="s">
        <v>3143</v>
      </c>
      <c r="I219" t="s">
        <v>3133</v>
      </c>
      <c r="J219" t="e">
        <f>VLOOKUP(F219,[1]!china_towns_second__2[[Column1]:[Y]],3,FALSE)</f>
        <v>#N/A</v>
      </c>
      <c r="K219" t="e">
        <f>VLOOKUP(F219,[1]!china_towns_second__2[[Column1]:[Y]],2,FALSE)</f>
        <v>#N/A</v>
      </c>
      <c r="L219" t="s">
        <v>4344</v>
      </c>
      <c r="M219" t="str">
        <f>VLOOKUP(H219,CHOOSE({1,2},Table11[Native],Table11[Name]),2,0)</f>
        <v>Yánchuān Xiàn</v>
      </c>
      <c r="N219" s="13" t="str">
        <f>VLOOKUP(I219,CHOOSE({1,2},Table11[Native],Table11[Name]),2,0)</f>
        <v>Yán'ān Shì</v>
      </c>
      <c r="O219" s="13" t="str">
        <f t="shared" si="14"/>
        <v>Dayu Jiedao [incl. Yanchuan Zhen, Majiahe Xiang] (Yán'ān Shì)</v>
      </c>
      <c r="P219" s="13" t="str">
        <f t="shared" si="15"/>
        <v>Dayu Jiedao [incl. Yanchuan Zhen, Majiahe Xiang] (Yán'ān Shì)</v>
      </c>
    </row>
    <row r="220" spans="1:16" hidden="1" x14ac:dyDescent="0.25">
      <c r="A220" t="s">
        <v>1745</v>
      </c>
      <c r="B220" t="str">
        <f t="shared" si="12"/>
        <v>Dàzhài Jiēdào</v>
      </c>
      <c r="C220" t="str">
        <f t="shared" si="13"/>
        <v>Dàzhài Jiēdào</v>
      </c>
      <c r="D220" t="s">
        <v>1746</v>
      </c>
      <c r="E220" t="s">
        <v>113</v>
      </c>
      <c r="F220" t="str">
        <f>_xlfn.CONCAT(D220,", ",H220,", ",I220,", ","陕西省")</f>
        <v>大寨街道, 杨陵区, 咸阳市, 陕西省</v>
      </c>
      <c r="G220">
        <v>15555</v>
      </c>
      <c r="H220" t="s">
        <v>3130</v>
      </c>
      <c r="I220" t="s">
        <v>3117</v>
      </c>
      <c r="J220" t="e">
        <f>VLOOKUP(F220,[1]!china_towns_second__2[[Column1]:[Y]],3,FALSE)</f>
        <v>#N/A</v>
      </c>
      <c r="K220" t="e">
        <f>VLOOKUP(F220,[1]!china_towns_second__2[[Column1]:[Y]],2,FALSE)</f>
        <v>#N/A</v>
      </c>
      <c r="L220" t="s">
        <v>4345</v>
      </c>
      <c r="M220" t="str">
        <f>VLOOKUP(H220,CHOOSE({1,2},Table11[Native],Table11[Name]),2,0)</f>
        <v>Yánglíng Qū</v>
      </c>
      <c r="N220" s="13" t="str">
        <f>VLOOKUP(I220,CHOOSE({1,2},Table11[Native],Table11[Name]),2,0)</f>
        <v>Xiányáng Shì</v>
      </c>
      <c r="O220" s="13" t="str">
        <f t="shared" si="14"/>
        <v>Dazhai Jiedao (Xiányáng Shì)</v>
      </c>
      <c r="P220" s="13" t="str">
        <f t="shared" si="15"/>
        <v>Dazhai Jiedao (Xiányáng Shì)</v>
      </c>
    </row>
    <row r="221" spans="1:16" hidden="1" x14ac:dyDescent="0.25">
      <c r="A221" t="s">
        <v>2029</v>
      </c>
      <c r="B221" t="str">
        <f t="shared" si="12"/>
        <v>Dàzhào Jiēdào</v>
      </c>
      <c r="C221" t="str">
        <f t="shared" si="13"/>
        <v>Dàzhào Jiēdào</v>
      </c>
      <c r="D221" t="s">
        <v>2030</v>
      </c>
      <c r="E221" t="s">
        <v>113</v>
      </c>
      <c r="F221" t="str">
        <f>_xlfn.CONCAT(D221,", ",H221,", ",I221,", ","陕西省")</f>
        <v>大兆街道, 长安区, 西安市, 陕西省</v>
      </c>
      <c r="G221">
        <v>31287</v>
      </c>
      <c r="H221" t="s">
        <v>3105</v>
      </c>
      <c r="I221" t="s">
        <v>3102</v>
      </c>
      <c r="J221">
        <f>VLOOKUP(F221,[1]!china_towns_second__2[[Column1]:[Y]],3,FALSE)</f>
        <v>34.144880235966099</v>
      </c>
      <c r="K221">
        <f>VLOOKUP(F221,[1]!china_towns_second__2[[Column1]:[Y]],2,FALSE)</f>
        <v>109.0421575</v>
      </c>
      <c r="L221" t="s">
        <v>4346</v>
      </c>
      <c r="M221" t="str">
        <f>VLOOKUP(H221,CHOOSE({1,2},Table11[Native],Table11[Name]),2,0)</f>
        <v>Cháng'ān Qū</v>
      </c>
      <c r="N221" s="13" t="str">
        <f>VLOOKUP(I221,CHOOSE({1,2},Table11[Native],Table11[Name]),2,0)</f>
        <v>Xī'ān Shì</v>
      </c>
      <c r="O221" s="13" t="str">
        <f t="shared" si="14"/>
        <v>Dazhao Jiedao (Xī'ān Shì)</v>
      </c>
      <c r="P221" s="13" t="str">
        <f t="shared" si="15"/>
        <v>Dazhao Jiedao (Xī'ān Shì)</v>
      </c>
    </row>
    <row r="222" spans="1:16" hidden="1" x14ac:dyDescent="0.25">
      <c r="A222" t="s">
        <v>1077</v>
      </c>
      <c r="B222" t="str">
        <f t="shared" si="12"/>
        <v>Dàzhàoyù Jiēdào</v>
      </c>
      <c r="C222" t="str">
        <f t="shared" si="13"/>
        <v>Dàzhàoyù Jiēdào</v>
      </c>
      <c r="D222" t="s">
        <v>1078</v>
      </c>
      <c r="E222" t="s">
        <v>113</v>
      </c>
      <c r="F222" t="str">
        <f>_xlfn.CONCAT(D222,", ",H222,", ",I222,", ","陕西省")</f>
        <v>大赵峪街道, 商州区, 商洛市, 陕西省</v>
      </c>
      <c r="G222">
        <v>22126</v>
      </c>
      <c r="H222" t="s">
        <v>3076</v>
      </c>
      <c r="I222" t="s">
        <v>3072</v>
      </c>
      <c r="J222">
        <f>VLOOKUP(F222,[1]!china_towns_second__2[[Column1]:[Y]],3,FALSE)</f>
        <v>33.874187044931801</v>
      </c>
      <c r="K222">
        <f>VLOOKUP(F222,[1]!china_towns_second__2[[Column1]:[Y]],2,FALSE)</f>
        <v>109.9863127</v>
      </c>
      <c r="L222" t="s">
        <v>4347</v>
      </c>
      <c r="M222" t="str">
        <f>VLOOKUP(H222,CHOOSE({1,2},Table11[Native],Table11[Name]),2,0)</f>
        <v>Shāngzhōu Qū</v>
      </c>
      <c r="N222" s="13" t="str">
        <f>VLOOKUP(I222,CHOOSE({1,2},Table11[Native],Table11[Name]),2,0)</f>
        <v>Shāngluò Shì</v>
      </c>
      <c r="O222" s="13" t="str">
        <f t="shared" si="14"/>
        <v>Dazhaoyu Jiedao (Shāngluò Shì)</v>
      </c>
      <c r="P222" s="13" t="str">
        <f t="shared" si="15"/>
        <v>Dazhaoyu Jiedao (Shāngluò Shì)</v>
      </c>
    </row>
    <row r="223" spans="1:16" hidden="1" x14ac:dyDescent="0.25">
      <c r="A223" t="s">
        <v>1748</v>
      </c>
      <c r="B223" t="str">
        <f t="shared" si="12"/>
        <v>Dàzhuāng Zhèn</v>
      </c>
      <c r="C223" t="str">
        <f t="shared" si="13"/>
        <v>Dàzhuāng Zhèn</v>
      </c>
      <c r="D223" t="s">
        <v>1749</v>
      </c>
      <c r="E223" t="s">
        <v>7</v>
      </c>
      <c r="F223" t="str">
        <f>_xlfn.CONCAT(D223,", ",H223,", ",I223,", ","陕西省")</f>
        <v>大庄镇, 武功县, 咸阳市, 陕西省</v>
      </c>
      <c r="G223">
        <v>42074</v>
      </c>
      <c r="H223" t="s">
        <v>3127</v>
      </c>
      <c r="I223" t="s">
        <v>3117</v>
      </c>
      <c r="J223">
        <f>VLOOKUP(F223,[1]!china_towns_second__2[[Column1]:[Y]],3,FALSE)</f>
        <v>34.260634438698098</v>
      </c>
      <c r="K223">
        <f>VLOOKUP(F223,[1]!china_towns_second__2[[Column1]:[Y]],2,FALSE)</f>
        <v>108.1440431</v>
      </c>
      <c r="L223" t="s">
        <v>4348</v>
      </c>
      <c r="M223" t="str">
        <f>VLOOKUP(H223,CHOOSE({1,2},Table11[Native],Table11[Name]),2,0)</f>
        <v>Wŭgōng Xiàn</v>
      </c>
      <c r="N223" s="13" t="str">
        <f>VLOOKUP(I223,CHOOSE({1,2},Table11[Native],Table11[Name]),2,0)</f>
        <v>Xiányáng Shì</v>
      </c>
      <c r="O223" s="13" t="str">
        <f t="shared" si="14"/>
        <v>Dazhuang Zhen (Xiányáng Shì)</v>
      </c>
      <c r="P223" s="13" t="str">
        <f t="shared" si="15"/>
        <v>Dazhuang Zhen (Xiányáng Shì)</v>
      </c>
    </row>
    <row r="224" spans="1:16" hidden="1" x14ac:dyDescent="0.25">
      <c r="A224" t="s">
        <v>51</v>
      </c>
      <c r="B224" t="str">
        <f t="shared" si="12"/>
        <v>Dàzhúyuán Zhèn</v>
      </c>
      <c r="C224" t="str">
        <f t="shared" si="13"/>
        <v>Dàzhúyuán Zhèn</v>
      </c>
      <c r="D224" t="s">
        <v>52</v>
      </c>
      <c r="E224" t="s">
        <v>7</v>
      </c>
      <c r="F224" t="str">
        <f>_xlfn.CONCAT(D224,", ",H224,", ",I224,", ","陕西省")</f>
        <v>大竹园镇, 汉滨区, 安康市, 陕西省</v>
      </c>
      <c r="G224">
        <v>10213</v>
      </c>
      <c r="H224" t="s">
        <v>3035</v>
      </c>
      <c r="I224" t="s">
        <v>3031</v>
      </c>
      <c r="J224">
        <f>VLOOKUP(F224,[1]!china_towns_second__2[[Column1]:[Y]],3,FALSE)</f>
        <v>32.567615909195403</v>
      </c>
      <c r="K224">
        <f>VLOOKUP(F224,[1]!china_towns_second__2[[Column1]:[Y]],2,FALSE)</f>
        <v>108.68654220000001</v>
      </c>
      <c r="L224" t="s">
        <v>4349</v>
      </c>
      <c r="M224" t="str">
        <f>VLOOKUP(H224,CHOOSE({1,2},Table11[Native],Table11[Name]),2,0)</f>
        <v>Hànbīn Qū</v>
      </c>
      <c r="N224" s="13" t="str">
        <f>VLOOKUP(I224,CHOOSE({1,2},Table11[Native],Table11[Name]),2,0)</f>
        <v>Ānkāng Shì</v>
      </c>
      <c r="O224" s="13" t="str">
        <f t="shared" si="14"/>
        <v>Dazhuyuan Zhen (Ānkāng Shì)</v>
      </c>
      <c r="P224" s="13" t="str">
        <f t="shared" si="15"/>
        <v>Dazhuyuan Zhen (Ānkāng Shì)</v>
      </c>
    </row>
    <row r="225" spans="1:16" hidden="1" x14ac:dyDescent="0.25">
      <c r="A225" t="s">
        <v>2032</v>
      </c>
      <c r="B225" t="str">
        <f t="shared" si="12"/>
        <v>Dĕngjiàpō Jiēdào</v>
      </c>
      <c r="C225" t="str">
        <f t="shared" si="13"/>
        <v>Dĕngjiàpō Jiēdào</v>
      </c>
      <c r="D225" t="s">
        <v>2033</v>
      </c>
      <c r="E225" t="s">
        <v>113</v>
      </c>
      <c r="F225" t="str">
        <f>_xlfn.CONCAT(D225,", ",H225,", ",I225,", ","陕西省")</f>
        <v>等驾坡街道, 雁塔区, 西安市, 陕西省</v>
      </c>
      <c r="G225">
        <v>89020</v>
      </c>
      <c r="H225" t="s">
        <v>3114</v>
      </c>
      <c r="I225" t="s">
        <v>3102</v>
      </c>
      <c r="J225">
        <f>VLOOKUP(F225,[1]!china_towns_second__2[[Column1]:[Y]],3,FALSE)</f>
        <v>34.230560086910003</v>
      </c>
      <c r="K225">
        <f>VLOOKUP(F225,[1]!china_towns_second__2[[Column1]:[Y]],2,FALSE)</f>
        <v>109.0247361</v>
      </c>
      <c r="L225" t="s">
        <v>4350</v>
      </c>
      <c r="M225" t="str">
        <f>VLOOKUP(H225,CHOOSE({1,2},Table11[Native],Table11[Name]),2,0)</f>
        <v>Yàntă Qū</v>
      </c>
      <c r="N225" s="13" t="str">
        <f>VLOOKUP(I225,CHOOSE({1,2},Table11[Native],Table11[Name]),2,0)</f>
        <v>Xī'ān Shì</v>
      </c>
      <c r="O225" s="13" t="str">
        <f t="shared" si="14"/>
        <v>Dengjiapo Jiedao (Xī'ān Shì)</v>
      </c>
      <c r="P225" s="13" t="str">
        <f t="shared" si="15"/>
        <v>Dengjiapo Jiedao (Xī'ān Shì)</v>
      </c>
    </row>
    <row r="226" spans="1:16" hidden="1" x14ac:dyDescent="0.25">
      <c r="A226" t="s">
        <v>2683</v>
      </c>
      <c r="B226" t="str">
        <f t="shared" si="12"/>
        <v>Diàn Zhèn</v>
      </c>
      <c r="C226" t="str">
        <f t="shared" si="13"/>
        <v>Diàn Zhèn</v>
      </c>
      <c r="D226" t="s">
        <v>2684</v>
      </c>
      <c r="E226" t="s">
        <v>7</v>
      </c>
      <c r="F226" t="str">
        <f>_xlfn.CONCAT(D226,", ",H226,", ",I226,", ","陕西省")</f>
        <v>店镇, 佳县, 榆林市, 陕西省</v>
      </c>
      <c r="G226">
        <v>11330</v>
      </c>
      <c r="H226" t="s">
        <v>3152</v>
      </c>
      <c r="I226" t="s">
        <v>3148</v>
      </c>
      <c r="J226">
        <f>VLOOKUP(F226,[1]!china_towns_second__2[[Column1]:[Y]],3,FALSE)</f>
        <v>37.860057455283098</v>
      </c>
      <c r="K226">
        <f>VLOOKUP(F226,[1]!china_towns_second__2[[Column1]:[Y]],2,FALSE)</f>
        <v>110.4844093</v>
      </c>
      <c r="L226" t="s">
        <v>4351</v>
      </c>
      <c r="M226" t="str">
        <f>VLOOKUP(H226,CHOOSE({1,2},Table11[Native],Table11[Name]),2,0)</f>
        <v>Jiā Xiàn</v>
      </c>
      <c r="N226" s="13" t="str">
        <f>VLOOKUP(I226,CHOOSE({1,2},Table11[Native],Table11[Name]),2,0)</f>
        <v>Yúlín Shì</v>
      </c>
      <c r="O226" s="13" t="str">
        <f t="shared" si="14"/>
        <v>Dian Zhen (Yúlín Shì)</v>
      </c>
      <c r="P226" s="13" t="str">
        <f t="shared" si="15"/>
        <v>Dian Zhen (Yúlín Shì)</v>
      </c>
    </row>
    <row r="227" spans="1:16" hidden="1" x14ac:dyDescent="0.25">
      <c r="A227" t="s">
        <v>2674</v>
      </c>
      <c r="B227" t="str">
        <f t="shared" si="12"/>
        <v>Diànshì Zhèn (Yúlín Shì)</v>
      </c>
      <c r="C227" t="str">
        <f t="shared" si="13"/>
        <v>Diànshì Zhèn (Héngshān Qū)</v>
      </c>
      <c r="D227" t="s">
        <v>2675</v>
      </c>
      <c r="E227" t="s">
        <v>7</v>
      </c>
      <c r="F227" t="str">
        <f>_xlfn.CONCAT(D227,", ",H227,", ",I227,", ","陕西省")</f>
        <v>殿市镇, 横山区, 榆林市, 陕西省</v>
      </c>
      <c r="G227">
        <v>17172</v>
      </c>
      <c r="H227" t="s">
        <v>3151</v>
      </c>
      <c r="I227" t="s">
        <v>3148</v>
      </c>
      <c r="J227">
        <f>VLOOKUP(F227,[1]!china_towns_second__2[[Column1]:[Y]],3,FALSE)</f>
        <v>37.9298986400117</v>
      </c>
      <c r="K227">
        <f>VLOOKUP(F227,[1]!china_towns_second__2[[Column1]:[Y]],2,FALSE)</f>
        <v>109.4796784</v>
      </c>
      <c r="L227" t="s">
        <v>4352</v>
      </c>
      <c r="M227" t="str">
        <f>VLOOKUP(H227,CHOOSE({1,2},Table11[Native],Table11[Name]),2,0)</f>
        <v>Héngshān Qū</v>
      </c>
      <c r="N227" s="13" t="str">
        <f>VLOOKUP(I227,CHOOSE({1,2},Table11[Native],Table11[Name]),2,0)</f>
        <v>Yúlín Shì</v>
      </c>
      <c r="O227" s="13" t="str">
        <f t="shared" si="14"/>
        <v>Dianshi Zhen (Hengshan Qu) (Yúlín Shì)</v>
      </c>
      <c r="P227" s="13" t="str">
        <f t="shared" si="15"/>
        <v>Dianshi Zhen (Hengshan Qu) (Yúlín Shì)</v>
      </c>
    </row>
    <row r="228" spans="1:16" hidden="1" x14ac:dyDescent="0.25">
      <c r="A228" t="s">
        <v>2674</v>
      </c>
      <c r="B228" t="str">
        <f t="shared" si="12"/>
        <v>Diànshì Zhèn (Yúlín Shì)</v>
      </c>
      <c r="C228" t="str">
        <f t="shared" si="13"/>
        <v>Diànshì Zhèn (Zizhōu Xiàn)</v>
      </c>
      <c r="D228" t="s">
        <v>2676</v>
      </c>
      <c r="E228" t="s">
        <v>7</v>
      </c>
      <c r="F228" t="str">
        <f>_xlfn.CONCAT(D228,", ",H228,", ",I228,", ","陕西省")</f>
        <v>电市镇, 子洲县, 榆林市, 陕西省</v>
      </c>
      <c r="G228">
        <v>5015</v>
      </c>
      <c r="H228" t="s">
        <v>3160</v>
      </c>
      <c r="I228" t="s">
        <v>3148</v>
      </c>
      <c r="J228">
        <f>VLOOKUP(F228,[1]!china_towns_second__2[[Column1]:[Y]],3,FALSE)</f>
        <v>37.6732127303057</v>
      </c>
      <c r="K228">
        <f>VLOOKUP(F228,[1]!china_towns_second__2[[Column1]:[Y]],2,FALSE)</f>
        <v>109.74324439999999</v>
      </c>
      <c r="L228" t="s">
        <v>4353</v>
      </c>
      <c r="M228" t="str">
        <f>VLOOKUP(H228,CHOOSE({1,2},Table11[Native],Table11[Name]),2,0)</f>
        <v>Zizhōu Xiàn</v>
      </c>
      <c r="N228" s="13" t="str">
        <f>VLOOKUP(I228,CHOOSE({1,2},Table11[Native],Table11[Name]),2,0)</f>
        <v>Yúlín Shì</v>
      </c>
      <c r="O228" s="13" t="str">
        <f t="shared" si="14"/>
        <v>Dianshi Zhen (Zizhou Xian) (Yúlín Shì)</v>
      </c>
      <c r="P228" s="13" t="str">
        <f t="shared" si="15"/>
        <v>Dianshi Zhen (Zizhou Xian) (Yúlín Shì)</v>
      </c>
    </row>
    <row r="229" spans="1:16" hidden="1" x14ac:dyDescent="0.25">
      <c r="A229" t="s">
        <v>2678</v>
      </c>
      <c r="B229" t="str">
        <f t="shared" si="12"/>
        <v>Diàntă Zhèn</v>
      </c>
      <c r="C229" t="str">
        <f t="shared" si="13"/>
        <v>Diàntă Zhèn</v>
      </c>
      <c r="D229" t="s">
        <v>2679</v>
      </c>
      <c r="E229" t="s">
        <v>7</v>
      </c>
      <c r="F229" t="str">
        <f>_xlfn.CONCAT(D229,", ",H229,", ",I229,", ","陕西省")</f>
        <v>店塔镇, 神木市, 榆林市, 陕西省</v>
      </c>
      <c r="G229">
        <v>28581</v>
      </c>
      <c r="H229" t="s">
        <v>3156</v>
      </c>
      <c r="I229" t="s">
        <v>3148</v>
      </c>
      <c r="J229">
        <f>VLOOKUP(F229,[1]!china_towns_second__2[[Column1]:[Y]],3,FALSE)</f>
        <v>39.061791361130801</v>
      </c>
      <c r="K229">
        <f>VLOOKUP(F229,[1]!china_towns_second__2[[Column1]:[Y]],2,FALSE)</f>
        <v>110.4840507</v>
      </c>
      <c r="L229" t="s">
        <v>4354</v>
      </c>
      <c r="M229" t="str">
        <f>VLOOKUP(H229,CHOOSE({1,2},Table11[Native],Table11[Name]),2,0)</f>
        <v>Shénmù Shì</v>
      </c>
      <c r="N229" s="13" t="str">
        <f>VLOOKUP(I229,CHOOSE({1,2},Table11[Native],Table11[Name]),2,0)</f>
        <v>Yúlín Shì</v>
      </c>
      <c r="O229" s="13" t="str">
        <f t="shared" si="14"/>
        <v>Dianta Zhen (Yúlín Shì)</v>
      </c>
      <c r="P229" s="13" t="str">
        <f t="shared" si="15"/>
        <v>Dianta Zhen (Yúlín Shì)</v>
      </c>
    </row>
    <row r="230" spans="1:16" hidden="1" x14ac:dyDescent="0.25">
      <c r="A230" t="s">
        <v>2378</v>
      </c>
      <c r="B230" t="str">
        <f t="shared" si="12"/>
        <v>Diàntóu Zhèn</v>
      </c>
      <c r="C230" t="str">
        <f t="shared" si="13"/>
        <v>Diàntóu Zhèn</v>
      </c>
      <c r="D230" t="s">
        <v>1751</v>
      </c>
      <c r="E230" t="s">
        <v>7</v>
      </c>
      <c r="F230" t="str">
        <f>_xlfn.CONCAT(D230,", ",H230,", ",I230,", ","陕西省")</f>
        <v>店头镇, 黄陵县, 延安市, 陕西省</v>
      </c>
      <c r="G230">
        <v>29676</v>
      </c>
      <c r="H230" t="s">
        <v>3138</v>
      </c>
      <c r="I230" t="s">
        <v>3133</v>
      </c>
      <c r="J230">
        <f>VLOOKUP(F230,[1]!china_towns_second__2[[Column1]:[Y]],3,FALSE)</f>
        <v>35.544614375840197</v>
      </c>
      <c r="K230">
        <f>VLOOKUP(F230,[1]!china_towns_second__2[[Column1]:[Y]],2,FALSE)</f>
        <v>108.9530604</v>
      </c>
      <c r="L230" t="s">
        <v>4355</v>
      </c>
      <c r="M230" t="str">
        <f>VLOOKUP(H230,CHOOSE({1,2},Table11[Native],Table11[Name]),2,0)</f>
        <v>Huánglíng Xiàn</v>
      </c>
      <c r="N230" s="13" t="str">
        <f>VLOOKUP(I230,CHOOSE({1,2},Table11[Native],Table11[Name]),2,0)</f>
        <v>Yán'ān Shì</v>
      </c>
      <c r="O230" s="13" t="str">
        <f t="shared" si="14"/>
        <v>Diantou Zhen (Yán'ān Shì)</v>
      </c>
      <c r="P230" s="13" t="str">
        <f t="shared" si="15"/>
        <v>Diantou Zhen (Yán'ān Shì)</v>
      </c>
    </row>
    <row r="231" spans="1:16" hidden="1" x14ac:dyDescent="0.25">
      <c r="A231" t="s">
        <v>1750</v>
      </c>
      <c r="B231" t="str">
        <f t="shared" si="12"/>
        <v>Diàntóu Zhèn [incl. Yíjĭng Zhèn]</v>
      </c>
      <c r="C231" t="str">
        <f t="shared" si="13"/>
        <v>Diàntóu Zhèn [incl. Yíjĭng Zhèn]</v>
      </c>
      <c r="D231" t="s">
        <v>1751</v>
      </c>
      <c r="E231" t="s">
        <v>7</v>
      </c>
      <c r="F231" t="str">
        <f>_xlfn.CONCAT(D231,", ",H231,", ",I231,", ","陕西省")</f>
        <v>店头镇, 永寿县, 咸阳市, 陕西省</v>
      </c>
      <c r="G231">
        <v>28716</v>
      </c>
      <c r="H231" t="s">
        <v>3131</v>
      </c>
      <c r="I231" t="s">
        <v>3117</v>
      </c>
      <c r="J231">
        <f>VLOOKUP(F231,[1]!china_towns_second__2[[Column1]:[Y]],3,FALSE)</f>
        <v>34.567220133342801</v>
      </c>
      <c r="K231">
        <f>VLOOKUP(F231,[1]!china_towns_second__2[[Column1]:[Y]],2,FALSE)</f>
        <v>108.0236215</v>
      </c>
      <c r="L231" t="s">
        <v>4356</v>
      </c>
      <c r="M231" t="str">
        <f>VLOOKUP(H231,CHOOSE({1,2},Table11[Native],Table11[Name]),2,0)</f>
        <v>Yŏngshòu Xiàn</v>
      </c>
      <c r="N231" s="13" t="str">
        <f>VLOOKUP(I231,CHOOSE({1,2},Table11[Native],Table11[Name]),2,0)</f>
        <v>Xiányáng Shì</v>
      </c>
      <c r="O231" s="13" t="str">
        <f t="shared" si="14"/>
        <v>Diantou Zhen [incl. Yijing Zhen] (Xiányáng Shì)</v>
      </c>
      <c r="P231" s="13" t="str">
        <f t="shared" si="15"/>
        <v>Diantou Zhen [incl. Yijing Zhen] (Xiányáng Shì)</v>
      </c>
    </row>
    <row r="232" spans="1:16" hidden="1" x14ac:dyDescent="0.25">
      <c r="A232" t="s">
        <v>2680</v>
      </c>
      <c r="B232" t="str">
        <f t="shared" si="12"/>
        <v>Diànzégōu Zhèn</v>
      </c>
      <c r="C232" t="str">
        <f t="shared" si="13"/>
        <v>Diànzégōu Zhèn</v>
      </c>
      <c r="D232" t="s">
        <v>2681</v>
      </c>
      <c r="E232" t="s">
        <v>7</v>
      </c>
      <c r="F232" t="str">
        <f>_xlfn.CONCAT(D232,", ",H232,", ",I232,", ","陕西省")</f>
        <v>店则沟镇, 清涧县, 榆林市, 陕西省</v>
      </c>
      <c r="G232">
        <v>5704</v>
      </c>
      <c r="H232" t="s">
        <v>3155</v>
      </c>
      <c r="I232" t="s">
        <v>3148</v>
      </c>
      <c r="J232">
        <f>VLOOKUP(F232,[1]!china_towns_second__2[[Column1]:[Y]],3,FALSE)</f>
        <v>37.278681502225901</v>
      </c>
      <c r="K232">
        <f>VLOOKUP(F232,[1]!china_towns_second__2[[Column1]:[Y]],2,FALSE)</f>
        <v>110.361293</v>
      </c>
      <c r="L232" t="s">
        <v>4357</v>
      </c>
      <c r="M232" t="str">
        <f>VLOOKUP(H232,CHOOSE({1,2},Table11[Native],Table11[Name]),2,0)</f>
        <v>Qīngjiàn Xiàn</v>
      </c>
      <c r="N232" s="13" t="str">
        <f>VLOOKUP(I232,CHOOSE({1,2},Table11[Native],Table11[Name]),2,0)</f>
        <v>Yúlín Shì</v>
      </c>
      <c r="O232" s="13" t="str">
        <f t="shared" si="14"/>
        <v>Dianzegou Zhen (Yúlín Shì)</v>
      </c>
      <c r="P232" s="13" t="str">
        <f t="shared" si="15"/>
        <v>Dianzegou Zhen (Yúlín Shì)</v>
      </c>
    </row>
    <row r="233" spans="1:16" hidden="1" x14ac:dyDescent="0.25">
      <c r="A233" t="s">
        <v>1752</v>
      </c>
      <c r="B233" t="str">
        <f t="shared" si="12"/>
        <v>Diànzhāng Jiēdào</v>
      </c>
      <c r="C233" t="str">
        <f t="shared" si="13"/>
        <v>Diànzhāng Jiēdào</v>
      </c>
      <c r="D233" t="s">
        <v>1753</v>
      </c>
      <c r="E233" t="s">
        <v>113</v>
      </c>
      <c r="F233" t="str">
        <f>_xlfn.CONCAT(D233,", ",H233,", ",I233,", ","陕西省")</f>
        <v>店张街道, 兴平市, 咸阳市, 陕西省</v>
      </c>
      <c r="G233">
        <v>27228</v>
      </c>
      <c r="H233" t="s">
        <v>3128</v>
      </c>
      <c r="I233" t="s">
        <v>3117</v>
      </c>
      <c r="J233">
        <f>VLOOKUP(F233,[1]!china_towns_second__2[[Column1]:[Y]],3,FALSE)</f>
        <v>34.410714875438501</v>
      </c>
      <c r="K233">
        <f>VLOOKUP(F233,[1]!china_towns_second__2[[Column1]:[Y]],2,FALSE)</f>
        <v>108.5291466</v>
      </c>
      <c r="L233" t="s">
        <v>4358</v>
      </c>
      <c r="M233" t="str">
        <f>VLOOKUP(H233,CHOOSE({1,2},Table11[Native],Table11[Name]),2,0)</f>
        <v>Xīngpíng Shì</v>
      </c>
      <c r="N233" s="13" t="str">
        <f>VLOOKUP(I233,CHOOSE({1,2},Table11[Native],Table11[Name]),2,0)</f>
        <v>Xiányáng Shì</v>
      </c>
      <c r="O233" s="13" t="str">
        <f t="shared" si="14"/>
        <v>Dianzhang Jiedao (Xiányáng Shì)</v>
      </c>
      <c r="P233" s="13" t="str">
        <f t="shared" si="15"/>
        <v>Dianzhang Jiedao (Xiányáng Shì)</v>
      </c>
    </row>
    <row r="234" spans="1:16" hidden="1" x14ac:dyDescent="0.25">
      <c r="A234" t="s">
        <v>2034</v>
      </c>
      <c r="B234" t="str">
        <f t="shared" si="12"/>
        <v>Diànzichéng Jiēdào</v>
      </c>
      <c r="C234" t="str">
        <f t="shared" si="13"/>
        <v>Diànzichéng Jiēdào</v>
      </c>
      <c r="D234" t="s">
        <v>2035</v>
      </c>
      <c r="E234" t="s">
        <v>113</v>
      </c>
      <c r="F234" t="str">
        <f>_xlfn.CONCAT(D234,", ",H234,", ",I234,", ","陕西省")</f>
        <v>电子城街道, 雁塔区, 西安市, 陕西省</v>
      </c>
      <c r="G234">
        <v>221767</v>
      </c>
      <c r="H234" t="s">
        <v>3114</v>
      </c>
      <c r="I234" t="s">
        <v>3102</v>
      </c>
      <c r="J234">
        <f>VLOOKUP(F234,[1]!china_towns_second__2[[Column1]:[Y]],3,FALSE)</f>
        <v>34.199048160724701</v>
      </c>
      <c r="K234">
        <f>VLOOKUP(F234,[1]!china_towns_second__2[[Column1]:[Y]],2,FALSE)</f>
        <v>108.9019668</v>
      </c>
      <c r="L234" t="s">
        <v>4359</v>
      </c>
      <c r="M234" t="str">
        <f>VLOOKUP(H234,CHOOSE({1,2},Table11[Native],Table11[Name]),2,0)</f>
        <v>Yàntă Qū</v>
      </c>
      <c r="N234" s="13" t="str">
        <f>VLOOKUP(I234,CHOOSE({1,2},Table11[Native],Table11[Name]),2,0)</f>
        <v>Xī'ān Shì</v>
      </c>
      <c r="O234" s="13" t="str">
        <f t="shared" si="14"/>
        <v>Dianzicheng Jiedao (Xī'ān Shì)</v>
      </c>
      <c r="P234" s="13" t="str">
        <f t="shared" si="15"/>
        <v>Dianzicheng Jiedao (Xī'ān Shì)</v>
      </c>
    </row>
    <row r="235" spans="1:16" hidden="1" x14ac:dyDescent="0.25">
      <c r="A235" t="s">
        <v>2036</v>
      </c>
      <c r="B235" t="str">
        <f t="shared" si="12"/>
        <v>Diàotái Jiēdào</v>
      </c>
      <c r="C235" t="str">
        <f t="shared" si="13"/>
        <v>Diàotái Jiēdào</v>
      </c>
      <c r="D235" t="s">
        <v>2037</v>
      </c>
      <c r="E235" t="s">
        <v>113</v>
      </c>
      <c r="F235" t="str">
        <f>_xlfn.CONCAT(D235,", ",H235,", ",I235,", ","陕西省")</f>
        <v>钓台街道, 西咸新区, 西安市, 陕西省</v>
      </c>
      <c r="G235">
        <v>58737</v>
      </c>
      <c r="H235" t="s">
        <v>3167</v>
      </c>
      <c r="I235" t="s">
        <v>3102</v>
      </c>
      <c r="J235" t="e">
        <f>VLOOKUP(F235,[1]!china_towns_second__2[[Column1]:[Y]],3,FALSE)</f>
        <v>#N/A</v>
      </c>
      <c r="K235" t="e">
        <f>VLOOKUP(F235,[1]!china_towns_second__2[[Column1]:[Y]],2,FALSE)</f>
        <v>#N/A</v>
      </c>
      <c r="L235" t="s">
        <v>4360</v>
      </c>
      <c r="M235" t="str">
        <f>VLOOKUP(H235,CHOOSE({1,2},Table11[Native],Table11[Name]),2,0)</f>
        <v>Xīxián Xīnqū</v>
      </c>
      <c r="N235" s="13" t="str">
        <f>VLOOKUP(I235,CHOOSE({1,2},Table11[Native],Table11[Name]),2,0)</f>
        <v>Xī'ān Shì</v>
      </c>
      <c r="O235" s="13" t="str">
        <f t="shared" si="14"/>
        <v>Diaotai Jiedao (Xī'ān Shì)</v>
      </c>
      <c r="P235" s="13" t="str">
        <f t="shared" si="15"/>
        <v>Diaotai Jiedao (Xī'ān Shì)</v>
      </c>
    </row>
    <row r="236" spans="1:16" hidden="1" x14ac:dyDescent="0.25">
      <c r="A236" t="s">
        <v>385</v>
      </c>
      <c r="B236" t="str">
        <f t="shared" si="12"/>
        <v>Diàowèi Zhèn</v>
      </c>
      <c r="C236" t="str">
        <f t="shared" si="13"/>
        <v>Diàowèi Zhèn</v>
      </c>
      <c r="D236" t="s">
        <v>386</v>
      </c>
      <c r="E236" t="s">
        <v>7</v>
      </c>
      <c r="F236" t="str">
        <f>_xlfn.CONCAT(D236,", ",H236,", ",I236,", ","陕西省")</f>
        <v>钓渭镇, 陈仓区, 宝鸡市, 陕西省</v>
      </c>
      <c r="G236">
        <v>38486</v>
      </c>
      <c r="H236" t="s">
        <v>3046</v>
      </c>
      <c r="I236" t="s">
        <v>3045</v>
      </c>
      <c r="J236">
        <f>VLOOKUP(F236,[1]!china_towns_second__2[[Column1]:[Y]],3,FALSE)</f>
        <v>34.237708835431199</v>
      </c>
      <c r="K236">
        <f>VLOOKUP(F236,[1]!china_towns_second__2[[Column1]:[Y]],2,FALSE)</f>
        <v>107.518597</v>
      </c>
      <c r="L236" t="s">
        <v>4361</v>
      </c>
      <c r="M236" t="str">
        <f>VLOOKUP(H236,CHOOSE({1,2},Table11[Native],Table11[Name]),2,0)</f>
        <v>Chéncāng Qū</v>
      </c>
      <c r="N236" s="13" t="str">
        <f>VLOOKUP(I236,CHOOSE({1,2},Table11[Native],Table11[Name]),2,0)</f>
        <v>Băojī Shì</v>
      </c>
      <c r="O236" s="13" t="str">
        <f t="shared" si="14"/>
        <v>Diaowei Zhen (Băojī Shì)</v>
      </c>
      <c r="P236" s="13" t="str">
        <f t="shared" si="15"/>
        <v>Diaowei Zhen (Băojī Shì)</v>
      </c>
    </row>
    <row r="237" spans="1:16" hidden="1" x14ac:dyDescent="0.25">
      <c r="A237" t="s">
        <v>1427</v>
      </c>
      <c r="B237" t="str">
        <f t="shared" si="12"/>
        <v>Dĭdiàn Xiāng</v>
      </c>
      <c r="C237" t="str">
        <f t="shared" si="13"/>
        <v>Dĭdiàn Xiāng</v>
      </c>
      <c r="D237" t="s">
        <v>1428</v>
      </c>
      <c r="E237" t="s">
        <v>11</v>
      </c>
      <c r="F237" t="str">
        <f>_xlfn.CONCAT(D237,", ",H237,", ",I237,", ","陕西省")</f>
        <v>底店乡, 富平县, 渭南市, 陕西省</v>
      </c>
      <c r="G237">
        <v>18784</v>
      </c>
      <c r="H237" t="s">
        <v>3091</v>
      </c>
      <c r="I237" t="s">
        <v>3087</v>
      </c>
      <c r="J237" t="e">
        <f>VLOOKUP(F237,[1]!china_towns_second__2[[Column1]:[Y]],3,FALSE)</f>
        <v>#N/A</v>
      </c>
      <c r="K237" t="e">
        <f>VLOOKUP(F237,[1]!china_towns_second__2[[Column1]:[Y]],2,FALSE)</f>
        <v>#N/A</v>
      </c>
      <c r="L237" t="s">
        <v>4362</v>
      </c>
      <c r="M237" t="str">
        <f>VLOOKUP(H237,CHOOSE({1,2},Table11[Native],Table11[Name]),2,0)</f>
        <v>Fùpíng Xiàn</v>
      </c>
      <c r="N237" s="13" t="str">
        <f>VLOOKUP(I237,CHOOSE({1,2},Table11[Native],Table11[Name]),2,0)</f>
        <v>Wèinán Shì</v>
      </c>
      <c r="O237" s="13" t="str">
        <f t="shared" si="14"/>
        <v>Didian Xiang (Wèinán Shì)</v>
      </c>
      <c r="P237" s="13" t="str">
        <f t="shared" si="15"/>
        <v>Didian Xiang (Wèinán Shì)</v>
      </c>
    </row>
    <row r="238" spans="1:16" hidden="1" x14ac:dyDescent="0.25">
      <c r="A238" t="s">
        <v>1079</v>
      </c>
      <c r="B238" t="str">
        <f t="shared" si="12"/>
        <v>Dìhuā Zhèn</v>
      </c>
      <c r="C238" t="str">
        <f t="shared" si="13"/>
        <v>Dìhuā Zhèn</v>
      </c>
      <c r="D238" t="s">
        <v>1080</v>
      </c>
      <c r="E238" t="s">
        <v>7</v>
      </c>
      <c r="F238" t="str">
        <f>_xlfn.CONCAT(D238,", ",H238,", ",I238,", ","陕西省")</f>
        <v>棣花镇, 丹凤县, 商洛市, 陕西省</v>
      </c>
      <c r="G238">
        <v>20521</v>
      </c>
      <c r="H238" t="s">
        <v>3073</v>
      </c>
      <c r="I238" t="s">
        <v>3072</v>
      </c>
      <c r="J238">
        <f>VLOOKUP(F238,[1]!china_towns_second__2[[Column1]:[Y]],3,FALSE)</f>
        <v>33.758179200501601</v>
      </c>
      <c r="K238">
        <f>VLOOKUP(F238,[1]!china_towns_second__2[[Column1]:[Y]],2,FALSE)</f>
        <v>110.20952459999999</v>
      </c>
      <c r="L238" t="s">
        <v>4363</v>
      </c>
      <c r="M238" t="str">
        <f>VLOOKUP(H238,CHOOSE({1,2},Table11[Native],Table11[Name]),2,0)</f>
        <v>Dānfèng Xiàn</v>
      </c>
      <c r="N238" s="13" t="str">
        <f>VLOOKUP(I238,CHOOSE({1,2},Table11[Native],Table11[Name]),2,0)</f>
        <v>Shāngluò Shì</v>
      </c>
      <c r="O238" s="13" t="str">
        <f t="shared" si="14"/>
        <v>Dihua Zhen (Shāngluò Shì)</v>
      </c>
      <c r="P238" s="13" t="str">
        <f t="shared" si="15"/>
        <v>Dihua Zhen (Shāngluò Shì)</v>
      </c>
    </row>
    <row r="239" spans="1:16" hidden="1" x14ac:dyDescent="0.25">
      <c r="A239" t="s">
        <v>1755</v>
      </c>
      <c r="B239" t="str">
        <f t="shared" si="12"/>
        <v>Dĭmiào Zhèn</v>
      </c>
      <c r="C239" t="str">
        <f t="shared" si="13"/>
        <v>Dĭmiào Zhèn</v>
      </c>
      <c r="D239" t="s">
        <v>1756</v>
      </c>
      <c r="E239" t="s">
        <v>7</v>
      </c>
      <c r="F239" t="str">
        <f>_xlfn.CONCAT(D239,", ",H239,", ",I239,", ","陕西省")</f>
        <v>底庙镇, 旬邑县, 咸阳市, 陕西省</v>
      </c>
      <c r="G239">
        <v>18212</v>
      </c>
      <c r="H239" t="s">
        <v>3129</v>
      </c>
      <c r="I239" t="s">
        <v>3117</v>
      </c>
      <c r="J239">
        <f>VLOOKUP(F239,[1]!china_towns_second__2[[Column1]:[Y]],3,FALSE)</f>
        <v>35.259105637985101</v>
      </c>
      <c r="K239">
        <f>VLOOKUP(F239,[1]!china_towns_second__2[[Column1]:[Y]],2,FALSE)</f>
        <v>108.18598609999999</v>
      </c>
      <c r="L239" t="s">
        <v>4364</v>
      </c>
      <c r="M239" t="str">
        <f>VLOOKUP(H239,CHOOSE({1,2},Table11[Native],Table11[Name]),2,0)</f>
        <v>Xúnyì Xiàn</v>
      </c>
      <c r="N239" s="13" t="str">
        <f>VLOOKUP(I239,CHOOSE({1,2},Table11[Native],Table11[Name]),2,0)</f>
        <v>Xiányáng Shì</v>
      </c>
      <c r="O239" s="13" t="str">
        <f t="shared" si="14"/>
        <v>Dimiao Zhen (Xiányáng Shì)</v>
      </c>
      <c r="P239" s="13" t="str">
        <f t="shared" si="15"/>
        <v>Dimiao Zhen (Xiányáng Shì)</v>
      </c>
    </row>
    <row r="240" spans="1:16" hidden="1" x14ac:dyDescent="0.25">
      <c r="A240" t="s">
        <v>2686</v>
      </c>
      <c r="B240" t="str">
        <f t="shared" si="12"/>
        <v>Dìngbiān Jiēdào</v>
      </c>
      <c r="C240" t="str">
        <f t="shared" si="13"/>
        <v>Dìngbiān Jiēdào</v>
      </c>
      <c r="D240" t="s">
        <v>2687</v>
      </c>
      <c r="E240" t="s">
        <v>113</v>
      </c>
      <c r="F240" t="str">
        <f>_xlfn.CONCAT(D240,", ",H240,", ",I240,", ","陕西省")</f>
        <v>定边街道, 定边县, 榆林市, 陕西省</v>
      </c>
      <c r="G240">
        <v>99732</v>
      </c>
      <c r="H240" t="s">
        <v>3149</v>
      </c>
      <c r="I240" t="s">
        <v>3148</v>
      </c>
      <c r="J240" t="e">
        <f>VLOOKUP(F240,[1]!china_towns_second__2[[Column1]:[Y]],3,FALSE)</f>
        <v>#N/A</v>
      </c>
      <c r="K240" t="e">
        <f>VLOOKUP(F240,[1]!china_towns_second__2[[Column1]:[Y]],2,FALSE)</f>
        <v>#N/A</v>
      </c>
      <c r="L240" t="s">
        <v>4365</v>
      </c>
      <c r="M240" t="str">
        <f>VLOOKUP(H240,CHOOSE({1,2},Table11[Native],Table11[Name]),2,0)</f>
        <v>Dìngbiān Xiàn</v>
      </c>
      <c r="N240" s="13" t="str">
        <f>VLOOKUP(I240,CHOOSE({1,2},Table11[Native],Table11[Name]),2,0)</f>
        <v>Yúlín Shì</v>
      </c>
      <c r="O240" s="13" t="str">
        <f t="shared" si="14"/>
        <v>Dingbian Jiedao (Yúlín Shì)</v>
      </c>
      <c r="P240" s="13" t="str">
        <f t="shared" si="15"/>
        <v>Dingbian Jiedao (Yúlín Shì)</v>
      </c>
    </row>
    <row r="241" spans="1:16" hidden="1" x14ac:dyDescent="0.25">
      <c r="A241" t="s">
        <v>1757</v>
      </c>
      <c r="B241" t="str">
        <f t="shared" si="12"/>
        <v>Dīngjiā Zhèn</v>
      </c>
      <c r="C241" t="str">
        <f t="shared" si="13"/>
        <v>Dīngjiā Zhèn</v>
      </c>
      <c r="D241" t="s">
        <v>1758</v>
      </c>
      <c r="E241" t="s">
        <v>7</v>
      </c>
      <c r="F241" t="str">
        <f>_xlfn.CONCAT(D241,", ",H241,", ",I241,", ","陕西省")</f>
        <v>丁家镇, 长武县, 咸阳市, 陕西省</v>
      </c>
      <c r="G241">
        <v>10228</v>
      </c>
      <c r="H241" t="s">
        <v>3119</v>
      </c>
      <c r="I241" t="s">
        <v>3117</v>
      </c>
      <c r="J241">
        <f>VLOOKUP(F241,[1]!china_towns_second__2[[Column1]:[Y]],3,FALSE)</f>
        <v>35.1943856378155</v>
      </c>
      <c r="K241">
        <f>VLOOKUP(F241,[1]!china_towns_second__2[[Column1]:[Y]],2,FALSE)</f>
        <v>107.7345254</v>
      </c>
      <c r="L241" t="s">
        <v>4366</v>
      </c>
      <c r="M241" t="str">
        <f>VLOOKUP(H241,CHOOSE({1,2},Table11[Native],Table11[Name]),2,0)</f>
        <v>Chángwŭ Xiàn</v>
      </c>
      <c r="N241" s="13" t="str">
        <f>VLOOKUP(I241,CHOOSE({1,2},Table11[Native],Table11[Name]),2,0)</f>
        <v>Xiányáng Shì</v>
      </c>
      <c r="O241" s="13" t="str">
        <f t="shared" si="14"/>
        <v>Dingjia Zhen (Xiányáng Shì)</v>
      </c>
      <c r="P241" s="13" t="str">
        <f t="shared" si="15"/>
        <v>Dingjia Zhen (Xiányáng Shì)</v>
      </c>
    </row>
    <row r="242" spans="1:16" hidden="1" x14ac:dyDescent="0.25">
      <c r="A242" t="s">
        <v>697</v>
      </c>
      <c r="B242" t="str">
        <f t="shared" si="12"/>
        <v>Dìngjūnshān Zhèn</v>
      </c>
      <c r="C242" t="str">
        <f t="shared" si="13"/>
        <v>Dìngjūnshān Zhèn</v>
      </c>
      <c r="D242" t="s">
        <v>698</v>
      </c>
      <c r="E242" t="s">
        <v>7</v>
      </c>
      <c r="F242" t="str">
        <f>_xlfn.CONCAT(D242,", ",H242,", ",I242,", ","陕西省")</f>
        <v>定军山镇, 勉县, 汉中市, 陕西省</v>
      </c>
      <c r="G242">
        <v>35914</v>
      </c>
      <c r="H242" t="s">
        <v>3065</v>
      </c>
      <c r="I242" t="s">
        <v>3059</v>
      </c>
      <c r="J242">
        <f>VLOOKUP(F242,[1]!china_towns_second__2[[Column1]:[Y]],3,FALSE)</f>
        <v>33.10258861778</v>
      </c>
      <c r="K242">
        <f>VLOOKUP(F242,[1]!china_towns_second__2[[Column1]:[Y]],2,FALSE)</f>
        <v>106.6381655</v>
      </c>
      <c r="L242" t="s">
        <v>4367</v>
      </c>
      <c r="M242" t="str">
        <f>VLOOKUP(H242,CHOOSE({1,2},Table11[Native],Table11[Name]),2,0)</f>
        <v>Miăn Xiàn</v>
      </c>
      <c r="N242" s="13" t="str">
        <f>VLOOKUP(I242,CHOOSE({1,2},Table11[Native],Table11[Name]),2,0)</f>
        <v>Hànzhōng Shì</v>
      </c>
      <c r="O242" s="13" t="str">
        <f t="shared" si="14"/>
        <v>Dingjunshan Zhen (Hànzhōng Shì)</v>
      </c>
      <c r="P242" s="13" t="str">
        <f t="shared" si="15"/>
        <v>Dingjunshan Zhen (Hànzhōng Shì)</v>
      </c>
    </row>
    <row r="243" spans="1:16" hidden="1" x14ac:dyDescent="0.25">
      <c r="A243" t="s">
        <v>2688</v>
      </c>
      <c r="B243" t="str">
        <f t="shared" si="12"/>
        <v>Dìngxiānyàn Zhèn</v>
      </c>
      <c r="C243" t="str">
        <f t="shared" si="13"/>
        <v>Dìngxiānyàn Zhèn</v>
      </c>
      <c r="D243" t="s">
        <v>2689</v>
      </c>
      <c r="E243" t="s">
        <v>7</v>
      </c>
      <c r="F243" t="str">
        <f>_xlfn.CONCAT(D243,", ",H243,", ",I243,", ","陕西省")</f>
        <v>定仙墕镇, 绥德县, 榆林市, 陕西省</v>
      </c>
      <c r="G243">
        <v>6871</v>
      </c>
      <c r="H243" t="s">
        <v>3157</v>
      </c>
      <c r="I243" t="s">
        <v>3148</v>
      </c>
      <c r="J243">
        <f>VLOOKUP(F243,[1]!china_towns_second__2[[Column1]:[Y]],3,FALSE)</f>
        <v>37.335345543586399</v>
      </c>
      <c r="K243">
        <f>VLOOKUP(F243,[1]!china_towns_second__2[[Column1]:[Y]],2,FALSE)</f>
        <v>110.5685912</v>
      </c>
      <c r="L243" t="s">
        <v>4368</v>
      </c>
      <c r="M243" t="str">
        <f>VLOOKUP(H243,CHOOSE({1,2},Table11[Native],Table11[Name]),2,0)</f>
        <v>Suídé Xiàn</v>
      </c>
      <c r="N243" s="13" t="str">
        <f>VLOOKUP(I243,CHOOSE({1,2},Table11[Native],Table11[Name]),2,0)</f>
        <v>Yúlín Shì</v>
      </c>
      <c r="O243" s="13" t="str">
        <f t="shared" si="14"/>
        <v>Dingxianyan Zhen (Yúlín Shì)</v>
      </c>
      <c r="P243" s="13" t="str">
        <f t="shared" si="15"/>
        <v>Dingxianyan Zhen (Yúlín Shì)</v>
      </c>
    </row>
    <row r="244" spans="1:16" hidden="1" x14ac:dyDescent="0.25">
      <c r="A244" t="s">
        <v>2038</v>
      </c>
      <c r="B244" t="str">
        <f t="shared" si="12"/>
        <v>Dízhài Jiēdào</v>
      </c>
      <c r="C244" t="str">
        <f t="shared" si="13"/>
        <v>Dízhài Jiēdào</v>
      </c>
      <c r="D244" t="s">
        <v>2039</v>
      </c>
      <c r="E244" t="s">
        <v>113</v>
      </c>
      <c r="F244" t="str">
        <f>_xlfn.CONCAT(D244,", ",H244,", ",I244,", ","陕西省")</f>
        <v>狄寨街道, 灞桥区, 西安市, 陕西省</v>
      </c>
      <c r="G244">
        <v>59737</v>
      </c>
      <c r="H244" t="s">
        <v>3103</v>
      </c>
      <c r="I244" t="s">
        <v>3102</v>
      </c>
      <c r="J244">
        <f>VLOOKUP(F244,[1]!china_towns_second__2[[Column1]:[Y]],3,FALSE)</f>
        <v>34.208983996445198</v>
      </c>
      <c r="K244">
        <f>VLOOKUP(F244,[1]!china_towns_second__2[[Column1]:[Y]],2,FALSE)</f>
        <v>109.1118881</v>
      </c>
      <c r="L244" t="s">
        <v>4369</v>
      </c>
      <c r="M244" t="str">
        <f>VLOOKUP(H244,CHOOSE({1,2},Table11[Native],Table11[Name]),2,0)</f>
        <v>Bàqiáo Qū</v>
      </c>
      <c r="N244" s="13" t="str">
        <f>VLOOKUP(I244,CHOOSE({1,2},Table11[Native],Table11[Name]),2,0)</f>
        <v>Xī'ān Shì</v>
      </c>
      <c r="O244" s="13" t="str">
        <f t="shared" si="14"/>
        <v>Dizhai Jiedao (Xī'ān Shì)</v>
      </c>
      <c r="P244" s="13" t="str">
        <f t="shared" si="15"/>
        <v>Dizhai Jiedao (Xī'ān Shì)</v>
      </c>
    </row>
    <row r="245" spans="1:16" hidden="1" x14ac:dyDescent="0.25">
      <c r="A245" t="s">
        <v>2040</v>
      </c>
      <c r="B245" t="str">
        <f t="shared" si="12"/>
        <v>Dĭzhāng Jiēdào</v>
      </c>
      <c r="C245" t="str">
        <f t="shared" si="13"/>
        <v>Dĭzhāng Jiēdào</v>
      </c>
      <c r="D245" t="s">
        <v>2041</v>
      </c>
      <c r="E245" t="s">
        <v>113</v>
      </c>
      <c r="F245" t="str">
        <f>_xlfn.CONCAT(D245,", ",H245,", ",I245,", ","陕西省")</f>
        <v>底张街道, 西咸新区, 西安市, 陕西省</v>
      </c>
      <c r="G245">
        <v>30663</v>
      </c>
      <c r="H245" t="s">
        <v>3167</v>
      </c>
      <c r="I245" t="s">
        <v>3102</v>
      </c>
      <c r="J245" t="e">
        <f>VLOOKUP(F245,[1]!china_towns_second__2[[Column1]:[Y]],3,FALSE)</f>
        <v>#N/A</v>
      </c>
      <c r="K245" t="e">
        <f>VLOOKUP(F245,[1]!china_towns_second__2[[Column1]:[Y]],2,FALSE)</f>
        <v>#N/A</v>
      </c>
      <c r="L245" t="s">
        <v>4370</v>
      </c>
      <c r="M245" t="str">
        <f>VLOOKUP(H245,CHOOSE({1,2},Table11[Native],Table11[Name]),2,0)</f>
        <v>Xīxián Xīnqū</v>
      </c>
      <c r="N245" s="13" t="str">
        <f>VLOOKUP(I245,CHOOSE({1,2},Table11[Native],Table11[Name]),2,0)</f>
        <v>Xī'ān Shì</v>
      </c>
      <c r="O245" s="13" t="str">
        <f t="shared" si="14"/>
        <v>Dizhang Jiedao (Xī'ān Shì)</v>
      </c>
      <c r="P245" s="13" t="str">
        <f t="shared" si="15"/>
        <v>Dizhang Jiedao (Xī'ān Shì)</v>
      </c>
    </row>
    <row r="246" spans="1:16" hidden="1" x14ac:dyDescent="0.25">
      <c r="A246" t="s">
        <v>1760</v>
      </c>
      <c r="B246" t="str">
        <f t="shared" si="12"/>
        <v>Dìzhăng Xiāng</v>
      </c>
      <c r="C246" t="str">
        <f t="shared" si="13"/>
        <v>Dìzhăng Xiāng</v>
      </c>
      <c r="D246" t="s">
        <v>1761</v>
      </c>
      <c r="E246" t="s">
        <v>11</v>
      </c>
      <c r="F246" t="str">
        <f>_xlfn.CONCAT(D246,", ",H246,", ",I246,", ","陕西省")</f>
        <v>地掌乡, 长武县, 咸阳市, 陕西省</v>
      </c>
      <c r="G246">
        <v>18426</v>
      </c>
      <c r="H246" t="s">
        <v>3119</v>
      </c>
      <c r="I246" t="s">
        <v>3117</v>
      </c>
      <c r="J246" t="e">
        <f>VLOOKUP(F246,[1]!china_towns_second__2[[Column1]:[Y]],3,FALSE)</f>
        <v>#N/A</v>
      </c>
      <c r="K246" t="e">
        <f>VLOOKUP(F246,[1]!china_towns_second__2[[Column1]:[Y]],2,FALSE)</f>
        <v>#N/A</v>
      </c>
      <c r="L246" t="s">
        <v>4371</v>
      </c>
      <c r="M246" t="str">
        <f>VLOOKUP(H246,CHOOSE({1,2},Table11[Native],Table11[Name]),2,0)</f>
        <v>Chángwŭ Xiàn</v>
      </c>
      <c r="N246" s="13" t="str">
        <f>VLOOKUP(I246,CHOOSE({1,2},Table11[Native],Table11[Name]),2,0)</f>
        <v>Xiányáng Shì</v>
      </c>
      <c r="O246" s="13" t="str">
        <f t="shared" si="14"/>
        <v>Dizhang Xiang (Xiányáng Shì)</v>
      </c>
      <c r="P246" s="13" t="str">
        <f t="shared" si="15"/>
        <v>Dizhang Xiang (Xiányáng Shì)</v>
      </c>
    </row>
    <row r="247" spans="1:16" hidden="1" x14ac:dyDescent="0.25">
      <c r="A247" t="s">
        <v>1762</v>
      </c>
      <c r="B247" t="str">
        <f t="shared" si="12"/>
        <v>Dōngchéng Jiēdào</v>
      </c>
      <c r="C247" t="str">
        <f t="shared" si="13"/>
        <v>Dōngchéng Jiēdào</v>
      </c>
      <c r="D247" t="s">
        <v>1430</v>
      </c>
      <c r="E247" t="s">
        <v>113</v>
      </c>
      <c r="F247" t="str">
        <f>_xlfn.CONCAT(D247,", ",H247,", ",I247,", ","陕西省")</f>
        <v>东城街道, 兴平市, 咸阳市, 陕西省</v>
      </c>
      <c r="G247">
        <v>111495</v>
      </c>
      <c r="H247" t="s">
        <v>3128</v>
      </c>
      <c r="I247" t="s">
        <v>3117</v>
      </c>
      <c r="J247">
        <f>VLOOKUP(F247,[1]!china_towns_second__2[[Column1]:[Y]],3,FALSE)</f>
        <v>34.296920571252102</v>
      </c>
      <c r="K247">
        <f>VLOOKUP(F247,[1]!china_towns_second__2[[Column1]:[Y]],2,FALSE)</f>
        <v>108.5006368</v>
      </c>
      <c r="L247" t="s">
        <v>4372</v>
      </c>
      <c r="M247" t="str">
        <f>VLOOKUP(H247,CHOOSE({1,2},Table11[Native],Table11[Name]),2,0)</f>
        <v>Xīngpíng Shì</v>
      </c>
      <c r="N247" s="13" t="str">
        <f>VLOOKUP(I247,CHOOSE({1,2},Table11[Native],Table11[Name]),2,0)</f>
        <v>Xiányáng Shì</v>
      </c>
      <c r="O247" s="13" t="str">
        <f t="shared" si="14"/>
        <v>Dongcheng Jiedao (Xiányáng Shì)</v>
      </c>
      <c r="P247" s="13" t="str">
        <f t="shared" si="15"/>
        <v>Dongcheng Jiedao (Xiányáng Shì)</v>
      </c>
    </row>
    <row r="248" spans="1:16" hidden="1" x14ac:dyDescent="0.25">
      <c r="A248" t="s">
        <v>1429</v>
      </c>
      <c r="B248" t="str">
        <f t="shared" si="12"/>
        <v>Dōngchéng Jiēdào [Chéngguān Zhèn]</v>
      </c>
      <c r="C248" t="str">
        <f t="shared" si="13"/>
        <v>Dōngchéng Jiēdào [Chéngguān Zhèn]</v>
      </c>
      <c r="D248" t="s">
        <v>1430</v>
      </c>
      <c r="E248" t="s">
        <v>113</v>
      </c>
      <c r="F248" t="str">
        <f>_xlfn.CONCAT(D248,", ",H248,", ",I248,", ","陕西省")</f>
        <v>东城街道, 大荔县, 渭南市, 陕西省</v>
      </c>
      <c r="G248">
        <v>110725</v>
      </c>
      <c r="H248" t="s">
        <v>3090</v>
      </c>
      <c r="I248" t="s">
        <v>3087</v>
      </c>
      <c r="J248" t="e">
        <f>VLOOKUP(F248,[1]!china_towns_second__2[[Column1]:[Y]],3,FALSE)</f>
        <v>#N/A</v>
      </c>
      <c r="K248" t="e">
        <f>VLOOKUP(F248,[1]!china_towns_second__2[[Column1]:[Y]],2,FALSE)</f>
        <v>#N/A</v>
      </c>
      <c r="L248" t="s">
        <v>4373</v>
      </c>
      <c r="M248" t="str">
        <f>VLOOKUP(H248,CHOOSE({1,2},Table11[Native],Table11[Name]),2,0)</f>
        <v>Dàlì Xiàn</v>
      </c>
      <c r="N248" s="13" t="str">
        <f>VLOOKUP(I248,CHOOSE({1,2},Table11[Native],Table11[Name]),2,0)</f>
        <v>Wèinán Shì</v>
      </c>
      <c r="O248" s="13" t="str">
        <f t="shared" si="14"/>
        <v>Dongcheng Jiedao [Chengguan Zhen] (Wèinán Shì)</v>
      </c>
      <c r="P248" s="13" t="str">
        <f t="shared" si="15"/>
        <v>Dongcheng Jiedao [Chengguan Zhen] (Wèinán Shì)</v>
      </c>
    </row>
    <row r="249" spans="1:16" hidden="1" x14ac:dyDescent="0.25">
      <c r="A249" t="s">
        <v>2042</v>
      </c>
      <c r="B249" t="str">
        <f t="shared" si="12"/>
        <v>Dōngdà Jiēdào</v>
      </c>
      <c r="C249" t="str">
        <f t="shared" si="13"/>
        <v>Dōngdà Jiēdào</v>
      </c>
      <c r="D249" t="s">
        <v>2043</v>
      </c>
      <c r="E249" t="s">
        <v>113</v>
      </c>
      <c r="F249" t="str">
        <f>_xlfn.CONCAT(D249,", ",H249,", ",I249,", ","陕西省")</f>
        <v>东大街道, 长安区, 西安市, 陕西省</v>
      </c>
      <c r="G249">
        <v>39554</v>
      </c>
      <c r="H249" t="s">
        <v>3105</v>
      </c>
      <c r="I249" t="s">
        <v>3102</v>
      </c>
      <c r="J249">
        <f>VLOOKUP(F249,[1]!china_towns_second__2[[Column1]:[Y]],3,FALSE)</f>
        <v>33.943324677571503</v>
      </c>
      <c r="K249">
        <f>VLOOKUP(F249,[1]!china_towns_second__2[[Column1]:[Y]],2,FALSE)</f>
        <v>108.7716908</v>
      </c>
      <c r="L249" t="s">
        <v>4374</v>
      </c>
      <c r="M249" t="str">
        <f>VLOOKUP(H249,CHOOSE({1,2},Table11[Native],Table11[Name]),2,0)</f>
        <v>Cháng'ān Qū</v>
      </c>
      <c r="N249" s="13" t="str">
        <f>VLOOKUP(I249,CHOOSE({1,2},Table11[Native],Table11[Name]),2,0)</f>
        <v>Xī'ān Shì</v>
      </c>
      <c r="O249" s="13" t="str">
        <f t="shared" si="14"/>
        <v>Dongda Jiedao (Xī'ān Shì)</v>
      </c>
      <c r="P249" s="13" t="str">
        <f t="shared" si="15"/>
        <v>Dongda Jiedao (Xī'ān Shì)</v>
      </c>
    </row>
    <row r="250" spans="1:16" hidden="1" x14ac:dyDescent="0.25">
      <c r="A250" t="s">
        <v>699</v>
      </c>
      <c r="B250" t="str">
        <f t="shared" si="12"/>
        <v>Dōngdàjiē Jiēdào</v>
      </c>
      <c r="C250" t="str">
        <f t="shared" si="13"/>
        <v>Dōngdàjiē Jiēdào</v>
      </c>
      <c r="D250" t="s">
        <v>700</v>
      </c>
      <c r="E250" t="s">
        <v>113</v>
      </c>
      <c r="F250" t="str">
        <f>_xlfn.CONCAT(D250,", ",H250,", ",I250,", ","陕西省")</f>
        <v>东大街街道, 汉台区, 汉中市, 陕西省</v>
      </c>
      <c r="G250">
        <v>29407</v>
      </c>
      <c r="H250" t="s">
        <v>3062</v>
      </c>
      <c r="I250" t="s">
        <v>3059</v>
      </c>
      <c r="J250">
        <f>VLOOKUP(F250,[1]!china_towns_second__2[[Column1]:[Y]],3,FALSE)</f>
        <v>33.079070252588899</v>
      </c>
      <c r="K250">
        <f>VLOOKUP(F250,[1]!china_towns_second__2[[Column1]:[Y]],2,FALSE)</f>
        <v>107.024469</v>
      </c>
      <c r="L250" t="s">
        <v>4375</v>
      </c>
      <c r="M250" t="str">
        <f>VLOOKUP(H250,CHOOSE({1,2},Table11[Native],Table11[Name]),2,0)</f>
        <v>Hàntái Qū</v>
      </c>
      <c r="N250" s="13" t="str">
        <f>VLOOKUP(I250,CHOOSE({1,2},Table11[Native],Table11[Name]),2,0)</f>
        <v>Hànzhōng Shì</v>
      </c>
      <c r="O250" s="13" t="str">
        <f t="shared" si="14"/>
        <v>Dongdajie Jiedao (Hànzhōng Shì)</v>
      </c>
      <c r="P250" s="13" t="str">
        <f t="shared" si="15"/>
        <v>Dongdajie Jiedao (Hànzhōng Shì)</v>
      </c>
    </row>
    <row r="251" spans="1:16" hidden="1" x14ac:dyDescent="0.25">
      <c r="A251" t="s">
        <v>389</v>
      </c>
      <c r="B251" t="str">
        <f t="shared" si="12"/>
        <v>Dōngfēng Zhèn</v>
      </c>
      <c r="C251" t="str">
        <f t="shared" si="13"/>
        <v>Dōngfēng Zhèn</v>
      </c>
      <c r="D251" t="s">
        <v>390</v>
      </c>
      <c r="E251" t="s">
        <v>7</v>
      </c>
      <c r="F251" t="str">
        <f>_xlfn.CONCAT(D251,", ",H251,", ",I251,", ","陕西省")</f>
        <v>东风镇, 陇县, 宝鸡市, 陕西省</v>
      </c>
      <c r="G251">
        <v>18308</v>
      </c>
      <c r="H251" t="s">
        <v>3052</v>
      </c>
      <c r="I251" t="s">
        <v>3045</v>
      </c>
      <c r="J251">
        <f>VLOOKUP(F251,[1]!china_towns_second__2[[Column1]:[Y]],3,FALSE)</f>
        <v>34.8437146447027</v>
      </c>
      <c r="K251">
        <f>VLOOKUP(F251,[1]!china_towns_second__2[[Column1]:[Y]],2,FALSE)</f>
        <v>106.9838084</v>
      </c>
      <c r="L251" t="s">
        <v>4376</v>
      </c>
      <c r="M251" t="str">
        <f>VLOOKUP(H251,CHOOSE({1,2},Table11[Native],Table11[Name]),2,0)</f>
        <v>Lŏng Xiàn</v>
      </c>
      <c r="N251" s="13" t="str">
        <f>VLOOKUP(I251,CHOOSE({1,2},Table11[Native],Table11[Name]),2,0)</f>
        <v>Băojī Shì</v>
      </c>
      <c r="O251" s="13" t="str">
        <f t="shared" si="14"/>
        <v>Dongfeng Zhen (Băojī Shì)</v>
      </c>
      <c r="P251" s="13" t="str">
        <f t="shared" si="15"/>
        <v>Dongfeng Zhen (Băojī Shì)</v>
      </c>
    </row>
    <row r="252" spans="1:16" hidden="1" x14ac:dyDescent="0.25">
      <c r="A252" t="s">
        <v>387</v>
      </c>
      <c r="B252" t="str">
        <f t="shared" si="12"/>
        <v>Dōngfēnglù Jiēdào</v>
      </c>
      <c r="C252" t="str">
        <f t="shared" si="13"/>
        <v>Dōngfēnglù Jiēdào</v>
      </c>
      <c r="D252" t="s">
        <v>388</v>
      </c>
      <c r="E252" t="s">
        <v>113</v>
      </c>
      <c r="F252" t="str">
        <f>_xlfn.CONCAT(D252,", ",H252,", ",I252,", ","陕西省")</f>
        <v>东风路街道, 金台区, 宝鸡市, 陕西省</v>
      </c>
      <c r="G252">
        <v>60395</v>
      </c>
      <c r="H252" t="s">
        <v>3050</v>
      </c>
      <c r="I252" t="s">
        <v>3045</v>
      </c>
      <c r="J252">
        <f>VLOOKUP(F252,[1]!china_towns_second__2[[Column1]:[Y]],3,FALSE)</f>
        <v>34.361542564331401</v>
      </c>
      <c r="K252">
        <f>VLOOKUP(F252,[1]!china_towns_second__2[[Column1]:[Y]],2,FALSE)</f>
        <v>107.170141</v>
      </c>
      <c r="L252" t="s">
        <v>4377</v>
      </c>
      <c r="M252" t="str">
        <f>VLOOKUP(H252,CHOOSE({1,2},Table11[Native],Table11[Name]),2,0)</f>
        <v>Jīntái Qū</v>
      </c>
      <c r="N252" s="13" t="str">
        <f>VLOOKUP(I252,CHOOSE({1,2},Table11[Native],Table11[Name]),2,0)</f>
        <v>Băojī Shì</v>
      </c>
      <c r="O252" s="13" t="str">
        <f t="shared" si="14"/>
        <v>Dongfenglu Jiedao (Băojī Shì)</v>
      </c>
      <c r="P252" s="13" t="str">
        <f t="shared" si="15"/>
        <v>Dongfenglu Jiedao (Băojī Shì)</v>
      </c>
    </row>
    <row r="253" spans="1:16" hidden="1" x14ac:dyDescent="0.25">
      <c r="A253" t="s">
        <v>2379</v>
      </c>
      <c r="B253" t="str">
        <f t="shared" si="12"/>
        <v>Dōnggōu Xiāng</v>
      </c>
      <c r="C253" t="str">
        <f t="shared" si="13"/>
        <v>Dōnggōu Xiāng</v>
      </c>
      <c r="D253" t="s">
        <v>2380</v>
      </c>
      <c r="E253" t="s">
        <v>11</v>
      </c>
      <c r="F253" t="str">
        <f>_xlfn.CONCAT(D253,", ",H253,", ",I253,", ","陕西省")</f>
        <v>东沟乡, 甘泉县, 延安市, 陕西省</v>
      </c>
      <c r="G253">
        <v>2391</v>
      </c>
      <c r="H253" t="s">
        <v>3137</v>
      </c>
      <c r="I253" t="s">
        <v>3133</v>
      </c>
      <c r="J253" t="e">
        <f>VLOOKUP(F253,[1]!china_towns_second__2[[Column1]:[Y]],3,FALSE)</f>
        <v>#N/A</v>
      </c>
      <c r="K253" t="e">
        <f>VLOOKUP(F253,[1]!china_towns_second__2[[Column1]:[Y]],2,FALSE)</f>
        <v>#N/A</v>
      </c>
      <c r="L253" t="s">
        <v>4378</v>
      </c>
      <c r="M253" t="str">
        <f>VLOOKUP(H253,CHOOSE({1,2},Table11[Native],Table11[Name]),2,0)</f>
        <v>Gānquán Xiàn</v>
      </c>
      <c r="N253" s="13" t="str">
        <f>VLOOKUP(I253,CHOOSE({1,2},Table11[Native],Table11[Name]),2,0)</f>
        <v>Yán'ān Shì</v>
      </c>
      <c r="O253" s="13" t="str">
        <f t="shared" si="14"/>
        <v>Donggou Xiang (Yán'ān Shì)</v>
      </c>
      <c r="P253" s="13" t="str">
        <f t="shared" si="15"/>
        <v>Donggou Xiang (Yán'ān Shì)</v>
      </c>
    </row>
    <row r="254" spans="1:16" hidden="1" x14ac:dyDescent="0.25">
      <c r="A254" t="s">
        <v>701</v>
      </c>
      <c r="B254" t="str">
        <f t="shared" si="12"/>
        <v>Dōngguān Jiēdào</v>
      </c>
      <c r="C254" t="str">
        <f t="shared" si="13"/>
        <v>Dōngguān Jiēdào</v>
      </c>
      <c r="D254" t="s">
        <v>702</v>
      </c>
      <c r="E254" t="s">
        <v>113</v>
      </c>
      <c r="F254" t="str">
        <f>_xlfn.CONCAT(D254,", ",H254,", ",I254,", ","陕西省")</f>
        <v>东关街道, 汉台区, 汉中市, 陕西省</v>
      </c>
      <c r="G254">
        <v>50687</v>
      </c>
      <c r="H254" t="s">
        <v>3062</v>
      </c>
      <c r="I254" t="s">
        <v>3059</v>
      </c>
      <c r="J254">
        <f>VLOOKUP(F254,[1]!china_towns_second__2[[Column1]:[Y]],3,FALSE)</f>
        <v>33.068568613944599</v>
      </c>
      <c r="K254">
        <f>VLOOKUP(F254,[1]!china_towns_second__2[[Column1]:[Y]],2,FALSE)</f>
        <v>107.046586</v>
      </c>
      <c r="L254" t="s">
        <v>4379</v>
      </c>
      <c r="M254" t="str">
        <f>VLOOKUP(H254,CHOOSE({1,2},Table11[Native],Table11[Name]),2,0)</f>
        <v>Hàntái Qū</v>
      </c>
      <c r="N254" s="13" t="str">
        <f>VLOOKUP(I254,CHOOSE({1,2},Table11[Native],Table11[Name]),2,0)</f>
        <v>Hànzhōng Shì</v>
      </c>
      <c r="O254" s="13" t="str">
        <f t="shared" si="14"/>
        <v>Dongguan Jiedao (Hànzhōng Shì)</v>
      </c>
      <c r="P254" s="13" t="str">
        <f t="shared" si="15"/>
        <v>Dongguan Jiedao (Hànzhōng Shì)</v>
      </c>
    </row>
    <row r="255" spans="1:16" hidden="1" x14ac:dyDescent="0.25">
      <c r="A255" t="s">
        <v>2044</v>
      </c>
      <c r="B255" t="str">
        <f t="shared" si="12"/>
        <v>Dōngguānnánjiē Jiēdào</v>
      </c>
      <c r="C255" t="str">
        <f t="shared" si="13"/>
        <v>Dōngguānnánjiē Jiēdào</v>
      </c>
      <c r="D255" t="s">
        <v>2045</v>
      </c>
      <c r="E255" t="s">
        <v>113</v>
      </c>
      <c r="F255" t="str">
        <f>_xlfn.CONCAT(D255,", ",H255,", ",I255,", ","陕西省")</f>
        <v>东关南街街道, 碑林区, 西安市, 陕西省</v>
      </c>
      <c r="G255">
        <v>74648</v>
      </c>
      <c r="H255" t="s">
        <v>3104</v>
      </c>
      <c r="I255" t="s">
        <v>3102</v>
      </c>
      <c r="J255">
        <f>VLOOKUP(F255,[1]!china_towns_second__2[[Column1]:[Y]],3,FALSE)</f>
        <v>34.256814515234097</v>
      </c>
      <c r="K255">
        <f>VLOOKUP(F255,[1]!china_towns_second__2[[Column1]:[Y]],2,FALSE)</f>
        <v>108.9815772</v>
      </c>
      <c r="L255" t="s">
        <v>4380</v>
      </c>
      <c r="M255" t="str">
        <f>VLOOKUP(H255,CHOOSE({1,2},Table11[Native],Table11[Name]),2,0)</f>
        <v>Bēilín Qū</v>
      </c>
      <c r="N255" s="13" t="str">
        <f>VLOOKUP(I255,CHOOSE({1,2},Table11[Native],Table11[Name]),2,0)</f>
        <v>Xī'ān Shì</v>
      </c>
      <c r="O255" s="13" t="str">
        <f t="shared" si="14"/>
        <v>Dongguannanjie Jiedao (Xī'ān Shì)</v>
      </c>
      <c r="P255" s="13" t="str">
        <f t="shared" si="15"/>
        <v>Dongguannanjie Jiedao (Xī'ān Shì)</v>
      </c>
    </row>
    <row r="256" spans="1:16" hidden="1" x14ac:dyDescent="0.25">
      <c r="A256" t="s">
        <v>53</v>
      </c>
      <c r="B256" t="str">
        <f t="shared" si="12"/>
        <v>Dònghé Zhèn</v>
      </c>
      <c r="C256" t="str">
        <f t="shared" si="13"/>
        <v>Dònghé Zhèn</v>
      </c>
      <c r="D256" t="s">
        <v>54</v>
      </c>
      <c r="E256" t="s">
        <v>7</v>
      </c>
      <c r="F256" t="str">
        <f>_xlfn.CONCAT(D256,", ",H256,", ",I256,", ","陕西省")</f>
        <v>洞河镇, 紫阳县, 安康市, 陕西省</v>
      </c>
      <c r="G256">
        <v>14609</v>
      </c>
      <c r="H256" t="s">
        <v>3043</v>
      </c>
      <c r="I256" t="s">
        <v>3031</v>
      </c>
      <c r="J256">
        <f>VLOOKUP(F256,[1]!china_towns_second__2[[Column1]:[Y]],3,FALSE)</f>
        <v>32.479631118303303</v>
      </c>
      <c r="K256">
        <f>VLOOKUP(F256,[1]!china_towns_second__2[[Column1]:[Y]],2,FALSE)</f>
        <v>108.6016901</v>
      </c>
      <c r="L256" t="s">
        <v>4381</v>
      </c>
      <c r="M256" t="str">
        <f>VLOOKUP(H256,CHOOSE({1,2},Table11[Native],Table11[Name]),2,0)</f>
        <v>Zĭyáng Xiàn</v>
      </c>
      <c r="N256" s="13" t="str">
        <f>VLOOKUP(I256,CHOOSE({1,2},Table11[Native],Table11[Name]),2,0)</f>
        <v>Ānkāng Shì</v>
      </c>
      <c r="O256" s="13" t="str">
        <f t="shared" si="14"/>
        <v>Donghe Zhen (Ānkāng Shì)</v>
      </c>
      <c r="P256" s="13" t="str">
        <f t="shared" si="15"/>
        <v>Donghe Zhen (Ānkāng Shì)</v>
      </c>
    </row>
    <row r="257" spans="1:16" hidden="1" x14ac:dyDescent="0.25">
      <c r="A257" t="s">
        <v>391</v>
      </c>
      <c r="B257" t="str">
        <f t="shared" si="12"/>
        <v>Dŏngjiāhé Xiāng</v>
      </c>
      <c r="C257" t="str">
        <f t="shared" si="13"/>
        <v>Dŏngjiāhé Xiāng</v>
      </c>
      <c r="D257" t="s">
        <v>392</v>
      </c>
      <c r="E257" t="s">
        <v>11</v>
      </c>
      <c r="F257" t="str">
        <f>_xlfn.CONCAT(D257,", ",H257,", ",I257,", ","陕西省")</f>
        <v>董家河乡, 凤翔区, 宝鸡市, 陕西省</v>
      </c>
      <c r="G257">
        <v>14523</v>
      </c>
      <c r="H257" t="s">
        <v>3048</v>
      </c>
      <c r="I257" t="s">
        <v>3045</v>
      </c>
      <c r="J257" t="e">
        <f>VLOOKUP(F257,[1]!china_towns_second__2[[Column1]:[Y]],3,FALSE)</f>
        <v>#N/A</v>
      </c>
      <c r="K257" t="e">
        <f>VLOOKUP(F257,[1]!china_towns_second__2[[Column1]:[Y]],2,FALSE)</f>
        <v>#N/A</v>
      </c>
      <c r="L257" t="s">
        <v>4382</v>
      </c>
      <c r="M257" t="str">
        <f>VLOOKUP(H257,CHOOSE({1,2},Table11[Native],Table11[Name]),2,0)</f>
        <v>Fèngxiáng Qū</v>
      </c>
      <c r="N257" s="13" t="str">
        <f>VLOOKUP(I257,CHOOSE({1,2},Table11[Native],Table11[Name]),2,0)</f>
        <v>Băojī Shì</v>
      </c>
      <c r="O257" s="13" t="str">
        <f t="shared" si="14"/>
        <v>Dongjiahe Xiang (Băojī Shì)</v>
      </c>
      <c r="P257" s="13" t="str">
        <f t="shared" si="15"/>
        <v>Dongjiahe Xiang (Băojī Shì)</v>
      </c>
    </row>
    <row r="258" spans="1:16" hidden="1" x14ac:dyDescent="0.25">
      <c r="A258" t="s">
        <v>1297</v>
      </c>
      <c r="B258" t="str">
        <f t="shared" ref="B258:B321" si="16">IF(COUNTIF(A:A,A258)&gt;1,_xlfn.CONCAT(A258," (",N258,")"),A258)</f>
        <v>Dŏngjiāhé Zhèn</v>
      </c>
      <c r="C258" t="str">
        <f t="shared" ref="C258:C321" si="17">IF(COUNTIF(B:B,B258)&gt;1,_xlfn.CONCAT(A258," (",M258,")"),B258)</f>
        <v>Dŏngjiāhé Zhèn</v>
      </c>
      <c r="D258" t="s">
        <v>1298</v>
      </c>
      <c r="E258" t="s">
        <v>7</v>
      </c>
      <c r="F258" t="str">
        <f>_xlfn.CONCAT(D258,", ",H258,", ",I258,", ","陕西省")</f>
        <v>董家河镇, 耀州区, 铜川市, 陕西省</v>
      </c>
      <c r="G258">
        <v>11502</v>
      </c>
      <c r="H258" t="s">
        <v>3083</v>
      </c>
      <c r="I258" t="s">
        <v>3081</v>
      </c>
      <c r="J258">
        <f>VLOOKUP(F258,[1]!china_towns_second__2[[Column1]:[Y]],3,FALSE)</f>
        <v>34.984479033729997</v>
      </c>
      <c r="K258">
        <f>VLOOKUP(F258,[1]!china_towns_second__2[[Column1]:[Y]],2,FALSE)</f>
        <v>108.9942147</v>
      </c>
      <c r="L258" t="s">
        <v>4383</v>
      </c>
      <c r="M258" t="str">
        <f>VLOOKUP(H258,CHOOSE({1,2},Table11[Native],Table11[Name]),2,0)</f>
        <v>Yàozhōu Qū</v>
      </c>
      <c r="N258" s="13" t="str">
        <f>VLOOKUP(I258,CHOOSE({1,2},Table11[Native],Table11[Name]),2,0)</f>
        <v>Tóngchuān Shì</v>
      </c>
      <c r="O258" s="13" t="str">
        <f t="shared" ref="O258:O321" si="18">_xlfn.CONCAT(L258," (",N258,")")</f>
        <v>Dongjiahe Zhen (Tóngchuān Shì)</v>
      </c>
      <c r="P258" s="13" t="str">
        <f t="shared" ref="P258:P321" si="19">IF(COUNTIF(O:O,O258)&gt;1,_xlfn.CONCAT(L258," (",M258,")"),O258)</f>
        <v>Dongjiahe Zhen (Tóngchuān Shì)</v>
      </c>
    </row>
    <row r="259" spans="1:16" hidden="1" x14ac:dyDescent="0.25">
      <c r="A259" t="s">
        <v>703</v>
      </c>
      <c r="B259" t="str">
        <f t="shared" si="16"/>
        <v>Dŏngjiāyíng Zhèn</v>
      </c>
      <c r="C259" t="str">
        <f t="shared" si="17"/>
        <v>Dŏngjiāyíng Zhèn</v>
      </c>
      <c r="D259" t="s">
        <v>704</v>
      </c>
      <c r="E259" t="s">
        <v>7</v>
      </c>
      <c r="F259" t="str">
        <f>_xlfn.CONCAT(D259,", ",H259,", ",I259,", ","陕西省")</f>
        <v>董家营镇, 城固县, 汉中市, 陕西省</v>
      </c>
      <c r="G259">
        <v>23704</v>
      </c>
      <c r="H259" t="s">
        <v>3060</v>
      </c>
      <c r="I259" t="s">
        <v>3059</v>
      </c>
      <c r="J259">
        <f>VLOOKUP(F259,[1]!china_towns_second__2[[Column1]:[Y]],3,FALSE)</f>
        <v>33.0719978743019</v>
      </c>
      <c r="K259">
        <f>VLOOKUP(F259,[1]!china_towns_second__2[[Column1]:[Y]],2,FALSE)</f>
        <v>107.280845</v>
      </c>
      <c r="L259" t="s">
        <v>4384</v>
      </c>
      <c r="M259" t="str">
        <f>VLOOKUP(H259,CHOOSE({1,2},Table11[Native],Table11[Name]),2,0)</f>
        <v>Chénggù Xiàn</v>
      </c>
      <c r="N259" s="13" t="str">
        <f>VLOOKUP(I259,CHOOSE({1,2},Table11[Native],Table11[Name]),2,0)</f>
        <v>Hànzhōng Shì</v>
      </c>
      <c r="O259" s="13" t="str">
        <f t="shared" si="18"/>
        <v>Dongjiaying Zhen (Hànzhōng Shì)</v>
      </c>
      <c r="P259" s="13" t="str">
        <f t="shared" si="19"/>
        <v>Dongjiaying Zhen (Hànzhōng Shì)</v>
      </c>
    </row>
    <row r="260" spans="1:16" hidden="1" x14ac:dyDescent="0.25">
      <c r="A260" t="s">
        <v>2690</v>
      </c>
      <c r="B260" t="str">
        <f t="shared" si="16"/>
        <v>Dōngkēng Zhèn</v>
      </c>
      <c r="C260" t="str">
        <f t="shared" si="17"/>
        <v>Dōngkēng Zhèn</v>
      </c>
      <c r="D260" t="s">
        <v>2691</v>
      </c>
      <c r="E260" t="s">
        <v>7</v>
      </c>
      <c r="F260" t="str">
        <f>_xlfn.CONCAT(D260,", ",H260,", ",I260,", ","陕西省")</f>
        <v>东坑镇, 靖边县, 榆林市, 陕西省</v>
      </c>
      <c r="G260">
        <v>48001</v>
      </c>
      <c r="H260" t="s">
        <v>3153</v>
      </c>
      <c r="I260" t="s">
        <v>3148</v>
      </c>
      <c r="J260">
        <f>VLOOKUP(F260,[1]!china_towns_second__2[[Column1]:[Y]],3,FALSE)</f>
        <v>37.555585033660499</v>
      </c>
      <c r="K260">
        <f>VLOOKUP(F260,[1]!china_towns_second__2[[Column1]:[Y]],2,FALSE)</f>
        <v>108.5581748</v>
      </c>
      <c r="L260" t="s">
        <v>4385</v>
      </c>
      <c r="M260" t="str">
        <f>VLOOKUP(H260,CHOOSE({1,2},Table11[Native],Table11[Name]),2,0)</f>
        <v>Jìngbiān Xiàn</v>
      </c>
      <c r="N260" s="13" t="str">
        <f>VLOOKUP(I260,CHOOSE({1,2},Table11[Native],Table11[Name]),2,0)</f>
        <v>Yúlín Shì</v>
      </c>
      <c r="O260" s="13" t="str">
        <f t="shared" si="18"/>
        <v>Dongkeng Zhen (Yúlín Shì)</v>
      </c>
      <c r="P260" s="13" t="str">
        <f t="shared" si="19"/>
        <v>Dongkeng Zhen (Yúlín Shì)</v>
      </c>
    </row>
    <row r="261" spans="1:16" hidden="1" x14ac:dyDescent="0.25">
      <c r="A261" t="s">
        <v>1081</v>
      </c>
      <c r="B261" t="str">
        <f t="shared" si="16"/>
        <v>Dōnglĭng Xiāng</v>
      </c>
      <c r="C261" t="str">
        <f t="shared" si="17"/>
        <v>Dōnglĭng Xiāng</v>
      </c>
      <c r="D261" t="s">
        <v>1082</v>
      </c>
      <c r="E261" t="s">
        <v>11</v>
      </c>
      <c r="F261" t="str">
        <f>_xlfn.CONCAT(D261,", ",H261,", ",I261,", ","陕西省")</f>
        <v>东岭乡, 丹凤县, 商洛市, 陕西省</v>
      </c>
      <c r="G261">
        <v>4367</v>
      </c>
      <c r="H261" t="s">
        <v>3073</v>
      </c>
      <c r="I261" t="s">
        <v>3072</v>
      </c>
      <c r="J261" t="e">
        <f>VLOOKUP(F261,[1]!china_towns_second__2[[Column1]:[Y]],3,FALSE)</f>
        <v>#N/A</v>
      </c>
      <c r="K261" t="e">
        <f>VLOOKUP(F261,[1]!china_towns_second__2[[Column1]:[Y]],2,FALSE)</f>
        <v>#N/A</v>
      </c>
      <c r="L261" t="s">
        <v>4386</v>
      </c>
      <c r="M261" t="str">
        <f>VLOOKUP(H261,CHOOSE({1,2},Table11[Native],Table11[Name]),2,0)</f>
        <v>Dānfèng Xiàn</v>
      </c>
      <c r="N261" s="13" t="str">
        <f>VLOOKUP(I261,CHOOSE({1,2},Table11[Native],Table11[Name]),2,0)</f>
        <v>Shāngluò Shì</v>
      </c>
      <c r="O261" s="13" t="str">
        <f t="shared" si="18"/>
        <v>Dongling Xiang (Shāngluò Shì)</v>
      </c>
      <c r="P261" s="13" t="str">
        <f t="shared" si="19"/>
        <v>Dongling Xiang (Shāngluò Shì)</v>
      </c>
    </row>
    <row r="262" spans="1:16" hidden="1" x14ac:dyDescent="0.25">
      <c r="A262" t="s">
        <v>55</v>
      </c>
      <c r="B262" t="str">
        <f t="shared" si="16"/>
        <v>Dōngmù Zhèn</v>
      </c>
      <c r="C262" t="str">
        <f t="shared" si="17"/>
        <v>Dōngmù Zhèn</v>
      </c>
      <c r="D262" t="s">
        <v>56</v>
      </c>
      <c r="E262" t="s">
        <v>7</v>
      </c>
      <c r="F262" t="str">
        <f>_xlfn.CONCAT(D262,", ",H262,", ",I262,", ","陕西省")</f>
        <v>东木镇, 紫阳县, 安康市, 陕西省</v>
      </c>
      <c r="G262">
        <v>8324</v>
      </c>
      <c r="H262" t="s">
        <v>3043</v>
      </c>
      <c r="I262" t="s">
        <v>3031</v>
      </c>
      <c r="J262">
        <f>VLOOKUP(F262,[1]!china_towns_second__2[[Column1]:[Y]],3,FALSE)</f>
        <v>32.607169083322297</v>
      </c>
      <c r="K262">
        <f>VLOOKUP(F262,[1]!china_towns_second__2[[Column1]:[Y]],2,FALSE)</f>
        <v>108.3089925</v>
      </c>
      <c r="L262" t="s">
        <v>4387</v>
      </c>
      <c r="M262" t="str">
        <f>VLOOKUP(H262,CHOOSE({1,2},Table11[Native],Table11[Name]),2,0)</f>
        <v>Zĭyáng Xiàn</v>
      </c>
      <c r="N262" s="13" t="str">
        <f>VLOOKUP(I262,CHOOSE({1,2},Table11[Native],Table11[Name]),2,0)</f>
        <v>Ānkāng Shì</v>
      </c>
      <c r="O262" s="13" t="str">
        <f t="shared" si="18"/>
        <v>Dongmu Zhen (Ānkāng Shì)</v>
      </c>
      <c r="P262" s="13" t="str">
        <f t="shared" si="19"/>
        <v>Dongmu Zhen (Ānkāng Shì)</v>
      </c>
    </row>
    <row r="263" spans="1:16" hidden="1" x14ac:dyDescent="0.25">
      <c r="A263" t="s">
        <v>393</v>
      </c>
      <c r="B263" t="str">
        <f t="shared" si="16"/>
        <v>Dōngnán Zhèn</v>
      </c>
      <c r="C263" t="str">
        <f t="shared" si="17"/>
        <v>Dōngnán Zhèn</v>
      </c>
      <c r="D263" t="s">
        <v>394</v>
      </c>
      <c r="E263" t="s">
        <v>7</v>
      </c>
      <c r="F263" t="str">
        <f>_xlfn.CONCAT(D263,", ",H263,", ",I263,", ","陕西省")</f>
        <v>东南镇, 陇县, 宝鸡市, 陕西省</v>
      </c>
      <c r="G263">
        <v>25848</v>
      </c>
      <c r="H263" t="s">
        <v>3052</v>
      </c>
      <c r="I263" t="s">
        <v>3045</v>
      </c>
      <c r="J263">
        <f>VLOOKUP(F263,[1]!china_towns_second__2[[Column1]:[Y]],3,FALSE)</f>
        <v>34.820903480711202</v>
      </c>
      <c r="K263">
        <f>VLOOKUP(F263,[1]!china_towns_second__2[[Column1]:[Y]],2,FALSE)</f>
        <v>106.82208919999999</v>
      </c>
      <c r="L263" t="s">
        <v>4388</v>
      </c>
      <c r="M263" t="str">
        <f>VLOOKUP(H263,CHOOSE({1,2},Table11[Native],Table11[Name]),2,0)</f>
        <v>Lŏng Xiàn</v>
      </c>
      <c r="N263" s="13" t="str">
        <f>VLOOKUP(I263,CHOOSE({1,2},Table11[Native],Table11[Name]),2,0)</f>
        <v>Băojī Shì</v>
      </c>
      <c r="O263" s="13" t="str">
        <f t="shared" si="18"/>
        <v>Dongnan Zhen (Băojī Shì)</v>
      </c>
      <c r="P263" s="13" t="str">
        <f t="shared" si="19"/>
        <v>Dongnan Zhen (Băojī Shì)</v>
      </c>
    </row>
    <row r="264" spans="1:16" hidden="1" x14ac:dyDescent="0.25">
      <c r="A264" t="s">
        <v>1431</v>
      </c>
      <c r="B264" t="str">
        <f t="shared" si="16"/>
        <v>Dōngyáng Xiāng (Wèinán Shì)</v>
      </c>
      <c r="C264" t="str">
        <f t="shared" si="17"/>
        <v>Dōngyáng Xiāng (Huázhōu Qū)</v>
      </c>
      <c r="D264" t="s">
        <v>1432</v>
      </c>
      <c r="E264" t="s">
        <v>11</v>
      </c>
      <c r="F264" t="str">
        <f>_xlfn.CONCAT(D264,", ",H264,", ",I264,", ","陕西省")</f>
        <v>东阳乡, 华州区, 渭南市, 陕西省</v>
      </c>
      <c r="G264">
        <v>20610</v>
      </c>
      <c r="H264" t="s">
        <v>3096</v>
      </c>
      <c r="I264" t="s">
        <v>3087</v>
      </c>
      <c r="J264" t="e">
        <f>VLOOKUP(F264,[1]!china_towns_second__2[[Column1]:[Y]],3,FALSE)</f>
        <v>#N/A</v>
      </c>
      <c r="K264" t="e">
        <f>VLOOKUP(F264,[1]!china_towns_second__2[[Column1]:[Y]],2,FALSE)</f>
        <v>#N/A</v>
      </c>
      <c r="L264" t="s">
        <v>4389</v>
      </c>
      <c r="M264" t="str">
        <f>VLOOKUP(H264,CHOOSE({1,2},Table11[Native],Table11[Name]),2,0)</f>
        <v>Huázhōu Qū</v>
      </c>
      <c r="N264" s="13" t="str">
        <f>VLOOKUP(I264,CHOOSE({1,2},Table11[Native],Table11[Name]),2,0)</f>
        <v>Wèinán Shì</v>
      </c>
      <c r="O264" s="13" t="str">
        <f t="shared" si="18"/>
        <v>Dongyang Xiang (Huazhou Qu) (Wèinán Shì)</v>
      </c>
      <c r="P264" s="13" t="str">
        <f t="shared" si="19"/>
        <v>Dongyang Xiang (Huazhou Qu) (Wèinán Shì)</v>
      </c>
    </row>
    <row r="265" spans="1:16" hidden="1" x14ac:dyDescent="0.25">
      <c r="A265" t="s">
        <v>1431</v>
      </c>
      <c r="B265" t="str">
        <f t="shared" si="16"/>
        <v>Dōngyáng Xiāng (Wèinán Shì)</v>
      </c>
      <c r="C265" t="str">
        <f t="shared" si="17"/>
        <v>Dōngyáng Xiāng (Púchéng Xiàn)</v>
      </c>
      <c r="D265" t="s">
        <v>1432</v>
      </c>
      <c r="E265" t="s">
        <v>11</v>
      </c>
      <c r="F265" t="str">
        <f>_xlfn.CONCAT(D265,", ",H265,", ",I265,", ","陕西省")</f>
        <v>东阳乡, 蒲城县, 渭南市, 陕西省</v>
      </c>
      <c r="G265">
        <v>24249</v>
      </c>
      <c r="H265" t="s">
        <v>3098</v>
      </c>
      <c r="I265" t="s">
        <v>3087</v>
      </c>
      <c r="J265" t="e">
        <f>VLOOKUP(F265,[1]!china_towns_second__2[[Column1]:[Y]],3,FALSE)</f>
        <v>#N/A</v>
      </c>
      <c r="K265" t="e">
        <f>VLOOKUP(F265,[1]!china_towns_second__2[[Column1]:[Y]],2,FALSE)</f>
        <v>#N/A</v>
      </c>
      <c r="L265" t="s">
        <v>4390</v>
      </c>
      <c r="M265" t="str">
        <f>VLOOKUP(H265,CHOOSE({1,2},Table11[Native],Table11[Name]),2,0)</f>
        <v>Púchéng Xiàn</v>
      </c>
      <c r="N265" s="13" t="str">
        <f>VLOOKUP(I265,CHOOSE({1,2},Table11[Native],Table11[Name]),2,0)</f>
        <v>Wèinán Shì</v>
      </c>
      <c r="O265" s="13" t="str">
        <f t="shared" si="18"/>
        <v>Dongyang Xiang (Pucheng Xian) (Wèinán Shì)</v>
      </c>
      <c r="P265" s="13" t="str">
        <f t="shared" si="19"/>
        <v>Dongyang Xiang (Pucheng Xian) (Wèinán Shì)</v>
      </c>
    </row>
    <row r="266" spans="1:16" hidden="1" x14ac:dyDescent="0.25">
      <c r="A266" t="s">
        <v>1763</v>
      </c>
      <c r="B266" t="str">
        <f t="shared" si="16"/>
        <v>Dòujiā Zhèn</v>
      </c>
      <c r="C266" t="str">
        <f t="shared" si="17"/>
        <v>Dòujiā Zhèn</v>
      </c>
      <c r="D266" t="s">
        <v>1764</v>
      </c>
      <c r="E266" t="s">
        <v>7</v>
      </c>
      <c r="F266" t="str">
        <f>_xlfn.CONCAT(D266,", ",H266,", ",I266,", ","陕西省")</f>
        <v>豆家镇, 永寿县, 咸阳市, 陕西省</v>
      </c>
      <c r="G266">
        <v>8879</v>
      </c>
      <c r="H266" t="s">
        <v>3131</v>
      </c>
      <c r="I266" t="s">
        <v>3117</v>
      </c>
      <c r="J266">
        <f>VLOOKUP(F266,[1]!china_towns_second__2[[Column1]:[Y]],3,FALSE)</f>
        <v>34.7895305580967</v>
      </c>
      <c r="K266">
        <f>VLOOKUP(F266,[1]!china_towns_second__2[[Column1]:[Y]],2,FALSE)</f>
        <v>108.2914746</v>
      </c>
      <c r="L266" t="s">
        <v>4391</v>
      </c>
      <c r="M266" t="str">
        <f>VLOOKUP(H266,CHOOSE({1,2},Table11[Native],Table11[Name]),2,0)</f>
        <v>Yŏngshòu Xiàn</v>
      </c>
      <c r="N266" s="13" t="str">
        <f>VLOOKUP(I266,CHOOSE({1,2},Table11[Native],Table11[Name]),2,0)</f>
        <v>Xiányáng Shì</v>
      </c>
      <c r="O266" s="13" t="str">
        <f t="shared" si="18"/>
        <v>Doujia Zhen (Xiányáng Shì)</v>
      </c>
      <c r="P266" s="13" t="str">
        <f t="shared" si="19"/>
        <v>Doujia Zhen (Xiányáng Shì)</v>
      </c>
    </row>
    <row r="267" spans="1:16" hidden="1" x14ac:dyDescent="0.25">
      <c r="A267" t="s">
        <v>2046</v>
      </c>
      <c r="B267" t="str">
        <f t="shared" si="16"/>
        <v>Dòumén Jiēdào</v>
      </c>
      <c r="C267" t="str">
        <f t="shared" si="17"/>
        <v>Dòumén Jiēdào</v>
      </c>
      <c r="D267" t="s">
        <v>2047</v>
      </c>
      <c r="E267" t="s">
        <v>113</v>
      </c>
      <c r="F267" t="str">
        <f>_xlfn.CONCAT(D267,", ",H267,", ",I267,", ","陕西省")</f>
        <v>斗门街道, 西咸新区, 西安市, 陕西省</v>
      </c>
      <c r="G267">
        <v>57470</v>
      </c>
      <c r="H267" t="s">
        <v>3167</v>
      </c>
      <c r="I267" t="s">
        <v>3102</v>
      </c>
      <c r="J267" t="e">
        <f>VLOOKUP(F267,[1]!china_towns_second__2[[Column1]:[Y]],3,FALSE)</f>
        <v>#N/A</v>
      </c>
      <c r="K267" t="e">
        <f>VLOOKUP(F267,[1]!china_towns_second__2[[Column1]:[Y]],2,FALSE)</f>
        <v>#N/A</v>
      </c>
      <c r="L267" t="s">
        <v>4392</v>
      </c>
      <c r="M267" t="str">
        <f>VLOOKUP(H267,CHOOSE({1,2},Table11[Native],Table11[Name]),2,0)</f>
        <v>Xīxián Xīnqū</v>
      </c>
      <c r="N267" s="13" t="str">
        <f>VLOOKUP(I267,CHOOSE({1,2},Table11[Native],Table11[Name]),2,0)</f>
        <v>Xī'ān Shì</v>
      </c>
      <c r="O267" s="13" t="str">
        <f t="shared" si="18"/>
        <v>Doumen Jiedao (Xī'ān Shì)</v>
      </c>
      <c r="P267" s="13" t="str">
        <f t="shared" si="19"/>
        <v>Doumen Jiedao (Xī'ān Shì)</v>
      </c>
    </row>
    <row r="268" spans="1:16" hidden="1" x14ac:dyDescent="0.25">
      <c r="A268" t="s">
        <v>395</v>
      </c>
      <c r="B268" t="str">
        <f t="shared" si="16"/>
        <v>Duànjiā Zhèn (Băojī Shì)</v>
      </c>
      <c r="C268" t="str">
        <f t="shared" si="17"/>
        <v>Duànjiā Zhèn (Băojī Shì)</v>
      </c>
      <c r="D268" t="s">
        <v>396</v>
      </c>
      <c r="E268" t="s">
        <v>7</v>
      </c>
      <c r="F268" t="str">
        <f>_xlfn.CONCAT(D268,", ",H268,", ",I268,", ","陕西省")</f>
        <v>段家镇, 扶风县, 宝鸡市, 陕西省</v>
      </c>
      <c r="G268">
        <v>24111</v>
      </c>
      <c r="H268" t="s">
        <v>3049</v>
      </c>
      <c r="I268" t="s">
        <v>3045</v>
      </c>
      <c r="J268">
        <f>VLOOKUP(F268,[1]!china_towns_second__2[[Column1]:[Y]],3,FALSE)</f>
        <v>34.312052587961297</v>
      </c>
      <c r="K268">
        <f>VLOOKUP(F268,[1]!china_towns_second__2[[Column1]:[Y]],2,FALSE)</f>
        <v>107.91006729999999</v>
      </c>
      <c r="L268" t="s">
        <v>4393</v>
      </c>
      <c r="M268" t="str">
        <f>VLOOKUP(H268,CHOOSE({1,2},Table11[Native],Table11[Name]),2,0)</f>
        <v>Fúfēng Xiàn</v>
      </c>
      <c r="N268" s="13" t="str">
        <f>VLOOKUP(I268,CHOOSE({1,2},Table11[Native],Table11[Name]),2,0)</f>
        <v>Băojī Shì</v>
      </c>
      <c r="O268" s="13" t="str">
        <f t="shared" si="18"/>
        <v>Duanjia Zhen (Baoji Shi) (Băojī Shì)</v>
      </c>
      <c r="P268" s="13" t="str">
        <f t="shared" si="19"/>
        <v>Duanjia Zhen (Baoji Shi) (Băojī Shì)</v>
      </c>
    </row>
    <row r="269" spans="1:16" hidden="1" x14ac:dyDescent="0.25">
      <c r="A269" t="s">
        <v>395</v>
      </c>
      <c r="B269" t="str">
        <f t="shared" si="16"/>
        <v>Duànjiā Zhèn (Wèinán Shì)</v>
      </c>
      <c r="C269" t="str">
        <f t="shared" si="17"/>
        <v>Duànjiā Zhèn (Wèinán Shì)</v>
      </c>
      <c r="D269" t="s">
        <v>396</v>
      </c>
      <c r="E269" t="s">
        <v>7</v>
      </c>
      <c r="F269" t="str">
        <f>_xlfn.CONCAT(D269,", ",H269,", ",I269,", ","陕西省")</f>
        <v>段家镇, 大荔县, 渭南市, 陕西省</v>
      </c>
      <c r="G269">
        <v>23469</v>
      </c>
      <c r="H269" t="s">
        <v>3090</v>
      </c>
      <c r="I269" t="s">
        <v>3087</v>
      </c>
      <c r="J269">
        <f>VLOOKUP(F269,[1]!china_towns_second__2[[Column1]:[Y]],3,FALSE)</f>
        <v>34.885998401515302</v>
      </c>
      <c r="K269">
        <f>VLOOKUP(F269,[1]!china_towns_second__2[[Column1]:[Y]],2,FALSE)</f>
        <v>109.79912210000001</v>
      </c>
      <c r="L269" t="s">
        <v>4394</v>
      </c>
      <c r="M269" t="str">
        <f>VLOOKUP(H269,CHOOSE({1,2},Table11[Native],Table11[Name]),2,0)</f>
        <v>Dàlì Xiàn</v>
      </c>
      <c r="N269" s="13" t="str">
        <f>VLOOKUP(I269,CHOOSE({1,2},Table11[Native],Table11[Name]),2,0)</f>
        <v>Wèinán Shì</v>
      </c>
      <c r="O269" s="13" t="str">
        <f t="shared" si="18"/>
        <v>Duanjia Zhen (Weinan Shi) (Wèinán Shì)</v>
      </c>
      <c r="P269" s="13" t="str">
        <f t="shared" si="19"/>
        <v>Duanjia Zhen (Weinan Shi) (Wèinán Shì)</v>
      </c>
    </row>
    <row r="270" spans="1:16" hidden="1" x14ac:dyDescent="0.25">
      <c r="A270" t="s">
        <v>57</v>
      </c>
      <c r="B270" t="str">
        <f t="shared" si="16"/>
        <v>Duànjiāhé Zhèn</v>
      </c>
      <c r="C270" t="str">
        <f t="shared" si="17"/>
        <v>Duànjiāhé Zhèn</v>
      </c>
      <c r="D270" t="s">
        <v>58</v>
      </c>
      <c r="E270" t="s">
        <v>7</v>
      </c>
      <c r="F270" t="str">
        <f>_xlfn.CONCAT(D270,", ",H270,", ",I270,", ","陕西省")</f>
        <v>段家河镇, 旬阳县, 安康市, 陕西省</v>
      </c>
      <c r="G270">
        <v>16292</v>
      </c>
      <c r="H270" t="s">
        <v>3041</v>
      </c>
      <c r="I270" t="s">
        <v>3031</v>
      </c>
      <c r="J270">
        <f>VLOOKUP(F270,[1]!china_towns_second__2[[Column1]:[Y]],3,FALSE)</f>
        <v>32.760221151135397</v>
      </c>
      <c r="K270">
        <f>VLOOKUP(F270,[1]!china_towns_second__2[[Column1]:[Y]],2,FALSE)</f>
        <v>109.2569</v>
      </c>
      <c r="L270" t="s">
        <v>4395</v>
      </c>
      <c r="M270" t="str">
        <f>VLOOKUP(H270,CHOOSE({1,2},Table11[Native],Table11[Name]),2,0)</f>
        <v>Xúnyáng Xiàn</v>
      </c>
      <c r="N270" s="13" t="str">
        <f>VLOOKUP(I270,CHOOSE({1,2},Table11[Native],Table11[Name]),2,0)</f>
        <v>Ānkāng Shì</v>
      </c>
      <c r="O270" s="13" t="str">
        <f t="shared" si="18"/>
        <v>Duanjiahe Zhen (Ānkāng Shì)</v>
      </c>
      <c r="P270" s="13" t="str">
        <f t="shared" si="19"/>
        <v>Duanjiahe Zhen (Ānkāng Shì)</v>
      </c>
    </row>
    <row r="271" spans="1:16" hidden="1" x14ac:dyDescent="0.25">
      <c r="A271" t="s">
        <v>2692</v>
      </c>
      <c r="B271" t="str">
        <f t="shared" si="16"/>
        <v>Duīziliáng Zhèn</v>
      </c>
      <c r="C271" t="str">
        <f t="shared" si="17"/>
        <v>Duīziliáng Zhèn</v>
      </c>
      <c r="D271" t="s">
        <v>2693</v>
      </c>
      <c r="E271" t="s">
        <v>7</v>
      </c>
      <c r="F271" t="str">
        <f>_xlfn.CONCAT(D271,", ",H271,", ",I271,", ","陕西省")</f>
        <v>堆子梁镇, 定边县, 榆林市, 陕西省</v>
      </c>
      <c r="G271">
        <v>7279</v>
      </c>
      <c r="H271" t="s">
        <v>3149</v>
      </c>
      <c r="I271" t="s">
        <v>3148</v>
      </c>
      <c r="J271">
        <f>VLOOKUP(F271,[1]!china_towns_second__2[[Column1]:[Y]],3,FALSE)</f>
        <v>37.599792931184197</v>
      </c>
      <c r="K271">
        <f>VLOOKUP(F271,[1]!china_towns_second__2[[Column1]:[Y]],2,FALSE)</f>
        <v>108.23728699999999</v>
      </c>
      <c r="L271" t="s">
        <v>4396</v>
      </c>
      <c r="M271" t="str">
        <f>VLOOKUP(H271,CHOOSE({1,2},Table11[Native],Table11[Name]),2,0)</f>
        <v>Dìngbiān Xiàn</v>
      </c>
      <c r="N271" s="13" t="str">
        <f>VLOOKUP(I271,CHOOSE({1,2},Table11[Native],Table11[Name]),2,0)</f>
        <v>Yúlín Shì</v>
      </c>
      <c r="O271" s="13" t="str">
        <f t="shared" si="18"/>
        <v>Duiziliang Zhen (Yúlín Shì)</v>
      </c>
      <c r="P271" s="13" t="str">
        <f t="shared" si="19"/>
        <v>Duiziliang Zhen (Yúlín Shì)</v>
      </c>
    </row>
    <row r="272" spans="1:16" hidden="1" x14ac:dyDescent="0.25">
      <c r="A272" t="s">
        <v>2694</v>
      </c>
      <c r="B272" t="str">
        <f t="shared" si="16"/>
        <v>Dùjiāshígōu Zhèn</v>
      </c>
      <c r="C272" t="str">
        <f t="shared" si="17"/>
        <v>Dùjiāshígōu Zhèn</v>
      </c>
      <c r="D272" t="s">
        <v>2695</v>
      </c>
      <c r="E272" t="s">
        <v>7</v>
      </c>
      <c r="F272" t="str">
        <f>_xlfn.CONCAT(D272,", ",H272,", ",I272,", ","陕西省")</f>
        <v>杜家石沟镇, 米脂县, 榆林市, 陕西省</v>
      </c>
      <c r="G272">
        <v>9966</v>
      </c>
      <c r="H272" t="s">
        <v>3154</v>
      </c>
      <c r="I272" t="s">
        <v>3148</v>
      </c>
      <c r="J272">
        <f>VLOOKUP(F272,[1]!china_towns_second__2[[Column1]:[Y]],3,FALSE)</f>
        <v>37.758053046409998</v>
      </c>
      <c r="K272">
        <f>VLOOKUP(F272,[1]!china_towns_second__2[[Column1]:[Y]],2,FALSE)</f>
        <v>110.0408809</v>
      </c>
      <c r="L272" t="s">
        <v>4397</v>
      </c>
      <c r="M272" t="str">
        <f>VLOOKUP(H272,CHOOSE({1,2},Table11[Native],Table11[Name]),2,0)</f>
        <v>Mĭzhī Xiàn</v>
      </c>
      <c r="N272" s="13" t="str">
        <f>VLOOKUP(I272,CHOOSE({1,2},Table11[Native],Table11[Name]),2,0)</f>
        <v>Yúlín Shì</v>
      </c>
      <c r="O272" s="13" t="str">
        <f t="shared" si="18"/>
        <v>Dujiashigou Zhen (Yúlín Shì)</v>
      </c>
      <c r="P272" s="13" t="str">
        <f t="shared" si="19"/>
        <v>Dujiashigou Zhen (Yúlín Shì)</v>
      </c>
    </row>
    <row r="273" spans="1:16" hidden="1" x14ac:dyDescent="0.25">
      <c r="A273" t="s">
        <v>1433</v>
      </c>
      <c r="B273" t="str">
        <f t="shared" si="16"/>
        <v>Dùkāng Zhèn</v>
      </c>
      <c r="C273" t="str">
        <f t="shared" si="17"/>
        <v>Dùkāng Zhèn</v>
      </c>
      <c r="D273" t="s">
        <v>1434</v>
      </c>
      <c r="E273" t="s">
        <v>7</v>
      </c>
      <c r="F273" t="str">
        <f>_xlfn.CONCAT(D273,", ",H273,", ",I273,", ","陕西省")</f>
        <v>杜康镇, 白水县, 渭南市, 陕西省</v>
      </c>
      <c r="G273">
        <v>19470</v>
      </c>
      <c r="H273" t="s">
        <v>3088</v>
      </c>
      <c r="I273" t="s">
        <v>3087</v>
      </c>
      <c r="J273">
        <f>VLOOKUP(F273,[1]!china_towns_second__2[[Column1]:[Y]],3,FALSE)</f>
        <v>35.200656022232202</v>
      </c>
      <c r="K273">
        <f>VLOOKUP(F273,[1]!china_towns_second__2[[Column1]:[Y]],2,FALSE)</f>
        <v>109.49292010000001</v>
      </c>
      <c r="L273" t="s">
        <v>4398</v>
      </c>
      <c r="M273" t="str">
        <f>VLOOKUP(H273,CHOOSE({1,2},Table11[Native],Table11[Name]),2,0)</f>
        <v>Báishuĭ Xiàn</v>
      </c>
      <c r="N273" s="13" t="str">
        <f>VLOOKUP(I273,CHOOSE({1,2},Table11[Native],Table11[Name]),2,0)</f>
        <v>Wèinán Shì</v>
      </c>
      <c r="O273" s="13" t="str">
        <f t="shared" si="18"/>
        <v>Dukang Zhen (Wèinán Shì)</v>
      </c>
      <c r="P273" s="13" t="str">
        <f t="shared" si="19"/>
        <v>Dukang Zhen (Wèinán Shì)</v>
      </c>
    </row>
    <row r="274" spans="1:16" hidden="1" x14ac:dyDescent="0.25">
      <c r="A274" t="s">
        <v>1765</v>
      </c>
      <c r="B274" t="str">
        <f t="shared" si="16"/>
        <v>Dúlĭ Zhèn</v>
      </c>
      <c r="C274" t="str">
        <f t="shared" si="17"/>
        <v>Dúlĭ Zhèn</v>
      </c>
      <c r="D274" t="s">
        <v>1766</v>
      </c>
      <c r="E274" t="s">
        <v>7</v>
      </c>
      <c r="F274" t="str">
        <f>_xlfn.CONCAT(D274,", ",H274,", ",I274,", ","陕西省")</f>
        <v>独李镇, 三原县, 咸阳市, 陕西省</v>
      </c>
      <c r="G274">
        <v>22480</v>
      </c>
      <c r="H274" t="s">
        <v>3125</v>
      </c>
      <c r="I274" t="s">
        <v>3117</v>
      </c>
      <c r="J274">
        <f>VLOOKUP(F274,[1]!china_towns_second__2[[Column1]:[Y]],3,FALSE)</f>
        <v>34.636131984436702</v>
      </c>
      <c r="K274">
        <f>VLOOKUP(F274,[1]!china_towns_second__2[[Column1]:[Y]],2,FALSE)</f>
        <v>109.0844508</v>
      </c>
      <c r="L274" t="s">
        <v>4399</v>
      </c>
      <c r="M274" t="str">
        <f>VLOOKUP(H274,CHOOSE({1,2},Table11[Native],Table11[Name]),2,0)</f>
        <v>Sānyuán Xiàn</v>
      </c>
      <c r="N274" s="13" t="str">
        <f>VLOOKUP(I274,CHOOSE({1,2},Table11[Native],Table11[Name]),2,0)</f>
        <v>Xiányáng Shì</v>
      </c>
      <c r="O274" s="13" t="str">
        <f t="shared" si="18"/>
        <v>Duli Zhen (Xiányáng Shì)</v>
      </c>
      <c r="P274" s="13" t="str">
        <f t="shared" si="19"/>
        <v>Duli Zhen (Xiányáng Shì)</v>
      </c>
    </row>
    <row r="275" spans="1:16" hidden="1" x14ac:dyDescent="0.25">
      <c r="A275" t="s">
        <v>1435</v>
      </c>
      <c r="B275" t="str">
        <f t="shared" si="16"/>
        <v>Dùqiáo Jiēdào</v>
      </c>
      <c r="C275" t="str">
        <f t="shared" si="17"/>
        <v>Dùqiáo Jiēdào</v>
      </c>
      <c r="D275" t="s">
        <v>1436</v>
      </c>
      <c r="E275" t="s">
        <v>113</v>
      </c>
      <c r="F275" t="str">
        <f>_xlfn.CONCAT(D275,", ",H275,", ",I275,", ","陕西省")</f>
        <v>杜桥街道, 临渭区, 渭南市, 陕西省</v>
      </c>
      <c r="G275">
        <v>55272</v>
      </c>
      <c r="H275" t="s">
        <v>3097</v>
      </c>
      <c r="I275" t="s">
        <v>3087</v>
      </c>
      <c r="J275">
        <f>VLOOKUP(F275,[1]!china_towns_second__2[[Column1]:[Y]],3,FALSE)</f>
        <v>34.5068665564527</v>
      </c>
      <c r="K275">
        <f>VLOOKUP(F275,[1]!china_towns_second__2[[Column1]:[Y]],2,FALSE)</f>
        <v>109.4729688</v>
      </c>
      <c r="L275" t="s">
        <v>4400</v>
      </c>
      <c r="M275" t="str">
        <f>VLOOKUP(H275,CHOOSE({1,2},Table11[Native],Table11[Name]),2,0)</f>
        <v>Línwèi Qū</v>
      </c>
      <c r="N275" s="13" t="str">
        <f>VLOOKUP(I275,CHOOSE({1,2},Table11[Native],Table11[Name]),2,0)</f>
        <v>Wèinán Shì</v>
      </c>
      <c r="O275" s="13" t="str">
        <f t="shared" si="18"/>
        <v>Duqiao Jiedao (Wèinán Shì)</v>
      </c>
      <c r="P275" s="13" t="str">
        <f t="shared" si="19"/>
        <v>Duqiao Jiedao (Wèinán Shì)</v>
      </c>
    </row>
    <row r="276" spans="1:16" hidden="1" x14ac:dyDescent="0.25">
      <c r="A276" t="s">
        <v>2048</v>
      </c>
      <c r="B276" t="str">
        <f t="shared" si="16"/>
        <v>Dùqŭ Jiēdào</v>
      </c>
      <c r="C276" t="str">
        <f t="shared" si="17"/>
        <v>Dùqŭ Jiēdào</v>
      </c>
      <c r="D276" t="s">
        <v>2049</v>
      </c>
      <c r="E276" t="s">
        <v>113</v>
      </c>
      <c r="F276" t="str">
        <f>_xlfn.CONCAT(D276,", ",H276,", ",I276,", ","陕西省")</f>
        <v>杜曲街道, 长安区, 西安市, 陕西省</v>
      </c>
      <c r="G276">
        <v>37437</v>
      </c>
      <c r="H276" t="s">
        <v>3105</v>
      </c>
      <c r="I276" t="s">
        <v>3102</v>
      </c>
      <c r="J276">
        <f>VLOOKUP(F276,[1]!china_towns_second__2[[Column1]:[Y]],3,FALSE)</f>
        <v>34.1029464024856</v>
      </c>
      <c r="K276">
        <f>VLOOKUP(F276,[1]!china_towns_second__2[[Column1]:[Y]],2,FALSE)</f>
        <v>108.9981434</v>
      </c>
      <c r="L276" t="s">
        <v>4401</v>
      </c>
      <c r="M276" t="str">
        <f>VLOOKUP(H276,CHOOSE({1,2},Table11[Native],Table11[Name]),2,0)</f>
        <v>Cháng'ān Qū</v>
      </c>
      <c r="N276" s="13" t="str">
        <f>VLOOKUP(I276,CHOOSE({1,2},Table11[Native],Table11[Name]),2,0)</f>
        <v>Xī'ān Shì</v>
      </c>
      <c r="O276" s="13" t="str">
        <f t="shared" si="18"/>
        <v>Duqu Jiedao (Xī'ān Shì)</v>
      </c>
      <c r="P276" s="13" t="str">
        <f t="shared" si="19"/>
        <v>Duqu Jiedao (Xī'ān Shì)</v>
      </c>
    </row>
    <row r="277" spans="1:16" hidden="1" x14ac:dyDescent="0.25">
      <c r="A277" t="s">
        <v>1437</v>
      </c>
      <c r="B277" t="str">
        <f t="shared" si="16"/>
        <v>Dúquán Xiāng</v>
      </c>
      <c r="C277" t="str">
        <f t="shared" si="17"/>
        <v>Dúquán Xiāng</v>
      </c>
      <c r="D277" t="s">
        <v>1438</v>
      </c>
      <c r="E277" t="s">
        <v>11</v>
      </c>
      <c r="F277" t="str">
        <f>_xlfn.CONCAT(D277,", ",H277,", ",I277,", ","陕西省")</f>
        <v>独泉乡, 韩城市, 渭南市, 陕西省</v>
      </c>
      <c r="G277">
        <v>3067</v>
      </c>
      <c r="H277" t="s">
        <v>3093</v>
      </c>
      <c r="I277" t="s">
        <v>3087</v>
      </c>
      <c r="J277" t="e">
        <f>VLOOKUP(F277,[1]!china_towns_second__2[[Column1]:[Y]],3,FALSE)</f>
        <v>#N/A</v>
      </c>
      <c r="K277" t="e">
        <f>VLOOKUP(F277,[1]!china_towns_second__2[[Column1]:[Y]],2,FALSE)</f>
        <v>#N/A</v>
      </c>
      <c r="L277" t="s">
        <v>4402</v>
      </c>
      <c r="M277" t="str">
        <f>VLOOKUP(H277,CHOOSE({1,2},Table11[Native],Table11[Name]),2,0)</f>
        <v>Hánchéng Shì</v>
      </c>
      <c r="N277" s="13" t="str">
        <f>VLOOKUP(I277,CHOOSE({1,2},Table11[Native],Table11[Name]),2,0)</f>
        <v>Wèinán Shì</v>
      </c>
      <c r="O277" s="13" t="str">
        <f t="shared" si="18"/>
        <v>Duquan Xiang (Wèinán Shì)</v>
      </c>
      <c r="P277" s="13" t="str">
        <f t="shared" si="19"/>
        <v>Duquan Xiang (Wèinán Shì)</v>
      </c>
    </row>
    <row r="278" spans="1:16" hidden="1" x14ac:dyDescent="0.25">
      <c r="A278" t="s">
        <v>397</v>
      </c>
      <c r="B278" t="str">
        <f t="shared" si="16"/>
        <v>Dùyáng Zhèn</v>
      </c>
      <c r="C278" t="str">
        <f t="shared" si="17"/>
        <v>Dùyáng Zhèn</v>
      </c>
      <c r="D278" t="s">
        <v>398</v>
      </c>
      <c r="E278" t="s">
        <v>7</v>
      </c>
      <c r="F278" t="str">
        <f>_xlfn.CONCAT(D278,", ",H278,", ",I278,", ","陕西省")</f>
        <v>杜阳镇, 陇县, 宝鸡市, 陕西省</v>
      </c>
      <c r="G278">
        <v>13616</v>
      </c>
      <c r="H278" t="s">
        <v>3052</v>
      </c>
      <c r="I278" t="s">
        <v>3045</v>
      </c>
      <c r="J278">
        <f>VLOOKUP(F278,[1]!china_towns_second__2[[Column1]:[Y]],3,FALSE)</f>
        <v>34.834650400000001</v>
      </c>
      <c r="K278">
        <f>VLOOKUP(F278,[1]!china_towns_second__2[[Column1]:[Y]],2,FALSE)</f>
        <v>106.9313478</v>
      </c>
      <c r="L278" t="s">
        <v>4403</v>
      </c>
      <c r="M278" t="str">
        <f>VLOOKUP(H278,CHOOSE({1,2},Table11[Native],Table11[Name]),2,0)</f>
        <v>Lŏng Xiàn</v>
      </c>
      <c r="N278" s="13" t="str">
        <f>VLOOKUP(I278,CHOOSE({1,2},Table11[Native],Table11[Name]),2,0)</f>
        <v>Băojī Shì</v>
      </c>
      <c r="O278" s="13" t="str">
        <f t="shared" si="18"/>
        <v>Duyang Zhen (Băojī Shì)</v>
      </c>
      <c r="P278" s="13" t="str">
        <f t="shared" si="19"/>
        <v>Duyang Zhen (Băojī Shì)</v>
      </c>
    </row>
    <row r="279" spans="1:16" hidden="1" x14ac:dyDescent="0.25">
      <c r="A279" t="s">
        <v>705</v>
      </c>
      <c r="B279" t="str">
        <f t="shared" si="16"/>
        <v>Èrdàohé Xiāng</v>
      </c>
      <c r="C279" t="str">
        <f t="shared" si="17"/>
        <v>Èrdàohé Xiāng</v>
      </c>
      <c r="D279" t="s">
        <v>706</v>
      </c>
      <c r="E279" t="s">
        <v>11</v>
      </c>
      <c r="F279" t="str">
        <f>_xlfn.CONCAT(D279,", ",H279,", ",I279,", ","陕西省")</f>
        <v>二道河乡, 勉县, 汉中市, 陕西省</v>
      </c>
      <c r="G279">
        <v>2221</v>
      </c>
      <c r="H279" t="s">
        <v>3065</v>
      </c>
      <c r="I279" t="s">
        <v>3059</v>
      </c>
      <c r="J279" t="e">
        <f>VLOOKUP(F279,[1]!china_towns_second__2[[Column1]:[Y]],3,FALSE)</f>
        <v>#N/A</v>
      </c>
      <c r="K279" t="e">
        <f>VLOOKUP(F279,[1]!china_towns_second__2[[Column1]:[Y]],2,FALSE)</f>
        <v>#N/A</v>
      </c>
      <c r="L279" t="s">
        <v>4404</v>
      </c>
      <c r="M279" t="str">
        <f>VLOOKUP(H279,CHOOSE({1,2},Table11[Native],Table11[Name]),2,0)</f>
        <v>Miăn Xiàn</v>
      </c>
      <c r="N279" s="13" t="str">
        <f>VLOOKUP(I279,CHOOSE({1,2},Table11[Native],Table11[Name]),2,0)</f>
        <v>Hànzhōng Shì</v>
      </c>
      <c r="O279" s="13" t="str">
        <f t="shared" si="18"/>
        <v>Erdaohe Xiang (Hànzhōng Shì)</v>
      </c>
      <c r="P279" s="13" t="str">
        <f t="shared" si="19"/>
        <v>Erdaohe Xiang (Hànzhōng Shì)</v>
      </c>
    </row>
    <row r="280" spans="1:16" hidden="1" x14ac:dyDescent="0.25">
      <c r="A280" t="s">
        <v>707</v>
      </c>
      <c r="B280" t="str">
        <f t="shared" si="16"/>
        <v>Èrlángbà Zhèn</v>
      </c>
      <c r="C280" t="str">
        <f t="shared" si="17"/>
        <v>Èrlángbà Zhèn</v>
      </c>
      <c r="D280" t="s">
        <v>708</v>
      </c>
      <c r="E280" t="s">
        <v>7</v>
      </c>
      <c r="F280" t="str">
        <f>_xlfn.CONCAT(D280,", ",H280,", ",I280,", ","陕西省")</f>
        <v>二郎坝镇, 宁强县, 汉中市, 陕西省</v>
      </c>
      <c r="G280">
        <v>6837</v>
      </c>
      <c r="H280" t="s">
        <v>3067</v>
      </c>
      <c r="I280" t="s">
        <v>3059</v>
      </c>
      <c r="J280">
        <f>VLOOKUP(F280,[1]!china_towns_second__2[[Column1]:[Y]],3,FALSE)</f>
        <v>32.806373208022698</v>
      </c>
      <c r="K280">
        <f>VLOOKUP(F280,[1]!china_towns_second__2[[Column1]:[Y]],2,FALSE)</f>
        <v>106.4389554</v>
      </c>
      <c r="L280" t="s">
        <v>4405</v>
      </c>
      <c r="M280" t="str">
        <f>VLOOKUP(H280,CHOOSE({1,2},Table11[Native],Table11[Name]),2,0)</f>
        <v>Níngqiáng Xiàn</v>
      </c>
      <c r="N280" s="13" t="str">
        <f>VLOOKUP(I280,CHOOSE({1,2},Table11[Native],Table11[Name]),2,0)</f>
        <v>Hànzhōng Shì</v>
      </c>
      <c r="O280" s="13" t="str">
        <f t="shared" si="18"/>
        <v>Erlangba Zhen (Hànzhōng Shì)</v>
      </c>
      <c r="P280" s="13" t="str">
        <f t="shared" si="19"/>
        <v>Erlangba Zhen (Hànzhōng Shì)</v>
      </c>
    </row>
    <row r="281" spans="1:16" hidden="1" x14ac:dyDescent="0.25">
      <c r="A281" t="s">
        <v>709</v>
      </c>
      <c r="B281" t="str">
        <f t="shared" si="16"/>
        <v>Èrlĭ Zhèn</v>
      </c>
      <c r="C281" t="str">
        <f t="shared" si="17"/>
        <v>Èrlĭ Zhèn</v>
      </c>
      <c r="D281" t="s">
        <v>710</v>
      </c>
      <c r="E281" t="s">
        <v>7</v>
      </c>
      <c r="F281" t="str">
        <f>_xlfn.CONCAT(D281,", ",H281,", ",I281,", ","陕西省")</f>
        <v>二里镇, 城固县, 汉中市, 陕西省</v>
      </c>
      <c r="G281">
        <v>17422</v>
      </c>
      <c r="H281" t="s">
        <v>3060</v>
      </c>
      <c r="I281" t="s">
        <v>3059</v>
      </c>
      <c r="J281">
        <f>VLOOKUP(F281,[1]!china_towns_second__2[[Column1]:[Y]],3,FALSE)</f>
        <v>32.865442312714897</v>
      </c>
      <c r="K281">
        <f>VLOOKUP(F281,[1]!china_towns_second__2[[Column1]:[Y]],2,FALSE)</f>
        <v>107.2503402</v>
      </c>
      <c r="L281" t="s">
        <v>4406</v>
      </c>
      <c r="M281" t="str">
        <f>VLOOKUP(H281,CHOOSE({1,2},Table11[Native],Table11[Name]),2,0)</f>
        <v>Chénggù Xiàn</v>
      </c>
      <c r="N281" s="13" t="str">
        <f>VLOOKUP(I281,CHOOSE({1,2},Table11[Native],Table11[Name]),2,0)</f>
        <v>Hànzhōng Shì</v>
      </c>
      <c r="O281" s="13" t="str">
        <f t="shared" si="18"/>
        <v>Erli Zhen (Hànzhōng Shì)</v>
      </c>
      <c r="P281" s="13" t="str">
        <f t="shared" si="19"/>
        <v>Erli Zhen (Hànzhōng Shì)</v>
      </c>
    </row>
    <row r="282" spans="1:16" hidden="1" x14ac:dyDescent="0.25">
      <c r="A282" t="s">
        <v>2696</v>
      </c>
      <c r="B282" t="str">
        <f t="shared" si="16"/>
        <v>Ĕrlíntù Zhèn</v>
      </c>
      <c r="C282" t="str">
        <f t="shared" si="17"/>
        <v>Ĕrlíntù Zhèn</v>
      </c>
      <c r="D282" t="s">
        <v>2697</v>
      </c>
      <c r="E282" t="s">
        <v>7</v>
      </c>
      <c r="F282" t="str">
        <f>_xlfn.CONCAT(D282,", ",H282,", ",I282,", ","陕西省")</f>
        <v>尔林兔镇, 神木市, 榆林市, 陕西省</v>
      </c>
      <c r="G282">
        <v>10600</v>
      </c>
      <c r="H282" t="s">
        <v>3156</v>
      </c>
      <c r="I282" t="s">
        <v>3148</v>
      </c>
      <c r="J282">
        <f>VLOOKUP(F282,[1]!china_towns_second__2[[Column1]:[Y]],3,FALSE)</f>
        <v>38.9928948502385</v>
      </c>
      <c r="K282">
        <f>VLOOKUP(F282,[1]!china_towns_second__2[[Column1]:[Y]],2,FALSE)</f>
        <v>109.8352174</v>
      </c>
      <c r="L282" t="s">
        <v>4407</v>
      </c>
      <c r="M282" t="str">
        <f>VLOOKUP(H282,CHOOSE({1,2},Table11[Native],Table11[Name]),2,0)</f>
        <v>Shénmù Shì</v>
      </c>
      <c r="N282" s="13" t="str">
        <f>VLOOKUP(I282,CHOOSE({1,2},Table11[Native],Table11[Name]),2,0)</f>
        <v>Yúlín Shì</v>
      </c>
      <c r="O282" s="13" t="str">
        <f t="shared" si="18"/>
        <v>Ĕrlintu Zhen (Yúlín Shì)</v>
      </c>
      <c r="P282" s="13" t="str">
        <f t="shared" si="19"/>
        <v>Ĕrlintu Zhen (Yúlín Shì)</v>
      </c>
    </row>
    <row r="283" spans="1:16" hidden="1" x14ac:dyDescent="0.25">
      <c r="A283" t="s">
        <v>2050</v>
      </c>
      <c r="B283" t="str">
        <f t="shared" si="16"/>
        <v>Èrqŭ Jiēdào</v>
      </c>
      <c r="C283" t="str">
        <f t="shared" si="17"/>
        <v>Èrqŭ Jiēdào</v>
      </c>
      <c r="D283" t="s">
        <v>2051</v>
      </c>
      <c r="E283" t="s">
        <v>113</v>
      </c>
      <c r="F283" t="str">
        <f>_xlfn.CONCAT(D283,", ",H283,", ",I283,", ","陕西省")</f>
        <v>二曲街道, 周至县, 西安市, 陕西省</v>
      </c>
      <c r="G283">
        <v>77775</v>
      </c>
      <c r="H283" t="s">
        <v>3115</v>
      </c>
      <c r="I283" t="s">
        <v>3102</v>
      </c>
      <c r="J283" t="e">
        <f>VLOOKUP(F283,[1]!china_towns_second__2[[Column1]:[Y]],3,FALSE)</f>
        <v>#N/A</v>
      </c>
      <c r="K283" t="e">
        <f>VLOOKUP(F283,[1]!china_towns_second__2[[Column1]:[Y]],2,FALSE)</f>
        <v>#N/A</v>
      </c>
      <c r="L283" t="s">
        <v>4408</v>
      </c>
      <c r="M283" t="str">
        <f>VLOOKUP(H283,CHOOSE({1,2},Table11[Native],Table11[Name]),2,0)</f>
        <v>Zhōuzhì Xiàn</v>
      </c>
      <c r="N283" s="13" t="str">
        <f>VLOOKUP(I283,CHOOSE({1,2},Table11[Native],Table11[Name]),2,0)</f>
        <v>Xī'ān Shì</v>
      </c>
      <c r="O283" s="13" t="str">
        <f t="shared" si="18"/>
        <v>Erqu Jiedao (Xī'ān Shì)</v>
      </c>
      <c r="P283" s="13" t="str">
        <f t="shared" si="19"/>
        <v>Erqu Jiedao (Xī'ān Shì)</v>
      </c>
    </row>
    <row r="284" spans="1:16" hidden="1" x14ac:dyDescent="0.25">
      <c r="A284" t="s">
        <v>711</v>
      </c>
      <c r="B284" t="str">
        <f t="shared" si="16"/>
        <v>Fă Zhèn</v>
      </c>
      <c r="C284" t="str">
        <f t="shared" si="17"/>
        <v>Fă Zhèn</v>
      </c>
      <c r="D284" t="s">
        <v>712</v>
      </c>
      <c r="E284" t="s">
        <v>7</v>
      </c>
      <c r="F284" t="str">
        <f>_xlfn.CONCAT(D284,", ",H284,", ",I284,", ","陕西省")</f>
        <v>法镇, 南郑区, 汉中市, 陕西省</v>
      </c>
      <c r="G284">
        <v>14174</v>
      </c>
      <c r="H284" t="s">
        <v>3066</v>
      </c>
      <c r="I284" t="s">
        <v>3059</v>
      </c>
      <c r="J284">
        <f>VLOOKUP(F284,[1]!china_towns_second__2[[Column1]:[Y]],3,FALSE)</f>
        <v>32.826601491709297</v>
      </c>
      <c r="K284">
        <f>VLOOKUP(F284,[1]!china_towns_second__2[[Column1]:[Y]],2,FALSE)</f>
        <v>107.13366929999999</v>
      </c>
      <c r="L284" t="s">
        <v>4409</v>
      </c>
      <c r="M284" t="str">
        <f>VLOOKUP(H284,CHOOSE({1,2},Table11[Native],Table11[Name]),2,0)</f>
        <v>Nánzhèng Qū</v>
      </c>
      <c r="N284" s="13" t="str">
        <f>VLOOKUP(I284,CHOOSE({1,2},Table11[Native],Table11[Name]),2,0)</f>
        <v>Hànzhōng Shì</v>
      </c>
      <c r="O284" s="13" t="str">
        <f t="shared" si="18"/>
        <v>Fa Zhen (Hànzhōng Shì)</v>
      </c>
      <c r="P284" s="13" t="str">
        <f t="shared" si="19"/>
        <v>Fa Zhen (Hànzhōng Shì)</v>
      </c>
    </row>
    <row r="285" spans="1:16" hidden="1" x14ac:dyDescent="0.25">
      <c r="A285" t="s">
        <v>1083</v>
      </c>
      <c r="B285" t="str">
        <f t="shared" si="16"/>
        <v>Făguān Zhèn</v>
      </c>
      <c r="C285" t="str">
        <f t="shared" si="17"/>
        <v>Făguān Zhèn</v>
      </c>
      <c r="D285" t="s">
        <v>1084</v>
      </c>
      <c r="E285" t="s">
        <v>7</v>
      </c>
      <c r="F285" t="str">
        <f>_xlfn.CONCAT(D285,", ",H285,", ",I285,", ","陕西省")</f>
        <v>法官镇, 山阳县, 商洛市, 陕西省</v>
      </c>
      <c r="G285">
        <v>17328</v>
      </c>
      <c r="H285" t="s">
        <v>3077</v>
      </c>
      <c r="I285" t="s">
        <v>3072</v>
      </c>
      <c r="J285">
        <f>VLOOKUP(F285,[1]!china_towns_second__2[[Column1]:[Y]],3,FALSE)</f>
        <v>33.332600712105901</v>
      </c>
      <c r="K285">
        <f>VLOOKUP(F285,[1]!china_towns_second__2[[Column1]:[Y]],2,FALSE)</f>
        <v>110.0654418</v>
      </c>
      <c r="L285" t="s">
        <v>4410</v>
      </c>
      <c r="M285" t="str">
        <f>VLOOKUP(H285,CHOOSE({1,2},Table11[Native],Table11[Name]),2,0)</f>
        <v>Shānyáng Xiàn</v>
      </c>
      <c r="N285" s="13" t="str">
        <f>VLOOKUP(I285,CHOOSE({1,2},Table11[Native],Table11[Name]),2,0)</f>
        <v>Shāngluò Shì</v>
      </c>
      <c r="O285" s="13" t="str">
        <f t="shared" si="18"/>
        <v>Faguan Zhen (Shāngluò Shì)</v>
      </c>
      <c r="P285" s="13" t="str">
        <f t="shared" si="19"/>
        <v>Faguan Zhen (Shāngluò Shì)</v>
      </c>
    </row>
    <row r="286" spans="1:16" hidden="1" x14ac:dyDescent="0.25">
      <c r="A286" t="s">
        <v>399</v>
      </c>
      <c r="B286" t="str">
        <f t="shared" si="16"/>
        <v>Fămén Zhèn</v>
      </c>
      <c r="C286" t="str">
        <f t="shared" si="17"/>
        <v>Fămén Zhèn</v>
      </c>
      <c r="D286" t="s">
        <v>400</v>
      </c>
      <c r="E286" t="s">
        <v>7</v>
      </c>
      <c r="F286" t="str">
        <f>_xlfn.CONCAT(D286,", ",H286,", ",I286,", ","陕西省")</f>
        <v>法门镇, 扶风县, 宝鸡市, 陕西省</v>
      </c>
      <c r="G286">
        <v>70852</v>
      </c>
      <c r="H286" t="s">
        <v>3049</v>
      </c>
      <c r="I286" t="s">
        <v>3045</v>
      </c>
      <c r="J286">
        <f>VLOOKUP(F286,[1]!china_towns_second__2[[Column1]:[Y]],3,FALSE)</f>
        <v>34.474094239806099</v>
      </c>
      <c r="K286">
        <f>VLOOKUP(F286,[1]!china_towns_second__2[[Column1]:[Y]],2,FALSE)</f>
        <v>107.8852275</v>
      </c>
      <c r="L286" t="s">
        <v>4411</v>
      </c>
      <c r="M286" t="str">
        <f>VLOOKUP(H286,CHOOSE({1,2},Table11[Native],Table11[Name]),2,0)</f>
        <v>Fúfēng Xiàn</v>
      </c>
      <c r="N286" s="13" t="str">
        <f>VLOOKUP(I286,CHOOSE({1,2},Table11[Native],Table11[Name]),2,0)</f>
        <v>Băojī Shì</v>
      </c>
      <c r="O286" s="13" t="str">
        <f t="shared" si="18"/>
        <v>Famen Zhen (Băojī Shì)</v>
      </c>
      <c r="P286" s="13" t="str">
        <f t="shared" si="19"/>
        <v>Famen Zhen (Băojī Shì)</v>
      </c>
    </row>
    <row r="287" spans="1:16" hidden="1" x14ac:dyDescent="0.25">
      <c r="A287" t="s">
        <v>1439</v>
      </c>
      <c r="B287" t="str">
        <f t="shared" si="16"/>
        <v>Fāng Zhèn</v>
      </c>
      <c r="C287" t="str">
        <f t="shared" si="17"/>
        <v>Fāng Zhèn</v>
      </c>
      <c r="D287" t="s">
        <v>1440</v>
      </c>
      <c r="E287" t="s">
        <v>7</v>
      </c>
      <c r="F287" t="str">
        <f>_xlfn.CONCAT(D287,", ",H287,", ",I287,", ","陕西省")</f>
        <v>坊镇, 合阳县, 渭南市, 陕西省</v>
      </c>
      <c r="G287">
        <v>41113</v>
      </c>
      <c r="H287" t="s">
        <v>3094</v>
      </c>
      <c r="I287" t="s">
        <v>3087</v>
      </c>
      <c r="J287">
        <f>VLOOKUP(F287,[1]!china_towns_second__2[[Column1]:[Y]],3,FALSE)</f>
        <v>35.223492239269703</v>
      </c>
      <c r="K287">
        <f>VLOOKUP(F287,[1]!china_towns_second__2[[Column1]:[Y]],2,FALSE)</f>
        <v>110.26171170000001</v>
      </c>
      <c r="L287" t="s">
        <v>4412</v>
      </c>
      <c r="M287" t="str">
        <f>VLOOKUP(H287,CHOOSE({1,2},Table11[Native],Table11[Name]),2,0)</f>
        <v>Héyáng Xiàn</v>
      </c>
      <c r="N287" s="13" t="str">
        <f>VLOOKUP(I287,CHOOSE({1,2},Table11[Native],Table11[Name]),2,0)</f>
        <v>Wèinán Shì</v>
      </c>
      <c r="O287" s="13" t="str">
        <f t="shared" si="18"/>
        <v>Fang Zhen (Wèinán Shì)</v>
      </c>
      <c r="P287" s="13" t="str">
        <f t="shared" si="19"/>
        <v>Fang Zhen (Wèinán Shì)</v>
      </c>
    </row>
    <row r="288" spans="1:16" hidden="1" x14ac:dyDescent="0.25">
      <c r="A288" t="s">
        <v>1767</v>
      </c>
      <c r="B288" t="str">
        <f t="shared" si="16"/>
        <v>Fānglĭ Zhèn [incl. Gùxián Xiāng]</v>
      </c>
      <c r="C288" t="str">
        <f t="shared" si="17"/>
        <v>Fānglĭ Zhèn [incl. Gùxián Xiāng]</v>
      </c>
      <c r="D288" t="s">
        <v>1768</v>
      </c>
      <c r="E288" t="s">
        <v>7</v>
      </c>
      <c r="F288" t="str">
        <f>_xlfn.CONCAT(D288,", ",H288,", ",I288,", ","陕西省")</f>
        <v>方里镇, 淳化县, 咸阳市, 陕西省</v>
      </c>
      <c r="G288">
        <v>29044</v>
      </c>
      <c r="H288" t="s">
        <v>3120</v>
      </c>
      <c r="I288" t="s">
        <v>3117</v>
      </c>
      <c r="J288">
        <f>VLOOKUP(F288,[1]!china_towns_second__2[[Column1]:[Y]],3,FALSE)</f>
        <v>34.795382737918501</v>
      </c>
      <c r="K288">
        <f>VLOOKUP(F288,[1]!china_towns_second__2[[Column1]:[Y]],2,FALSE)</f>
        <v>108.730014</v>
      </c>
      <c r="L288" t="s">
        <v>4413</v>
      </c>
      <c r="M288" t="str">
        <f>VLOOKUP(H288,CHOOSE({1,2},Table11[Native],Table11[Name]),2,0)</f>
        <v>Chúnhuà Xiàn</v>
      </c>
      <c r="N288" s="13" t="str">
        <f>VLOOKUP(I288,CHOOSE({1,2},Table11[Native],Table11[Name]),2,0)</f>
        <v>Xiányáng Shì</v>
      </c>
      <c r="O288" s="13" t="str">
        <f t="shared" si="18"/>
        <v>Fangli Zhen [incl. Guxian Xiang] (Xiányáng Shì)</v>
      </c>
      <c r="P288" s="13" t="str">
        <f t="shared" si="19"/>
        <v>Fangli Zhen [incl. Guxian Xiang] (Xiányáng Shì)</v>
      </c>
    </row>
    <row r="289" spans="1:16" hidden="1" x14ac:dyDescent="0.25">
      <c r="A289" t="s">
        <v>2698</v>
      </c>
      <c r="B289" t="str">
        <f t="shared" si="16"/>
        <v>Fāngtā Zhèn</v>
      </c>
      <c r="C289" t="str">
        <f t="shared" si="17"/>
        <v>Fāngtā Zhèn</v>
      </c>
      <c r="D289" t="s">
        <v>2699</v>
      </c>
      <c r="E289" t="s">
        <v>7</v>
      </c>
      <c r="F289" t="str">
        <f>_xlfn.CONCAT(D289,", ",H289,", ",I289,", ","陕西省")</f>
        <v>方塌镇, 佳县, 榆林市, 陕西省</v>
      </c>
      <c r="G289">
        <v>6379</v>
      </c>
      <c r="H289" t="s">
        <v>3152</v>
      </c>
      <c r="I289" t="s">
        <v>3148</v>
      </c>
      <c r="J289">
        <f>VLOOKUP(F289,[1]!china_towns_second__2[[Column1]:[Y]],3,FALSE)</f>
        <v>38.230034439272899</v>
      </c>
      <c r="K289">
        <f>VLOOKUP(F289,[1]!china_towns_second__2[[Column1]:[Y]],2,FALSE)</f>
        <v>110.10432729999999</v>
      </c>
      <c r="L289" t="s">
        <v>4414</v>
      </c>
      <c r="M289" t="str">
        <f>VLOOKUP(H289,CHOOSE({1,2},Table11[Native],Table11[Name]),2,0)</f>
        <v>Jiā Xiàn</v>
      </c>
      <c r="N289" s="13" t="str">
        <f>VLOOKUP(I289,CHOOSE({1,2},Table11[Native],Table11[Name]),2,0)</f>
        <v>Yúlín Shì</v>
      </c>
      <c r="O289" s="13" t="str">
        <f t="shared" si="18"/>
        <v>Fangta Zhen (Yúlín Shì)</v>
      </c>
      <c r="P289" s="13" t="str">
        <f t="shared" si="19"/>
        <v>Fangta Zhen (Yúlín Shì)</v>
      </c>
    </row>
    <row r="290" spans="1:16" hidden="1" x14ac:dyDescent="0.25">
      <c r="A290" t="s">
        <v>2052</v>
      </c>
      <c r="B290" t="str">
        <f t="shared" si="16"/>
        <v>Făngzhīchéng Jiēdào</v>
      </c>
      <c r="C290" t="str">
        <f t="shared" si="17"/>
        <v>Făngzhīchéng Jiēdào</v>
      </c>
      <c r="D290" t="s">
        <v>2053</v>
      </c>
      <c r="E290" t="s">
        <v>113</v>
      </c>
      <c r="F290" t="str">
        <f>_xlfn.CONCAT(D290,", ",H290,", ",I290,", ","陕西省")</f>
        <v>纺织城街道, 灞桥区, 西安市, 陕西省</v>
      </c>
      <c r="G290">
        <v>92435</v>
      </c>
      <c r="H290" t="s">
        <v>3103</v>
      </c>
      <c r="I290" t="s">
        <v>3102</v>
      </c>
      <c r="J290">
        <f>VLOOKUP(F290,[1]!china_towns_second__2[[Column1]:[Y]],3,FALSE)</f>
        <v>34.265964948675801</v>
      </c>
      <c r="K290">
        <f>VLOOKUP(F290,[1]!china_towns_second__2[[Column1]:[Y]],2,FALSE)</f>
        <v>109.0615615</v>
      </c>
      <c r="L290" t="s">
        <v>4415</v>
      </c>
      <c r="M290" t="str">
        <f>VLOOKUP(H290,CHOOSE({1,2},Table11[Native],Table11[Name]),2,0)</f>
        <v>Bàqiáo Qū</v>
      </c>
      <c r="N290" s="13" t="str">
        <f>VLOOKUP(I290,CHOOSE({1,2},Table11[Native],Table11[Name]),2,0)</f>
        <v>Xī'ān Shì</v>
      </c>
      <c r="O290" s="13" t="str">
        <f t="shared" si="18"/>
        <v>Fangzhicheng Jiedao (Xī'ān Shì)</v>
      </c>
      <c r="P290" s="13" t="str">
        <f t="shared" si="19"/>
        <v>Fangzhicheng Jiedao (Xī'ān Shì)</v>
      </c>
    </row>
    <row r="291" spans="1:16" hidden="1" x14ac:dyDescent="0.25">
      <c r="A291" t="s">
        <v>1441</v>
      </c>
      <c r="B291" t="str">
        <f t="shared" si="16"/>
        <v>Fànjiā Zhèn</v>
      </c>
      <c r="C291" t="str">
        <f t="shared" si="17"/>
        <v>Fànjiā Zhèn</v>
      </c>
      <c r="D291" t="s">
        <v>1442</v>
      </c>
      <c r="E291" t="s">
        <v>7</v>
      </c>
      <c r="F291" t="str">
        <f>_xlfn.CONCAT(D291,", ",H291,", ",I291,", ","陕西省")</f>
        <v>范家镇, 大荔县, 渭南市, 陕西省</v>
      </c>
      <c r="G291">
        <v>27647</v>
      </c>
      <c r="H291" t="s">
        <v>3090</v>
      </c>
      <c r="I291" t="s">
        <v>3087</v>
      </c>
      <c r="J291">
        <f>VLOOKUP(F291,[1]!china_towns_second__2[[Column1]:[Y]],3,FALSE)</f>
        <v>34.934972277189203</v>
      </c>
      <c r="K291">
        <f>VLOOKUP(F291,[1]!china_towns_second__2[[Column1]:[Y]],2,FALSE)</f>
        <v>110.20272420000001</v>
      </c>
      <c r="L291" t="s">
        <v>4416</v>
      </c>
      <c r="M291" t="str">
        <f>VLOOKUP(H291,CHOOSE({1,2},Table11[Native],Table11[Name]),2,0)</f>
        <v>Dàlì Xiàn</v>
      </c>
      <c r="N291" s="13" t="str">
        <f>VLOOKUP(I291,CHOOSE({1,2},Table11[Native],Table11[Name]),2,0)</f>
        <v>Wèinán Shì</v>
      </c>
      <c r="O291" s="13" t="str">
        <f t="shared" si="18"/>
        <v>Fanjia Zhen (Wèinán Shì)</v>
      </c>
      <c r="P291" s="13" t="str">
        <f t="shared" si="19"/>
        <v>Fanjia Zhen (Wèinán Shì)</v>
      </c>
    </row>
    <row r="292" spans="1:16" hidden="1" x14ac:dyDescent="0.25">
      <c r="A292" t="s">
        <v>401</v>
      </c>
      <c r="B292" t="str">
        <f t="shared" si="16"/>
        <v>Fànjiāzhài Zhèn</v>
      </c>
      <c r="C292" t="str">
        <f t="shared" si="17"/>
        <v>Fànjiāzhài Zhèn</v>
      </c>
      <c r="D292" t="s">
        <v>402</v>
      </c>
      <c r="E292" t="s">
        <v>7</v>
      </c>
      <c r="F292" t="str">
        <f>_xlfn.CONCAT(D292,", ",H292,", ",I292,", ","陕西省")</f>
        <v>范家寨镇, 凤翔区, 宝鸡市, 陕西省</v>
      </c>
      <c r="G292">
        <v>16325</v>
      </c>
      <c r="H292" t="s">
        <v>3048</v>
      </c>
      <c r="I292" t="s">
        <v>3045</v>
      </c>
      <c r="J292">
        <f>VLOOKUP(F292,[1]!china_towns_second__2[[Column1]:[Y]],3,FALSE)</f>
        <v>34.635601211386302</v>
      </c>
      <c r="K292">
        <f>VLOOKUP(F292,[1]!china_towns_second__2[[Column1]:[Y]],2,FALSE)</f>
        <v>107.3794852</v>
      </c>
      <c r="L292" t="s">
        <v>4417</v>
      </c>
      <c r="M292" t="str">
        <f>VLOOKUP(H292,CHOOSE({1,2},Table11[Native],Table11[Name]),2,0)</f>
        <v>Fèngxiáng Qū</v>
      </c>
      <c r="N292" s="13" t="str">
        <f>VLOOKUP(I292,CHOOSE({1,2},Table11[Native],Table11[Name]),2,0)</f>
        <v>Băojī Shì</v>
      </c>
      <c r="O292" s="13" t="str">
        <f t="shared" si="18"/>
        <v>Fanjiazhai Zhen (Băojī Shì)</v>
      </c>
      <c r="P292" s="13" t="str">
        <f t="shared" si="19"/>
        <v>Fanjiazhai Zhen (Băojī Shì)</v>
      </c>
    </row>
    <row r="293" spans="1:16" hidden="1" x14ac:dyDescent="0.25">
      <c r="A293" t="s">
        <v>2381</v>
      </c>
      <c r="B293" t="str">
        <f t="shared" si="16"/>
        <v>Fànjiāzhuózi Xiāng</v>
      </c>
      <c r="C293" t="str">
        <f t="shared" si="17"/>
        <v>Fànjiāzhuózi Xiāng</v>
      </c>
      <c r="D293" t="s">
        <v>2382</v>
      </c>
      <c r="E293" t="s">
        <v>11</v>
      </c>
      <c r="F293" t="str">
        <f>_xlfn.CONCAT(D293,", ",H293,", ",I293,", ","陕西省")</f>
        <v>范家卓子乡, 黄龙县, 延安市, 陕西省</v>
      </c>
      <c r="G293">
        <v>2417</v>
      </c>
      <c r="H293" t="s">
        <v>3139</v>
      </c>
      <c r="I293" t="s">
        <v>3133</v>
      </c>
      <c r="J293" t="e">
        <f>VLOOKUP(F293,[1]!china_towns_second__2[[Column1]:[Y]],3,FALSE)</f>
        <v>#N/A</v>
      </c>
      <c r="K293" t="e">
        <f>VLOOKUP(F293,[1]!china_towns_second__2[[Column1]:[Y]],2,FALSE)</f>
        <v>#N/A</v>
      </c>
      <c r="L293" t="s">
        <v>4418</v>
      </c>
      <c r="M293" t="str">
        <f>VLOOKUP(H293,CHOOSE({1,2},Table11[Native],Table11[Name]),2,0)</f>
        <v>Huánglóng Xiàn</v>
      </c>
      <c r="N293" s="13" t="str">
        <f>VLOOKUP(I293,CHOOSE({1,2},Table11[Native],Table11[Name]),2,0)</f>
        <v>Yán'ān Shì</v>
      </c>
      <c r="O293" s="13" t="str">
        <f t="shared" si="18"/>
        <v>Fanjiazhuozi Xiang (Yán'ān Shì)</v>
      </c>
      <c r="P293" s="13" t="str">
        <f t="shared" si="19"/>
        <v>Fanjiazhuozi Xiang (Yán'ān Shì)</v>
      </c>
    </row>
    <row r="294" spans="1:16" hidden="1" x14ac:dyDescent="0.25">
      <c r="A294" t="s">
        <v>2700</v>
      </c>
      <c r="B294" t="str">
        <f t="shared" si="16"/>
        <v>Fánxué Zhèn</v>
      </c>
      <c r="C294" t="str">
        <f t="shared" si="17"/>
        <v>Fánxué Zhèn</v>
      </c>
      <c r="D294" t="s">
        <v>2701</v>
      </c>
      <c r="E294" t="s">
        <v>7</v>
      </c>
      <c r="F294" t="str">
        <f>_xlfn.CONCAT(D294,", ",H294,", ",I294,", ","陕西省")</f>
        <v>樊学镇, 定边县, 榆林市, 陕西省</v>
      </c>
      <c r="G294">
        <v>4368</v>
      </c>
      <c r="H294" t="s">
        <v>3149</v>
      </c>
      <c r="I294" t="s">
        <v>3148</v>
      </c>
      <c r="J294">
        <f>VLOOKUP(F294,[1]!china_towns_second__2[[Column1]:[Y]],3,FALSE)</f>
        <v>37.148032034819103</v>
      </c>
      <c r="K294">
        <f>VLOOKUP(F294,[1]!china_towns_second__2[[Column1]:[Y]],2,FALSE)</f>
        <v>107.61023950000001</v>
      </c>
      <c r="L294" t="s">
        <v>4419</v>
      </c>
      <c r="M294" t="str">
        <f>VLOOKUP(H294,CHOOSE({1,2},Table11[Native],Table11[Name]),2,0)</f>
        <v>Dìngbiān Xiàn</v>
      </c>
      <c r="N294" s="13" t="str">
        <f>VLOOKUP(I294,CHOOSE({1,2},Table11[Native],Table11[Name]),2,0)</f>
        <v>Yúlín Shì</v>
      </c>
      <c r="O294" s="13" t="str">
        <f t="shared" si="18"/>
        <v>Fanxue Zhen (Yúlín Shì)</v>
      </c>
      <c r="P294" s="13" t="str">
        <f t="shared" si="19"/>
        <v>Fanxue Zhen (Yúlín Shì)</v>
      </c>
    </row>
    <row r="295" spans="1:16" hidden="1" x14ac:dyDescent="0.25">
      <c r="A295" t="s">
        <v>1443</v>
      </c>
      <c r="B295" t="str">
        <f t="shared" si="16"/>
        <v>Féngcūn Zhèn</v>
      </c>
      <c r="C295" t="str">
        <f t="shared" si="17"/>
        <v>Féngcūn Zhèn</v>
      </c>
      <c r="D295" t="s">
        <v>1444</v>
      </c>
      <c r="E295" t="s">
        <v>7</v>
      </c>
      <c r="F295" t="str">
        <f>_xlfn.CONCAT(D295,", ",H295,", ",I295,", ","陕西省")</f>
        <v>冯村镇, 大荔县, 渭南市, 陕西省</v>
      </c>
      <c r="G295">
        <v>25236</v>
      </c>
      <c r="H295" t="s">
        <v>3090</v>
      </c>
      <c r="I295" t="s">
        <v>3087</v>
      </c>
      <c r="J295">
        <f>VLOOKUP(F295,[1]!china_towns_second__2[[Column1]:[Y]],3,FALSE)</f>
        <v>34.849711654327002</v>
      </c>
      <c r="K295">
        <f>VLOOKUP(F295,[1]!china_towns_second__2[[Column1]:[Y]],2,FALSE)</f>
        <v>109.8351163</v>
      </c>
      <c r="L295" t="s">
        <v>4420</v>
      </c>
      <c r="M295" t="str">
        <f>VLOOKUP(H295,CHOOSE({1,2},Table11[Native],Table11[Name]),2,0)</f>
        <v>Dàlì Xiàn</v>
      </c>
      <c r="N295" s="13" t="str">
        <f>VLOOKUP(I295,CHOOSE({1,2},Table11[Native],Table11[Name]),2,0)</f>
        <v>Wèinán Shì</v>
      </c>
      <c r="O295" s="13" t="str">
        <f t="shared" si="18"/>
        <v>Fengcun Zhen (Wèinán Shì)</v>
      </c>
      <c r="P295" s="13" t="str">
        <f t="shared" si="19"/>
        <v>Fengcun Zhen (Wèinán Shì)</v>
      </c>
    </row>
    <row r="296" spans="1:16" hidden="1" x14ac:dyDescent="0.25">
      <c r="A296" t="s">
        <v>2702</v>
      </c>
      <c r="B296" t="str">
        <f t="shared" si="16"/>
        <v>Féngdìkēng Zhèn</v>
      </c>
      <c r="C296" t="str">
        <f t="shared" si="17"/>
        <v>Féngdìkēng Zhèn</v>
      </c>
      <c r="D296" t="s">
        <v>2703</v>
      </c>
      <c r="E296" t="s">
        <v>7</v>
      </c>
      <c r="F296" t="str">
        <f>_xlfn.CONCAT(D296,", ",H296,", ",I296,", ","陕西省")</f>
        <v>冯地坑镇, 定边县, 榆林市, 陕西省</v>
      </c>
      <c r="G296">
        <v>7843</v>
      </c>
      <c r="H296" t="s">
        <v>3149</v>
      </c>
      <c r="I296" t="s">
        <v>3148</v>
      </c>
      <c r="J296">
        <f>VLOOKUP(F296,[1]!china_towns_second__2[[Column1]:[Y]],3,FALSE)</f>
        <v>37.266452634171898</v>
      </c>
      <c r="K296">
        <f>VLOOKUP(F296,[1]!china_towns_second__2[[Column1]:[Y]],2,FALSE)</f>
        <v>107.34788140000001</v>
      </c>
      <c r="L296" t="s">
        <v>4421</v>
      </c>
      <c r="M296" t="str">
        <f>VLOOKUP(H296,CHOOSE({1,2},Table11[Native],Table11[Name]),2,0)</f>
        <v>Dìngbiān Xiàn</v>
      </c>
      <c r="N296" s="13" t="str">
        <f>VLOOKUP(I296,CHOOSE({1,2},Table11[Native],Table11[Name]),2,0)</f>
        <v>Yúlín Shì</v>
      </c>
      <c r="O296" s="13" t="str">
        <f t="shared" si="18"/>
        <v>Fengdikeng Zhen (Yúlín Shì)</v>
      </c>
      <c r="P296" s="13" t="str">
        <f t="shared" si="19"/>
        <v>Fengdikeng Zhen (Yúlín Shì)</v>
      </c>
    </row>
    <row r="297" spans="1:16" hidden="1" x14ac:dyDescent="0.25">
      <c r="A297" t="s">
        <v>403</v>
      </c>
      <c r="B297" t="str">
        <f t="shared" si="16"/>
        <v>Fènggélĭng Zhèn</v>
      </c>
      <c r="C297" t="str">
        <f t="shared" si="17"/>
        <v>Fènggélĭng Zhèn</v>
      </c>
      <c r="D297" t="s">
        <v>404</v>
      </c>
      <c r="E297" t="s">
        <v>7</v>
      </c>
      <c r="F297" t="str">
        <f>_xlfn.CONCAT(D297,", ",H297,", ",I297,", ","陕西省")</f>
        <v>凤阁岭镇, 陈仓区, 宝鸡市, 陕西省</v>
      </c>
      <c r="G297">
        <v>10250</v>
      </c>
      <c r="H297" t="s">
        <v>3046</v>
      </c>
      <c r="I297" t="s">
        <v>3045</v>
      </c>
      <c r="J297">
        <f>VLOOKUP(F297,[1]!china_towns_second__2[[Column1]:[Y]],3,FALSE)</f>
        <v>34.582097151332803</v>
      </c>
      <c r="K297">
        <f>VLOOKUP(F297,[1]!china_towns_second__2[[Column1]:[Y]],2,FALSE)</f>
        <v>106.4193691</v>
      </c>
      <c r="L297" t="s">
        <v>4422</v>
      </c>
      <c r="M297" t="str">
        <f>VLOOKUP(H297,CHOOSE({1,2},Table11[Native],Table11[Name]),2,0)</f>
        <v>Chéncāng Qū</v>
      </c>
      <c r="N297" s="13" t="str">
        <f>VLOOKUP(I297,CHOOSE({1,2},Table11[Native],Table11[Name]),2,0)</f>
        <v>Băojī Shì</v>
      </c>
      <c r="O297" s="13" t="str">
        <f t="shared" si="18"/>
        <v>Fenggeling Zhen (Băojī Shì)</v>
      </c>
      <c r="P297" s="13" t="str">
        <f t="shared" si="19"/>
        <v>Fenggeling Zhen (Băojī Shì)</v>
      </c>
    </row>
    <row r="298" spans="1:16" hidden="1" x14ac:dyDescent="0.25">
      <c r="A298" t="s">
        <v>1085</v>
      </c>
      <c r="B298" t="str">
        <f t="shared" si="16"/>
        <v>Fènghuáng Zhèn</v>
      </c>
      <c r="C298" t="str">
        <f t="shared" si="17"/>
        <v>Fènghuáng Zhèn</v>
      </c>
      <c r="D298" t="s">
        <v>1086</v>
      </c>
      <c r="E298" t="s">
        <v>7</v>
      </c>
      <c r="F298" t="str">
        <f>_xlfn.CONCAT(D298,", ",H298,", ",I298,", ","陕西省")</f>
        <v>凤凰镇, 柞水县, 商洛市, 陕西省</v>
      </c>
      <c r="G298">
        <v>17850</v>
      </c>
      <c r="H298" t="s">
        <v>3078</v>
      </c>
      <c r="I298" t="s">
        <v>3072</v>
      </c>
      <c r="J298">
        <f>VLOOKUP(F298,[1]!china_towns_second__2[[Column1]:[Y]],3,FALSE)</f>
        <v>33.551649255380902</v>
      </c>
      <c r="K298">
        <f>VLOOKUP(F298,[1]!china_towns_second__2[[Column1]:[Y]],2,FALSE)</f>
        <v>109.36606190000001</v>
      </c>
      <c r="L298" t="s">
        <v>4423</v>
      </c>
      <c r="M298" t="str">
        <f>VLOOKUP(H298,CHOOSE({1,2},Table11[Native],Table11[Name]),2,0)</f>
        <v>Zhàshuĭ Xiàn</v>
      </c>
      <c r="N298" s="13" t="str">
        <f>VLOOKUP(I298,CHOOSE({1,2},Table11[Native],Table11[Name]),2,0)</f>
        <v>Shāngluò Shì</v>
      </c>
      <c r="O298" s="13" t="str">
        <f t="shared" si="18"/>
        <v>Fenghuang Zhen (Shāngluò Shì)</v>
      </c>
      <c r="P298" s="13" t="str">
        <f t="shared" si="19"/>
        <v>Fenghuang Zhen (Shāngluò Shì)</v>
      </c>
    </row>
    <row r="299" spans="1:16" hidden="1" x14ac:dyDescent="0.25">
      <c r="A299" t="s">
        <v>2054</v>
      </c>
      <c r="B299" t="str">
        <f t="shared" si="16"/>
        <v>Fènghuánglù Jiēdào</v>
      </c>
      <c r="C299" t="str">
        <f t="shared" si="17"/>
        <v>Fènghuánglù Jiēdào</v>
      </c>
      <c r="D299" t="s">
        <v>2055</v>
      </c>
      <c r="E299" t="s">
        <v>113</v>
      </c>
      <c r="F299" t="str">
        <f>_xlfn.CONCAT(D299,", ",H299,", ",I299,", ","陕西省")</f>
        <v>凤凰路街道, 阎良区, 西安市, 陕西省</v>
      </c>
      <c r="G299">
        <v>58060</v>
      </c>
      <c r="H299" t="s">
        <v>3113</v>
      </c>
      <c r="I299" t="s">
        <v>3102</v>
      </c>
      <c r="J299">
        <f>VLOOKUP(F299,[1]!china_towns_second__2[[Column1]:[Y]],3,FALSE)</f>
        <v>34.664322272944503</v>
      </c>
      <c r="K299">
        <f>VLOOKUP(F299,[1]!china_towns_second__2[[Column1]:[Y]],2,FALSE)</f>
        <v>109.221953</v>
      </c>
      <c r="L299" t="s">
        <v>4424</v>
      </c>
      <c r="M299" t="str">
        <f>VLOOKUP(H299,CHOOSE({1,2},Table11[Native],Table11[Name]),2,0)</f>
        <v>Yánliáng Qū</v>
      </c>
      <c r="N299" s="13" t="str">
        <f>VLOOKUP(I299,CHOOSE({1,2},Table11[Native],Table11[Name]),2,0)</f>
        <v>Xī'ān Shì</v>
      </c>
      <c r="O299" s="13" t="str">
        <f t="shared" si="18"/>
        <v>Fenghuanglu Jiedao (Xī'ān Shì)</v>
      </c>
      <c r="P299" s="13" t="str">
        <f t="shared" si="19"/>
        <v>Fenghuanglu Jiedao (Xī'ān Shì)</v>
      </c>
    </row>
    <row r="300" spans="1:16" hidden="1" x14ac:dyDescent="0.25">
      <c r="A300" t="s">
        <v>2383</v>
      </c>
      <c r="B300" t="str">
        <f t="shared" si="16"/>
        <v>Fènghuángshān Jiēdào</v>
      </c>
      <c r="C300" t="str">
        <f t="shared" si="17"/>
        <v>Fènghuángshān Jiēdào</v>
      </c>
      <c r="D300" t="s">
        <v>2384</v>
      </c>
      <c r="E300" t="s">
        <v>113</v>
      </c>
      <c r="F300" t="str">
        <f>_xlfn.CONCAT(D300,", ",H300,", ",I300,", ","陕西省")</f>
        <v>凤凰山街道, 宝塔区, 延安市, 陕西省</v>
      </c>
      <c r="G300">
        <v>44294</v>
      </c>
      <c r="H300" t="s">
        <v>3135</v>
      </c>
      <c r="I300" t="s">
        <v>3133</v>
      </c>
      <c r="J300">
        <f>VLOOKUP(F300,[1]!china_towns_second__2[[Column1]:[Y]],3,FALSE)</f>
        <v>36.597298657000898</v>
      </c>
      <c r="K300">
        <f>VLOOKUP(F300,[1]!china_towns_second__2[[Column1]:[Y]],2,FALSE)</f>
        <v>109.4589296</v>
      </c>
      <c r="L300" t="s">
        <v>4425</v>
      </c>
      <c r="M300" t="str">
        <f>VLOOKUP(H300,CHOOSE({1,2},Table11[Native],Table11[Name]),2,0)</f>
        <v>Băotă Qū</v>
      </c>
      <c r="N300" s="13" t="str">
        <f>VLOOKUP(I300,CHOOSE({1,2},Table11[Native],Table11[Name]),2,0)</f>
        <v>Yán'ān Shì</v>
      </c>
      <c r="O300" s="13" t="str">
        <f t="shared" si="18"/>
        <v>Fenghuangshan Jiedao (Yán'ān Shì)</v>
      </c>
      <c r="P300" s="13" t="str">
        <f t="shared" si="19"/>
        <v>Fenghuangshan Jiedao (Yán'ān Shì)</v>
      </c>
    </row>
    <row r="301" spans="1:16" hidden="1" x14ac:dyDescent="0.25">
      <c r="A301" t="s">
        <v>1769</v>
      </c>
      <c r="B301" t="str">
        <f t="shared" si="16"/>
        <v>Fēnghuŏ Zhèn</v>
      </c>
      <c r="C301" t="str">
        <f t="shared" si="17"/>
        <v>Fēnghuŏ Zhèn</v>
      </c>
      <c r="D301" t="s">
        <v>1770</v>
      </c>
      <c r="E301" t="s">
        <v>7</v>
      </c>
      <c r="F301" t="str">
        <f>_xlfn.CONCAT(D301,", ",H301,", ",I301,", ","陕西省")</f>
        <v>烽火镇, 礼泉县, 咸阳市, 陕西省</v>
      </c>
      <c r="G301">
        <v>26624</v>
      </c>
      <c r="H301" t="s">
        <v>3122</v>
      </c>
      <c r="I301" t="s">
        <v>3117</v>
      </c>
      <c r="J301">
        <f>VLOOKUP(F301,[1]!china_towns_second__2[[Column1]:[Y]],3,FALSE)</f>
        <v>34.562026789530996</v>
      </c>
      <c r="K301">
        <f>VLOOKUP(F301,[1]!china_towns_second__2[[Column1]:[Y]],2,FALSE)</f>
        <v>108.6214569</v>
      </c>
      <c r="L301" t="s">
        <v>4426</v>
      </c>
      <c r="M301" t="str">
        <f>VLOOKUP(H301,CHOOSE({1,2},Table11[Native],Table11[Name]),2,0)</f>
        <v>Lĭquán Xiàn</v>
      </c>
      <c r="N301" s="13" t="str">
        <f>VLOOKUP(I301,CHOOSE({1,2},Table11[Native],Table11[Name]),2,0)</f>
        <v>Xiányáng Shì</v>
      </c>
      <c r="O301" s="13" t="str">
        <f t="shared" si="18"/>
        <v>Fenghuo Zhen (Xiányáng Shì)</v>
      </c>
      <c r="P301" s="13" t="str">
        <f t="shared" si="19"/>
        <v>Fenghuo Zhen (Xiányáng Shì)</v>
      </c>
    </row>
    <row r="302" spans="1:16" hidden="1" x14ac:dyDescent="0.25">
      <c r="A302" t="s">
        <v>405</v>
      </c>
      <c r="B302" t="str">
        <f t="shared" si="16"/>
        <v>Fèngmíng Zhèn</v>
      </c>
      <c r="C302" t="str">
        <f t="shared" si="17"/>
        <v>Fèngmíng Zhèn</v>
      </c>
      <c r="D302" t="s">
        <v>406</v>
      </c>
      <c r="E302" t="s">
        <v>7</v>
      </c>
      <c r="F302" t="str">
        <f>_xlfn.CONCAT(D302,", ",H302,", ",I302,", ","陕西省")</f>
        <v>凤鸣镇, 岐山县, 宝鸡市, 陕西省</v>
      </c>
      <c r="G302">
        <v>75936</v>
      </c>
      <c r="H302" t="s">
        <v>3055</v>
      </c>
      <c r="I302" t="s">
        <v>3045</v>
      </c>
      <c r="J302">
        <f>VLOOKUP(F302,[1]!china_towns_second__2[[Column1]:[Y]],3,FALSE)</f>
        <v>34.442359356206502</v>
      </c>
      <c r="K302">
        <f>VLOOKUP(F302,[1]!china_towns_second__2[[Column1]:[Y]],2,FALSE)</f>
        <v>107.6250699</v>
      </c>
      <c r="L302" t="s">
        <v>4427</v>
      </c>
      <c r="M302" t="str">
        <f>VLOOKUP(H302,CHOOSE({1,2},Table11[Native],Table11[Name]),2,0)</f>
        <v>Qíshān Xiàn</v>
      </c>
      <c r="N302" s="13" t="str">
        <f>VLOOKUP(I302,CHOOSE({1,2},Table11[Native],Table11[Name]),2,0)</f>
        <v>Băojī Shì</v>
      </c>
      <c r="O302" s="13" t="str">
        <f t="shared" si="18"/>
        <v>Fengming Zhen (Băojī Shì)</v>
      </c>
      <c r="P302" s="13" t="str">
        <f t="shared" si="19"/>
        <v>Fengming Zhen (Băojī Shì)</v>
      </c>
    </row>
    <row r="303" spans="1:16" hidden="1" x14ac:dyDescent="0.25">
      <c r="A303" t="s">
        <v>2385</v>
      </c>
      <c r="B303" t="str">
        <f t="shared" si="16"/>
        <v>Fèngqī Jiēdào</v>
      </c>
      <c r="C303" t="str">
        <f t="shared" si="17"/>
        <v>Fèngqī Jiēdào</v>
      </c>
      <c r="D303" t="s">
        <v>2386</v>
      </c>
      <c r="E303" t="s">
        <v>113</v>
      </c>
      <c r="F303" t="str">
        <f>_xlfn.CONCAT(D303,", ",H303,", ",I303,", ","陕西省")</f>
        <v>凤栖街道, 洛川县, 延安市, 陕西省</v>
      </c>
      <c r="G303">
        <v>55096</v>
      </c>
      <c r="H303" t="s">
        <v>3140</v>
      </c>
      <c r="I303" t="s">
        <v>3133</v>
      </c>
      <c r="J303" t="e">
        <f>VLOOKUP(F303,[1]!china_towns_second__2[[Column1]:[Y]],3,FALSE)</f>
        <v>#N/A</v>
      </c>
      <c r="K303" t="e">
        <f>VLOOKUP(F303,[1]!china_towns_second__2[[Column1]:[Y]],2,FALSE)</f>
        <v>#N/A</v>
      </c>
      <c r="L303" t="s">
        <v>4428</v>
      </c>
      <c r="M303" t="str">
        <f>VLOOKUP(H303,CHOOSE({1,2},Table11[Native],Table11[Name]),2,0)</f>
        <v>Luòchuān Xiàn</v>
      </c>
      <c r="N303" s="13" t="str">
        <f>VLOOKUP(I303,CHOOSE({1,2},Table11[Native],Table11[Name]),2,0)</f>
        <v>Yán'ān Shì</v>
      </c>
      <c r="O303" s="13" t="str">
        <f t="shared" si="18"/>
        <v>Fengqi Jiedao (Yán'ān Shì)</v>
      </c>
      <c r="P303" s="13" t="str">
        <f t="shared" si="19"/>
        <v>Fengqi Jiedao (Yán'ān Shì)</v>
      </c>
    </row>
    <row r="304" spans="1:16" hidden="1" x14ac:dyDescent="0.25">
      <c r="A304" t="s">
        <v>1771</v>
      </c>
      <c r="B304" t="str">
        <f t="shared" si="16"/>
        <v>Fēngyáng Zhèn</v>
      </c>
      <c r="C304" t="str">
        <f t="shared" si="17"/>
        <v>Fēngyáng Zhèn</v>
      </c>
      <c r="D304" t="s">
        <v>1772</v>
      </c>
      <c r="E304" t="s">
        <v>7</v>
      </c>
      <c r="F304" t="str">
        <f>_xlfn.CONCAT(D304,", ",H304,", ",I304,", ","陕西省")</f>
        <v>峰阳镇, 乾县, 咸阳市, 陕西省</v>
      </c>
      <c r="G304">
        <v>19783</v>
      </c>
      <c r="H304" t="s">
        <v>3123</v>
      </c>
      <c r="I304" t="s">
        <v>3117</v>
      </c>
      <c r="J304">
        <f>VLOOKUP(F304,[1]!china_towns_second__2[[Column1]:[Y]],3,FALSE)</f>
        <v>34.684499399336303</v>
      </c>
      <c r="K304">
        <f>VLOOKUP(F304,[1]!china_towns_second__2[[Column1]:[Y]],2,FALSE)</f>
        <v>108.2675272</v>
      </c>
      <c r="L304" t="s">
        <v>4429</v>
      </c>
      <c r="M304" t="str">
        <f>VLOOKUP(H304,CHOOSE({1,2},Table11[Native],Table11[Name]),2,0)</f>
        <v>Qián Xiàn</v>
      </c>
      <c r="N304" s="13" t="str">
        <f>VLOOKUP(I304,CHOOSE({1,2},Table11[Native],Table11[Name]),2,0)</f>
        <v>Xiányáng Shì</v>
      </c>
      <c r="O304" s="13" t="str">
        <f t="shared" si="18"/>
        <v>Fengyang Zhen (Xiányáng Shì)</v>
      </c>
      <c r="P304" s="13" t="str">
        <f t="shared" si="19"/>
        <v>Fengyang Zhen (Xiányáng Shì)</v>
      </c>
    </row>
    <row r="305" spans="1:16" hidden="1" x14ac:dyDescent="0.25">
      <c r="A305" t="s">
        <v>1773</v>
      </c>
      <c r="B305" t="str">
        <f t="shared" si="16"/>
        <v>Fēngyí Zhèn</v>
      </c>
      <c r="C305" t="str">
        <f t="shared" si="17"/>
        <v>Fēngyí Zhèn</v>
      </c>
      <c r="D305" t="s">
        <v>1774</v>
      </c>
      <c r="E305" t="s">
        <v>7</v>
      </c>
      <c r="F305" t="str">
        <f>_xlfn.CONCAT(D305,", ",H305,", ",I305,", ","陕西省")</f>
        <v>丰仪镇, 兴平市, 咸阳市, 陕西省</v>
      </c>
      <c r="G305">
        <v>25056</v>
      </c>
      <c r="H305" t="s">
        <v>3128</v>
      </c>
      <c r="I305" t="s">
        <v>3117</v>
      </c>
      <c r="J305">
        <f>VLOOKUP(F305,[1]!china_towns_second__2[[Column1]:[Y]],3,FALSE)</f>
        <v>34.241498106585901</v>
      </c>
      <c r="K305">
        <f>VLOOKUP(F305,[1]!china_towns_second__2[[Column1]:[Y]],2,FALSE)</f>
        <v>108.4131246</v>
      </c>
      <c r="L305" t="s">
        <v>4430</v>
      </c>
      <c r="M305" t="str">
        <f>VLOOKUP(H305,CHOOSE({1,2},Table11[Native],Table11[Name]),2,0)</f>
        <v>Xīngpíng Shì</v>
      </c>
      <c r="N305" s="13" t="str">
        <f>VLOOKUP(I305,CHOOSE({1,2},Table11[Native],Table11[Name]),2,0)</f>
        <v>Xiányáng Shì</v>
      </c>
      <c r="O305" s="13" t="str">
        <f t="shared" si="18"/>
        <v>Fengyi Zhen (Xiányáng Shì)</v>
      </c>
      <c r="P305" s="13" t="str">
        <f t="shared" si="19"/>
        <v>Fengyi Zhen (Xiányáng Shì)</v>
      </c>
    </row>
    <row r="306" spans="1:16" x14ac:dyDescent="0.25">
      <c r="A306" t="s">
        <v>1447</v>
      </c>
      <c r="B306" t="str">
        <f t="shared" si="16"/>
        <v>Féngyuán Zhèn</v>
      </c>
      <c r="C306" t="str">
        <f t="shared" si="17"/>
        <v>Féngyuán Zhèn</v>
      </c>
      <c r="D306" t="s">
        <v>1448</v>
      </c>
      <c r="E306" t="s">
        <v>7</v>
      </c>
      <c r="F306" t="str">
        <f>_xlfn.CONCAT(D306,", ",H306,", ",I306,", ","陕西省")</f>
        <v>冯原镇, 澄城县, 渭南市, 陕西省</v>
      </c>
      <c r="G306">
        <v>28093</v>
      </c>
      <c r="H306" t="s">
        <v>3089</v>
      </c>
      <c r="I306" t="s">
        <v>3087</v>
      </c>
      <c r="J306">
        <f>VLOOKUP(F306,[1]!china_towns_second__2[[Column1]:[Y]],3,FALSE)</f>
        <v>35.3326456802263</v>
      </c>
      <c r="K306">
        <f>VLOOKUP(F306,[1]!china_towns_second__2[[Column1]:[Y]],2,FALSE)</f>
        <v>109.7669592</v>
      </c>
      <c r="L306" t="s">
        <v>4431</v>
      </c>
      <c r="M306" t="str">
        <f>VLOOKUP(H306,CHOOSE({1,2},Table11[Native],Table11[Name]),2,0)</f>
        <v>Chéngchéng Xiàn</v>
      </c>
      <c r="N306" s="13" t="str">
        <f>VLOOKUP(I306,CHOOSE({1,2},Table11[Native],Table11[Name]),2,0)</f>
        <v>Wèinán Shì</v>
      </c>
      <c r="O306" s="13" t="str">
        <f t="shared" si="18"/>
        <v>Fengyuan Zhen (Wèinán Shì)</v>
      </c>
      <c r="P306" s="13" t="str">
        <f t="shared" si="19"/>
        <v>Fengyuan Zhen (Chéngchéng Xiàn)</v>
      </c>
    </row>
    <row r="307" spans="1:16" x14ac:dyDescent="0.25">
      <c r="A307" t="s">
        <v>1445</v>
      </c>
      <c r="B307" t="str">
        <f t="shared" si="16"/>
        <v>Fēngyuán Zhèn</v>
      </c>
      <c r="C307" t="str">
        <f t="shared" si="17"/>
        <v>Fēngyuán Zhèn</v>
      </c>
      <c r="D307" t="s">
        <v>1446</v>
      </c>
      <c r="E307" t="s">
        <v>7</v>
      </c>
      <c r="F307" t="str">
        <f>_xlfn.CONCAT(D307,", ",H307,", ",I307,", ","陕西省")</f>
        <v>丰原镇, 临渭区, 渭南市, 陕西省</v>
      </c>
      <c r="G307">
        <v>24829</v>
      </c>
      <c r="H307" t="s">
        <v>3097</v>
      </c>
      <c r="I307" t="s">
        <v>3087</v>
      </c>
      <c r="J307">
        <f>VLOOKUP(F307,[1]!china_towns_second__2[[Column1]:[Y]],3,FALSE)</f>
        <v>34.451388080426</v>
      </c>
      <c r="K307">
        <f>VLOOKUP(F307,[1]!china_towns_second__2[[Column1]:[Y]],2,FALSE)</f>
        <v>109.5698307</v>
      </c>
      <c r="L307" t="s">
        <v>4431</v>
      </c>
      <c r="M307" t="str">
        <f>VLOOKUP(H307,CHOOSE({1,2},Table11[Native],Table11[Name]),2,0)</f>
        <v>Línwèi Qū</v>
      </c>
      <c r="N307" s="13" t="str">
        <f>VLOOKUP(I307,CHOOSE({1,2},Table11[Native],Table11[Name]),2,0)</f>
        <v>Wèinán Shì</v>
      </c>
      <c r="O307" s="13" t="str">
        <f t="shared" si="18"/>
        <v>Fengyuan Zhen (Wèinán Shì)</v>
      </c>
      <c r="P307" s="13" t="str">
        <f t="shared" si="19"/>
        <v>Fengyuan Zhen (Línwèi Qū)</v>
      </c>
    </row>
    <row r="308" spans="1:16" hidden="1" x14ac:dyDescent="0.25">
      <c r="A308" t="s">
        <v>407</v>
      </c>
      <c r="B308" t="str">
        <f t="shared" si="16"/>
        <v>Fèngzhōu Zhèn</v>
      </c>
      <c r="C308" t="str">
        <f t="shared" si="17"/>
        <v>Fèngzhōu Zhèn</v>
      </c>
      <c r="D308" t="s">
        <v>408</v>
      </c>
      <c r="E308" t="s">
        <v>7</v>
      </c>
      <c r="F308" t="str">
        <f>_xlfn.CONCAT(D308,", ",H308,", ",I308,", ","陕西省")</f>
        <v>凤州镇, 凤县, 宝鸡市, 陕西省</v>
      </c>
      <c r="G308">
        <v>16260</v>
      </c>
      <c r="H308" t="s">
        <v>3047</v>
      </c>
      <c r="I308" t="s">
        <v>3045</v>
      </c>
      <c r="J308">
        <f>VLOOKUP(F308,[1]!china_towns_second__2[[Column1]:[Y]],3,FALSE)</f>
        <v>33.959627474695097</v>
      </c>
      <c r="K308">
        <f>VLOOKUP(F308,[1]!china_towns_second__2[[Column1]:[Y]],2,FALSE)</f>
        <v>106.6824192</v>
      </c>
      <c r="L308" t="s">
        <v>4432</v>
      </c>
      <c r="M308" t="str">
        <f>VLOOKUP(H308,CHOOSE({1,2},Table11[Native],Table11[Name]),2,0)</f>
        <v>Fèng Xiàn</v>
      </c>
      <c r="N308" s="13" t="str">
        <f>VLOOKUP(I308,CHOOSE({1,2},Table11[Native],Table11[Name]),2,0)</f>
        <v>Băojī Shì</v>
      </c>
      <c r="O308" s="13" t="str">
        <f t="shared" si="18"/>
        <v>Fengzhou Zhen (Băojī Shì)</v>
      </c>
      <c r="P308" s="13" t="str">
        <f t="shared" si="19"/>
        <v>Fengzhou Zhen (Băojī Shì)</v>
      </c>
    </row>
    <row r="309" spans="1:16" hidden="1" x14ac:dyDescent="0.25">
      <c r="A309" t="s">
        <v>2387</v>
      </c>
      <c r="B309" t="str">
        <f t="shared" si="16"/>
        <v>Féngzhuāng Xiāng</v>
      </c>
      <c r="C309" t="str">
        <f t="shared" si="17"/>
        <v>Féngzhuāng Xiāng</v>
      </c>
      <c r="D309" t="s">
        <v>2388</v>
      </c>
      <c r="E309" t="s">
        <v>11</v>
      </c>
      <c r="F309" t="str">
        <f>_xlfn.CONCAT(D309,", ",H309,", ",I309,", ","陕西省")</f>
        <v>冯庄乡, 宝塔区, 延安市, 陕西省</v>
      </c>
      <c r="G309">
        <v>10135</v>
      </c>
      <c r="H309" t="s">
        <v>3135</v>
      </c>
      <c r="I309" t="s">
        <v>3133</v>
      </c>
      <c r="J309" t="e">
        <f>VLOOKUP(F309,[1]!china_towns_second__2[[Column1]:[Y]],3,FALSE)</f>
        <v>#N/A</v>
      </c>
      <c r="K309" t="e">
        <f>VLOOKUP(F309,[1]!china_towns_second__2[[Column1]:[Y]],2,FALSE)</f>
        <v>#N/A</v>
      </c>
      <c r="L309" t="s">
        <v>4433</v>
      </c>
      <c r="M309" t="str">
        <f>VLOOKUP(H309,CHOOSE({1,2},Table11[Native],Table11[Name]),2,0)</f>
        <v>Băotă Qū</v>
      </c>
      <c r="N309" s="13" t="str">
        <f>VLOOKUP(I309,CHOOSE({1,2},Table11[Native],Table11[Name]),2,0)</f>
        <v>Yán'ān Shì</v>
      </c>
      <c r="O309" s="13" t="str">
        <f t="shared" si="18"/>
        <v>Fengzhuang Xiang (Yán'ān Shì)</v>
      </c>
      <c r="P309" s="13" t="str">
        <f t="shared" si="19"/>
        <v>Fengzhuang Xiang (Yán'ān Shì)</v>
      </c>
    </row>
    <row r="310" spans="1:16" x14ac:dyDescent="0.25">
      <c r="A310" t="s">
        <v>713</v>
      </c>
      <c r="B310" t="str">
        <f t="shared" si="16"/>
        <v>Fúchéng Zhèn</v>
      </c>
      <c r="C310" t="str">
        <f t="shared" si="17"/>
        <v>Fúchéng Zhèn</v>
      </c>
      <c r="D310" t="s">
        <v>714</v>
      </c>
      <c r="E310" t="s">
        <v>7</v>
      </c>
      <c r="F310" t="str">
        <f>_xlfn.CONCAT(D310,", ",H310,", ",I310,", ","陕西省")</f>
        <v>福成镇, 南郑区, 汉中市, 陕西省</v>
      </c>
      <c r="G310">
        <v>4077</v>
      </c>
      <c r="H310" t="s">
        <v>3066</v>
      </c>
      <c r="I310" t="s">
        <v>3059</v>
      </c>
      <c r="J310">
        <f>VLOOKUP(F310,[1]!china_towns_second__2[[Column1]:[Y]],3,FALSE)</f>
        <v>32.5297004358411</v>
      </c>
      <c r="K310">
        <f>VLOOKUP(F310,[1]!china_towns_second__2[[Column1]:[Y]],2,FALSE)</f>
        <v>107.2722108</v>
      </c>
      <c r="L310" t="s">
        <v>4434</v>
      </c>
      <c r="M310" t="str">
        <f>VLOOKUP(H310,CHOOSE({1,2},Table11[Native],Table11[Name]),2,0)</f>
        <v>Nánzhèng Qū</v>
      </c>
      <c r="N310" s="13" t="str">
        <f>VLOOKUP(I310,CHOOSE({1,2},Table11[Native],Table11[Name]),2,0)</f>
        <v>Hànzhōng Shì</v>
      </c>
      <c r="O310" s="13" t="str">
        <f t="shared" si="18"/>
        <v>Fucheng Zhen (Hànzhōng Shì)</v>
      </c>
      <c r="P310" s="13" t="str">
        <f t="shared" si="19"/>
        <v>Fucheng Zhen (Hànzhōng Shì)</v>
      </c>
    </row>
    <row r="311" spans="1:16" x14ac:dyDescent="0.25">
      <c r="A311" t="s">
        <v>2389</v>
      </c>
      <c r="B311" t="str">
        <f t="shared" si="16"/>
        <v>Fùchéng Zhèn</v>
      </c>
      <c r="C311" t="str">
        <f t="shared" si="17"/>
        <v>Fùchéng Zhèn</v>
      </c>
      <c r="D311" t="s">
        <v>2390</v>
      </c>
      <c r="E311" t="s">
        <v>7</v>
      </c>
      <c r="F311" t="str">
        <f>_xlfn.CONCAT(D311,", ",H311,", ",I311,", ","陕西省")</f>
        <v>富城镇, 富县, 延安市, 陕西省</v>
      </c>
      <c r="G311">
        <v>39593</v>
      </c>
      <c r="H311" t="s">
        <v>3136</v>
      </c>
      <c r="I311" t="s">
        <v>3133</v>
      </c>
      <c r="J311">
        <f>VLOOKUP(F311,[1]!china_towns_second__2[[Column1]:[Y]],3,FALSE)</f>
        <v>36.0045316</v>
      </c>
      <c r="K311">
        <f>VLOOKUP(F311,[1]!china_towns_second__2[[Column1]:[Y]],2,FALSE)</f>
        <v>109.3804339</v>
      </c>
      <c r="L311" t="s">
        <v>4434</v>
      </c>
      <c r="M311" t="str">
        <f>VLOOKUP(H311,CHOOSE({1,2},Table11[Native],Table11[Name]),2,0)</f>
        <v>Fù Xiàn</v>
      </c>
      <c r="N311" s="13" t="str">
        <f>VLOOKUP(I311,CHOOSE({1,2},Table11[Native],Table11[Name]),2,0)</f>
        <v>Yán'ān Shì</v>
      </c>
      <c r="O311" s="13" t="str">
        <f t="shared" si="18"/>
        <v>Fucheng Zhen (Yán'ān Shì)</v>
      </c>
      <c r="P311" s="13" t="str">
        <f t="shared" si="19"/>
        <v>Fucheng Zhen (Yán'ān Shì)</v>
      </c>
    </row>
    <row r="312" spans="1:16" hidden="1" x14ac:dyDescent="0.25">
      <c r="A312" t="s">
        <v>715</v>
      </c>
      <c r="B312" t="str">
        <f t="shared" si="16"/>
        <v>Fùchuān Zhèn</v>
      </c>
      <c r="C312" t="str">
        <f t="shared" si="17"/>
        <v>Fùchuān Zhèn</v>
      </c>
      <c r="D312" t="s">
        <v>716</v>
      </c>
      <c r="E312" t="s">
        <v>7</v>
      </c>
      <c r="F312" t="str">
        <f>_xlfn.CONCAT(D312,", ",H312,", ",I312,", ","陕西省")</f>
        <v>阜川镇, 勉县, 汉中市, 陕西省</v>
      </c>
      <c r="G312">
        <v>10145</v>
      </c>
      <c r="H312" t="s">
        <v>3065</v>
      </c>
      <c r="I312" t="s">
        <v>3059</v>
      </c>
      <c r="J312">
        <f>VLOOKUP(F312,[1]!china_towns_second__2[[Column1]:[Y]],3,FALSE)</f>
        <v>32.970663217419897</v>
      </c>
      <c r="K312">
        <f>VLOOKUP(F312,[1]!china_towns_second__2[[Column1]:[Y]],2,FALSE)</f>
        <v>106.67858579999999</v>
      </c>
      <c r="L312" t="s">
        <v>4435</v>
      </c>
      <c r="M312" t="str">
        <f>VLOOKUP(H312,CHOOSE({1,2},Table11[Native],Table11[Name]),2,0)</f>
        <v>Miăn Xiàn</v>
      </c>
      <c r="N312" s="13" t="str">
        <f>VLOOKUP(I312,CHOOSE({1,2},Table11[Native],Table11[Name]),2,0)</f>
        <v>Hànzhōng Shì</v>
      </c>
      <c r="O312" s="13" t="str">
        <f t="shared" si="18"/>
        <v>Fuchuan Zhen (Hànzhōng Shì)</v>
      </c>
      <c r="P312" s="13" t="str">
        <f t="shared" si="19"/>
        <v>Fuchuan Zhen (Hànzhōng Shì)</v>
      </c>
    </row>
    <row r="313" spans="1:16" hidden="1" x14ac:dyDescent="0.25">
      <c r="A313" t="s">
        <v>2704</v>
      </c>
      <c r="B313" t="str">
        <f t="shared" si="16"/>
        <v>Fŭgŭ Zhèn</v>
      </c>
      <c r="C313" t="str">
        <f t="shared" si="17"/>
        <v>Fŭgŭ Zhèn</v>
      </c>
      <c r="D313" t="s">
        <v>2705</v>
      </c>
      <c r="E313" t="s">
        <v>7</v>
      </c>
      <c r="F313" t="str">
        <f>_xlfn.CONCAT(D313,", ",H313,", ",I313,", ","陕西省")</f>
        <v>府谷镇, 府谷县, 榆林市, 陕西省</v>
      </c>
      <c r="G313">
        <v>119394</v>
      </c>
      <c r="H313" t="s">
        <v>3150</v>
      </c>
      <c r="I313" t="s">
        <v>3148</v>
      </c>
      <c r="J313">
        <f>VLOOKUP(F313,[1]!china_towns_second__2[[Column1]:[Y]],3,FALSE)</f>
        <v>39.006108213699498</v>
      </c>
      <c r="K313">
        <f>VLOOKUP(F313,[1]!china_towns_second__2[[Column1]:[Y]],2,FALSE)</f>
        <v>110.9784399</v>
      </c>
      <c r="L313" t="s">
        <v>4436</v>
      </c>
      <c r="M313" t="str">
        <f>VLOOKUP(H313,CHOOSE({1,2},Table11[Native],Table11[Name]),2,0)</f>
        <v>Fŭgŭ Xiàn</v>
      </c>
      <c r="N313" s="13" t="str">
        <f>VLOOKUP(I313,CHOOSE({1,2},Table11[Native],Table11[Name]),2,0)</f>
        <v>Yúlín Shì</v>
      </c>
      <c r="O313" s="13" t="str">
        <f t="shared" si="18"/>
        <v>Fugu Zhen (Yúlín Shì)</v>
      </c>
      <c r="P313" s="13" t="str">
        <f t="shared" si="19"/>
        <v>Fugu Zhen (Yúlín Shì)</v>
      </c>
    </row>
    <row r="314" spans="1:16" hidden="1" x14ac:dyDescent="0.25">
      <c r="A314" t="s">
        <v>2056</v>
      </c>
      <c r="B314" t="str">
        <f t="shared" si="16"/>
        <v>Fùrén Zhèn [incl. Xīnjiāzhài Zhèn]</v>
      </c>
      <c r="C314" t="str">
        <f t="shared" si="17"/>
        <v>Fùrén Zhèn [incl. Xīnjiāzhài Zhèn]</v>
      </c>
      <c r="D314" t="s">
        <v>2057</v>
      </c>
      <c r="E314" t="s">
        <v>7</v>
      </c>
      <c r="F314" t="str">
        <f>_xlfn.CONCAT(D314,", ",H314,", ",I314,", ","陕西省")</f>
        <v>富仁镇, 周至县, 西安市, 陕西省</v>
      </c>
      <c r="G314">
        <v>38855</v>
      </c>
      <c r="H314" t="s">
        <v>3115</v>
      </c>
      <c r="I314" t="s">
        <v>3102</v>
      </c>
      <c r="J314">
        <f>VLOOKUP(F314,[1]!china_towns_second__2[[Column1]:[Y]],3,FALSE)</f>
        <v>34.191098295647699</v>
      </c>
      <c r="K314">
        <f>VLOOKUP(F314,[1]!china_towns_second__2[[Column1]:[Y]],2,FALSE)</f>
        <v>108.3330788</v>
      </c>
      <c r="L314" t="s">
        <v>4437</v>
      </c>
      <c r="M314" t="str">
        <f>VLOOKUP(H314,CHOOSE({1,2},Table11[Native],Table11[Name]),2,0)</f>
        <v>Zhōuzhì Xiàn</v>
      </c>
      <c r="N314" s="13" t="str">
        <f>VLOOKUP(I314,CHOOSE({1,2},Table11[Native],Table11[Name]),2,0)</f>
        <v>Xī'ān Shì</v>
      </c>
      <c r="O314" s="13" t="str">
        <f t="shared" si="18"/>
        <v>Furen Zhen [incl. Xinjiazhai Zhen] (Xī'ān Shì)</v>
      </c>
      <c r="P314" s="13" t="str">
        <f t="shared" si="19"/>
        <v>Furen Zhen [incl. Xinjiazhai Zhen] (Xī'ān Shì)</v>
      </c>
    </row>
    <row r="315" spans="1:16" hidden="1" x14ac:dyDescent="0.25">
      <c r="A315" t="s">
        <v>1087</v>
      </c>
      <c r="B315" t="str">
        <f t="shared" si="16"/>
        <v>Fùshuĭ Zhèn</v>
      </c>
      <c r="C315" t="str">
        <f t="shared" si="17"/>
        <v>Fùshuĭ Zhèn</v>
      </c>
      <c r="D315" t="s">
        <v>1088</v>
      </c>
      <c r="E315" t="s">
        <v>7</v>
      </c>
      <c r="F315" t="str">
        <f>_xlfn.CONCAT(D315,", ",H315,", ",I315,", ","陕西省")</f>
        <v>富水镇, 商南县, 商洛市, 陕西省</v>
      </c>
      <c r="G315">
        <v>21753</v>
      </c>
      <c r="H315" t="s">
        <v>3075</v>
      </c>
      <c r="I315" t="s">
        <v>3072</v>
      </c>
      <c r="J315">
        <f>VLOOKUP(F315,[1]!china_towns_second__2[[Column1]:[Y]],3,FALSE)</f>
        <v>33.509569258452103</v>
      </c>
      <c r="K315">
        <f>VLOOKUP(F315,[1]!china_towns_second__2[[Column1]:[Y]],2,FALSE)</f>
        <v>110.9631509</v>
      </c>
      <c r="L315" t="s">
        <v>4438</v>
      </c>
      <c r="M315" t="str">
        <f>VLOOKUP(H315,CHOOSE({1,2},Table11[Native],Table11[Name]),2,0)</f>
        <v>Shāngnán Xiàn</v>
      </c>
      <c r="N315" s="13" t="str">
        <f>VLOOKUP(I315,CHOOSE({1,2},Table11[Native],Table11[Name]),2,0)</f>
        <v>Shāngluò Shì</v>
      </c>
      <c r="O315" s="13" t="str">
        <f t="shared" si="18"/>
        <v>Fushui Zhen (Shāngluò Shì)</v>
      </c>
      <c r="P315" s="13" t="str">
        <f t="shared" si="19"/>
        <v>Fushui Zhen (Shāngluò Shì)</v>
      </c>
    </row>
    <row r="316" spans="1:16" hidden="1" x14ac:dyDescent="0.25">
      <c r="A316" t="s">
        <v>1775</v>
      </c>
      <c r="B316" t="str">
        <f t="shared" si="16"/>
        <v>Fùzhài Zhèn [incl. Tiánfù Xiāng]</v>
      </c>
      <c r="C316" t="str">
        <f t="shared" si="17"/>
        <v>Fùzhài Zhèn [incl. Tiánfù Xiāng]</v>
      </c>
      <c r="D316" t="s">
        <v>1776</v>
      </c>
      <c r="E316" t="s">
        <v>7</v>
      </c>
      <c r="F316" t="str">
        <f>_xlfn.CONCAT(D316,", ",H316,", ",I316,", ","陕西省")</f>
        <v>阜寨镇, 兴平市, 咸阳市, 陕西省</v>
      </c>
      <c r="G316">
        <v>40299</v>
      </c>
      <c r="H316" t="s">
        <v>3128</v>
      </c>
      <c r="I316" t="s">
        <v>3117</v>
      </c>
      <c r="J316">
        <f>VLOOKUP(F316,[1]!china_towns_second__2[[Column1]:[Y]],3,FALSE)</f>
        <v>34.258010490390198</v>
      </c>
      <c r="K316">
        <f>VLOOKUP(F316,[1]!china_towns_second__2[[Column1]:[Y]],2,FALSE)</f>
        <v>108.5523669</v>
      </c>
      <c r="L316" t="s">
        <v>4439</v>
      </c>
      <c r="M316" t="str">
        <f>VLOOKUP(H316,CHOOSE({1,2},Table11[Native],Table11[Name]),2,0)</f>
        <v>Xīngpíng Shì</v>
      </c>
      <c r="N316" s="13" t="str">
        <f>VLOOKUP(I316,CHOOSE({1,2},Table11[Native],Table11[Name]),2,0)</f>
        <v>Xiányáng Shì</v>
      </c>
      <c r="O316" s="13" t="str">
        <f t="shared" si="18"/>
        <v>Fuzhai Zhen [incl. Tianfu Xiang] (Xiányáng Shì)</v>
      </c>
      <c r="P316" s="13" t="str">
        <f t="shared" si="19"/>
        <v>Fuzhai Zhen [incl. Tianfu Xiang] (Xiányáng Shì)</v>
      </c>
    </row>
    <row r="317" spans="1:16" hidden="1" x14ac:dyDescent="0.25">
      <c r="A317" t="s">
        <v>2391</v>
      </c>
      <c r="B317" t="str">
        <f t="shared" si="16"/>
        <v>Gāngŭyì Zhèn</v>
      </c>
      <c r="C317" t="str">
        <f t="shared" si="17"/>
        <v>Gāngŭyì Zhèn</v>
      </c>
      <c r="D317" t="s">
        <v>2392</v>
      </c>
      <c r="E317" t="s">
        <v>7</v>
      </c>
      <c r="F317" t="str">
        <f>_xlfn.CONCAT(D317,", ",H317,", ",I317,", ","陕西省")</f>
        <v>甘谷驿镇, 宝塔区, 延安市, 陕西省</v>
      </c>
      <c r="G317">
        <v>9167</v>
      </c>
      <c r="H317" t="s">
        <v>3135</v>
      </c>
      <c r="I317" t="s">
        <v>3133</v>
      </c>
      <c r="J317">
        <f>VLOOKUP(F317,[1]!china_towns_second__2[[Column1]:[Y]],3,FALSE)</f>
        <v>36.761257387682797</v>
      </c>
      <c r="K317">
        <f>VLOOKUP(F317,[1]!china_towns_second__2[[Column1]:[Y]],2,FALSE)</f>
        <v>109.82174329999999</v>
      </c>
      <c r="L317" t="s">
        <v>4440</v>
      </c>
      <c r="M317" t="str">
        <f>VLOOKUP(H317,CHOOSE({1,2},Table11[Native],Table11[Name]),2,0)</f>
        <v>Băotă Qū</v>
      </c>
      <c r="N317" s="13" t="str">
        <f>VLOOKUP(I317,CHOOSE({1,2},Table11[Native],Table11[Name]),2,0)</f>
        <v>Yán'ān Shì</v>
      </c>
      <c r="O317" s="13" t="str">
        <f t="shared" si="18"/>
        <v>Ganguyi Zhen (Yán'ān Shì)</v>
      </c>
      <c r="P317" s="13" t="str">
        <f t="shared" si="19"/>
        <v>Ganguyi Zhen (Yán'ān Shì)</v>
      </c>
    </row>
    <row r="318" spans="1:16" hidden="1" x14ac:dyDescent="0.25">
      <c r="A318" t="s">
        <v>2058</v>
      </c>
      <c r="B318" t="str">
        <f t="shared" si="16"/>
        <v>Gānhé Zhèn</v>
      </c>
      <c r="C318" t="str">
        <f t="shared" si="17"/>
        <v>Gānhé Zhèn</v>
      </c>
      <c r="D318" t="s">
        <v>2059</v>
      </c>
      <c r="E318" t="s">
        <v>7</v>
      </c>
      <c r="F318" t="str">
        <f>_xlfn.CONCAT(D318,", ",H318,", ",I318,", ","陕西省")</f>
        <v>甘河镇, 鄠邑区, 西安市, 陕西省</v>
      </c>
      <c r="G318">
        <v>27354</v>
      </c>
      <c r="H318" t="s">
        <v>3107</v>
      </c>
      <c r="I318" t="s">
        <v>3102</v>
      </c>
      <c r="J318">
        <f>VLOOKUP(F318,[1]!china_towns_second__2[[Column1]:[Y]],3,FALSE)</f>
        <v>34.160467920847204</v>
      </c>
      <c r="K318">
        <f>VLOOKUP(F318,[1]!china_towns_second__2[[Column1]:[Y]],2,FALSE)</f>
        <v>108.5114384</v>
      </c>
      <c r="L318" t="s">
        <v>4441</v>
      </c>
      <c r="M318" t="str">
        <f>VLOOKUP(H318,CHOOSE({1,2},Table11[Native],Table11[Name]),2,0)</f>
        <v>Hùyì Qū</v>
      </c>
      <c r="N318" s="13" t="str">
        <f>VLOOKUP(I318,CHOOSE({1,2},Table11[Native],Table11[Name]),2,0)</f>
        <v>Xī'ān Shì</v>
      </c>
      <c r="O318" s="13" t="str">
        <f t="shared" si="18"/>
        <v>Ganhe Zhen (Xī'ān Shì)</v>
      </c>
      <c r="P318" s="13" t="str">
        <f t="shared" si="19"/>
        <v>Ganhe Zhen (Xī'ān Shì)</v>
      </c>
    </row>
    <row r="319" spans="1:16" hidden="1" x14ac:dyDescent="0.25">
      <c r="A319" t="s">
        <v>1449</v>
      </c>
      <c r="B319" t="str">
        <f t="shared" si="16"/>
        <v>Gānjĭng Zhèn (Wèinán Shì)</v>
      </c>
      <c r="C319" t="str">
        <f t="shared" si="17"/>
        <v>Gānjĭng Zhèn (Wèinán Shì)</v>
      </c>
      <c r="D319" t="s">
        <v>1450</v>
      </c>
      <c r="E319" t="s">
        <v>7</v>
      </c>
      <c r="F319" t="str">
        <f>_xlfn.CONCAT(D319,", ",H319,", ",I319,", ","陕西省")</f>
        <v>甘井镇, 合阳县, 渭南市, 陕西省</v>
      </c>
      <c r="G319">
        <v>26224</v>
      </c>
      <c r="H319" t="s">
        <v>3094</v>
      </c>
      <c r="I319" t="s">
        <v>3087</v>
      </c>
      <c r="J319">
        <f>VLOOKUP(F319,[1]!china_towns_second__2[[Column1]:[Y]],3,FALSE)</f>
        <v>35.338387954370504</v>
      </c>
      <c r="K319">
        <f>VLOOKUP(F319,[1]!china_towns_second__2[[Column1]:[Y]],2,FALSE)</f>
        <v>110.1030731</v>
      </c>
      <c r="L319" t="s">
        <v>4442</v>
      </c>
      <c r="M319" t="str">
        <f>VLOOKUP(H319,CHOOSE({1,2},Table11[Native],Table11[Name]),2,0)</f>
        <v>Héyáng Xiàn</v>
      </c>
      <c r="N319" s="13" t="str">
        <f>VLOOKUP(I319,CHOOSE({1,2},Table11[Native],Table11[Name]),2,0)</f>
        <v>Wèinán Shì</v>
      </c>
      <c r="O319" s="13" t="str">
        <f t="shared" si="18"/>
        <v>Ganjing Zhen (Weinan Shi) (Wèinán Shì)</v>
      </c>
      <c r="P319" s="13" t="str">
        <f t="shared" si="19"/>
        <v>Ganjing Zhen (Weinan Shi) (Wèinán Shì)</v>
      </c>
    </row>
    <row r="320" spans="1:16" hidden="1" x14ac:dyDescent="0.25">
      <c r="A320" t="s">
        <v>1449</v>
      </c>
      <c r="B320" t="str">
        <f t="shared" si="16"/>
        <v>Gānjĭng Zhèn (Xiányáng Shì)</v>
      </c>
      <c r="C320" t="str">
        <f t="shared" si="17"/>
        <v>Gānjĭng Zhèn (Xiányáng Shì)</v>
      </c>
      <c r="D320" t="s">
        <v>1450</v>
      </c>
      <c r="E320" t="s">
        <v>7</v>
      </c>
      <c r="F320" t="str">
        <f>_xlfn.CONCAT(D320,", ",H320,", ",I320,", ","陕西省")</f>
        <v>甘井镇, 永寿县, 咸阳市, 陕西省</v>
      </c>
      <c r="G320">
        <v>15539</v>
      </c>
      <c r="H320" t="s">
        <v>3131</v>
      </c>
      <c r="I320" t="s">
        <v>3117</v>
      </c>
      <c r="J320">
        <f>VLOOKUP(F320,[1]!china_towns_second__2[[Column1]:[Y]],3,FALSE)</f>
        <v>34.726681946247503</v>
      </c>
      <c r="K320">
        <f>VLOOKUP(F320,[1]!china_towns_second__2[[Column1]:[Y]],2,FALSE)</f>
        <v>108.04142349999999</v>
      </c>
      <c r="L320" t="s">
        <v>4443</v>
      </c>
      <c r="M320" t="str">
        <f>VLOOKUP(H320,CHOOSE({1,2},Table11[Native],Table11[Name]),2,0)</f>
        <v>Yŏngshòu Xiàn</v>
      </c>
      <c r="N320" s="13" t="str">
        <f>VLOOKUP(I320,CHOOSE({1,2},Table11[Native],Table11[Name]),2,0)</f>
        <v>Xiányáng Shì</v>
      </c>
      <c r="O320" s="13" t="str">
        <f t="shared" si="18"/>
        <v>Ganjing Zhen (Xianyang Shi) (Xiányáng Shì)</v>
      </c>
      <c r="P320" s="13" t="str">
        <f t="shared" si="19"/>
        <v>Ganjing Zhen (Xianyang Shi) (Xiányáng Shì)</v>
      </c>
    </row>
    <row r="321" spans="1:16" hidden="1" x14ac:dyDescent="0.25">
      <c r="A321" t="s">
        <v>2060</v>
      </c>
      <c r="B321" t="str">
        <f t="shared" si="16"/>
        <v>Gāntíng Jiēdào</v>
      </c>
      <c r="C321" t="str">
        <f t="shared" si="17"/>
        <v>Gāntíng Jiēdào</v>
      </c>
      <c r="D321" t="s">
        <v>2061</v>
      </c>
      <c r="E321" t="s">
        <v>113</v>
      </c>
      <c r="F321" t="str">
        <f>_xlfn.CONCAT(D321,", ",H321,", ",I321,", ","陕西省")</f>
        <v>甘亭街道, 鄠邑区, 西安市, 陕西省</v>
      </c>
      <c r="G321">
        <v>103106</v>
      </c>
      <c r="H321" t="s">
        <v>3107</v>
      </c>
      <c r="I321" t="s">
        <v>3102</v>
      </c>
      <c r="J321" t="e">
        <f>VLOOKUP(F321,[1]!china_towns_second__2[[Column1]:[Y]],3,FALSE)</f>
        <v>#N/A</v>
      </c>
      <c r="K321" t="e">
        <f>VLOOKUP(F321,[1]!china_towns_second__2[[Column1]:[Y]],2,FALSE)</f>
        <v>#N/A</v>
      </c>
      <c r="L321" t="s">
        <v>4444</v>
      </c>
      <c r="M321" t="str">
        <f>VLOOKUP(H321,CHOOSE({1,2},Table11[Native],Table11[Name]),2,0)</f>
        <v>Hùyì Qū</v>
      </c>
      <c r="N321" s="13" t="str">
        <f>VLOOKUP(I321,CHOOSE({1,2},Table11[Native],Table11[Name]),2,0)</f>
        <v>Xī'ān Shì</v>
      </c>
      <c r="O321" s="13" t="str">
        <f t="shared" si="18"/>
        <v>Ganting Jiedao (Xī'ān Shì)</v>
      </c>
      <c r="P321" s="13" t="str">
        <f t="shared" si="19"/>
        <v>Ganting Jiedao (Xī'ān Shì)</v>
      </c>
    </row>
    <row r="322" spans="1:16" hidden="1" x14ac:dyDescent="0.25">
      <c r="A322" t="s">
        <v>59</v>
      </c>
      <c r="B322" t="str">
        <f t="shared" ref="B322:B385" si="20">IF(COUNTIF(A:A,A322)&gt;1,_xlfn.CONCAT(A322," (",N322,")"),A322)</f>
        <v>Gānxī Zhèn</v>
      </c>
      <c r="C322" t="str">
        <f t="shared" ref="C322:C385" si="21">IF(COUNTIF(B:B,B322)&gt;1,_xlfn.CONCAT(A322," (",M322,")"),B322)</f>
        <v>Gānxī Zhèn</v>
      </c>
      <c r="D322" t="s">
        <v>60</v>
      </c>
      <c r="E322" t="s">
        <v>7</v>
      </c>
      <c r="F322" t="str">
        <f>_xlfn.CONCAT(D322,", ",H322,", ",I322,", ","陕西省")</f>
        <v>甘溪镇, 旬阳县, 安康市, 陕西省</v>
      </c>
      <c r="G322">
        <v>16106</v>
      </c>
      <c r="H322" t="s">
        <v>3041</v>
      </c>
      <c r="I322" t="s">
        <v>3031</v>
      </c>
      <c r="J322">
        <f>VLOOKUP(F322,[1]!china_towns_second__2[[Column1]:[Y]],3,FALSE)</f>
        <v>32.911832599568903</v>
      </c>
      <c r="K322">
        <f>VLOOKUP(F322,[1]!china_towns_second__2[[Column1]:[Y]],2,FALSE)</f>
        <v>109.2436282</v>
      </c>
      <c r="L322" t="s">
        <v>4445</v>
      </c>
      <c r="M322" t="str">
        <f>VLOOKUP(H322,CHOOSE({1,2},Table11[Native],Table11[Name]),2,0)</f>
        <v>Xúnyáng Xiàn</v>
      </c>
      <c r="N322" s="13" t="str">
        <f>VLOOKUP(I322,CHOOSE({1,2},Table11[Native],Table11[Name]),2,0)</f>
        <v>Ānkāng Shì</v>
      </c>
      <c r="O322" s="13" t="str">
        <f t="shared" ref="O322:O385" si="22">_xlfn.CONCAT(L322," (",N322,")")</f>
        <v>Ganxi Zhen (Ānkāng Shì)</v>
      </c>
      <c r="P322" s="13" t="str">
        <f t="shared" ref="P322:P385" si="23">IF(COUNTIF(O:O,O322)&gt;1,_xlfn.CONCAT(L322," (",M322,")"),O322)</f>
        <v>Ganxi Zhen (Ānkāng Shì)</v>
      </c>
    </row>
    <row r="323" spans="1:16" hidden="1" x14ac:dyDescent="0.25">
      <c r="A323" t="s">
        <v>2716</v>
      </c>
      <c r="B323" t="str">
        <f t="shared" si="20"/>
        <v>Gāo Zhèn</v>
      </c>
      <c r="C323" t="str">
        <f t="shared" si="21"/>
        <v>Gāo Zhèn</v>
      </c>
      <c r="D323" t="s">
        <v>2717</v>
      </c>
      <c r="E323" t="s">
        <v>7</v>
      </c>
      <c r="F323" t="str">
        <f>_xlfn.CONCAT(D323,", ",H323,", ",I323,", ","陕西省")</f>
        <v>高镇, 横山区, 榆林市, 陕西省</v>
      </c>
      <c r="G323">
        <v>17828</v>
      </c>
      <c r="H323" t="s">
        <v>3151</v>
      </c>
      <c r="I323" t="s">
        <v>3148</v>
      </c>
      <c r="J323">
        <f>VLOOKUP(F323,[1]!china_towns_second__2[[Column1]:[Y]],3,FALSE)</f>
        <v>37.66272861849</v>
      </c>
      <c r="K323">
        <f>VLOOKUP(F323,[1]!china_towns_second__2[[Column1]:[Y]],2,FALSE)</f>
        <v>109.52389530000001</v>
      </c>
      <c r="L323" t="s">
        <v>4446</v>
      </c>
      <c r="M323" t="str">
        <f>VLOOKUP(H323,CHOOSE({1,2},Table11[Native],Table11[Name]),2,0)</f>
        <v>Héngshān Qū</v>
      </c>
      <c r="N323" s="13" t="str">
        <f>VLOOKUP(I323,CHOOSE({1,2},Table11[Native],Table11[Name]),2,0)</f>
        <v>Yúlín Shì</v>
      </c>
      <c r="O323" s="13" t="str">
        <f t="shared" si="22"/>
        <v>Gao Zhen (Yúlín Shì)</v>
      </c>
      <c r="P323" s="13" t="str">
        <f t="shared" si="23"/>
        <v>Gao Zhen (Yúlín Shì)</v>
      </c>
    </row>
    <row r="324" spans="1:16" hidden="1" x14ac:dyDescent="0.25">
      <c r="A324" t="s">
        <v>1089</v>
      </c>
      <c r="B324" t="str">
        <f t="shared" si="20"/>
        <v>Gāobàdiàn Zhèn [incl. Shēnjiādié]</v>
      </c>
      <c r="C324" t="str">
        <f t="shared" si="21"/>
        <v>Gāobàdiàn Zhèn [incl. Shēnjiādié]</v>
      </c>
      <c r="D324" t="s">
        <v>1090</v>
      </c>
      <c r="E324" t="s">
        <v>7</v>
      </c>
      <c r="F324" t="str">
        <f>_xlfn.CONCAT(D324,", ",H324,", ",I324,", ","陕西省")</f>
        <v>高坝店镇, 山阳县, 商洛市, 陕西省</v>
      </c>
      <c r="G324">
        <v>38703</v>
      </c>
      <c r="H324" t="s">
        <v>3077</v>
      </c>
      <c r="I324" t="s">
        <v>3072</v>
      </c>
      <c r="J324">
        <f>VLOOKUP(F324,[1]!china_towns_second__2[[Column1]:[Y]],3,FALSE)</f>
        <v>33.493568696874902</v>
      </c>
      <c r="K324">
        <f>VLOOKUP(F324,[1]!china_towns_second__2[[Column1]:[Y]],2,FALSE)</f>
        <v>110.0546117</v>
      </c>
      <c r="L324" t="s">
        <v>4447</v>
      </c>
      <c r="M324" t="str">
        <f>VLOOKUP(H324,CHOOSE({1,2},Table11[Native],Table11[Name]),2,0)</f>
        <v>Shānyáng Xiàn</v>
      </c>
      <c r="N324" s="13" t="str">
        <f>VLOOKUP(I324,CHOOSE({1,2},Table11[Native],Table11[Name]),2,0)</f>
        <v>Shāngluò Shì</v>
      </c>
      <c r="O324" s="13" t="str">
        <f t="shared" si="22"/>
        <v>Gaobadian Zhen [incl. Shenjiadie] (Shāngluò Shì)</v>
      </c>
      <c r="P324" s="13" t="str">
        <f t="shared" si="23"/>
        <v>Gaobadian Zhen [incl. Shenjiadie] (Shāngluò Shì)</v>
      </c>
    </row>
    <row r="325" spans="1:16" hidden="1" x14ac:dyDescent="0.25">
      <c r="A325" t="s">
        <v>2393</v>
      </c>
      <c r="B325" t="str">
        <f t="shared" si="20"/>
        <v>Gāobǎi Xiāng</v>
      </c>
      <c r="C325" t="str">
        <f t="shared" si="21"/>
        <v>Gāobǎi Xiāng</v>
      </c>
      <c r="D325" t="s">
        <v>2394</v>
      </c>
      <c r="E325" t="s">
        <v>11</v>
      </c>
      <c r="F325" t="str">
        <f>_xlfn.CONCAT(D325,", ",H325,", ",I325,", ","陕西省")</f>
        <v>高柏乡, 宜川县, 延安市, 陕西省</v>
      </c>
      <c r="G325">
        <v>4186</v>
      </c>
      <c r="H325" t="s">
        <v>3144</v>
      </c>
      <c r="I325" t="s">
        <v>3133</v>
      </c>
      <c r="J325" t="e">
        <f>VLOOKUP(F325,[1]!china_towns_second__2[[Column1]:[Y]],3,FALSE)</f>
        <v>#N/A</v>
      </c>
      <c r="K325" t="e">
        <f>VLOOKUP(F325,[1]!china_towns_second__2[[Column1]:[Y]],2,FALSE)</f>
        <v>#N/A</v>
      </c>
      <c r="L325" t="s">
        <v>4448</v>
      </c>
      <c r="M325" t="str">
        <f>VLOOKUP(H325,CHOOSE({1,2},Table11[Native],Table11[Name]),2,0)</f>
        <v>Yíchuān Xiàn</v>
      </c>
      <c r="N325" s="13" t="str">
        <f>VLOOKUP(I325,CHOOSE({1,2},Table11[Native],Table11[Name]),2,0)</f>
        <v>Yán'ān Shì</v>
      </c>
      <c r="O325" s="13" t="str">
        <f t="shared" si="22"/>
        <v>Gaobai Xiang (Yán'ān Shì)</v>
      </c>
      <c r="P325" s="13" t="str">
        <f t="shared" si="23"/>
        <v>Gaobai Xiang (Yán'ān Shì)</v>
      </c>
    </row>
    <row r="326" spans="1:16" hidden="1" x14ac:dyDescent="0.25">
      <c r="A326" t="s">
        <v>717</v>
      </c>
      <c r="B326" t="str">
        <f t="shared" si="20"/>
        <v>Gāochuān Zhèn [incl. Wŭlĭbà Zhèn]</v>
      </c>
      <c r="C326" t="str">
        <f t="shared" si="21"/>
        <v>Gāochuān Zhèn [incl. Wŭlĭbà Zhèn]</v>
      </c>
      <c r="D326" t="s">
        <v>718</v>
      </c>
      <c r="E326" t="s">
        <v>7</v>
      </c>
      <c r="F326" t="str">
        <f>_xlfn.CONCAT(D326,", ",H326,", ",I326,", ","陕西省")</f>
        <v>高川镇, 西乡县, 汉中市, 陕西省</v>
      </c>
      <c r="G326">
        <v>21071</v>
      </c>
      <c r="H326" t="s">
        <v>3068</v>
      </c>
      <c r="I326" t="s">
        <v>3059</v>
      </c>
      <c r="J326">
        <f>VLOOKUP(F326,[1]!china_towns_second__2[[Column1]:[Y]],3,FALSE)</f>
        <v>32.8372514432724</v>
      </c>
      <c r="K326">
        <f>VLOOKUP(F326,[1]!china_towns_second__2[[Column1]:[Y]],2,FALSE)</f>
        <v>108.0493633</v>
      </c>
      <c r="L326" t="s">
        <v>4449</v>
      </c>
      <c r="M326" t="str">
        <f>VLOOKUP(H326,CHOOSE({1,2},Table11[Native],Table11[Name]),2,0)</f>
        <v>Xīxiāng Xiàn</v>
      </c>
      <c r="N326" s="13" t="str">
        <f>VLOOKUP(I326,CHOOSE({1,2},Table11[Native],Table11[Name]),2,0)</f>
        <v>Hànzhōng Shì</v>
      </c>
      <c r="O326" s="13" t="str">
        <f t="shared" si="22"/>
        <v>Gaochuan Zhen [incl. Wuliba Zhen] (Hànzhōng Shì)</v>
      </c>
      <c r="P326" s="13" t="str">
        <f t="shared" si="23"/>
        <v>Gaochuan Zhen [incl. Wuliba Zhen] (Hànzhōng Shì)</v>
      </c>
    </row>
    <row r="327" spans="1:16" hidden="1" x14ac:dyDescent="0.25">
      <c r="A327" t="s">
        <v>1091</v>
      </c>
      <c r="B327" t="str">
        <f t="shared" si="20"/>
        <v>Gāofēng Zhèn [incl. Zhāngjiā Xiāng]</v>
      </c>
      <c r="C327" t="str">
        <f t="shared" si="21"/>
        <v>Gāofēng Zhèn [incl. Zhāngjiā Xiāng]</v>
      </c>
      <c r="D327" t="s">
        <v>1092</v>
      </c>
      <c r="E327" t="s">
        <v>7</v>
      </c>
      <c r="F327" t="str">
        <f>_xlfn.CONCAT(D327,", ",H327,", ",I327,", ","陕西省")</f>
        <v>高峰镇, 镇安县, 商洛市, 陕西省</v>
      </c>
      <c r="G327">
        <v>17707</v>
      </c>
      <c r="H327" t="s">
        <v>3079</v>
      </c>
      <c r="I327" t="s">
        <v>3072</v>
      </c>
      <c r="J327">
        <f>VLOOKUP(F327,[1]!china_towns_second__2[[Column1]:[Y]],3,FALSE)</f>
        <v>33.308412502241097</v>
      </c>
      <c r="K327">
        <f>VLOOKUP(F327,[1]!china_towns_second__2[[Column1]:[Y]],2,FALSE)</f>
        <v>109.2574891</v>
      </c>
      <c r="L327" t="s">
        <v>4450</v>
      </c>
      <c r="M327" t="str">
        <f>VLOOKUP(H327,CHOOSE({1,2},Table11[Native],Table11[Name]),2,0)</f>
        <v>Zhèn'ān Xiàn</v>
      </c>
      <c r="N327" s="13" t="str">
        <f>VLOOKUP(I327,CHOOSE({1,2},Table11[Native],Table11[Name]),2,0)</f>
        <v>Shāngluò Shì</v>
      </c>
      <c r="O327" s="13" t="str">
        <f t="shared" si="22"/>
        <v>Gaofeng Zhen [incl. Zhangjia Xiang] (Shāngluò Shì)</v>
      </c>
      <c r="P327" s="13" t="str">
        <f t="shared" si="23"/>
        <v>Gaofeng Zhen [incl. Zhangjia Xiang] (Shāngluò Shì)</v>
      </c>
    </row>
    <row r="328" spans="1:16" hidden="1" x14ac:dyDescent="0.25">
      <c r="A328" t="s">
        <v>410</v>
      </c>
      <c r="B328" t="str">
        <f t="shared" si="20"/>
        <v>Gāojiā Zhèn [incl. Cháoyù Xiāng]</v>
      </c>
      <c r="C328" t="str">
        <f t="shared" si="21"/>
        <v>Gāojiā Zhèn [incl. Cháoyù Xiāng]</v>
      </c>
      <c r="D328" t="s">
        <v>411</v>
      </c>
      <c r="E328" t="s">
        <v>7</v>
      </c>
      <c r="F328" t="str">
        <f>_xlfn.CONCAT(D328,", ",H328,", ",I328,", ","陕西省")</f>
        <v>高家镇, 渭滨区, 宝鸡市, 陕西省</v>
      </c>
      <c r="G328">
        <v>31118</v>
      </c>
      <c r="H328" t="s">
        <v>3057</v>
      </c>
      <c r="I328" t="s">
        <v>3045</v>
      </c>
      <c r="J328">
        <f>VLOOKUP(F328,[1]!china_towns_second__2[[Column1]:[Y]],3,FALSE)</f>
        <v>34.359852503883197</v>
      </c>
      <c r="K328">
        <f>VLOOKUP(F328,[1]!china_towns_second__2[[Column1]:[Y]],2,FALSE)</f>
        <v>106.9824102</v>
      </c>
      <c r="L328" t="s">
        <v>4451</v>
      </c>
      <c r="M328" t="str">
        <f>VLOOKUP(H328,CHOOSE({1,2},Table11[Native],Table11[Name]),2,0)</f>
        <v>Wèibīn Qū</v>
      </c>
      <c r="N328" s="13" t="str">
        <f>VLOOKUP(I328,CHOOSE({1,2},Table11[Native],Table11[Name]),2,0)</f>
        <v>Băojī Shì</v>
      </c>
      <c r="O328" s="13" t="str">
        <f t="shared" si="22"/>
        <v>Gaojia Zhen [incl. Chaoyu Xiang] (Băojī Shì)</v>
      </c>
      <c r="P328" s="13" t="str">
        <f t="shared" si="23"/>
        <v>Gaojia Zhen [incl. Chaoyu Xiang] (Băojī Shì)</v>
      </c>
    </row>
    <row r="329" spans="1:16" hidden="1" x14ac:dyDescent="0.25">
      <c r="A329" t="s">
        <v>2706</v>
      </c>
      <c r="B329" t="str">
        <f t="shared" si="20"/>
        <v>Gāojiābăo Zhèn [incl. Qiáochàtān Xiāng]</v>
      </c>
      <c r="C329" t="str">
        <f t="shared" si="21"/>
        <v>Gāojiābăo Zhèn [incl. Qiáochàtān Xiāng]</v>
      </c>
      <c r="D329" t="s">
        <v>2707</v>
      </c>
      <c r="E329" t="s">
        <v>7</v>
      </c>
      <c r="F329" t="str">
        <f>_xlfn.CONCAT(D329,", ",H329,", ",I329,", ","陕西省")</f>
        <v>高家堡镇, 神木市, 榆林市, 陕西省</v>
      </c>
      <c r="G329">
        <v>13851</v>
      </c>
      <c r="H329" t="s">
        <v>3156</v>
      </c>
      <c r="I329" t="s">
        <v>3148</v>
      </c>
      <c r="J329">
        <f>VLOOKUP(F329,[1]!china_towns_second__2[[Column1]:[Y]],3,FALSE)</f>
        <v>38.577076217034197</v>
      </c>
      <c r="K329">
        <f>VLOOKUP(F329,[1]!china_towns_second__2[[Column1]:[Y]],2,FALSE)</f>
        <v>110.3056579</v>
      </c>
      <c r="L329" t="s">
        <v>4452</v>
      </c>
      <c r="M329" t="str">
        <f>VLOOKUP(H329,CHOOSE({1,2},Table11[Native],Table11[Name]),2,0)</f>
        <v>Shénmù Shì</v>
      </c>
      <c r="N329" s="13" t="str">
        <f>VLOOKUP(I329,CHOOSE({1,2},Table11[Native],Table11[Name]),2,0)</f>
        <v>Yúlín Shì</v>
      </c>
      <c r="O329" s="13" t="str">
        <f t="shared" si="22"/>
        <v>Gaojiabao Zhen [incl. Qiaochatan Xiang] (Yúlín Shì)</v>
      </c>
      <c r="P329" s="13" t="str">
        <f t="shared" si="23"/>
        <v>Gaojiabao Zhen [incl. Qiaochatan Xiang] (Yúlín Shì)</v>
      </c>
    </row>
    <row r="330" spans="1:16" hidden="1" x14ac:dyDescent="0.25">
      <c r="A330" t="s">
        <v>2708</v>
      </c>
      <c r="B330" t="str">
        <f t="shared" si="20"/>
        <v>Gāojiāgōu Xiāng</v>
      </c>
      <c r="C330" t="str">
        <f t="shared" si="21"/>
        <v>Gāojiāgōu Xiāng</v>
      </c>
      <c r="D330" t="s">
        <v>2709</v>
      </c>
      <c r="E330" t="s">
        <v>11</v>
      </c>
      <c r="F330" t="str">
        <f>_xlfn.CONCAT(D330,", ",H330,", ",I330,", ","陕西省")</f>
        <v>高家沟乡, 靖边县, 榆林市, 陕西省</v>
      </c>
      <c r="G330">
        <v>2750</v>
      </c>
      <c r="H330" t="s">
        <v>3153</v>
      </c>
      <c r="I330" t="s">
        <v>3148</v>
      </c>
      <c r="J330" t="e">
        <f>VLOOKUP(F330,[1]!china_towns_second__2[[Column1]:[Y]],3,FALSE)</f>
        <v>#N/A</v>
      </c>
      <c r="K330" t="e">
        <f>VLOOKUP(F330,[1]!china_towns_second__2[[Column1]:[Y]],2,FALSE)</f>
        <v>#N/A</v>
      </c>
      <c r="L330" t="s">
        <v>4453</v>
      </c>
      <c r="M330" t="str">
        <f>VLOOKUP(H330,CHOOSE({1,2},Table11[Native],Table11[Name]),2,0)</f>
        <v>Jìngbiān Xiàn</v>
      </c>
      <c r="N330" s="13" t="str">
        <f>VLOOKUP(I330,CHOOSE({1,2},Table11[Native],Table11[Name]),2,0)</f>
        <v>Yúlín Shì</v>
      </c>
      <c r="O330" s="13" t="str">
        <f t="shared" si="22"/>
        <v>Gaojiagou Xiang (Yúlín Shì)</v>
      </c>
      <c r="P330" s="13" t="str">
        <f t="shared" si="23"/>
        <v>Gaojiagou Xiang (Yúlín Shì)</v>
      </c>
    </row>
    <row r="331" spans="1:16" hidden="1" x14ac:dyDescent="0.25">
      <c r="A331" t="s">
        <v>2710</v>
      </c>
      <c r="B331" t="str">
        <f t="shared" si="20"/>
        <v>Gāojiāpíng Xiāng</v>
      </c>
      <c r="C331" t="str">
        <f t="shared" si="21"/>
        <v>Gāojiāpíng Xiāng</v>
      </c>
      <c r="D331" t="s">
        <v>2711</v>
      </c>
      <c r="E331" t="s">
        <v>11</v>
      </c>
      <c r="F331" t="str">
        <f>_xlfn.CONCAT(D331,", ",H331,", ",I331,", ","陕西省")</f>
        <v>高家坪乡, 子洲县, 榆林市, 陕西省</v>
      </c>
      <c r="G331">
        <v>4208</v>
      </c>
      <c r="H331" t="s">
        <v>3160</v>
      </c>
      <c r="I331" t="s">
        <v>3148</v>
      </c>
      <c r="J331" t="e">
        <f>VLOOKUP(F331,[1]!china_towns_second__2[[Column1]:[Y]],3,FALSE)</f>
        <v>#N/A</v>
      </c>
      <c r="K331" t="e">
        <f>VLOOKUP(F331,[1]!china_towns_second__2[[Column1]:[Y]],2,FALSE)</f>
        <v>#N/A</v>
      </c>
      <c r="L331" t="s">
        <v>4454</v>
      </c>
      <c r="M331" t="str">
        <f>VLOOKUP(H331,CHOOSE({1,2},Table11[Native],Table11[Name]),2,0)</f>
        <v>Zizhōu Xiàn</v>
      </c>
      <c r="N331" s="13" t="str">
        <f>VLOOKUP(I331,CHOOSE({1,2},Table11[Native],Table11[Name]),2,0)</f>
        <v>Yúlín Shì</v>
      </c>
      <c r="O331" s="13" t="str">
        <f t="shared" si="22"/>
        <v>Gaojiaping Xiang (Yúlín Shì)</v>
      </c>
      <c r="P331" s="13" t="str">
        <f t="shared" si="23"/>
        <v>Gaojiaping Xiang (Yúlín Shì)</v>
      </c>
    </row>
    <row r="332" spans="1:16" hidden="1" x14ac:dyDescent="0.25">
      <c r="A332" t="s">
        <v>2712</v>
      </c>
      <c r="B332" t="str">
        <f t="shared" si="20"/>
        <v>Gāojiécūn Zhèn</v>
      </c>
      <c r="C332" t="str">
        <f t="shared" si="21"/>
        <v>Gāojiécūn Zhèn</v>
      </c>
      <c r="D332" t="s">
        <v>2713</v>
      </c>
      <c r="E332" t="s">
        <v>7</v>
      </c>
      <c r="F332" t="str">
        <f>_xlfn.CONCAT(D332,", ",H332,", ",I332,", ","陕西省")</f>
        <v>高杰村镇, 清涧县, 榆林市, 陕西省</v>
      </c>
      <c r="G332">
        <v>7611</v>
      </c>
      <c r="H332" t="s">
        <v>3155</v>
      </c>
      <c r="I332" t="s">
        <v>3148</v>
      </c>
      <c r="J332">
        <f>VLOOKUP(F332,[1]!china_towns_second__2[[Column1]:[Y]],3,FALSE)</f>
        <v>37.1226523930832</v>
      </c>
      <c r="K332">
        <f>VLOOKUP(F332,[1]!china_towns_second__2[[Column1]:[Y]],2,FALSE)</f>
        <v>110.4666945</v>
      </c>
      <c r="L332" t="s">
        <v>4455</v>
      </c>
      <c r="M332" t="str">
        <f>VLOOKUP(H332,CHOOSE({1,2},Table11[Native],Table11[Name]),2,0)</f>
        <v>Qīngjiàn Xiàn</v>
      </c>
      <c r="N332" s="13" t="str">
        <f>VLOOKUP(I332,CHOOSE({1,2},Table11[Native],Table11[Name]),2,0)</f>
        <v>Yúlín Shì</v>
      </c>
      <c r="O332" s="13" t="str">
        <f t="shared" si="22"/>
        <v>Gaojiecun Zhen (Yúlín Shì)</v>
      </c>
      <c r="P332" s="13" t="str">
        <f t="shared" si="23"/>
        <v>Gaojiecun Zhen (Yúlín Shì)</v>
      </c>
    </row>
    <row r="333" spans="1:16" hidden="1" x14ac:dyDescent="0.25">
      <c r="A333" t="s">
        <v>412</v>
      </c>
      <c r="B333" t="str">
        <f t="shared" si="20"/>
        <v>Gāolóng Xiāng</v>
      </c>
      <c r="C333" t="str">
        <f t="shared" si="21"/>
        <v>Gāolóng Xiāng</v>
      </c>
      <c r="D333" t="s">
        <v>413</v>
      </c>
      <c r="E333" t="s">
        <v>11</v>
      </c>
      <c r="F333" t="str">
        <f>_xlfn.CONCAT(D333,", ",H333,", ",I333,", ","陕西省")</f>
        <v>高龙乡, 太白县, 宝鸡市, 陕西省</v>
      </c>
      <c r="G333">
        <v>2144</v>
      </c>
      <c r="H333" t="s">
        <v>3056</v>
      </c>
      <c r="I333" t="s">
        <v>3045</v>
      </c>
      <c r="J333" t="e">
        <f>VLOOKUP(F333,[1]!china_towns_second__2[[Column1]:[Y]],3,FALSE)</f>
        <v>#N/A</v>
      </c>
      <c r="K333" t="e">
        <f>VLOOKUP(F333,[1]!china_towns_second__2[[Column1]:[Y]],2,FALSE)</f>
        <v>#N/A</v>
      </c>
      <c r="L333" t="s">
        <v>4456</v>
      </c>
      <c r="M333" t="str">
        <f>VLOOKUP(H333,CHOOSE({1,2},Table11[Native],Table11[Name]),2,0)</f>
        <v>Tàibái Xiàn</v>
      </c>
      <c r="N333" s="13" t="str">
        <f>VLOOKUP(I333,CHOOSE({1,2},Table11[Native],Table11[Name]),2,0)</f>
        <v>Băojī Shì</v>
      </c>
      <c r="O333" s="13" t="str">
        <f t="shared" si="22"/>
        <v>Gaolong Xiang (Băojī Shì)</v>
      </c>
      <c r="P333" s="13" t="str">
        <f t="shared" si="23"/>
        <v>Gaolong Xiang (Băojī Shì)</v>
      </c>
    </row>
    <row r="334" spans="1:16" hidden="1" x14ac:dyDescent="0.25">
      <c r="A334" t="s">
        <v>2062</v>
      </c>
      <c r="B334" t="str">
        <f t="shared" si="20"/>
        <v>Gāoqiáo Jiēdào</v>
      </c>
      <c r="C334" t="str">
        <f t="shared" si="21"/>
        <v>Gāoqiáo Jiēdào</v>
      </c>
      <c r="D334" t="s">
        <v>2063</v>
      </c>
      <c r="E334" t="s">
        <v>113</v>
      </c>
      <c r="F334" t="str">
        <f>_xlfn.CONCAT(D334,", ",H334,", ",I334,", ","陕西省")</f>
        <v>高桥街道, 西咸新区, 西安市, 陕西省</v>
      </c>
      <c r="G334">
        <v>26386</v>
      </c>
      <c r="H334" t="s">
        <v>3167</v>
      </c>
      <c r="I334" t="s">
        <v>3102</v>
      </c>
      <c r="J334" t="e">
        <f>VLOOKUP(F334,[1]!china_towns_second__2[[Column1]:[Y]],3,FALSE)</f>
        <v>#N/A</v>
      </c>
      <c r="K334" t="e">
        <f>VLOOKUP(F334,[1]!china_towns_second__2[[Column1]:[Y]],2,FALSE)</f>
        <v>#N/A</v>
      </c>
      <c r="L334" t="s">
        <v>4457</v>
      </c>
      <c r="M334" t="str">
        <f>VLOOKUP(H334,CHOOSE({1,2},Table11[Native],Table11[Name]),2,0)</f>
        <v>Xīxián Xīnqū</v>
      </c>
      <c r="N334" s="13" t="str">
        <f>VLOOKUP(I334,CHOOSE({1,2},Table11[Native],Table11[Name]),2,0)</f>
        <v>Xī'ān Shì</v>
      </c>
      <c r="O334" s="13" t="str">
        <f t="shared" si="22"/>
        <v>Gaoqiao Jiedao (Xī'ān Shì)</v>
      </c>
      <c r="P334" s="13" t="str">
        <f t="shared" si="23"/>
        <v>Gaoqiao Jiedao (Xī'ān Shì)</v>
      </c>
    </row>
    <row r="335" spans="1:16" hidden="1" x14ac:dyDescent="0.25">
      <c r="A335" t="s">
        <v>1451</v>
      </c>
      <c r="B335" t="str">
        <f t="shared" si="20"/>
        <v>Gāoqiáo Xiāng</v>
      </c>
      <c r="C335" t="str">
        <f t="shared" si="21"/>
        <v>Gāoqiáo Xiāng</v>
      </c>
      <c r="D335" t="s">
        <v>1452</v>
      </c>
      <c r="E335" t="s">
        <v>11</v>
      </c>
      <c r="F335" t="str">
        <f>_xlfn.CONCAT(D335,", ",H335,", ",I335,", ","陕西省")</f>
        <v>高桥乡, 潼关县, 渭南市, 陕西省</v>
      </c>
      <c r="G335">
        <v>14662</v>
      </c>
      <c r="H335" t="s">
        <v>3099</v>
      </c>
      <c r="I335" t="s">
        <v>3087</v>
      </c>
      <c r="J335" t="e">
        <f>VLOOKUP(F335,[1]!china_towns_second__2[[Column1]:[Y]],3,FALSE)</f>
        <v>#N/A</v>
      </c>
      <c r="K335" t="e">
        <f>VLOOKUP(F335,[1]!china_towns_second__2[[Column1]:[Y]],2,FALSE)</f>
        <v>#N/A</v>
      </c>
      <c r="L335" t="s">
        <v>4458</v>
      </c>
      <c r="M335" t="str">
        <f>VLOOKUP(H335,CHOOSE({1,2},Table11[Native],Table11[Name]),2,0)</f>
        <v>Tóngguān Xiàn</v>
      </c>
      <c r="N335" s="13" t="str">
        <f>VLOOKUP(I335,CHOOSE({1,2},Table11[Native],Table11[Name]),2,0)</f>
        <v>Wèinán Shì</v>
      </c>
      <c r="O335" s="13" t="str">
        <f t="shared" si="22"/>
        <v>Gaoqiao Xiang (Wèinán Shì)</v>
      </c>
      <c r="P335" s="13" t="str">
        <f t="shared" si="23"/>
        <v>Gaoqiao Xiang (Wèinán Shì)</v>
      </c>
    </row>
    <row r="336" spans="1:16" hidden="1" x14ac:dyDescent="0.25">
      <c r="A336" t="s">
        <v>61</v>
      </c>
      <c r="B336" t="str">
        <f t="shared" si="20"/>
        <v>Gāoqiáo Zhèn (Ānkāng Shì)</v>
      </c>
      <c r="C336" t="str">
        <f t="shared" si="21"/>
        <v>Gāoqiáo Zhèn (Ānkāng Shì)</v>
      </c>
      <c r="D336" t="s">
        <v>62</v>
      </c>
      <c r="E336" t="s">
        <v>7</v>
      </c>
      <c r="F336" t="str">
        <f>_xlfn.CONCAT(D336,", ",H336,", ",I336,", ","陕西省")</f>
        <v>高桥镇, 紫阳县, 安康市, 陕西省</v>
      </c>
      <c r="G336">
        <v>18493</v>
      </c>
      <c r="H336" t="s">
        <v>3043</v>
      </c>
      <c r="I336" t="s">
        <v>3031</v>
      </c>
      <c r="J336">
        <f>VLOOKUP(F336,[1]!china_towns_second__2[[Column1]:[Y]],3,FALSE)</f>
        <v>32.376880933171101</v>
      </c>
      <c r="K336">
        <f>VLOOKUP(F336,[1]!china_towns_second__2[[Column1]:[Y]],2,FALSE)</f>
        <v>108.4376242</v>
      </c>
      <c r="L336" t="s">
        <v>4459</v>
      </c>
      <c r="M336" t="str">
        <f>VLOOKUP(H336,CHOOSE({1,2},Table11[Native],Table11[Name]),2,0)</f>
        <v>Zĭyáng Xiàn</v>
      </c>
      <c r="N336" s="13" t="str">
        <f>VLOOKUP(I336,CHOOSE({1,2},Table11[Native],Table11[Name]),2,0)</f>
        <v>Ānkāng Shì</v>
      </c>
      <c r="O336" s="13" t="str">
        <f t="shared" si="22"/>
        <v>Gaoqiao Zhen (Ankang Shi) (Ānkāng Shì)</v>
      </c>
      <c r="P336" s="13" t="str">
        <f t="shared" si="23"/>
        <v>Gaoqiao Zhen (Ankang Shi) (Ānkāng Shì)</v>
      </c>
    </row>
    <row r="337" spans="1:16" hidden="1" x14ac:dyDescent="0.25">
      <c r="A337" t="s">
        <v>61</v>
      </c>
      <c r="B337" t="str">
        <f t="shared" si="20"/>
        <v>Gāoqiáo Zhèn (Yán'ān Shì)</v>
      </c>
      <c r="C337" t="str">
        <f t="shared" si="21"/>
        <v>Gāoqiáo Zhèn (Yán'ān Shì)</v>
      </c>
      <c r="D337" t="s">
        <v>62</v>
      </c>
      <c r="E337" t="s">
        <v>7</v>
      </c>
      <c r="F337" t="str">
        <f>_xlfn.CONCAT(D337,", ",H337,", ",I337,", ","陕西省")</f>
        <v>高桥镇, 安塞区, 延安市, 陕西省</v>
      </c>
      <c r="G337">
        <v>6623</v>
      </c>
      <c r="H337" t="s">
        <v>3134</v>
      </c>
      <c r="I337" t="s">
        <v>3133</v>
      </c>
      <c r="J337">
        <f>VLOOKUP(F337,[1]!china_towns_second__2[[Column1]:[Y]],3,FALSE)</f>
        <v>36.605716457479801</v>
      </c>
      <c r="K337">
        <f>VLOOKUP(F337,[1]!china_towns_second__2[[Column1]:[Y]],2,FALSE)</f>
        <v>109.2069966</v>
      </c>
      <c r="L337" t="s">
        <v>4460</v>
      </c>
      <c r="M337" t="str">
        <f>VLOOKUP(H337,CHOOSE({1,2},Table11[Native],Table11[Name]),2,0)</f>
        <v>Ānsài Qū</v>
      </c>
      <c r="N337" s="13" t="str">
        <f>VLOOKUP(I337,CHOOSE({1,2},Table11[Native],Table11[Name]),2,0)</f>
        <v>Yán'ān Shì</v>
      </c>
      <c r="O337" s="13" t="str">
        <f t="shared" si="22"/>
        <v>Gaoqiao Zhen (Yan'an Shi) (Yán'ān Shì)</v>
      </c>
      <c r="P337" s="13" t="str">
        <f t="shared" si="23"/>
        <v>Gaoqiao Zhen (Yan'an Shi) (Yán'ān Shì)</v>
      </c>
    </row>
    <row r="338" spans="1:16" hidden="1" x14ac:dyDescent="0.25">
      <c r="A338" t="s">
        <v>2714</v>
      </c>
      <c r="B338" t="str">
        <f t="shared" si="20"/>
        <v>Gāoqú Xiāng</v>
      </c>
      <c r="C338" t="str">
        <f t="shared" si="21"/>
        <v>Gāoqú Xiāng</v>
      </c>
      <c r="D338" t="s">
        <v>2715</v>
      </c>
      <c r="E338" t="s">
        <v>11</v>
      </c>
      <c r="F338" t="str">
        <f>_xlfn.CONCAT(D338,", ",H338,", ",I338,", ","陕西省")</f>
        <v>高渠乡, 米脂县, 榆林市, 陕西省</v>
      </c>
      <c r="G338">
        <v>4939</v>
      </c>
      <c r="H338" t="s">
        <v>3154</v>
      </c>
      <c r="I338" t="s">
        <v>3148</v>
      </c>
      <c r="J338" t="e">
        <f>VLOOKUP(F338,[1]!china_towns_second__2[[Column1]:[Y]],3,FALSE)</f>
        <v>#N/A</v>
      </c>
      <c r="K338" t="e">
        <f>VLOOKUP(F338,[1]!china_towns_second__2[[Column1]:[Y]],2,FALSE)</f>
        <v>#N/A</v>
      </c>
      <c r="L338" t="s">
        <v>4461</v>
      </c>
      <c r="M338" t="str">
        <f>VLOOKUP(H338,CHOOSE({1,2},Table11[Native],Table11[Name]),2,0)</f>
        <v>Mĭzhī Xiàn</v>
      </c>
      <c r="N338" s="13" t="str">
        <f>VLOOKUP(I338,CHOOSE({1,2},Table11[Native],Table11[Name]),2,0)</f>
        <v>Yúlín Shì</v>
      </c>
      <c r="O338" s="13" t="str">
        <f t="shared" si="22"/>
        <v>Gaoqu Xiang (Yúlín Shì)</v>
      </c>
      <c r="P338" s="13" t="str">
        <f t="shared" si="23"/>
        <v>Gaoqu Xiang (Yúlín Shì)</v>
      </c>
    </row>
    <row r="339" spans="1:16" hidden="1" x14ac:dyDescent="0.25">
      <c r="A339" t="s">
        <v>2396</v>
      </c>
      <c r="B339" t="str">
        <f t="shared" si="20"/>
        <v>Gāoshào Xiāng</v>
      </c>
      <c r="C339" t="str">
        <f t="shared" si="21"/>
        <v>Gāoshào Xiāng</v>
      </c>
      <c r="D339" t="s">
        <v>2397</v>
      </c>
      <c r="E339" t="s">
        <v>11</v>
      </c>
      <c r="F339" t="str">
        <f>_xlfn.CONCAT(D339,", ",H339,", ",I339,", ","陕西省")</f>
        <v>高哨乡, 甘泉县, 延安市, 陕西省</v>
      </c>
      <c r="G339">
        <v>3569</v>
      </c>
      <c r="H339" t="s">
        <v>3137</v>
      </c>
      <c r="I339" t="s">
        <v>3133</v>
      </c>
      <c r="J339" t="e">
        <f>VLOOKUP(F339,[1]!china_towns_second__2[[Column1]:[Y]],3,FALSE)</f>
        <v>#N/A</v>
      </c>
      <c r="K339" t="e">
        <f>VLOOKUP(F339,[1]!china_towns_second__2[[Column1]:[Y]],2,FALSE)</f>
        <v>#N/A</v>
      </c>
      <c r="L339" t="s">
        <v>4462</v>
      </c>
      <c r="M339" t="str">
        <f>VLOOKUP(H339,CHOOSE({1,2},Table11[Native],Table11[Name]),2,0)</f>
        <v>Gānquán Xiàn</v>
      </c>
      <c r="N339" s="13" t="str">
        <f>VLOOKUP(I339,CHOOSE({1,2},Table11[Native],Table11[Name]),2,0)</f>
        <v>Yán'ān Shì</v>
      </c>
      <c r="O339" s="13" t="str">
        <f t="shared" si="22"/>
        <v>Gaoshao Xiang (Yán'ān Shì)</v>
      </c>
      <c r="P339" s="13" t="str">
        <f t="shared" si="23"/>
        <v>Gaoshao Xiang (Yán'ān Shì)</v>
      </c>
    </row>
    <row r="340" spans="1:16" hidden="1" x14ac:dyDescent="0.25">
      <c r="A340" t="s">
        <v>719</v>
      </c>
      <c r="B340" t="str">
        <f t="shared" si="20"/>
        <v>Gāotái Zhèn</v>
      </c>
      <c r="C340" t="str">
        <f t="shared" si="21"/>
        <v>Gāotái Zhèn</v>
      </c>
      <c r="D340" t="s">
        <v>720</v>
      </c>
      <c r="E340" t="s">
        <v>7</v>
      </c>
      <c r="F340" t="str">
        <f>_xlfn.CONCAT(D340,", ",H340,", ",I340,", ","陕西省")</f>
        <v>高台镇, 南郑区, 汉中市, 陕西省</v>
      </c>
      <c r="G340">
        <v>21101</v>
      </c>
      <c r="H340" t="s">
        <v>3066</v>
      </c>
      <c r="I340" t="s">
        <v>3059</v>
      </c>
      <c r="J340">
        <f>VLOOKUP(F340,[1]!china_towns_second__2[[Column1]:[Y]],3,FALSE)</f>
        <v>33.052695618260202</v>
      </c>
      <c r="K340">
        <f>VLOOKUP(F340,[1]!china_towns_second__2[[Column1]:[Y]],2,FALSE)</f>
        <v>106.841477</v>
      </c>
      <c r="L340" t="s">
        <v>4463</v>
      </c>
      <c r="M340" t="str">
        <f>VLOOKUP(H340,CHOOSE({1,2},Table11[Native],Table11[Name]),2,0)</f>
        <v>Nánzhèng Qū</v>
      </c>
      <c r="N340" s="13" t="str">
        <f>VLOOKUP(I340,CHOOSE({1,2},Table11[Native],Table11[Name]),2,0)</f>
        <v>Hànzhōng Shì</v>
      </c>
      <c r="O340" s="13" t="str">
        <f t="shared" si="22"/>
        <v>Gaotai Zhen (Hànzhōng Shì)</v>
      </c>
      <c r="P340" s="13" t="str">
        <f t="shared" si="23"/>
        <v>Gaotai Zhen (Hànzhōng Shì)</v>
      </c>
    </row>
    <row r="341" spans="1:16" hidden="1" x14ac:dyDescent="0.25">
      <c r="A341" t="s">
        <v>63</v>
      </c>
      <c r="B341" t="str">
        <f t="shared" si="20"/>
        <v>Gāotān Zhèn [incl. Guăngchéng Xiāng, Răoxī Xiāng]</v>
      </c>
      <c r="C341" t="str">
        <f t="shared" si="21"/>
        <v>Gāotān Zhèn [incl. Guăngchéng Xiāng, Răoxī Xiāng]</v>
      </c>
      <c r="D341" t="s">
        <v>64</v>
      </c>
      <c r="E341" t="s">
        <v>7</v>
      </c>
      <c r="F341" t="str">
        <f>_xlfn.CONCAT(D341,", ",H341,", ",I341,", ","陕西省")</f>
        <v>高滩镇, 紫阳县, 安康市, 陕西省</v>
      </c>
      <c r="G341">
        <v>28149</v>
      </c>
      <c r="H341" t="s">
        <v>3043</v>
      </c>
      <c r="I341" t="s">
        <v>3031</v>
      </c>
      <c r="J341">
        <f>VLOOKUP(F341,[1]!china_towns_second__2[[Column1]:[Y]],3,FALSE)</f>
        <v>32.408421311103403</v>
      </c>
      <c r="K341">
        <f>VLOOKUP(F341,[1]!china_towns_second__2[[Column1]:[Y]],2,FALSE)</f>
        <v>108.2752967</v>
      </c>
      <c r="L341" t="s">
        <v>4464</v>
      </c>
      <c r="M341" t="str">
        <f>VLOOKUP(H341,CHOOSE({1,2},Table11[Native],Table11[Name]),2,0)</f>
        <v>Zĭyáng Xiàn</v>
      </c>
      <c r="N341" s="13" t="str">
        <f>VLOOKUP(I341,CHOOSE({1,2},Table11[Native],Table11[Name]),2,0)</f>
        <v>Ānkāng Shì</v>
      </c>
      <c r="O341" s="13" t="str">
        <f t="shared" si="22"/>
        <v>Gaotan Zhen [incl. Guangcheng Xiang, Raoxi Xiang] (Ānkāng Shì)</v>
      </c>
      <c r="P341" s="13" t="str">
        <f t="shared" si="23"/>
        <v>Gaotan Zhen [incl. Guangcheng Xiang, Raoxi Xiang] (Ānkāng Shì)</v>
      </c>
    </row>
    <row r="342" spans="1:16" hidden="1" x14ac:dyDescent="0.25">
      <c r="A342" t="s">
        <v>1453</v>
      </c>
      <c r="B342" t="str">
        <f t="shared" si="20"/>
        <v>Gāotáng Zhèn</v>
      </c>
      <c r="C342" t="str">
        <f t="shared" si="21"/>
        <v>Gāotáng Zhèn</v>
      </c>
      <c r="D342" t="s">
        <v>1454</v>
      </c>
      <c r="E342" t="s">
        <v>7</v>
      </c>
      <c r="F342" t="str">
        <f>_xlfn.CONCAT(D342,", ",H342,", ",I342,", ","陕西省")</f>
        <v>高塘镇, 华州区, 渭南市, 陕西省</v>
      </c>
      <c r="G342">
        <v>25467</v>
      </c>
      <c r="H342" t="s">
        <v>3096</v>
      </c>
      <c r="I342" t="s">
        <v>3087</v>
      </c>
      <c r="J342">
        <f>VLOOKUP(F342,[1]!china_towns_second__2[[Column1]:[Y]],3,FALSE)</f>
        <v>34.332169506089102</v>
      </c>
      <c r="K342">
        <f>VLOOKUP(F342,[1]!china_towns_second__2[[Column1]:[Y]],2,FALSE)</f>
        <v>109.69341129999999</v>
      </c>
      <c r="L342" t="s">
        <v>4465</v>
      </c>
      <c r="M342" t="str">
        <f>VLOOKUP(H342,CHOOSE({1,2},Table11[Native],Table11[Name]),2,0)</f>
        <v>Huázhōu Qū</v>
      </c>
      <c r="N342" s="13" t="str">
        <f>VLOOKUP(I342,CHOOSE({1,2},Table11[Native],Table11[Name]),2,0)</f>
        <v>Wèinán Shì</v>
      </c>
      <c r="O342" s="13" t="str">
        <f t="shared" si="22"/>
        <v>Gaotang Zhen (Wèinán Shì)</v>
      </c>
      <c r="P342" s="13" t="str">
        <f t="shared" si="23"/>
        <v>Gaotang Zhen (Wèinán Shì)</v>
      </c>
    </row>
    <row r="343" spans="1:16" hidden="1" x14ac:dyDescent="0.25">
      <c r="A343" t="s">
        <v>415</v>
      </c>
      <c r="B343" t="str">
        <f t="shared" si="20"/>
        <v>Gāoyá Zhèn</v>
      </c>
      <c r="C343" t="str">
        <f t="shared" si="21"/>
        <v>Gāoyá Zhèn</v>
      </c>
      <c r="D343" t="s">
        <v>416</v>
      </c>
      <c r="E343" t="s">
        <v>7</v>
      </c>
      <c r="F343" t="str">
        <f>_xlfn.CONCAT(D343,", ",H343,", ",I343,", ","陕西省")</f>
        <v>高崖镇, 千阳县, 宝鸡市, 陕西省</v>
      </c>
      <c r="G343">
        <v>4026</v>
      </c>
      <c r="H343" t="s">
        <v>3054</v>
      </c>
      <c r="I343" t="s">
        <v>3045</v>
      </c>
      <c r="J343">
        <f>VLOOKUP(F343,[1]!china_towns_second__2[[Column1]:[Y]],3,FALSE)</f>
        <v>34.850750381850702</v>
      </c>
      <c r="K343">
        <f>VLOOKUP(F343,[1]!china_towns_second__2[[Column1]:[Y]],2,FALSE)</f>
        <v>107.3000888</v>
      </c>
      <c r="L343" t="s">
        <v>4466</v>
      </c>
      <c r="M343" t="str">
        <f>VLOOKUP(H343,CHOOSE({1,2},Table11[Native],Table11[Name]),2,0)</f>
        <v>Qiānyáng Xiàn</v>
      </c>
      <c r="N343" s="13" t="str">
        <f>VLOOKUP(I343,CHOOSE({1,2},Table11[Native],Table11[Name]),2,0)</f>
        <v>Băojī Shì</v>
      </c>
      <c r="O343" s="13" t="str">
        <f t="shared" si="22"/>
        <v>Gaoya Zhen (Băojī Shì)</v>
      </c>
      <c r="P343" s="13" t="str">
        <f t="shared" si="23"/>
        <v>Gaoya Zhen (Băojī Shì)</v>
      </c>
    </row>
    <row r="344" spans="1:16" hidden="1" x14ac:dyDescent="0.25">
      <c r="A344" t="s">
        <v>1455</v>
      </c>
      <c r="B344" t="str">
        <f t="shared" si="20"/>
        <v>Gāoyáng Zhèn</v>
      </c>
      <c r="C344" t="str">
        <f t="shared" si="21"/>
        <v>Gāoyáng Zhèn</v>
      </c>
      <c r="D344" t="s">
        <v>1456</v>
      </c>
      <c r="E344" t="s">
        <v>7</v>
      </c>
      <c r="F344" t="str">
        <f>_xlfn.CONCAT(D344,", ",H344,", ",I344,", ","陕西省")</f>
        <v>高阳镇, 蒲城县, 渭南市, 陕西省</v>
      </c>
      <c r="G344">
        <v>17997</v>
      </c>
      <c r="H344" t="s">
        <v>3098</v>
      </c>
      <c r="I344" t="s">
        <v>3087</v>
      </c>
      <c r="J344">
        <f>VLOOKUP(F344,[1]!china_towns_second__2[[Column1]:[Y]],3,FALSE)</f>
        <v>35.130371026338203</v>
      </c>
      <c r="K344">
        <f>VLOOKUP(F344,[1]!china_towns_second__2[[Column1]:[Y]],2,FALSE)</f>
        <v>109.48701440000001</v>
      </c>
      <c r="L344" t="s">
        <v>4467</v>
      </c>
      <c r="M344" t="str">
        <f>VLOOKUP(H344,CHOOSE({1,2},Table11[Native],Table11[Name]),2,0)</f>
        <v>Púchéng Xiàn</v>
      </c>
      <c r="N344" s="13" t="str">
        <f>VLOOKUP(I344,CHOOSE({1,2},Table11[Native],Table11[Name]),2,0)</f>
        <v>Wèinán Shì</v>
      </c>
      <c r="O344" s="13" t="str">
        <f t="shared" si="22"/>
        <v>Gaoyang Zhen (Wèinán Shì)</v>
      </c>
      <c r="P344" s="13" t="str">
        <f t="shared" si="23"/>
        <v>Gaoyang Zhen (Wèinán Shì)</v>
      </c>
    </row>
    <row r="345" spans="1:16" hidden="1" x14ac:dyDescent="0.25">
      <c r="A345" t="s">
        <v>1093</v>
      </c>
      <c r="B345" t="str">
        <f t="shared" si="20"/>
        <v>Gāoyào Zhèn</v>
      </c>
      <c r="C345" t="str">
        <f t="shared" si="21"/>
        <v>Gāoyào Zhèn</v>
      </c>
      <c r="D345" t="s">
        <v>1094</v>
      </c>
      <c r="E345" t="s">
        <v>7</v>
      </c>
      <c r="F345" t="str">
        <f>_xlfn.CONCAT(D345,", ",H345,", ",I345,", ","陕西省")</f>
        <v>高耀镇, 洛南县, 商洛市, 陕西省</v>
      </c>
      <c r="G345">
        <v>11081</v>
      </c>
      <c r="H345" t="s">
        <v>3074</v>
      </c>
      <c r="I345" t="s">
        <v>3072</v>
      </c>
      <c r="J345">
        <f>VLOOKUP(F345,[1]!china_towns_second__2[[Column1]:[Y]],3,FALSE)</f>
        <v>33.9466014995146</v>
      </c>
      <c r="K345">
        <f>VLOOKUP(F345,[1]!china_towns_second__2[[Column1]:[Y]],2,FALSE)</f>
        <v>110.5750638</v>
      </c>
      <c r="L345" t="s">
        <v>4468</v>
      </c>
      <c r="M345" t="str">
        <f>VLOOKUP(H345,CHOOSE({1,2},Table11[Native],Table11[Name]),2,0)</f>
        <v>Luònán Xiàn</v>
      </c>
      <c r="N345" s="13" t="str">
        <f>VLOOKUP(I345,CHOOSE({1,2},Table11[Native],Table11[Name]),2,0)</f>
        <v>Shāngluò Shì</v>
      </c>
      <c r="O345" s="13" t="str">
        <f t="shared" si="22"/>
        <v>Gaoyao Zhen (Shāngluò Shì)</v>
      </c>
      <c r="P345" s="13" t="str">
        <f t="shared" si="23"/>
        <v>Gaoyao Zhen (Shāngluò Shì)</v>
      </c>
    </row>
    <row r="346" spans="1:16" hidden="1" x14ac:dyDescent="0.25">
      <c r="A346" t="s">
        <v>721</v>
      </c>
      <c r="B346" t="str">
        <f t="shared" si="20"/>
        <v>Gāozhàizi Jiēdào</v>
      </c>
      <c r="C346" t="str">
        <f t="shared" si="21"/>
        <v>Gāozhàizi Jiēdào</v>
      </c>
      <c r="D346" t="s">
        <v>722</v>
      </c>
      <c r="E346" t="s">
        <v>113</v>
      </c>
      <c r="F346" t="str">
        <f>_xlfn.CONCAT(D346,", ",H346,", ",I346,", ","陕西省")</f>
        <v>高寨子街道, 宁强县, 汉中市, 陕西省</v>
      </c>
      <c r="G346">
        <v>18395</v>
      </c>
      <c r="H346" t="s">
        <v>3067</v>
      </c>
      <c r="I346" t="s">
        <v>3059</v>
      </c>
      <c r="J346" t="e">
        <f>VLOOKUP(F346,[1]!china_towns_second__2[[Column1]:[Y]],3,FALSE)</f>
        <v>#N/A</v>
      </c>
      <c r="K346" t="e">
        <f>VLOOKUP(F346,[1]!china_towns_second__2[[Column1]:[Y]],2,FALSE)</f>
        <v>#N/A</v>
      </c>
      <c r="L346" t="s">
        <v>4469</v>
      </c>
      <c r="M346" t="str">
        <f>VLOOKUP(H346,CHOOSE({1,2},Table11[Native],Table11[Name]),2,0)</f>
        <v>Níngqiáng Xiàn</v>
      </c>
      <c r="N346" s="13" t="str">
        <f>VLOOKUP(I346,CHOOSE({1,2},Table11[Native],Table11[Name]),2,0)</f>
        <v>Hànzhōng Shì</v>
      </c>
      <c r="O346" s="13" t="str">
        <f t="shared" si="22"/>
        <v>Gaozhaizi Jiedao (Hànzhōng Shì)</v>
      </c>
      <c r="P346" s="13" t="str">
        <f t="shared" si="23"/>
        <v>Gaozhaizi Jiedao (Hànzhōng Shì)</v>
      </c>
    </row>
    <row r="347" spans="1:16" hidden="1" x14ac:dyDescent="0.25">
      <c r="A347" t="s">
        <v>2064</v>
      </c>
      <c r="B347" t="str">
        <f t="shared" si="20"/>
        <v>Gāozhuāng Zhèn</v>
      </c>
      <c r="C347" t="str">
        <f t="shared" si="21"/>
        <v>Gāozhuāng Zhèn</v>
      </c>
      <c r="D347" t="s">
        <v>2065</v>
      </c>
      <c r="E347" t="s">
        <v>7</v>
      </c>
      <c r="F347" t="str">
        <f>_xlfn.CONCAT(D347,", ",H347,", ",I347,", ","陕西省")</f>
        <v>高庄镇, 西咸新区, 西安市, 陕西省</v>
      </c>
      <c r="G347">
        <v>28915</v>
      </c>
      <c r="H347" t="s">
        <v>3167</v>
      </c>
      <c r="I347" t="s">
        <v>3102</v>
      </c>
      <c r="J347">
        <f>VLOOKUP(F347,[1]!china_towns_second__2[[Column1]:[Y]],3,FALSE)</f>
        <v>34.474369414507898</v>
      </c>
      <c r="K347">
        <f>VLOOKUP(F347,[1]!china_towns_second__2[[Column1]:[Y]],2,FALSE)</f>
        <v>108.8889137</v>
      </c>
      <c r="L347" t="s">
        <v>4470</v>
      </c>
      <c r="M347" t="str">
        <f>VLOOKUP(H347,CHOOSE({1,2},Table11[Native],Table11[Name]),2,0)</f>
        <v>Xīxián Xīnqū</v>
      </c>
      <c r="N347" s="13" t="str">
        <f>VLOOKUP(I347,CHOOSE({1,2},Table11[Native],Table11[Name]),2,0)</f>
        <v>Xī'ān Shì</v>
      </c>
      <c r="O347" s="13" t="str">
        <f t="shared" si="22"/>
        <v>Gaozhuang Zhen (Xī'ān Shì)</v>
      </c>
      <c r="P347" s="13" t="str">
        <f t="shared" si="23"/>
        <v>Gaozhuang Zhen (Xī'ān Shì)</v>
      </c>
    </row>
    <row r="348" spans="1:16" hidden="1" x14ac:dyDescent="0.25">
      <c r="A348" t="s">
        <v>2066</v>
      </c>
      <c r="B348" t="str">
        <f t="shared" si="20"/>
        <v>Gĕngzhèn Jiēdào [incl. Yúchŭ Xiāng]</v>
      </c>
      <c r="C348" t="str">
        <f t="shared" si="21"/>
        <v>Gĕngzhèn Jiēdào [incl. Yúchŭ Xiāng]</v>
      </c>
      <c r="D348" t="s">
        <v>2067</v>
      </c>
      <c r="E348" t="s">
        <v>113</v>
      </c>
      <c r="F348" t="str">
        <f>_xlfn.CONCAT(D348,", ",H348,", ",I348,", ","陕西省")</f>
        <v>耿镇街道, 高陵区, 西安市, 陕西省</v>
      </c>
      <c r="G348">
        <v>35145</v>
      </c>
      <c r="H348" t="s">
        <v>3106</v>
      </c>
      <c r="I348" t="s">
        <v>3102</v>
      </c>
      <c r="J348" t="e">
        <f>VLOOKUP(F348,[1]!china_towns_second__2[[Column1]:[Y]],3,FALSE)</f>
        <v>#N/A</v>
      </c>
      <c r="K348" t="e">
        <f>VLOOKUP(F348,[1]!china_towns_second__2[[Column1]:[Y]],2,FALSE)</f>
        <v>#N/A</v>
      </c>
      <c r="L348" t="s">
        <v>4471</v>
      </c>
      <c r="M348" t="str">
        <f>VLOOKUP(H348,CHOOSE({1,2},Table11[Native],Table11[Name]),2,0)</f>
        <v>Gāolíng Qū</v>
      </c>
      <c r="N348" s="13" t="str">
        <f>VLOOKUP(I348,CHOOSE({1,2},Table11[Native],Table11[Name]),2,0)</f>
        <v>Xī'ān Shì</v>
      </c>
      <c r="O348" s="13" t="str">
        <f t="shared" si="22"/>
        <v>Gengzhen Jiedao [incl. Yuchu Xiang] (Xī'ān Shì)</v>
      </c>
      <c r="P348" s="13" t="str">
        <f t="shared" si="23"/>
        <v>Gengzhen Jiedao [incl. Yuchu Xiang] (Xī'ān Shì)</v>
      </c>
    </row>
    <row r="349" spans="1:16" hidden="1" x14ac:dyDescent="0.25">
      <c r="A349" t="s">
        <v>2068</v>
      </c>
      <c r="B349" t="str">
        <f t="shared" si="20"/>
        <v>Gĕpái Zhèn</v>
      </c>
      <c r="C349" t="str">
        <f t="shared" si="21"/>
        <v>Gĕpái Zhèn</v>
      </c>
      <c r="D349" t="s">
        <v>2069</v>
      </c>
      <c r="E349" t="s">
        <v>7</v>
      </c>
      <c r="F349" t="str">
        <f>_xlfn.CONCAT(D349,", ",H349,", ",I349,", ","陕西省")</f>
        <v>葛牌镇, 蓝田县, 西安市, 陕西省</v>
      </c>
      <c r="G349">
        <v>11451</v>
      </c>
      <c r="H349" t="s">
        <v>3108</v>
      </c>
      <c r="I349" t="s">
        <v>3102</v>
      </c>
      <c r="J349">
        <f>VLOOKUP(F349,[1]!china_towns_second__2[[Column1]:[Y]],3,FALSE)</f>
        <v>33.931891629699798</v>
      </c>
      <c r="K349">
        <f>VLOOKUP(F349,[1]!china_towns_second__2[[Column1]:[Y]],2,FALSE)</f>
        <v>109.4969962</v>
      </c>
      <c r="L349" t="s">
        <v>4472</v>
      </c>
      <c r="M349" t="str">
        <f>VLOOKUP(H349,CHOOSE({1,2},Table11[Native],Table11[Name]),2,0)</f>
        <v>Lántián Xiàn</v>
      </c>
      <c r="N349" s="13" t="str">
        <f>VLOOKUP(I349,CHOOSE({1,2},Table11[Native],Table11[Name]),2,0)</f>
        <v>Xī'ān Shì</v>
      </c>
      <c r="O349" s="13" t="str">
        <f t="shared" si="22"/>
        <v>Gepai Zhen (Xī'ān Shì)</v>
      </c>
      <c r="P349" s="13" t="str">
        <f t="shared" si="23"/>
        <v>Gepai Zhen (Xī'ān Shì)</v>
      </c>
    </row>
    <row r="350" spans="1:16" hidden="1" x14ac:dyDescent="0.25">
      <c r="A350" t="s">
        <v>2398</v>
      </c>
      <c r="B350" t="str">
        <f t="shared" si="20"/>
        <v>Gētái Xiāng</v>
      </c>
      <c r="C350" t="str">
        <f t="shared" si="21"/>
        <v>Gētái Xiāng</v>
      </c>
      <c r="D350" t="s">
        <v>2399</v>
      </c>
      <c r="E350" t="s">
        <v>11</v>
      </c>
      <c r="F350" t="str">
        <f>_xlfn.CONCAT(D350,", ",H350,", ",I350,", ","陕西省")</f>
        <v>圪台乡, 黄龙县, 延安市, 陕西省</v>
      </c>
      <c r="G350">
        <v>1956</v>
      </c>
      <c r="H350" t="s">
        <v>3139</v>
      </c>
      <c r="I350" t="s">
        <v>3133</v>
      </c>
      <c r="J350" t="e">
        <f>VLOOKUP(F350,[1]!china_towns_second__2[[Column1]:[Y]],3,FALSE)</f>
        <v>#N/A</v>
      </c>
      <c r="K350" t="e">
        <f>VLOOKUP(F350,[1]!china_towns_second__2[[Column1]:[Y]],2,FALSE)</f>
        <v>#N/A</v>
      </c>
      <c r="L350" t="s">
        <v>4473</v>
      </c>
      <c r="M350" t="str">
        <f>VLOOKUP(H350,CHOOSE({1,2},Table11[Native],Table11[Name]),2,0)</f>
        <v>Huánglóng Xiàn</v>
      </c>
      <c r="N350" s="13" t="str">
        <f>VLOOKUP(I350,CHOOSE({1,2},Table11[Native],Table11[Name]),2,0)</f>
        <v>Yán'ān Shì</v>
      </c>
      <c r="O350" s="13" t="str">
        <f t="shared" si="22"/>
        <v>Getai Xiang (Yán'ān Shì)</v>
      </c>
      <c r="P350" s="13" t="str">
        <f t="shared" si="23"/>
        <v>Getai Xiang (Yán'ān Shì)</v>
      </c>
    </row>
    <row r="351" spans="1:16" hidden="1" x14ac:dyDescent="0.25">
      <c r="A351" t="s">
        <v>1095</v>
      </c>
      <c r="B351" t="str">
        <f t="shared" si="20"/>
        <v>Gĕtiáo Xiāng</v>
      </c>
      <c r="C351" t="str">
        <f t="shared" si="21"/>
        <v>Gĕtiáo Xiāng</v>
      </c>
      <c r="D351" t="s">
        <v>1096</v>
      </c>
      <c r="E351" t="s">
        <v>11</v>
      </c>
      <c r="F351" t="str">
        <f>_xlfn.CONCAT(D351,", ",H351,", ",I351,", ","陕西省")</f>
        <v>葛条乡, 山阳县, 商洛市, 陕西省</v>
      </c>
      <c r="G351">
        <v>4933</v>
      </c>
      <c r="H351" t="s">
        <v>3077</v>
      </c>
      <c r="I351" t="s">
        <v>3072</v>
      </c>
      <c r="J351" t="e">
        <f>VLOOKUP(F351,[1]!china_towns_second__2[[Column1]:[Y]],3,FALSE)</f>
        <v>#N/A</v>
      </c>
      <c r="K351" t="e">
        <f>VLOOKUP(F351,[1]!china_towns_second__2[[Column1]:[Y]],2,FALSE)</f>
        <v>#N/A</v>
      </c>
      <c r="L351" t="s">
        <v>4474</v>
      </c>
      <c r="M351" t="str">
        <f>VLOOKUP(H351,CHOOSE({1,2},Table11[Native],Table11[Name]),2,0)</f>
        <v>Shānyáng Xiàn</v>
      </c>
      <c r="N351" s="13" t="str">
        <f>VLOOKUP(I351,CHOOSE({1,2},Table11[Native],Table11[Name]),2,0)</f>
        <v>Shāngluò Shì</v>
      </c>
      <c r="O351" s="13" t="str">
        <f t="shared" si="22"/>
        <v>Getiao Xiang (Shāngluò Shì)</v>
      </c>
      <c r="P351" s="13" t="str">
        <f t="shared" si="23"/>
        <v>Getiao Xiang (Shāngluò Shì)</v>
      </c>
    </row>
    <row r="352" spans="1:16" hidden="1" x14ac:dyDescent="0.25">
      <c r="A352" t="s">
        <v>1457</v>
      </c>
      <c r="B352" t="str">
        <f t="shared" si="20"/>
        <v>Gōnglĭ Zhèn</v>
      </c>
      <c r="C352" t="str">
        <f t="shared" si="21"/>
        <v>Gōnglĭ Zhèn</v>
      </c>
      <c r="D352" t="s">
        <v>1458</v>
      </c>
      <c r="E352" t="s">
        <v>7</v>
      </c>
      <c r="F352" t="str">
        <f>_xlfn.CONCAT(D352,", ",H352,", ",I352,", ","陕西省")</f>
        <v>宫里镇, 富平县, 渭南市, 陕西省</v>
      </c>
      <c r="G352">
        <v>34582</v>
      </c>
      <c r="H352" t="s">
        <v>3091</v>
      </c>
      <c r="I352" t="s">
        <v>3087</v>
      </c>
      <c r="J352">
        <f>VLOOKUP(F352,[1]!china_towns_second__2[[Column1]:[Y]],3,FALSE)</f>
        <v>34.870771505232597</v>
      </c>
      <c r="K352">
        <f>VLOOKUP(F352,[1]!china_towns_second__2[[Column1]:[Y]],2,FALSE)</f>
        <v>109.15582980000001</v>
      </c>
      <c r="L352" t="s">
        <v>4475</v>
      </c>
      <c r="M352" t="str">
        <f>VLOOKUP(H352,CHOOSE({1,2},Table11[Native],Table11[Name]),2,0)</f>
        <v>Fùpíng Xiàn</v>
      </c>
      <c r="N352" s="13" t="str">
        <f>VLOOKUP(I352,CHOOSE({1,2},Table11[Native],Table11[Name]),2,0)</f>
        <v>Wèinán Shì</v>
      </c>
      <c r="O352" s="13" t="str">
        <f t="shared" si="22"/>
        <v>Gongli Zhen (Wèinán Shì)</v>
      </c>
      <c r="P352" s="13" t="str">
        <f t="shared" si="23"/>
        <v>Gongli Zhen (Wèinán Shì)</v>
      </c>
    </row>
    <row r="353" spans="1:16" hidden="1" x14ac:dyDescent="0.25">
      <c r="A353" t="s">
        <v>65</v>
      </c>
      <c r="B353" t="str">
        <f t="shared" si="20"/>
        <v>Gòubā Zhèn</v>
      </c>
      <c r="C353" t="str">
        <f t="shared" si="21"/>
        <v>Gòubā Zhèn</v>
      </c>
      <c r="D353" t="s">
        <v>66</v>
      </c>
      <c r="E353" t="s">
        <v>7</v>
      </c>
      <c r="F353" t="str">
        <f>_xlfn.CONCAT(D353,", ",H353,", ",I353,", ","陕西省")</f>
        <v>构扒镇, 白河县, 安康市, 陕西省</v>
      </c>
      <c r="G353">
        <v>8071</v>
      </c>
      <c r="H353" t="s">
        <v>3033</v>
      </c>
      <c r="I353" t="s">
        <v>3031</v>
      </c>
      <c r="J353">
        <f>VLOOKUP(F353,[1]!china_towns_second__2[[Column1]:[Y]],3,FALSE)</f>
        <v>32.720790287429701</v>
      </c>
      <c r="K353">
        <f>VLOOKUP(F353,[1]!china_towns_second__2[[Column1]:[Y]],2,FALSE)</f>
        <v>110.0453511</v>
      </c>
      <c r="L353" t="s">
        <v>4476</v>
      </c>
      <c r="M353" t="str">
        <f>VLOOKUP(H353,CHOOSE({1,2},Table11[Native],Table11[Name]),2,0)</f>
        <v>Báihé Xiàn</v>
      </c>
      <c r="N353" s="13" t="str">
        <f>VLOOKUP(I353,CHOOSE({1,2},Table11[Native],Table11[Name]),2,0)</f>
        <v>Ānkāng Shì</v>
      </c>
      <c r="O353" s="13" t="str">
        <f t="shared" si="22"/>
        <v>Gouba Zhen (Ānkāng Shì)</v>
      </c>
      <c r="P353" s="13" t="str">
        <f t="shared" si="23"/>
        <v>Gouba Zhen (Ānkāng Shì)</v>
      </c>
    </row>
    <row r="354" spans="1:16" hidden="1" x14ac:dyDescent="0.25">
      <c r="A354" t="s">
        <v>67</v>
      </c>
      <c r="B354" t="str">
        <f t="shared" si="20"/>
        <v>Gòuyuán Zhèn</v>
      </c>
      <c r="C354" t="str">
        <f t="shared" si="21"/>
        <v>Gòuyuán Zhèn</v>
      </c>
      <c r="D354" t="s">
        <v>68</v>
      </c>
      <c r="E354" t="s">
        <v>7</v>
      </c>
      <c r="F354" t="str">
        <f>_xlfn.CONCAT(D354,", ",H354,", ",I354,", ","陕西省")</f>
        <v>构元镇, 旬阳县, 安康市, 陕西省</v>
      </c>
      <c r="G354">
        <v>11462</v>
      </c>
      <c r="H354" t="s">
        <v>3041</v>
      </c>
      <c r="I354" t="s">
        <v>3031</v>
      </c>
      <c r="J354">
        <f>VLOOKUP(F354,[1]!china_towns_second__2[[Column1]:[Y]],3,FALSE)</f>
        <v>32.936034975685899</v>
      </c>
      <c r="K354">
        <f>VLOOKUP(F354,[1]!china_towns_second__2[[Column1]:[Y]],2,FALSE)</f>
        <v>109.4373411</v>
      </c>
      <c r="L354" t="s">
        <v>4477</v>
      </c>
      <c r="M354" t="str">
        <f>VLOOKUP(H354,CHOOSE({1,2},Table11[Native],Table11[Name]),2,0)</f>
        <v>Xúnyáng Xiàn</v>
      </c>
      <c r="N354" s="13" t="str">
        <f>VLOOKUP(I354,CHOOSE({1,2},Table11[Native],Table11[Name]),2,0)</f>
        <v>Ānkāng Shì</v>
      </c>
      <c r="O354" s="13" t="str">
        <f t="shared" si="22"/>
        <v>Gouyuan Zhen (Ānkāng Shì)</v>
      </c>
      <c r="P354" s="13" t="str">
        <f t="shared" si="23"/>
        <v>Gouyuan Zhen (Ānkāng Shì)</v>
      </c>
    </row>
    <row r="355" spans="1:16" hidden="1" x14ac:dyDescent="0.25">
      <c r="A355" t="s">
        <v>1459</v>
      </c>
      <c r="B355" t="str">
        <f t="shared" si="20"/>
        <v>Guānchí Zhèn</v>
      </c>
      <c r="C355" t="str">
        <f t="shared" si="21"/>
        <v>Guānchí Zhèn</v>
      </c>
      <c r="D355" t="s">
        <v>1460</v>
      </c>
      <c r="E355" t="s">
        <v>7</v>
      </c>
      <c r="F355" t="str">
        <f>_xlfn.CONCAT(D355,", ",H355,", ",I355,", ","陕西省")</f>
        <v>官池镇, 大荔县, 渭南市, 陕西省</v>
      </c>
      <c r="G355">
        <v>26659</v>
      </c>
      <c r="H355" t="s">
        <v>3090</v>
      </c>
      <c r="I355" t="s">
        <v>3087</v>
      </c>
      <c r="J355">
        <f>VLOOKUP(F355,[1]!china_towns_second__2[[Column1]:[Y]],3,FALSE)</f>
        <v>34.710293781245099</v>
      </c>
      <c r="K355">
        <f>VLOOKUP(F355,[1]!china_towns_second__2[[Column1]:[Y]],2,FALSE)</f>
        <v>109.9377966</v>
      </c>
      <c r="L355" t="s">
        <v>4478</v>
      </c>
      <c r="M355" t="str">
        <f>VLOOKUP(H355,CHOOSE({1,2},Table11[Native],Table11[Name]),2,0)</f>
        <v>Dàlì Xiàn</v>
      </c>
      <c r="N355" s="13" t="str">
        <f>VLOOKUP(I355,CHOOSE({1,2},Table11[Native],Table11[Name]),2,0)</f>
        <v>Wèinán Shì</v>
      </c>
      <c r="O355" s="13" t="str">
        <f t="shared" si="22"/>
        <v>Guanchi Zhen (Wèinán Shì)</v>
      </c>
      <c r="P355" s="13" t="str">
        <f t="shared" si="23"/>
        <v>Guanchi Zhen (Wèinán Shì)</v>
      </c>
    </row>
    <row r="356" spans="1:16" hidden="1" x14ac:dyDescent="0.25">
      <c r="A356" t="s">
        <v>1461</v>
      </c>
      <c r="B356" t="str">
        <f t="shared" si="20"/>
        <v>Guāndào Zhèn</v>
      </c>
      <c r="C356" t="str">
        <f t="shared" si="21"/>
        <v>Guāndào Zhèn</v>
      </c>
      <c r="D356" t="s">
        <v>1462</v>
      </c>
      <c r="E356" t="s">
        <v>7</v>
      </c>
      <c r="F356" t="str">
        <f>_xlfn.CONCAT(D356,", ",H356,", ",I356,", ","陕西省")</f>
        <v>官道镇, 临渭区, 渭南市, 陕西省</v>
      </c>
      <c r="G356">
        <v>26884</v>
      </c>
      <c r="H356" t="s">
        <v>3097</v>
      </c>
      <c r="I356" t="s">
        <v>3087</v>
      </c>
      <c r="J356">
        <f>VLOOKUP(F356,[1]!china_towns_second__2[[Column1]:[Y]],3,FALSE)</f>
        <v>34.632515094828399</v>
      </c>
      <c r="K356">
        <f>VLOOKUP(F356,[1]!china_towns_second__2[[Column1]:[Y]],2,FALSE)</f>
        <v>109.4724969</v>
      </c>
      <c r="L356" t="s">
        <v>4479</v>
      </c>
      <c r="M356" t="str">
        <f>VLOOKUP(H356,CHOOSE({1,2},Table11[Native],Table11[Name]),2,0)</f>
        <v>Línwèi Qū</v>
      </c>
      <c r="N356" s="13" t="str">
        <f>VLOOKUP(I356,CHOOSE({1,2},Table11[Native],Table11[Name]),2,0)</f>
        <v>Wèinán Shì</v>
      </c>
      <c r="O356" s="13" t="str">
        <f t="shared" si="22"/>
        <v>Guandao Zhen (Wèinán Shì)</v>
      </c>
      <c r="P356" s="13" t="str">
        <f t="shared" si="23"/>
        <v>Guandao Zhen (Wèinán Shì)</v>
      </c>
    </row>
    <row r="357" spans="1:16" x14ac:dyDescent="0.25">
      <c r="A357" t="s">
        <v>723</v>
      </c>
      <c r="B357" t="str">
        <f t="shared" si="20"/>
        <v>Guāndì Zhèn</v>
      </c>
      <c r="C357" t="str">
        <f t="shared" si="21"/>
        <v>Guāndì Zhèn</v>
      </c>
      <c r="D357" t="s">
        <v>724</v>
      </c>
      <c r="E357" t="s">
        <v>7</v>
      </c>
      <c r="F357" t="str">
        <f>_xlfn.CONCAT(D357,", ",H357,", ",I357,", ","陕西省")</f>
        <v>关帝镇, 洋县, 汉中市, 陕西省</v>
      </c>
      <c r="G357">
        <v>5849</v>
      </c>
      <c r="H357" t="s">
        <v>3069</v>
      </c>
      <c r="I357" t="s">
        <v>3059</v>
      </c>
      <c r="J357">
        <f>VLOOKUP(F357,[1]!china_towns_second__2[[Column1]:[Y]],3,FALSE)</f>
        <v>33.440378173669103</v>
      </c>
      <c r="K357">
        <f>VLOOKUP(F357,[1]!china_towns_second__2[[Column1]:[Y]],2,FALSE)</f>
        <v>107.4668388</v>
      </c>
      <c r="L357" t="s">
        <v>4480</v>
      </c>
      <c r="M357" t="str">
        <f>VLOOKUP(H357,CHOOSE({1,2},Table11[Native],Table11[Name]),2,0)</f>
        <v>Yáng Xiàn</v>
      </c>
      <c r="N357" s="13" t="str">
        <f>VLOOKUP(I357,CHOOSE({1,2},Table11[Native],Table11[Name]),2,0)</f>
        <v>Hànzhōng Shì</v>
      </c>
      <c r="O357" s="13" t="str">
        <f t="shared" si="22"/>
        <v>Guandi Zhen (Hànzhōng Shì)</v>
      </c>
      <c r="P357" s="13" t="str">
        <f t="shared" si="23"/>
        <v>Guandi Zhen (Hànzhōng Shì)</v>
      </c>
    </row>
    <row r="358" spans="1:16" x14ac:dyDescent="0.25">
      <c r="A358" t="s">
        <v>1463</v>
      </c>
      <c r="B358" t="str">
        <f t="shared" si="20"/>
        <v>Guāndĭ Zhèn</v>
      </c>
      <c r="C358" t="str">
        <f t="shared" si="21"/>
        <v>Guāndĭ Zhèn</v>
      </c>
      <c r="D358" t="s">
        <v>1464</v>
      </c>
      <c r="E358" t="s">
        <v>7</v>
      </c>
      <c r="F358" t="str">
        <f>_xlfn.CONCAT(D358,", ",H358,", ",I358,", ","陕西省")</f>
        <v>官底镇, 临渭区, 渭南市, 陕西省</v>
      </c>
      <c r="G358">
        <v>32240</v>
      </c>
      <c r="H358" t="s">
        <v>3097</v>
      </c>
      <c r="I358" t="s">
        <v>3087</v>
      </c>
      <c r="J358">
        <f>VLOOKUP(F358,[1]!china_towns_second__2[[Column1]:[Y]],3,FALSE)</f>
        <v>34.727448961354199</v>
      </c>
      <c r="K358">
        <f>VLOOKUP(F358,[1]!china_towns_second__2[[Column1]:[Y]],2,FALSE)</f>
        <v>109.4468585</v>
      </c>
      <c r="L358" t="s">
        <v>4480</v>
      </c>
      <c r="M358" t="str">
        <f>VLOOKUP(H358,CHOOSE({1,2},Table11[Native],Table11[Name]),2,0)</f>
        <v>Línwèi Qū</v>
      </c>
      <c r="N358" s="13" t="str">
        <f>VLOOKUP(I358,CHOOSE({1,2},Table11[Native],Table11[Name]),2,0)</f>
        <v>Wèinán Shì</v>
      </c>
      <c r="O358" s="13" t="str">
        <f t="shared" si="22"/>
        <v>Guandi Zhen (Wèinán Shì)</v>
      </c>
      <c r="P358" s="13" t="str">
        <f t="shared" si="23"/>
        <v>Guandi Zhen (Wèinán Shì)</v>
      </c>
    </row>
    <row r="359" spans="1:16" hidden="1" x14ac:dyDescent="0.25">
      <c r="A359" t="s">
        <v>69</v>
      </c>
      <c r="B359" t="str">
        <f t="shared" si="20"/>
        <v>Guăngfó Zhèn</v>
      </c>
      <c r="C359" t="str">
        <f t="shared" si="21"/>
        <v>Guăngfó Zhèn</v>
      </c>
      <c r="D359" t="s">
        <v>70</v>
      </c>
      <c r="E359" t="s">
        <v>7</v>
      </c>
      <c r="F359" t="str">
        <f>_xlfn.CONCAT(D359,", ",H359,", ",I359,", ","陕西省")</f>
        <v>广佛镇, 平利县, 安康市, 陕西省</v>
      </c>
      <c r="G359">
        <v>20637</v>
      </c>
      <c r="H359" t="s">
        <v>3039</v>
      </c>
      <c r="I359" t="s">
        <v>3031</v>
      </c>
      <c r="J359">
        <f>VLOOKUP(F359,[1]!china_towns_second__2[[Column1]:[Y]],3,FALSE)</f>
        <v>32.226226381847297</v>
      </c>
      <c r="K359">
        <f>VLOOKUP(F359,[1]!china_towns_second__2[[Column1]:[Y]],2,FALSE)</f>
        <v>109.3713474</v>
      </c>
      <c r="L359" t="s">
        <v>4481</v>
      </c>
      <c r="M359" t="str">
        <f>VLOOKUP(H359,CHOOSE({1,2},Table11[Native],Table11[Name]),2,0)</f>
        <v>Pínglì Xiàn</v>
      </c>
      <c r="N359" s="13" t="str">
        <f>VLOOKUP(I359,CHOOSE({1,2},Table11[Native],Table11[Name]),2,0)</f>
        <v>Ānkāng Shì</v>
      </c>
      <c r="O359" s="13" t="str">
        <f t="shared" si="22"/>
        <v>Guangfo Zhen (Ānkāng Shì)</v>
      </c>
      <c r="P359" s="13" t="str">
        <f t="shared" si="23"/>
        <v>Guangfo Zhen (Ānkāng Shì)</v>
      </c>
    </row>
    <row r="360" spans="1:16" hidden="1" x14ac:dyDescent="0.25">
      <c r="A360" t="s">
        <v>71</v>
      </c>
      <c r="B360" t="str">
        <f t="shared" si="20"/>
        <v>Guănghuòjiē Zhèn [incl. Fēngfù Xiāng]</v>
      </c>
      <c r="C360" t="str">
        <f t="shared" si="21"/>
        <v>Guănghuòjiē Zhèn [incl. Fēngfù Xiāng]</v>
      </c>
      <c r="D360" t="s">
        <v>72</v>
      </c>
      <c r="E360" t="s">
        <v>7</v>
      </c>
      <c r="F360" t="str">
        <f>_xlfn.CONCAT(D360,", ",H360,", ",I360,", ","陕西省")</f>
        <v>广货街镇, 宁陕县, 安康市, 陕西省</v>
      </c>
      <c r="G360">
        <v>4968</v>
      </c>
      <c r="H360" t="s">
        <v>3038</v>
      </c>
      <c r="I360" t="s">
        <v>3031</v>
      </c>
      <c r="J360">
        <f>VLOOKUP(F360,[1]!china_towns_second__2[[Column1]:[Y]],3,FALSE)</f>
        <v>33.763301234219902</v>
      </c>
      <c r="K360">
        <f>VLOOKUP(F360,[1]!china_towns_second__2[[Column1]:[Y]],2,FALSE)</f>
        <v>108.7463984</v>
      </c>
      <c r="L360" t="s">
        <v>4482</v>
      </c>
      <c r="M360" t="str">
        <f>VLOOKUP(H360,CHOOSE({1,2},Table11[Native],Table11[Name]),2,0)</f>
        <v>Níngshăn Xiàn</v>
      </c>
      <c r="N360" s="13" t="str">
        <f>VLOOKUP(I360,CHOOSE({1,2},Table11[Native],Table11[Name]),2,0)</f>
        <v>Ānkāng Shì</v>
      </c>
      <c r="O360" s="13" t="str">
        <f t="shared" si="22"/>
        <v>Guanghuojie Zhen [incl. Fengfu Xiang] (Ānkāng Shì)</v>
      </c>
      <c r="P360" s="13" t="str">
        <f t="shared" si="23"/>
        <v>Guanghuojie Zhen [incl. Fengfu Xiang] (Ānkāng Shì)</v>
      </c>
    </row>
    <row r="361" spans="1:16" hidden="1" x14ac:dyDescent="0.25">
      <c r="A361" t="s">
        <v>2070</v>
      </c>
      <c r="B361" t="str">
        <f t="shared" si="20"/>
        <v>Guăngjì Zhèn</v>
      </c>
      <c r="C361" t="str">
        <f t="shared" si="21"/>
        <v>Guăngjì Zhèn</v>
      </c>
      <c r="D361" t="s">
        <v>2071</v>
      </c>
      <c r="E361" t="s">
        <v>7</v>
      </c>
      <c r="F361" t="str">
        <f>_xlfn.CONCAT(D361,", ",H361,", ",I361,", ","陕西省")</f>
        <v>广济镇, 周至县, 西安市, 陕西省</v>
      </c>
      <c r="G361">
        <v>35223</v>
      </c>
      <c r="H361" t="s">
        <v>3115</v>
      </c>
      <c r="I361" t="s">
        <v>3102</v>
      </c>
      <c r="J361">
        <f>VLOOKUP(F361,[1]!china_towns_second__2[[Column1]:[Y]],3,FALSE)</f>
        <v>34.111127917492901</v>
      </c>
      <c r="K361">
        <f>VLOOKUP(F361,[1]!china_towns_second__2[[Column1]:[Y]],2,FALSE)</f>
        <v>108.1377952</v>
      </c>
      <c r="L361" t="s">
        <v>4483</v>
      </c>
      <c r="M361" t="str">
        <f>VLOOKUP(H361,CHOOSE({1,2},Table11[Native],Table11[Name]),2,0)</f>
        <v>Zhōuzhì Xiàn</v>
      </c>
      <c r="N361" s="13" t="str">
        <f>VLOOKUP(I361,CHOOSE({1,2},Table11[Native],Table11[Name]),2,0)</f>
        <v>Xī'ān Shì</v>
      </c>
      <c r="O361" s="13" t="str">
        <f t="shared" si="22"/>
        <v>Guangji Zhen (Xī'ān Shì)</v>
      </c>
      <c r="P361" s="13" t="str">
        <f t="shared" si="23"/>
        <v>Guangji Zhen (Xī'ān Shì)</v>
      </c>
    </row>
    <row r="362" spans="1:16" hidden="1" x14ac:dyDescent="0.25">
      <c r="A362" t="s">
        <v>725</v>
      </c>
      <c r="B362" t="str">
        <f t="shared" si="20"/>
        <v>Guăngpíng Zhèn</v>
      </c>
      <c r="C362" t="str">
        <f t="shared" si="21"/>
        <v>Guăngpíng Zhèn</v>
      </c>
      <c r="D362" t="s">
        <v>726</v>
      </c>
      <c r="E362" t="s">
        <v>7</v>
      </c>
      <c r="F362" t="str">
        <f>_xlfn.CONCAT(D362,", ",H362,", ",I362,", ","陕西省")</f>
        <v>广坪镇, 宁强县, 汉中市, 陕西省</v>
      </c>
      <c r="G362">
        <v>9225</v>
      </c>
      <c r="H362" t="s">
        <v>3067</v>
      </c>
      <c r="I362" t="s">
        <v>3059</v>
      </c>
      <c r="J362">
        <f>VLOOKUP(F362,[1]!china_towns_second__2[[Column1]:[Y]],3,FALSE)</f>
        <v>32.777625592160597</v>
      </c>
      <c r="K362">
        <f>VLOOKUP(F362,[1]!china_towns_second__2[[Column1]:[Y]],2,FALSE)</f>
        <v>105.65960920000001</v>
      </c>
      <c r="L362" t="s">
        <v>4484</v>
      </c>
      <c r="M362" t="str">
        <f>VLOOKUP(H362,CHOOSE({1,2},Table11[Native],Table11[Name]),2,0)</f>
        <v>Níngqiáng Xiàn</v>
      </c>
      <c r="N362" s="13" t="str">
        <f>VLOOKUP(I362,CHOOSE({1,2},Table11[Native],Table11[Name]),2,0)</f>
        <v>Hànzhōng Shì</v>
      </c>
      <c r="O362" s="13" t="str">
        <f t="shared" si="22"/>
        <v>Guangping Zhen (Hànzhōng Shì)</v>
      </c>
      <c r="P362" s="13" t="str">
        <f t="shared" si="23"/>
        <v>Guangping Zhen (Hànzhōng Shì)</v>
      </c>
    </row>
    <row r="363" spans="1:16" hidden="1" x14ac:dyDescent="0.25">
      <c r="A363" t="s">
        <v>1300</v>
      </c>
      <c r="B363" t="str">
        <f t="shared" si="20"/>
        <v>Guăngyáng Zhèn [incl. Gāolóuhé Xiāng]</v>
      </c>
      <c r="C363" t="str">
        <f t="shared" si="21"/>
        <v>Guăngyáng Zhèn [incl. Gāolóuhé Xiāng]</v>
      </c>
      <c r="D363" t="s">
        <v>1301</v>
      </c>
      <c r="E363" t="s">
        <v>7</v>
      </c>
      <c r="F363" t="str">
        <f>_xlfn.CONCAT(D363,", ",H363,", ",I363,", ","陕西省")</f>
        <v>广阳镇, 印台区, 铜川市, 陕西省</v>
      </c>
      <c r="G363">
        <v>39841</v>
      </c>
      <c r="H363" t="s">
        <v>3085</v>
      </c>
      <c r="I363" t="s">
        <v>3081</v>
      </c>
      <c r="J363">
        <f>VLOOKUP(F363,[1]!china_towns_second__2[[Column1]:[Y]],3,FALSE)</f>
        <v>35.125207343298698</v>
      </c>
      <c r="K363">
        <f>VLOOKUP(F363,[1]!china_towns_second__2[[Column1]:[Y]],2,FALSE)</f>
        <v>109.334057</v>
      </c>
      <c r="L363" t="s">
        <v>4485</v>
      </c>
      <c r="M363" t="str">
        <f>VLOOKUP(H363,CHOOSE({1,2},Table11[Native],Table11[Name]),2,0)</f>
        <v>Yìntái Qū</v>
      </c>
      <c r="N363" s="13" t="str">
        <f>VLOOKUP(I363,CHOOSE({1,2},Table11[Native],Table11[Name]),2,0)</f>
        <v>Tóngchuān Shì</v>
      </c>
      <c r="O363" s="13" t="str">
        <f t="shared" si="22"/>
        <v>Guangyang Zhen [incl. Gaolouhe Xiang] (Tóngchuān Shì)</v>
      </c>
      <c r="P363" s="13" t="str">
        <f t="shared" si="23"/>
        <v>Guangyang Zhen [incl. Gaolouhe Xiang] (Tóngchuān Shì)</v>
      </c>
    </row>
    <row r="364" spans="1:16" hidden="1" x14ac:dyDescent="0.25">
      <c r="A364" t="s">
        <v>73</v>
      </c>
      <c r="B364" t="str">
        <f t="shared" si="20"/>
        <v>Guānjiā Zhèn</v>
      </c>
      <c r="C364" t="str">
        <f t="shared" si="21"/>
        <v>Guānjiā Zhèn</v>
      </c>
      <c r="D364" t="s">
        <v>74</v>
      </c>
      <c r="E364" t="s">
        <v>7</v>
      </c>
      <c r="F364" t="str">
        <f>_xlfn.CONCAT(D364,", ",H364,", ",I364,", ","陕西省")</f>
        <v>关家镇, 汉滨区, 安康市, 陕西省</v>
      </c>
      <c r="G364">
        <v>15743</v>
      </c>
      <c r="H364" t="s">
        <v>3035</v>
      </c>
      <c r="I364" t="s">
        <v>3031</v>
      </c>
      <c r="J364">
        <f>VLOOKUP(F364,[1]!china_towns_second__2[[Column1]:[Y]],3,FALSE)</f>
        <v>32.669178716369103</v>
      </c>
      <c r="K364">
        <f>VLOOKUP(F364,[1]!china_towns_second__2[[Column1]:[Y]],2,FALSE)</f>
        <v>109.1963983</v>
      </c>
      <c r="L364" t="s">
        <v>4486</v>
      </c>
      <c r="M364" t="str">
        <f>VLOOKUP(H364,CHOOSE({1,2},Table11[Native],Table11[Name]),2,0)</f>
        <v>Hànbīn Qū</v>
      </c>
      <c r="N364" s="13" t="str">
        <f>VLOOKUP(I364,CHOOSE({1,2},Table11[Native],Table11[Name]),2,0)</f>
        <v>Ānkāng Shì</v>
      </c>
      <c r="O364" s="13" t="str">
        <f t="shared" si="22"/>
        <v>Guanjia Zhen (Ānkāng Shì)</v>
      </c>
      <c r="P364" s="13" t="str">
        <f t="shared" si="23"/>
        <v>Guanjia Zhen (Ānkāng Shì)</v>
      </c>
    </row>
    <row r="365" spans="1:16" hidden="1" x14ac:dyDescent="0.25">
      <c r="A365" t="s">
        <v>75</v>
      </c>
      <c r="B365" t="str">
        <f t="shared" si="20"/>
        <v>Guānkŏu Zhèn</v>
      </c>
      <c r="C365" t="str">
        <f t="shared" si="21"/>
        <v>Guānkŏu Zhèn</v>
      </c>
      <c r="D365" t="s">
        <v>76</v>
      </c>
      <c r="E365" t="s">
        <v>7</v>
      </c>
      <c r="F365" t="str">
        <f>_xlfn.CONCAT(D365,", ",H365,", ",I365,", ","陕西省")</f>
        <v>关口镇, 旬阳县, 安康市, 陕西省</v>
      </c>
      <c r="G365">
        <v>14352</v>
      </c>
      <c r="H365" t="s">
        <v>3041</v>
      </c>
      <c r="I365" t="s">
        <v>3031</v>
      </c>
      <c r="J365">
        <f>VLOOKUP(F365,[1]!china_towns_second__2[[Column1]:[Y]],3,FALSE)</f>
        <v>32.931839838913604</v>
      </c>
      <c r="K365">
        <f>VLOOKUP(F365,[1]!china_towns_second__2[[Column1]:[Y]],2,FALSE)</f>
        <v>109.5624799</v>
      </c>
      <c r="L365" t="s">
        <v>4487</v>
      </c>
      <c r="M365" t="str">
        <f>VLOOKUP(H365,CHOOSE({1,2},Table11[Native],Table11[Name]),2,0)</f>
        <v>Xúnyáng Xiàn</v>
      </c>
      <c r="N365" s="13" t="str">
        <f>VLOOKUP(I365,CHOOSE({1,2},Table11[Native],Table11[Name]),2,0)</f>
        <v>Ānkāng Shì</v>
      </c>
      <c r="O365" s="13" t="str">
        <f t="shared" si="22"/>
        <v>Guankou Zhen (Ānkāng Shì)</v>
      </c>
      <c r="P365" s="13" t="str">
        <f t="shared" si="23"/>
        <v>Guankou Zhen (Ānkāng Shì)</v>
      </c>
    </row>
    <row r="366" spans="1:16" hidden="1" x14ac:dyDescent="0.25">
      <c r="A366" t="s">
        <v>1465</v>
      </c>
      <c r="B366" t="str">
        <f t="shared" si="20"/>
        <v>Guānlù Zhèn</v>
      </c>
      <c r="C366" t="str">
        <f t="shared" si="21"/>
        <v>Guānlù Zhèn</v>
      </c>
      <c r="D366" t="s">
        <v>1466</v>
      </c>
      <c r="E366" t="s">
        <v>7</v>
      </c>
      <c r="F366" t="str">
        <f>_xlfn.CONCAT(D366,", ",H366,", ",I366,", ","陕西省")</f>
        <v>官路镇, 临渭区, 渭南市, 陕西省</v>
      </c>
      <c r="G366">
        <v>20193</v>
      </c>
      <c r="H366" t="s">
        <v>3097</v>
      </c>
      <c r="I366" t="s">
        <v>3087</v>
      </c>
      <c r="J366">
        <f>VLOOKUP(F366,[1]!china_towns_second__2[[Column1]:[Y]],3,FALSE)</f>
        <v>34.743006569320698</v>
      </c>
      <c r="K366">
        <f>VLOOKUP(F366,[1]!china_towns_second__2[[Column1]:[Y]],2,FALSE)</f>
        <v>109.714224</v>
      </c>
      <c r="L366" t="s">
        <v>4488</v>
      </c>
      <c r="M366" t="str">
        <f>VLOOKUP(H366,CHOOSE({1,2},Table11[Native],Table11[Name]),2,0)</f>
        <v>Línwèi Qū</v>
      </c>
      <c r="N366" s="13" t="str">
        <f>VLOOKUP(I366,CHOOSE({1,2},Table11[Native],Table11[Name]),2,0)</f>
        <v>Wèinán Shì</v>
      </c>
      <c r="O366" s="13" t="str">
        <f t="shared" si="22"/>
        <v>Guanlu Zhen (Wèinán Shì)</v>
      </c>
      <c r="P366" s="13" t="str">
        <f t="shared" si="23"/>
        <v>Guanlu Zhen (Wèinán Shì)</v>
      </c>
    </row>
    <row r="367" spans="1:16" hidden="1" x14ac:dyDescent="0.25">
      <c r="A367" t="s">
        <v>77</v>
      </c>
      <c r="B367" t="str">
        <f t="shared" si="20"/>
        <v>Guānmiào Zhèn</v>
      </c>
      <c r="C367" t="str">
        <f t="shared" si="21"/>
        <v>Guānmiào Zhèn</v>
      </c>
      <c r="D367" t="s">
        <v>78</v>
      </c>
      <c r="E367" t="s">
        <v>7</v>
      </c>
      <c r="F367" t="str">
        <f>_xlfn.CONCAT(D367,", ",H367,", ",I367,", ","陕西省")</f>
        <v>关庙镇, 汉滨区, 安康市, 陕西省</v>
      </c>
      <c r="G367">
        <v>42200</v>
      </c>
      <c r="H367" t="s">
        <v>3035</v>
      </c>
      <c r="I367" t="s">
        <v>3031</v>
      </c>
      <c r="J367">
        <f>VLOOKUP(F367,[1]!china_towns_second__2[[Column1]:[Y]],3,FALSE)</f>
        <v>32.767071221885402</v>
      </c>
      <c r="K367">
        <f>VLOOKUP(F367,[1]!china_towns_second__2[[Column1]:[Y]],2,FALSE)</f>
        <v>109.0526605</v>
      </c>
      <c r="L367" t="s">
        <v>4489</v>
      </c>
      <c r="M367" t="str">
        <f>VLOOKUP(H367,CHOOSE({1,2},Table11[Native],Table11[Name]),2,0)</f>
        <v>Hànbīn Qū</v>
      </c>
      <c r="N367" s="13" t="str">
        <f>VLOOKUP(I367,CHOOSE({1,2},Table11[Native],Table11[Name]),2,0)</f>
        <v>Ānkāng Shì</v>
      </c>
      <c r="O367" s="13" t="str">
        <f t="shared" si="22"/>
        <v>Guanmiao Zhen (Ānkāng Shì)</v>
      </c>
      <c r="P367" s="13" t="str">
        <f t="shared" si="23"/>
        <v>Guanmiao Zhen (Ānkāng Shì)</v>
      </c>
    </row>
    <row r="368" spans="1:16" hidden="1" x14ac:dyDescent="0.25">
      <c r="A368" t="s">
        <v>1097</v>
      </c>
      <c r="B368" t="str">
        <f t="shared" si="20"/>
        <v>Guānpínghé Xiāng [→ Máopíng Zhèn, Xīkŏu Zhèn]</v>
      </c>
      <c r="C368" t="str">
        <f t="shared" si="21"/>
        <v>Guānpínghé Xiāng [→ Máopíng Zhèn, Xīkŏu Zhèn]</v>
      </c>
      <c r="D368" t="s">
        <v>1098</v>
      </c>
      <c r="E368" t="s">
        <v>11</v>
      </c>
      <c r="F368" t="str">
        <f>_xlfn.CONCAT(D368,", ",H368,", ",I368,", ","陕西省")</f>
        <v>关坪河乡, 镇安县, 商洛市, 陕西省</v>
      </c>
      <c r="G368">
        <v>5587</v>
      </c>
      <c r="H368" t="s">
        <v>3079</v>
      </c>
      <c r="I368" t="s">
        <v>3072</v>
      </c>
      <c r="J368" t="e">
        <f>VLOOKUP(F368,[1]!china_towns_second__2[[Column1]:[Y]],3,FALSE)</f>
        <v>#N/A</v>
      </c>
      <c r="K368" t="e">
        <f>VLOOKUP(F368,[1]!china_towns_second__2[[Column1]:[Y]],2,FALSE)</f>
        <v>#N/A</v>
      </c>
      <c r="L368" t="s">
        <v>4490</v>
      </c>
      <c r="M368" t="str">
        <f>VLOOKUP(H368,CHOOSE({1,2},Table11[Native],Table11[Name]),2,0)</f>
        <v>Zhèn'ān Xiàn</v>
      </c>
      <c r="N368" s="13" t="str">
        <f>VLOOKUP(I368,CHOOSE({1,2},Table11[Native],Table11[Name]),2,0)</f>
        <v>Shāngluò Shì</v>
      </c>
      <c r="O368" s="13" t="str">
        <f t="shared" si="22"/>
        <v>Guanpinghe Xiang [→ Maoping Zhen, Xikou Zhen] (Shāngluò Shì)</v>
      </c>
      <c r="P368" s="13" t="str">
        <f t="shared" si="23"/>
        <v>Guanpinghe Xiang [→ Maoping Zhen, Xikou Zhen] (Shāngluò Shì)</v>
      </c>
    </row>
    <row r="369" spans="1:16" hidden="1" x14ac:dyDescent="0.25">
      <c r="A369" t="s">
        <v>2072</v>
      </c>
      <c r="B369" t="str">
        <f t="shared" si="20"/>
        <v>Guānshān Jiēdào</v>
      </c>
      <c r="C369" t="str">
        <f t="shared" si="21"/>
        <v>Guānshān Jiēdào</v>
      </c>
      <c r="D369" t="s">
        <v>2073</v>
      </c>
      <c r="E369" t="s">
        <v>113</v>
      </c>
      <c r="F369" t="str">
        <f>_xlfn.CONCAT(D369,", ",H369,", ",I369,", ","陕西省")</f>
        <v>关山街道, 阎良区, 西安市, 陕西省</v>
      </c>
      <c r="G369">
        <v>53548</v>
      </c>
      <c r="H369" t="s">
        <v>3113</v>
      </c>
      <c r="I369" t="s">
        <v>3102</v>
      </c>
      <c r="J369" t="e">
        <f>VLOOKUP(F369,[1]!china_towns_second__2[[Column1]:[Y]],3,FALSE)</f>
        <v>#N/A</v>
      </c>
      <c r="K369" t="e">
        <f>VLOOKUP(F369,[1]!china_towns_second__2[[Column1]:[Y]],2,FALSE)</f>
        <v>#N/A</v>
      </c>
      <c r="L369" t="s">
        <v>4491</v>
      </c>
      <c r="M369" t="str">
        <f>VLOOKUP(H369,CHOOSE({1,2},Table11[Native],Table11[Name]),2,0)</f>
        <v>Yánliáng Qū</v>
      </c>
      <c r="N369" s="13" t="str">
        <f>VLOOKUP(I369,CHOOSE({1,2},Table11[Native],Table11[Name]),2,0)</f>
        <v>Xī'ān Shì</v>
      </c>
      <c r="O369" s="13" t="str">
        <f t="shared" si="22"/>
        <v>Guanshan Jiedao (Xī'ān Shì)</v>
      </c>
      <c r="P369" s="13" t="str">
        <f t="shared" si="23"/>
        <v>Guanshan Jiedao (Xī'ān Shì)</v>
      </c>
    </row>
    <row r="370" spans="1:16" hidden="1" x14ac:dyDescent="0.25">
      <c r="A370" t="s">
        <v>2400</v>
      </c>
      <c r="B370" t="str">
        <f t="shared" si="20"/>
        <v>Guàntún Xiāng</v>
      </c>
      <c r="C370" t="str">
        <f t="shared" si="21"/>
        <v>Guàntún Xiāng</v>
      </c>
      <c r="D370" t="s">
        <v>2401</v>
      </c>
      <c r="E370" t="s">
        <v>11</v>
      </c>
      <c r="F370" t="str">
        <f>_xlfn.CONCAT(D370,", ",H370,", ",I370,", ","陕西省")</f>
        <v>贯屯乡, 宝塔区, 延安市, 陕西省</v>
      </c>
      <c r="G370">
        <v>2330</v>
      </c>
      <c r="H370" t="s">
        <v>3135</v>
      </c>
      <c r="I370" t="s">
        <v>3133</v>
      </c>
      <c r="J370" t="e">
        <f>VLOOKUP(F370,[1]!china_towns_second__2[[Column1]:[Y]],3,FALSE)</f>
        <v>#N/A</v>
      </c>
      <c r="K370" t="e">
        <f>VLOOKUP(F370,[1]!china_towns_second__2[[Column1]:[Y]],2,FALSE)</f>
        <v>#N/A</v>
      </c>
      <c r="L370" t="s">
        <v>4492</v>
      </c>
      <c r="M370" t="str">
        <f>VLOOKUP(H370,CHOOSE({1,2},Table11[Native],Table11[Name]),2,0)</f>
        <v>Băotă Qū</v>
      </c>
      <c r="N370" s="13" t="str">
        <f>VLOOKUP(I370,CHOOSE({1,2},Table11[Native],Table11[Name]),2,0)</f>
        <v>Yán'ān Shì</v>
      </c>
      <c r="O370" s="13" t="str">
        <f t="shared" si="22"/>
        <v>Guantun Xiang (Yán'ān Shì)</v>
      </c>
      <c r="P370" s="13" t="str">
        <f t="shared" si="23"/>
        <v>Guantun Xiang (Yán'ān Shì)</v>
      </c>
    </row>
    <row r="371" spans="1:16" hidden="1" x14ac:dyDescent="0.25">
      <c r="A371" t="s">
        <v>727</v>
      </c>
      <c r="B371" t="str">
        <f t="shared" si="20"/>
        <v>Guànxī Zhèn</v>
      </c>
      <c r="C371" t="str">
        <f t="shared" si="21"/>
        <v>Guànxī Zhèn</v>
      </c>
      <c r="D371" t="s">
        <v>728</v>
      </c>
      <c r="E371" t="s">
        <v>7</v>
      </c>
      <c r="F371" t="str">
        <f>_xlfn.CONCAT(D371,", ",H371,", ",I371,", ","陕西省")</f>
        <v>贯溪镇, 洋县, 汉中市, 陕西省</v>
      </c>
      <c r="G371">
        <v>16285</v>
      </c>
      <c r="H371" t="s">
        <v>3069</v>
      </c>
      <c r="I371" t="s">
        <v>3059</v>
      </c>
      <c r="J371">
        <f>VLOOKUP(F371,[1]!china_towns_second__2[[Column1]:[Y]],3,FALSE)</f>
        <v>33.219349999999999</v>
      </c>
      <c r="K371">
        <f>VLOOKUP(F371,[1]!china_towns_second__2[[Column1]:[Y]],2,FALSE)</f>
        <v>107.565774</v>
      </c>
      <c r="L371" t="s">
        <v>4493</v>
      </c>
      <c r="M371" t="str">
        <f>VLOOKUP(H371,CHOOSE({1,2},Table11[Native],Table11[Name]),2,0)</f>
        <v>Yáng Xiàn</v>
      </c>
      <c r="N371" s="13" t="str">
        <f>VLOOKUP(I371,CHOOSE({1,2},Table11[Native],Table11[Name]),2,0)</f>
        <v>Hànzhōng Shì</v>
      </c>
      <c r="O371" s="13" t="str">
        <f t="shared" si="22"/>
        <v>Guanxi Zhen (Hànzhōng Shì)</v>
      </c>
      <c r="P371" s="13" t="str">
        <f t="shared" si="23"/>
        <v>Guanxi Zhen (Hànzhōng Shì)</v>
      </c>
    </row>
    <row r="372" spans="1:16" hidden="1" x14ac:dyDescent="0.25">
      <c r="A372" t="s">
        <v>731</v>
      </c>
      <c r="B372" t="str">
        <f t="shared" si="20"/>
        <v>Guānyīn Zhèn</v>
      </c>
      <c r="C372" t="str">
        <f t="shared" si="21"/>
        <v>Guānyīn Zhèn</v>
      </c>
      <c r="D372" t="s">
        <v>732</v>
      </c>
      <c r="E372" t="s">
        <v>7</v>
      </c>
      <c r="F372" t="str">
        <f>_xlfn.CONCAT(D372,", ",H372,", ",I372,", ","陕西省")</f>
        <v>观音镇, 镇巴县, 汉中市, 陕西省</v>
      </c>
      <c r="G372">
        <v>10785</v>
      </c>
      <c r="H372" t="s">
        <v>3070</v>
      </c>
      <c r="I372" t="s">
        <v>3059</v>
      </c>
      <c r="J372">
        <f>VLOOKUP(F372,[1]!china_towns_second__2[[Column1]:[Y]],3,FALSE)</f>
        <v>32.496986945378403</v>
      </c>
      <c r="K372">
        <f>VLOOKUP(F372,[1]!china_towns_second__2[[Column1]:[Y]],2,FALSE)</f>
        <v>108.11647139999999</v>
      </c>
      <c r="L372" t="s">
        <v>4494</v>
      </c>
      <c r="M372" t="str">
        <f>VLOOKUP(H372,CHOOSE({1,2},Table11[Native],Table11[Name]),2,0)</f>
        <v>Zhènbā Xiàn</v>
      </c>
      <c r="N372" s="13" t="str">
        <f>VLOOKUP(I372,CHOOSE({1,2},Table11[Native],Table11[Name]),2,0)</f>
        <v>Hànzhōng Shì</v>
      </c>
      <c r="O372" s="13" t="str">
        <f t="shared" si="22"/>
        <v>Guanyin Zhen (Hànzhōng Shì)</v>
      </c>
      <c r="P372" s="13" t="str">
        <f t="shared" si="23"/>
        <v>Guanyin Zhen (Hànzhōng Shì)</v>
      </c>
    </row>
    <row r="373" spans="1:16" hidden="1" x14ac:dyDescent="0.25">
      <c r="A373" t="s">
        <v>79</v>
      </c>
      <c r="B373" t="str">
        <f t="shared" si="20"/>
        <v>Guānyīnhé Zhèn</v>
      </c>
      <c r="C373" t="str">
        <f t="shared" si="21"/>
        <v>Guānyīnhé Zhèn</v>
      </c>
      <c r="D373" t="s">
        <v>80</v>
      </c>
      <c r="E373" t="s">
        <v>7</v>
      </c>
      <c r="F373" t="str">
        <f>_xlfn.CONCAT(D373,", ",H373,", ",I373,", ","陕西省")</f>
        <v>观音河镇, 汉阴县, 安康市, 陕西省</v>
      </c>
      <c r="G373">
        <v>7292</v>
      </c>
      <c r="H373" t="s">
        <v>3036</v>
      </c>
      <c r="I373" t="s">
        <v>3031</v>
      </c>
      <c r="J373">
        <f>VLOOKUP(F373,[1]!china_towns_second__2[[Column1]:[Y]],3,FALSE)</f>
        <v>33.035308913966098</v>
      </c>
      <c r="K373">
        <f>VLOOKUP(F373,[1]!china_towns_second__2[[Column1]:[Y]],2,FALSE)</f>
        <v>108.5103731</v>
      </c>
      <c r="L373" t="s">
        <v>4495</v>
      </c>
      <c r="M373" t="str">
        <f>VLOOKUP(H373,CHOOSE({1,2},Table11[Native],Table11[Name]),2,0)</f>
        <v>Hànyīn Xiàn</v>
      </c>
      <c r="N373" s="13" t="str">
        <f>VLOOKUP(I373,CHOOSE({1,2},Table11[Native],Table11[Name]),2,0)</f>
        <v>Ānkāng Shì</v>
      </c>
      <c r="O373" s="13" t="str">
        <f t="shared" si="22"/>
        <v>Guanyinhe Zhen (Ānkāng Shì)</v>
      </c>
      <c r="P373" s="13" t="str">
        <f t="shared" si="23"/>
        <v>Guanyinhe Zhen (Ānkāng Shì)</v>
      </c>
    </row>
    <row r="374" spans="1:16" hidden="1" x14ac:dyDescent="0.25">
      <c r="A374" t="s">
        <v>729</v>
      </c>
      <c r="B374" t="str">
        <f t="shared" si="20"/>
        <v>Guānyīnsì Zhèn</v>
      </c>
      <c r="C374" t="str">
        <f t="shared" si="21"/>
        <v>Guānyīnsì Zhèn</v>
      </c>
      <c r="D374" t="s">
        <v>730</v>
      </c>
      <c r="E374" t="s">
        <v>7</v>
      </c>
      <c r="F374" t="str">
        <f>_xlfn.CONCAT(D374,", ",H374,", ",I374,", ","陕西省")</f>
        <v>观音寺镇, 略阳县, 汉中市, 陕西省</v>
      </c>
      <c r="G374">
        <v>3207</v>
      </c>
      <c r="H374" t="s">
        <v>3064</v>
      </c>
      <c r="I374" t="s">
        <v>3059</v>
      </c>
      <c r="J374">
        <f>VLOOKUP(F374,[1]!china_towns_second__2[[Column1]:[Y]],3,FALSE)</f>
        <v>33.365643320817199</v>
      </c>
      <c r="K374">
        <f>VLOOKUP(F374,[1]!china_towns_second__2[[Column1]:[Y]],2,FALSE)</f>
        <v>106.4586638</v>
      </c>
      <c r="L374" t="s">
        <v>4496</v>
      </c>
      <c r="M374" t="str">
        <f>VLOOKUP(H374,CHOOSE({1,2},Table11[Native],Table11[Name]),2,0)</f>
        <v>Lüèyáng Xiàn</v>
      </c>
      <c r="N374" s="13" t="str">
        <f>VLOOKUP(I374,CHOOSE({1,2},Table11[Native],Table11[Name]),2,0)</f>
        <v>Hànzhōng Shì</v>
      </c>
      <c r="O374" s="13" t="str">
        <f t="shared" si="22"/>
        <v>Guanyinsi Zhen (Hànzhōng Shì)</v>
      </c>
      <c r="P374" s="13" t="str">
        <f t="shared" si="23"/>
        <v>Guanyinsi Zhen (Hànzhōng Shì)</v>
      </c>
    </row>
    <row r="375" spans="1:16" hidden="1" x14ac:dyDescent="0.25">
      <c r="A375" t="s">
        <v>81</v>
      </c>
      <c r="B375" t="str">
        <f t="shared" si="20"/>
        <v>Guānyuán Zhèn</v>
      </c>
      <c r="C375" t="str">
        <f t="shared" si="21"/>
        <v>Guānyuán Zhèn</v>
      </c>
      <c r="D375" t="s">
        <v>82</v>
      </c>
      <c r="E375" t="s">
        <v>7</v>
      </c>
      <c r="F375" t="str">
        <f>_xlfn.CONCAT(D375,", ",H375,", ",I375,", ","陕西省")</f>
        <v>官元镇, 岚皋县, 安康市, 陕西省</v>
      </c>
      <c r="G375">
        <v>6590</v>
      </c>
      <c r="H375" t="s">
        <v>3037</v>
      </c>
      <c r="I375" t="s">
        <v>3031</v>
      </c>
      <c r="J375">
        <f>VLOOKUP(F375,[1]!china_towns_second__2[[Column1]:[Y]],3,FALSE)</f>
        <v>32.1967136649561</v>
      </c>
      <c r="K375">
        <f>VLOOKUP(F375,[1]!china_towns_second__2[[Column1]:[Y]],2,FALSE)</f>
        <v>108.6975527</v>
      </c>
      <c r="L375" t="s">
        <v>4497</v>
      </c>
      <c r="M375" t="str">
        <f>VLOOKUP(H375,CHOOSE({1,2},Table11[Native],Table11[Name]),2,0)</f>
        <v>Lángāo Xiàn</v>
      </c>
      <c r="N375" s="13" t="str">
        <f>VLOOKUP(I375,CHOOSE({1,2},Table11[Native],Table11[Name]),2,0)</f>
        <v>Ānkāng Shì</v>
      </c>
      <c r="O375" s="13" t="str">
        <f t="shared" si="22"/>
        <v>Guanyuan Zhen (Ānkāng Shì)</v>
      </c>
      <c r="P375" s="13" t="str">
        <f t="shared" si="23"/>
        <v>Guanyuan Zhen (Ānkāng Shì)</v>
      </c>
    </row>
    <row r="376" spans="1:16" hidden="1" x14ac:dyDescent="0.25">
      <c r="A376" t="s">
        <v>2402</v>
      </c>
      <c r="B376" t="str">
        <f t="shared" si="20"/>
        <v>Guānzhuāng Xiāng (Yán'ān Shì)</v>
      </c>
      <c r="C376" t="str">
        <f t="shared" si="21"/>
        <v>Guānzhuāng Xiāng (Yán'ān Shì)</v>
      </c>
      <c r="D376" t="s">
        <v>2403</v>
      </c>
      <c r="E376" t="s">
        <v>11</v>
      </c>
      <c r="F376" t="str">
        <f>_xlfn.CONCAT(D376,", ",H376,", ",I376,", ","陕西省")</f>
        <v>官庄乡, 宝塔区, 延安市, 陕西省</v>
      </c>
      <c r="G376">
        <v>3647</v>
      </c>
      <c r="H376" t="s">
        <v>3135</v>
      </c>
      <c r="I376" t="s">
        <v>3133</v>
      </c>
      <c r="J376" t="e">
        <f>VLOOKUP(F376,[1]!china_towns_second__2[[Column1]:[Y]],3,FALSE)</f>
        <v>#N/A</v>
      </c>
      <c r="K376" t="e">
        <f>VLOOKUP(F376,[1]!china_towns_second__2[[Column1]:[Y]],2,FALSE)</f>
        <v>#N/A</v>
      </c>
      <c r="L376" t="s">
        <v>4498</v>
      </c>
      <c r="M376" t="str">
        <f>VLOOKUP(H376,CHOOSE({1,2},Table11[Native],Table11[Name]),2,0)</f>
        <v>Băotă Qū</v>
      </c>
      <c r="N376" s="13" t="str">
        <f>VLOOKUP(I376,CHOOSE({1,2},Table11[Native],Table11[Name]),2,0)</f>
        <v>Yán'ān Shì</v>
      </c>
      <c r="O376" s="13" t="str">
        <f t="shared" si="22"/>
        <v>Guanzhuang Xiang (Yan'an Shi) (Yán'ān Shì)</v>
      </c>
      <c r="P376" s="13" t="str">
        <f t="shared" si="23"/>
        <v>Guanzhuang Xiang (Yan'an Shi) (Yán'ān Shì)</v>
      </c>
    </row>
    <row r="377" spans="1:16" hidden="1" x14ac:dyDescent="0.25">
      <c r="A377" t="s">
        <v>2402</v>
      </c>
      <c r="B377" t="str">
        <f t="shared" si="20"/>
        <v>Guānzhuāng Xiāng (Yúlín Shì)</v>
      </c>
      <c r="C377" t="str">
        <f t="shared" si="21"/>
        <v>Guānzhuāng Xiāng (Yúlín Shì)</v>
      </c>
      <c r="D377" t="s">
        <v>2403</v>
      </c>
      <c r="E377" t="s">
        <v>11</v>
      </c>
      <c r="F377" t="str">
        <f>_xlfn.CONCAT(D377,", ",H377,", ",I377,", ","陕西省")</f>
        <v>官庄乡, 佳县, 榆林市, 陕西省</v>
      </c>
      <c r="G377">
        <v>6876</v>
      </c>
      <c r="H377" t="s">
        <v>3152</v>
      </c>
      <c r="I377" t="s">
        <v>3148</v>
      </c>
      <c r="J377" t="e">
        <f>VLOOKUP(F377,[1]!china_towns_second__2[[Column1]:[Y]],3,FALSE)</f>
        <v>#N/A</v>
      </c>
      <c r="K377" t="e">
        <f>VLOOKUP(F377,[1]!china_towns_second__2[[Column1]:[Y]],2,FALSE)</f>
        <v>#N/A</v>
      </c>
      <c r="L377" t="s">
        <v>4499</v>
      </c>
      <c r="M377" t="str">
        <f>VLOOKUP(H377,CHOOSE({1,2},Table11[Native],Table11[Name]),2,0)</f>
        <v>Jiā Xiàn</v>
      </c>
      <c r="N377" s="13" t="str">
        <f>VLOOKUP(I377,CHOOSE({1,2},Table11[Native],Table11[Name]),2,0)</f>
        <v>Yúlín Shì</v>
      </c>
      <c r="O377" s="13" t="str">
        <f t="shared" si="22"/>
        <v>Guanzhuang Xiang (Yulin Shi) (Yúlín Shì)</v>
      </c>
      <c r="P377" s="13" t="str">
        <f t="shared" si="23"/>
        <v>Guanzhuang Xiang (Yulin Shi) (Yúlín Shì)</v>
      </c>
    </row>
    <row r="378" spans="1:16" hidden="1" x14ac:dyDescent="0.25">
      <c r="A378" t="s">
        <v>1302</v>
      </c>
      <c r="B378" t="str">
        <f t="shared" si="20"/>
        <v>Guānzhuāng Zhèn (Tóngchuān Shì)</v>
      </c>
      <c r="C378" t="str">
        <f t="shared" si="21"/>
        <v>Guānzhuāng Zhèn (Tóngchuān Shì)</v>
      </c>
      <c r="D378" t="s">
        <v>1303</v>
      </c>
      <c r="E378" t="s">
        <v>7</v>
      </c>
      <c r="F378" t="str">
        <f>_xlfn.CONCAT(D378,", ",H378,", ",I378,", ","陕西省")</f>
        <v>关庄镇, 耀州区, 铜川市, 陕西省</v>
      </c>
      <c r="G378">
        <v>19229</v>
      </c>
      <c r="H378" t="s">
        <v>3083</v>
      </c>
      <c r="I378" t="s">
        <v>3081</v>
      </c>
      <c r="J378">
        <f>VLOOKUP(F378,[1]!china_towns_second__2[[Column1]:[Y]],3,FALSE)</f>
        <v>34.983099257646401</v>
      </c>
      <c r="K378">
        <f>VLOOKUP(F378,[1]!china_towns_second__2[[Column1]:[Y]],2,FALSE)</f>
        <v>108.8271469</v>
      </c>
      <c r="L378" t="s">
        <v>4500</v>
      </c>
      <c r="M378" t="str">
        <f>VLOOKUP(H378,CHOOSE({1,2},Table11[Native],Table11[Name]),2,0)</f>
        <v>Yàozhōu Qū</v>
      </c>
      <c r="N378" s="13" t="str">
        <f>VLOOKUP(I378,CHOOSE({1,2},Table11[Native],Table11[Name]),2,0)</f>
        <v>Tóngchuān Shì</v>
      </c>
      <c r="O378" s="13" t="str">
        <f t="shared" si="22"/>
        <v>Guanzhuang Zhen (Tongchuan Shi) (Tóngchuān Shì)</v>
      </c>
      <c r="P378" s="13" t="str">
        <f t="shared" si="23"/>
        <v>Guanzhuang Zhen (Tongchuan Shi) (Tóngchuān Shì)</v>
      </c>
    </row>
    <row r="379" spans="1:16" hidden="1" x14ac:dyDescent="0.25">
      <c r="A379" t="s">
        <v>1302</v>
      </c>
      <c r="B379" t="str">
        <f t="shared" si="20"/>
        <v>Guānzhuāng Zhèn (Yán'ān Shì)</v>
      </c>
      <c r="C379" t="str">
        <f t="shared" si="21"/>
        <v>Guānzhuāng Zhèn (Yán'ān Shì)</v>
      </c>
      <c r="D379" t="s">
        <v>1303</v>
      </c>
      <c r="E379" t="s">
        <v>7</v>
      </c>
      <c r="F379" t="str">
        <f>_xlfn.CONCAT(D379,", ",H379,", ",I379,", ","陕西省")</f>
        <v>关庄镇, 延川县, 延安市, 陕西省</v>
      </c>
      <c r="G379">
        <v>7038</v>
      </c>
      <c r="H379" t="s">
        <v>3143</v>
      </c>
      <c r="I379" t="s">
        <v>3133</v>
      </c>
      <c r="J379">
        <f>VLOOKUP(F379,[1]!china_towns_second__2[[Column1]:[Y]],3,FALSE)</f>
        <v>36.908145290114497</v>
      </c>
      <c r="K379">
        <f>VLOOKUP(F379,[1]!china_towns_second__2[[Column1]:[Y]],2,FALSE)</f>
        <v>109.8983594</v>
      </c>
      <c r="L379" t="s">
        <v>4501</v>
      </c>
      <c r="M379" t="str">
        <f>VLOOKUP(H379,CHOOSE({1,2},Table11[Native],Table11[Name]),2,0)</f>
        <v>Yánchuān Xiàn</v>
      </c>
      <c r="N379" s="13" t="str">
        <f>VLOOKUP(I379,CHOOSE({1,2},Table11[Native],Table11[Name]),2,0)</f>
        <v>Yán'ān Shì</v>
      </c>
      <c r="O379" s="13" t="str">
        <f t="shared" si="22"/>
        <v>Guanzhuang Zhen (Yan'an Shi) (Yán'ān Shì)</v>
      </c>
      <c r="P379" s="13" t="str">
        <f t="shared" si="23"/>
        <v>Guanzhuang Zhen (Yan'an Shi) (Yán'ān Shì)</v>
      </c>
    </row>
    <row r="380" spans="1:16" hidden="1" x14ac:dyDescent="0.25">
      <c r="A380" t="s">
        <v>1777</v>
      </c>
      <c r="B380" t="str">
        <f t="shared" si="20"/>
        <v>Guānzhuāng Zhèn [incl. Hújiāmiào Xiāng]</v>
      </c>
      <c r="C380" t="str">
        <f t="shared" si="21"/>
        <v>Guānzhuāng Zhèn [incl. Hújiāmiào Xiāng]</v>
      </c>
      <c r="D380" t="s">
        <v>1778</v>
      </c>
      <c r="E380" t="s">
        <v>7</v>
      </c>
      <c r="F380" t="str">
        <f>_xlfn.CONCAT(D380,", ",H380,", ",I380,", ","陕西省")</f>
        <v>官庄镇, 淳化县, 咸阳市, 陕西省</v>
      </c>
      <c r="G380">
        <v>33041</v>
      </c>
      <c r="H380" t="s">
        <v>3120</v>
      </c>
      <c r="I380" t="s">
        <v>3117</v>
      </c>
      <c r="J380">
        <f>VLOOKUP(F380,[1]!china_towns_second__2[[Column1]:[Y]],3,FALSE)</f>
        <v>34.872497626523902</v>
      </c>
      <c r="K380">
        <f>VLOOKUP(F380,[1]!china_towns_second__2[[Column1]:[Y]],2,FALSE)</f>
        <v>108.3948103</v>
      </c>
      <c r="L380" t="s">
        <v>4502</v>
      </c>
      <c r="M380" t="str">
        <f>VLOOKUP(H380,CHOOSE({1,2},Table11[Native],Table11[Name]),2,0)</f>
        <v>Chúnhuà Xiàn</v>
      </c>
      <c r="N380" s="13" t="str">
        <f>VLOOKUP(I380,CHOOSE({1,2},Table11[Native],Table11[Name]),2,0)</f>
        <v>Xiányáng Shì</v>
      </c>
      <c r="O380" s="13" t="str">
        <f t="shared" si="22"/>
        <v>Guanzhuang Zhen [incl. Hujiamiao Xiang] (Xiányáng Shì)</v>
      </c>
      <c r="P380" s="13" t="str">
        <f t="shared" si="23"/>
        <v>Guanzhuang Zhen [incl. Hujiamiao Xiang] (Xiányáng Shì)</v>
      </c>
    </row>
    <row r="381" spans="1:16" hidden="1" x14ac:dyDescent="0.25">
      <c r="A381" t="s">
        <v>1467</v>
      </c>
      <c r="B381" t="str">
        <f t="shared" si="20"/>
        <v>Guāpō Zhèn</v>
      </c>
      <c r="C381" t="str">
        <f t="shared" si="21"/>
        <v>Guāpō Zhèn</v>
      </c>
      <c r="D381" t="s">
        <v>1468</v>
      </c>
      <c r="E381" t="s">
        <v>7</v>
      </c>
      <c r="F381" t="str">
        <f>_xlfn.CONCAT(D381,", ",H381,", ",I381,", ","陕西省")</f>
        <v>瓜坡镇, 华州区, 渭南市, 陕西省</v>
      </c>
      <c r="G381">
        <v>29217</v>
      </c>
      <c r="H381" t="s">
        <v>3096</v>
      </c>
      <c r="I381" t="s">
        <v>3087</v>
      </c>
      <c r="J381">
        <f>VLOOKUP(F381,[1]!china_towns_second__2[[Column1]:[Y]],3,FALSE)</f>
        <v>34.477319457884498</v>
      </c>
      <c r="K381">
        <f>VLOOKUP(F381,[1]!china_towns_second__2[[Column1]:[Y]],2,FALSE)</f>
        <v>109.7098982</v>
      </c>
      <c r="L381" t="s">
        <v>4503</v>
      </c>
      <c r="M381" t="str">
        <f>VLOOKUP(H381,CHOOSE({1,2},Table11[Native],Table11[Name]),2,0)</f>
        <v>Huázhōu Qū</v>
      </c>
      <c r="N381" s="13" t="str">
        <f>VLOOKUP(I381,CHOOSE({1,2},Table11[Native],Table11[Name]),2,0)</f>
        <v>Wèinán Shì</v>
      </c>
      <c r="O381" s="13" t="str">
        <f t="shared" si="22"/>
        <v>Guapo Zhen (Wèinán Shì)</v>
      </c>
      <c r="P381" s="13" t="str">
        <f t="shared" si="23"/>
        <v>Guapo Zhen (Wèinán Shì)</v>
      </c>
    </row>
    <row r="382" spans="1:16" hidden="1" x14ac:dyDescent="0.25">
      <c r="A382" t="s">
        <v>2718</v>
      </c>
      <c r="B382" t="str">
        <f t="shared" si="20"/>
        <v>Guāyuánzéwān Xiāng</v>
      </c>
      <c r="C382" t="str">
        <f t="shared" si="21"/>
        <v>Guāyuánzéwān Xiāng</v>
      </c>
      <c r="D382" t="s">
        <v>2719</v>
      </c>
      <c r="E382" t="s">
        <v>11</v>
      </c>
      <c r="F382" t="str">
        <f>_xlfn.CONCAT(D382,", ",H382,", ",I382,", ","陕西省")</f>
        <v>瓜园则湾乡, 子洲县, 榆林市, 陕西省</v>
      </c>
      <c r="G382">
        <v>4129</v>
      </c>
      <c r="H382" t="s">
        <v>3160</v>
      </c>
      <c r="I382" t="s">
        <v>3148</v>
      </c>
      <c r="J382" t="e">
        <f>VLOOKUP(F382,[1]!china_towns_second__2[[Column1]:[Y]],3,FALSE)</f>
        <v>#N/A</v>
      </c>
      <c r="K382" t="e">
        <f>VLOOKUP(F382,[1]!china_towns_second__2[[Column1]:[Y]],2,FALSE)</f>
        <v>#N/A</v>
      </c>
      <c r="L382" t="s">
        <v>4504</v>
      </c>
      <c r="M382" t="str">
        <f>VLOOKUP(H382,CHOOSE({1,2},Table11[Native],Table11[Name]),2,0)</f>
        <v>Zizhōu Xiàn</v>
      </c>
      <c r="N382" s="13" t="str">
        <f>VLOOKUP(I382,CHOOSE({1,2},Table11[Native],Table11[Name]),2,0)</f>
        <v>Yúlín Shì</v>
      </c>
      <c r="O382" s="13" t="str">
        <f t="shared" si="22"/>
        <v>Guayuanzewan Xiang (Yúlín Shì)</v>
      </c>
      <c r="P382" s="13" t="str">
        <f t="shared" si="23"/>
        <v>Guayuanzewan Xiang (Yúlín Shì)</v>
      </c>
    </row>
    <row r="383" spans="1:16" hidden="1" x14ac:dyDescent="0.25">
      <c r="A383" t="s">
        <v>733</v>
      </c>
      <c r="B383" t="str">
        <f t="shared" si="20"/>
        <v>Gŭchéng Zhèn (Hànzhōng Shì)</v>
      </c>
      <c r="C383" t="str">
        <f t="shared" si="21"/>
        <v>Gŭchéng Zhèn (Hànzhōng Shì)</v>
      </c>
      <c r="D383" t="s">
        <v>734</v>
      </c>
      <c r="E383" t="s">
        <v>7</v>
      </c>
      <c r="F383" t="str">
        <f>_xlfn.CONCAT(D383,", ",H383,", ",I383,", ","陕西省")</f>
        <v>古城镇, 西乡县, 汉中市, 陕西省</v>
      </c>
      <c r="G383">
        <v>15184</v>
      </c>
      <c r="H383" t="s">
        <v>3068</v>
      </c>
      <c r="I383" t="s">
        <v>3059</v>
      </c>
      <c r="J383">
        <f>VLOOKUP(F383,[1]!china_towns_second__2[[Column1]:[Y]],3,FALSE)</f>
        <v>32.991600099999999</v>
      </c>
      <c r="K383">
        <f>VLOOKUP(F383,[1]!china_towns_second__2[[Column1]:[Y]],2,FALSE)</f>
        <v>107.8273164</v>
      </c>
      <c r="L383" t="s">
        <v>4505</v>
      </c>
      <c r="M383" t="str">
        <f>VLOOKUP(H383,CHOOSE({1,2},Table11[Native],Table11[Name]),2,0)</f>
        <v>Xīxiāng Xiàn</v>
      </c>
      <c r="N383" s="13" t="str">
        <f>VLOOKUP(I383,CHOOSE({1,2},Table11[Native],Table11[Name]),2,0)</f>
        <v>Hànzhōng Shì</v>
      </c>
      <c r="O383" s="13" t="str">
        <f t="shared" si="22"/>
        <v>Gucheng Zhen (Hanzhong Shi) (Hànzhōng Shì)</v>
      </c>
      <c r="P383" s="13" t="str">
        <f t="shared" si="23"/>
        <v>Gucheng Zhen (Hanzhong Shi) (Hànzhōng Shì)</v>
      </c>
    </row>
    <row r="384" spans="1:16" hidden="1" x14ac:dyDescent="0.25">
      <c r="A384" t="s">
        <v>733</v>
      </c>
      <c r="B384" t="str">
        <f t="shared" si="20"/>
        <v>Gŭchéng Zhèn (Yúlín Shì)</v>
      </c>
      <c r="C384" t="str">
        <f t="shared" si="21"/>
        <v>Gŭchéng Zhèn (Yúlín Shì)</v>
      </c>
      <c r="D384" t="s">
        <v>734</v>
      </c>
      <c r="E384" t="s">
        <v>7</v>
      </c>
      <c r="F384" t="str">
        <f>_xlfn.CONCAT(D384,", ",H384,", ",I384,", ","陕西省")</f>
        <v>古城镇, 府谷县, 榆林市, 陕西省</v>
      </c>
      <c r="G384">
        <v>5693</v>
      </c>
      <c r="H384" t="s">
        <v>3150</v>
      </c>
      <c r="I384" t="s">
        <v>3148</v>
      </c>
      <c r="J384">
        <f>VLOOKUP(F384,[1]!china_towns_second__2[[Column1]:[Y]],3,FALSE)</f>
        <v>39.504684418107999</v>
      </c>
      <c r="K384">
        <f>VLOOKUP(F384,[1]!china_towns_second__2[[Column1]:[Y]],2,FALSE)</f>
        <v>111.0332477</v>
      </c>
      <c r="L384" t="s">
        <v>4506</v>
      </c>
      <c r="M384" t="str">
        <f>VLOOKUP(H384,CHOOSE({1,2},Table11[Native],Table11[Name]),2,0)</f>
        <v>Fŭgŭ Xiàn</v>
      </c>
      <c r="N384" s="13" t="str">
        <f>VLOOKUP(I384,CHOOSE({1,2},Table11[Native],Table11[Name]),2,0)</f>
        <v>Yúlín Shì</v>
      </c>
      <c r="O384" s="13" t="str">
        <f t="shared" si="22"/>
        <v>Gucheng Zhen (Yulin Shi) (Yúlín Shì)</v>
      </c>
      <c r="P384" s="13" t="str">
        <f t="shared" si="23"/>
        <v>Gucheng Zhen (Yulin Shi) (Yúlín Shì)</v>
      </c>
    </row>
    <row r="385" spans="1:16" hidden="1" x14ac:dyDescent="0.25">
      <c r="A385" t="s">
        <v>1099</v>
      </c>
      <c r="B385" t="str">
        <f t="shared" si="20"/>
        <v>Gŭchéng Zhèn [incl. Sìpō Xiāng]</v>
      </c>
      <c r="C385" t="str">
        <f t="shared" si="21"/>
        <v>Gŭchéng Zhèn [incl. Sìpō Xiāng]</v>
      </c>
      <c r="D385" t="s">
        <v>734</v>
      </c>
      <c r="E385" t="s">
        <v>7</v>
      </c>
      <c r="F385" t="str">
        <f>_xlfn.CONCAT(D385,", ",H385,", ",I385,", ","陕西省")</f>
        <v>古城镇, 洛南县, 商洛市, 陕西省</v>
      </c>
      <c r="G385">
        <v>37771</v>
      </c>
      <c r="H385" t="s">
        <v>3074</v>
      </c>
      <c r="I385" t="s">
        <v>3072</v>
      </c>
      <c r="J385">
        <f>VLOOKUP(F385,[1]!china_towns_second__2[[Column1]:[Y]],3,FALSE)</f>
        <v>34.028663290514899</v>
      </c>
      <c r="K385">
        <f>VLOOKUP(F385,[1]!china_towns_second__2[[Column1]:[Y]],2,FALSE)</f>
        <v>110.3561895</v>
      </c>
      <c r="L385" t="s">
        <v>4507</v>
      </c>
      <c r="M385" t="str">
        <f>VLOOKUP(H385,CHOOSE({1,2},Table11[Native],Table11[Name]),2,0)</f>
        <v>Luònán Xiàn</v>
      </c>
      <c r="N385" s="13" t="str">
        <f>VLOOKUP(I385,CHOOSE({1,2},Table11[Native],Table11[Name]),2,0)</f>
        <v>Shāngluò Shì</v>
      </c>
      <c r="O385" s="13" t="str">
        <f t="shared" si="22"/>
        <v>Gucheng Zhen [incl. Sipo Xiang] (Shāngluò Shì)</v>
      </c>
      <c r="P385" s="13" t="str">
        <f t="shared" si="23"/>
        <v>Gucheng Zhen [incl. Sipo Xiang] (Shāngluò Shì)</v>
      </c>
    </row>
    <row r="386" spans="1:16" hidden="1" x14ac:dyDescent="0.25">
      <c r="A386" t="s">
        <v>1779</v>
      </c>
      <c r="B386" t="str">
        <f t="shared" ref="B386:B449" si="24">IF(COUNTIF(A:A,A386)&gt;1,_xlfn.CONCAT(A386," (",N386,")"),A386)</f>
        <v>Gŭdù Jiēdào</v>
      </c>
      <c r="C386" t="str">
        <f t="shared" ref="C386:C449" si="25">IF(COUNTIF(B:B,B386)&gt;1,_xlfn.CONCAT(A386," (",M386,")"),B386)</f>
        <v>Gŭdù Jiēdào</v>
      </c>
      <c r="D386" t="s">
        <v>1780</v>
      </c>
      <c r="E386" t="s">
        <v>113</v>
      </c>
      <c r="F386" t="str">
        <f>_xlfn.CONCAT(D386,", ",H386,", ",I386,", ","陕西省")</f>
        <v>古渡街道, 秦都区, 咸阳市, 陕西省</v>
      </c>
      <c r="G386">
        <v>50215</v>
      </c>
      <c r="H386" t="s">
        <v>3124</v>
      </c>
      <c r="I386" t="s">
        <v>3117</v>
      </c>
      <c r="J386">
        <f>VLOOKUP(F386,[1]!china_towns_second__2[[Column1]:[Y]],3,FALSE)</f>
        <v>34.3467321348718</v>
      </c>
      <c r="K386">
        <f>VLOOKUP(F386,[1]!china_towns_second__2[[Column1]:[Y]],2,FALSE)</f>
        <v>108.6751575</v>
      </c>
      <c r="L386" t="s">
        <v>4508</v>
      </c>
      <c r="M386" t="str">
        <f>VLOOKUP(H386,CHOOSE({1,2},Table11[Native],Table11[Name]),2,0)</f>
        <v>Qíndū Qū</v>
      </c>
      <c r="N386" s="13" t="str">
        <f>VLOOKUP(I386,CHOOSE({1,2},Table11[Native],Table11[Name]),2,0)</f>
        <v>Xiányáng Shì</v>
      </c>
      <c r="O386" s="13" t="str">
        <f t="shared" ref="O386:O449" si="26">_xlfn.CONCAT(L386," (",N386,")")</f>
        <v>Gudu Jiedao (Xiányáng Shì)</v>
      </c>
      <c r="P386" s="13" t="str">
        <f t="shared" ref="P386:P449" si="27">IF(COUNTIF(O:O,O386)&gt;1,_xlfn.CONCAT(L386," (",M386,")"),O386)</f>
        <v>Gudu Jiedao (Xiányáng Shì)</v>
      </c>
    </row>
    <row r="387" spans="1:16" hidden="1" x14ac:dyDescent="0.25">
      <c r="A387" t="s">
        <v>417</v>
      </c>
      <c r="B387" t="str">
        <f t="shared" si="24"/>
        <v>Gùguān Zhèn</v>
      </c>
      <c r="C387" t="str">
        <f t="shared" si="25"/>
        <v>Gùguān Zhèn</v>
      </c>
      <c r="D387" t="s">
        <v>418</v>
      </c>
      <c r="E387" t="s">
        <v>7</v>
      </c>
      <c r="F387" t="str">
        <f>_xlfn.CONCAT(D387,", ",H387,", ",I387,", ","陕西省")</f>
        <v>固关镇, 陇县, 宝鸡市, 陕西省</v>
      </c>
      <c r="G387">
        <v>8482</v>
      </c>
      <c r="H387" t="s">
        <v>3052</v>
      </c>
      <c r="I387" t="s">
        <v>3045</v>
      </c>
      <c r="J387">
        <f>VLOOKUP(F387,[1]!china_towns_second__2[[Column1]:[Y]],3,FALSE)</f>
        <v>34.959573754440399</v>
      </c>
      <c r="K387">
        <f>VLOOKUP(F387,[1]!china_towns_second__2[[Column1]:[Y]],2,FALSE)</f>
        <v>106.5698131</v>
      </c>
      <c r="L387" t="s">
        <v>4509</v>
      </c>
      <c r="M387" t="str">
        <f>VLOOKUP(H387,CHOOSE({1,2},Table11[Native],Table11[Name]),2,0)</f>
        <v>Lŏng Xiàn</v>
      </c>
      <c r="N387" s="13" t="str">
        <f>VLOOKUP(I387,CHOOSE({1,2},Table11[Native],Table11[Name]),2,0)</f>
        <v>Băojī Shì</v>
      </c>
      <c r="O387" s="13" t="str">
        <f t="shared" si="26"/>
        <v>Guguan Zhen (Băojī Shì)</v>
      </c>
      <c r="P387" s="13" t="str">
        <f t="shared" si="27"/>
        <v>Guguan Zhen (Băojī Shì)</v>
      </c>
    </row>
    <row r="388" spans="1:16" hidden="1" x14ac:dyDescent="0.25">
      <c r="A388" t="s">
        <v>419</v>
      </c>
      <c r="B388" t="str">
        <f t="shared" si="24"/>
        <v>Gùjùn Zhèn</v>
      </c>
      <c r="C388" t="str">
        <f t="shared" si="25"/>
        <v>Gùjùn Zhèn</v>
      </c>
      <c r="D388" t="s">
        <v>420</v>
      </c>
      <c r="E388" t="s">
        <v>7</v>
      </c>
      <c r="F388" t="str">
        <f>_xlfn.CONCAT(D388,", ",H388,", ",I388,", ","陕西省")</f>
        <v>故郡镇, 岐山县, 宝鸡市, 陕西省</v>
      </c>
      <c r="G388">
        <v>19565</v>
      </c>
      <c r="H388" t="s">
        <v>3055</v>
      </c>
      <c r="I388" t="s">
        <v>3045</v>
      </c>
      <c r="J388">
        <f>VLOOKUP(F388,[1]!china_towns_second__2[[Column1]:[Y]],3,FALSE)</f>
        <v>34.5212212915986</v>
      </c>
      <c r="K388">
        <f>VLOOKUP(F388,[1]!china_towns_second__2[[Column1]:[Y]],2,FALSE)</f>
        <v>107.6620831</v>
      </c>
      <c r="L388" t="s">
        <v>4510</v>
      </c>
      <c r="M388" t="str">
        <f>VLOOKUP(H388,CHOOSE({1,2},Table11[Native],Table11[Name]),2,0)</f>
        <v>Qíshān Xiàn</v>
      </c>
      <c r="N388" s="13" t="str">
        <f>VLOOKUP(I388,CHOOSE({1,2},Table11[Native],Table11[Name]),2,0)</f>
        <v>Băojī Shì</v>
      </c>
      <c r="O388" s="13" t="str">
        <f t="shared" si="26"/>
        <v>Gujun Zhen (Băojī Shì)</v>
      </c>
      <c r="P388" s="13" t="str">
        <f t="shared" si="27"/>
        <v>Gujun Zhen (Băojī Shì)</v>
      </c>
    </row>
    <row r="389" spans="1:16" hidden="1" x14ac:dyDescent="0.25">
      <c r="A389" t="s">
        <v>2720</v>
      </c>
      <c r="B389" t="str">
        <f t="shared" si="24"/>
        <v>Gŭlóu Jiēdào</v>
      </c>
      <c r="C389" t="str">
        <f t="shared" si="25"/>
        <v>Gŭlóu Jiēdào</v>
      </c>
      <c r="D389" t="s">
        <v>2721</v>
      </c>
      <c r="E389" t="s">
        <v>113</v>
      </c>
      <c r="F389" t="str">
        <f>_xlfn.CONCAT(D389,", ",H389,", ",I389,", ","陕西省")</f>
        <v>鼓楼街道, 榆阳区, 榆林市, 陕西省</v>
      </c>
      <c r="G389">
        <v>43816</v>
      </c>
      <c r="H389" t="s">
        <v>3159</v>
      </c>
      <c r="I389" t="s">
        <v>3148</v>
      </c>
      <c r="J389">
        <f>VLOOKUP(F389,[1]!china_towns_second__2[[Column1]:[Y]],3,FALSE)</f>
        <v>38.3054077582768</v>
      </c>
      <c r="K389">
        <f>VLOOKUP(F389,[1]!china_towns_second__2[[Column1]:[Y]],2,FALSE)</f>
        <v>109.7395432</v>
      </c>
      <c r="L389" t="s">
        <v>4511</v>
      </c>
      <c r="M389" t="str">
        <f>VLOOKUP(H389,CHOOSE({1,2},Table11[Native],Table11[Name]),2,0)</f>
        <v>Yúyáng Qū</v>
      </c>
      <c r="N389" s="13" t="str">
        <f>VLOOKUP(I389,CHOOSE({1,2},Table11[Native],Table11[Name]),2,0)</f>
        <v>Yúlín Shì</v>
      </c>
      <c r="O389" s="13" t="str">
        <f t="shared" si="26"/>
        <v>Gulou Jiedao (Yúlín Shì)</v>
      </c>
      <c r="P389" s="13" t="str">
        <f t="shared" si="27"/>
        <v>Gulou Jiedao (Yúlín Shì)</v>
      </c>
    </row>
    <row r="390" spans="1:16" hidden="1" x14ac:dyDescent="0.25">
      <c r="A390" t="s">
        <v>735</v>
      </c>
      <c r="B390" t="str">
        <f t="shared" si="24"/>
        <v>Guō Zhèn</v>
      </c>
      <c r="C390" t="str">
        <f t="shared" si="25"/>
        <v>Guō Zhèn</v>
      </c>
      <c r="D390" t="s">
        <v>736</v>
      </c>
      <c r="E390" t="s">
        <v>7</v>
      </c>
      <c r="F390" t="str">
        <f>_xlfn.CONCAT(D390,", ",H390,", ",I390,", ","陕西省")</f>
        <v>郭镇, 略阳县, 汉中市, 陕西省</v>
      </c>
      <c r="G390">
        <v>11337</v>
      </c>
      <c r="H390" t="s">
        <v>3064</v>
      </c>
      <c r="I390" t="s">
        <v>3059</v>
      </c>
      <c r="J390">
        <f>VLOOKUP(F390,[1]!china_towns_second__2[[Column1]:[Y]],3,FALSE)</f>
        <v>33.3279302052647</v>
      </c>
      <c r="K390">
        <f>VLOOKUP(F390,[1]!china_towns_second__2[[Column1]:[Y]],2,FALSE)</f>
        <v>105.82493650000001</v>
      </c>
      <c r="L390" t="s">
        <v>4512</v>
      </c>
      <c r="M390" t="str">
        <f>VLOOKUP(H390,CHOOSE({1,2},Table11[Native],Table11[Name]),2,0)</f>
        <v>Lüèyáng Xiàn</v>
      </c>
      <c r="N390" s="13" t="str">
        <f>VLOOKUP(I390,CHOOSE({1,2},Table11[Native],Table11[Name]),2,0)</f>
        <v>Hànzhōng Shì</v>
      </c>
      <c r="O390" s="13" t="str">
        <f t="shared" si="26"/>
        <v>Guo Zhen (Hànzhōng Shì)</v>
      </c>
      <c r="P390" s="13" t="str">
        <f t="shared" si="27"/>
        <v>Guo Zhen (Hànzhōng Shì)</v>
      </c>
    </row>
    <row r="391" spans="1:16" hidden="1" x14ac:dyDescent="0.25">
      <c r="A391" t="s">
        <v>421</v>
      </c>
      <c r="B391" t="str">
        <f t="shared" si="24"/>
        <v>Guōdiàn Zhèn</v>
      </c>
      <c r="C391" t="str">
        <f t="shared" si="25"/>
        <v>Guōdiàn Zhèn</v>
      </c>
      <c r="D391" t="s">
        <v>422</v>
      </c>
      <c r="E391" t="s">
        <v>7</v>
      </c>
      <c r="F391" t="str">
        <f>_xlfn.CONCAT(D391,", ",H391,", ",I391,", ","陕西省")</f>
        <v>郭店镇, 凤翔区, 宝鸡市, 陕西省</v>
      </c>
      <c r="G391">
        <v>25146</v>
      </c>
      <c r="H391" t="s">
        <v>3048</v>
      </c>
      <c r="I391" t="s">
        <v>3045</v>
      </c>
      <c r="J391">
        <f>VLOOKUP(F391,[1]!china_towns_second__2[[Column1]:[Y]],3,FALSE)</f>
        <v>34.456042600000004</v>
      </c>
      <c r="K391">
        <f>VLOOKUP(F391,[1]!china_towns_second__2[[Column1]:[Y]],2,FALSE)</f>
        <v>107.4280239</v>
      </c>
      <c r="L391" t="s">
        <v>4513</v>
      </c>
      <c r="M391" t="str">
        <f>VLOOKUP(H391,CHOOSE({1,2},Table11[Native],Table11[Name]),2,0)</f>
        <v>Fèngxiáng Qū</v>
      </c>
      <c r="N391" s="13" t="str">
        <f>VLOOKUP(I391,CHOOSE({1,2},Table11[Native],Table11[Name]),2,0)</f>
        <v>Băojī Shì</v>
      </c>
      <c r="O391" s="13" t="str">
        <f t="shared" si="26"/>
        <v>Guodian Zhen (Băojī Shì)</v>
      </c>
      <c r="P391" s="13" t="str">
        <f t="shared" si="27"/>
        <v>Guodian Zhen (Băojī Shì)</v>
      </c>
    </row>
    <row r="392" spans="1:16" hidden="1" x14ac:dyDescent="0.25">
      <c r="A392" t="s">
        <v>2074</v>
      </c>
      <c r="B392" t="str">
        <f t="shared" si="24"/>
        <v>Guōdù Jiēdào</v>
      </c>
      <c r="C392" t="str">
        <f t="shared" si="25"/>
        <v>Guōdù Jiēdào</v>
      </c>
      <c r="D392" t="s">
        <v>2075</v>
      </c>
      <c r="E392" t="s">
        <v>113</v>
      </c>
      <c r="F392" t="str">
        <f>_xlfn.CONCAT(D392,", ",H392,", ",I392,", ","陕西省")</f>
        <v>郭杜街道, 长安区, 西安市, 陕西省</v>
      </c>
      <c r="G392">
        <v>130988</v>
      </c>
      <c r="H392" t="s">
        <v>3105</v>
      </c>
      <c r="I392" t="s">
        <v>3102</v>
      </c>
      <c r="J392">
        <f>VLOOKUP(F392,[1]!china_towns_second__2[[Column1]:[Y]],3,FALSE)</f>
        <v>34.152313147263101</v>
      </c>
      <c r="K392">
        <f>VLOOKUP(F392,[1]!china_towns_second__2[[Column1]:[Y]],2,FALSE)</f>
        <v>108.857153</v>
      </c>
      <c r="L392" t="s">
        <v>4514</v>
      </c>
      <c r="M392" t="str">
        <f>VLOOKUP(H392,CHOOSE({1,2},Table11[Native],Table11[Name]),2,0)</f>
        <v>Cháng'ān Qū</v>
      </c>
      <c r="N392" s="13" t="str">
        <f>VLOOKUP(I392,CHOOSE({1,2},Table11[Native],Table11[Name]),2,0)</f>
        <v>Xī'ān Shì</v>
      </c>
      <c r="O392" s="13" t="str">
        <f t="shared" si="26"/>
        <v>Guodu Jiedao (Xī'ān Shì)</v>
      </c>
      <c r="P392" s="13" t="str">
        <f t="shared" si="27"/>
        <v>Guodu Jiedao (Xī'ān Shì)</v>
      </c>
    </row>
    <row r="393" spans="1:16" hidden="1" x14ac:dyDescent="0.25">
      <c r="A393" t="s">
        <v>1100</v>
      </c>
      <c r="B393" t="str">
        <f t="shared" si="24"/>
        <v>Guòfēnglóu Zhèn [incl. Shuĭgōu Xiāng]</v>
      </c>
      <c r="C393" t="str">
        <f t="shared" si="25"/>
        <v>Guòfēnglóu Zhèn [incl. Shuĭgōu Xiāng]</v>
      </c>
      <c r="D393" t="s">
        <v>1101</v>
      </c>
      <c r="E393" t="s">
        <v>7</v>
      </c>
      <c r="F393" t="str">
        <f>_xlfn.CONCAT(D393,", ",H393,", ",I393,", ","陕西省")</f>
        <v>过风楼镇, 商南县, 商洛市, 陕西省</v>
      </c>
      <c r="G393">
        <v>20178</v>
      </c>
      <c r="H393" t="s">
        <v>3075</v>
      </c>
      <c r="I393" t="s">
        <v>3072</v>
      </c>
      <c r="J393">
        <f>VLOOKUP(F393,[1]!china_towns_second__2[[Column1]:[Y]],3,FALSE)</f>
        <v>33.427419799170302</v>
      </c>
      <c r="K393">
        <f>VLOOKUP(F393,[1]!china_towns_second__2[[Column1]:[Y]],2,FALSE)</f>
        <v>110.75915910000001</v>
      </c>
      <c r="L393" t="s">
        <v>4515</v>
      </c>
      <c r="M393" t="str">
        <f>VLOOKUP(H393,CHOOSE({1,2},Table11[Native],Table11[Name]),2,0)</f>
        <v>Shāngnán Xiàn</v>
      </c>
      <c r="N393" s="13" t="str">
        <f>VLOOKUP(I393,CHOOSE({1,2},Table11[Native],Table11[Name]),2,0)</f>
        <v>Shāngluò Shì</v>
      </c>
      <c r="O393" s="13" t="str">
        <f t="shared" si="26"/>
        <v>Guofenglou Zhen [incl. Shuigou Xiang] (Shāngluò Shì)</v>
      </c>
      <c r="P393" s="13" t="str">
        <f t="shared" si="27"/>
        <v>Guofenglou Zhen [incl. Shuigou Xiang] (Shāngluò Shì)</v>
      </c>
    </row>
    <row r="394" spans="1:16" hidden="1" x14ac:dyDescent="0.25">
      <c r="A394" t="s">
        <v>2722</v>
      </c>
      <c r="B394" t="str">
        <f t="shared" si="24"/>
        <v>Guōjiāgōu Zhèn</v>
      </c>
      <c r="C394" t="str">
        <f t="shared" si="25"/>
        <v>Guōjiāgōu Zhèn</v>
      </c>
      <c r="D394" t="s">
        <v>2723</v>
      </c>
      <c r="E394" t="s">
        <v>7</v>
      </c>
      <c r="F394" t="str">
        <f>_xlfn.CONCAT(D394,", ",H394,", ",I394,", ","陕西省")</f>
        <v>郭家沟镇, 吴堡县, 榆林市, 陕西省</v>
      </c>
      <c r="G394">
        <v>7876</v>
      </c>
      <c r="H394" t="s">
        <v>3158</v>
      </c>
      <c r="I394" t="s">
        <v>3148</v>
      </c>
      <c r="J394">
        <f>VLOOKUP(F394,[1]!china_towns_second__2[[Column1]:[Y]],3,FALSE)</f>
        <v>37.622995042291002</v>
      </c>
      <c r="K394">
        <f>VLOOKUP(F394,[1]!china_towns_second__2[[Column1]:[Y]],2,FALSE)</f>
        <v>110.6834101</v>
      </c>
      <c r="L394" t="s">
        <v>4516</v>
      </c>
      <c r="M394" t="str">
        <f>VLOOKUP(H394,CHOOSE({1,2},Table11[Native],Table11[Name]),2,0)</f>
        <v>Wúbǔ Xiàn</v>
      </c>
      <c r="N394" s="13" t="str">
        <f>VLOOKUP(I394,CHOOSE({1,2},Table11[Native],Table11[Name]),2,0)</f>
        <v>Yúlín Shì</v>
      </c>
      <c r="O394" s="13" t="str">
        <f t="shared" si="26"/>
        <v>Guojiagou Zhen (Yúlín Shì)</v>
      </c>
      <c r="P394" s="13" t="str">
        <f t="shared" si="27"/>
        <v>Guojiagou Zhen (Yúlín Shì)</v>
      </c>
    </row>
    <row r="395" spans="1:16" hidden="1" x14ac:dyDescent="0.25">
      <c r="A395" t="s">
        <v>423</v>
      </c>
      <c r="B395" t="str">
        <f t="shared" si="24"/>
        <v>Guówáng Zhèn</v>
      </c>
      <c r="C395" t="str">
        <f t="shared" si="25"/>
        <v>Guówáng Zhèn</v>
      </c>
      <c r="D395" t="s">
        <v>424</v>
      </c>
      <c r="E395" t="s">
        <v>7</v>
      </c>
      <c r="F395" t="str">
        <f>_xlfn.CONCAT(D395,", ",H395,", ",I395,", ","陕西省")</f>
        <v>虢王镇, 凤翔区, 宝鸡市, 陕西省</v>
      </c>
      <c r="G395">
        <v>31061</v>
      </c>
      <c r="H395" t="s">
        <v>3048</v>
      </c>
      <c r="I395" t="s">
        <v>3045</v>
      </c>
      <c r="J395">
        <f>VLOOKUP(F395,[1]!china_towns_second__2[[Column1]:[Y]],3,FALSE)</f>
        <v>34.379579081097603</v>
      </c>
      <c r="K395">
        <f>VLOOKUP(F395,[1]!china_towns_second__2[[Column1]:[Y]],2,FALSE)</f>
        <v>107.5294715</v>
      </c>
      <c r="L395" t="s">
        <v>4517</v>
      </c>
      <c r="M395" t="str">
        <f>VLOOKUP(H395,CHOOSE({1,2},Table11[Native],Table11[Name]),2,0)</f>
        <v>Fèngxiáng Qū</v>
      </c>
      <c r="N395" s="13" t="str">
        <f>VLOOKUP(I395,CHOOSE({1,2},Table11[Native],Table11[Name]),2,0)</f>
        <v>Băojī Shì</v>
      </c>
      <c r="O395" s="13" t="str">
        <f t="shared" si="26"/>
        <v>Guowang Zhen (Băojī Shì)</v>
      </c>
      <c r="P395" s="13" t="str">
        <f t="shared" si="27"/>
        <v>Guowang Zhen (Băojī Shì)</v>
      </c>
    </row>
    <row r="396" spans="1:16" hidden="1" x14ac:dyDescent="0.25">
      <c r="A396" t="s">
        <v>2724</v>
      </c>
      <c r="B396" t="str">
        <f t="shared" si="24"/>
        <v>Guōxīngzhuāng Zhèn</v>
      </c>
      <c r="C396" t="str">
        <f t="shared" si="25"/>
        <v>Guōxīngzhuāng Zhèn</v>
      </c>
      <c r="D396" t="s">
        <v>2725</v>
      </c>
      <c r="E396" t="s">
        <v>7</v>
      </c>
      <c r="F396" t="str">
        <f>_xlfn.CONCAT(D396,", ",H396,", ",I396,", ","陕西省")</f>
        <v>郭兴庄镇, 米脂县, 榆林市, 陕西省</v>
      </c>
      <c r="G396">
        <v>5576</v>
      </c>
      <c r="H396" t="s">
        <v>3154</v>
      </c>
      <c r="I396" t="s">
        <v>3148</v>
      </c>
      <c r="J396">
        <f>VLOOKUP(F396,[1]!china_towns_second__2[[Column1]:[Y]],3,FALSE)</f>
        <v>37.827889203536799</v>
      </c>
      <c r="K396">
        <f>VLOOKUP(F396,[1]!china_towns_second__2[[Column1]:[Y]],2,FALSE)</f>
        <v>109.89086020000001</v>
      </c>
      <c r="L396" t="s">
        <v>4518</v>
      </c>
      <c r="M396" t="str">
        <f>VLOOKUP(H396,CHOOSE({1,2},Table11[Native],Table11[Name]),2,0)</f>
        <v>Mĭzhī Xiàn</v>
      </c>
      <c r="N396" s="13" t="str">
        <f>VLOOKUP(I396,CHOOSE({1,2},Table11[Native],Table11[Name]),2,0)</f>
        <v>Yúlín Shì</v>
      </c>
      <c r="O396" s="13" t="str">
        <f t="shared" si="26"/>
        <v>Guoxingzhuang Zhen (Yúlín Shì)</v>
      </c>
      <c r="P396" s="13" t="str">
        <f t="shared" si="27"/>
        <v>Guoxingzhuang Zhen (Yúlín Shì)</v>
      </c>
    </row>
    <row r="397" spans="1:16" hidden="1" x14ac:dyDescent="0.25">
      <c r="A397" t="s">
        <v>1469</v>
      </c>
      <c r="B397" t="str">
        <f t="shared" si="24"/>
        <v>Guóyíng Shănxī Huánghé Qĭyè Gōngsī</v>
      </c>
      <c r="C397" t="str">
        <f t="shared" si="25"/>
        <v>Guóyíng Shănxī Huánghé Qĭyè Gōngsī</v>
      </c>
      <c r="D397" t="s">
        <v>1470</v>
      </c>
      <c r="E397" t="s">
        <v>1471</v>
      </c>
      <c r="F397" t="str">
        <f>_xlfn.CONCAT(D397,", ",H397,", ",I397,", ","陕西省")</f>
        <v>国营陕西黄河企业公司, 大荔县, 渭南市, 陕西省</v>
      </c>
      <c r="G397">
        <v>1889</v>
      </c>
      <c r="H397" t="s">
        <v>3090</v>
      </c>
      <c r="I397" t="s">
        <v>3087</v>
      </c>
      <c r="J397">
        <f>VLOOKUP(F397,[1]!china_towns_second__2[[Column1]:[Y]],3,FALSE)</f>
        <v>34.788302656711203</v>
      </c>
      <c r="K397">
        <f>VLOOKUP(F397,[1]!china_towns_second__2[[Column1]:[Y]],2,FALSE)</f>
        <v>110.199842</v>
      </c>
      <c r="L397" t="s">
        <v>4519</v>
      </c>
      <c r="M397" t="str">
        <f>VLOOKUP(H397,CHOOSE({1,2},Table11[Native],Table11[Name]),2,0)</f>
        <v>Dàlì Xiàn</v>
      </c>
      <c r="N397" s="13" t="str">
        <f>VLOOKUP(I397,CHOOSE({1,2},Table11[Native],Table11[Name]),2,0)</f>
        <v>Wèinán Shì</v>
      </c>
      <c r="O397" s="13" t="str">
        <f t="shared" si="26"/>
        <v>Guoying Shanxi Huanghe Qiye Gongsi (Wèinán Shì)</v>
      </c>
      <c r="P397" s="13" t="str">
        <f t="shared" si="27"/>
        <v>Guoying Shanxi Huanghe Qiye Gongsi (Wèinán Shì)</v>
      </c>
    </row>
    <row r="398" spans="1:16" hidden="1" x14ac:dyDescent="0.25">
      <c r="A398" t="s">
        <v>1472</v>
      </c>
      <c r="B398" t="str">
        <f t="shared" si="24"/>
        <v>Guóyíng Shănxī Huáshān Qĭyè Gōngsī</v>
      </c>
      <c r="C398" t="str">
        <f t="shared" si="25"/>
        <v>Guóyíng Shănxī Huáshān Qĭyè Gōngsī</v>
      </c>
      <c r="D398" t="s">
        <v>1473</v>
      </c>
      <c r="E398" t="s">
        <v>1471</v>
      </c>
      <c r="F398" t="str">
        <f>_xlfn.CONCAT(D398,", ",H398,", ",I398,", ","陕西省")</f>
        <v>国营陕西华山企业公司, 华阴市, 渭南市, 陕西省</v>
      </c>
      <c r="G398">
        <v>2007</v>
      </c>
      <c r="H398" t="s">
        <v>3095</v>
      </c>
      <c r="I398" t="s">
        <v>3087</v>
      </c>
      <c r="J398">
        <f>VLOOKUP(F398,[1]!china_towns_second__2[[Column1]:[Y]],3,FALSE)</f>
        <v>34.611846473706798</v>
      </c>
      <c r="K398">
        <f>VLOOKUP(F398,[1]!china_towns_second__2[[Column1]:[Y]],2,FALSE)</f>
        <v>109.9559075</v>
      </c>
      <c r="L398" t="s">
        <v>4520</v>
      </c>
      <c r="M398" t="str">
        <f>VLOOKUP(H398,CHOOSE({1,2},Table11[Native],Table11[Name]),2,0)</f>
        <v>Huáyīn Shì</v>
      </c>
      <c r="N398" s="13" t="str">
        <f>VLOOKUP(I398,CHOOSE({1,2},Table11[Native],Table11[Name]),2,0)</f>
        <v>Wèinán Shì</v>
      </c>
      <c r="O398" s="13" t="str">
        <f t="shared" si="26"/>
        <v>Guoying Shanxi Huashan Qiye Gongsi (Wèinán Shì)</v>
      </c>
      <c r="P398" s="13" t="str">
        <f t="shared" si="27"/>
        <v>Guoying Shanxi Huashan Qiye Gongsi (Wèinán Shì)</v>
      </c>
    </row>
    <row r="399" spans="1:16" hidden="1" x14ac:dyDescent="0.25">
      <c r="A399" t="s">
        <v>1474</v>
      </c>
      <c r="B399" t="str">
        <f t="shared" si="24"/>
        <v>Guóyíng Shănxī Lìbĕi Qĭyè Gōngsī</v>
      </c>
      <c r="C399" t="str">
        <f t="shared" si="25"/>
        <v>Guóyíng Shănxī Lìbĕi Qĭyè Gōngsī</v>
      </c>
      <c r="D399" t="s">
        <v>1475</v>
      </c>
      <c r="E399" t="s">
        <v>1471</v>
      </c>
      <c r="F399" t="str">
        <f>_xlfn.CONCAT(D399,", ",H399,", ",I399,", ","陕西省")</f>
        <v>国营陕西荔北企业公司, 大荔县, 渭南市, 陕西省</v>
      </c>
      <c r="G399">
        <v>2437</v>
      </c>
      <c r="H399" t="s">
        <v>3090</v>
      </c>
      <c r="I399" t="s">
        <v>3087</v>
      </c>
      <c r="J399">
        <f>VLOOKUP(F399,[1]!china_towns_second__2[[Column1]:[Y]],3,FALSE)</f>
        <v>34.900118448432998</v>
      </c>
      <c r="K399">
        <f>VLOOKUP(F399,[1]!china_towns_second__2[[Column1]:[Y]],2,FALSE)</f>
        <v>109.944791</v>
      </c>
      <c r="L399" t="s">
        <v>4521</v>
      </c>
      <c r="M399" t="str">
        <f>VLOOKUP(H399,CHOOSE({1,2},Table11[Native],Table11[Name]),2,0)</f>
        <v>Dàlì Xiàn</v>
      </c>
      <c r="N399" s="13" t="str">
        <f>VLOOKUP(I399,CHOOSE({1,2},Table11[Native],Table11[Name]),2,0)</f>
        <v>Wèinán Shì</v>
      </c>
      <c r="O399" s="13" t="str">
        <f t="shared" si="26"/>
        <v>Guoying Shanxi Libei Qiye Gongsi (Wèinán Shì)</v>
      </c>
      <c r="P399" s="13" t="str">
        <f t="shared" si="27"/>
        <v>Guoying Shanxi Libei Qiye Gongsi (Wèinán Shì)</v>
      </c>
    </row>
    <row r="400" spans="1:16" hidden="1" x14ac:dyDescent="0.25">
      <c r="A400" t="s">
        <v>1476</v>
      </c>
      <c r="B400" t="str">
        <f t="shared" si="24"/>
        <v>Guóyíng Shănxī Shāyuàn Qĭyè Gōngsī</v>
      </c>
      <c r="C400" t="str">
        <f t="shared" si="25"/>
        <v>Guóyíng Shănxī Shāyuàn Qĭyè Gōngsī</v>
      </c>
      <c r="D400" t="s">
        <v>1477</v>
      </c>
      <c r="E400" t="s">
        <v>1471</v>
      </c>
      <c r="F400" t="str">
        <f>_xlfn.CONCAT(D400,", ",H400,", ",I400,", ","陕西省")</f>
        <v>国营陕西沙苑企业公司, 大荔县, 渭南市, 陕西省</v>
      </c>
      <c r="G400">
        <v>1997</v>
      </c>
      <c r="H400" t="s">
        <v>3090</v>
      </c>
      <c r="I400" t="s">
        <v>3087</v>
      </c>
      <c r="J400">
        <f>VLOOKUP(F400,[1]!china_towns_second__2[[Column1]:[Y]],3,FALSE)</f>
        <v>34.687837295864398</v>
      </c>
      <c r="K400">
        <f>VLOOKUP(F400,[1]!china_towns_second__2[[Column1]:[Y]],2,FALSE)</f>
        <v>110.1346018</v>
      </c>
      <c r="L400" t="s">
        <v>4522</v>
      </c>
      <c r="M400" t="str">
        <f>VLOOKUP(H400,CHOOSE({1,2},Table11[Native],Table11[Name]),2,0)</f>
        <v>Dàlì Xiàn</v>
      </c>
      <c r="N400" s="13" t="str">
        <f>VLOOKUP(I400,CHOOSE({1,2},Table11[Native],Table11[Name]),2,0)</f>
        <v>Wèinán Shì</v>
      </c>
      <c r="O400" s="13" t="str">
        <f t="shared" si="26"/>
        <v>Guoying Shanxi Shayuan Qiye Gongsi (Wèinán Shì)</v>
      </c>
      <c r="P400" s="13" t="str">
        <f t="shared" si="27"/>
        <v>Guoying Shanxi Shayuan Qiye Gongsi (Wèinán Shì)</v>
      </c>
    </row>
    <row r="401" spans="1:16" hidden="1" x14ac:dyDescent="0.25">
      <c r="A401" t="s">
        <v>425</v>
      </c>
      <c r="B401" t="str">
        <f t="shared" si="24"/>
        <v>Guózhèn Jiēdào [ncl. Dōngguān Jiēdào, Qiānwèi Jiēdào]</v>
      </c>
      <c r="C401" t="str">
        <f t="shared" si="25"/>
        <v>Guózhèn Jiēdào [ncl. Dōngguān Jiēdào, Qiānwèi Jiēdào]</v>
      </c>
      <c r="D401" t="s">
        <v>426</v>
      </c>
      <c r="E401" t="s">
        <v>113</v>
      </c>
      <c r="F401" t="str">
        <f>_xlfn.CONCAT(D401,", ",H401,", ",I401,", ","陕西省")</f>
        <v>虢镇街道, 陈仓区, 宝鸡市, 陕西省</v>
      </c>
      <c r="G401">
        <v>121714</v>
      </c>
      <c r="H401" t="s">
        <v>3046</v>
      </c>
      <c r="I401" t="s">
        <v>3045</v>
      </c>
      <c r="J401">
        <f>VLOOKUP(F401,[1]!china_towns_second__2[[Column1]:[Y]],3,FALSE)</f>
        <v>34.353417007608101</v>
      </c>
      <c r="K401">
        <f>VLOOKUP(F401,[1]!china_towns_second__2[[Column1]:[Y]],2,FALSE)</f>
        <v>107.3769518</v>
      </c>
      <c r="L401" t="s">
        <v>4523</v>
      </c>
      <c r="M401" t="str">
        <f>VLOOKUP(H401,CHOOSE({1,2},Table11[Native],Table11[Name]),2,0)</f>
        <v>Chéncāng Qū</v>
      </c>
      <c r="N401" s="13" t="str">
        <f>VLOOKUP(I401,CHOOSE({1,2},Table11[Native],Table11[Name]),2,0)</f>
        <v>Băojī Shì</v>
      </c>
      <c r="O401" s="13" t="str">
        <f t="shared" si="26"/>
        <v>Guozhen Jiedao [ncl. Dongguan Jiedao, Qianwei Jiedao] (Băojī Shì)</v>
      </c>
      <c r="P401" s="13" t="str">
        <f t="shared" si="27"/>
        <v>Guozhen Jiedao [ncl. Dongguan Jiedao, Qianwei Jiedao] (Băojī Shì)</v>
      </c>
    </row>
    <row r="402" spans="1:16" hidden="1" x14ac:dyDescent="0.25">
      <c r="A402" t="s">
        <v>2726</v>
      </c>
      <c r="B402" t="str">
        <f t="shared" si="24"/>
        <v>Gūshān Zhèn</v>
      </c>
      <c r="C402" t="str">
        <f t="shared" si="25"/>
        <v>Gūshān Zhèn</v>
      </c>
      <c r="D402" t="s">
        <v>2727</v>
      </c>
      <c r="E402" t="s">
        <v>7</v>
      </c>
      <c r="F402" t="str">
        <f>_xlfn.CONCAT(D402,", ",H402,", ",I402,", ","陕西省")</f>
        <v>孤山镇, 府谷县, 榆林市, 陕西省</v>
      </c>
      <c r="G402">
        <v>9630</v>
      </c>
      <c r="H402" t="s">
        <v>3150</v>
      </c>
      <c r="I402" t="s">
        <v>3148</v>
      </c>
      <c r="J402">
        <f>VLOOKUP(F402,[1]!china_towns_second__2[[Column1]:[Y]],3,FALSE)</f>
        <v>39.098615167738899</v>
      </c>
      <c r="K402">
        <f>VLOOKUP(F402,[1]!china_towns_second__2[[Column1]:[Y]],2,FALSE)</f>
        <v>110.897809</v>
      </c>
      <c r="L402" t="s">
        <v>4524</v>
      </c>
      <c r="M402" t="str">
        <f>VLOOKUP(H402,CHOOSE({1,2},Table11[Native],Table11[Name]),2,0)</f>
        <v>Fŭgŭ Xiàn</v>
      </c>
      <c r="N402" s="13" t="str">
        <f>VLOOKUP(I402,CHOOSE({1,2},Table11[Native],Table11[Name]),2,0)</f>
        <v>Yúlín Shì</v>
      </c>
      <c r="O402" s="13" t="str">
        <f t="shared" si="26"/>
        <v>Gushan Zhen (Yúlín Shì)</v>
      </c>
      <c r="P402" s="13" t="str">
        <f t="shared" si="27"/>
        <v>Gushan Zhen (Yúlín Shì)</v>
      </c>
    </row>
    <row r="403" spans="1:16" hidden="1" x14ac:dyDescent="0.25">
      <c r="A403" t="s">
        <v>1478</v>
      </c>
      <c r="B403" t="str">
        <f t="shared" si="24"/>
        <v>Gùshì Zhèn</v>
      </c>
      <c r="C403" t="str">
        <f t="shared" si="25"/>
        <v>Gùshì Zhèn</v>
      </c>
      <c r="D403" t="s">
        <v>1479</v>
      </c>
      <c r="E403" t="s">
        <v>7</v>
      </c>
      <c r="F403" t="str">
        <f>_xlfn.CONCAT(D403,", ",H403,", ",I403,", ","陕西省")</f>
        <v>故市镇, 临渭区, 渭南市, 陕西省</v>
      </c>
      <c r="G403">
        <v>28281</v>
      </c>
      <c r="H403" t="s">
        <v>3097</v>
      </c>
      <c r="I403" t="s">
        <v>3087</v>
      </c>
      <c r="J403">
        <f>VLOOKUP(F403,[1]!china_towns_second__2[[Column1]:[Y]],3,FALSE)</f>
        <v>34.652730544205298</v>
      </c>
      <c r="K403">
        <f>VLOOKUP(F403,[1]!china_towns_second__2[[Column1]:[Y]],2,FALSE)</f>
        <v>109.59798189999999</v>
      </c>
      <c r="L403" t="s">
        <v>4525</v>
      </c>
      <c r="M403" t="str">
        <f>VLOOKUP(H403,CHOOSE({1,2},Table11[Native],Table11[Name]),2,0)</f>
        <v>Línwèi Qū</v>
      </c>
      <c r="N403" s="13" t="str">
        <f>VLOOKUP(I403,CHOOSE({1,2},Table11[Native],Table11[Name]),2,0)</f>
        <v>Wèinán Shì</v>
      </c>
      <c r="O403" s="13" t="str">
        <f t="shared" si="26"/>
        <v>Gushi Zhen (Wèinán Shì)</v>
      </c>
      <c r="P403" s="13" t="str">
        <f t="shared" si="27"/>
        <v>Gushi Zhen (Wèinán Shì)</v>
      </c>
    </row>
    <row r="404" spans="1:16" hidden="1" x14ac:dyDescent="0.25">
      <c r="A404" t="s">
        <v>2728</v>
      </c>
      <c r="B404" t="str">
        <f t="shared" si="24"/>
        <v>Gŭtă Zhèn [incl. Yúxīngzhuāng Xiāng]</v>
      </c>
      <c r="C404" t="str">
        <f t="shared" si="25"/>
        <v>Gŭtă Zhèn [incl. Yúxīngzhuāng Xiāng]</v>
      </c>
      <c r="D404" t="s">
        <v>2729</v>
      </c>
      <c r="E404" t="s">
        <v>7</v>
      </c>
      <c r="F404" t="str">
        <f>_xlfn.CONCAT(D404,", ",H404,", ",I404,", ","陕西省")</f>
        <v>古塔镇, 榆阳区, 榆林市, 陕西省</v>
      </c>
      <c r="G404">
        <v>6660</v>
      </c>
      <c r="H404" t="s">
        <v>3159</v>
      </c>
      <c r="I404" t="s">
        <v>3148</v>
      </c>
      <c r="J404">
        <f>VLOOKUP(F404,[1]!china_towns_second__2[[Column1]:[Y]],3,FALSE)</f>
        <v>38.173285125402302</v>
      </c>
      <c r="K404">
        <f>VLOOKUP(F404,[1]!china_towns_second__2[[Column1]:[Y]],2,FALSE)</f>
        <v>109.9141095</v>
      </c>
      <c r="L404" t="s">
        <v>4526</v>
      </c>
      <c r="M404" t="str">
        <f>VLOOKUP(H404,CHOOSE({1,2},Table11[Native],Table11[Name]),2,0)</f>
        <v>Yúyáng Qū</v>
      </c>
      <c r="N404" s="13" t="str">
        <f>VLOOKUP(I404,CHOOSE({1,2},Table11[Native],Table11[Name]),2,0)</f>
        <v>Yúlín Shì</v>
      </c>
      <c r="O404" s="13" t="str">
        <f t="shared" si="26"/>
        <v>Guta Zhen [incl. Yuxingzhuang Xiang] (Yúlín Shì)</v>
      </c>
      <c r="P404" s="13" t="str">
        <f t="shared" si="27"/>
        <v>Guta Zhen [incl. Yuxingzhuang Xiang] (Yúlín Shì)</v>
      </c>
    </row>
    <row r="405" spans="1:16" hidden="1" x14ac:dyDescent="0.25">
      <c r="A405" t="s">
        <v>2742</v>
      </c>
      <c r="B405" t="str">
        <f t="shared" si="24"/>
        <v>Hā Zhèn</v>
      </c>
      <c r="C405" t="str">
        <f t="shared" si="25"/>
        <v>Hā Zhèn</v>
      </c>
      <c r="D405" t="s">
        <v>2743</v>
      </c>
      <c r="E405" t="s">
        <v>7</v>
      </c>
      <c r="F405" t="str">
        <f>_xlfn.CONCAT(D405,", ",H405,", ",I405,", ","陕西省")</f>
        <v>哈镇, 府谷县, 榆林市, 陕西省</v>
      </c>
      <c r="G405">
        <v>5232</v>
      </c>
      <c r="H405" t="s">
        <v>3150</v>
      </c>
      <c r="I405" t="s">
        <v>3148</v>
      </c>
      <c r="J405">
        <f>VLOOKUP(F405,[1]!china_towns_second__2[[Column1]:[Y]],3,FALSE)</f>
        <v>39.395794114866</v>
      </c>
      <c r="K405">
        <f>VLOOKUP(F405,[1]!china_towns_second__2[[Column1]:[Y]],2,FALSE)</f>
        <v>110.9151829</v>
      </c>
      <c r="L405" t="s">
        <v>4527</v>
      </c>
      <c r="M405" t="str">
        <f>VLOOKUP(H405,CHOOSE({1,2},Table11[Native],Table11[Name]),2,0)</f>
        <v>Fŭgŭ Xiàn</v>
      </c>
      <c r="N405" s="13" t="str">
        <f>VLOOKUP(I405,CHOOSE({1,2},Table11[Native],Table11[Name]),2,0)</f>
        <v>Yúlín Shì</v>
      </c>
      <c r="O405" s="13" t="str">
        <f t="shared" si="26"/>
        <v>Ha Zhen (Yúlín Shì)</v>
      </c>
      <c r="P405" s="13" t="str">
        <f t="shared" si="27"/>
        <v>Ha Zhen (Yúlín Shì)</v>
      </c>
    </row>
    <row r="406" spans="1:16" hidden="1" x14ac:dyDescent="0.25">
      <c r="A406" t="s">
        <v>2730</v>
      </c>
      <c r="B406" t="str">
        <f t="shared" si="24"/>
        <v>Hăizémiào Xiāng</v>
      </c>
      <c r="C406" t="str">
        <f t="shared" si="25"/>
        <v>Hăizémiào Xiāng</v>
      </c>
      <c r="D406" t="s">
        <v>2731</v>
      </c>
      <c r="E406" t="s">
        <v>11</v>
      </c>
      <c r="F406" t="str">
        <f>_xlfn.CONCAT(D406,", ",H406,", ",I406,", ","陕西省")</f>
        <v>海则庙乡, 府谷县, 榆林市, 陕西省</v>
      </c>
      <c r="G406">
        <v>4140</v>
      </c>
      <c r="H406" t="s">
        <v>3150</v>
      </c>
      <c r="I406" t="s">
        <v>3148</v>
      </c>
      <c r="J406" t="e">
        <f>VLOOKUP(F406,[1]!china_towns_second__2[[Column1]:[Y]],3,FALSE)</f>
        <v>#N/A</v>
      </c>
      <c r="K406" t="e">
        <f>VLOOKUP(F406,[1]!china_towns_second__2[[Column1]:[Y]],2,FALSE)</f>
        <v>#N/A</v>
      </c>
      <c r="L406" t="s">
        <v>4528</v>
      </c>
      <c r="M406" t="str">
        <f>VLOOKUP(H406,CHOOSE({1,2},Table11[Native],Table11[Name]),2,0)</f>
        <v>Fŭgŭ Xiàn</v>
      </c>
      <c r="N406" s="13" t="str">
        <f>VLOOKUP(I406,CHOOSE({1,2},Table11[Native],Table11[Name]),2,0)</f>
        <v>Yúlín Shì</v>
      </c>
      <c r="O406" s="13" t="str">
        <f t="shared" si="26"/>
        <v>Haizemiao Xiang (Yúlín Shì)</v>
      </c>
      <c r="P406" s="13" t="str">
        <f t="shared" si="27"/>
        <v>Haizemiao Xiang (Yúlín Shì)</v>
      </c>
    </row>
    <row r="407" spans="1:16" hidden="1" x14ac:dyDescent="0.25">
      <c r="A407" t="s">
        <v>2732</v>
      </c>
      <c r="B407" t="str">
        <f t="shared" si="24"/>
        <v>Hăizétān Zhèn</v>
      </c>
      <c r="C407" t="str">
        <f t="shared" si="25"/>
        <v>Hăizétān Zhèn</v>
      </c>
      <c r="D407" t="s">
        <v>2733</v>
      </c>
      <c r="E407" t="s">
        <v>7</v>
      </c>
      <c r="F407" t="str">
        <f>_xlfn.CONCAT(D407,", ",H407,", ",I407,", ","陕西省")</f>
        <v>海则滩镇, 靖边县, 榆林市, 陕西省</v>
      </c>
      <c r="G407">
        <v>6009</v>
      </c>
      <c r="H407" t="s">
        <v>3153</v>
      </c>
      <c r="I407" t="s">
        <v>3148</v>
      </c>
      <c r="J407">
        <f>VLOOKUP(F407,[1]!china_towns_second__2[[Column1]:[Y]],3,FALSE)</f>
        <v>37.7301709400368</v>
      </c>
      <c r="K407">
        <f>VLOOKUP(F407,[1]!china_towns_second__2[[Column1]:[Y]],2,FALSE)</f>
        <v>108.9116856</v>
      </c>
      <c r="L407" t="s">
        <v>4529</v>
      </c>
      <c r="M407" t="str">
        <f>VLOOKUP(H407,CHOOSE({1,2},Table11[Native],Table11[Name]),2,0)</f>
        <v>Jìngbiān Xiàn</v>
      </c>
      <c r="N407" s="13" t="str">
        <f>VLOOKUP(I407,CHOOSE({1,2},Table11[Native],Table11[Name]),2,0)</f>
        <v>Yúlín Shì</v>
      </c>
      <c r="O407" s="13" t="str">
        <f t="shared" si="26"/>
        <v>Haizetan Zhen (Yúlín Shì)</v>
      </c>
      <c r="P407" s="13" t="str">
        <f t="shared" si="27"/>
        <v>Haizetan Zhen (Yúlín Shì)</v>
      </c>
    </row>
    <row r="408" spans="1:16" hidden="1" x14ac:dyDescent="0.25">
      <c r="A408" t="s">
        <v>2734</v>
      </c>
      <c r="B408" t="str">
        <f t="shared" si="24"/>
        <v>Hánchà Zhèn</v>
      </c>
      <c r="C408" t="str">
        <f t="shared" si="25"/>
        <v>Hánchà Zhèn</v>
      </c>
      <c r="D408" t="s">
        <v>2735</v>
      </c>
      <c r="E408" t="s">
        <v>7</v>
      </c>
      <c r="F408" t="str">
        <f>_xlfn.CONCAT(D408,", ",H408,", ",I408,", ","陕西省")</f>
        <v>韩岔镇, 横山区, 榆林市, 陕西省</v>
      </c>
      <c r="G408">
        <v>12226</v>
      </c>
      <c r="H408" t="s">
        <v>3151</v>
      </c>
      <c r="I408" t="s">
        <v>3148</v>
      </c>
      <c r="J408">
        <f>VLOOKUP(F408,[1]!china_towns_second__2[[Column1]:[Y]],3,FALSE)</f>
        <v>37.789130940370299</v>
      </c>
      <c r="K408">
        <f>VLOOKUP(F408,[1]!china_towns_second__2[[Column1]:[Y]],2,FALSE)</f>
        <v>109.56373019999999</v>
      </c>
      <c r="L408" t="s">
        <v>4530</v>
      </c>
      <c r="M408" t="str">
        <f>VLOOKUP(H408,CHOOSE({1,2},Table11[Native],Table11[Name]),2,0)</f>
        <v>Héngshān Qū</v>
      </c>
      <c r="N408" s="13" t="str">
        <f>VLOOKUP(I408,CHOOSE({1,2},Table11[Native],Table11[Name]),2,0)</f>
        <v>Yúlín Shì</v>
      </c>
      <c r="O408" s="13" t="str">
        <f t="shared" si="26"/>
        <v>Hancha Zhen (Yúlín Shì)</v>
      </c>
      <c r="P408" s="13" t="str">
        <f t="shared" si="27"/>
        <v>Hancha Zhen (Yúlín Shì)</v>
      </c>
    </row>
    <row r="409" spans="1:16" hidden="1" x14ac:dyDescent="0.25">
      <c r="A409" t="s">
        <v>2076</v>
      </c>
      <c r="B409" t="str">
        <f t="shared" si="24"/>
        <v>Hànchéng Jiēdào</v>
      </c>
      <c r="C409" t="str">
        <f t="shared" si="25"/>
        <v>Hànchéng Jiēdào</v>
      </c>
      <c r="D409" t="s">
        <v>2077</v>
      </c>
      <c r="E409" t="s">
        <v>113</v>
      </c>
      <c r="F409" t="str">
        <f>_xlfn.CONCAT(D409,", ",H409,", ",I409,", ","陕西省")</f>
        <v>汉城街道, 未央区, 西安市, 陕西省</v>
      </c>
      <c r="G409">
        <v>76740</v>
      </c>
      <c r="H409" t="s">
        <v>3111</v>
      </c>
      <c r="I409" t="s">
        <v>3102</v>
      </c>
      <c r="J409">
        <f>VLOOKUP(F409,[1]!china_towns_second__2[[Column1]:[Y]],3,FALSE)</f>
        <v>34.347618588566398</v>
      </c>
      <c r="K409">
        <f>VLOOKUP(F409,[1]!china_towns_second__2[[Column1]:[Y]],2,FALSE)</f>
        <v>108.907988</v>
      </c>
      <c r="L409" t="s">
        <v>4531</v>
      </c>
      <c r="M409" t="str">
        <f>VLOOKUP(H409,CHOOSE({1,2},Table11[Native],Table11[Name]),2,0)</f>
        <v>Wèiyāng Qū</v>
      </c>
      <c r="N409" s="13" t="str">
        <f>VLOOKUP(I409,CHOOSE({1,2},Table11[Native],Table11[Name]),2,0)</f>
        <v>Xī'ān Shì</v>
      </c>
      <c r="O409" s="13" t="str">
        <f t="shared" si="26"/>
        <v>Hancheng Jiedao (Xī'ān Shì)</v>
      </c>
      <c r="P409" s="13" t="str">
        <f t="shared" si="27"/>
        <v>Hancheng Jiedao (Xī'ān Shì)</v>
      </c>
    </row>
    <row r="410" spans="1:16" hidden="1" x14ac:dyDescent="0.25">
      <c r="A410" t="s">
        <v>427</v>
      </c>
      <c r="B410" t="str">
        <f t="shared" si="24"/>
        <v>Hànfēng Xiāng</v>
      </c>
      <c r="C410" t="str">
        <f t="shared" si="25"/>
        <v>Hànfēng Xiāng</v>
      </c>
      <c r="D410" t="s">
        <v>428</v>
      </c>
      <c r="E410" t="s">
        <v>11</v>
      </c>
      <c r="F410" t="str">
        <f>_xlfn.CONCAT(D410,", ",H410,", ",I410,", ","陕西省")</f>
        <v>汉封乡, 凤翔区, 宝鸡市, 陕西省</v>
      </c>
      <c r="G410">
        <v>7054</v>
      </c>
      <c r="H410" t="s">
        <v>3048</v>
      </c>
      <c r="I410" t="s">
        <v>3045</v>
      </c>
      <c r="J410" t="e">
        <f>VLOOKUP(F410,[1]!china_towns_second__2[[Column1]:[Y]],3,FALSE)</f>
        <v>#N/A</v>
      </c>
      <c r="K410" t="e">
        <f>VLOOKUP(F410,[1]!china_towns_second__2[[Column1]:[Y]],2,FALSE)</f>
        <v>#N/A</v>
      </c>
      <c r="L410" t="s">
        <v>4532</v>
      </c>
      <c r="M410" t="str">
        <f>VLOOKUP(H410,CHOOSE({1,2},Table11[Native],Table11[Name]),2,0)</f>
        <v>Fèngxiáng Qū</v>
      </c>
      <c r="N410" s="13" t="str">
        <f>VLOOKUP(I410,CHOOSE({1,2},Table11[Native],Table11[Name]),2,0)</f>
        <v>Băojī Shì</v>
      </c>
      <c r="O410" s="13" t="str">
        <f t="shared" si="26"/>
        <v>Hanfeng Xiang (Băojī Shì)</v>
      </c>
      <c r="P410" s="13" t="str">
        <f t="shared" si="27"/>
        <v>Hanfeng Xiang (Băojī Shì)</v>
      </c>
    </row>
    <row r="411" spans="1:16" hidden="1" x14ac:dyDescent="0.25">
      <c r="A411" t="s">
        <v>2736</v>
      </c>
      <c r="B411" t="str">
        <f t="shared" si="24"/>
        <v>Hángyŭlù Jiēdào</v>
      </c>
      <c r="C411" t="str">
        <f t="shared" si="25"/>
        <v>Hángyŭlù Jiēdào</v>
      </c>
      <c r="D411" t="s">
        <v>2737</v>
      </c>
      <c r="E411" t="s">
        <v>113</v>
      </c>
      <c r="F411" t="str">
        <f>_xlfn.CONCAT(D411,", ",H411,", ",I411,", ","陕西省")</f>
        <v>航宇路街道, 榆阳区, 榆林市, 陕西省</v>
      </c>
      <c r="G411">
        <v>47959</v>
      </c>
      <c r="H411" t="s">
        <v>3159</v>
      </c>
      <c r="I411" t="s">
        <v>3148</v>
      </c>
      <c r="J411">
        <f>VLOOKUP(F411,[1]!china_towns_second__2[[Column1]:[Y]],3,FALSE)</f>
        <v>38.2254625469023</v>
      </c>
      <c r="K411">
        <f>VLOOKUP(F411,[1]!china_towns_second__2[[Column1]:[Y]],2,FALSE)</f>
        <v>109.7450838</v>
      </c>
      <c r="L411" t="s">
        <v>4533</v>
      </c>
      <c r="M411" t="str">
        <f>VLOOKUP(H411,CHOOSE({1,2},Table11[Native],Table11[Name]),2,0)</f>
        <v>Yúyáng Qū</v>
      </c>
      <c r="N411" s="13" t="str">
        <f>VLOOKUP(I411,CHOOSE({1,2},Table11[Native],Table11[Name]),2,0)</f>
        <v>Yúlín Shì</v>
      </c>
      <c r="O411" s="13" t="str">
        <f t="shared" si="26"/>
        <v>Hangyulu Jiedao (Yúlín Shì)</v>
      </c>
      <c r="P411" s="13" t="str">
        <f t="shared" si="27"/>
        <v>Hangyulu Jiedao (Yúlín Shì)</v>
      </c>
    </row>
    <row r="412" spans="1:16" hidden="1" x14ac:dyDescent="0.25">
      <c r="A412" t="s">
        <v>1782</v>
      </c>
      <c r="B412" t="str">
        <f t="shared" si="24"/>
        <v>Hánjiā Zhèn [incl. Chējiāzhuāng Xiāng]</v>
      </c>
      <c r="C412" t="str">
        <f t="shared" si="25"/>
        <v>Hánjiā Zhèn [incl. Chējiāzhuāng Xiāng]</v>
      </c>
      <c r="D412" t="s">
        <v>1783</v>
      </c>
      <c r="E412" t="s">
        <v>7</v>
      </c>
      <c r="F412" t="str">
        <f>_xlfn.CONCAT(D412,", ",H412,", ",I412,", ","陕西省")</f>
        <v>韩家镇, 彬州市, 咸阳市, 陕西省</v>
      </c>
      <c r="G412">
        <v>16726</v>
      </c>
      <c r="H412" t="s">
        <v>3118</v>
      </c>
      <c r="I412" t="s">
        <v>3117</v>
      </c>
      <c r="J412">
        <f>VLOOKUP(F412,[1]!china_towns_second__2[[Column1]:[Y]],3,FALSE)</f>
        <v>34.963846781320299</v>
      </c>
      <c r="K412">
        <f>VLOOKUP(F412,[1]!china_towns_second__2[[Column1]:[Y]],2,FALSE)</f>
        <v>107.8902172</v>
      </c>
      <c r="L412" t="s">
        <v>4534</v>
      </c>
      <c r="M412" t="str">
        <f>VLOOKUP(H412,CHOOSE({1,2},Table11[Native],Table11[Name]),2,0)</f>
        <v>Bīnzhōu Shì</v>
      </c>
      <c r="N412" s="13" t="str">
        <f>VLOOKUP(I412,CHOOSE({1,2},Table11[Native],Table11[Name]),2,0)</f>
        <v>Xiányáng Shì</v>
      </c>
      <c r="O412" s="13" t="str">
        <f t="shared" si="26"/>
        <v>Hanjia Zhen [incl. Chejiazhuang Xiang] (Xiányáng Shì)</v>
      </c>
      <c r="P412" s="13" t="str">
        <f t="shared" si="27"/>
        <v>Hanjia Zhen [incl. Chejiazhuang Xiang] (Xiányáng Shì)</v>
      </c>
    </row>
    <row r="413" spans="1:16" hidden="1" x14ac:dyDescent="0.25">
      <c r="A413" t="s">
        <v>1480</v>
      </c>
      <c r="B413" t="str">
        <f t="shared" si="24"/>
        <v>Hănjĭng Zhèn</v>
      </c>
      <c r="C413" t="str">
        <f t="shared" si="25"/>
        <v>Hănjĭng Zhèn</v>
      </c>
      <c r="D413" t="s">
        <v>1481</v>
      </c>
      <c r="E413" t="s">
        <v>7</v>
      </c>
      <c r="F413" t="str">
        <f>_xlfn.CONCAT(D413,", ",H413,", ",I413,", ","陕西省")</f>
        <v>罕井镇, 蒲城县, 渭南市, 陕西省</v>
      </c>
      <c r="G413">
        <v>45610</v>
      </c>
      <c r="H413" t="s">
        <v>3098</v>
      </c>
      <c r="I413" t="s">
        <v>3087</v>
      </c>
      <c r="J413">
        <f>VLOOKUP(F413,[1]!china_towns_second__2[[Column1]:[Y]],3,FALSE)</f>
        <v>35.106947024979803</v>
      </c>
      <c r="K413">
        <f>VLOOKUP(F413,[1]!china_towns_second__2[[Column1]:[Y]],2,FALSE)</f>
        <v>109.5820277</v>
      </c>
      <c r="L413" t="s">
        <v>4535</v>
      </c>
      <c r="M413" t="str">
        <f>VLOOKUP(H413,CHOOSE({1,2},Table11[Native],Table11[Name]),2,0)</f>
        <v>Púchéng Xiàn</v>
      </c>
      <c r="N413" s="13" t="str">
        <f>VLOOKUP(I413,CHOOSE({1,2},Table11[Native],Table11[Name]),2,0)</f>
        <v>Wèinán Shì</v>
      </c>
      <c r="O413" s="13" t="str">
        <f t="shared" si="26"/>
        <v>Hanjing Zhen (Wèinán Shì)</v>
      </c>
      <c r="P413" s="13" t="str">
        <f t="shared" si="27"/>
        <v>Hanjing Zhen (Wèinán Shì)</v>
      </c>
    </row>
    <row r="414" spans="1:16" hidden="1" x14ac:dyDescent="0.25">
      <c r="A414" t="s">
        <v>2078</v>
      </c>
      <c r="B414" t="str">
        <f t="shared" si="24"/>
        <v>Hánsēnzhài Jiēdào</v>
      </c>
      <c r="C414" t="str">
        <f t="shared" si="25"/>
        <v>Hánsēnzhài Jiēdào</v>
      </c>
      <c r="D414" t="s">
        <v>2079</v>
      </c>
      <c r="E414" t="s">
        <v>113</v>
      </c>
      <c r="F414" t="str">
        <f>_xlfn.CONCAT(D414,", ",H414,", ",I414,", ","陕西省")</f>
        <v>韩森寨街道, 新城区, 西安市, 陕西省</v>
      </c>
      <c r="G414">
        <v>104762</v>
      </c>
      <c r="H414" t="s">
        <v>3112</v>
      </c>
      <c r="I414" t="s">
        <v>3102</v>
      </c>
      <c r="J414">
        <f>VLOOKUP(F414,[1]!china_towns_second__2[[Column1]:[Y]],3,FALSE)</f>
        <v>34.250574551282902</v>
      </c>
      <c r="K414">
        <f>VLOOKUP(F414,[1]!china_towns_second__2[[Column1]:[Y]],2,FALSE)</f>
        <v>109.0121169</v>
      </c>
      <c r="L414" t="s">
        <v>4536</v>
      </c>
      <c r="M414" t="str">
        <f>VLOOKUP(H414,CHOOSE({1,2},Table11[Native],Table11[Name]),2,0)</f>
        <v>Xīnchéng Qū</v>
      </c>
      <c r="N414" s="13" t="str">
        <f>VLOOKUP(I414,CHOOSE({1,2},Table11[Native],Table11[Name]),2,0)</f>
        <v>Xī'ān Shì</v>
      </c>
      <c r="O414" s="13" t="str">
        <f t="shared" si="26"/>
        <v>Hansenzhai Jiedao (Xī'ān Shì)</v>
      </c>
      <c r="P414" s="13" t="str">
        <f t="shared" si="27"/>
        <v>Hansenzhai Jiedao (Xī'ān Shì)</v>
      </c>
    </row>
    <row r="415" spans="1:16" hidden="1" x14ac:dyDescent="0.25">
      <c r="A415" t="s">
        <v>737</v>
      </c>
      <c r="B415" t="str">
        <f t="shared" si="24"/>
        <v>Hànshān Jiēdào [Chéngguān Zhèn]</v>
      </c>
      <c r="C415" t="str">
        <f t="shared" si="25"/>
        <v>Hànshān Jiēdào [Chéngguān Zhèn]</v>
      </c>
      <c r="D415" t="s">
        <v>738</v>
      </c>
      <c r="E415" t="s">
        <v>113</v>
      </c>
      <c r="F415" t="str">
        <f>_xlfn.CONCAT(D415,", ",H415,", ",I415,", ","陕西省")</f>
        <v>汉山街道, 南郑区, 汉中市, 陕西省</v>
      </c>
      <c r="G415">
        <v>65546</v>
      </c>
      <c r="H415" t="s">
        <v>3066</v>
      </c>
      <c r="I415" t="s">
        <v>3059</v>
      </c>
      <c r="J415" t="e">
        <f>VLOOKUP(F415,[1]!china_towns_second__2[[Column1]:[Y]],3,FALSE)</f>
        <v>#N/A</v>
      </c>
      <c r="K415" t="e">
        <f>VLOOKUP(F415,[1]!china_towns_second__2[[Column1]:[Y]],2,FALSE)</f>
        <v>#N/A</v>
      </c>
      <c r="L415" t="s">
        <v>4537</v>
      </c>
      <c r="M415" t="str">
        <f>VLOOKUP(H415,CHOOSE({1,2},Table11[Native],Table11[Name]),2,0)</f>
        <v>Nánzhèng Qū</v>
      </c>
      <c r="N415" s="13" t="str">
        <f>VLOOKUP(I415,CHOOSE({1,2},Table11[Native],Table11[Name]),2,0)</f>
        <v>Hànzhōng Shì</v>
      </c>
      <c r="O415" s="13" t="str">
        <f t="shared" si="26"/>
        <v>Hanshan Jiedao [Chengguan Zhen] (Hànzhōng Shì)</v>
      </c>
      <c r="P415" s="13" t="str">
        <f t="shared" si="27"/>
        <v>Hanshan Jiedao [Chengguan Zhen] (Hànzhōng Shì)</v>
      </c>
    </row>
    <row r="416" spans="1:16" hidden="1" x14ac:dyDescent="0.25">
      <c r="A416" t="s">
        <v>83</v>
      </c>
      <c r="B416" t="str">
        <f t="shared" si="24"/>
        <v>Hànwáng Zhèn (Ānkāng Shì)</v>
      </c>
      <c r="C416" t="str">
        <f t="shared" si="25"/>
        <v>Hànwáng Zhèn (Ānkāng Shì)</v>
      </c>
      <c r="D416" t="s">
        <v>84</v>
      </c>
      <c r="E416" t="s">
        <v>7</v>
      </c>
      <c r="F416" t="str">
        <f>_xlfn.CONCAT(D416,", ",H416,", ",I416,", ","陕西省")</f>
        <v>汉王镇, 紫阳县, 安康市, 陕西省</v>
      </c>
      <c r="G416">
        <v>11800</v>
      </c>
      <c r="H416" t="s">
        <v>3043</v>
      </c>
      <c r="I416" t="s">
        <v>3031</v>
      </c>
      <c r="J416">
        <f>VLOOKUP(F416,[1]!china_towns_second__2[[Column1]:[Y]],3,FALSE)</f>
        <v>32.737188763354801</v>
      </c>
      <c r="K416">
        <f>VLOOKUP(F416,[1]!china_towns_second__2[[Column1]:[Y]],2,FALSE)</f>
        <v>108.4672439</v>
      </c>
      <c r="L416" t="s">
        <v>4538</v>
      </c>
      <c r="M416" t="str">
        <f>VLOOKUP(H416,CHOOSE({1,2},Table11[Native],Table11[Name]),2,0)</f>
        <v>Zĭyáng Xiàn</v>
      </c>
      <c r="N416" s="13" t="str">
        <f>VLOOKUP(I416,CHOOSE({1,2},Table11[Native],Table11[Name]),2,0)</f>
        <v>Ānkāng Shì</v>
      </c>
      <c r="O416" s="13" t="str">
        <f t="shared" si="26"/>
        <v>Hanwang Zhen (Ankang Shi) (Ānkāng Shì)</v>
      </c>
      <c r="P416" s="13" t="str">
        <f t="shared" si="27"/>
        <v>Hanwang Zhen (Ankang Shi) (Ānkāng Shì)</v>
      </c>
    </row>
    <row r="417" spans="1:16" hidden="1" x14ac:dyDescent="0.25">
      <c r="A417" t="s">
        <v>83</v>
      </c>
      <c r="B417" t="str">
        <f t="shared" si="24"/>
        <v>Hànwáng Zhèn (Hànzhōng Shì)</v>
      </c>
      <c r="C417" t="str">
        <f t="shared" si="25"/>
        <v>Hànwáng Zhèn (Hànzhōng Shì)</v>
      </c>
      <c r="D417" t="s">
        <v>84</v>
      </c>
      <c r="E417" t="s">
        <v>7</v>
      </c>
      <c r="F417" t="str">
        <f>_xlfn.CONCAT(D417,", ",H417,", ",I417,", ","陕西省")</f>
        <v>汉王镇, 汉台区, 汉中市, 陕西省</v>
      </c>
      <c r="G417">
        <v>11391</v>
      </c>
      <c r="H417" t="s">
        <v>3062</v>
      </c>
      <c r="I417" t="s">
        <v>3059</v>
      </c>
      <c r="J417">
        <f>VLOOKUP(F417,[1]!china_towns_second__2[[Column1]:[Y]],3,FALSE)</f>
        <v>33.2197755258874</v>
      </c>
      <c r="K417">
        <f>VLOOKUP(F417,[1]!china_towns_second__2[[Column1]:[Y]],2,FALSE)</f>
        <v>107.0987081</v>
      </c>
      <c r="L417" t="s">
        <v>4539</v>
      </c>
      <c r="M417" t="str">
        <f>VLOOKUP(H417,CHOOSE({1,2},Table11[Native],Table11[Name]),2,0)</f>
        <v>Hàntái Qū</v>
      </c>
      <c r="N417" s="13" t="str">
        <f>VLOOKUP(I417,CHOOSE({1,2},Table11[Native],Table11[Name]),2,0)</f>
        <v>Hànzhōng Shì</v>
      </c>
      <c r="O417" s="13" t="str">
        <f t="shared" si="26"/>
        <v>Hanwang Zhen (Hanzhong Shi) (Hànzhōng Shì)</v>
      </c>
      <c r="P417" s="13" t="str">
        <f t="shared" si="27"/>
        <v>Hanwang Zhen (Hanzhong Shi) (Hànzhōng Shì)</v>
      </c>
    </row>
    <row r="418" spans="1:16" hidden="1" x14ac:dyDescent="0.25">
      <c r="A418" t="s">
        <v>85</v>
      </c>
      <c r="B418" t="str">
        <f t="shared" si="24"/>
        <v>Hànyáng Zhèn [incl. Shuāngpíng Xiāng]</v>
      </c>
      <c r="C418" t="str">
        <f t="shared" si="25"/>
        <v>Hànyáng Zhèn [incl. Shuāngpíng Xiāng]</v>
      </c>
      <c r="D418" t="s">
        <v>86</v>
      </c>
      <c r="E418" t="s">
        <v>7</v>
      </c>
      <c r="F418" t="str">
        <f>_xlfn.CONCAT(D418,", ",H418,", ",I418,", ","陕西省")</f>
        <v>汉阳镇, 汉阴县, 安康市, 陕西省</v>
      </c>
      <c r="G418">
        <v>20400</v>
      </c>
      <c r="H418" t="s">
        <v>3036</v>
      </c>
      <c r="I418" t="s">
        <v>3031</v>
      </c>
      <c r="J418">
        <f>VLOOKUP(F418,[1]!china_towns_second__2[[Column1]:[Y]],3,FALSE)</f>
        <v>32.787725210018799</v>
      </c>
      <c r="K418">
        <f>VLOOKUP(F418,[1]!china_towns_second__2[[Column1]:[Y]],2,FALSE)</f>
        <v>108.2771281</v>
      </c>
      <c r="L418" t="s">
        <v>4540</v>
      </c>
      <c r="M418" t="str">
        <f>VLOOKUP(H418,CHOOSE({1,2},Table11[Native],Table11[Name]),2,0)</f>
        <v>Hànyīn Xiàn</v>
      </c>
      <c r="N418" s="13" t="str">
        <f>VLOOKUP(I418,CHOOSE({1,2},Table11[Native],Table11[Name]),2,0)</f>
        <v>Ānkāng Shì</v>
      </c>
      <c r="O418" s="13" t="str">
        <f t="shared" si="26"/>
        <v>Hanyang Zhen [incl. Shuangping Xiang] (Ānkāng Shì)</v>
      </c>
      <c r="P418" s="13" t="str">
        <f t="shared" si="27"/>
        <v>Hanyang Zhen [incl. Shuangping Xiang] (Ānkāng Shì)</v>
      </c>
    </row>
    <row r="419" spans="1:16" hidden="1" x14ac:dyDescent="0.25">
      <c r="A419" t="s">
        <v>739</v>
      </c>
      <c r="B419" t="str">
        <f t="shared" si="24"/>
        <v>Hànyuán Jiēdào</v>
      </c>
      <c r="C419" t="str">
        <f t="shared" si="25"/>
        <v>Hànyuán Jiēdào</v>
      </c>
      <c r="D419" t="s">
        <v>740</v>
      </c>
      <c r="E419" t="s">
        <v>113</v>
      </c>
      <c r="F419" t="str">
        <f>_xlfn.CONCAT(D419,", ",H419,", ",I419,", ","陕西省")</f>
        <v>汉源街道, 宁强县, 汉中市, 陕西省</v>
      </c>
      <c r="G419">
        <v>50440</v>
      </c>
      <c r="H419" t="s">
        <v>3067</v>
      </c>
      <c r="I419" t="s">
        <v>3059</v>
      </c>
      <c r="J419" t="e">
        <f>VLOOKUP(F419,[1]!china_towns_second__2[[Column1]:[Y]],3,FALSE)</f>
        <v>#N/A</v>
      </c>
      <c r="K419" t="e">
        <f>VLOOKUP(F419,[1]!china_towns_second__2[[Column1]:[Y]],2,FALSE)</f>
        <v>#N/A</v>
      </c>
      <c r="L419" t="s">
        <v>4541</v>
      </c>
      <c r="M419" t="str">
        <f>VLOOKUP(H419,CHOOSE({1,2},Table11[Native],Table11[Name]),2,0)</f>
        <v>Níngqiáng Xiàn</v>
      </c>
      <c r="N419" s="13" t="str">
        <f>VLOOKUP(I419,CHOOSE({1,2},Table11[Native],Table11[Name]),2,0)</f>
        <v>Hànzhōng Shì</v>
      </c>
      <c r="O419" s="13" t="str">
        <f t="shared" si="26"/>
        <v>Hanyuan Jiedao (Hànzhōng Shì)</v>
      </c>
      <c r="P419" s="13" t="str">
        <f t="shared" si="27"/>
        <v>Hanyuan Jiedao (Hànzhōng Shì)</v>
      </c>
    </row>
    <row r="420" spans="1:16" hidden="1" x14ac:dyDescent="0.25">
      <c r="A420" t="s">
        <v>741</v>
      </c>
      <c r="B420" t="str">
        <f t="shared" si="24"/>
        <v>Hànzhōnglù Jiēdào</v>
      </c>
      <c r="C420" t="str">
        <f t="shared" si="25"/>
        <v>Hànzhōnglù Jiēdào</v>
      </c>
      <c r="D420" t="s">
        <v>742</v>
      </c>
      <c r="E420" t="s">
        <v>113</v>
      </c>
      <c r="F420" t="str">
        <f>_xlfn.CONCAT(D420,", ",H420,", ",I420,", ","陕西省")</f>
        <v>汉中路街道, 汉台区, 汉中市, 陕西省</v>
      </c>
      <c r="G420">
        <v>59560</v>
      </c>
      <c r="H420" t="s">
        <v>3062</v>
      </c>
      <c r="I420" t="s">
        <v>3059</v>
      </c>
      <c r="J420">
        <f>VLOOKUP(F420,[1]!china_towns_second__2[[Column1]:[Y]],3,FALSE)</f>
        <v>33.063443320631102</v>
      </c>
      <c r="K420">
        <f>VLOOKUP(F420,[1]!china_towns_second__2[[Column1]:[Y]],2,FALSE)</f>
        <v>107.0078275</v>
      </c>
      <c r="L420" t="s">
        <v>4542</v>
      </c>
      <c r="M420" t="str">
        <f>VLOOKUP(H420,CHOOSE({1,2},Table11[Native],Table11[Name]),2,0)</f>
        <v>Hàntái Qū</v>
      </c>
      <c r="N420" s="13" t="str">
        <f>VLOOKUP(I420,CHOOSE({1,2},Table11[Native],Table11[Name]),2,0)</f>
        <v>Hànzhōng Shì</v>
      </c>
      <c r="O420" s="13" t="str">
        <f t="shared" si="26"/>
        <v>Hanzhonglu Jiedao (Hànzhōng Shì)</v>
      </c>
      <c r="P420" s="13" t="str">
        <f t="shared" si="27"/>
        <v>Hanzhonglu Jiedao (Hànzhōng Shì)</v>
      </c>
    </row>
    <row r="421" spans="1:16" hidden="1" x14ac:dyDescent="0.25">
      <c r="A421" t="s">
        <v>2738</v>
      </c>
      <c r="B421" t="str">
        <f t="shared" si="24"/>
        <v>Hăojiāyàn Xiāng</v>
      </c>
      <c r="C421" t="str">
        <f t="shared" si="25"/>
        <v>Hăojiāyàn Xiāng</v>
      </c>
      <c r="D421" t="s">
        <v>2739</v>
      </c>
      <c r="E421" t="s">
        <v>11</v>
      </c>
      <c r="F421" t="str">
        <f>_xlfn.CONCAT(D421,", ",H421,", ",I421,", ","陕西省")</f>
        <v>郝家墕乡, 清涧县, 榆林市, 陕西省</v>
      </c>
      <c r="G421">
        <v>3842</v>
      </c>
      <c r="H421" t="s">
        <v>3155</v>
      </c>
      <c r="I421" t="s">
        <v>3148</v>
      </c>
      <c r="J421" t="e">
        <f>VLOOKUP(F421,[1]!china_towns_second__2[[Column1]:[Y]],3,FALSE)</f>
        <v>#N/A</v>
      </c>
      <c r="K421" t="e">
        <f>VLOOKUP(F421,[1]!china_towns_second__2[[Column1]:[Y]],2,FALSE)</f>
        <v>#N/A</v>
      </c>
      <c r="L421" t="s">
        <v>4543</v>
      </c>
      <c r="M421" t="str">
        <f>VLOOKUP(H421,CHOOSE({1,2},Table11[Native],Table11[Name]),2,0)</f>
        <v>Qīngjiàn Xiàn</v>
      </c>
      <c r="N421" s="13" t="str">
        <f>VLOOKUP(I421,CHOOSE({1,2},Table11[Native],Table11[Name]),2,0)</f>
        <v>Yúlín Shì</v>
      </c>
      <c r="O421" s="13" t="str">
        <f t="shared" si="26"/>
        <v>Haojiayan Xiang (Yúlín Shì)</v>
      </c>
      <c r="P421" s="13" t="str">
        <f t="shared" si="27"/>
        <v>Haojiayan Xiang (Yúlín Shì)</v>
      </c>
    </row>
    <row r="422" spans="1:16" hidden="1" x14ac:dyDescent="0.25">
      <c r="A422" t="s">
        <v>87</v>
      </c>
      <c r="B422" t="str">
        <f t="shared" si="24"/>
        <v>Hāopíng Zhèn</v>
      </c>
      <c r="C422" t="str">
        <f t="shared" si="25"/>
        <v>Hāopíng Zhèn</v>
      </c>
      <c r="D422" t="s">
        <v>88</v>
      </c>
      <c r="E422" t="s">
        <v>7</v>
      </c>
      <c r="F422" t="str">
        <f>_xlfn.CONCAT(D422,", ",H422,", ",I422,", ","陕西省")</f>
        <v>蒿坪镇, 紫阳县, 安康市, 陕西省</v>
      </c>
      <c r="G422">
        <v>25903</v>
      </c>
      <c r="H422" t="s">
        <v>3043</v>
      </c>
      <c r="I422" t="s">
        <v>3031</v>
      </c>
      <c r="J422">
        <f>VLOOKUP(F422,[1]!china_towns_second__2[[Column1]:[Y]],3,FALSE)</f>
        <v>32.607191329590698</v>
      </c>
      <c r="K422">
        <f>VLOOKUP(F422,[1]!china_towns_second__2[[Column1]:[Y]],2,FALSE)</f>
        <v>108.5922461</v>
      </c>
      <c r="L422" t="s">
        <v>4544</v>
      </c>
      <c r="M422" t="str">
        <f>VLOOKUP(H422,CHOOSE({1,2},Table11[Native],Table11[Name]),2,0)</f>
        <v>Zĭyáng Xiàn</v>
      </c>
      <c r="N422" s="13" t="str">
        <f>VLOOKUP(I422,CHOOSE({1,2},Table11[Native],Table11[Name]),2,0)</f>
        <v>Ānkāng Shì</v>
      </c>
      <c r="O422" s="13" t="str">
        <f t="shared" si="26"/>
        <v>Haoping Zhen (Ānkāng Shì)</v>
      </c>
      <c r="P422" s="13" t="str">
        <f t="shared" si="27"/>
        <v>Haoping Zhen (Ānkāng Shì)</v>
      </c>
    </row>
    <row r="423" spans="1:16" hidden="1" x14ac:dyDescent="0.25">
      <c r="A423" t="s">
        <v>2740</v>
      </c>
      <c r="B423" t="str">
        <f t="shared" si="24"/>
        <v>Hăotān Zhèn</v>
      </c>
      <c r="C423" t="str">
        <f t="shared" si="25"/>
        <v>Hăotān Zhèn</v>
      </c>
      <c r="D423" t="s">
        <v>2741</v>
      </c>
      <c r="E423" t="s">
        <v>7</v>
      </c>
      <c r="F423" t="str">
        <f>_xlfn.CONCAT(D423,", ",H423,", ",I423,", ","陕西省")</f>
        <v>郝滩镇, 定边县, 榆林市, 陕西省</v>
      </c>
      <c r="G423">
        <v>14469</v>
      </c>
      <c r="H423" t="s">
        <v>3149</v>
      </c>
      <c r="I423" t="s">
        <v>3148</v>
      </c>
      <c r="J423">
        <f>VLOOKUP(F423,[1]!china_towns_second__2[[Column1]:[Y]],3,FALSE)</f>
        <v>37.4555776769988</v>
      </c>
      <c r="K423">
        <f>VLOOKUP(F423,[1]!china_towns_second__2[[Column1]:[Y]],2,FALSE)</f>
        <v>108.2683925</v>
      </c>
      <c r="L423" t="s">
        <v>4545</v>
      </c>
      <c r="M423" t="str">
        <f>VLOOKUP(H423,CHOOSE({1,2},Table11[Native],Table11[Name]),2,0)</f>
        <v>Dìngbiān Xiàn</v>
      </c>
      <c r="N423" s="13" t="str">
        <f>VLOOKUP(I423,CHOOSE({1,2},Table11[Native],Table11[Name]),2,0)</f>
        <v>Yúlín Shì</v>
      </c>
      <c r="O423" s="13" t="str">
        <f t="shared" si="26"/>
        <v>Haotan Zhen (Yúlín Shì)</v>
      </c>
      <c r="P423" s="13" t="str">
        <f t="shared" si="27"/>
        <v>Haotan Zhen (Yúlín Shì)</v>
      </c>
    </row>
    <row r="424" spans="1:16" hidden="1" x14ac:dyDescent="0.25">
      <c r="A424" t="s">
        <v>429</v>
      </c>
      <c r="B424" t="str">
        <f t="shared" si="24"/>
        <v>Hébĕi Zhèn</v>
      </c>
      <c r="C424" t="str">
        <f t="shared" si="25"/>
        <v>Hébĕi Zhèn</v>
      </c>
      <c r="D424" t="s">
        <v>430</v>
      </c>
      <c r="E424" t="s">
        <v>7</v>
      </c>
      <c r="F424" t="str">
        <f>_xlfn.CONCAT(D424,", ",H424,", ",I424,", ","陕西省")</f>
        <v>河北镇, 陇县, 宝鸡市, 陕西省</v>
      </c>
      <c r="G424">
        <v>10256</v>
      </c>
      <c r="H424" t="s">
        <v>3052</v>
      </c>
      <c r="I424" t="s">
        <v>3045</v>
      </c>
      <c r="J424">
        <f>VLOOKUP(F424,[1]!china_towns_second__2[[Column1]:[Y]],3,FALSE)</f>
        <v>34.9889990229427</v>
      </c>
      <c r="K424">
        <f>VLOOKUP(F424,[1]!china_towns_second__2[[Column1]:[Y]],2,FALSE)</f>
        <v>106.9984316</v>
      </c>
      <c r="L424" t="s">
        <v>4546</v>
      </c>
      <c r="M424" t="str">
        <f>VLOOKUP(H424,CHOOSE({1,2},Table11[Native],Table11[Name]),2,0)</f>
        <v>Lŏng Xiàn</v>
      </c>
      <c r="N424" s="13" t="str">
        <f>VLOOKUP(I424,CHOOSE({1,2},Table11[Native],Table11[Name]),2,0)</f>
        <v>Băojī Shì</v>
      </c>
      <c r="O424" s="13" t="str">
        <f t="shared" si="26"/>
        <v>Hebei Zhen (Băojī Shì)</v>
      </c>
      <c r="P424" s="13" t="str">
        <f t="shared" si="27"/>
        <v>Hebei Zhen (Băojī Shì)</v>
      </c>
    </row>
    <row r="425" spans="1:16" hidden="1" x14ac:dyDescent="0.25">
      <c r="A425" t="s">
        <v>2744</v>
      </c>
      <c r="B425" t="str">
        <f t="shared" si="24"/>
        <v>Hédĭ Xiāng</v>
      </c>
      <c r="C425" t="str">
        <f t="shared" si="25"/>
        <v>Hédĭ Xiāng</v>
      </c>
      <c r="D425" t="s">
        <v>2745</v>
      </c>
      <c r="E425" t="s">
        <v>11</v>
      </c>
      <c r="F425" t="str">
        <f>_xlfn.CONCAT(D425,", ",H425,", ",I425,", ","陕西省")</f>
        <v>河底乡, 绥德县, 榆林市, 陕西省</v>
      </c>
      <c r="G425">
        <v>5215</v>
      </c>
      <c r="H425" t="s">
        <v>3157</v>
      </c>
      <c r="I425" t="s">
        <v>3148</v>
      </c>
      <c r="J425" t="e">
        <f>VLOOKUP(F425,[1]!china_towns_second__2[[Column1]:[Y]],3,FALSE)</f>
        <v>#N/A</v>
      </c>
      <c r="K425" t="e">
        <f>VLOOKUP(F425,[1]!china_towns_second__2[[Column1]:[Y]],2,FALSE)</f>
        <v>#N/A</v>
      </c>
      <c r="L425" t="s">
        <v>4547</v>
      </c>
      <c r="M425" t="str">
        <f>VLOOKUP(H425,CHOOSE({1,2},Table11[Native],Table11[Name]),2,0)</f>
        <v>Suídé Xiàn</v>
      </c>
      <c r="N425" s="13" t="str">
        <f>VLOOKUP(I425,CHOOSE({1,2},Table11[Native],Table11[Name]),2,0)</f>
        <v>Yúlín Shì</v>
      </c>
      <c r="O425" s="13" t="str">
        <f t="shared" si="26"/>
        <v>Hedi Xiang (Yúlín Shì)</v>
      </c>
      <c r="P425" s="13" t="str">
        <f t="shared" si="27"/>
        <v>Hedi Xiang (Yúlín Shì)</v>
      </c>
    </row>
    <row r="426" spans="1:16" hidden="1" x14ac:dyDescent="0.25">
      <c r="A426" t="s">
        <v>743</v>
      </c>
      <c r="B426" t="str">
        <f t="shared" si="24"/>
        <v>Hédōngdiàn Zhèn</v>
      </c>
      <c r="C426" t="str">
        <f t="shared" si="25"/>
        <v>Hédōngdiàn Zhèn</v>
      </c>
      <c r="D426" t="s">
        <v>744</v>
      </c>
      <c r="E426" t="s">
        <v>7</v>
      </c>
      <c r="F426" t="str">
        <f>_xlfn.CONCAT(D426,", ",H426,", ",I426,", ","陕西省")</f>
        <v>河东店镇, 汉台区, 汉中市, 陕西省</v>
      </c>
      <c r="G426">
        <v>25588</v>
      </c>
      <c r="H426" t="s">
        <v>3062</v>
      </c>
      <c r="I426" t="s">
        <v>3059</v>
      </c>
      <c r="J426">
        <f>VLOOKUP(F426,[1]!china_towns_second__2[[Column1]:[Y]],3,FALSE)</f>
        <v>33.270090523104997</v>
      </c>
      <c r="K426">
        <f>VLOOKUP(F426,[1]!china_towns_second__2[[Column1]:[Y]],2,FALSE)</f>
        <v>106.9704352</v>
      </c>
      <c r="L426" t="s">
        <v>4548</v>
      </c>
      <c r="M426" t="str">
        <f>VLOOKUP(H426,CHOOSE({1,2},Table11[Native],Table11[Name]),2,0)</f>
        <v>Hàntái Qū</v>
      </c>
      <c r="N426" s="13" t="str">
        <f>VLOOKUP(I426,CHOOSE({1,2},Table11[Native],Table11[Name]),2,0)</f>
        <v>Hànzhōng Shì</v>
      </c>
      <c r="O426" s="13" t="str">
        <f t="shared" si="26"/>
        <v>Hedongdian Zhen (Hànzhōng Shì)</v>
      </c>
      <c r="P426" s="13" t="str">
        <f t="shared" si="27"/>
        <v>Hedongdian Zhen (Hànzhōng Shì)</v>
      </c>
    </row>
    <row r="427" spans="1:16" hidden="1" x14ac:dyDescent="0.25">
      <c r="A427" t="s">
        <v>1482</v>
      </c>
      <c r="B427" t="str">
        <f t="shared" si="24"/>
        <v>Hēichí Zhèn</v>
      </c>
      <c r="C427" t="str">
        <f t="shared" si="25"/>
        <v>Hēichí Zhèn</v>
      </c>
      <c r="D427" t="s">
        <v>1483</v>
      </c>
      <c r="E427" t="s">
        <v>7</v>
      </c>
      <c r="F427" t="str">
        <f>_xlfn.CONCAT(D427,", ",H427,", ",I427,", ","陕西省")</f>
        <v>黑池镇, 合阳县, 渭南市, 陕西省</v>
      </c>
      <c r="G427">
        <v>29293</v>
      </c>
      <c r="H427" t="s">
        <v>3094</v>
      </c>
      <c r="I427" t="s">
        <v>3087</v>
      </c>
      <c r="J427">
        <f>VLOOKUP(F427,[1]!china_towns_second__2[[Column1]:[Y]],3,FALSE)</f>
        <v>35.049222201195803</v>
      </c>
      <c r="K427">
        <f>VLOOKUP(F427,[1]!china_towns_second__2[[Column1]:[Y]],2,FALSE)</f>
        <v>110.2436855</v>
      </c>
      <c r="L427" t="s">
        <v>4549</v>
      </c>
      <c r="M427" t="str">
        <f>VLOOKUP(H427,CHOOSE({1,2},Table11[Native],Table11[Name]),2,0)</f>
        <v>Héyáng Xiàn</v>
      </c>
      <c r="N427" s="13" t="str">
        <f>VLOOKUP(I427,CHOOSE({1,2},Table11[Native],Table11[Name]),2,0)</f>
        <v>Wèinán Shì</v>
      </c>
      <c r="O427" s="13" t="str">
        <f t="shared" si="26"/>
        <v>Heichi Zhen (Wèinán Shì)</v>
      </c>
      <c r="P427" s="13" t="str">
        <f t="shared" si="27"/>
        <v>Heichi Zhen (Wèinán Shì)</v>
      </c>
    </row>
    <row r="428" spans="1:16" hidden="1" x14ac:dyDescent="0.25">
      <c r="A428" t="s">
        <v>745</v>
      </c>
      <c r="B428" t="str">
        <f t="shared" si="24"/>
        <v>Hēihé Zhèn</v>
      </c>
      <c r="C428" t="str">
        <f t="shared" si="25"/>
        <v>Hēihé Zhèn</v>
      </c>
      <c r="D428" t="s">
        <v>746</v>
      </c>
      <c r="E428" t="s">
        <v>7</v>
      </c>
      <c r="F428" t="str">
        <f>_xlfn.CONCAT(D428,", ",H428,", ",I428,", ","陕西省")</f>
        <v>黑河镇, 略阳县, 汉中市, 陕西省</v>
      </c>
      <c r="G428">
        <v>5627</v>
      </c>
      <c r="H428" t="s">
        <v>3064</v>
      </c>
      <c r="I428" t="s">
        <v>3059</v>
      </c>
      <c r="J428">
        <f>VLOOKUP(F428,[1]!china_towns_second__2[[Column1]:[Y]],3,FALSE)</f>
        <v>33.289927899626598</v>
      </c>
      <c r="K428">
        <f>VLOOKUP(F428,[1]!china_towns_second__2[[Column1]:[Y]],2,FALSE)</f>
        <v>106.3733379</v>
      </c>
      <c r="L428" t="s">
        <v>4550</v>
      </c>
      <c r="M428" t="str">
        <f>VLOOKUP(H428,CHOOSE({1,2},Table11[Native],Table11[Name]),2,0)</f>
        <v>Lüèyáng Xiàn</v>
      </c>
      <c r="N428" s="13" t="str">
        <f>VLOOKUP(I428,CHOOSE({1,2},Table11[Native],Table11[Name]),2,0)</f>
        <v>Hànzhōng Shì</v>
      </c>
      <c r="O428" s="13" t="str">
        <f t="shared" si="26"/>
        <v>Heihe Zhen (Hànzhōng Shì)</v>
      </c>
      <c r="P428" s="13" t="str">
        <f t="shared" si="27"/>
        <v>Heihe Zhen (Hànzhōng Shì)</v>
      </c>
    </row>
    <row r="429" spans="1:16" hidden="1" x14ac:dyDescent="0.25">
      <c r="A429" t="s">
        <v>2404</v>
      </c>
      <c r="B429" t="str">
        <f t="shared" si="24"/>
        <v>Hēijiābăo Zhèn</v>
      </c>
      <c r="C429" t="str">
        <f t="shared" si="25"/>
        <v>Hēijiābăo Zhèn</v>
      </c>
      <c r="D429" t="s">
        <v>2405</v>
      </c>
      <c r="E429" t="s">
        <v>7</v>
      </c>
      <c r="F429" t="str">
        <f>_xlfn.CONCAT(D429,", ",H429,", ",I429,", ","陕西省")</f>
        <v>黑家堡镇, 延长县, 延安市, 陕西省</v>
      </c>
      <c r="G429">
        <v>8196</v>
      </c>
      <c r="H429" t="s">
        <v>3142</v>
      </c>
      <c r="I429" t="s">
        <v>3133</v>
      </c>
      <c r="J429">
        <f>VLOOKUP(F429,[1]!china_towns_second__2[[Column1]:[Y]],3,FALSE)</f>
        <v>36.678615141407803</v>
      </c>
      <c r="K429">
        <f>VLOOKUP(F429,[1]!china_towns_second__2[[Column1]:[Y]],2,FALSE)</f>
        <v>109.8862706</v>
      </c>
      <c r="L429" t="s">
        <v>4551</v>
      </c>
      <c r="M429" t="str">
        <f>VLOOKUP(H429,CHOOSE({1,2},Table11[Native],Table11[Name]),2,0)</f>
        <v>Yáncháng Xiàn</v>
      </c>
      <c r="N429" s="13" t="str">
        <f>VLOOKUP(I429,CHOOSE({1,2},Table11[Native],Table11[Name]),2,0)</f>
        <v>Yán'ān Shì</v>
      </c>
      <c r="O429" s="13" t="str">
        <f t="shared" si="26"/>
        <v>Heijiabao Zhen (Yán'ān Shì)</v>
      </c>
      <c r="P429" s="13" t="str">
        <f t="shared" si="27"/>
        <v>Heijiabao Zhen (Yán'ān Shì)</v>
      </c>
    </row>
    <row r="430" spans="1:16" hidden="1" x14ac:dyDescent="0.25">
      <c r="A430" t="s">
        <v>1102</v>
      </c>
      <c r="B430" t="str">
        <f t="shared" si="24"/>
        <v>Hēishān Zhèn</v>
      </c>
      <c r="C430" t="str">
        <f t="shared" si="25"/>
        <v>Hēishān Zhèn</v>
      </c>
      <c r="D430" t="s">
        <v>1103</v>
      </c>
      <c r="E430" t="s">
        <v>7</v>
      </c>
      <c r="F430" t="str">
        <f>_xlfn.CONCAT(D430,", ",H430,", ",I430,", ","陕西省")</f>
        <v>黑山镇, 商州区, 商洛市, 陕西省</v>
      </c>
      <c r="G430">
        <v>12670</v>
      </c>
      <c r="H430" t="s">
        <v>3076</v>
      </c>
      <c r="I430" t="s">
        <v>3072</v>
      </c>
      <c r="J430">
        <f>VLOOKUP(F430,[1]!china_towns_second__2[[Column1]:[Y]],3,FALSE)</f>
        <v>33.724074669680597</v>
      </c>
      <c r="K430">
        <f>VLOOKUP(F430,[1]!china_towns_second__2[[Column1]:[Y]],2,FALSE)</f>
        <v>109.7525488</v>
      </c>
      <c r="L430" t="s">
        <v>4552</v>
      </c>
      <c r="M430" t="str">
        <f>VLOOKUP(H430,CHOOSE({1,2},Table11[Native],Table11[Name]),2,0)</f>
        <v>Shāngzhōu Qū</v>
      </c>
      <c r="N430" s="13" t="str">
        <f>VLOOKUP(I430,CHOOSE({1,2},Table11[Native],Table11[Name]),2,0)</f>
        <v>Shāngluò Shì</v>
      </c>
      <c r="O430" s="13" t="str">
        <f t="shared" si="26"/>
        <v>Heishan Zhen (Shāngluò Shì)</v>
      </c>
      <c r="P430" s="13" t="str">
        <f t="shared" si="27"/>
        <v>Heishan Zhen (Shāngluò Shì)</v>
      </c>
    </row>
    <row r="431" spans="1:16" hidden="1" x14ac:dyDescent="0.25">
      <c r="A431" t="s">
        <v>2746</v>
      </c>
      <c r="B431" t="str">
        <f t="shared" si="24"/>
        <v>Hèjiāchuān Zhèn</v>
      </c>
      <c r="C431" t="str">
        <f t="shared" si="25"/>
        <v>Hèjiāchuān Zhèn</v>
      </c>
      <c r="D431" t="s">
        <v>2747</v>
      </c>
      <c r="E431" t="s">
        <v>7</v>
      </c>
      <c r="F431" t="str">
        <f>_xlfn.CONCAT(D431,", ",H431,", ",I431,", ","陕西省")</f>
        <v>贺家川镇, 神木市, 榆林市, 陕西省</v>
      </c>
      <c r="G431">
        <v>3427</v>
      </c>
      <c r="H431" t="s">
        <v>3156</v>
      </c>
      <c r="I431" t="s">
        <v>3148</v>
      </c>
      <c r="J431">
        <f>VLOOKUP(F431,[1]!china_towns_second__2[[Column1]:[Y]],3,FALSE)</f>
        <v>38.496318562756997</v>
      </c>
      <c r="K431">
        <f>VLOOKUP(F431,[1]!china_towns_second__2[[Column1]:[Y]],2,FALSE)</f>
        <v>110.658547</v>
      </c>
      <c r="L431" t="s">
        <v>4553</v>
      </c>
      <c r="M431" t="str">
        <f>VLOOKUP(H431,CHOOSE({1,2},Table11[Native],Table11[Name]),2,0)</f>
        <v>Shénmù Shì</v>
      </c>
      <c r="N431" s="13" t="str">
        <f>VLOOKUP(I431,CHOOSE({1,2},Table11[Native],Table11[Name]),2,0)</f>
        <v>Yúlín Shì</v>
      </c>
      <c r="O431" s="13" t="str">
        <f t="shared" si="26"/>
        <v>Hejiachuan Zhen (Yúlín Shì)</v>
      </c>
      <c r="P431" s="13" t="str">
        <f t="shared" si="27"/>
        <v>Hejiachuan Zhen (Yúlín Shì)</v>
      </c>
    </row>
    <row r="432" spans="1:16" hidden="1" x14ac:dyDescent="0.25">
      <c r="A432" t="s">
        <v>2748</v>
      </c>
      <c r="B432" t="str">
        <f t="shared" si="24"/>
        <v>Héjiājí Zhèn</v>
      </c>
      <c r="C432" t="str">
        <f t="shared" si="25"/>
        <v>Héjiājí Zhèn</v>
      </c>
      <c r="D432" t="s">
        <v>2749</v>
      </c>
      <c r="E432" t="s">
        <v>7</v>
      </c>
      <c r="F432" t="str">
        <f>_xlfn.CONCAT(D432,", ",H432,", ",I432,", ","陕西省")</f>
        <v>何家集镇, 子洲县, 榆林市, 陕西省</v>
      </c>
      <c r="G432">
        <v>11382</v>
      </c>
      <c r="H432" t="s">
        <v>3160</v>
      </c>
      <c r="I432" t="s">
        <v>3148</v>
      </c>
      <c r="J432">
        <f>VLOOKUP(F432,[1]!china_towns_second__2[[Column1]:[Y]],3,FALSE)</f>
        <v>37.350682446023299</v>
      </c>
      <c r="K432">
        <f>VLOOKUP(F432,[1]!china_towns_second__2[[Column1]:[Y]],2,FALSE)</f>
        <v>109.8181716</v>
      </c>
      <c r="L432" t="s">
        <v>4554</v>
      </c>
      <c r="M432" t="str">
        <f>VLOOKUP(H432,CHOOSE({1,2},Table11[Native],Table11[Name]),2,0)</f>
        <v>Zizhōu Xiàn</v>
      </c>
      <c r="N432" s="13" t="str">
        <f>VLOOKUP(I432,CHOOSE({1,2},Table11[Native],Table11[Name]),2,0)</f>
        <v>Yúlín Shì</v>
      </c>
      <c r="O432" s="13" t="str">
        <f t="shared" si="26"/>
        <v>Hejiaji Zhen (Yúlín Shì)</v>
      </c>
      <c r="P432" s="13" t="str">
        <f t="shared" si="27"/>
        <v>Hejiaji Zhen (Yúlín Shì)</v>
      </c>
    </row>
    <row r="433" spans="1:16" hidden="1" x14ac:dyDescent="0.25">
      <c r="A433" t="s">
        <v>2406</v>
      </c>
      <c r="B433" t="str">
        <f t="shared" si="24"/>
        <v>Hèjiāwān Xiāng</v>
      </c>
      <c r="C433" t="str">
        <f t="shared" si="25"/>
        <v>Hèjiāwān Xiāng</v>
      </c>
      <c r="D433" t="s">
        <v>2407</v>
      </c>
      <c r="E433" t="s">
        <v>11</v>
      </c>
      <c r="F433" t="str">
        <f>_xlfn.CONCAT(D433,", ",H433,", ",I433,", ","陕西省")</f>
        <v>贺家湾乡, 延川县, 延安市, 陕西省</v>
      </c>
      <c r="G433">
        <v>3644</v>
      </c>
      <c r="H433" t="s">
        <v>3143</v>
      </c>
      <c r="I433" t="s">
        <v>3133</v>
      </c>
      <c r="J433" t="e">
        <f>VLOOKUP(F433,[1]!china_towns_second__2[[Column1]:[Y]],3,FALSE)</f>
        <v>#N/A</v>
      </c>
      <c r="K433" t="e">
        <f>VLOOKUP(F433,[1]!china_towns_second__2[[Column1]:[Y]],2,FALSE)</f>
        <v>#N/A</v>
      </c>
      <c r="L433" t="s">
        <v>4555</v>
      </c>
      <c r="M433" t="str">
        <f>VLOOKUP(H433,CHOOSE({1,2},Table11[Native],Table11[Name]),2,0)</f>
        <v>Yánchuān Xiàn</v>
      </c>
      <c r="N433" s="13" t="str">
        <f>VLOOKUP(I433,CHOOSE({1,2},Table11[Native],Table11[Name]),2,0)</f>
        <v>Yán'ān Shì</v>
      </c>
      <c r="O433" s="13" t="str">
        <f t="shared" si="26"/>
        <v>Hejiawan Xiang (Yán'ān Shì)</v>
      </c>
      <c r="P433" s="13" t="str">
        <f t="shared" si="27"/>
        <v>Hejiawan Xiang (Yán'ān Shì)</v>
      </c>
    </row>
    <row r="434" spans="1:16" hidden="1" x14ac:dyDescent="0.25">
      <c r="A434" t="s">
        <v>1484</v>
      </c>
      <c r="B434" t="str">
        <f t="shared" si="24"/>
        <v>Héjiāzhuāng Zhèn</v>
      </c>
      <c r="C434" t="str">
        <f t="shared" si="25"/>
        <v>Héjiāzhuāng Zhèn</v>
      </c>
      <c r="D434" t="s">
        <v>1485</v>
      </c>
      <c r="E434" t="s">
        <v>7</v>
      </c>
      <c r="F434" t="str">
        <f>_xlfn.CONCAT(D434,", ",H434,", ",I434,", ","陕西省")</f>
        <v>和家庄镇, 合阳县, 渭南市, 陕西省</v>
      </c>
      <c r="G434">
        <v>25435</v>
      </c>
      <c r="H434" t="s">
        <v>3094</v>
      </c>
      <c r="I434" t="s">
        <v>3087</v>
      </c>
      <c r="J434">
        <f>VLOOKUP(F434,[1]!china_towns_second__2[[Column1]:[Y]],3,FALSE)</f>
        <v>35.133934660214599</v>
      </c>
      <c r="K434">
        <f>VLOOKUP(F434,[1]!china_towns_second__2[[Column1]:[Y]],2,FALSE)</f>
        <v>110.0722379</v>
      </c>
      <c r="L434" t="s">
        <v>4556</v>
      </c>
      <c r="M434" t="str">
        <f>VLOOKUP(H434,CHOOSE({1,2},Table11[Native],Table11[Name]),2,0)</f>
        <v>Héyáng Xiàn</v>
      </c>
      <c r="N434" s="13" t="str">
        <f>VLOOKUP(I434,CHOOSE({1,2},Table11[Native],Table11[Name]),2,0)</f>
        <v>Wèinán Shì</v>
      </c>
      <c r="O434" s="13" t="str">
        <f t="shared" si="26"/>
        <v>Hejiazhuang Zhen (Wèinán Shì)</v>
      </c>
      <c r="P434" s="13" t="str">
        <f t="shared" si="27"/>
        <v>Hejiazhuang Zhen (Wèinán Shì)</v>
      </c>
    </row>
    <row r="435" spans="1:16" hidden="1" x14ac:dyDescent="0.25">
      <c r="A435" t="s">
        <v>431</v>
      </c>
      <c r="B435" t="str">
        <f t="shared" si="24"/>
        <v>Hékŏu Zhèn</v>
      </c>
      <c r="C435" t="str">
        <f t="shared" si="25"/>
        <v>Hékŏu Zhèn</v>
      </c>
      <c r="D435" t="s">
        <v>432</v>
      </c>
      <c r="E435" t="s">
        <v>7</v>
      </c>
      <c r="F435" t="str">
        <f>_xlfn.CONCAT(D435,", ",H435,", ",I435,", ","陕西省")</f>
        <v>河口镇, 凤县, 宝鸡市, 陕西省</v>
      </c>
      <c r="G435">
        <v>6506</v>
      </c>
      <c r="H435" t="s">
        <v>3047</v>
      </c>
      <c r="I435" t="s">
        <v>3045</v>
      </c>
      <c r="J435">
        <f>VLOOKUP(F435,[1]!china_towns_second__2[[Column1]:[Y]],3,FALSE)</f>
        <v>34.038817615038703</v>
      </c>
      <c r="K435">
        <f>VLOOKUP(F435,[1]!china_towns_second__2[[Column1]:[Y]],2,FALSE)</f>
        <v>106.9080719</v>
      </c>
      <c r="L435" t="s">
        <v>4557</v>
      </c>
      <c r="M435" t="str">
        <f>VLOOKUP(H435,CHOOSE({1,2},Table11[Native],Table11[Name]),2,0)</f>
        <v>Fèng Xiàn</v>
      </c>
      <c r="N435" s="13" t="str">
        <f>VLOOKUP(I435,CHOOSE({1,2},Table11[Native],Table11[Name]),2,0)</f>
        <v>Băojī Shì</v>
      </c>
      <c r="O435" s="13" t="str">
        <f t="shared" si="26"/>
        <v>Hekou Zhen (Băojī Shì)</v>
      </c>
      <c r="P435" s="13" t="str">
        <f t="shared" si="27"/>
        <v>Hekou Zhen (Băojī Shì)</v>
      </c>
    </row>
    <row r="436" spans="1:16" hidden="1" x14ac:dyDescent="0.25">
      <c r="A436" t="s">
        <v>89</v>
      </c>
      <c r="B436" t="str">
        <f t="shared" si="24"/>
        <v>Héngkŏu Zhèn</v>
      </c>
      <c r="C436" t="str">
        <f t="shared" si="25"/>
        <v>Héngkŏu Zhèn</v>
      </c>
      <c r="D436" t="s">
        <v>90</v>
      </c>
      <c r="E436" t="s">
        <v>7</v>
      </c>
      <c r="F436" t="str">
        <f>_xlfn.CONCAT(D436,", ",H436,", ",I436,", ","陕西省")</f>
        <v>恒口镇, 汉滨区, 安康市, 陕西省</v>
      </c>
      <c r="G436">
        <v>81086</v>
      </c>
      <c r="H436" t="s">
        <v>3035</v>
      </c>
      <c r="I436" t="s">
        <v>3031</v>
      </c>
      <c r="J436">
        <f>VLOOKUP(F436,[1]!china_towns_second__2[[Column1]:[Y]],3,FALSE)</f>
        <v>32.778750426647001</v>
      </c>
      <c r="K436">
        <f>VLOOKUP(F436,[1]!china_towns_second__2[[Column1]:[Y]],2,FALSE)</f>
        <v>108.73866150000001</v>
      </c>
      <c r="L436" t="s">
        <v>4558</v>
      </c>
      <c r="M436" t="str">
        <f>VLOOKUP(H436,CHOOSE({1,2},Table11[Native],Table11[Name]),2,0)</f>
        <v>Hànbīn Qū</v>
      </c>
      <c r="N436" s="13" t="str">
        <f>VLOOKUP(I436,CHOOSE({1,2},Table11[Native],Table11[Name]),2,0)</f>
        <v>Ānkāng Shì</v>
      </c>
      <c r="O436" s="13" t="str">
        <f t="shared" si="26"/>
        <v>Hengkou Zhen (Ānkāng Shì)</v>
      </c>
      <c r="P436" s="13" t="str">
        <f t="shared" si="27"/>
        <v>Hengkou Zhen (Ānkāng Shì)</v>
      </c>
    </row>
    <row r="437" spans="1:16" hidden="1" x14ac:dyDescent="0.25">
      <c r="A437" t="s">
        <v>433</v>
      </c>
      <c r="B437" t="str">
        <f t="shared" si="24"/>
        <v>Héngqú Zhèn</v>
      </c>
      <c r="C437" t="str">
        <f t="shared" si="25"/>
        <v>Héngqú Zhèn</v>
      </c>
      <c r="D437" t="s">
        <v>434</v>
      </c>
      <c r="E437" t="s">
        <v>7</v>
      </c>
      <c r="F437" t="str">
        <f>_xlfn.CONCAT(D437,", ",H437,", ",I437,", ","陕西省")</f>
        <v>横渠镇, 眉县, 宝鸡市, 陕西省</v>
      </c>
      <c r="G437">
        <v>29020</v>
      </c>
      <c r="H437" t="s">
        <v>3053</v>
      </c>
      <c r="I437" t="s">
        <v>3045</v>
      </c>
      <c r="J437">
        <f>VLOOKUP(F437,[1]!china_towns_second__2[[Column1]:[Y]],3,FALSE)</f>
        <v>34.137497880157703</v>
      </c>
      <c r="K437">
        <f>VLOOKUP(F437,[1]!china_towns_second__2[[Column1]:[Y]],2,FALSE)</f>
        <v>107.9563746</v>
      </c>
      <c r="L437" t="s">
        <v>4559</v>
      </c>
      <c r="M437" t="str">
        <f>VLOOKUP(H437,CHOOSE({1,2},Table11[Native],Table11[Name]),2,0)</f>
        <v>Méi Xiàn</v>
      </c>
      <c r="N437" s="13" t="str">
        <f>VLOOKUP(I437,CHOOSE({1,2},Table11[Native],Table11[Name]),2,0)</f>
        <v>Băojī Shì</v>
      </c>
      <c r="O437" s="13" t="str">
        <f t="shared" si="26"/>
        <v>Hengqu Zhen (Băojī Shì)</v>
      </c>
      <c r="P437" s="13" t="str">
        <f t="shared" si="27"/>
        <v>Hengqu Zhen (Băojī Shì)</v>
      </c>
    </row>
    <row r="438" spans="1:16" hidden="1" x14ac:dyDescent="0.25">
      <c r="A438" t="s">
        <v>435</v>
      </c>
      <c r="B438" t="str">
        <f t="shared" si="24"/>
        <v>Héngshuĭ Zhèn</v>
      </c>
      <c r="C438" t="str">
        <f t="shared" si="25"/>
        <v>Héngshuĭ Zhèn</v>
      </c>
      <c r="D438" t="s">
        <v>436</v>
      </c>
      <c r="E438" t="s">
        <v>7</v>
      </c>
      <c r="F438" t="str">
        <f>_xlfn.CONCAT(D438,", ",H438,", ",I438,", ","陕西省")</f>
        <v>横水镇, 凤翔区, 宝鸡市, 陕西省</v>
      </c>
      <c r="G438">
        <v>39802</v>
      </c>
      <c r="H438" t="s">
        <v>3048</v>
      </c>
      <c r="I438" t="s">
        <v>3045</v>
      </c>
      <c r="J438">
        <f>VLOOKUP(F438,[1]!china_towns_second__2[[Column1]:[Y]],3,FALSE)</f>
        <v>34.479582809169997</v>
      </c>
      <c r="K438">
        <f>VLOOKUP(F438,[1]!china_towns_second__2[[Column1]:[Y]],2,FALSE)</f>
        <v>107.5473116</v>
      </c>
      <c r="L438" t="s">
        <v>4560</v>
      </c>
      <c r="M438" t="str">
        <f>VLOOKUP(H438,CHOOSE({1,2},Table11[Native],Table11[Name]),2,0)</f>
        <v>Fèngxiáng Qū</v>
      </c>
      <c r="N438" s="13" t="str">
        <f>VLOOKUP(I438,CHOOSE({1,2},Table11[Native],Table11[Name]),2,0)</f>
        <v>Băojī Shì</v>
      </c>
      <c r="O438" s="13" t="str">
        <f t="shared" si="26"/>
        <v>Hengshui Zhen (Băojī Shì)</v>
      </c>
      <c r="P438" s="13" t="str">
        <f t="shared" si="27"/>
        <v>Hengshui Zhen (Băojī Shì)</v>
      </c>
    </row>
    <row r="439" spans="1:16" hidden="1" x14ac:dyDescent="0.25">
      <c r="A439" t="s">
        <v>747</v>
      </c>
      <c r="B439" t="str">
        <f t="shared" si="24"/>
        <v>Héngxiànhé Jiēdào</v>
      </c>
      <c r="C439" t="str">
        <f t="shared" si="25"/>
        <v>Héngxiànhé Jiēdào</v>
      </c>
      <c r="D439" t="s">
        <v>748</v>
      </c>
      <c r="E439" t="s">
        <v>113</v>
      </c>
      <c r="F439" t="str">
        <f>_xlfn.CONCAT(D439,", ",H439,", ",I439,", ","陕西省")</f>
        <v>横现河街道, 略阳县, 汉中市, 陕西省</v>
      </c>
      <c r="G439">
        <v>6856</v>
      </c>
      <c r="H439" t="s">
        <v>3064</v>
      </c>
      <c r="I439" t="s">
        <v>3059</v>
      </c>
      <c r="J439" t="e">
        <f>VLOOKUP(F439,[1]!china_towns_second__2[[Column1]:[Y]],3,FALSE)</f>
        <v>#N/A</v>
      </c>
      <c r="K439" t="e">
        <f>VLOOKUP(F439,[1]!china_towns_second__2[[Column1]:[Y]],2,FALSE)</f>
        <v>#N/A</v>
      </c>
      <c r="L439" t="s">
        <v>4561</v>
      </c>
      <c r="M439" t="str">
        <f>VLOOKUP(H439,CHOOSE({1,2},Table11[Native],Table11[Name]),2,0)</f>
        <v>Lüèyáng Xiàn</v>
      </c>
      <c r="N439" s="13" t="str">
        <f>VLOOKUP(I439,CHOOSE({1,2},Table11[Native],Table11[Name]),2,0)</f>
        <v>Hànzhōng Shì</v>
      </c>
      <c r="O439" s="13" t="str">
        <f t="shared" si="26"/>
        <v>Hengxianhe Jiedao (Hànzhōng Shì)</v>
      </c>
      <c r="P439" s="13" t="str">
        <f t="shared" si="27"/>
        <v>Hengxianhe Jiedao (Hànzhōng Shì)</v>
      </c>
    </row>
    <row r="440" spans="1:16" hidden="1" x14ac:dyDescent="0.25">
      <c r="A440" t="s">
        <v>2750</v>
      </c>
      <c r="B440" t="str">
        <f t="shared" si="24"/>
        <v>Hèquān Zhèn [incl. Jìpàn Xiāng]</v>
      </c>
      <c r="C440" t="str">
        <f t="shared" si="25"/>
        <v>Hèquān Zhèn [incl. Jìpàn Xiāng]</v>
      </c>
      <c r="D440" t="s">
        <v>2751</v>
      </c>
      <c r="E440" t="s">
        <v>7</v>
      </c>
      <c r="F440" t="str">
        <f>_xlfn.CONCAT(D440,", ",H440,", ",I440,", ","陕西省")</f>
        <v>贺圈镇, 定边县, 榆林市, 陕西省</v>
      </c>
      <c r="G440">
        <v>33178</v>
      </c>
      <c r="H440" t="s">
        <v>3149</v>
      </c>
      <c r="I440" t="s">
        <v>3148</v>
      </c>
      <c r="J440">
        <f>VLOOKUP(F440,[1]!china_towns_second__2[[Column1]:[Y]],3,FALSE)</f>
        <v>37.503413323985299</v>
      </c>
      <c r="K440">
        <f>VLOOKUP(F440,[1]!china_towns_second__2[[Column1]:[Y]],2,FALSE)</f>
        <v>107.5827833</v>
      </c>
      <c r="L440" t="s">
        <v>4562</v>
      </c>
      <c r="M440" t="str">
        <f>VLOOKUP(H440,CHOOSE({1,2},Table11[Native],Table11[Name]),2,0)</f>
        <v>Dìngbiān Xiàn</v>
      </c>
      <c r="N440" s="13" t="str">
        <f>VLOOKUP(I440,CHOOSE({1,2},Table11[Native],Table11[Name]),2,0)</f>
        <v>Yúlín Shì</v>
      </c>
      <c r="O440" s="13" t="str">
        <f t="shared" si="26"/>
        <v>Hequan Zhen [incl. Jipan Xiang] (Yúlín Shì)</v>
      </c>
      <c r="P440" s="13" t="str">
        <f t="shared" si="27"/>
        <v>Hequan Zhen [incl. Jipan Xiang] (Yúlín Shì)</v>
      </c>
    </row>
    <row r="441" spans="1:16" hidden="1" x14ac:dyDescent="0.25">
      <c r="A441" t="s">
        <v>437</v>
      </c>
      <c r="B441" t="str">
        <f t="shared" si="24"/>
        <v>Héxī Xiāng (Băojī Shì)</v>
      </c>
      <c r="C441" t="str">
        <f t="shared" si="25"/>
        <v>Héxī Xiāng (Băojī Shì)</v>
      </c>
      <c r="D441" t="s">
        <v>438</v>
      </c>
      <c r="E441" t="s">
        <v>11</v>
      </c>
      <c r="F441" t="str">
        <f>_xlfn.CONCAT(D441,", ",H441,", ",I441,", ","陕西省")</f>
        <v>河西乡, 麟游县, 宝鸡市, 陕西省</v>
      </c>
      <c r="G441">
        <v>3496</v>
      </c>
      <c r="H441" t="s">
        <v>3051</v>
      </c>
      <c r="I441" t="s">
        <v>3045</v>
      </c>
      <c r="J441" t="e">
        <f>VLOOKUP(F441,[1]!china_towns_second__2[[Column1]:[Y]],3,FALSE)</f>
        <v>#N/A</v>
      </c>
      <c r="K441" t="e">
        <f>VLOOKUP(F441,[1]!china_towns_second__2[[Column1]:[Y]],2,FALSE)</f>
        <v>#N/A</v>
      </c>
      <c r="L441" t="s">
        <v>4563</v>
      </c>
      <c r="M441" t="str">
        <f>VLOOKUP(H441,CHOOSE({1,2},Table11[Native],Table11[Name]),2,0)</f>
        <v>Línyóu Xiàn</v>
      </c>
      <c r="N441" s="13" t="str">
        <f>VLOOKUP(I441,CHOOSE({1,2},Table11[Native],Table11[Name]),2,0)</f>
        <v>Băojī Shì</v>
      </c>
      <c r="O441" s="13" t="str">
        <f t="shared" si="26"/>
        <v>Hexi Xiang (Baoji Shi) (Băojī Shì)</v>
      </c>
      <c r="P441" s="13" t="str">
        <f t="shared" si="27"/>
        <v>Hexi Xiang (Baoji Shi) (Băojī Shì)</v>
      </c>
    </row>
    <row r="442" spans="1:16" hidden="1" x14ac:dyDescent="0.25">
      <c r="A442" t="s">
        <v>437</v>
      </c>
      <c r="B442" t="str">
        <f t="shared" si="24"/>
        <v>Héxī Xiāng (Wèinán Shì)</v>
      </c>
      <c r="C442" t="str">
        <f t="shared" si="25"/>
        <v>Héxī Xiāng (Wèinán Shì)</v>
      </c>
      <c r="D442" t="s">
        <v>438</v>
      </c>
      <c r="E442" t="s">
        <v>11</v>
      </c>
      <c r="F442" t="str">
        <f>_xlfn.CONCAT(D442,", ",H442,", ",I442,", ","陕西省")</f>
        <v>河西乡, 临渭区, 渭南市, 陕西省</v>
      </c>
      <c r="G442">
        <v>9098</v>
      </c>
      <c r="H442" t="s">
        <v>3097</v>
      </c>
      <c r="I442" t="s">
        <v>3087</v>
      </c>
      <c r="J442" t="e">
        <f>VLOOKUP(F442,[1]!china_towns_second__2[[Column1]:[Y]],3,FALSE)</f>
        <v>#N/A</v>
      </c>
      <c r="K442" t="e">
        <f>VLOOKUP(F442,[1]!china_towns_second__2[[Column1]:[Y]],2,FALSE)</f>
        <v>#N/A</v>
      </c>
      <c r="L442" t="s">
        <v>4564</v>
      </c>
      <c r="M442" t="str">
        <f>VLOOKUP(H442,CHOOSE({1,2},Table11[Native],Table11[Name]),2,0)</f>
        <v>Línwèi Qū</v>
      </c>
      <c r="N442" s="13" t="str">
        <f>VLOOKUP(I442,CHOOSE({1,2},Table11[Native],Table11[Name]),2,0)</f>
        <v>Wèinán Shì</v>
      </c>
      <c r="O442" s="13" t="str">
        <f t="shared" si="26"/>
        <v>Hexi Xiang (Weinan Shi) (Wèinán Shì)</v>
      </c>
      <c r="P442" s="13" t="str">
        <f t="shared" si="27"/>
        <v>Hexi Xiang (Weinan Shi) (Wèinán Shì)</v>
      </c>
    </row>
    <row r="443" spans="1:16" hidden="1" x14ac:dyDescent="0.25">
      <c r="A443" t="s">
        <v>91</v>
      </c>
      <c r="B443" t="str">
        <f t="shared" si="24"/>
        <v>Héxī Zhèn</v>
      </c>
      <c r="C443" t="str">
        <f t="shared" si="25"/>
        <v>Héxī Zhèn</v>
      </c>
      <c r="D443" t="s">
        <v>92</v>
      </c>
      <c r="E443" t="s">
        <v>7</v>
      </c>
      <c r="F443" t="str">
        <f>_xlfn.CONCAT(D443,", ",H443,", ",I443,", ","陕西省")</f>
        <v>河西镇, 汉滨区, 安康市, 陕西省</v>
      </c>
      <c r="G443">
        <v>23678</v>
      </c>
      <c r="H443" t="s">
        <v>3035</v>
      </c>
      <c r="I443" t="s">
        <v>3031</v>
      </c>
      <c r="J443">
        <f>VLOOKUP(F443,[1]!china_towns_second__2[[Column1]:[Y]],3,FALSE)</f>
        <v>32.7375221</v>
      </c>
      <c r="K443">
        <f>VLOOKUP(F443,[1]!china_towns_second__2[[Column1]:[Y]],2,FALSE)</f>
        <v>108.9582616</v>
      </c>
      <c r="L443" t="s">
        <v>4565</v>
      </c>
      <c r="M443" t="str">
        <f>VLOOKUP(H443,CHOOSE({1,2},Table11[Native],Table11[Name]),2,0)</f>
        <v>Hànbīn Qū</v>
      </c>
      <c r="N443" s="13" t="str">
        <f>VLOOKUP(I443,CHOOSE({1,2},Table11[Native],Table11[Name]),2,0)</f>
        <v>Ānkāng Shì</v>
      </c>
      <c r="O443" s="13" t="str">
        <f t="shared" si="26"/>
        <v>Hexi Zhen (Ānkāng Shì)</v>
      </c>
      <c r="P443" s="13" t="str">
        <f t="shared" si="27"/>
        <v>Hexi Zhen (Ānkāng Shì)</v>
      </c>
    </row>
    <row r="444" spans="1:16" hidden="1" x14ac:dyDescent="0.25">
      <c r="A444" t="s">
        <v>2080</v>
      </c>
      <c r="B444" t="str">
        <f t="shared" si="24"/>
        <v>Hézhài Jiēdào</v>
      </c>
      <c r="C444" t="str">
        <f t="shared" si="25"/>
        <v>Hézhài Jiēdào</v>
      </c>
      <c r="D444" t="s">
        <v>2081</v>
      </c>
      <c r="E444" t="s">
        <v>113</v>
      </c>
      <c r="F444" t="str">
        <f>_xlfn.CONCAT(D444,", ",H444,", ",I444,", ","陕西省")</f>
        <v>何寨街道, 临潼区, 西安市, 陕西省</v>
      </c>
      <c r="G444">
        <v>29469</v>
      </c>
      <c r="H444" t="s">
        <v>3110</v>
      </c>
      <c r="I444" t="s">
        <v>3102</v>
      </c>
      <c r="J444">
        <f>VLOOKUP(F444,[1]!china_towns_second__2[[Column1]:[Y]],3,FALSE)</f>
        <v>34.518023063519998</v>
      </c>
      <c r="K444">
        <f>VLOOKUP(F444,[1]!china_towns_second__2[[Column1]:[Y]],2,FALSE)</f>
        <v>109.32729139999999</v>
      </c>
      <c r="L444" t="s">
        <v>4566</v>
      </c>
      <c r="M444" t="str">
        <f>VLOOKUP(H444,CHOOSE({1,2},Table11[Native],Table11[Name]),2,0)</f>
        <v>Líntóng Qū</v>
      </c>
      <c r="N444" s="13" t="str">
        <f>VLOOKUP(I444,CHOOSE({1,2},Table11[Native],Table11[Name]),2,0)</f>
        <v>Xī'ān Shì</v>
      </c>
      <c r="O444" s="13" t="str">
        <f t="shared" si="26"/>
        <v>Hezhai Jiedao (Xī'ān Shì)</v>
      </c>
      <c r="P444" s="13" t="str">
        <f t="shared" si="27"/>
        <v>Hezhai Jiedao (Xī'ān Shì)</v>
      </c>
    </row>
    <row r="445" spans="1:16" hidden="1" x14ac:dyDescent="0.25">
      <c r="A445" t="s">
        <v>2408</v>
      </c>
      <c r="B445" t="str">
        <f t="shared" si="24"/>
        <v>Hézhuāngpíng Zhèn</v>
      </c>
      <c r="C445" t="str">
        <f t="shared" si="25"/>
        <v>Hézhuāngpíng Zhèn</v>
      </c>
      <c r="D445" t="s">
        <v>2409</v>
      </c>
      <c r="E445" t="s">
        <v>7</v>
      </c>
      <c r="F445" t="str">
        <f>_xlfn.CONCAT(D445,", ",H445,", ",I445,", ","陕西省")</f>
        <v>河庄坪镇, 宝塔区, 延安市, 陕西省</v>
      </c>
      <c r="G445">
        <v>19085</v>
      </c>
      <c r="H445" t="s">
        <v>3135</v>
      </c>
      <c r="I445" t="s">
        <v>3133</v>
      </c>
      <c r="J445">
        <f>VLOOKUP(F445,[1]!china_towns_second__2[[Column1]:[Y]],3,FALSE)</f>
        <v>36.689052280865702</v>
      </c>
      <c r="K445">
        <f>VLOOKUP(F445,[1]!china_towns_second__2[[Column1]:[Y]],2,FALSE)</f>
        <v>109.41394459999999</v>
      </c>
      <c r="L445" t="s">
        <v>4567</v>
      </c>
      <c r="M445" t="str">
        <f>VLOOKUP(H445,CHOOSE({1,2},Table11[Native],Table11[Name]),2,0)</f>
        <v>Băotă Qū</v>
      </c>
      <c r="N445" s="13" t="str">
        <f>VLOOKUP(I445,CHOOSE({1,2},Table11[Native],Table11[Name]),2,0)</f>
        <v>Yán'ān Shì</v>
      </c>
      <c r="O445" s="13" t="str">
        <f t="shared" si="26"/>
        <v>Hezhuangping Zhen (Yán'ān Shì)</v>
      </c>
      <c r="P445" s="13" t="str">
        <f t="shared" si="27"/>
        <v>Hezhuangping Zhen (Yán'ān Shì)</v>
      </c>
    </row>
    <row r="446" spans="1:16" hidden="1" x14ac:dyDescent="0.25">
      <c r="A446" t="s">
        <v>93</v>
      </c>
      <c r="B446" t="str">
        <f t="shared" si="24"/>
        <v>Hóngchūn Zhèn</v>
      </c>
      <c r="C446" t="str">
        <f t="shared" si="25"/>
        <v>Hóngchūn Zhèn</v>
      </c>
      <c r="D446" t="s">
        <v>94</v>
      </c>
      <c r="E446" t="s">
        <v>7</v>
      </c>
      <c r="F446" t="str">
        <f>_xlfn.CONCAT(D446,", ",H446,", ",I446,", ","陕西省")</f>
        <v>红椿镇, 紫阳县, 安康市, 陕西省</v>
      </c>
      <c r="G446">
        <v>14193</v>
      </c>
      <c r="H446" t="s">
        <v>3043</v>
      </c>
      <c r="I446" t="s">
        <v>3031</v>
      </c>
      <c r="J446">
        <f>VLOOKUP(F446,[1]!china_towns_second__2[[Column1]:[Y]],3,FALSE)</f>
        <v>32.527674769075801</v>
      </c>
      <c r="K446">
        <f>VLOOKUP(F446,[1]!china_towns_second__2[[Column1]:[Y]],2,FALSE)</f>
        <v>108.33163070000001</v>
      </c>
      <c r="L446" t="s">
        <v>4568</v>
      </c>
      <c r="M446" t="str">
        <f>VLOOKUP(H446,CHOOSE({1,2},Table11[Native],Table11[Name]),2,0)</f>
        <v>Zĭyáng Xiàn</v>
      </c>
      <c r="N446" s="13" t="str">
        <f>VLOOKUP(I446,CHOOSE({1,2},Table11[Native],Table11[Name]),2,0)</f>
        <v>Ānkāng Shì</v>
      </c>
      <c r="O446" s="13" t="str">
        <f t="shared" si="26"/>
        <v>Hongchun Zhen (Ānkāng Shì)</v>
      </c>
      <c r="P446" s="13" t="str">
        <f t="shared" si="27"/>
        <v>Hongchun Zhen (Ānkāng Shì)</v>
      </c>
    </row>
    <row r="447" spans="1:16" hidden="1" x14ac:dyDescent="0.25">
      <c r="A447" t="s">
        <v>2752</v>
      </c>
      <c r="B447" t="str">
        <f t="shared" si="24"/>
        <v>Hóngdūnjiè Zhèn</v>
      </c>
      <c r="C447" t="str">
        <f t="shared" si="25"/>
        <v>Hóngdūnjiè Zhèn</v>
      </c>
      <c r="D447" t="s">
        <v>2753</v>
      </c>
      <c r="E447" t="s">
        <v>7</v>
      </c>
      <c r="F447" t="str">
        <f>_xlfn.CONCAT(D447,", ",H447,", ",I447,", ","陕西省")</f>
        <v>红墩界镇, 靖边县, 榆林市, 陕西省</v>
      </c>
      <c r="G447">
        <v>5539</v>
      </c>
      <c r="H447" t="s">
        <v>3153</v>
      </c>
      <c r="I447" t="s">
        <v>3148</v>
      </c>
      <c r="J447">
        <f>VLOOKUP(F447,[1]!china_towns_second__2[[Column1]:[Y]],3,FALSE)</f>
        <v>37.905461388505401</v>
      </c>
      <c r="K447">
        <f>VLOOKUP(F447,[1]!china_towns_second__2[[Column1]:[Y]],2,FALSE)</f>
        <v>108.86075200000001</v>
      </c>
      <c r="L447" t="s">
        <v>4569</v>
      </c>
      <c r="M447" t="str">
        <f>VLOOKUP(H447,CHOOSE({1,2},Table11[Native],Table11[Name]),2,0)</f>
        <v>Jìngbiān Xiàn</v>
      </c>
      <c r="N447" s="13" t="str">
        <f>VLOOKUP(I447,CHOOSE({1,2},Table11[Native],Table11[Name]),2,0)</f>
        <v>Yúlín Shì</v>
      </c>
      <c r="O447" s="13" t="str">
        <f t="shared" si="26"/>
        <v>Hongdunjie Zhen (Yúlín Shì)</v>
      </c>
      <c r="P447" s="13" t="str">
        <f t="shared" si="27"/>
        <v>Hongdunjie Zhen (Yúlín Shì)</v>
      </c>
    </row>
    <row r="448" spans="1:16" hidden="1" x14ac:dyDescent="0.25">
      <c r="A448" t="s">
        <v>439</v>
      </c>
      <c r="B448" t="str">
        <f t="shared" si="24"/>
        <v>Hónghuāpū Zhèn</v>
      </c>
      <c r="C448" t="str">
        <f t="shared" si="25"/>
        <v>Hónghuāpū Zhèn</v>
      </c>
      <c r="D448" t="s">
        <v>440</v>
      </c>
      <c r="E448" t="s">
        <v>7</v>
      </c>
      <c r="F448" t="str">
        <f>_xlfn.CONCAT(D448,", ",H448,", ",I448,", ","陕西省")</f>
        <v>红花铺镇, 凤县, 宝鸡市, 陕西省</v>
      </c>
      <c r="G448">
        <v>3729</v>
      </c>
      <c r="H448" t="s">
        <v>3047</v>
      </c>
      <c r="I448" t="s">
        <v>3045</v>
      </c>
      <c r="J448">
        <f>VLOOKUP(F448,[1]!china_towns_second__2[[Column1]:[Y]],3,FALSE)</f>
        <v>34.097234036331898</v>
      </c>
      <c r="K448">
        <f>VLOOKUP(F448,[1]!china_towns_second__2[[Column1]:[Y]],2,FALSE)</f>
        <v>106.7397582</v>
      </c>
      <c r="L448" t="s">
        <v>4570</v>
      </c>
      <c r="M448" t="str">
        <f>VLOOKUP(H448,CHOOSE({1,2},Table11[Native],Table11[Name]),2,0)</f>
        <v>Fèng Xiàn</v>
      </c>
      <c r="N448" s="13" t="str">
        <f>VLOOKUP(I448,CHOOSE({1,2},Table11[Native],Table11[Name]),2,0)</f>
        <v>Băojī Shì</v>
      </c>
      <c r="O448" s="13" t="str">
        <f t="shared" si="26"/>
        <v>Honghuapu Zhen (Băojī Shì)</v>
      </c>
      <c r="P448" s="13" t="str">
        <f t="shared" si="27"/>
        <v>Honghuapu Zhen (Băojī Shì)</v>
      </c>
    </row>
    <row r="449" spans="1:16" hidden="1" x14ac:dyDescent="0.25">
      <c r="A449" t="s">
        <v>1784</v>
      </c>
      <c r="B449" t="str">
        <f t="shared" si="24"/>
        <v>Hóngjiā Zhèn</v>
      </c>
      <c r="C449" t="str">
        <f t="shared" si="25"/>
        <v>Hóngjiā Zhèn</v>
      </c>
      <c r="D449" t="s">
        <v>1785</v>
      </c>
      <c r="E449" t="s">
        <v>7</v>
      </c>
      <c r="F449" t="str">
        <f>_xlfn.CONCAT(D449,", ",H449,", ",I449,", ","陕西省")</f>
        <v>洪家镇, 长武县, 咸阳市, 陕西省</v>
      </c>
      <c r="G449">
        <v>12603</v>
      </c>
      <c r="H449" t="s">
        <v>3119</v>
      </c>
      <c r="I449" t="s">
        <v>3117</v>
      </c>
      <c r="J449">
        <f>VLOOKUP(F449,[1]!china_towns_second__2[[Column1]:[Y]],3,FALSE)</f>
        <v>35.242909136446798</v>
      </c>
      <c r="K449">
        <f>VLOOKUP(F449,[1]!china_towns_second__2[[Column1]:[Y]],2,FALSE)</f>
        <v>107.7103242</v>
      </c>
      <c r="L449" t="s">
        <v>4571</v>
      </c>
      <c r="M449" t="str">
        <f>VLOOKUP(H449,CHOOSE({1,2},Table11[Native],Table11[Name]),2,0)</f>
        <v>Chángwŭ Xiàn</v>
      </c>
      <c r="N449" s="13" t="str">
        <f>VLOOKUP(I449,CHOOSE({1,2},Table11[Native],Table11[Name]),2,0)</f>
        <v>Xiányáng Shì</v>
      </c>
      <c r="O449" s="13" t="str">
        <f t="shared" si="26"/>
        <v>Hongjia Zhen (Xiányáng Shì)</v>
      </c>
      <c r="P449" s="13" t="str">
        <f t="shared" si="27"/>
        <v>Hongjia Zhen (Xiányáng Shì)</v>
      </c>
    </row>
    <row r="450" spans="1:16" hidden="1" x14ac:dyDescent="0.25">
      <c r="A450" t="s">
        <v>95</v>
      </c>
      <c r="B450" t="str">
        <f t="shared" ref="B450:B513" si="28">IF(COUNTIF(A:A,A450)&gt;1,_xlfn.CONCAT(A450," (",N450,")"),A450)</f>
        <v>Hóngjūn Zhèn</v>
      </c>
      <c r="C450" t="str">
        <f t="shared" ref="C450:C513" si="29">IF(COUNTIF(B:B,B450)&gt;1,_xlfn.CONCAT(A450," (",M450,")"),B450)</f>
        <v>Hóngjūn Zhèn</v>
      </c>
      <c r="D450" t="s">
        <v>96</v>
      </c>
      <c r="E450" t="s">
        <v>7</v>
      </c>
      <c r="F450" t="str">
        <f>_xlfn.CONCAT(D450,", ",H450,", ",I450,", ","陕西省")</f>
        <v>红军镇, 旬阳县, 安康市, 陕西省</v>
      </c>
      <c r="G450">
        <v>10986</v>
      </c>
      <c r="H450" t="s">
        <v>3041</v>
      </c>
      <c r="I450" t="s">
        <v>3031</v>
      </c>
      <c r="J450">
        <f>VLOOKUP(F450,[1]!china_towns_second__2[[Column1]:[Y]],3,FALSE)</f>
        <v>33.098130406174597</v>
      </c>
      <c r="K450">
        <f>VLOOKUP(F450,[1]!china_towns_second__2[[Column1]:[Y]],2,FALSE)</f>
        <v>109.4803689</v>
      </c>
      <c r="L450" t="s">
        <v>4572</v>
      </c>
      <c r="M450" t="str">
        <f>VLOOKUP(H450,CHOOSE({1,2},Table11[Native],Table11[Name]),2,0)</f>
        <v>Xúnyáng Xiàn</v>
      </c>
      <c r="N450" s="13" t="str">
        <f>VLOOKUP(I450,CHOOSE({1,2},Table11[Native],Table11[Name]),2,0)</f>
        <v>Ānkāng Shì</v>
      </c>
      <c r="O450" s="13" t="str">
        <f t="shared" ref="O450:O513" si="30">_xlfn.CONCAT(L450," (",N450,")")</f>
        <v>Hongjun Zhen (Ānkāng Shì)</v>
      </c>
      <c r="P450" s="13" t="str">
        <f t="shared" ref="P450:P513" si="31">IF(COUNTIF(O:O,O450)&gt;1,_xlfn.CONCAT(L450," (",M450,")"),O450)</f>
        <v>Hongjun Zhen (Ānkāng Shì)</v>
      </c>
    </row>
    <row r="451" spans="1:16" hidden="1" x14ac:dyDescent="0.25">
      <c r="A451" t="s">
        <v>2754</v>
      </c>
      <c r="B451" t="str">
        <f t="shared" si="28"/>
        <v>Hóngliŭgōu Zhèn</v>
      </c>
      <c r="C451" t="str">
        <f t="shared" si="29"/>
        <v>Hóngliŭgōu Zhèn</v>
      </c>
      <c r="D451" t="s">
        <v>2755</v>
      </c>
      <c r="E451" t="s">
        <v>7</v>
      </c>
      <c r="F451" t="str">
        <f>_xlfn.CONCAT(D451,", ",H451,", ",I451,", ","陕西省")</f>
        <v>红柳沟镇, 定边县, 榆林市, 陕西省</v>
      </c>
      <c r="G451">
        <v>10228</v>
      </c>
      <c r="H451" t="s">
        <v>3149</v>
      </c>
      <c r="I451" t="s">
        <v>3148</v>
      </c>
      <c r="J451">
        <f>VLOOKUP(F451,[1]!china_towns_second__2[[Column1]:[Y]],3,FALSE)</f>
        <v>37.439006796758399</v>
      </c>
      <c r="K451">
        <f>VLOOKUP(F451,[1]!china_towns_second__2[[Column1]:[Y]],2,FALSE)</f>
        <v>107.3804009</v>
      </c>
      <c r="L451" t="s">
        <v>4573</v>
      </c>
      <c r="M451" t="str">
        <f>VLOOKUP(H451,CHOOSE({1,2},Table11[Native],Table11[Name]),2,0)</f>
        <v>Dìngbiān Xiàn</v>
      </c>
      <c r="N451" s="13" t="str">
        <f>VLOOKUP(I451,CHOOSE({1,2},Table11[Native],Table11[Name]),2,0)</f>
        <v>Yúlín Shì</v>
      </c>
      <c r="O451" s="13" t="str">
        <f t="shared" si="30"/>
        <v>Hongliugou Zhen (Yúlín Shì)</v>
      </c>
      <c r="P451" s="13" t="str">
        <f t="shared" si="31"/>
        <v>Hongliugou Zhen (Yúlín Shì)</v>
      </c>
    </row>
    <row r="452" spans="1:16" hidden="1" x14ac:dyDescent="0.25">
      <c r="A452" t="s">
        <v>1104</v>
      </c>
      <c r="B452" t="str">
        <f t="shared" si="28"/>
        <v>Hóngménhé Xiāng</v>
      </c>
      <c r="C452" t="str">
        <f t="shared" si="29"/>
        <v>Hóngménhé Xiāng</v>
      </c>
      <c r="D452" t="s">
        <v>1105</v>
      </c>
      <c r="E452" t="s">
        <v>11</v>
      </c>
      <c r="F452" t="str">
        <f>_xlfn.CONCAT(D452,", ",H452,", ",I452,", ","陕西省")</f>
        <v>红门河乡, 商州区, 商洛市, 陕西省</v>
      </c>
      <c r="G452">
        <v>7851</v>
      </c>
      <c r="H452" t="s">
        <v>3076</v>
      </c>
      <c r="I452" t="s">
        <v>3072</v>
      </c>
      <c r="J452" t="e">
        <f>VLOOKUP(F452,[1]!china_towns_second__2[[Column1]:[Y]],3,FALSE)</f>
        <v>#N/A</v>
      </c>
      <c r="K452" t="e">
        <f>VLOOKUP(F452,[1]!china_towns_second__2[[Column1]:[Y]],2,FALSE)</f>
        <v>#N/A</v>
      </c>
      <c r="L452" t="s">
        <v>4574</v>
      </c>
      <c r="M452" t="str">
        <f>VLOOKUP(H452,CHOOSE({1,2},Table11[Native],Table11[Name]),2,0)</f>
        <v>Shāngzhōu Qū</v>
      </c>
      <c r="N452" s="13" t="str">
        <f>VLOOKUP(I452,CHOOSE({1,2},Table11[Native],Table11[Name]),2,0)</f>
        <v>Shāngluò Shì</v>
      </c>
      <c r="O452" s="13" t="str">
        <f t="shared" si="30"/>
        <v>Hongmenhe Xiang (Shāngluò Shì)</v>
      </c>
      <c r="P452" s="13" t="str">
        <f t="shared" si="31"/>
        <v>Hongmenhe Xiang (Shāngluò Shì)</v>
      </c>
    </row>
    <row r="453" spans="1:16" hidden="1" x14ac:dyDescent="0.25">
      <c r="A453" t="s">
        <v>749</v>
      </c>
      <c r="B453" t="str">
        <f t="shared" si="28"/>
        <v>Hóngmiào Zhèn [incl. Xĭshénbà Xiāng]</v>
      </c>
      <c r="C453" t="str">
        <f t="shared" si="29"/>
        <v>Hóngmiào Zhèn [incl. Xĭshénbà Xiāng]</v>
      </c>
      <c r="D453" t="s">
        <v>750</v>
      </c>
      <c r="E453" t="s">
        <v>7</v>
      </c>
      <c r="F453" t="str">
        <f>_xlfn.CONCAT(D453,", ",H453,", ",I453,", ","陕西省")</f>
        <v>红庙镇, 南郑区, 汉中市, 陕西省</v>
      </c>
      <c r="G453">
        <v>22166</v>
      </c>
      <c r="H453" t="s">
        <v>3066</v>
      </c>
      <c r="I453" t="s">
        <v>3059</v>
      </c>
      <c r="J453">
        <f>VLOOKUP(F453,[1]!china_towns_second__2[[Column1]:[Y]],3,FALSE)</f>
        <v>32.812315779734803</v>
      </c>
      <c r="K453">
        <f>VLOOKUP(F453,[1]!china_towns_second__2[[Column1]:[Y]],2,FALSE)</f>
        <v>106.89488160000001</v>
      </c>
      <c r="L453" t="s">
        <v>4575</v>
      </c>
      <c r="M453" t="str">
        <f>VLOOKUP(H453,CHOOSE({1,2},Table11[Native],Table11[Name]),2,0)</f>
        <v>Nánzhèng Qū</v>
      </c>
      <c r="N453" s="13" t="str">
        <f>VLOOKUP(I453,CHOOSE({1,2},Table11[Native],Table11[Name]),2,0)</f>
        <v>Hànzhōng Shì</v>
      </c>
      <c r="O453" s="13" t="str">
        <f t="shared" si="30"/>
        <v>Hongmiao Zhen [incl. Xishenba Xiang] (Hànzhōng Shì)</v>
      </c>
      <c r="P453" s="13" t="str">
        <f t="shared" si="31"/>
        <v>Hongmiao Zhen [incl. Xishenba Xiang] (Hànzhōng Shì)</v>
      </c>
    </row>
    <row r="454" spans="1:16" hidden="1" x14ac:dyDescent="0.25">
      <c r="A454" t="s">
        <v>2082</v>
      </c>
      <c r="B454" t="str">
        <f t="shared" si="28"/>
        <v>Hóngmiàopō Jiēdào</v>
      </c>
      <c r="C454" t="str">
        <f t="shared" si="29"/>
        <v>Hóngmiàopō Jiēdào</v>
      </c>
      <c r="D454" t="s">
        <v>2083</v>
      </c>
      <c r="E454" t="s">
        <v>113</v>
      </c>
      <c r="F454" t="str">
        <f>_xlfn.CONCAT(D454,", ",H454,", ",I454,", ","陕西省")</f>
        <v>红庙坡街道, 莲湖区, 西安市, 陕西省</v>
      </c>
      <c r="G454">
        <v>105145</v>
      </c>
      <c r="H454" t="s">
        <v>3109</v>
      </c>
      <c r="I454" t="s">
        <v>3102</v>
      </c>
      <c r="J454" t="e">
        <f>VLOOKUP(F454,[1]!china_towns_second__2[[Column1]:[Y]],3,FALSE)</f>
        <v>#N/A</v>
      </c>
      <c r="K454" t="e">
        <f>VLOOKUP(F454,[1]!china_towns_second__2[[Column1]:[Y]],2,FALSE)</f>
        <v>#N/A</v>
      </c>
      <c r="L454" t="s">
        <v>4576</v>
      </c>
      <c r="M454" t="str">
        <f>VLOOKUP(H454,CHOOSE({1,2},Table11[Native],Table11[Name]),2,0)</f>
        <v>Liánhú Qū</v>
      </c>
      <c r="N454" s="13" t="str">
        <f>VLOOKUP(I454,CHOOSE({1,2},Table11[Native],Table11[Name]),2,0)</f>
        <v>Xī'ān Shì</v>
      </c>
      <c r="O454" s="13" t="str">
        <f t="shared" si="30"/>
        <v>Hongmiaopo Jiedao (Xī'ān Shì)</v>
      </c>
      <c r="P454" s="13" t="str">
        <f t="shared" si="31"/>
        <v>Hongmiaopo Jiedao (Xī'ān Shì)</v>
      </c>
    </row>
    <row r="455" spans="1:16" hidden="1" x14ac:dyDescent="0.25">
      <c r="A455" t="s">
        <v>2084</v>
      </c>
      <c r="B455" t="str">
        <f t="shared" si="28"/>
        <v>Hóngqí Jiēdào</v>
      </c>
      <c r="C455" t="str">
        <f t="shared" si="29"/>
        <v>Hóngqí Jiēdào</v>
      </c>
      <c r="D455" t="s">
        <v>2085</v>
      </c>
      <c r="E455" t="s">
        <v>113</v>
      </c>
      <c r="F455" t="str">
        <f>_xlfn.CONCAT(D455,", ",H455,", ",I455,", ","陕西省")</f>
        <v>红旗街道, 灞桥区, 西安市, 陕西省</v>
      </c>
      <c r="G455">
        <v>52139</v>
      </c>
      <c r="H455" t="s">
        <v>3103</v>
      </c>
      <c r="I455" t="s">
        <v>3102</v>
      </c>
      <c r="J455">
        <f>VLOOKUP(F455,[1]!china_towns_second__2[[Column1]:[Y]],3,FALSE)</f>
        <v>34.2199809760533</v>
      </c>
      <c r="K455">
        <f>VLOOKUP(F455,[1]!china_towns_second__2[[Column1]:[Y]],2,FALSE)</f>
        <v>109.0591319</v>
      </c>
      <c r="L455" t="s">
        <v>4577</v>
      </c>
      <c r="M455" t="str">
        <f>VLOOKUP(H455,CHOOSE({1,2},Table11[Native],Table11[Name]),2,0)</f>
        <v>Bàqiáo Qū</v>
      </c>
      <c r="N455" s="13" t="str">
        <f>VLOOKUP(I455,CHOOSE({1,2},Table11[Native],Table11[Name]),2,0)</f>
        <v>Xī'ān Shì</v>
      </c>
      <c r="O455" s="13" t="str">
        <f t="shared" si="30"/>
        <v>Hongqi Jiedao (Xī'ān Shì)</v>
      </c>
      <c r="P455" s="13" t="str">
        <f t="shared" si="31"/>
        <v>Hongqi Jiedao (Xī'ān Shì)</v>
      </c>
    </row>
    <row r="456" spans="1:16" hidden="1" x14ac:dyDescent="0.25">
      <c r="A456" t="s">
        <v>1304</v>
      </c>
      <c r="B456" t="str">
        <f t="shared" si="28"/>
        <v>Hóngqíjiē Jiēdào [Hóngqí Jiēdào]</v>
      </c>
      <c r="C456" t="str">
        <f t="shared" si="29"/>
        <v>Hóngqíjiē Jiēdào [Hóngqí Jiēdào]</v>
      </c>
      <c r="D456" t="s">
        <v>1305</v>
      </c>
      <c r="E456" t="s">
        <v>113</v>
      </c>
      <c r="F456" t="str">
        <f>_xlfn.CONCAT(D456,", ",H456,", ",I456,", ","陕西省")</f>
        <v>红旗街街道, 王益区, 铜川市, 陕西省</v>
      </c>
      <c r="G456">
        <v>53592</v>
      </c>
      <c r="H456" t="s">
        <v>3082</v>
      </c>
      <c r="I456" t="s">
        <v>3081</v>
      </c>
      <c r="J456" t="e">
        <f>VLOOKUP(F456,[1]!china_towns_second__2[[Column1]:[Y]],3,FALSE)</f>
        <v>#N/A</v>
      </c>
      <c r="K456" t="e">
        <f>VLOOKUP(F456,[1]!china_towns_second__2[[Column1]:[Y]],2,FALSE)</f>
        <v>#N/A</v>
      </c>
      <c r="L456" t="s">
        <v>4578</v>
      </c>
      <c r="M456" t="str">
        <f>VLOOKUP(H456,CHOOSE({1,2},Table11[Native],Table11[Name]),2,0)</f>
        <v>Wángyì Qū</v>
      </c>
      <c r="N456" s="13" t="str">
        <f>VLOOKUP(I456,CHOOSE({1,2},Table11[Native],Table11[Name]),2,0)</f>
        <v>Tóngchuān Shì</v>
      </c>
      <c r="O456" s="13" t="str">
        <f t="shared" si="30"/>
        <v>Hongqijie Jiedao [Hongqi Jiedao] (Tóngchuān Shì)</v>
      </c>
      <c r="P456" s="13" t="str">
        <f t="shared" si="31"/>
        <v>Hongqijie Jiedao [Hongqi Jiedao] (Tóngchuān Shì)</v>
      </c>
    </row>
    <row r="457" spans="1:16" hidden="1" x14ac:dyDescent="0.25">
      <c r="A457" t="s">
        <v>2086</v>
      </c>
      <c r="B457" t="str">
        <f t="shared" si="28"/>
        <v>Hóngqìng Jiēdào</v>
      </c>
      <c r="C457" t="str">
        <f t="shared" si="29"/>
        <v>Hóngqìng Jiēdào</v>
      </c>
      <c r="D457" t="s">
        <v>2087</v>
      </c>
      <c r="E457" t="s">
        <v>113</v>
      </c>
      <c r="F457" t="str">
        <f>_xlfn.CONCAT(D457,", ",H457,", ",I457,", ","陕西省")</f>
        <v>洪庆街道, 灞桥区, 西安市, 陕西省</v>
      </c>
      <c r="G457">
        <v>67703</v>
      </c>
      <c r="H457" t="s">
        <v>3103</v>
      </c>
      <c r="I457" t="s">
        <v>3102</v>
      </c>
      <c r="J457">
        <f>VLOOKUP(F457,[1]!china_towns_second__2[[Column1]:[Y]],3,FALSE)</f>
        <v>34.293754624436502</v>
      </c>
      <c r="K457">
        <f>VLOOKUP(F457,[1]!china_towns_second__2[[Column1]:[Y]],2,FALSE)</f>
        <v>109.1549785</v>
      </c>
      <c r="L457" t="s">
        <v>4579</v>
      </c>
      <c r="M457" t="str">
        <f>VLOOKUP(H457,CHOOSE({1,2},Table11[Native],Table11[Name]),2,0)</f>
        <v>Bàqiáo Qū</v>
      </c>
      <c r="N457" s="13" t="str">
        <f>VLOOKUP(I457,CHOOSE({1,2},Table11[Native],Table11[Name]),2,0)</f>
        <v>Xī'ān Shì</v>
      </c>
      <c r="O457" s="13" t="str">
        <f t="shared" si="30"/>
        <v>Hongqing Jiedao (Xī'ān Shì)</v>
      </c>
      <c r="P457" s="13" t="str">
        <f t="shared" si="31"/>
        <v>Hongqing Jiedao (Xī'ān Shì)</v>
      </c>
    </row>
    <row r="458" spans="1:16" hidden="1" x14ac:dyDescent="0.25">
      <c r="A458" t="s">
        <v>97</v>
      </c>
      <c r="B458" t="str">
        <f t="shared" si="28"/>
        <v>Hóngshān Zhèn [incl. Shízhuăn Zhèn]</v>
      </c>
      <c r="C458" t="str">
        <f t="shared" si="29"/>
        <v>Hóngshān Zhèn [incl. Shízhuăn Zhèn]</v>
      </c>
      <c r="D458" t="s">
        <v>98</v>
      </c>
      <c r="E458" t="s">
        <v>7</v>
      </c>
      <c r="F458" t="str">
        <f>_xlfn.CONCAT(D458,", ",H458,", ",I458,", ","陕西省")</f>
        <v>洪山镇, 汉滨区, 安康市, 陕西省</v>
      </c>
      <c r="G458">
        <v>21378</v>
      </c>
      <c r="H458" t="s">
        <v>3035</v>
      </c>
      <c r="I458" t="s">
        <v>3031</v>
      </c>
      <c r="J458">
        <f>VLOOKUP(F458,[1]!china_towns_second__2[[Column1]:[Y]],3,FALSE)</f>
        <v>32.634089342625202</v>
      </c>
      <c r="K458">
        <f>VLOOKUP(F458,[1]!china_towns_second__2[[Column1]:[Y]],2,FALSE)</f>
        <v>108.6786694</v>
      </c>
      <c r="L458" t="s">
        <v>4580</v>
      </c>
      <c r="M458" t="str">
        <f>VLOOKUP(H458,CHOOSE({1,2},Table11[Native],Table11[Name]),2,0)</f>
        <v>Hànbīn Qū</v>
      </c>
      <c r="N458" s="13" t="str">
        <f>VLOOKUP(I458,CHOOSE({1,2},Table11[Native],Table11[Name]),2,0)</f>
        <v>Ānkāng Shì</v>
      </c>
      <c r="O458" s="13" t="str">
        <f t="shared" si="30"/>
        <v>Hongshan Zhen [incl. Shizhuan Zhen] (Ānkāng Shì)</v>
      </c>
      <c r="P458" s="13" t="str">
        <f t="shared" si="31"/>
        <v>Hongshan Zhen [incl. Shizhuan Zhen] (Ānkāng Shì)</v>
      </c>
    </row>
    <row r="459" spans="1:16" hidden="1" x14ac:dyDescent="0.25">
      <c r="A459" t="s">
        <v>2756</v>
      </c>
      <c r="B459" t="str">
        <f t="shared" si="28"/>
        <v>Hóngshíqiáo Xiāng</v>
      </c>
      <c r="C459" t="str">
        <f t="shared" si="29"/>
        <v>Hóngshíqiáo Xiāng</v>
      </c>
      <c r="D459" t="s">
        <v>2757</v>
      </c>
      <c r="E459" t="s">
        <v>11</v>
      </c>
      <c r="F459" t="str">
        <f>_xlfn.CONCAT(D459,", ",H459,", ",I459,", ","陕西省")</f>
        <v>红石桥乡, 榆阳区, 榆林市, 陕西省</v>
      </c>
      <c r="G459">
        <v>8671</v>
      </c>
      <c r="H459" t="s">
        <v>3159</v>
      </c>
      <c r="I459" t="s">
        <v>3148</v>
      </c>
      <c r="J459" t="e">
        <f>VLOOKUP(F459,[1]!china_towns_second__2[[Column1]:[Y]],3,FALSE)</f>
        <v>#N/A</v>
      </c>
      <c r="K459" t="e">
        <f>VLOOKUP(F459,[1]!china_towns_second__2[[Column1]:[Y]],2,FALSE)</f>
        <v>#N/A</v>
      </c>
      <c r="L459" t="s">
        <v>4581</v>
      </c>
      <c r="M459" t="str">
        <f>VLOOKUP(H459,CHOOSE({1,2},Table11[Native],Table11[Name]),2,0)</f>
        <v>Yúyáng Qū</v>
      </c>
      <c r="N459" s="13" t="str">
        <f>VLOOKUP(I459,CHOOSE({1,2},Table11[Native],Table11[Name]),2,0)</f>
        <v>Yúlín Shì</v>
      </c>
      <c r="O459" s="13" t="str">
        <f t="shared" si="30"/>
        <v>Hongshiqiao Xiang (Yúlín Shì)</v>
      </c>
      <c r="P459" s="13" t="str">
        <f t="shared" si="31"/>
        <v>Hongshiqiao Xiang (Yúlín Shì)</v>
      </c>
    </row>
    <row r="460" spans="1:16" hidden="1" x14ac:dyDescent="0.25">
      <c r="A460" t="s">
        <v>2410</v>
      </c>
      <c r="B460" t="str">
        <f t="shared" si="28"/>
        <v>Hóngshíyá Xiāng</v>
      </c>
      <c r="C460" t="str">
        <f t="shared" si="29"/>
        <v>Hóngshíyá Xiāng</v>
      </c>
      <c r="D460" t="s">
        <v>2411</v>
      </c>
      <c r="E460" t="s">
        <v>11</v>
      </c>
      <c r="F460" t="str">
        <f>_xlfn.CONCAT(D460,", ",H460,", ",I460,", ","陕西省")</f>
        <v>红石崖乡, 黄龙县, 延安市, 陕西省</v>
      </c>
      <c r="G460">
        <v>969</v>
      </c>
      <c r="H460" t="s">
        <v>3139</v>
      </c>
      <c r="I460" t="s">
        <v>3133</v>
      </c>
      <c r="J460" t="e">
        <f>VLOOKUP(F460,[1]!china_towns_second__2[[Column1]:[Y]],3,FALSE)</f>
        <v>#N/A</v>
      </c>
      <c r="K460" t="e">
        <f>VLOOKUP(F460,[1]!china_towns_second__2[[Column1]:[Y]],2,FALSE)</f>
        <v>#N/A</v>
      </c>
      <c r="L460" t="s">
        <v>4582</v>
      </c>
      <c r="M460" t="str">
        <f>VLOOKUP(H460,CHOOSE({1,2},Table11[Native],Table11[Name]),2,0)</f>
        <v>Huánglóng Xiàn</v>
      </c>
      <c r="N460" s="13" t="str">
        <f>VLOOKUP(I460,CHOOSE({1,2},Table11[Native],Table11[Name]),2,0)</f>
        <v>Yán'ān Shì</v>
      </c>
      <c r="O460" s="13" t="str">
        <f t="shared" si="30"/>
        <v>Hongshiya Xiang (Yán'ān Shì)</v>
      </c>
      <c r="P460" s="13" t="str">
        <f t="shared" si="31"/>
        <v>Hongshiya Xiang (Yán'ān Shì)</v>
      </c>
    </row>
    <row r="461" spans="1:16" hidden="1" x14ac:dyDescent="0.25">
      <c r="A461" t="s">
        <v>1307</v>
      </c>
      <c r="B461" t="str">
        <f t="shared" si="28"/>
        <v>Hóngtŭ Zhèn</v>
      </c>
      <c r="C461" t="str">
        <f t="shared" si="29"/>
        <v>Hóngtŭ Zhèn</v>
      </c>
      <c r="D461" t="s">
        <v>1308</v>
      </c>
      <c r="E461" t="s">
        <v>7</v>
      </c>
      <c r="F461" t="str">
        <f>_xlfn.CONCAT(D461,", ",H461,", ",I461,", ","陕西省")</f>
        <v>红土镇, 印台区, 铜川市, 陕西省</v>
      </c>
      <c r="G461">
        <v>22086</v>
      </c>
      <c r="H461" t="s">
        <v>3085</v>
      </c>
      <c r="I461" t="s">
        <v>3081</v>
      </c>
      <c r="J461">
        <f>VLOOKUP(F461,[1]!china_towns_second__2[[Column1]:[Y]],3,FALSE)</f>
        <v>35.143752376106903</v>
      </c>
      <c r="K461">
        <f>VLOOKUP(F461,[1]!china_towns_second__2[[Column1]:[Y]],2,FALSE)</f>
        <v>109.23590590000001</v>
      </c>
      <c r="L461" t="s">
        <v>4583</v>
      </c>
      <c r="M461" t="str">
        <f>VLOOKUP(H461,CHOOSE({1,2},Table11[Native],Table11[Name]),2,0)</f>
        <v>Yìntái Qū</v>
      </c>
      <c r="N461" s="13" t="str">
        <f>VLOOKUP(I461,CHOOSE({1,2},Table11[Native],Table11[Name]),2,0)</f>
        <v>Tóngchuān Shì</v>
      </c>
      <c r="O461" s="13" t="str">
        <f t="shared" si="30"/>
        <v>Hongtu Zhen (Tóngchuān Shì)</v>
      </c>
      <c r="P461" s="13" t="str">
        <f t="shared" si="31"/>
        <v>Hongtu Zhen (Tóngchuān Shì)</v>
      </c>
    </row>
    <row r="462" spans="1:16" hidden="1" x14ac:dyDescent="0.25">
      <c r="A462" t="s">
        <v>1106</v>
      </c>
      <c r="B462" t="str">
        <f t="shared" si="28"/>
        <v>Hóngyánsì Zhèn</v>
      </c>
      <c r="C462" t="str">
        <f t="shared" si="29"/>
        <v>Hóngyánsì Zhèn</v>
      </c>
      <c r="D462" t="s">
        <v>1107</v>
      </c>
      <c r="E462" t="s">
        <v>7</v>
      </c>
      <c r="F462" t="str">
        <f>_xlfn.CONCAT(D462,", ",H462,", ",I462,", ","陕西省")</f>
        <v>红岩寺镇, 柞水县, 商洛市, 陕西省</v>
      </c>
      <c r="G462">
        <v>13677</v>
      </c>
      <c r="H462" t="s">
        <v>3078</v>
      </c>
      <c r="I462" t="s">
        <v>3072</v>
      </c>
      <c r="J462">
        <f>VLOOKUP(F462,[1]!china_towns_second__2[[Column1]:[Y]],3,FALSE)</f>
        <v>33.697494717115198</v>
      </c>
      <c r="K462">
        <f>VLOOKUP(F462,[1]!china_towns_second__2[[Column1]:[Y]],2,FALSE)</f>
        <v>109.53652820000001</v>
      </c>
      <c r="L462" t="s">
        <v>4584</v>
      </c>
      <c r="M462" t="str">
        <f>VLOOKUP(H462,CHOOSE({1,2},Table11[Native],Table11[Name]),2,0)</f>
        <v>Zhàshuĭ Xiàn</v>
      </c>
      <c r="N462" s="13" t="str">
        <f>VLOOKUP(I462,CHOOSE({1,2},Table11[Native],Table11[Name]),2,0)</f>
        <v>Shāngluò Shì</v>
      </c>
      <c r="O462" s="13" t="str">
        <f t="shared" si="30"/>
        <v>Hongyansi Zhen (Shāngluò Shì)</v>
      </c>
      <c r="P462" s="13" t="str">
        <f t="shared" si="31"/>
        <v>Hongyansi Zhen (Shāngluò Shì)</v>
      </c>
    </row>
    <row r="463" spans="1:16" hidden="1" x14ac:dyDescent="0.25">
      <c r="A463" t="s">
        <v>2088</v>
      </c>
      <c r="B463" t="str">
        <f t="shared" si="28"/>
        <v>Hòu Zhèn</v>
      </c>
      <c r="C463" t="str">
        <f t="shared" si="29"/>
        <v>Hòu Zhèn</v>
      </c>
      <c r="D463" t="s">
        <v>2089</v>
      </c>
      <c r="E463" t="s">
        <v>7</v>
      </c>
      <c r="F463" t="str">
        <f>_xlfn.CONCAT(D463,", ",H463,", ",I463,", ","陕西省")</f>
        <v>厚镇, 蓝田县, 西安市, 陕西省</v>
      </c>
      <c r="G463">
        <v>14537</v>
      </c>
      <c r="H463" t="s">
        <v>3108</v>
      </c>
      <c r="I463" t="s">
        <v>3102</v>
      </c>
      <c r="J463">
        <f>VLOOKUP(F463,[1]!china_towns_second__2[[Column1]:[Y]],3,FALSE)</f>
        <v>34.240241367251798</v>
      </c>
      <c r="K463">
        <f>VLOOKUP(F463,[1]!china_towns_second__2[[Column1]:[Y]],2,FALSE)</f>
        <v>109.5559507</v>
      </c>
      <c r="L463" t="s">
        <v>4585</v>
      </c>
      <c r="M463" t="str">
        <f>VLOOKUP(H463,CHOOSE({1,2},Table11[Native],Table11[Name]),2,0)</f>
        <v>Lántián Xiàn</v>
      </c>
      <c r="N463" s="13" t="str">
        <f>VLOOKUP(I463,CHOOSE({1,2},Table11[Native],Table11[Name]),2,0)</f>
        <v>Xī'ān Shì</v>
      </c>
      <c r="O463" s="13" t="str">
        <f t="shared" si="30"/>
        <v>Hou Zhen (Xī'ān Shì)</v>
      </c>
      <c r="P463" s="13" t="str">
        <f t="shared" si="31"/>
        <v>Hou Zhen (Xī'ān Shì)</v>
      </c>
    </row>
    <row r="464" spans="1:16" hidden="1" x14ac:dyDescent="0.25">
      <c r="A464" t="s">
        <v>99</v>
      </c>
      <c r="B464" t="str">
        <f t="shared" si="28"/>
        <v>Hòuliŭ Zhèn [incl. Zhōngbà Xiāng]</v>
      </c>
      <c r="C464" t="str">
        <f t="shared" si="29"/>
        <v>Hòuliŭ Zhèn [incl. Zhōngbà Xiāng]</v>
      </c>
      <c r="D464" t="s">
        <v>100</v>
      </c>
      <c r="E464" t="s">
        <v>7</v>
      </c>
      <c r="F464" t="str">
        <f>_xlfn.CONCAT(D464,", ",H464,", ",I464,", ","陕西省")</f>
        <v>后柳镇, 石泉县, 安康市, 陕西省</v>
      </c>
      <c r="G464">
        <v>13214</v>
      </c>
      <c r="H464" t="s">
        <v>3040</v>
      </c>
      <c r="I464" t="s">
        <v>3031</v>
      </c>
      <c r="J464">
        <f>VLOOKUP(F464,[1]!china_towns_second__2[[Column1]:[Y]],3,FALSE)</f>
        <v>32.924748370633502</v>
      </c>
      <c r="K464">
        <f>VLOOKUP(F464,[1]!china_towns_second__2[[Column1]:[Y]],2,FALSE)</f>
        <v>108.1784559</v>
      </c>
      <c r="L464" t="s">
        <v>4586</v>
      </c>
      <c r="M464" t="str">
        <f>VLOOKUP(H464,CHOOSE({1,2},Table11[Native],Table11[Name]),2,0)</f>
        <v>Shíquán Xiàn</v>
      </c>
      <c r="N464" s="13" t="str">
        <f>VLOOKUP(I464,CHOOSE({1,2},Table11[Native],Table11[Name]),2,0)</f>
        <v>Ānkāng Shì</v>
      </c>
      <c r="O464" s="13" t="str">
        <f t="shared" si="30"/>
        <v>Houliu Zhen [incl. Zhongba Xiang] (Ānkāng Shì)</v>
      </c>
      <c r="P464" s="13" t="str">
        <f t="shared" si="31"/>
        <v>Houliu Zhen [incl. Zhongba Xiang] (Ānkāng Shì)</v>
      </c>
    </row>
    <row r="465" spans="1:16" hidden="1" x14ac:dyDescent="0.25">
      <c r="A465" t="s">
        <v>2090</v>
      </c>
      <c r="B465" t="str">
        <f t="shared" si="28"/>
        <v>Hòuzhĕnzi Zhèn</v>
      </c>
      <c r="C465" t="str">
        <f t="shared" si="29"/>
        <v>Hòuzhĕnzi Zhèn</v>
      </c>
      <c r="D465" t="s">
        <v>2091</v>
      </c>
      <c r="E465" t="s">
        <v>7</v>
      </c>
      <c r="F465" t="str">
        <f>_xlfn.CONCAT(D465,", ",H465,", ",I465,", ","陕西省")</f>
        <v>厚畛子镇, 周至县, 西安市, 陕西省</v>
      </c>
      <c r="G465">
        <v>2512</v>
      </c>
      <c r="H465" t="s">
        <v>3115</v>
      </c>
      <c r="I465" t="s">
        <v>3102</v>
      </c>
      <c r="J465">
        <f>VLOOKUP(F465,[1]!china_towns_second__2[[Column1]:[Y]],3,FALSE)</f>
        <v>33.8557223125392</v>
      </c>
      <c r="K465">
        <f>VLOOKUP(F465,[1]!china_towns_second__2[[Column1]:[Y]],2,FALSE)</f>
        <v>107.8348161</v>
      </c>
      <c r="L465" t="s">
        <v>4587</v>
      </c>
      <c r="M465" t="str">
        <f>VLOOKUP(H465,CHOOSE({1,2},Table11[Native],Table11[Name]),2,0)</f>
        <v>Zhōuzhì Xiàn</v>
      </c>
      <c r="N465" s="13" t="str">
        <f>VLOOKUP(I465,CHOOSE({1,2},Table11[Native],Table11[Name]),2,0)</f>
        <v>Xī'ān Shì</v>
      </c>
      <c r="O465" s="13" t="str">
        <f t="shared" si="30"/>
        <v>Houzhenzi Zhen (Xī'ān Shì)</v>
      </c>
      <c r="P465" s="13" t="str">
        <f t="shared" si="31"/>
        <v>Houzhenzi Zhen (Xī'ān Shì)</v>
      </c>
    </row>
    <row r="466" spans="1:16" hidden="1" x14ac:dyDescent="0.25">
      <c r="A466" t="s">
        <v>2412</v>
      </c>
      <c r="B466" t="str">
        <f t="shared" si="28"/>
        <v>Huáibǎi Zhèn</v>
      </c>
      <c r="C466" t="str">
        <f t="shared" si="29"/>
        <v>Huáibǎi Zhèn</v>
      </c>
      <c r="D466" t="s">
        <v>2413</v>
      </c>
      <c r="E466" t="s">
        <v>7</v>
      </c>
      <c r="F466" t="str">
        <f>_xlfn.CONCAT(D466,", ",H466,", ",I466,", ","陕西省")</f>
        <v>槐柏镇, 洛川县, 延安市, 陕西省</v>
      </c>
      <c r="G466">
        <v>17638</v>
      </c>
      <c r="H466" t="s">
        <v>3140</v>
      </c>
      <c r="I466" t="s">
        <v>3133</v>
      </c>
      <c r="J466">
        <f>VLOOKUP(F466,[1]!china_towns_second__2[[Column1]:[Y]],3,FALSE)</f>
        <v>35.685661998103001</v>
      </c>
      <c r="K466">
        <f>VLOOKUP(F466,[1]!china_towns_second__2[[Column1]:[Y]],2,FALSE)</f>
        <v>109.59395379999999</v>
      </c>
      <c r="L466" t="s">
        <v>4588</v>
      </c>
      <c r="M466" t="str">
        <f>VLOOKUP(H466,CHOOSE({1,2},Table11[Native],Table11[Name]),2,0)</f>
        <v>Luòchuān Xiàn</v>
      </c>
      <c r="N466" s="13" t="str">
        <f>VLOOKUP(I466,CHOOSE({1,2},Table11[Native],Table11[Name]),2,0)</f>
        <v>Yán'ān Shì</v>
      </c>
      <c r="O466" s="13" t="str">
        <f t="shared" si="30"/>
        <v>Huaibai Zhen (Yán'ān Shì)</v>
      </c>
      <c r="P466" s="13" t="str">
        <f t="shared" si="31"/>
        <v>Huaibai Zhen (Yán'ān Shì)</v>
      </c>
    </row>
    <row r="467" spans="1:16" hidden="1" x14ac:dyDescent="0.25">
      <c r="A467" t="s">
        <v>2758</v>
      </c>
      <c r="B467" t="str">
        <f t="shared" si="28"/>
        <v>Huáiníngwān Zhèn</v>
      </c>
      <c r="C467" t="str">
        <f t="shared" si="29"/>
        <v>Huáiníngwān Zhèn</v>
      </c>
      <c r="D467" t="s">
        <v>2759</v>
      </c>
      <c r="E467" t="s">
        <v>7</v>
      </c>
      <c r="F467" t="str">
        <f>_xlfn.CONCAT(D467,", ",H467,", ",I467,", ","陕西省")</f>
        <v>淮宁湾镇, 子洲县, 榆林市, 陕西省</v>
      </c>
      <c r="G467">
        <v>8288</v>
      </c>
      <c r="H467" t="s">
        <v>3160</v>
      </c>
      <c r="I467" t="s">
        <v>3148</v>
      </c>
      <c r="J467">
        <f>VLOOKUP(F467,[1]!china_towns_second__2[[Column1]:[Y]],3,FALSE)</f>
        <v>37.440671903630403</v>
      </c>
      <c r="K467">
        <f>VLOOKUP(F467,[1]!china_towns_second__2[[Column1]:[Y]],2,FALSE)</f>
        <v>110.03097150000001</v>
      </c>
      <c r="L467" t="s">
        <v>4589</v>
      </c>
      <c r="M467" t="str">
        <f>VLOOKUP(H467,CHOOSE({1,2},Table11[Native],Table11[Name]),2,0)</f>
        <v>Zizhōu Xiàn</v>
      </c>
      <c r="N467" s="13" t="str">
        <f>VLOOKUP(I467,CHOOSE({1,2},Table11[Native],Table11[Name]),2,0)</f>
        <v>Yúlín Shì</v>
      </c>
      <c r="O467" s="13" t="str">
        <f t="shared" si="30"/>
        <v>Huainingwan Zhen (Yúlín Shì)</v>
      </c>
      <c r="P467" s="13" t="str">
        <f t="shared" si="31"/>
        <v>Huainingwan Zhen (Yúlín Shì)</v>
      </c>
    </row>
    <row r="468" spans="1:16" hidden="1" x14ac:dyDescent="0.25">
      <c r="A468" t="s">
        <v>751</v>
      </c>
      <c r="B468" t="str">
        <f t="shared" si="28"/>
        <v>Huáishùguān Zhèn</v>
      </c>
      <c r="C468" t="str">
        <f t="shared" si="29"/>
        <v>Huáishùguān Zhèn</v>
      </c>
      <c r="D468" t="s">
        <v>752</v>
      </c>
      <c r="E468" t="s">
        <v>7</v>
      </c>
      <c r="F468" t="str">
        <f>_xlfn.CONCAT(D468,", ",H468,", ",I468,", ","陕西省")</f>
        <v>槐树关镇, 洋县, 汉中市, 陕西省</v>
      </c>
      <c r="G468">
        <v>25643</v>
      </c>
      <c r="H468" t="s">
        <v>3069</v>
      </c>
      <c r="I468" t="s">
        <v>3059</v>
      </c>
      <c r="J468">
        <f>VLOOKUP(F468,[1]!china_towns_second__2[[Column1]:[Y]],3,FALSE)</f>
        <v>33.295723177854697</v>
      </c>
      <c r="K468">
        <f>VLOOKUP(F468,[1]!china_towns_second__2[[Column1]:[Y]],2,FALSE)</f>
        <v>107.7331817</v>
      </c>
      <c r="L468" t="s">
        <v>4590</v>
      </c>
      <c r="M468" t="str">
        <f>VLOOKUP(H468,CHOOSE({1,2},Table11[Native],Table11[Name]),2,0)</f>
        <v>Yáng Xiàn</v>
      </c>
      <c r="N468" s="13" t="str">
        <f>VLOOKUP(I468,CHOOSE({1,2},Table11[Native],Table11[Name]),2,0)</f>
        <v>Hànzhōng Shì</v>
      </c>
      <c r="O468" s="13" t="str">
        <f t="shared" si="30"/>
        <v>Huaishuguan Zhen (Hànzhōng Shì)</v>
      </c>
      <c r="P468" s="13" t="str">
        <f t="shared" si="31"/>
        <v>Huaishuguan Zhen (Hànzhōng Shì)</v>
      </c>
    </row>
    <row r="469" spans="1:16" hidden="1" x14ac:dyDescent="0.25">
      <c r="A469" t="s">
        <v>441</v>
      </c>
      <c r="B469" t="str">
        <f t="shared" si="28"/>
        <v>Huáiyá Zhèn</v>
      </c>
      <c r="C469" t="str">
        <f t="shared" si="29"/>
        <v>Huáiyá Zhèn</v>
      </c>
      <c r="D469" t="s">
        <v>442</v>
      </c>
      <c r="E469" t="s">
        <v>7</v>
      </c>
      <c r="F469" t="str">
        <f>_xlfn.CONCAT(D469,", ",H469,", ",I469,", ","陕西省")</f>
        <v>槐芽镇, 眉县, 宝鸡市, 陕西省</v>
      </c>
      <c r="G469">
        <v>21487</v>
      </c>
      <c r="H469" t="s">
        <v>3053</v>
      </c>
      <c r="I469" t="s">
        <v>3045</v>
      </c>
      <c r="J469">
        <f>VLOOKUP(F469,[1]!china_towns_second__2[[Column1]:[Y]],3,FALSE)</f>
        <v>34.208780353513198</v>
      </c>
      <c r="K469">
        <f>VLOOKUP(F469,[1]!china_towns_second__2[[Column1]:[Y]],2,FALSE)</f>
        <v>107.8779837</v>
      </c>
      <c r="L469" t="s">
        <v>4591</v>
      </c>
      <c r="M469" t="str">
        <f>VLOOKUP(H469,CHOOSE({1,2},Table11[Native],Table11[Name]),2,0)</f>
        <v>Méi Xiàn</v>
      </c>
      <c r="N469" s="13" t="str">
        <f>VLOOKUP(I469,CHOOSE({1,2},Table11[Native],Table11[Name]),2,0)</f>
        <v>Băojī Shì</v>
      </c>
      <c r="O469" s="13" t="str">
        <f t="shared" si="30"/>
        <v>Huaiya Zhen (Băojī Shì)</v>
      </c>
      <c r="P469" s="13" t="str">
        <f t="shared" si="31"/>
        <v>Huaiya Zhen (Băojī Shì)</v>
      </c>
    </row>
    <row r="470" spans="1:16" hidden="1" x14ac:dyDescent="0.25">
      <c r="A470" t="s">
        <v>2092</v>
      </c>
      <c r="B470" t="str">
        <f t="shared" si="28"/>
        <v>Huánchéngxīlù Jiēdào</v>
      </c>
      <c r="C470" t="str">
        <f t="shared" si="29"/>
        <v>Huánchéngxīlù Jiēdào</v>
      </c>
      <c r="D470" t="s">
        <v>2093</v>
      </c>
      <c r="E470" t="s">
        <v>113</v>
      </c>
      <c r="F470" t="str">
        <f>_xlfn.CONCAT(D470,", ",H470,", ",I470,", ","陕西省")</f>
        <v>环城西路街道, 莲湖区, 西安市, 陕西省</v>
      </c>
      <c r="G470">
        <v>49571</v>
      </c>
      <c r="H470" t="s">
        <v>3109</v>
      </c>
      <c r="I470" t="s">
        <v>3102</v>
      </c>
      <c r="J470">
        <f>VLOOKUP(F470,[1]!china_towns_second__2[[Column1]:[Y]],3,FALSE)</f>
        <v>34.2715281744564</v>
      </c>
      <c r="K470">
        <f>VLOOKUP(F470,[1]!china_towns_second__2[[Column1]:[Y]],2,FALSE)</f>
        <v>108.9114029</v>
      </c>
      <c r="L470" t="s">
        <v>4592</v>
      </c>
      <c r="M470" t="str">
        <f>VLOOKUP(H470,CHOOSE({1,2},Table11[Native],Table11[Name]),2,0)</f>
        <v>Liánhú Qū</v>
      </c>
      <c r="N470" s="13" t="str">
        <f>VLOOKUP(I470,CHOOSE({1,2},Table11[Native],Table11[Name]),2,0)</f>
        <v>Xī'ān Shì</v>
      </c>
      <c r="O470" s="13" t="str">
        <f t="shared" si="30"/>
        <v>Huanchengxilu Jiedao (Xī'ān Shì)</v>
      </c>
      <c r="P470" s="13" t="str">
        <f t="shared" si="31"/>
        <v>Huanchengxilu Jiedao (Xī'ān Shì)</v>
      </c>
    </row>
    <row r="471" spans="1:16" hidden="1" x14ac:dyDescent="0.25">
      <c r="A471" t="s">
        <v>753</v>
      </c>
      <c r="B471" t="str">
        <f t="shared" si="28"/>
        <v>Huáng'ān Zhèn</v>
      </c>
      <c r="C471" t="str">
        <f t="shared" si="29"/>
        <v>Huáng'ān Zhèn</v>
      </c>
      <c r="D471" t="s">
        <v>754</v>
      </c>
      <c r="E471" t="s">
        <v>7</v>
      </c>
      <c r="F471" t="str">
        <f>_xlfn.CONCAT(D471,", ",H471,", ",I471,", ","陕西省")</f>
        <v>黄安镇, 洋县, 汉中市, 陕西省</v>
      </c>
      <c r="G471">
        <v>15306</v>
      </c>
      <c r="H471" t="s">
        <v>3069</v>
      </c>
      <c r="I471" t="s">
        <v>3059</v>
      </c>
      <c r="J471">
        <f>VLOOKUP(F471,[1]!china_towns_second__2[[Column1]:[Y]],3,FALSE)</f>
        <v>33.1354895579505</v>
      </c>
      <c r="K471">
        <f>VLOOKUP(F471,[1]!china_towns_second__2[[Column1]:[Y]],2,FALSE)</f>
        <v>107.5966911</v>
      </c>
      <c r="L471" t="s">
        <v>4593</v>
      </c>
      <c r="M471" t="str">
        <f>VLOOKUP(H471,CHOOSE({1,2},Table11[Native],Table11[Name]),2,0)</f>
        <v>Yáng Xiàn</v>
      </c>
      <c r="N471" s="13" t="str">
        <f>VLOOKUP(I471,CHOOSE({1,2},Table11[Native],Table11[Name]),2,0)</f>
        <v>Hànzhōng Shì</v>
      </c>
      <c r="O471" s="13" t="str">
        <f t="shared" si="30"/>
        <v>Huang'an Zhen (Hànzhōng Shì)</v>
      </c>
      <c r="P471" s="13" t="str">
        <f t="shared" si="31"/>
        <v>Huang'an Zhen (Hànzhōng Shì)</v>
      </c>
    </row>
    <row r="472" spans="1:16" hidden="1" x14ac:dyDescent="0.25">
      <c r="A472" t="s">
        <v>443</v>
      </c>
      <c r="B472" t="str">
        <f t="shared" si="28"/>
        <v>Huángbǎiyuán Zhèn</v>
      </c>
      <c r="C472" t="str">
        <f t="shared" si="29"/>
        <v>Huángbǎiyuán Zhèn</v>
      </c>
      <c r="D472" t="s">
        <v>444</v>
      </c>
      <c r="E472" t="s">
        <v>7</v>
      </c>
      <c r="F472" t="str">
        <f>_xlfn.CONCAT(D472,", ",H472,", ",I472,", ","陕西省")</f>
        <v>黄柏塬镇, 太白县, 宝鸡市, 陕西省</v>
      </c>
      <c r="G472">
        <v>1768</v>
      </c>
      <c r="H472" t="s">
        <v>3056</v>
      </c>
      <c r="I472" t="s">
        <v>3045</v>
      </c>
      <c r="J472">
        <f>VLOOKUP(F472,[1]!china_towns_second__2[[Column1]:[Y]],3,FALSE)</f>
        <v>33.802929189027701</v>
      </c>
      <c r="K472">
        <f>VLOOKUP(F472,[1]!china_towns_second__2[[Column1]:[Y]],2,FALSE)</f>
        <v>107.5072904</v>
      </c>
      <c r="L472" t="s">
        <v>4594</v>
      </c>
      <c r="M472" t="str">
        <f>VLOOKUP(H472,CHOOSE({1,2},Table11[Native],Table11[Name]),2,0)</f>
        <v>Tàibái Xiàn</v>
      </c>
      <c r="N472" s="13" t="str">
        <f>VLOOKUP(I472,CHOOSE({1,2},Table11[Native],Table11[Name]),2,0)</f>
        <v>Băojī Shì</v>
      </c>
      <c r="O472" s="13" t="str">
        <f t="shared" si="30"/>
        <v>Huangbaiyuan Zhen (Băojī Shì)</v>
      </c>
      <c r="P472" s="13" t="str">
        <f t="shared" si="31"/>
        <v>Huangbaiyuan Zhen (Băojī Shì)</v>
      </c>
    </row>
    <row r="473" spans="1:16" hidden="1" x14ac:dyDescent="0.25">
      <c r="A473" t="s">
        <v>1309</v>
      </c>
      <c r="B473" t="str">
        <f t="shared" si="28"/>
        <v>Huángbăo Zhèn</v>
      </c>
      <c r="C473" t="str">
        <f t="shared" si="29"/>
        <v>Huángbăo Zhèn</v>
      </c>
      <c r="D473" t="s">
        <v>1310</v>
      </c>
      <c r="E473" t="s">
        <v>7</v>
      </c>
      <c r="F473" t="str">
        <f>_xlfn.CONCAT(D473,", ",H473,", ",I473,", ","陕西省")</f>
        <v>黄堡镇, 王益区, 铜川市, 陕西省</v>
      </c>
      <c r="G473">
        <v>33528</v>
      </c>
      <c r="H473" t="s">
        <v>3082</v>
      </c>
      <c r="I473" t="s">
        <v>3081</v>
      </c>
      <c r="J473">
        <f>VLOOKUP(F473,[1]!china_towns_second__2[[Column1]:[Y]],3,FALSE)</f>
        <v>35.005443656425001</v>
      </c>
      <c r="K473">
        <f>VLOOKUP(F473,[1]!china_towns_second__2[[Column1]:[Y]],2,FALSE)</f>
        <v>109.0626031</v>
      </c>
      <c r="L473" t="s">
        <v>4595</v>
      </c>
      <c r="M473" t="str">
        <f>VLOOKUP(H473,CHOOSE({1,2},Table11[Native],Table11[Name]),2,0)</f>
        <v>Wángyì Qū</v>
      </c>
      <c r="N473" s="13" t="str">
        <f>VLOOKUP(I473,CHOOSE({1,2},Table11[Native],Table11[Name]),2,0)</f>
        <v>Tóngchuān Shì</v>
      </c>
      <c r="O473" s="13" t="str">
        <f t="shared" si="30"/>
        <v>Huangbao Zhen (Tóngchuān Shì)</v>
      </c>
      <c r="P473" s="13" t="str">
        <f t="shared" si="31"/>
        <v>Huangbao Zhen (Tóngchuān Shì)</v>
      </c>
    </row>
    <row r="474" spans="1:16" hidden="1" x14ac:dyDescent="0.25">
      <c r="A474" t="s">
        <v>755</v>
      </c>
      <c r="B474" t="str">
        <f t="shared" si="28"/>
        <v>Huángbàyì Xiāng</v>
      </c>
      <c r="C474" t="str">
        <f t="shared" si="29"/>
        <v>Huángbàyì Xiāng</v>
      </c>
      <c r="D474" t="s">
        <v>756</v>
      </c>
      <c r="E474" t="s">
        <v>11</v>
      </c>
      <c r="F474" t="str">
        <f>_xlfn.CONCAT(D474,", ",H474,", ",I474,", ","陕西省")</f>
        <v>黄坝驿乡, 宁强县, 汉中市, 陕西省</v>
      </c>
      <c r="G474">
        <v>3833</v>
      </c>
      <c r="H474" t="s">
        <v>3067</v>
      </c>
      <c r="I474" t="s">
        <v>3059</v>
      </c>
      <c r="J474" t="e">
        <f>VLOOKUP(F474,[1]!china_towns_second__2[[Column1]:[Y]],3,FALSE)</f>
        <v>#N/A</v>
      </c>
      <c r="K474" t="e">
        <f>VLOOKUP(F474,[1]!china_towns_second__2[[Column1]:[Y]],2,FALSE)</f>
        <v>#N/A</v>
      </c>
      <c r="L474" t="s">
        <v>4596</v>
      </c>
      <c r="M474" t="str">
        <f>VLOOKUP(H474,CHOOSE({1,2},Table11[Native],Table11[Name]),2,0)</f>
        <v>Níngqiáng Xiàn</v>
      </c>
      <c r="N474" s="13" t="str">
        <f>VLOOKUP(I474,CHOOSE({1,2},Table11[Native],Table11[Name]),2,0)</f>
        <v>Hànzhōng Shì</v>
      </c>
      <c r="O474" s="13" t="str">
        <f t="shared" si="30"/>
        <v>Huangbayi Xiang (Hànzhōng Shì)</v>
      </c>
      <c r="P474" s="13" t="str">
        <f t="shared" si="31"/>
        <v>Huangbayi Xiang (Hànzhōng Shì)</v>
      </c>
    </row>
    <row r="475" spans="1:16" hidden="1" x14ac:dyDescent="0.25">
      <c r="A475" t="s">
        <v>2760</v>
      </c>
      <c r="B475" t="str">
        <f t="shared" si="28"/>
        <v>Huángfŭ Zhèn</v>
      </c>
      <c r="C475" t="str">
        <f t="shared" si="29"/>
        <v>Huángfŭ Zhèn</v>
      </c>
      <c r="D475" t="s">
        <v>2761</v>
      </c>
      <c r="E475" t="s">
        <v>7</v>
      </c>
      <c r="F475" t="str">
        <f>_xlfn.CONCAT(D475,", ",H475,", ",I475,", ","陕西省")</f>
        <v>黄甫镇, 府谷县, 榆林市, 陕西省</v>
      </c>
      <c r="G475">
        <v>10516</v>
      </c>
      <c r="H475" t="s">
        <v>3150</v>
      </c>
      <c r="I475" t="s">
        <v>3148</v>
      </c>
      <c r="J475">
        <f>VLOOKUP(F475,[1]!china_towns_second__2[[Column1]:[Y]],3,FALSE)</f>
        <v>39.273326202035001</v>
      </c>
      <c r="K475">
        <f>VLOOKUP(F475,[1]!china_towns_second__2[[Column1]:[Y]],2,FALSE)</f>
        <v>111.14116799999999</v>
      </c>
      <c r="L475" t="s">
        <v>4597</v>
      </c>
      <c r="M475" t="str">
        <f>VLOOKUP(H475,CHOOSE({1,2},Table11[Native],Table11[Name]),2,0)</f>
        <v>Fŭgŭ Xiàn</v>
      </c>
      <c r="N475" s="13" t="str">
        <f>VLOOKUP(I475,CHOOSE({1,2},Table11[Native],Table11[Name]),2,0)</f>
        <v>Yúlín Shì</v>
      </c>
      <c r="O475" s="13" t="str">
        <f t="shared" si="30"/>
        <v>Huangfu Zhen (Yúlín Shì)</v>
      </c>
      <c r="P475" s="13" t="str">
        <f t="shared" si="31"/>
        <v>Huangfu Zhen (Yúlín Shì)</v>
      </c>
    </row>
    <row r="476" spans="1:16" hidden="1" x14ac:dyDescent="0.25">
      <c r="A476" t="s">
        <v>101</v>
      </c>
      <c r="B476" t="str">
        <f t="shared" si="28"/>
        <v>Huángguān Zhèn</v>
      </c>
      <c r="C476" t="str">
        <f t="shared" si="29"/>
        <v>Huángguān Zhèn</v>
      </c>
      <c r="D476" t="s">
        <v>102</v>
      </c>
      <c r="E476" t="s">
        <v>7</v>
      </c>
      <c r="F476" t="str">
        <f>_xlfn.CONCAT(D476,", ",H476,", ",I476,", ","陕西省")</f>
        <v>皇冠镇, 宁陕县, 安康市, 陕西省</v>
      </c>
      <c r="G476">
        <v>2791</v>
      </c>
      <c r="H476" t="s">
        <v>3038</v>
      </c>
      <c r="I476" t="s">
        <v>3031</v>
      </c>
      <c r="J476">
        <f>VLOOKUP(F476,[1]!china_towns_second__2[[Column1]:[Y]],3,FALSE)</f>
        <v>33.573993562474797</v>
      </c>
      <c r="K476">
        <f>VLOOKUP(F476,[1]!china_towns_second__2[[Column1]:[Y]],2,FALSE)</f>
        <v>108.39916220000001</v>
      </c>
      <c r="L476" t="s">
        <v>4598</v>
      </c>
      <c r="M476" t="str">
        <f>VLOOKUP(H476,CHOOSE({1,2},Table11[Native],Table11[Name]),2,0)</f>
        <v>Níngshăn Xiàn</v>
      </c>
      <c r="N476" s="13" t="str">
        <f>VLOOKUP(I476,CHOOSE({1,2},Table11[Native],Table11[Name]),2,0)</f>
        <v>Ānkāng Shì</v>
      </c>
      <c r="O476" s="13" t="str">
        <f t="shared" si="30"/>
        <v>Huangguan Zhen (Ānkāng Shì)</v>
      </c>
      <c r="P476" s="13" t="str">
        <f t="shared" si="31"/>
        <v>Huangguan Zhen (Ānkāng Shì)</v>
      </c>
    </row>
    <row r="477" spans="1:16" hidden="1" x14ac:dyDescent="0.25">
      <c r="A477" t="s">
        <v>757</v>
      </c>
      <c r="B477" t="str">
        <f t="shared" si="28"/>
        <v>Huángguān Zhèn [incl. Tángkŏu Xiāng]</v>
      </c>
      <c r="C477" t="str">
        <f t="shared" si="29"/>
        <v>Huángguān Zhèn [incl. Tángkŏu Xiāng]</v>
      </c>
      <c r="D477" t="s">
        <v>758</v>
      </c>
      <c r="E477" t="s">
        <v>7</v>
      </c>
      <c r="F477" t="str">
        <f>_xlfn.CONCAT(D477,", ",H477,", ",I477,", ","陕西省")</f>
        <v>黄官镇, 南郑区, 汉中市, 陕西省</v>
      </c>
      <c r="G477">
        <v>21849</v>
      </c>
      <c r="H477" t="s">
        <v>3066</v>
      </c>
      <c r="I477" t="s">
        <v>3059</v>
      </c>
      <c r="J477">
        <f>VLOOKUP(F477,[1]!china_towns_second__2[[Column1]:[Y]],3,FALSE)</f>
        <v>32.814968223426199</v>
      </c>
      <c r="K477">
        <f>VLOOKUP(F477,[1]!china_towns_second__2[[Column1]:[Y]],2,FALSE)</f>
        <v>106.7840291</v>
      </c>
      <c r="L477" t="s">
        <v>4599</v>
      </c>
      <c r="M477" t="str">
        <f>VLOOKUP(H477,CHOOSE({1,2},Table11[Native],Table11[Name]),2,0)</f>
        <v>Nánzhèng Qū</v>
      </c>
      <c r="N477" s="13" t="str">
        <f>VLOOKUP(I477,CHOOSE({1,2},Table11[Native],Table11[Name]),2,0)</f>
        <v>Hànzhōng Shì</v>
      </c>
      <c r="O477" s="13" t="str">
        <f t="shared" si="30"/>
        <v>Huangguan Zhen [incl. Tangkou Xiang] (Hànzhōng Shì)</v>
      </c>
      <c r="P477" s="13" t="str">
        <f t="shared" si="31"/>
        <v>Huangguan Zhen [incl. Tangkou Xiang] (Hànzhōng Shì)</v>
      </c>
    </row>
    <row r="478" spans="1:16" hidden="1" x14ac:dyDescent="0.25">
      <c r="A478" t="s">
        <v>2762</v>
      </c>
      <c r="B478" t="str">
        <f t="shared" si="28"/>
        <v>Huánghāojiè Zhèn</v>
      </c>
      <c r="C478" t="str">
        <f t="shared" si="29"/>
        <v>Huánghāojiè Zhèn</v>
      </c>
      <c r="D478" t="s">
        <v>2763</v>
      </c>
      <c r="E478" t="s">
        <v>7</v>
      </c>
      <c r="F478" t="str">
        <f>_xlfn.CONCAT(D478,", ",H478,", ",I478,", ","陕西省")</f>
        <v>黄蒿界镇, 靖边县, 榆林市, 陕西省</v>
      </c>
      <c r="G478">
        <v>4465</v>
      </c>
      <c r="H478" t="s">
        <v>3153</v>
      </c>
      <c r="I478" t="s">
        <v>3148</v>
      </c>
      <c r="J478">
        <f>VLOOKUP(F478,[1]!china_towns_second__2[[Column1]:[Y]],3,FALSE)</f>
        <v>37.824242754737902</v>
      </c>
      <c r="K478">
        <f>VLOOKUP(F478,[1]!china_towns_second__2[[Column1]:[Y]],2,FALSE)</f>
        <v>109.023087</v>
      </c>
      <c r="L478" t="s">
        <v>4600</v>
      </c>
      <c r="M478" t="str">
        <f>VLOOKUP(H478,CHOOSE({1,2},Table11[Native],Table11[Name]),2,0)</f>
        <v>Jìngbiān Xiàn</v>
      </c>
      <c r="N478" s="13" t="str">
        <f>VLOOKUP(I478,CHOOSE({1,2},Table11[Native],Table11[Name]),2,0)</f>
        <v>Yúlín Shì</v>
      </c>
      <c r="O478" s="13" t="str">
        <f t="shared" si="30"/>
        <v>Huanghaojie Zhen (Yúlín Shì)</v>
      </c>
      <c r="P478" s="13" t="str">
        <f t="shared" si="31"/>
        <v>Huanghaojie Zhen (Yúlín Shì)</v>
      </c>
    </row>
    <row r="479" spans="1:16" hidden="1" x14ac:dyDescent="0.25">
      <c r="A479" t="s">
        <v>1108</v>
      </c>
      <c r="B479" t="str">
        <f t="shared" si="28"/>
        <v>Huángjiāwān Xiāng</v>
      </c>
      <c r="C479" t="str">
        <f t="shared" si="29"/>
        <v>Huángjiāwān Xiāng</v>
      </c>
      <c r="D479" t="s">
        <v>1109</v>
      </c>
      <c r="E479" t="s">
        <v>11</v>
      </c>
      <c r="F479" t="str">
        <f>_xlfn.CONCAT(D479,", ",H479,", ",I479,", ","陕西省")</f>
        <v>黄家湾乡, 镇安县, 商洛市, 陕西省</v>
      </c>
      <c r="G479">
        <v>6104</v>
      </c>
      <c r="H479" t="s">
        <v>3079</v>
      </c>
      <c r="I479" t="s">
        <v>3072</v>
      </c>
      <c r="J479" t="e">
        <f>VLOOKUP(F479,[1]!china_towns_second__2[[Column1]:[Y]],3,FALSE)</f>
        <v>#N/A</v>
      </c>
      <c r="K479" t="e">
        <f>VLOOKUP(F479,[1]!china_towns_second__2[[Column1]:[Y]],2,FALSE)</f>
        <v>#N/A</v>
      </c>
      <c r="L479" t="s">
        <v>4601</v>
      </c>
      <c r="M479" t="str">
        <f>VLOOKUP(H479,CHOOSE({1,2},Table11[Native],Table11[Name]),2,0)</f>
        <v>Zhèn'ān Xiàn</v>
      </c>
      <c r="N479" s="13" t="str">
        <f>VLOOKUP(I479,CHOOSE({1,2},Table11[Native],Table11[Name]),2,0)</f>
        <v>Shāngluò Shì</v>
      </c>
      <c r="O479" s="13" t="str">
        <f t="shared" si="30"/>
        <v>Huangjiawan Xiang (Shāngluò Shì)</v>
      </c>
      <c r="P479" s="13" t="str">
        <f t="shared" si="31"/>
        <v>Huangjiawan Xiang (Shāngluò Shì)</v>
      </c>
    </row>
    <row r="480" spans="1:16" hidden="1" x14ac:dyDescent="0.25">
      <c r="A480" t="s">
        <v>759</v>
      </c>
      <c r="B480" t="str">
        <f t="shared" si="28"/>
        <v>Huángjiāyíng Zhèn</v>
      </c>
      <c r="C480" t="str">
        <f t="shared" si="29"/>
        <v>Huángjiāyíng Zhèn</v>
      </c>
      <c r="D480" t="s">
        <v>760</v>
      </c>
      <c r="E480" t="s">
        <v>7</v>
      </c>
      <c r="F480" t="str">
        <f>_xlfn.CONCAT(D480,", ",H480,", ",I480,", ","陕西省")</f>
        <v>黄家营镇, 洋县, 汉中市, 陕西省</v>
      </c>
      <c r="G480">
        <v>13035</v>
      </c>
      <c r="H480" t="s">
        <v>3069</v>
      </c>
      <c r="I480" t="s">
        <v>3059</v>
      </c>
      <c r="J480">
        <f>VLOOKUP(F480,[1]!china_towns_second__2[[Column1]:[Y]],3,FALSE)</f>
        <v>33.1387739029961</v>
      </c>
      <c r="K480">
        <f>VLOOKUP(F480,[1]!china_towns_second__2[[Column1]:[Y]],2,FALSE)</f>
        <v>107.70376400000001</v>
      </c>
      <c r="L480" t="s">
        <v>4602</v>
      </c>
      <c r="M480" t="str">
        <f>VLOOKUP(H480,CHOOSE({1,2},Table11[Native],Table11[Name]),2,0)</f>
        <v>Yáng Xiàn</v>
      </c>
      <c r="N480" s="13" t="str">
        <f>VLOOKUP(I480,CHOOSE({1,2},Table11[Native],Table11[Name]),2,0)</f>
        <v>Hànzhōng Shì</v>
      </c>
      <c r="O480" s="13" t="str">
        <f t="shared" si="30"/>
        <v>Huangjiaying Zhen (Hànzhōng Shì)</v>
      </c>
      <c r="P480" s="13" t="str">
        <f t="shared" si="31"/>
        <v>Huangjiaying Zhen (Hànzhōng Shì)</v>
      </c>
    </row>
    <row r="481" spans="1:16" hidden="1" x14ac:dyDescent="0.25">
      <c r="A481" t="s">
        <v>761</v>
      </c>
      <c r="B481" t="str">
        <f t="shared" si="28"/>
        <v>Huángjīnxiá Zhèn</v>
      </c>
      <c r="C481" t="str">
        <f t="shared" si="29"/>
        <v>Huángjīnxiá Zhèn</v>
      </c>
      <c r="D481" t="s">
        <v>762</v>
      </c>
      <c r="E481" t="s">
        <v>7</v>
      </c>
      <c r="F481" t="str">
        <f>_xlfn.CONCAT(D481,", ",H481,", ",I481,", ","陕西省")</f>
        <v>黄金峡镇, 洋县, 汉中市, 陕西省</v>
      </c>
      <c r="G481">
        <v>9788</v>
      </c>
      <c r="H481" t="s">
        <v>3069</v>
      </c>
      <c r="I481" t="s">
        <v>3059</v>
      </c>
      <c r="J481">
        <f>VLOOKUP(F481,[1]!china_towns_second__2[[Column1]:[Y]],3,FALSE)</f>
        <v>33.202359329308997</v>
      </c>
      <c r="K481">
        <f>VLOOKUP(F481,[1]!china_towns_second__2[[Column1]:[Y]],2,FALSE)</f>
        <v>107.8594973</v>
      </c>
      <c r="L481" t="s">
        <v>4603</v>
      </c>
      <c r="M481" t="str">
        <f>VLOOKUP(H481,CHOOSE({1,2},Table11[Native],Table11[Name]),2,0)</f>
        <v>Yáng Xiàn</v>
      </c>
      <c r="N481" s="13" t="str">
        <f>VLOOKUP(I481,CHOOSE({1,2},Table11[Native],Table11[Name]),2,0)</f>
        <v>Hànzhōng Shì</v>
      </c>
      <c r="O481" s="13" t="str">
        <f t="shared" si="30"/>
        <v>Huangjinxia Zhen (Hànzhōng Shì)</v>
      </c>
      <c r="P481" s="13" t="str">
        <f t="shared" si="31"/>
        <v>Huangjinxia Zhen (Hànzhōng Shì)</v>
      </c>
    </row>
    <row r="482" spans="1:16" hidden="1" x14ac:dyDescent="0.25">
      <c r="A482" t="s">
        <v>2094</v>
      </c>
      <c r="B482" t="str">
        <f t="shared" si="28"/>
        <v>Huángliáng Jiēdào</v>
      </c>
      <c r="C482" t="str">
        <f t="shared" si="29"/>
        <v>Huángliáng Jiēdào</v>
      </c>
      <c r="D482" t="s">
        <v>2095</v>
      </c>
      <c r="E482" t="s">
        <v>113</v>
      </c>
      <c r="F482" t="str">
        <f>_xlfn.CONCAT(D482,", ",H482,", ",I482,", ","陕西省")</f>
        <v>黄良街道, 长安区, 西安市, 陕西省</v>
      </c>
      <c r="G482">
        <v>27883</v>
      </c>
      <c r="H482" t="s">
        <v>3105</v>
      </c>
      <c r="I482" t="s">
        <v>3102</v>
      </c>
      <c r="J482">
        <f>VLOOKUP(F482,[1]!china_towns_second__2[[Column1]:[Y]],3,FALSE)</f>
        <v>34.092324743619997</v>
      </c>
      <c r="K482">
        <f>VLOOKUP(F482,[1]!china_towns_second__2[[Column1]:[Y]],2,FALSE)</f>
        <v>108.8960508</v>
      </c>
      <c r="L482" t="s">
        <v>4604</v>
      </c>
      <c r="M482" t="str">
        <f>VLOOKUP(H482,CHOOSE({1,2},Table11[Native],Table11[Name]),2,0)</f>
        <v>Cháng'ān Qū</v>
      </c>
      <c r="N482" s="13" t="str">
        <f>VLOOKUP(I482,CHOOSE({1,2},Table11[Native],Table11[Name]),2,0)</f>
        <v>Xī'ān Shì</v>
      </c>
      <c r="O482" s="13" t="str">
        <f t="shared" si="30"/>
        <v>Huangliang Jiedao (Xī'ān Shì)</v>
      </c>
      <c r="P482" s="13" t="str">
        <f t="shared" si="31"/>
        <v>Huangliang Jiedao (Xī'ān Shì)</v>
      </c>
    </row>
    <row r="483" spans="1:16" hidden="1" x14ac:dyDescent="0.25">
      <c r="A483" t="s">
        <v>1110</v>
      </c>
      <c r="B483" t="str">
        <f t="shared" si="28"/>
        <v>Huánglóng Xiāng</v>
      </c>
      <c r="C483" t="str">
        <f t="shared" si="29"/>
        <v>Huánglóng Xiāng</v>
      </c>
      <c r="D483" t="s">
        <v>1111</v>
      </c>
      <c r="E483" t="s">
        <v>11</v>
      </c>
      <c r="F483" t="str">
        <f>_xlfn.CONCAT(D483,", ",H483,", ",I483,", ","陕西省")</f>
        <v>黄龙乡, 山阳县, 商洛市, 陕西省</v>
      </c>
      <c r="G483">
        <v>6513</v>
      </c>
      <c r="H483" t="s">
        <v>3077</v>
      </c>
      <c r="I483" t="s">
        <v>3072</v>
      </c>
      <c r="J483" t="e">
        <f>VLOOKUP(F483,[1]!china_towns_second__2[[Column1]:[Y]],3,FALSE)</f>
        <v>#N/A</v>
      </c>
      <c r="K483" t="e">
        <f>VLOOKUP(F483,[1]!china_towns_second__2[[Column1]:[Y]],2,FALSE)</f>
        <v>#N/A</v>
      </c>
      <c r="L483" t="s">
        <v>4605</v>
      </c>
      <c r="M483" t="str">
        <f>VLOOKUP(H483,CHOOSE({1,2},Table11[Native],Table11[Name]),2,0)</f>
        <v>Shānyáng Xiàn</v>
      </c>
      <c r="N483" s="13" t="str">
        <f>VLOOKUP(I483,CHOOSE({1,2},Table11[Native],Table11[Name]),2,0)</f>
        <v>Shāngluò Shì</v>
      </c>
      <c r="O483" s="13" t="str">
        <f t="shared" si="30"/>
        <v>Huanglong Xiang (Shāngluò Shì)</v>
      </c>
      <c r="P483" s="13" t="str">
        <f t="shared" si="31"/>
        <v>Huanglong Xiang (Shāngluò Shì)</v>
      </c>
    </row>
    <row r="484" spans="1:16" hidden="1" x14ac:dyDescent="0.25">
      <c r="A484" t="s">
        <v>445</v>
      </c>
      <c r="B484" t="str">
        <f t="shared" si="28"/>
        <v>Huángniúpū Zhèn</v>
      </c>
      <c r="C484" t="str">
        <f t="shared" si="29"/>
        <v>Huángniúpū Zhèn</v>
      </c>
      <c r="D484" t="s">
        <v>446</v>
      </c>
      <c r="E484" t="s">
        <v>7</v>
      </c>
      <c r="F484" t="str">
        <f>_xlfn.CONCAT(D484,", ",H484,", ",I484,", ","陕西省")</f>
        <v>黄牛铺镇, 凤县, 宝鸡市, 陕西省</v>
      </c>
      <c r="G484">
        <v>6957</v>
      </c>
      <c r="H484" t="s">
        <v>3047</v>
      </c>
      <c r="I484" t="s">
        <v>3045</v>
      </c>
      <c r="J484">
        <f>VLOOKUP(F484,[1]!china_towns_second__2[[Column1]:[Y]],3,FALSE)</f>
        <v>34.218609424943203</v>
      </c>
      <c r="K484">
        <f>VLOOKUP(F484,[1]!china_towns_second__2[[Column1]:[Y]],2,FALSE)</f>
        <v>106.8425474</v>
      </c>
      <c r="L484" t="s">
        <v>4606</v>
      </c>
      <c r="M484" t="str">
        <f>VLOOKUP(H484,CHOOSE({1,2},Table11[Native],Table11[Name]),2,0)</f>
        <v>Fèng Xiàn</v>
      </c>
      <c r="N484" s="13" t="str">
        <f>VLOOKUP(I484,CHOOSE({1,2},Table11[Native],Table11[Name]),2,0)</f>
        <v>Băojī Shì</v>
      </c>
      <c r="O484" s="13" t="str">
        <f t="shared" si="30"/>
        <v>Huangniupu Zhen (Băojī Shì)</v>
      </c>
      <c r="P484" s="13" t="str">
        <f t="shared" si="31"/>
        <v>Huangniupu Zhen (Băojī Shì)</v>
      </c>
    </row>
    <row r="485" spans="1:16" hidden="1" x14ac:dyDescent="0.25">
      <c r="A485" t="s">
        <v>763</v>
      </c>
      <c r="B485" t="str">
        <f t="shared" si="28"/>
        <v>Huángshā Zhèn</v>
      </c>
      <c r="C485" t="str">
        <f t="shared" si="29"/>
        <v>Huángshā Zhèn</v>
      </c>
      <c r="D485" t="s">
        <v>764</v>
      </c>
      <c r="E485" t="s">
        <v>7</v>
      </c>
      <c r="F485" t="str">
        <f>_xlfn.CONCAT(D485,", ",H485,", ",I485,", ","陕西省")</f>
        <v>黄沙镇, 勉县, 汉中市, 陕西省</v>
      </c>
      <c r="G485">
        <v>9871</v>
      </c>
      <c r="H485" t="s">
        <v>3065</v>
      </c>
      <c r="I485" t="s">
        <v>3059</v>
      </c>
      <c r="J485">
        <f>VLOOKUP(F485,[1]!china_towns_second__2[[Column1]:[Y]],3,FALSE)</f>
        <v>33.133014000000003</v>
      </c>
      <c r="K485">
        <f>VLOOKUP(F485,[1]!china_towns_second__2[[Column1]:[Y]],2,FALSE)</f>
        <v>106.786879</v>
      </c>
      <c r="L485" t="s">
        <v>4607</v>
      </c>
      <c r="M485" t="str">
        <f>VLOOKUP(H485,CHOOSE({1,2},Table11[Native],Table11[Name]),2,0)</f>
        <v>Miăn Xiàn</v>
      </c>
      <c r="N485" s="13" t="str">
        <f>VLOOKUP(I485,CHOOSE({1,2},Table11[Native],Table11[Name]),2,0)</f>
        <v>Hànzhōng Shì</v>
      </c>
      <c r="O485" s="13" t="str">
        <f t="shared" si="30"/>
        <v>Huangsha Zhen (Hànzhōng Shì)</v>
      </c>
      <c r="P485" s="13" t="str">
        <f t="shared" si="31"/>
        <v>Huangsha Zhen (Hànzhōng Shì)</v>
      </c>
    </row>
    <row r="486" spans="1:16" hidden="1" x14ac:dyDescent="0.25">
      <c r="A486" t="s">
        <v>103</v>
      </c>
      <c r="B486" t="str">
        <f t="shared" si="28"/>
        <v>Huàngŭ Zhèn</v>
      </c>
      <c r="C486" t="str">
        <f t="shared" si="29"/>
        <v>Huàngŭ Zhèn</v>
      </c>
      <c r="D486" t="s">
        <v>104</v>
      </c>
      <c r="E486" t="s">
        <v>7</v>
      </c>
      <c r="F486" t="str">
        <f>_xlfn.CONCAT(D486,", ",H486,", ",I486,", ","陕西省")</f>
        <v>焕古镇, 紫阳县, 安康市, 陕西省</v>
      </c>
      <c r="G486">
        <v>9907</v>
      </c>
      <c r="H486" t="s">
        <v>3043</v>
      </c>
      <c r="I486" t="s">
        <v>3031</v>
      </c>
      <c r="J486">
        <f>VLOOKUP(F486,[1]!china_towns_second__2[[Column1]:[Y]],3,FALSE)</f>
        <v>32.615559021992297</v>
      </c>
      <c r="K486">
        <f>VLOOKUP(F486,[1]!china_towns_second__2[[Column1]:[Y]],2,FALSE)</f>
        <v>108.4231527</v>
      </c>
      <c r="L486" t="s">
        <v>4608</v>
      </c>
      <c r="M486" t="str">
        <f>VLOOKUP(H486,CHOOSE({1,2},Table11[Native],Table11[Name]),2,0)</f>
        <v>Zĭyáng Xiàn</v>
      </c>
      <c r="N486" s="13" t="str">
        <f>VLOOKUP(I486,CHOOSE({1,2},Table11[Native],Table11[Name]),2,0)</f>
        <v>Ānkāng Shì</v>
      </c>
      <c r="O486" s="13" t="str">
        <f t="shared" si="30"/>
        <v>Huangu Zhen (Ānkāng Shì)</v>
      </c>
      <c r="P486" s="13" t="str">
        <f t="shared" si="31"/>
        <v>Huangu Zhen (Ānkāng Shì)</v>
      </c>
    </row>
    <row r="487" spans="1:16" hidden="1" x14ac:dyDescent="0.25">
      <c r="A487" t="s">
        <v>2764</v>
      </c>
      <c r="B487" t="str">
        <f t="shared" si="28"/>
        <v>Huángwān Xiāng</v>
      </c>
      <c r="C487" t="str">
        <f t="shared" si="29"/>
        <v>Huángwān Xiāng</v>
      </c>
      <c r="D487" t="s">
        <v>2765</v>
      </c>
      <c r="E487" t="s">
        <v>11</v>
      </c>
      <c r="F487" t="str">
        <f>_xlfn.CONCAT(D487,", ",H487,", ",I487,", ","陕西省")</f>
        <v>黄湾乡, 定边县, 榆林市, 陕西省</v>
      </c>
      <c r="G487">
        <v>5813</v>
      </c>
      <c r="H487" t="s">
        <v>3149</v>
      </c>
      <c r="I487" t="s">
        <v>3148</v>
      </c>
      <c r="J487" t="e">
        <f>VLOOKUP(F487,[1]!china_towns_second__2[[Column1]:[Y]],3,FALSE)</f>
        <v>#N/A</v>
      </c>
      <c r="K487" t="e">
        <f>VLOOKUP(F487,[1]!china_towns_second__2[[Column1]:[Y]],2,FALSE)</f>
        <v>#N/A</v>
      </c>
      <c r="L487" t="s">
        <v>4609</v>
      </c>
      <c r="M487" t="str">
        <f>VLOOKUP(H487,CHOOSE({1,2},Table11[Native],Table11[Name]),2,0)</f>
        <v>Dìngbiān Xiàn</v>
      </c>
      <c r="N487" s="13" t="str">
        <f>VLOOKUP(I487,CHOOSE({1,2},Table11[Native],Table11[Name]),2,0)</f>
        <v>Yúlín Shì</v>
      </c>
      <c r="O487" s="13" t="str">
        <f t="shared" si="30"/>
        <v>Huangwan Xiang (Yúlín Shì)</v>
      </c>
      <c r="P487" s="13" t="str">
        <f t="shared" si="31"/>
        <v>Huangwan Xiang (Yúlín Shì)</v>
      </c>
    </row>
    <row r="488" spans="1:16" hidden="1" x14ac:dyDescent="0.25">
      <c r="A488" t="s">
        <v>105</v>
      </c>
      <c r="B488" t="str">
        <f t="shared" si="28"/>
        <v>Huápíng Zhèn</v>
      </c>
      <c r="C488" t="str">
        <f t="shared" si="29"/>
        <v>Huápíng Zhèn</v>
      </c>
      <c r="D488" t="s">
        <v>106</v>
      </c>
      <c r="E488" t="s">
        <v>7</v>
      </c>
      <c r="F488" t="str">
        <f>_xlfn.CONCAT(D488,", ",H488,", ",I488,", ","陕西省")</f>
        <v>华坪镇, 镇坪县, 安康市, 陕西省</v>
      </c>
      <c r="G488">
        <v>2701</v>
      </c>
      <c r="H488" t="s">
        <v>3042</v>
      </c>
      <c r="I488" t="s">
        <v>3031</v>
      </c>
      <c r="J488">
        <f>VLOOKUP(F488,[1]!china_towns_second__2[[Column1]:[Y]],3,FALSE)</f>
        <v>31.745519857028899</v>
      </c>
      <c r="K488">
        <f>VLOOKUP(F488,[1]!china_towns_second__2[[Column1]:[Y]],2,FALSE)</f>
        <v>109.3786976</v>
      </c>
      <c r="L488" t="s">
        <v>4610</v>
      </c>
      <c r="M488" t="str">
        <f>VLOOKUP(H488,CHOOSE({1,2},Table11[Native],Table11[Name]),2,0)</f>
        <v>Zhènpíng Xiàn</v>
      </c>
      <c r="N488" s="13" t="str">
        <f>VLOOKUP(I488,CHOOSE({1,2},Table11[Native],Table11[Name]),2,0)</f>
        <v>Ānkāng Shì</v>
      </c>
      <c r="O488" s="13" t="str">
        <f t="shared" si="30"/>
        <v>Huaping Zhen (Ānkāng Shì)</v>
      </c>
      <c r="P488" s="13" t="str">
        <f t="shared" si="31"/>
        <v>Huaping Zhen (Ānkāng Shì)</v>
      </c>
    </row>
    <row r="489" spans="1:16" hidden="1" x14ac:dyDescent="0.25">
      <c r="A489" t="s">
        <v>1112</v>
      </c>
      <c r="B489" t="str">
        <f t="shared" si="28"/>
        <v>Huāpíngzi Zhèn</v>
      </c>
      <c r="C489" t="str">
        <f t="shared" si="29"/>
        <v>Huāpíngzi Zhèn</v>
      </c>
      <c r="D489" t="s">
        <v>1113</v>
      </c>
      <c r="E489" t="s">
        <v>7</v>
      </c>
      <c r="F489" t="str">
        <f>_xlfn.CONCAT(D489,", ",H489,", ",I489,", ","陕西省")</f>
        <v>花瓶子镇, 丹凤县, 商洛市, 陕西省</v>
      </c>
      <c r="G489">
        <v>8879</v>
      </c>
      <c r="H489" t="s">
        <v>3073</v>
      </c>
      <c r="I489" t="s">
        <v>3072</v>
      </c>
      <c r="J489">
        <f>VLOOKUP(F489,[1]!china_towns_second__2[[Column1]:[Y]],3,FALSE)</f>
        <v>33.564222325226702</v>
      </c>
      <c r="K489">
        <f>VLOOKUP(F489,[1]!china_towns_second__2[[Column1]:[Y]],2,FALSE)</f>
        <v>110.49581240000001</v>
      </c>
      <c r="L489" t="s">
        <v>4611</v>
      </c>
      <c r="M489" t="str">
        <f>VLOOKUP(H489,CHOOSE({1,2},Table11[Native],Table11[Name]),2,0)</f>
        <v>Dānfèng Xiàn</v>
      </c>
      <c r="N489" s="13" t="str">
        <f>VLOOKUP(I489,CHOOSE({1,2},Table11[Native],Table11[Name]),2,0)</f>
        <v>Shāngluò Shì</v>
      </c>
      <c r="O489" s="13" t="str">
        <f t="shared" si="30"/>
        <v>Huapingzi Zhen (Shāngluò Shì)</v>
      </c>
      <c r="P489" s="13" t="str">
        <f t="shared" si="31"/>
        <v>Huapingzi Zhen (Shāngluò Shì)</v>
      </c>
    </row>
    <row r="490" spans="1:16" hidden="1" x14ac:dyDescent="0.25">
      <c r="A490" t="s">
        <v>1486</v>
      </c>
      <c r="B490" t="str">
        <f t="shared" si="28"/>
        <v>Huàshān Zhèn [incl. Yùquán Jiēdào, Wŭfāng Xiāng]</v>
      </c>
      <c r="C490" t="str">
        <f t="shared" si="29"/>
        <v>Huàshān Zhèn [incl. Yùquán Jiēdào, Wŭfāng Xiāng]</v>
      </c>
      <c r="D490" t="s">
        <v>1487</v>
      </c>
      <c r="E490" t="s">
        <v>7</v>
      </c>
      <c r="F490" t="str">
        <f>_xlfn.CONCAT(D490,", ",H490,", ",I490,", ","陕西省")</f>
        <v>华山镇, 华阴市, 渭南市, 陕西省</v>
      </c>
      <c r="G490">
        <v>60791</v>
      </c>
      <c r="H490" t="s">
        <v>3095</v>
      </c>
      <c r="I490" t="s">
        <v>3087</v>
      </c>
      <c r="J490">
        <f>VLOOKUP(F490,[1]!china_towns_second__2[[Column1]:[Y]],3,FALSE)</f>
        <v>34.4893287151774</v>
      </c>
      <c r="K490">
        <f>VLOOKUP(F490,[1]!china_towns_second__2[[Column1]:[Y]],2,FALSE)</f>
        <v>110.05828270000001</v>
      </c>
      <c r="L490" t="s">
        <v>4612</v>
      </c>
      <c r="M490" t="str">
        <f>VLOOKUP(H490,CHOOSE({1,2},Table11[Native],Table11[Name]),2,0)</f>
        <v>Huáyīn Shì</v>
      </c>
      <c r="N490" s="13" t="str">
        <f>VLOOKUP(I490,CHOOSE({1,2},Table11[Native],Table11[Name]),2,0)</f>
        <v>Wèinán Shì</v>
      </c>
      <c r="O490" s="13" t="str">
        <f t="shared" si="30"/>
        <v>Huashan Zhen [incl. Yuquan Jiedao, Wufang Xiang] (Wèinán Shì)</v>
      </c>
      <c r="P490" s="13" t="str">
        <f t="shared" si="31"/>
        <v>Huashan Zhen [incl. Yuquan Jiedao, Wufang Xiang] (Wèinán Shì)</v>
      </c>
    </row>
    <row r="491" spans="1:16" hidden="1" x14ac:dyDescent="0.25">
      <c r="A491" t="s">
        <v>2766</v>
      </c>
      <c r="B491" t="str">
        <f t="shared" si="28"/>
        <v>Huāshíyá Zhèn</v>
      </c>
      <c r="C491" t="str">
        <f t="shared" si="29"/>
        <v>Huāshíyá Zhèn</v>
      </c>
      <c r="D491" t="s">
        <v>2767</v>
      </c>
      <c r="E491" t="s">
        <v>7</v>
      </c>
      <c r="F491" t="str">
        <f>_xlfn.CONCAT(D491,", ",H491,", ",I491,", ","陕西省")</f>
        <v>花石崖镇, 神木市, 榆林市, 陕西省</v>
      </c>
      <c r="G491">
        <v>2504</v>
      </c>
      <c r="H491" t="s">
        <v>3156</v>
      </c>
      <c r="I491" t="s">
        <v>3148</v>
      </c>
      <c r="J491">
        <f>VLOOKUP(F491,[1]!china_towns_second__2[[Column1]:[Y]],3,FALSE)</f>
        <v>38.424273738388997</v>
      </c>
      <c r="K491">
        <f>VLOOKUP(F491,[1]!china_towns_second__2[[Column1]:[Y]],2,FALSE)</f>
        <v>110.5267288</v>
      </c>
      <c r="L491" t="s">
        <v>4613</v>
      </c>
      <c r="M491" t="str">
        <f>VLOOKUP(H491,CHOOSE({1,2},Table11[Native],Table11[Name]),2,0)</f>
        <v>Shénmù Shì</v>
      </c>
      <c r="N491" s="13" t="str">
        <f>VLOOKUP(I491,CHOOSE({1,2},Table11[Native],Table11[Name]),2,0)</f>
        <v>Yúlín Shì</v>
      </c>
      <c r="O491" s="13" t="str">
        <f t="shared" si="30"/>
        <v>Huashiya Zhen (Yúlín Shì)</v>
      </c>
      <c r="P491" s="13" t="str">
        <f t="shared" si="31"/>
        <v>Huashiya Zhen (Yúlín Shì)</v>
      </c>
    </row>
    <row r="492" spans="1:16" hidden="1" x14ac:dyDescent="0.25">
      <c r="A492" t="s">
        <v>1488</v>
      </c>
      <c r="B492" t="str">
        <f t="shared" si="28"/>
        <v>Huáxī Zhèn</v>
      </c>
      <c r="C492" t="str">
        <f t="shared" si="29"/>
        <v>Huáxī Zhèn</v>
      </c>
      <c r="D492" t="s">
        <v>1489</v>
      </c>
      <c r="E492" t="s">
        <v>7</v>
      </c>
      <c r="F492" t="str">
        <f>_xlfn.CONCAT(D492,", ",H492,", ",I492,", ","陕西省")</f>
        <v>华西镇, 华阴市, 渭南市, 陕西省</v>
      </c>
      <c r="G492">
        <v>16989</v>
      </c>
      <c r="H492" t="s">
        <v>3095</v>
      </c>
      <c r="I492" t="s">
        <v>3087</v>
      </c>
      <c r="J492">
        <f>VLOOKUP(F492,[1]!china_towns_second__2[[Column1]:[Y]],3,FALSE)</f>
        <v>34.602890937461403</v>
      </c>
      <c r="K492">
        <f>VLOOKUP(F492,[1]!china_towns_second__2[[Column1]:[Y]],2,FALSE)</f>
        <v>109.9740529</v>
      </c>
      <c r="L492" t="s">
        <v>4614</v>
      </c>
      <c r="M492" t="str">
        <f>VLOOKUP(H492,CHOOSE({1,2},Table11[Native],Table11[Name]),2,0)</f>
        <v>Huáyīn Shì</v>
      </c>
      <c r="N492" s="13" t="str">
        <f>VLOOKUP(I492,CHOOSE({1,2},Table11[Native],Table11[Name]),2,0)</f>
        <v>Wèinán Shì</v>
      </c>
      <c r="O492" s="13" t="str">
        <f t="shared" si="30"/>
        <v>Huaxi Zhen (Wèinán Shì)</v>
      </c>
      <c r="P492" s="13" t="str">
        <f t="shared" si="31"/>
        <v>Huaxi Zhen (Wèinán Shì)</v>
      </c>
    </row>
    <row r="493" spans="1:16" hidden="1" x14ac:dyDescent="0.25">
      <c r="A493" t="s">
        <v>2096</v>
      </c>
      <c r="B493" t="str">
        <f t="shared" si="28"/>
        <v>Huáxū Zhèn</v>
      </c>
      <c r="C493" t="str">
        <f t="shared" si="29"/>
        <v>Huáxū Zhèn</v>
      </c>
      <c r="D493" t="s">
        <v>2097</v>
      </c>
      <c r="E493" t="s">
        <v>7</v>
      </c>
      <c r="F493" t="str">
        <f>_xlfn.CONCAT(D493,", ",H493,", ",I493,", ","陕西省")</f>
        <v>华胥镇, 蓝田县, 西安市, 陕西省</v>
      </c>
      <c r="G493">
        <v>29530</v>
      </c>
      <c r="H493" t="s">
        <v>3108</v>
      </c>
      <c r="I493" t="s">
        <v>3102</v>
      </c>
      <c r="J493">
        <f>VLOOKUP(F493,[1]!china_towns_second__2[[Column1]:[Y]],3,FALSE)</f>
        <v>34.261673914649599</v>
      </c>
      <c r="K493">
        <f>VLOOKUP(F493,[1]!china_towns_second__2[[Column1]:[Y]],2,FALSE)</f>
        <v>109.21323599999999</v>
      </c>
      <c r="L493" t="s">
        <v>4615</v>
      </c>
      <c r="M493" t="str">
        <f>VLOOKUP(H493,CHOOSE({1,2},Table11[Native],Table11[Name]),2,0)</f>
        <v>Lántián Xiàn</v>
      </c>
      <c r="N493" s="13" t="str">
        <f>VLOOKUP(I493,CHOOSE({1,2},Table11[Native],Table11[Name]),2,0)</f>
        <v>Xī'ān Shì</v>
      </c>
      <c r="O493" s="13" t="str">
        <f t="shared" si="30"/>
        <v>Huaxu Zhen (Xī'ān Shì)</v>
      </c>
      <c r="P493" s="13" t="str">
        <f t="shared" si="31"/>
        <v>Huaxu Zhen (Xī'ān Shì)</v>
      </c>
    </row>
    <row r="494" spans="1:16" hidden="1" x14ac:dyDescent="0.25">
      <c r="A494" t="s">
        <v>765</v>
      </c>
      <c r="B494" t="str">
        <f t="shared" si="28"/>
        <v>Huáyáng Zhèn</v>
      </c>
      <c r="C494" t="str">
        <f t="shared" si="29"/>
        <v>Huáyáng Zhèn</v>
      </c>
      <c r="D494" t="s">
        <v>766</v>
      </c>
      <c r="E494" t="s">
        <v>7</v>
      </c>
      <c r="F494" t="str">
        <f>_xlfn.CONCAT(D494,", ",H494,", ",I494,", ","陕西省")</f>
        <v>华阳镇, 洋县, 汉中市, 陕西省</v>
      </c>
      <c r="G494">
        <v>6766</v>
      </c>
      <c r="H494" t="s">
        <v>3069</v>
      </c>
      <c r="I494" t="s">
        <v>3059</v>
      </c>
      <c r="J494">
        <f>VLOOKUP(F494,[1]!china_towns_second__2[[Column1]:[Y]],3,FALSE)</f>
        <v>33.621630592817198</v>
      </c>
      <c r="K494">
        <f>VLOOKUP(F494,[1]!china_towns_second__2[[Column1]:[Y]],2,FALSE)</f>
        <v>107.47198710000001</v>
      </c>
      <c r="L494" t="s">
        <v>4616</v>
      </c>
      <c r="M494" t="str">
        <f>VLOOKUP(H494,CHOOSE({1,2},Table11[Native],Table11[Name]),2,0)</f>
        <v>Yáng Xiàn</v>
      </c>
      <c r="N494" s="13" t="str">
        <f>VLOOKUP(I494,CHOOSE({1,2},Table11[Native],Table11[Name]),2,0)</f>
        <v>Hànzhōng Shì</v>
      </c>
      <c r="O494" s="13" t="str">
        <f t="shared" si="30"/>
        <v>Huayang Zhen (Hànzhōng Shì)</v>
      </c>
      <c r="P494" s="13" t="str">
        <f t="shared" si="31"/>
        <v>Huayang Zhen (Hànzhōng Shì)</v>
      </c>
    </row>
    <row r="495" spans="1:16" hidden="1" x14ac:dyDescent="0.25">
      <c r="A495" t="s">
        <v>1114</v>
      </c>
      <c r="B495" t="str">
        <f t="shared" si="28"/>
        <v>Huāyuán Xiāng</v>
      </c>
      <c r="C495" t="str">
        <f t="shared" si="29"/>
        <v>Huāyuán Xiāng</v>
      </c>
      <c r="D495" t="s">
        <v>1115</v>
      </c>
      <c r="E495" t="s">
        <v>11</v>
      </c>
      <c r="F495" t="str">
        <f>_xlfn.CONCAT(D495,", ",H495,", ",I495,", ","陕西省")</f>
        <v>花园乡, 丹凤县, 商洛市, 陕西省</v>
      </c>
      <c r="G495">
        <v>5031</v>
      </c>
      <c r="H495" t="s">
        <v>3073</v>
      </c>
      <c r="I495" t="s">
        <v>3072</v>
      </c>
      <c r="J495" t="e">
        <f>VLOOKUP(F495,[1]!china_towns_second__2[[Column1]:[Y]],3,FALSE)</f>
        <v>#N/A</v>
      </c>
      <c r="K495" t="e">
        <f>VLOOKUP(F495,[1]!china_towns_second__2[[Column1]:[Y]],2,FALSE)</f>
        <v>#N/A</v>
      </c>
      <c r="L495" t="s">
        <v>4617</v>
      </c>
      <c r="M495" t="str">
        <f>VLOOKUP(H495,CHOOSE({1,2},Table11[Native],Table11[Name]),2,0)</f>
        <v>Dānfèng Xiàn</v>
      </c>
      <c r="N495" s="13" t="str">
        <f>VLOOKUP(I495,CHOOSE({1,2},Table11[Native],Table11[Name]),2,0)</f>
        <v>Shāngluò Shì</v>
      </c>
      <c r="O495" s="13" t="str">
        <f t="shared" si="30"/>
        <v>Huayuan Xiang (Shāngluò Shì)</v>
      </c>
      <c r="P495" s="13" t="str">
        <f t="shared" si="31"/>
        <v>Huayuan Xiang (Shāngluò Shì)</v>
      </c>
    </row>
    <row r="496" spans="1:16" hidden="1" x14ac:dyDescent="0.25">
      <c r="A496" t="s">
        <v>1490</v>
      </c>
      <c r="B496" t="str">
        <f t="shared" si="28"/>
        <v>Huázhōu Jiēdào</v>
      </c>
      <c r="C496" t="str">
        <f t="shared" si="29"/>
        <v>Huázhōu Jiēdào</v>
      </c>
      <c r="D496" t="s">
        <v>1491</v>
      </c>
      <c r="E496" t="s">
        <v>113</v>
      </c>
      <c r="F496" t="str">
        <f>_xlfn.CONCAT(D496,", ",H496,", ",I496,", ","陕西省")</f>
        <v>华州街道, 华州区, 渭南市, 陕西省</v>
      </c>
      <c r="G496">
        <v>44614</v>
      </c>
      <c r="H496" t="s">
        <v>3096</v>
      </c>
      <c r="I496" t="s">
        <v>3087</v>
      </c>
      <c r="J496" t="e">
        <f>VLOOKUP(F496,[1]!china_towns_second__2[[Column1]:[Y]],3,FALSE)</f>
        <v>#N/A</v>
      </c>
      <c r="K496" t="e">
        <f>VLOOKUP(F496,[1]!china_towns_second__2[[Column1]:[Y]],2,FALSE)</f>
        <v>#N/A</v>
      </c>
      <c r="L496" t="s">
        <v>4618</v>
      </c>
      <c r="M496" t="str">
        <f>VLOOKUP(H496,CHOOSE({1,2},Table11[Native],Table11[Name]),2,0)</f>
        <v>Huázhōu Qū</v>
      </c>
      <c r="N496" s="13" t="str">
        <f>VLOOKUP(I496,CHOOSE({1,2},Table11[Native],Table11[Name]),2,0)</f>
        <v>Wèinán Shì</v>
      </c>
      <c r="O496" s="13" t="str">
        <f t="shared" si="30"/>
        <v>Huazhou Jiedao (Wèinán Shì)</v>
      </c>
      <c r="P496" s="13" t="str">
        <f t="shared" si="31"/>
        <v>Huazhou Jiedao (Wèinán Shì)</v>
      </c>
    </row>
    <row r="497" spans="1:16" hidden="1" x14ac:dyDescent="0.25">
      <c r="A497" t="s">
        <v>2414</v>
      </c>
      <c r="B497" t="str">
        <f t="shared" si="28"/>
        <v>Huàzipíng Zhèn</v>
      </c>
      <c r="C497" t="str">
        <f t="shared" si="29"/>
        <v>Huàzipíng Zhèn</v>
      </c>
      <c r="D497" t="s">
        <v>2415</v>
      </c>
      <c r="E497" t="s">
        <v>7</v>
      </c>
      <c r="F497" t="str">
        <f>_xlfn.CONCAT(D497,", ",H497,", ",I497,", ","陕西省")</f>
        <v>化子坪镇, 安塞区, 延安市, 陕西省</v>
      </c>
      <c r="G497">
        <v>14939</v>
      </c>
      <c r="H497" t="s">
        <v>3134</v>
      </c>
      <c r="I497" t="s">
        <v>3133</v>
      </c>
      <c r="J497">
        <f>VLOOKUP(F497,[1]!china_towns_second__2[[Column1]:[Y]],3,FALSE)</f>
        <v>37.071474747537003</v>
      </c>
      <c r="K497">
        <f>VLOOKUP(F497,[1]!china_towns_second__2[[Column1]:[Y]],2,FALSE)</f>
        <v>109.0588001</v>
      </c>
      <c r="L497" t="s">
        <v>4619</v>
      </c>
      <c r="M497" t="str">
        <f>VLOOKUP(H497,CHOOSE({1,2},Table11[Native],Table11[Name]),2,0)</f>
        <v>Ānsài Qū</v>
      </c>
      <c r="N497" s="13" t="str">
        <f>VLOOKUP(I497,CHOOSE({1,2},Table11[Native],Table11[Name]),2,0)</f>
        <v>Yán'ān Shì</v>
      </c>
      <c r="O497" s="13" t="str">
        <f t="shared" si="30"/>
        <v>Huaziping Zhen (Yán'ān Shì)</v>
      </c>
      <c r="P497" s="13" t="str">
        <f t="shared" si="31"/>
        <v>Huaziping Zhen (Yán'ān Shì)</v>
      </c>
    </row>
    <row r="498" spans="1:16" hidden="1" x14ac:dyDescent="0.25">
      <c r="A498" t="s">
        <v>447</v>
      </c>
      <c r="B498" t="str">
        <f t="shared" si="28"/>
        <v>Húdiàn Xiāng</v>
      </c>
      <c r="C498" t="str">
        <f t="shared" si="29"/>
        <v>Húdiàn Xiāng</v>
      </c>
      <c r="D498" t="s">
        <v>448</v>
      </c>
      <c r="E498" t="s">
        <v>11</v>
      </c>
      <c r="F498" t="str">
        <f>_xlfn.CONCAT(D498,", ",H498,", ",I498,", ","陕西省")</f>
        <v>胡店乡, 陈仓区, 宝鸡市, 陕西省</v>
      </c>
      <c r="G498">
        <v>9995</v>
      </c>
      <c r="H498" t="s">
        <v>3046</v>
      </c>
      <c r="I498" t="s">
        <v>3045</v>
      </c>
      <c r="J498" t="e">
        <f>VLOOKUP(F498,[1]!china_towns_second__2[[Column1]:[Y]],3,FALSE)</f>
        <v>#N/A</v>
      </c>
      <c r="K498" t="e">
        <f>VLOOKUP(F498,[1]!china_towns_second__2[[Column1]:[Y]],2,FALSE)</f>
        <v>#N/A</v>
      </c>
      <c r="L498" t="s">
        <v>4620</v>
      </c>
      <c r="M498" t="str">
        <f>VLOOKUP(H498,CHOOSE({1,2},Table11[Native],Table11[Name]),2,0)</f>
        <v>Chéncāng Qū</v>
      </c>
      <c r="N498" s="13" t="str">
        <f>VLOOKUP(I498,CHOOSE({1,2},Table11[Native],Table11[Name]),2,0)</f>
        <v>Băojī Shì</v>
      </c>
      <c r="O498" s="13" t="str">
        <f t="shared" si="30"/>
        <v>Hudian Xiang (Băojī Shì)</v>
      </c>
      <c r="P498" s="13" t="str">
        <f t="shared" si="31"/>
        <v>Hudian Xiang (Băojī Shì)</v>
      </c>
    </row>
    <row r="499" spans="1:16" hidden="1" x14ac:dyDescent="0.25">
      <c r="A499" t="s">
        <v>1116</v>
      </c>
      <c r="B499" t="str">
        <f t="shared" si="28"/>
        <v>Huílóng Zhèn</v>
      </c>
      <c r="C499" t="str">
        <f t="shared" si="29"/>
        <v>Huílóng Zhèn</v>
      </c>
      <c r="D499" t="s">
        <v>1117</v>
      </c>
      <c r="E499" t="s">
        <v>7</v>
      </c>
      <c r="F499" t="str">
        <f>_xlfn.CONCAT(D499,", ",H499,", ",I499,", ","陕西省")</f>
        <v>回龙镇, 镇安县, 商洛市, 陕西省</v>
      </c>
      <c r="G499">
        <v>10464</v>
      </c>
      <c r="H499" t="s">
        <v>3079</v>
      </c>
      <c r="I499" t="s">
        <v>3072</v>
      </c>
      <c r="J499">
        <f>VLOOKUP(F499,[1]!china_towns_second__2[[Column1]:[Y]],3,FALSE)</f>
        <v>33.520081443652899</v>
      </c>
      <c r="K499">
        <f>VLOOKUP(F499,[1]!china_towns_second__2[[Column1]:[Y]],2,FALSE)</f>
        <v>109.1475207</v>
      </c>
      <c r="L499" t="s">
        <v>4621</v>
      </c>
      <c r="M499" t="str">
        <f>VLOOKUP(H499,CHOOSE({1,2},Table11[Native],Table11[Name]),2,0)</f>
        <v>Zhèn'ān Xiàn</v>
      </c>
      <c r="N499" s="13" t="str">
        <f>VLOOKUP(I499,CHOOSE({1,2},Table11[Native],Table11[Name]),2,0)</f>
        <v>Shāngluò Shì</v>
      </c>
      <c r="O499" s="13" t="str">
        <f t="shared" si="30"/>
        <v>Huilong Zhen (Shāngluò Shì)</v>
      </c>
      <c r="P499" s="13" t="str">
        <f t="shared" si="31"/>
        <v>Huilong Zhen (Shāngluò Shì)</v>
      </c>
    </row>
    <row r="500" spans="1:16" hidden="1" x14ac:dyDescent="0.25">
      <c r="A500" t="s">
        <v>107</v>
      </c>
      <c r="B500" t="str">
        <f t="shared" si="28"/>
        <v>Huíshuĭ Zhèn</v>
      </c>
      <c r="C500" t="str">
        <f t="shared" si="29"/>
        <v>Huíshuĭ Zhèn</v>
      </c>
      <c r="D500" t="s">
        <v>108</v>
      </c>
      <c r="E500" t="s">
        <v>7</v>
      </c>
      <c r="F500" t="str">
        <f>_xlfn.CONCAT(D500,", ",H500,", ",I500,", ","陕西省")</f>
        <v>洄水镇, 紫阳县, 安康市, 陕西省</v>
      </c>
      <c r="G500">
        <v>7119</v>
      </c>
      <c r="H500" t="s">
        <v>3043</v>
      </c>
      <c r="I500" t="s">
        <v>3031</v>
      </c>
      <c r="J500">
        <f>VLOOKUP(F500,[1]!china_towns_second__2[[Column1]:[Y]],3,FALSE)</f>
        <v>32.376055909598897</v>
      </c>
      <c r="K500">
        <f>VLOOKUP(F500,[1]!china_towns_second__2[[Column1]:[Y]],2,FALSE)</f>
        <v>108.62631039999999</v>
      </c>
      <c r="L500" t="s">
        <v>4622</v>
      </c>
      <c r="M500" t="str">
        <f>VLOOKUP(H500,CHOOSE({1,2},Table11[Native],Table11[Name]),2,0)</f>
        <v>Zĭyáng Xiàn</v>
      </c>
      <c r="N500" s="13" t="str">
        <f>VLOOKUP(I500,CHOOSE({1,2},Table11[Native],Table11[Name]),2,0)</f>
        <v>Ānkāng Shì</v>
      </c>
      <c r="O500" s="13" t="str">
        <f t="shared" si="30"/>
        <v>Huishui Zhen (Ānkāng Shì)</v>
      </c>
      <c r="P500" s="13" t="str">
        <f t="shared" si="31"/>
        <v>Huishui Zhen (Ānkāng Shì)</v>
      </c>
    </row>
    <row r="501" spans="1:16" hidden="1" x14ac:dyDescent="0.25">
      <c r="A501" t="s">
        <v>1492</v>
      </c>
      <c r="B501" t="str">
        <f t="shared" si="28"/>
        <v>Hùjiā Xiāng</v>
      </c>
      <c r="C501" t="str">
        <f t="shared" si="29"/>
        <v>Hùjiā Xiāng</v>
      </c>
      <c r="D501" t="s">
        <v>1493</v>
      </c>
      <c r="E501" t="s">
        <v>11</v>
      </c>
      <c r="F501" t="str">
        <f>_xlfn.CONCAT(D501,", ",H501,", ",I501,", ","陕西省")</f>
        <v>户家乡, 大荔县, 渭南市, 陕西省</v>
      </c>
      <c r="G501">
        <v>16740</v>
      </c>
      <c r="H501" t="s">
        <v>3090</v>
      </c>
      <c r="I501" t="s">
        <v>3087</v>
      </c>
      <c r="J501" t="e">
        <f>VLOOKUP(F501,[1]!china_towns_second__2[[Column1]:[Y]],3,FALSE)</f>
        <v>#N/A</v>
      </c>
      <c r="K501" t="e">
        <f>VLOOKUP(F501,[1]!china_towns_second__2[[Column1]:[Y]],2,FALSE)</f>
        <v>#N/A</v>
      </c>
      <c r="L501" t="s">
        <v>4623</v>
      </c>
      <c r="M501" t="str">
        <f>VLOOKUP(H501,CHOOSE({1,2},Table11[Native],Table11[Name]),2,0)</f>
        <v>Dàlì Xiàn</v>
      </c>
      <c r="N501" s="13" t="str">
        <f>VLOOKUP(I501,CHOOSE({1,2},Table11[Native],Table11[Name]),2,0)</f>
        <v>Wèinán Shì</v>
      </c>
      <c r="O501" s="13" t="str">
        <f t="shared" si="30"/>
        <v>Hujia Xiang (Wèinán Shì)</v>
      </c>
      <c r="P501" s="13" t="str">
        <f t="shared" si="31"/>
        <v>Hujia Xiang (Wèinán Shì)</v>
      </c>
    </row>
    <row r="502" spans="1:16" hidden="1" x14ac:dyDescent="0.25">
      <c r="A502" t="s">
        <v>767</v>
      </c>
      <c r="B502" t="str">
        <f t="shared" si="28"/>
        <v>Hújiābà Zhèn</v>
      </c>
      <c r="C502" t="str">
        <f t="shared" si="29"/>
        <v>Hújiābà Zhèn</v>
      </c>
      <c r="D502" t="s">
        <v>768</v>
      </c>
      <c r="E502" t="s">
        <v>7</v>
      </c>
      <c r="F502" t="str">
        <f>_xlfn.CONCAT(D502,", ",H502,", ",I502,", ","陕西省")</f>
        <v>胡家坝镇, 宁强县, 汉中市, 陕西省</v>
      </c>
      <c r="G502">
        <v>15232</v>
      </c>
      <c r="H502" t="s">
        <v>3067</v>
      </c>
      <c r="I502" t="s">
        <v>3059</v>
      </c>
      <c r="J502">
        <f>VLOOKUP(F502,[1]!china_towns_second__2[[Column1]:[Y]],3,FALSE)</f>
        <v>32.976161946195703</v>
      </c>
      <c r="K502">
        <f>VLOOKUP(F502,[1]!china_towns_second__2[[Column1]:[Y]],2,FALSE)</f>
        <v>106.45954380000001</v>
      </c>
      <c r="L502" t="s">
        <v>4624</v>
      </c>
      <c r="M502" t="str">
        <f>VLOOKUP(H502,CHOOSE({1,2},Table11[Native],Table11[Name]),2,0)</f>
        <v>Níngqiáng Xiàn</v>
      </c>
      <c r="N502" s="13" t="str">
        <f>VLOOKUP(I502,CHOOSE({1,2},Table11[Native],Table11[Name]),2,0)</f>
        <v>Hànzhōng Shì</v>
      </c>
      <c r="O502" s="13" t="str">
        <f t="shared" si="30"/>
        <v>Hujiaba Zhen (Hànzhōng Shì)</v>
      </c>
      <c r="P502" s="13" t="str">
        <f t="shared" si="31"/>
        <v>Hujiaba Zhen (Hànzhōng Shì)</v>
      </c>
    </row>
    <row r="503" spans="1:16" hidden="1" x14ac:dyDescent="0.25">
      <c r="A503" t="s">
        <v>2098</v>
      </c>
      <c r="B503" t="str">
        <f t="shared" si="28"/>
        <v>Hújiāmiào Jiēdào</v>
      </c>
      <c r="C503" t="str">
        <f t="shared" si="29"/>
        <v>Hújiāmiào Jiēdào</v>
      </c>
      <c r="D503" t="s">
        <v>2099</v>
      </c>
      <c r="E503" t="s">
        <v>113</v>
      </c>
      <c r="F503" t="str">
        <f>_xlfn.CONCAT(D503,", ",H503,", ",I503,", ","陕西省")</f>
        <v>胡家庙街道, 新城区, 西安市, 陕西省</v>
      </c>
      <c r="G503">
        <v>87691</v>
      </c>
      <c r="H503" t="s">
        <v>3112</v>
      </c>
      <c r="I503" t="s">
        <v>3102</v>
      </c>
      <c r="J503">
        <f>VLOOKUP(F503,[1]!china_towns_second__2[[Column1]:[Y]],3,FALSE)</f>
        <v>34.282137836599802</v>
      </c>
      <c r="K503">
        <f>VLOOKUP(F503,[1]!china_towns_second__2[[Column1]:[Y]],2,FALSE)</f>
        <v>108.99581790000001</v>
      </c>
      <c r="L503" t="s">
        <v>4625</v>
      </c>
      <c r="M503" t="str">
        <f>VLOOKUP(H503,CHOOSE({1,2},Table11[Native],Table11[Name]),2,0)</f>
        <v>Xīnchéng Qū</v>
      </c>
      <c r="N503" s="13" t="str">
        <f>VLOOKUP(I503,CHOOSE({1,2},Table11[Native],Table11[Name]),2,0)</f>
        <v>Xī'ān Shì</v>
      </c>
      <c r="O503" s="13" t="str">
        <f t="shared" si="30"/>
        <v>Hujiamiao Jiedao (Xī'ān Shì)</v>
      </c>
      <c r="P503" s="13" t="str">
        <f t="shared" si="31"/>
        <v>Hujiamiao Jiedao (Xī'ān Shì)</v>
      </c>
    </row>
    <row r="504" spans="1:16" hidden="1" x14ac:dyDescent="0.25">
      <c r="A504" t="s">
        <v>769</v>
      </c>
      <c r="B504" t="str">
        <f t="shared" si="28"/>
        <v>Hújiāyíng Zhèn</v>
      </c>
      <c r="C504" t="str">
        <f t="shared" si="29"/>
        <v>Hújiāyíng Zhèn</v>
      </c>
      <c r="D504" t="s">
        <v>770</v>
      </c>
      <c r="E504" t="s">
        <v>7</v>
      </c>
      <c r="F504" t="str">
        <f>_xlfn.CONCAT(D504,", ",H504,", ",I504,", ","陕西省")</f>
        <v>胡家营镇, 南郑区, 汉中市, 陕西省</v>
      </c>
      <c r="G504">
        <v>18467</v>
      </c>
      <c r="H504" t="s">
        <v>3066</v>
      </c>
      <c r="I504" t="s">
        <v>3059</v>
      </c>
      <c r="J504">
        <f>VLOOKUP(F504,[1]!china_towns_second__2[[Column1]:[Y]],3,FALSE)</f>
        <v>32.995484620251702</v>
      </c>
      <c r="K504">
        <f>VLOOKUP(F504,[1]!china_towns_second__2[[Column1]:[Y]],2,FALSE)</f>
        <v>107.0603132</v>
      </c>
      <c r="L504" t="s">
        <v>4626</v>
      </c>
      <c r="M504" t="str">
        <f>VLOOKUP(H504,CHOOSE({1,2},Table11[Native],Table11[Name]),2,0)</f>
        <v>Nánzhèng Qū</v>
      </c>
      <c r="N504" s="13" t="str">
        <f>VLOOKUP(I504,CHOOSE({1,2},Table11[Native],Table11[Name]),2,0)</f>
        <v>Hànzhōng Shì</v>
      </c>
      <c r="O504" s="13" t="str">
        <f t="shared" si="30"/>
        <v>Hujiaying Zhen (Hànzhōng Shì)</v>
      </c>
      <c r="P504" s="13" t="str">
        <f t="shared" si="31"/>
        <v>Hujiaying Zhen (Hànzhōng Shì)</v>
      </c>
    </row>
    <row r="505" spans="1:16" hidden="1" x14ac:dyDescent="0.25">
      <c r="A505" t="s">
        <v>1118</v>
      </c>
      <c r="B505" t="str">
        <f t="shared" si="28"/>
        <v>Hùjiāyuán Zhèn [incl. Niú'ĕrchuān Zhèn]</v>
      </c>
      <c r="C505" t="str">
        <f t="shared" si="29"/>
        <v>Hùjiāyuán Zhèn [incl. Niú'ĕrchuān Zhèn]</v>
      </c>
      <c r="D505" t="s">
        <v>1119</v>
      </c>
      <c r="E505" t="s">
        <v>7</v>
      </c>
      <c r="F505" t="str">
        <f>_xlfn.CONCAT(D505,", ",H505,", ",I505,", ","陕西省")</f>
        <v>户家塬镇, 山阳县, 商洛市, 陕西省</v>
      </c>
      <c r="G505">
        <v>27167</v>
      </c>
      <c r="H505" t="s">
        <v>3077</v>
      </c>
      <c r="I505" t="s">
        <v>3072</v>
      </c>
      <c r="J505">
        <f>VLOOKUP(F505,[1]!china_towns_second__2[[Column1]:[Y]],3,FALSE)</f>
        <v>33.398720831120201</v>
      </c>
      <c r="K505">
        <f>VLOOKUP(F505,[1]!china_towns_second__2[[Column1]:[Y]],2,FALSE)</f>
        <v>109.62994310000001</v>
      </c>
      <c r="L505" t="s">
        <v>4627</v>
      </c>
      <c r="M505" t="str">
        <f>VLOOKUP(H505,CHOOSE({1,2},Table11[Native],Table11[Name]),2,0)</f>
        <v>Shānyáng Xiàn</v>
      </c>
      <c r="N505" s="13" t="str">
        <f>VLOOKUP(I505,CHOOSE({1,2},Table11[Native],Table11[Name]),2,0)</f>
        <v>Shāngluò Shì</v>
      </c>
      <c r="O505" s="13" t="str">
        <f t="shared" si="30"/>
        <v>Hujiayuan Zhen [incl. Niu'erchuan Zhen] (Shāngluò Shì)</v>
      </c>
      <c r="P505" s="13" t="str">
        <f t="shared" si="31"/>
        <v>Hujiayuan Zhen [incl. Niu'erchuan Zhen] (Shāngluò Shì)</v>
      </c>
    </row>
    <row r="506" spans="1:16" hidden="1" x14ac:dyDescent="0.25">
      <c r="A506" t="s">
        <v>2416</v>
      </c>
      <c r="B506" t="str">
        <f t="shared" si="28"/>
        <v>Húkŏu Zhèn</v>
      </c>
      <c r="C506" t="str">
        <f t="shared" si="29"/>
        <v>Húkŏu Zhèn</v>
      </c>
      <c r="D506" t="s">
        <v>2417</v>
      </c>
      <c r="E506" t="s">
        <v>7</v>
      </c>
      <c r="F506" t="str">
        <f>_xlfn.CONCAT(D506,", ",H506,", ",I506,", ","陕西省")</f>
        <v>壶口镇, 宜川县, 延安市, 陕西省</v>
      </c>
      <c r="G506">
        <v>4152</v>
      </c>
      <c r="H506" t="s">
        <v>3144</v>
      </c>
      <c r="I506" t="s">
        <v>3133</v>
      </c>
      <c r="J506">
        <f>VLOOKUP(F506,[1]!china_towns_second__2[[Column1]:[Y]],3,FALSE)</f>
        <v>36.148874637931002</v>
      </c>
      <c r="K506">
        <f>VLOOKUP(F506,[1]!china_towns_second__2[[Column1]:[Y]],2,FALSE)</f>
        <v>110.3844151</v>
      </c>
      <c r="L506" t="s">
        <v>4628</v>
      </c>
      <c r="M506" t="str">
        <f>VLOOKUP(H506,CHOOSE({1,2},Table11[Native],Table11[Name]),2,0)</f>
        <v>Yíchuān Xiàn</v>
      </c>
      <c r="N506" s="13" t="str">
        <f>VLOOKUP(I506,CHOOSE({1,2},Table11[Native],Table11[Name]),2,0)</f>
        <v>Yán'ān Shì</v>
      </c>
      <c r="O506" s="13" t="str">
        <f t="shared" si="30"/>
        <v>Hukou Zhen (Yán'ān Shì)</v>
      </c>
      <c r="P506" s="13" t="str">
        <f t="shared" si="31"/>
        <v>Hukou Zhen (Yán'ān Shì)</v>
      </c>
    </row>
    <row r="507" spans="1:16" hidden="1" x14ac:dyDescent="0.25">
      <c r="A507" t="s">
        <v>771</v>
      </c>
      <c r="B507" t="str">
        <f t="shared" si="28"/>
        <v>Huŏshāodiàn Zhèn</v>
      </c>
      <c r="C507" t="str">
        <f t="shared" si="29"/>
        <v>Huŏshāodiàn Zhèn</v>
      </c>
      <c r="D507" t="s">
        <v>772</v>
      </c>
      <c r="E507" t="s">
        <v>7</v>
      </c>
      <c r="F507" t="str">
        <f>_xlfn.CONCAT(D507,", ",H507,", ",I507,", ","陕西省")</f>
        <v>火烧店镇, 留坝县, 汉中市, 陕西省</v>
      </c>
      <c r="G507">
        <v>3070</v>
      </c>
      <c r="H507" t="s">
        <v>3063</v>
      </c>
      <c r="I507" t="s">
        <v>3059</v>
      </c>
      <c r="J507">
        <f>VLOOKUP(F507,[1]!china_towns_second__2[[Column1]:[Y]],3,FALSE)</f>
        <v>33.564851713608</v>
      </c>
      <c r="K507">
        <f>VLOOKUP(F507,[1]!china_towns_second__2[[Column1]:[Y]],2,FALSE)</f>
        <v>106.8426461</v>
      </c>
      <c r="L507" t="s">
        <v>4629</v>
      </c>
      <c r="M507" t="str">
        <f>VLOOKUP(H507,CHOOSE({1,2},Table11[Native],Table11[Name]),2,0)</f>
        <v>Liúbà Xiàn</v>
      </c>
      <c r="N507" s="13" t="str">
        <f>VLOOKUP(I507,CHOOSE({1,2},Table11[Native],Table11[Name]),2,0)</f>
        <v>Hànzhōng Shì</v>
      </c>
      <c r="O507" s="13" t="str">
        <f t="shared" si="30"/>
        <v>Huoshaodian Zhen (Hànzhōng Shì)</v>
      </c>
      <c r="P507" s="13" t="str">
        <f t="shared" si="31"/>
        <v>Huoshaodian Zhen (Hànzhōng Shì)</v>
      </c>
    </row>
    <row r="508" spans="1:16" hidden="1" x14ac:dyDescent="0.25">
      <c r="A508" t="s">
        <v>2784</v>
      </c>
      <c r="B508" t="str">
        <f t="shared" si="28"/>
        <v>Jí Zhèn</v>
      </c>
      <c r="C508" t="str">
        <f t="shared" si="29"/>
        <v>Jí Zhèn</v>
      </c>
      <c r="D508" t="s">
        <v>2785</v>
      </c>
      <c r="E508" t="s">
        <v>7</v>
      </c>
      <c r="F508" t="str">
        <f>_xlfn.CONCAT(D508,", ",H508,", ",I508,", ","陕西省")</f>
        <v>吉镇, 绥德县, 榆林市, 陕西省</v>
      </c>
      <c r="G508">
        <v>10099</v>
      </c>
      <c r="H508" t="s">
        <v>3157</v>
      </c>
      <c r="I508" t="s">
        <v>3148</v>
      </c>
      <c r="J508">
        <f>VLOOKUP(F508,[1]!china_towns_second__2[[Column1]:[Y]],3,FALSE)</f>
        <v>37.710208664440998</v>
      </c>
      <c r="K508">
        <f>VLOOKUP(F508,[1]!china_towns_second__2[[Column1]:[Y]],2,FALSE)</f>
        <v>110.4718889</v>
      </c>
      <c r="L508" t="s">
        <v>4630</v>
      </c>
      <c r="M508" t="str">
        <f>VLOOKUP(H508,CHOOSE({1,2},Table11[Native],Table11[Name]),2,0)</f>
        <v>Suídé Xiàn</v>
      </c>
      <c r="N508" s="13" t="str">
        <f>VLOOKUP(I508,CHOOSE({1,2},Table11[Native],Table11[Name]),2,0)</f>
        <v>Yúlín Shì</v>
      </c>
      <c r="O508" s="13" t="str">
        <f t="shared" si="30"/>
        <v>Ji Zhen (Yúlín Shì)</v>
      </c>
      <c r="P508" s="13" t="str">
        <f t="shared" si="31"/>
        <v>Ji Zhen (Yúlín Shì)</v>
      </c>
    </row>
    <row r="509" spans="1:16" hidden="1" x14ac:dyDescent="0.25">
      <c r="A509" t="s">
        <v>449</v>
      </c>
      <c r="B509" t="str">
        <f t="shared" si="28"/>
        <v>Jiăcūn Zhèn</v>
      </c>
      <c r="C509" t="str">
        <f t="shared" si="29"/>
        <v>Jiăcūn Zhèn</v>
      </c>
      <c r="D509" t="s">
        <v>450</v>
      </c>
      <c r="E509" t="s">
        <v>7</v>
      </c>
      <c r="F509" t="str">
        <f>_xlfn.CONCAT(D509,", ",H509,", ",I509,", ","陕西省")</f>
        <v>贾村镇, 陈仓区, 宝鸡市, 陕西省</v>
      </c>
      <c r="G509">
        <v>25795</v>
      </c>
      <c r="H509" t="s">
        <v>3046</v>
      </c>
      <c r="I509" t="s">
        <v>3045</v>
      </c>
      <c r="J509">
        <f>VLOOKUP(F509,[1]!china_towns_second__2[[Column1]:[Y]],3,FALSE)</f>
        <v>34.500188914266303</v>
      </c>
      <c r="K509">
        <f>VLOOKUP(F509,[1]!china_towns_second__2[[Column1]:[Y]],2,FALSE)</f>
        <v>107.1669751</v>
      </c>
      <c r="L509" t="s">
        <v>4631</v>
      </c>
      <c r="M509" t="str">
        <f>VLOOKUP(H509,CHOOSE({1,2},Table11[Native],Table11[Name]),2,0)</f>
        <v>Chéncāng Qū</v>
      </c>
      <c r="N509" s="13" t="str">
        <f>VLOOKUP(I509,CHOOSE({1,2},Table11[Native],Table11[Name]),2,0)</f>
        <v>Băojī Shì</v>
      </c>
      <c r="O509" s="13" t="str">
        <f t="shared" si="30"/>
        <v>Jiacun Zhen (Băojī Shì)</v>
      </c>
      <c r="P509" s="13" t="str">
        <f t="shared" si="31"/>
        <v>Jiacun Zhen (Băojī Shì)</v>
      </c>
    </row>
    <row r="510" spans="1:16" hidden="1" x14ac:dyDescent="0.25">
      <c r="A510" t="s">
        <v>2418</v>
      </c>
      <c r="B510" t="str">
        <f t="shared" si="28"/>
        <v>Jiăjiāpíng Zhèn</v>
      </c>
      <c r="C510" t="str">
        <f t="shared" si="29"/>
        <v>Jiăjiāpíng Zhèn</v>
      </c>
      <c r="D510" t="s">
        <v>2419</v>
      </c>
      <c r="E510" t="s">
        <v>7</v>
      </c>
      <c r="F510" t="str">
        <f>_xlfn.CONCAT(D510,", ",H510,", ",I510,", ","陕西省")</f>
        <v>贾家坪镇, 延川县, 延安市, 陕西省</v>
      </c>
      <c r="G510">
        <v>5602</v>
      </c>
      <c r="H510" t="s">
        <v>3143</v>
      </c>
      <c r="I510" t="s">
        <v>3133</v>
      </c>
      <c r="J510">
        <f>VLOOKUP(F510,[1]!china_towns_second__2[[Column1]:[Y]],3,FALSE)</f>
        <v>37.000035376609397</v>
      </c>
      <c r="K510">
        <f>VLOOKUP(F510,[1]!china_towns_second__2[[Column1]:[Y]],2,FALSE)</f>
        <v>110.0129192</v>
      </c>
      <c r="L510" t="s">
        <v>4632</v>
      </c>
      <c r="M510" t="str">
        <f>VLOOKUP(H510,CHOOSE({1,2},Table11[Native],Table11[Name]),2,0)</f>
        <v>Yánchuān Xiàn</v>
      </c>
      <c r="N510" s="13" t="str">
        <f>VLOOKUP(I510,CHOOSE({1,2},Table11[Native],Table11[Name]),2,0)</f>
        <v>Yán'ān Shì</v>
      </c>
      <c r="O510" s="13" t="str">
        <f t="shared" si="30"/>
        <v>Jiajiaping Zhen (Yán'ān Shì)</v>
      </c>
      <c r="P510" s="13" t="str">
        <f t="shared" si="31"/>
        <v>Jiajiaping Zhen (Yán'ān Shì)</v>
      </c>
    </row>
    <row r="511" spans="1:16" hidden="1" x14ac:dyDescent="0.25">
      <c r="A511" t="s">
        <v>1120</v>
      </c>
      <c r="B511" t="str">
        <f t="shared" si="28"/>
        <v>Jiàlù Xiāng</v>
      </c>
      <c r="C511" t="str">
        <f t="shared" si="29"/>
        <v>Jiàlù Xiāng</v>
      </c>
      <c r="D511" t="s">
        <v>1121</v>
      </c>
      <c r="E511" t="s">
        <v>11</v>
      </c>
      <c r="F511" t="str">
        <f>_xlfn.CONCAT(D511,", ",H511,", ",I511,", ","陕西省")</f>
        <v>驾鹿乡, 洛南县, 商洛市, 陕西省</v>
      </c>
      <c r="G511">
        <v>7336</v>
      </c>
      <c r="H511" t="s">
        <v>3074</v>
      </c>
      <c r="I511" t="s">
        <v>3072</v>
      </c>
      <c r="J511" t="e">
        <f>VLOOKUP(F511,[1]!china_towns_second__2[[Column1]:[Y]],3,FALSE)</f>
        <v>#N/A</v>
      </c>
      <c r="K511" t="e">
        <f>VLOOKUP(F511,[1]!china_towns_second__2[[Column1]:[Y]],2,FALSE)</f>
        <v>#N/A</v>
      </c>
      <c r="L511" t="s">
        <v>4633</v>
      </c>
      <c r="M511" t="str">
        <f>VLOOKUP(H511,CHOOSE({1,2},Table11[Native],Table11[Name]),2,0)</f>
        <v>Luònán Xiàn</v>
      </c>
      <c r="N511" s="13" t="str">
        <f>VLOOKUP(I511,CHOOSE({1,2},Table11[Native],Table11[Name]),2,0)</f>
        <v>Shāngluò Shì</v>
      </c>
      <c r="O511" s="13" t="str">
        <f t="shared" si="30"/>
        <v>Jialu Xiang (Shāngluò Shì)</v>
      </c>
      <c r="P511" s="13" t="str">
        <f t="shared" si="31"/>
        <v>Jialu Xiang (Shāngluò Shì)</v>
      </c>
    </row>
    <row r="512" spans="1:16" hidden="1" x14ac:dyDescent="0.25">
      <c r="A512" t="s">
        <v>109</v>
      </c>
      <c r="B512" t="str">
        <f t="shared" si="28"/>
        <v>Jiànchí Zhèn</v>
      </c>
      <c r="C512" t="str">
        <f t="shared" si="29"/>
        <v>Jiànchí Zhèn</v>
      </c>
      <c r="D512" t="s">
        <v>110</v>
      </c>
      <c r="E512" t="s">
        <v>7</v>
      </c>
      <c r="F512" t="str">
        <f>_xlfn.CONCAT(D512,", ",H512,", ",I512,", ","陕西省")</f>
        <v>涧池镇, 汉阴县, 安康市, 陕西省</v>
      </c>
      <c r="G512">
        <v>21048</v>
      </c>
      <c r="H512" t="s">
        <v>3036</v>
      </c>
      <c r="I512" t="s">
        <v>3031</v>
      </c>
      <c r="J512">
        <f>VLOOKUP(F512,[1]!china_towns_second__2[[Column1]:[Y]],3,FALSE)</f>
        <v>32.847390848023998</v>
      </c>
      <c r="K512">
        <f>VLOOKUP(F512,[1]!china_towns_second__2[[Column1]:[Y]],2,FALSE)</f>
        <v>108.5809709</v>
      </c>
      <c r="L512" t="s">
        <v>4634</v>
      </c>
      <c r="M512" t="str">
        <f>VLOOKUP(H512,CHOOSE({1,2},Table11[Native],Table11[Name]),2,0)</f>
        <v>Hànyīn Xiàn</v>
      </c>
      <c r="N512" s="13" t="str">
        <f>VLOOKUP(I512,CHOOSE({1,2},Table11[Native],Table11[Name]),2,0)</f>
        <v>Ānkāng Shì</v>
      </c>
      <c r="O512" s="13" t="str">
        <f t="shared" si="30"/>
        <v>Jianchi Zhen (Ānkāng Shì)</v>
      </c>
      <c r="P512" s="13" t="str">
        <f t="shared" si="31"/>
        <v>Jianchi Zhen (Ānkāng Shì)</v>
      </c>
    </row>
    <row r="513" spans="1:16" hidden="1" x14ac:dyDescent="0.25">
      <c r="A513" t="s">
        <v>774</v>
      </c>
      <c r="B513" t="str">
        <f t="shared" si="28"/>
        <v>Jiănchí Zhèn [incl. Sānxī Xiāng]</v>
      </c>
      <c r="C513" t="str">
        <f t="shared" si="29"/>
        <v>Jiănchí Zhèn [incl. Sānxī Xiāng]</v>
      </c>
      <c r="D513" t="s">
        <v>775</v>
      </c>
      <c r="E513" t="s">
        <v>7</v>
      </c>
      <c r="F513" t="str">
        <f>_xlfn.CONCAT(D513,", ",H513,", ",I513,", ","陕西省")</f>
        <v>简池镇, 镇巴县, 汉中市, 陕西省</v>
      </c>
      <c r="G513">
        <v>11935</v>
      </c>
      <c r="H513" t="s">
        <v>3070</v>
      </c>
      <c r="I513" t="s">
        <v>3059</v>
      </c>
      <c r="J513">
        <f>VLOOKUP(F513,[1]!china_towns_second__2[[Column1]:[Y]],3,FALSE)</f>
        <v>32.4358596760162</v>
      </c>
      <c r="K513">
        <f>VLOOKUP(F513,[1]!china_towns_second__2[[Column1]:[Y]],2,FALSE)</f>
        <v>107.5393286</v>
      </c>
      <c r="L513" t="s">
        <v>4635</v>
      </c>
      <c r="M513" t="str">
        <f>VLOOKUP(H513,CHOOSE({1,2},Table11[Native],Table11[Name]),2,0)</f>
        <v>Zhènbā Xiàn</v>
      </c>
      <c r="N513" s="13" t="str">
        <f>VLOOKUP(I513,CHOOSE({1,2},Table11[Native],Table11[Name]),2,0)</f>
        <v>Hànzhōng Shì</v>
      </c>
      <c r="O513" s="13" t="str">
        <f t="shared" si="30"/>
        <v>Jianchi Zhen [incl. Sanxi Xiang] (Hànzhōng Shì)</v>
      </c>
      <c r="P513" s="13" t="str">
        <f t="shared" si="31"/>
        <v>Jianchi Zhen [incl. Sanxi Xiang] (Hànzhōng Shì)</v>
      </c>
    </row>
    <row r="514" spans="1:16" hidden="1" x14ac:dyDescent="0.25">
      <c r="A514" t="s">
        <v>111</v>
      </c>
      <c r="B514" t="str">
        <f t="shared" ref="B514:B577" si="32">IF(COUNTIF(A:A,A514)&gt;1,_xlfn.CONCAT(A514," (",N514,")"),A514)</f>
        <v>Jiāngbĕi Jiēdào</v>
      </c>
      <c r="C514" t="str">
        <f t="shared" ref="C514:C577" si="33">IF(COUNTIF(B:B,B514)&gt;1,_xlfn.CONCAT(A514," (",M514,")"),B514)</f>
        <v>Jiāngbĕi Jiēdào</v>
      </c>
      <c r="D514" t="s">
        <v>112</v>
      </c>
      <c r="E514" t="s">
        <v>113</v>
      </c>
      <c r="F514" t="str">
        <f>_xlfn.CONCAT(D514,", ",H514,", ",I514,", ","陕西省")</f>
        <v>江北街道, 汉滨区, 安康市, 陕西省</v>
      </c>
      <c r="G514">
        <v>53842</v>
      </c>
      <c r="H514" t="s">
        <v>3035</v>
      </c>
      <c r="I514" t="s">
        <v>3031</v>
      </c>
      <c r="J514">
        <f>VLOOKUP(F514,[1]!china_towns_second__2[[Column1]:[Y]],3,FALSE)</f>
        <v>32.734591204961298</v>
      </c>
      <c r="K514">
        <f>VLOOKUP(F514,[1]!china_towns_second__2[[Column1]:[Y]],2,FALSE)</f>
        <v>109.0042392</v>
      </c>
      <c r="L514" t="s">
        <v>4636</v>
      </c>
      <c r="M514" t="str">
        <f>VLOOKUP(H514,CHOOSE({1,2},Table11[Native],Table11[Name]),2,0)</f>
        <v>Hànbīn Qū</v>
      </c>
      <c r="N514" s="13" t="str">
        <f>VLOOKUP(I514,CHOOSE({1,2},Table11[Native],Table11[Name]),2,0)</f>
        <v>Ānkāng Shì</v>
      </c>
      <c r="O514" s="13" t="str">
        <f t="shared" ref="O514:O577" si="34">_xlfn.CONCAT(L514," (",N514,")")</f>
        <v>Jiangbei Jiedao (Ānkāng Shì)</v>
      </c>
      <c r="P514" s="13" t="str">
        <f t="shared" ref="P514:P577" si="35">IF(COUNTIF(O:O,O514)&gt;1,_xlfn.CONCAT(L514," (",M514,")"),O514)</f>
        <v>Jiangbei Jiedao (Ānkāng Shì)</v>
      </c>
    </row>
    <row r="515" spans="1:16" x14ac:dyDescent="0.25">
      <c r="A515" t="s">
        <v>2100</v>
      </c>
      <c r="B515" t="str">
        <f t="shared" si="32"/>
        <v>Jiăngcūn Zhèn</v>
      </c>
      <c r="C515" t="str">
        <f t="shared" si="33"/>
        <v>Jiăngcūn Zhèn</v>
      </c>
      <c r="D515" t="s">
        <v>2101</v>
      </c>
      <c r="E515" t="s">
        <v>7</v>
      </c>
      <c r="F515" t="str">
        <f>_xlfn.CONCAT(D515,", ",H515,", ",I515,", ","陕西省")</f>
        <v>蒋村镇, 鄠邑区, 西安市, 陕西省</v>
      </c>
      <c r="G515">
        <v>32821</v>
      </c>
      <c r="H515" t="s">
        <v>3107</v>
      </c>
      <c r="I515" t="s">
        <v>3102</v>
      </c>
      <c r="J515">
        <f>VLOOKUP(F515,[1]!china_towns_second__2[[Column1]:[Y]],3,FALSE)</f>
        <v>34.011692995482299</v>
      </c>
      <c r="K515">
        <f>VLOOKUP(F515,[1]!china_towns_second__2[[Column1]:[Y]],2,FALSE)</f>
        <v>108.4761589</v>
      </c>
      <c r="L515" t="s">
        <v>4637</v>
      </c>
      <c r="M515" t="str">
        <f>VLOOKUP(H515,CHOOSE({1,2},Table11[Native],Table11[Name]),2,0)</f>
        <v>Hùyì Qū</v>
      </c>
      <c r="N515" s="13" t="str">
        <f>VLOOKUP(I515,CHOOSE({1,2},Table11[Native],Table11[Name]),2,0)</f>
        <v>Xī'ān Shì</v>
      </c>
      <c r="O515" s="13" t="str">
        <f t="shared" si="34"/>
        <v>Jiangcun Zhen (Xī'ān Shì)</v>
      </c>
      <c r="P515" s="13" t="str">
        <f t="shared" si="35"/>
        <v>Jiangcun Zhen (Xī'ān Shì)</v>
      </c>
    </row>
    <row r="516" spans="1:16" x14ac:dyDescent="0.25">
      <c r="A516" t="s">
        <v>1786</v>
      </c>
      <c r="B516" t="str">
        <f t="shared" si="32"/>
        <v>Jiāngcūn Zhèn</v>
      </c>
      <c r="C516" t="str">
        <f t="shared" si="33"/>
        <v>Jiāngcūn Zhèn</v>
      </c>
      <c r="D516" t="s">
        <v>1787</v>
      </c>
      <c r="E516" t="s">
        <v>7</v>
      </c>
      <c r="F516" t="str">
        <f>_xlfn.CONCAT(D516,", ",H516,", ",I516,", ","陕西省")</f>
        <v>姜村镇, 乾县, 咸阳市, 陕西省</v>
      </c>
      <c r="G516">
        <v>27813</v>
      </c>
      <c r="H516" t="s">
        <v>3123</v>
      </c>
      <c r="I516" t="s">
        <v>3117</v>
      </c>
      <c r="J516">
        <f>VLOOKUP(F516,[1]!china_towns_second__2[[Column1]:[Y]],3,FALSE)</f>
        <v>34.398448658060801</v>
      </c>
      <c r="K516">
        <f>VLOOKUP(F516,[1]!china_towns_second__2[[Column1]:[Y]],2,FALSE)</f>
        <v>108.2648157</v>
      </c>
      <c r="L516" t="s">
        <v>4637</v>
      </c>
      <c r="M516" t="str">
        <f>VLOOKUP(H516,CHOOSE({1,2},Table11[Native],Table11[Name]),2,0)</f>
        <v>Qián Xiàn</v>
      </c>
      <c r="N516" s="13" t="str">
        <f>VLOOKUP(I516,CHOOSE({1,2},Table11[Native],Table11[Name]),2,0)</f>
        <v>Xiányáng Shì</v>
      </c>
      <c r="O516" s="13" t="str">
        <f t="shared" si="34"/>
        <v>Jiangcun Zhen (Xiányáng Shì)</v>
      </c>
      <c r="P516" s="13" t="str">
        <f t="shared" si="35"/>
        <v>Jiangcun Zhen (Xiányáng Shì)</v>
      </c>
    </row>
    <row r="517" spans="1:16" hidden="1" x14ac:dyDescent="0.25">
      <c r="A517" t="s">
        <v>114</v>
      </c>
      <c r="B517" t="str">
        <f t="shared" si="32"/>
        <v>Jiāngkŏu Zhèn (Ānkāng Shì)</v>
      </c>
      <c r="C517" t="str">
        <f t="shared" si="33"/>
        <v>Jiāngkŏu Zhèn (Ānkāng Shì)</v>
      </c>
      <c r="D517" t="s">
        <v>115</v>
      </c>
      <c r="E517" t="s">
        <v>7</v>
      </c>
      <c r="F517" t="str">
        <f>_xlfn.CONCAT(D517,", ",H517,", ",I517,", ","陕西省")</f>
        <v>江口镇, 宁陕县, 安康市, 陕西省</v>
      </c>
      <c r="G517">
        <v>8694</v>
      </c>
      <c r="H517" t="s">
        <v>3038</v>
      </c>
      <c r="I517" t="s">
        <v>3031</v>
      </c>
      <c r="J517">
        <f>VLOOKUP(F517,[1]!china_towns_second__2[[Column1]:[Y]],3,FALSE)</f>
        <v>33.677992741116697</v>
      </c>
      <c r="K517">
        <f>VLOOKUP(F517,[1]!china_towns_second__2[[Column1]:[Y]],2,FALSE)</f>
        <v>108.5775024</v>
      </c>
      <c r="L517" t="s">
        <v>4638</v>
      </c>
      <c r="M517" t="str">
        <f>VLOOKUP(H517,CHOOSE({1,2},Table11[Native],Table11[Name]),2,0)</f>
        <v>Níngshăn Xiàn</v>
      </c>
      <c r="N517" s="13" t="str">
        <f>VLOOKUP(I517,CHOOSE({1,2},Table11[Native],Table11[Name]),2,0)</f>
        <v>Ānkāng Shì</v>
      </c>
      <c r="O517" s="13" t="str">
        <f t="shared" si="34"/>
        <v>Jiangkou Zhen (Ankang Shi) (Ānkāng Shì)</v>
      </c>
      <c r="P517" s="13" t="str">
        <f t="shared" si="35"/>
        <v>Jiangkou Zhen (Ankang Shi) (Ānkāng Shì)</v>
      </c>
    </row>
    <row r="518" spans="1:16" hidden="1" x14ac:dyDescent="0.25">
      <c r="A518" t="s">
        <v>114</v>
      </c>
      <c r="B518" t="str">
        <f t="shared" si="32"/>
        <v>Jiāngkŏu Zhèn (Hànzhōng Shì)</v>
      </c>
      <c r="C518" t="str">
        <f t="shared" si="33"/>
        <v>Jiāngkŏu Zhèn (Hànzhōng Shì)</v>
      </c>
      <c r="D518" t="s">
        <v>115</v>
      </c>
      <c r="E518" t="s">
        <v>7</v>
      </c>
      <c r="F518" t="str">
        <f>_xlfn.CONCAT(D518,", ",H518,", ",I518,", ","陕西省")</f>
        <v>江口镇, 留坝县, 汉中市, 陕西省</v>
      </c>
      <c r="G518">
        <v>7171</v>
      </c>
      <c r="H518" t="s">
        <v>3063</v>
      </c>
      <c r="I518" t="s">
        <v>3059</v>
      </c>
      <c r="J518">
        <f>VLOOKUP(F518,[1]!china_towns_second__2[[Column1]:[Y]],3,FALSE)</f>
        <v>33.724805019272203</v>
      </c>
      <c r="K518">
        <f>VLOOKUP(F518,[1]!china_towns_second__2[[Column1]:[Y]],2,FALSE)</f>
        <v>107.11684390000001</v>
      </c>
      <c r="L518" t="s">
        <v>4639</v>
      </c>
      <c r="M518" t="str">
        <f>VLOOKUP(H518,CHOOSE({1,2},Table11[Native],Table11[Name]),2,0)</f>
        <v>Liúbà Xiàn</v>
      </c>
      <c r="N518" s="13" t="str">
        <f>VLOOKUP(I518,CHOOSE({1,2},Table11[Native],Table11[Name]),2,0)</f>
        <v>Hànzhōng Shì</v>
      </c>
      <c r="O518" s="13" t="str">
        <f t="shared" si="34"/>
        <v>Jiangkou Zhen (Hanzhong Shi) (Hànzhōng Shì)</v>
      </c>
      <c r="P518" s="13" t="str">
        <f t="shared" si="35"/>
        <v>Jiangkou Zhen (Hanzhong Shi) (Hànzhōng Shì)</v>
      </c>
    </row>
    <row r="519" spans="1:16" hidden="1" x14ac:dyDescent="0.25">
      <c r="A519" t="s">
        <v>451</v>
      </c>
      <c r="B519" t="str">
        <f t="shared" si="32"/>
        <v>Jiāngtán Jiēdào</v>
      </c>
      <c r="C519" t="str">
        <f t="shared" si="33"/>
        <v>Jiāngtán Jiēdào</v>
      </c>
      <c r="D519" t="s">
        <v>452</v>
      </c>
      <c r="E519" t="s">
        <v>113</v>
      </c>
      <c r="F519" t="str">
        <f>_xlfn.CONCAT(D519,", ",H519,", ",I519,", ","陕西省")</f>
        <v>姜谭街道, 渭滨区, 宝鸡市, 陕西省</v>
      </c>
      <c r="G519">
        <v>39401</v>
      </c>
      <c r="H519" t="s">
        <v>3057</v>
      </c>
      <c r="I519" t="s">
        <v>3045</v>
      </c>
      <c r="J519">
        <f>VLOOKUP(F519,[1]!china_towns_second__2[[Column1]:[Y]],3,FALSE)</f>
        <v>34.362625089968098</v>
      </c>
      <c r="K519">
        <f>VLOOKUP(F519,[1]!china_towns_second__2[[Column1]:[Y]],2,FALSE)</f>
        <v>107.0977517</v>
      </c>
      <c r="L519" t="s">
        <v>4640</v>
      </c>
      <c r="M519" t="str">
        <f>VLOOKUP(H519,CHOOSE({1,2},Table11[Native],Table11[Name]),2,0)</f>
        <v>Wèibīn Qū</v>
      </c>
      <c r="N519" s="13" t="str">
        <f>VLOOKUP(I519,CHOOSE({1,2},Table11[Native],Table11[Name]),2,0)</f>
        <v>Băojī Shì</v>
      </c>
      <c r="O519" s="13" t="str">
        <f t="shared" si="34"/>
        <v>Jiangtan Jiedao (Băojī Shì)</v>
      </c>
      <c r="P519" s="13" t="str">
        <f t="shared" si="35"/>
        <v>Jiangtan Jiedao (Băojī Shì)</v>
      </c>
    </row>
    <row r="520" spans="1:16" hidden="1" x14ac:dyDescent="0.25">
      <c r="A520" t="s">
        <v>453</v>
      </c>
      <c r="B520" t="str">
        <f t="shared" si="32"/>
        <v>Jiàngzhàng Zhèn [incl. Shàngsòng Xiāng]</v>
      </c>
      <c r="C520" t="str">
        <f t="shared" si="33"/>
        <v>Jiàngzhàng Zhèn [incl. Shàngsòng Xiāng]</v>
      </c>
      <c r="D520" t="s">
        <v>454</v>
      </c>
      <c r="E520" t="s">
        <v>7</v>
      </c>
      <c r="F520" t="str">
        <f>_xlfn.CONCAT(D520,", ",H520,", ",I520,", ","陕西省")</f>
        <v>绛帐镇, 扶风县, 宝鸡市, 陕西省</v>
      </c>
      <c r="G520">
        <v>76441</v>
      </c>
      <c r="H520" t="s">
        <v>3049</v>
      </c>
      <c r="I520" t="s">
        <v>3045</v>
      </c>
      <c r="J520">
        <f>VLOOKUP(F520,[1]!china_towns_second__2[[Column1]:[Y]],3,FALSE)</f>
        <v>34.254612964299199</v>
      </c>
      <c r="K520">
        <f>VLOOKUP(F520,[1]!china_towns_second__2[[Column1]:[Y]],2,FALSE)</f>
        <v>107.9183286</v>
      </c>
      <c r="L520" t="s">
        <v>4641</v>
      </c>
      <c r="M520" t="str">
        <f>VLOOKUP(H520,CHOOSE({1,2},Table11[Native],Table11[Name]),2,0)</f>
        <v>Fúfēng Xiàn</v>
      </c>
      <c r="N520" s="13" t="str">
        <f>VLOOKUP(I520,CHOOSE({1,2},Table11[Native],Table11[Name]),2,0)</f>
        <v>Băojī Shì</v>
      </c>
      <c r="O520" s="13" t="str">
        <f t="shared" si="34"/>
        <v>Jiangzhang Zhen [incl. Shangsong Xiang] (Băojī Shì)</v>
      </c>
      <c r="P520" s="13" t="str">
        <f t="shared" si="35"/>
        <v>Jiangzhang Zhen [incl. Shangsong Xiang] (Băojī Shì)</v>
      </c>
    </row>
    <row r="521" spans="1:16" hidden="1" x14ac:dyDescent="0.25">
      <c r="A521" t="s">
        <v>2420</v>
      </c>
      <c r="B521" t="str">
        <f t="shared" si="32"/>
        <v>Jiànhuá Zhèn</v>
      </c>
      <c r="C521" t="str">
        <f t="shared" si="33"/>
        <v>Jiànhuá Zhèn</v>
      </c>
      <c r="D521" t="s">
        <v>2421</v>
      </c>
      <c r="E521" t="s">
        <v>7</v>
      </c>
      <c r="F521" t="str">
        <f>_xlfn.CONCAT(D521,", ",H521,", ",I521,", ","陕西省")</f>
        <v>建华镇, 安塞区, 延安市, 陕西省</v>
      </c>
      <c r="G521">
        <v>14188</v>
      </c>
      <c r="H521" t="s">
        <v>3134</v>
      </c>
      <c r="I521" t="s">
        <v>3133</v>
      </c>
      <c r="J521">
        <f>VLOOKUP(F521,[1]!china_towns_second__2[[Column1]:[Y]],3,FALSE)</f>
        <v>36.993932761861601</v>
      </c>
      <c r="K521">
        <f>VLOOKUP(F521,[1]!china_towns_second__2[[Column1]:[Y]],2,FALSE)</f>
        <v>109.271297</v>
      </c>
      <c r="L521" t="s">
        <v>4642</v>
      </c>
      <c r="M521" t="str">
        <f>VLOOKUP(H521,CHOOSE({1,2},Table11[Native],Table11[Name]),2,0)</f>
        <v>Ānsài Qū</v>
      </c>
      <c r="N521" s="13" t="str">
        <f>VLOOKUP(I521,CHOOSE({1,2},Table11[Native],Table11[Name]),2,0)</f>
        <v>Yán'ān Shì</v>
      </c>
      <c r="O521" s="13" t="str">
        <f t="shared" si="34"/>
        <v>Jianhua Zhen (Yán'ān Shì)</v>
      </c>
      <c r="P521" s="13" t="str">
        <f t="shared" si="35"/>
        <v>Jianhua Zhen (Yán'ān Shì)</v>
      </c>
    </row>
    <row r="522" spans="1:16" hidden="1" x14ac:dyDescent="0.25">
      <c r="A522" t="s">
        <v>1788</v>
      </c>
      <c r="B522" t="str">
        <f t="shared" si="32"/>
        <v>Jiānjūn Jiēdào</v>
      </c>
      <c r="C522" t="str">
        <f t="shared" si="33"/>
        <v>Jiānjūn Jiēdào</v>
      </c>
      <c r="D522" t="s">
        <v>1789</v>
      </c>
      <c r="E522" t="s">
        <v>113</v>
      </c>
      <c r="F522" t="str">
        <f>_xlfn.CONCAT(D522,", ",H522,", ",I522,", ","陕西省")</f>
        <v>监军街道, 永寿县, 咸阳市, 陕西省</v>
      </c>
      <c r="G522">
        <v>58956</v>
      </c>
      <c r="H522" t="s">
        <v>3131</v>
      </c>
      <c r="I522" t="s">
        <v>3117</v>
      </c>
      <c r="J522" t="e">
        <f>VLOOKUP(F522,[1]!china_towns_second__2[[Column1]:[Y]],3,FALSE)</f>
        <v>#N/A</v>
      </c>
      <c r="K522" t="e">
        <f>VLOOKUP(F522,[1]!china_towns_second__2[[Column1]:[Y]],2,FALSE)</f>
        <v>#N/A</v>
      </c>
      <c r="L522" t="s">
        <v>4643</v>
      </c>
      <c r="M522" t="str">
        <f>VLOOKUP(H522,CHOOSE({1,2},Table11[Native],Table11[Name]),2,0)</f>
        <v>Yŏngshòu Xiàn</v>
      </c>
      <c r="N522" s="13" t="str">
        <f>VLOOKUP(I522,CHOOSE({1,2},Table11[Native],Table11[Name]),2,0)</f>
        <v>Xiányáng Shì</v>
      </c>
      <c r="O522" s="13" t="str">
        <f t="shared" si="34"/>
        <v>Jianjun Jiedao (Xiányáng Shì)</v>
      </c>
      <c r="P522" s="13" t="str">
        <f t="shared" si="35"/>
        <v>Jianjun Jiedao (Xiányáng Shì)</v>
      </c>
    </row>
    <row r="523" spans="1:16" hidden="1" x14ac:dyDescent="0.25">
      <c r="A523" t="s">
        <v>116</v>
      </c>
      <c r="B523" t="str">
        <f t="shared" si="32"/>
        <v>Jiànmín Jiēdào</v>
      </c>
      <c r="C523" t="str">
        <f t="shared" si="33"/>
        <v>Jiànmín Jiēdào</v>
      </c>
      <c r="D523" t="s">
        <v>117</v>
      </c>
      <c r="E523" t="s">
        <v>113</v>
      </c>
      <c r="F523" t="str">
        <f>_xlfn.CONCAT(D523,", ",H523,", ",I523,", ","陕西省")</f>
        <v>建民街道, 汉滨区, 安康市, 陕西省</v>
      </c>
      <c r="G523">
        <v>40984</v>
      </c>
      <c r="H523" t="s">
        <v>3035</v>
      </c>
      <c r="I523" t="s">
        <v>3031</v>
      </c>
      <c r="J523">
        <f>VLOOKUP(F523,[1]!china_towns_second__2[[Column1]:[Y]],3,FALSE)</f>
        <v>32.744041676861002</v>
      </c>
      <c r="K523">
        <f>VLOOKUP(F523,[1]!china_towns_second__2[[Column1]:[Y]],2,FALSE)</f>
        <v>108.9649488</v>
      </c>
      <c r="L523" t="s">
        <v>4644</v>
      </c>
      <c r="M523" t="str">
        <f>VLOOKUP(H523,CHOOSE({1,2},Table11[Native],Table11[Name]),2,0)</f>
        <v>Hànbīn Qū</v>
      </c>
      <c r="N523" s="13" t="str">
        <f>VLOOKUP(I523,CHOOSE({1,2},Table11[Native],Table11[Name]),2,0)</f>
        <v>Ānkāng Shì</v>
      </c>
      <c r="O523" s="13" t="str">
        <f t="shared" si="34"/>
        <v>Jianmin Jiedao (Ānkāng Shì)</v>
      </c>
      <c r="P523" s="13" t="str">
        <f t="shared" si="35"/>
        <v>Jianmin Jiedao (Ānkāng Shì)</v>
      </c>
    </row>
    <row r="524" spans="1:16" hidden="1" x14ac:dyDescent="0.25">
      <c r="A524" t="s">
        <v>2422</v>
      </c>
      <c r="B524" t="str">
        <f t="shared" si="32"/>
        <v>Jiànyùchà Zhèn</v>
      </c>
      <c r="C524" t="str">
        <f t="shared" si="33"/>
        <v>Jiànyùchà Zhèn</v>
      </c>
      <c r="D524" t="s">
        <v>2423</v>
      </c>
      <c r="E524" t="s">
        <v>7</v>
      </c>
      <c r="F524" t="str">
        <f>_xlfn.CONCAT(D524,", ",H524,", ",I524,", ","陕西省")</f>
        <v>涧峪岔镇, 子长市, 延安市, 陕西省</v>
      </c>
      <c r="G524">
        <v>10857</v>
      </c>
      <c r="H524" t="s">
        <v>3146</v>
      </c>
      <c r="I524" t="s">
        <v>3133</v>
      </c>
      <c r="J524">
        <f>VLOOKUP(F524,[1]!china_towns_second__2[[Column1]:[Y]],3,FALSE)</f>
        <v>37.374886644331703</v>
      </c>
      <c r="K524">
        <f>VLOOKUP(F524,[1]!china_towns_second__2[[Column1]:[Y]],2,FALSE)</f>
        <v>109.54346870000001</v>
      </c>
      <c r="L524" t="s">
        <v>4645</v>
      </c>
      <c r="M524" t="str">
        <f>VLOOKUP(H524,CHOOSE({1,2},Table11[Native],Table11[Name]),2,0)</f>
        <v>Zicháng Shì</v>
      </c>
      <c r="N524" s="13" t="str">
        <f>VLOOKUP(I524,CHOOSE({1,2},Table11[Native],Table11[Name]),2,0)</f>
        <v>Yán'ān Shì</v>
      </c>
      <c r="O524" s="13" t="str">
        <f t="shared" si="34"/>
        <v>Jianyucha Zhen (Yán'ān Shì)</v>
      </c>
      <c r="P524" s="13" t="str">
        <f t="shared" si="35"/>
        <v>Jianyucha Zhen (Yán'ān Shì)</v>
      </c>
    </row>
    <row r="525" spans="1:16" hidden="1" x14ac:dyDescent="0.25">
      <c r="A525" t="s">
        <v>2102</v>
      </c>
      <c r="B525" t="str">
        <f t="shared" si="32"/>
        <v>Jiāodài Zhèn</v>
      </c>
      <c r="C525" t="str">
        <f t="shared" si="33"/>
        <v>Jiāodài Zhèn</v>
      </c>
      <c r="D525" t="s">
        <v>2103</v>
      </c>
      <c r="E525" t="s">
        <v>7</v>
      </c>
      <c r="F525" t="str">
        <f>_xlfn.CONCAT(D525,", ",H525,", ",I525,", ","陕西省")</f>
        <v>焦岱镇, 蓝田县, 西安市, 陕西省</v>
      </c>
      <c r="G525">
        <v>20902</v>
      </c>
      <c r="H525" t="s">
        <v>3108</v>
      </c>
      <c r="I525" t="s">
        <v>3102</v>
      </c>
      <c r="J525">
        <f>VLOOKUP(F525,[1]!china_towns_second__2[[Column1]:[Y]],3,FALSE)</f>
        <v>34.040892072836598</v>
      </c>
      <c r="K525">
        <f>VLOOKUP(F525,[1]!china_towns_second__2[[Column1]:[Y]],2,FALSE)</f>
        <v>109.2393503</v>
      </c>
      <c r="L525" t="s">
        <v>4646</v>
      </c>
      <c r="M525" t="str">
        <f>VLOOKUP(H525,CHOOSE({1,2},Table11[Native],Table11[Name]),2,0)</f>
        <v>Lántián Xiàn</v>
      </c>
      <c r="N525" s="13" t="str">
        <f>VLOOKUP(I525,CHOOSE({1,2},Table11[Native],Table11[Name]),2,0)</f>
        <v>Xī'ān Shì</v>
      </c>
      <c r="O525" s="13" t="str">
        <f t="shared" si="34"/>
        <v>Jiaodai Zhen (Xī'ān Shì)</v>
      </c>
      <c r="P525" s="13" t="str">
        <f t="shared" si="35"/>
        <v>Jiaodai Zhen (Xī'ān Shì)</v>
      </c>
    </row>
    <row r="526" spans="1:16" hidden="1" x14ac:dyDescent="0.25">
      <c r="A526" t="s">
        <v>1494</v>
      </c>
      <c r="B526" t="str">
        <f t="shared" si="32"/>
        <v>Jiāodào Zhèn</v>
      </c>
      <c r="C526" t="str">
        <f t="shared" si="33"/>
        <v>Jiāodào Zhèn</v>
      </c>
      <c r="D526" t="s">
        <v>1495</v>
      </c>
      <c r="E526" t="s">
        <v>7</v>
      </c>
      <c r="F526" t="str">
        <f>_xlfn.CONCAT(D526,", ",H526,", ",I526,", ","陕西省")</f>
        <v>交道镇, 澄城县, 渭南市, 陕西省</v>
      </c>
      <c r="G526">
        <v>18283</v>
      </c>
      <c r="H526" t="s">
        <v>3089</v>
      </c>
      <c r="I526" t="s">
        <v>3087</v>
      </c>
      <c r="J526">
        <f>VLOOKUP(F526,[1]!china_towns_second__2[[Column1]:[Y]],3,FALSE)</f>
        <v>35.074774548202797</v>
      </c>
      <c r="K526">
        <f>VLOOKUP(F526,[1]!china_towns_second__2[[Column1]:[Y]],2,FALSE)</f>
        <v>109.9033311</v>
      </c>
      <c r="L526" t="s">
        <v>4647</v>
      </c>
      <c r="M526" t="str">
        <f>VLOOKUP(H526,CHOOSE({1,2},Table11[Native],Table11[Name]),2,0)</f>
        <v>Chéngchéng Xiàn</v>
      </c>
      <c r="N526" s="13" t="str">
        <f>VLOOKUP(I526,CHOOSE({1,2},Table11[Native],Table11[Name]),2,0)</f>
        <v>Wèinán Shì</v>
      </c>
      <c r="O526" s="13" t="str">
        <f t="shared" si="34"/>
        <v>Jiaodao Zhen (Wèinán Shì)</v>
      </c>
      <c r="P526" s="13" t="str">
        <f t="shared" si="35"/>
        <v>Jiaodao Zhen (Wèinán Shì)</v>
      </c>
    </row>
    <row r="527" spans="1:16" hidden="1" x14ac:dyDescent="0.25">
      <c r="A527" t="s">
        <v>2104</v>
      </c>
      <c r="B527" t="str">
        <f t="shared" si="32"/>
        <v>Jiāokŏu Jiēdào</v>
      </c>
      <c r="C527" t="str">
        <f t="shared" si="33"/>
        <v>Jiāokŏu Jiēdào</v>
      </c>
      <c r="D527" t="s">
        <v>2105</v>
      </c>
      <c r="E527" t="s">
        <v>113</v>
      </c>
      <c r="F527" t="str">
        <f>_xlfn.CONCAT(D527,", ",H527,", ",I527,", ","陕西省")</f>
        <v>交口街道, 临潼区, 西安市, 陕西省</v>
      </c>
      <c r="G527">
        <v>25480</v>
      </c>
      <c r="H527" t="s">
        <v>3110</v>
      </c>
      <c r="I527" t="s">
        <v>3102</v>
      </c>
      <c r="J527">
        <f>VLOOKUP(F527,[1]!china_towns_second__2[[Column1]:[Y]],3,FALSE)</f>
        <v>34.569146365048802</v>
      </c>
      <c r="K527">
        <f>VLOOKUP(F527,[1]!china_towns_second__2[[Column1]:[Y]],2,FALSE)</f>
        <v>109.2922444</v>
      </c>
      <c r="L527" t="s">
        <v>4648</v>
      </c>
      <c r="M527" t="str">
        <f>VLOOKUP(H527,CHOOSE({1,2},Table11[Native],Table11[Name]),2,0)</f>
        <v>Líntóng Qū</v>
      </c>
      <c r="N527" s="13" t="str">
        <f>VLOOKUP(I527,CHOOSE({1,2},Table11[Native],Table11[Name]),2,0)</f>
        <v>Xī'ān Shì</v>
      </c>
      <c r="O527" s="13" t="str">
        <f t="shared" si="34"/>
        <v>Jiaokou Jiedao (Xī'ān Shì)</v>
      </c>
      <c r="P527" s="13" t="str">
        <f t="shared" si="35"/>
        <v>Jiaokou Jiedao (Xī'ān Shì)</v>
      </c>
    </row>
    <row r="528" spans="1:16" hidden="1" x14ac:dyDescent="0.25">
      <c r="A528" t="s">
        <v>2426</v>
      </c>
      <c r="B528" t="str">
        <f t="shared" si="32"/>
        <v>Jiāokŏu Zhèn [incl. Liújiāhé Xiāng]</v>
      </c>
      <c r="C528" t="str">
        <f t="shared" si="33"/>
        <v>Jiāokŏu Zhèn [incl. Liújiāhé Xiāng]</v>
      </c>
      <c r="D528" t="s">
        <v>2427</v>
      </c>
      <c r="E528" t="s">
        <v>7</v>
      </c>
      <c r="F528" t="str">
        <f>_xlfn.CONCAT(D528,", ",H528,", ",I528,", ","陕西省")</f>
        <v>交口镇, 延长县, 延安市, 陕西省</v>
      </c>
      <c r="G528">
        <v>11372</v>
      </c>
      <c r="H528" t="s">
        <v>3142</v>
      </c>
      <c r="I528" t="s">
        <v>3133</v>
      </c>
      <c r="J528">
        <f>VLOOKUP(F528,[1]!china_towns_second__2[[Column1]:[Y]],3,FALSE)</f>
        <v>36.6786641929694</v>
      </c>
      <c r="K528">
        <f>VLOOKUP(F528,[1]!china_towns_second__2[[Column1]:[Y]],2,FALSE)</f>
        <v>110.0973863</v>
      </c>
      <c r="L528" t="s">
        <v>4649</v>
      </c>
      <c r="M528" t="str">
        <f>VLOOKUP(H528,CHOOSE({1,2},Table11[Native],Table11[Name]),2,0)</f>
        <v>Yáncháng Xiàn</v>
      </c>
      <c r="N528" s="13" t="str">
        <f>VLOOKUP(I528,CHOOSE({1,2},Table11[Native],Table11[Name]),2,0)</f>
        <v>Yán'ān Shì</v>
      </c>
      <c r="O528" s="13" t="str">
        <f t="shared" si="34"/>
        <v>Jiaokou Zhen [incl. Liujiahe Xiang] (Yán'ān Shì)</v>
      </c>
      <c r="P528" s="13" t="str">
        <f t="shared" si="35"/>
        <v>Jiaokou Zhen [incl. Liujiahe Xiang] (Yán'ān Shì)</v>
      </c>
    </row>
    <row r="529" spans="1:16" hidden="1" x14ac:dyDescent="0.25">
      <c r="A529" t="s">
        <v>2424</v>
      </c>
      <c r="B529" t="str">
        <f t="shared" si="32"/>
        <v>Jiāokŏuhé Zhèn</v>
      </c>
      <c r="C529" t="str">
        <f t="shared" si="33"/>
        <v>Jiāokŏuhé Zhèn</v>
      </c>
      <c r="D529" t="s">
        <v>2425</v>
      </c>
      <c r="E529" t="s">
        <v>7</v>
      </c>
      <c r="F529" t="str">
        <f>_xlfn.CONCAT(D529,", ",H529,", ",I529,", ","陕西省")</f>
        <v>交口河镇, 洛川县, 延安市, 陕西省</v>
      </c>
      <c r="G529">
        <v>13692</v>
      </c>
      <c r="H529" t="s">
        <v>3140</v>
      </c>
      <c r="I529" t="s">
        <v>3133</v>
      </c>
      <c r="J529">
        <f>VLOOKUP(F529,[1]!china_towns_second__2[[Column1]:[Y]],3,FALSE)</f>
        <v>35.677054899357202</v>
      </c>
      <c r="K529">
        <f>VLOOKUP(F529,[1]!china_towns_second__2[[Column1]:[Y]],2,FALSE)</f>
        <v>109.3796282</v>
      </c>
      <c r="L529" t="s">
        <v>4650</v>
      </c>
      <c r="M529" t="str">
        <f>VLOOKUP(H529,CHOOSE({1,2},Table11[Native],Table11[Name]),2,0)</f>
        <v>Luòchuān Xiàn</v>
      </c>
      <c r="N529" s="13" t="str">
        <f>VLOOKUP(I529,CHOOSE({1,2},Table11[Native],Table11[Name]),2,0)</f>
        <v>Yán'ān Shì</v>
      </c>
      <c r="O529" s="13" t="str">
        <f t="shared" si="34"/>
        <v>Jiaokouhe Zhen (Yán'ān Shì)</v>
      </c>
      <c r="P529" s="13" t="str">
        <f t="shared" si="35"/>
        <v>Jiaokouhe Zhen (Yán'ān Shì)</v>
      </c>
    </row>
    <row r="530" spans="1:16" hidden="1" x14ac:dyDescent="0.25">
      <c r="A530" t="s">
        <v>2428</v>
      </c>
      <c r="B530" t="str">
        <f t="shared" si="32"/>
        <v>Jiāolĭ Xiāng</v>
      </c>
      <c r="C530" t="str">
        <f t="shared" si="33"/>
        <v>Jiāolĭ Xiāng</v>
      </c>
      <c r="D530" t="s">
        <v>2429</v>
      </c>
      <c r="E530" t="s">
        <v>11</v>
      </c>
      <c r="F530" t="str">
        <f>_xlfn.CONCAT(D530,", ",H530,", ",I530,", ","陕西省")</f>
        <v>交里乡, 宜川县, 延安市, 陕西省</v>
      </c>
      <c r="G530">
        <v>6124</v>
      </c>
      <c r="H530" t="s">
        <v>3144</v>
      </c>
      <c r="I530" t="s">
        <v>3133</v>
      </c>
      <c r="J530" t="e">
        <f>VLOOKUP(F530,[1]!china_towns_second__2[[Column1]:[Y]],3,FALSE)</f>
        <v>#N/A</v>
      </c>
      <c r="K530" t="e">
        <f>VLOOKUP(F530,[1]!china_towns_second__2[[Column1]:[Y]],2,FALSE)</f>
        <v>#N/A</v>
      </c>
      <c r="L530" t="s">
        <v>4651</v>
      </c>
      <c r="M530" t="str">
        <f>VLOOKUP(H530,CHOOSE({1,2},Table11[Native],Table11[Name]),2,0)</f>
        <v>Yíchuān Xiàn</v>
      </c>
      <c r="N530" s="13" t="str">
        <f>VLOOKUP(I530,CHOOSE({1,2},Table11[Native],Table11[Name]),2,0)</f>
        <v>Yán'ān Shì</v>
      </c>
      <c r="O530" s="13" t="str">
        <f t="shared" si="34"/>
        <v>Jiaoli Xiang (Yán'ān Shì)</v>
      </c>
      <c r="P530" s="13" t="str">
        <f t="shared" si="35"/>
        <v>Jiaoli Xiang (Yán'ān Shì)</v>
      </c>
    </row>
    <row r="531" spans="1:16" hidden="1" x14ac:dyDescent="0.25">
      <c r="A531" t="s">
        <v>1496</v>
      </c>
      <c r="B531" t="str">
        <f t="shared" si="32"/>
        <v>Jiāoxié Zhèn</v>
      </c>
      <c r="C531" t="str">
        <f t="shared" si="33"/>
        <v>Jiāoxié Zhèn</v>
      </c>
      <c r="D531" t="s">
        <v>1497</v>
      </c>
      <c r="E531" t="s">
        <v>7</v>
      </c>
      <c r="F531" t="str">
        <f>_xlfn.CONCAT(D531,", ",H531,", ",I531,", ","陕西省")</f>
        <v>交斜镇, 临渭区, 渭南市, 陕西省</v>
      </c>
      <c r="G531">
        <v>24668</v>
      </c>
      <c r="H531" t="s">
        <v>3097</v>
      </c>
      <c r="I531" t="s">
        <v>3087</v>
      </c>
      <c r="J531">
        <f>VLOOKUP(F531,[1]!china_towns_second__2[[Column1]:[Y]],3,FALSE)</f>
        <v>34.675270143402301</v>
      </c>
      <c r="K531">
        <f>VLOOKUP(F531,[1]!china_towns_second__2[[Column1]:[Y]],2,FALSE)</f>
        <v>109.692972</v>
      </c>
      <c r="L531" t="s">
        <v>4652</v>
      </c>
      <c r="M531" t="str">
        <f>VLOOKUP(H531,CHOOSE({1,2},Table11[Native],Table11[Name]),2,0)</f>
        <v>Línwèi Qū</v>
      </c>
      <c r="N531" s="13" t="str">
        <f>VLOOKUP(I531,CHOOSE({1,2},Table11[Native],Table11[Name]),2,0)</f>
        <v>Wèinán Shì</v>
      </c>
      <c r="O531" s="13" t="str">
        <f t="shared" si="34"/>
        <v>Jiaoxie Zhen (Wèinán Shì)</v>
      </c>
      <c r="P531" s="13" t="str">
        <f t="shared" si="35"/>
        <v>Jiaoxie Zhen (Wèinán Shì)</v>
      </c>
    </row>
    <row r="532" spans="1:16" hidden="1" x14ac:dyDescent="0.25">
      <c r="A532" t="s">
        <v>1498</v>
      </c>
      <c r="B532" t="str">
        <f t="shared" si="32"/>
        <v>Jiăqŭ Xiāng</v>
      </c>
      <c r="C532" t="str">
        <f t="shared" si="33"/>
        <v>Jiăqŭ Xiāng</v>
      </c>
      <c r="D532" t="s">
        <v>1499</v>
      </c>
      <c r="E532" t="s">
        <v>11</v>
      </c>
      <c r="F532" t="str">
        <f>_xlfn.CONCAT(D532,", ",H532,", ",I532,", ","陕西省")</f>
        <v>贾曲乡, 蒲城县, 渭南市, 陕西省</v>
      </c>
      <c r="G532">
        <v>28384</v>
      </c>
      <c r="H532" t="s">
        <v>3098</v>
      </c>
      <c r="I532" t="s">
        <v>3087</v>
      </c>
      <c r="J532" t="e">
        <f>VLOOKUP(F532,[1]!china_towns_second__2[[Column1]:[Y]],3,FALSE)</f>
        <v>#N/A</v>
      </c>
      <c r="K532" t="e">
        <f>VLOOKUP(F532,[1]!china_towns_second__2[[Column1]:[Y]],2,FALSE)</f>
        <v>#N/A</v>
      </c>
      <c r="L532" t="s">
        <v>4653</v>
      </c>
      <c r="M532" t="str">
        <f>VLOOKUP(H532,CHOOSE({1,2},Table11[Native],Table11[Name]),2,0)</f>
        <v>Púchéng Xiàn</v>
      </c>
      <c r="N532" s="13" t="str">
        <f>VLOOKUP(I532,CHOOSE({1,2},Table11[Native],Table11[Name]),2,0)</f>
        <v>Wèinán Shì</v>
      </c>
      <c r="O532" s="13" t="str">
        <f t="shared" si="34"/>
        <v>Jiaqu Xiang (Wèinán Shì)</v>
      </c>
      <c r="P532" s="13" t="str">
        <f t="shared" si="35"/>
        <v>Jiaqu Xiang (Wèinán Shì)</v>
      </c>
    </row>
    <row r="533" spans="1:16" hidden="1" x14ac:dyDescent="0.25">
      <c r="A533" t="s">
        <v>2768</v>
      </c>
      <c r="B533" t="str">
        <f t="shared" si="32"/>
        <v>Jiāzhōu Jiēdào</v>
      </c>
      <c r="C533" t="str">
        <f t="shared" si="33"/>
        <v>Jiāzhōu Jiēdào</v>
      </c>
      <c r="D533" t="s">
        <v>2769</v>
      </c>
      <c r="E533" t="s">
        <v>113</v>
      </c>
      <c r="F533" t="str">
        <f>_xlfn.CONCAT(D533,", ",H533,", ",I533,", ","陕西省")</f>
        <v>佳州街道, 佳县, 榆林市, 陕西省</v>
      </c>
      <c r="G533">
        <v>30553</v>
      </c>
      <c r="H533" t="s">
        <v>3152</v>
      </c>
      <c r="I533" t="s">
        <v>3148</v>
      </c>
      <c r="J533" t="e">
        <f>VLOOKUP(F533,[1]!china_towns_second__2[[Column1]:[Y]],3,FALSE)</f>
        <v>#N/A</v>
      </c>
      <c r="K533" t="e">
        <f>VLOOKUP(F533,[1]!china_towns_second__2[[Column1]:[Y]],2,FALSE)</f>
        <v>#N/A</v>
      </c>
      <c r="L533" t="s">
        <v>4654</v>
      </c>
      <c r="M533" t="str">
        <f>VLOOKUP(H533,CHOOSE({1,2},Table11[Native],Table11[Name]),2,0)</f>
        <v>Jiā Xiàn</v>
      </c>
      <c r="N533" s="13" t="str">
        <f>VLOOKUP(I533,CHOOSE({1,2},Table11[Native],Table11[Name]),2,0)</f>
        <v>Yúlín Shì</v>
      </c>
      <c r="O533" s="13" t="str">
        <f t="shared" si="34"/>
        <v>Jiazhou Jiedao (Yúlín Shì)</v>
      </c>
      <c r="P533" s="13" t="str">
        <f t="shared" si="35"/>
        <v>Jiazhou Jiedao (Yúlín Shì)</v>
      </c>
    </row>
    <row r="534" spans="1:16" hidden="1" x14ac:dyDescent="0.25">
      <c r="A534" t="s">
        <v>1500</v>
      </c>
      <c r="B534" t="str">
        <f t="shared" si="32"/>
        <v>Jiĕfàng Jiēdào</v>
      </c>
      <c r="C534" t="str">
        <f t="shared" si="33"/>
        <v>Jiĕfàng Jiēdào</v>
      </c>
      <c r="D534" t="s">
        <v>1501</v>
      </c>
      <c r="E534" t="s">
        <v>113</v>
      </c>
      <c r="F534" t="str">
        <f>_xlfn.CONCAT(D534,", ",H534,", ",I534,", ","陕西省")</f>
        <v>解放街道, 临渭区, 渭南市, 陕西省</v>
      </c>
      <c r="G534">
        <v>26614</v>
      </c>
      <c r="H534" t="s">
        <v>3097</v>
      </c>
      <c r="I534" t="s">
        <v>3087</v>
      </c>
      <c r="J534">
        <f>VLOOKUP(F534,[1]!china_towns_second__2[[Column1]:[Y]],3,FALSE)</f>
        <v>34.499223581530799</v>
      </c>
      <c r="K534">
        <f>VLOOKUP(F534,[1]!china_towns_second__2[[Column1]:[Y]],2,FALSE)</f>
        <v>109.49448940000001</v>
      </c>
      <c r="L534" t="s">
        <v>4655</v>
      </c>
      <c r="M534" t="str">
        <f>VLOOKUP(H534,CHOOSE({1,2},Table11[Native],Table11[Name]),2,0)</f>
        <v>Línwèi Qū</v>
      </c>
      <c r="N534" s="13" t="str">
        <f>VLOOKUP(I534,CHOOSE({1,2},Table11[Native],Table11[Name]),2,0)</f>
        <v>Wèinán Shì</v>
      </c>
      <c r="O534" s="13" t="str">
        <f t="shared" si="34"/>
        <v>Jiefang Jiedao (Wèinán Shì)</v>
      </c>
      <c r="P534" s="13" t="str">
        <f t="shared" si="35"/>
        <v>Jiefang Jiedao (Wèinán Shì)</v>
      </c>
    </row>
    <row r="535" spans="1:16" hidden="1" x14ac:dyDescent="0.25">
      <c r="A535" t="s">
        <v>2106</v>
      </c>
      <c r="B535" t="str">
        <f t="shared" si="32"/>
        <v>Jiĕfàngmén Jiēdào</v>
      </c>
      <c r="C535" t="str">
        <f t="shared" si="33"/>
        <v>Jiĕfàngmén Jiēdào</v>
      </c>
      <c r="D535" t="s">
        <v>2107</v>
      </c>
      <c r="E535" t="s">
        <v>113</v>
      </c>
      <c r="F535" t="str">
        <f>_xlfn.CONCAT(D535,", ",H535,", ",I535,", ","陕西省")</f>
        <v>解放门街道, 新城区, 西安市, 陕西省</v>
      </c>
      <c r="G535">
        <v>31684</v>
      </c>
      <c r="H535" t="s">
        <v>3112</v>
      </c>
      <c r="I535" t="s">
        <v>3102</v>
      </c>
      <c r="J535">
        <f>VLOOKUP(F535,[1]!china_towns_second__2[[Column1]:[Y]],3,FALSE)</f>
        <v>34.276681684304002</v>
      </c>
      <c r="K535">
        <f>VLOOKUP(F535,[1]!china_towns_second__2[[Column1]:[Y]],2,FALSE)</f>
        <v>108.9559168</v>
      </c>
      <c r="L535" t="s">
        <v>4656</v>
      </c>
      <c r="M535" t="str">
        <f>VLOOKUP(H535,CHOOSE({1,2},Table11[Native],Table11[Name]),2,0)</f>
        <v>Xīnchéng Qū</v>
      </c>
      <c r="N535" s="13" t="str">
        <f>VLOOKUP(I535,CHOOSE({1,2},Table11[Native],Table11[Name]),2,0)</f>
        <v>Xī'ān Shì</v>
      </c>
      <c r="O535" s="13" t="str">
        <f t="shared" si="34"/>
        <v>Jiefangmen Jiedao (Xī'ān Shì)</v>
      </c>
      <c r="P535" s="13" t="str">
        <f t="shared" si="35"/>
        <v>Jiefangmen Jiedao (Xī'ān Shì)</v>
      </c>
    </row>
    <row r="536" spans="1:16" hidden="1" x14ac:dyDescent="0.25">
      <c r="A536" t="s">
        <v>776</v>
      </c>
      <c r="B536" t="str">
        <f t="shared" si="32"/>
        <v>Jiēguāntíng Zhèn [incl. Héjiāyán Zhèn]</v>
      </c>
      <c r="C536" t="str">
        <f t="shared" si="33"/>
        <v>Jiēguāntíng Zhèn [incl. Héjiāyán Zhèn]</v>
      </c>
      <c r="D536" t="s">
        <v>777</v>
      </c>
      <c r="E536" t="s">
        <v>7</v>
      </c>
      <c r="F536" t="str">
        <f>_xlfn.CONCAT(D536,", ",H536,", ",I536,", ","陕西省")</f>
        <v>接官亭镇, 略阳县, 汉中市, 陕西省</v>
      </c>
      <c r="G536">
        <v>14734</v>
      </c>
      <c r="H536" t="s">
        <v>3064</v>
      </c>
      <c r="I536" t="s">
        <v>3059</v>
      </c>
      <c r="J536">
        <f>VLOOKUP(F536,[1]!china_towns_second__2[[Column1]:[Y]],3,FALSE)</f>
        <v>33.2398050760643</v>
      </c>
      <c r="K536">
        <f>VLOOKUP(F536,[1]!china_towns_second__2[[Column1]:[Y]],2,FALSE)</f>
        <v>106.2489851</v>
      </c>
      <c r="L536" t="s">
        <v>4657</v>
      </c>
      <c r="M536" t="str">
        <f>VLOOKUP(H536,CHOOSE({1,2},Table11[Native],Table11[Name]),2,0)</f>
        <v>Lüèyáng Xiàn</v>
      </c>
      <c r="N536" s="13" t="str">
        <f>VLOOKUP(I536,CHOOSE({1,2},Table11[Native],Table11[Name]),2,0)</f>
        <v>Hànzhōng Shì</v>
      </c>
      <c r="O536" s="13" t="str">
        <f t="shared" si="34"/>
        <v>Jieguanting Zhen [incl. Hejiayan Zhen] (Hànzhōng Shì)</v>
      </c>
      <c r="P536" s="13" t="str">
        <f t="shared" si="35"/>
        <v>Jieguanting Zhen [incl. Hejiayan Zhen] (Hànzhōng Shì)</v>
      </c>
    </row>
    <row r="537" spans="1:16" hidden="1" x14ac:dyDescent="0.25">
      <c r="A537" t="s">
        <v>2770</v>
      </c>
      <c r="B537" t="str">
        <f t="shared" si="32"/>
        <v>Jiĕjiābăo Xiāng</v>
      </c>
      <c r="C537" t="str">
        <f t="shared" si="33"/>
        <v>Jiĕjiābăo Xiāng</v>
      </c>
      <c r="D537" t="s">
        <v>2771</v>
      </c>
      <c r="E537" t="s">
        <v>11</v>
      </c>
      <c r="F537" t="str">
        <f>_xlfn.CONCAT(D537,", ",H537,", ",I537,", ","陕西省")</f>
        <v>解家堡乡, 神木市, 榆林市, 陕西省</v>
      </c>
      <c r="G537">
        <v>2758</v>
      </c>
      <c r="H537" t="s">
        <v>3156</v>
      </c>
      <c r="I537" t="s">
        <v>3148</v>
      </c>
      <c r="J537" t="e">
        <f>VLOOKUP(F537,[1]!china_towns_second__2[[Column1]:[Y]],3,FALSE)</f>
        <v>#N/A</v>
      </c>
      <c r="K537" t="e">
        <f>VLOOKUP(F537,[1]!china_towns_second__2[[Column1]:[Y]],2,FALSE)</f>
        <v>#N/A</v>
      </c>
      <c r="L537" t="s">
        <v>4658</v>
      </c>
      <c r="M537" t="str">
        <f>VLOOKUP(H537,CHOOSE({1,2},Table11[Native],Table11[Name]),2,0)</f>
        <v>Shénmù Shì</v>
      </c>
      <c r="N537" s="13" t="str">
        <f>VLOOKUP(I537,CHOOSE({1,2},Table11[Native],Table11[Name]),2,0)</f>
        <v>Yúlín Shì</v>
      </c>
      <c r="O537" s="13" t="str">
        <f t="shared" si="34"/>
        <v>Jiejiabao Xiang (Yúlín Shì)</v>
      </c>
      <c r="P537" s="13" t="str">
        <f t="shared" si="35"/>
        <v>Jiejiabao Xiang (Yúlín Shì)</v>
      </c>
    </row>
    <row r="538" spans="1:16" hidden="1" x14ac:dyDescent="0.25">
      <c r="A538" t="s">
        <v>2772</v>
      </c>
      <c r="B538" t="str">
        <f t="shared" si="32"/>
        <v>Jiĕjiāgōu Zhèn [incl. Èrlángshān Xiāng, Shípán Xiāng]</v>
      </c>
      <c r="C538" t="str">
        <f t="shared" si="33"/>
        <v>Jiĕjiāgōu Zhèn [incl. Èrlángshān Xiāng, Shípán Xiāng]</v>
      </c>
      <c r="D538" t="s">
        <v>2773</v>
      </c>
      <c r="E538" t="s">
        <v>7</v>
      </c>
      <c r="F538" t="str">
        <f>_xlfn.CONCAT(D538,", ",H538,", ",I538,", ","陕西省")</f>
        <v>解家沟镇, 清涧县, 榆林市, 陕西省</v>
      </c>
      <c r="G538">
        <v>15379</v>
      </c>
      <c r="H538" t="s">
        <v>3155</v>
      </c>
      <c r="I538" t="s">
        <v>3148</v>
      </c>
      <c r="J538">
        <f>VLOOKUP(F538,[1]!china_towns_second__2[[Column1]:[Y]],3,FALSE)</f>
        <v>37.228804378807403</v>
      </c>
      <c r="K538">
        <f>VLOOKUP(F538,[1]!china_towns_second__2[[Column1]:[Y]],2,FALSE)</f>
        <v>110.5090191</v>
      </c>
      <c r="L538" t="s">
        <v>4659</v>
      </c>
      <c r="M538" t="str">
        <f>VLOOKUP(H538,CHOOSE({1,2},Table11[Native],Table11[Name]),2,0)</f>
        <v>Qīngjiàn Xiàn</v>
      </c>
      <c r="N538" s="13" t="str">
        <f>VLOOKUP(I538,CHOOSE({1,2},Table11[Native],Table11[Name]),2,0)</f>
        <v>Yúlín Shì</v>
      </c>
      <c r="O538" s="13" t="str">
        <f t="shared" si="34"/>
        <v>Jiejiagou Zhen [incl. Erlangshan Xiang, Shipan Xiang] (Yúlín Shì)</v>
      </c>
      <c r="P538" s="13" t="str">
        <f t="shared" si="35"/>
        <v>Jiejiagou Zhen [incl. Erlangshan Xiang, Shipan Xiang] (Yúlín Shì)</v>
      </c>
    </row>
    <row r="539" spans="1:16" hidden="1" x14ac:dyDescent="0.25">
      <c r="A539" t="s">
        <v>118</v>
      </c>
      <c r="B539" t="str">
        <f t="shared" si="32"/>
        <v>Jièlĭng Zhèn</v>
      </c>
      <c r="C539" t="str">
        <f t="shared" si="33"/>
        <v>Jièlĭng Zhèn</v>
      </c>
      <c r="D539" t="s">
        <v>119</v>
      </c>
      <c r="E539" t="s">
        <v>7</v>
      </c>
      <c r="F539" t="str">
        <f>_xlfn.CONCAT(D539,", ",H539,", ",I539,", ","陕西省")</f>
        <v>界岭镇, 紫阳县, 安康市, 陕西省</v>
      </c>
      <c r="G539">
        <v>5020</v>
      </c>
      <c r="H539" t="s">
        <v>3043</v>
      </c>
      <c r="I539" t="s">
        <v>3031</v>
      </c>
      <c r="J539">
        <f>VLOOKUP(F539,[1]!china_towns_second__2[[Column1]:[Y]],3,FALSE)</f>
        <v>32.214993234426899</v>
      </c>
      <c r="K539">
        <f>VLOOKUP(F539,[1]!china_towns_second__2[[Column1]:[Y]],2,FALSE)</f>
        <v>108.5909417</v>
      </c>
      <c r="L539" t="s">
        <v>4660</v>
      </c>
      <c r="M539" t="str">
        <f>VLOOKUP(H539,CHOOSE({1,2},Table11[Native],Table11[Name]),2,0)</f>
        <v>Zĭyáng Xiàn</v>
      </c>
      <c r="N539" s="13" t="str">
        <f>VLOOKUP(I539,CHOOSE({1,2},Table11[Native],Table11[Name]),2,0)</f>
        <v>Ānkāng Shì</v>
      </c>
      <c r="O539" s="13" t="str">
        <f t="shared" si="34"/>
        <v>Jieling Zhen (Ānkāng Shì)</v>
      </c>
      <c r="P539" s="13" t="str">
        <f t="shared" si="35"/>
        <v>Jieling Zhen (Ānkāng Shì)</v>
      </c>
    </row>
    <row r="540" spans="1:16" hidden="1" x14ac:dyDescent="0.25">
      <c r="A540" t="s">
        <v>2430</v>
      </c>
      <c r="B540" t="str">
        <f t="shared" si="32"/>
        <v>Jiètóumiào Zhèn</v>
      </c>
      <c r="C540" t="str">
        <f t="shared" si="33"/>
        <v>Jiètóumiào Zhèn</v>
      </c>
      <c r="D540" t="s">
        <v>2431</v>
      </c>
      <c r="E540" t="s">
        <v>7</v>
      </c>
      <c r="F540" t="str">
        <f>_xlfn.CONCAT(D540,", ",H540,", ",I540,", ","陕西省")</f>
        <v>界头庙镇, 黄龙县, 延安市, 陕西省</v>
      </c>
      <c r="G540">
        <v>5146</v>
      </c>
      <c r="H540" t="s">
        <v>3139</v>
      </c>
      <c r="I540" t="s">
        <v>3133</v>
      </c>
      <c r="J540">
        <f>VLOOKUP(F540,[1]!china_towns_second__2[[Column1]:[Y]],3,FALSE)</f>
        <v>35.482887397088497</v>
      </c>
      <c r="K540">
        <f>VLOOKUP(F540,[1]!china_towns_second__2[[Column1]:[Y]],2,FALSE)</f>
        <v>109.8042028</v>
      </c>
      <c r="L540" t="s">
        <v>4661</v>
      </c>
      <c r="M540" t="str">
        <f>VLOOKUP(H540,CHOOSE({1,2},Table11[Native],Table11[Name]),2,0)</f>
        <v>Huánglóng Xiàn</v>
      </c>
      <c r="N540" s="13" t="str">
        <f>VLOOKUP(I540,CHOOSE({1,2},Table11[Native],Table11[Name]),2,0)</f>
        <v>Yán'ān Shì</v>
      </c>
      <c r="O540" s="13" t="str">
        <f t="shared" si="34"/>
        <v>Jietoumiao Zhen (Yán'ān Shì)</v>
      </c>
      <c r="P540" s="13" t="str">
        <f t="shared" si="35"/>
        <v>Jietoumiao Zhen (Yán'ān Shì)</v>
      </c>
    </row>
    <row r="541" spans="1:16" hidden="1" x14ac:dyDescent="0.25">
      <c r="A541" t="s">
        <v>778</v>
      </c>
      <c r="B541" t="str">
        <f t="shared" si="32"/>
        <v>Jiéyuán Zhèn</v>
      </c>
      <c r="C541" t="str">
        <f t="shared" si="33"/>
        <v>Jiéyuán Zhèn</v>
      </c>
      <c r="D541" t="s">
        <v>779</v>
      </c>
      <c r="E541" t="s">
        <v>7</v>
      </c>
      <c r="F541" t="str">
        <f>_xlfn.CONCAT(D541,", ",H541,", ",I541,", ","陕西省")</f>
        <v>桔园镇, 城固县, 汉中市, 陕西省</v>
      </c>
      <c r="G541">
        <v>33179</v>
      </c>
      <c r="H541" t="s">
        <v>3060</v>
      </c>
      <c r="I541" t="s">
        <v>3059</v>
      </c>
      <c r="J541">
        <f>VLOOKUP(F541,[1]!china_towns_second__2[[Column1]:[Y]],3,FALSE)</f>
        <v>33.311019063677797</v>
      </c>
      <c r="K541">
        <f>VLOOKUP(F541,[1]!china_towns_second__2[[Column1]:[Y]],2,FALSE)</f>
        <v>107.2678341</v>
      </c>
      <c r="L541" t="s">
        <v>4662</v>
      </c>
      <c r="M541" t="str">
        <f>VLOOKUP(H541,CHOOSE({1,2},Table11[Native],Table11[Name]),2,0)</f>
        <v>Chénggù Xiàn</v>
      </c>
      <c r="N541" s="13" t="str">
        <f>VLOOKUP(I541,CHOOSE({1,2},Table11[Native],Table11[Name]),2,0)</f>
        <v>Hànzhōng Shì</v>
      </c>
      <c r="O541" s="13" t="str">
        <f t="shared" si="34"/>
        <v>Jieyuan Zhen (Hànzhōng Shì)</v>
      </c>
      <c r="P541" s="13" t="str">
        <f t="shared" si="35"/>
        <v>Jieyuan Zhen (Hànzhōng Shì)</v>
      </c>
    </row>
    <row r="542" spans="1:16" hidden="1" x14ac:dyDescent="0.25">
      <c r="A542" t="s">
        <v>1122</v>
      </c>
      <c r="B542" t="str">
        <f t="shared" si="32"/>
        <v>Jiézi Xiāng</v>
      </c>
      <c r="C542" t="str">
        <f t="shared" si="33"/>
        <v>Jiézi Xiāng</v>
      </c>
      <c r="D542" t="s">
        <v>1123</v>
      </c>
      <c r="E542" t="s">
        <v>11</v>
      </c>
      <c r="F542" t="str">
        <f>_xlfn.CONCAT(D542,", ",H542,", ",I542,", ","陕西省")</f>
        <v>结子乡, 镇安县, 商洛市, 陕西省</v>
      </c>
      <c r="G542">
        <v>8305</v>
      </c>
      <c r="H542" t="s">
        <v>3079</v>
      </c>
      <c r="I542" t="s">
        <v>3072</v>
      </c>
      <c r="J542" t="e">
        <f>VLOOKUP(F542,[1]!china_towns_second__2[[Column1]:[Y]],3,FALSE)</f>
        <v>#N/A</v>
      </c>
      <c r="K542" t="e">
        <f>VLOOKUP(F542,[1]!china_towns_second__2[[Column1]:[Y]],2,FALSE)</f>
        <v>#N/A</v>
      </c>
      <c r="L542" t="s">
        <v>4663</v>
      </c>
      <c r="M542" t="str">
        <f>VLOOKUP(H542,CHOOSE({1,2},Table11[Native],Table11[Name]),2,0)</f>
        <v>Zhèn'ān Xiàn</v>
      </c>
      <c r="N542" s="13" t="str">
        <f>VLOOKUP(I542,CHOOSE({1,2},Table11[Native],Table11[Name]),2,0)</f>
        <v>Shāngluò Shì</v>
      </c>
      <c r="O542" s="13" t="str">
        <f t="shared" si="34"/>
        <v>Jiezi Xiang (Shāngluò Shì)</v>
      </c>
      <c r="P542" s="13" t="str">
        <f t="shared" si="35"/>
        <v>Jiezi Xiang (Shāngluò Shì)</v>
      </c>
    </row>
    <row r="543" spans="1:16" hidden="1" x14ac:dyDescent="0.25">
      <c r="A543" t="s">
        <v>120</v>
      </c>
      <c r="B543" t="str">
        <f t="shared" si="32"/>
        <v>Jíhé Zhèn</v>
      </c>
      <c r="C543" t="str">
        <f t="shared" si="33"/>
        <v>Jíhé Zhèn</v>
      </c>
      <c r="D543" t="s">
        <v>121</v>
      </c>
      <c r="E543" t="s">
        <v>7</v>
      </c>
      <c r="F543" t="str">
        <f>_xlfn.CONCAT(D543,", ",H543,", ",I543,", ","陕西省")</f>
        <v>吉河镇, 汉滨区, 安康市, 陕西省</v>
      </c>
      <c r="G543">
        <v>13367</v>
      </c>
      <c r="H543" t="s">
        <v>3035</v>
      </c>
      <c r="I543" t="s">
        <v>3031</v>
      </c>
      <c r="J543">
        <f>VLOOKUP(F543,[1]!china_towns_second__2[[Column1]:[Y]],3,FALSE)</f>
        <v>32.622006696462499</v>
      </c>
      <c r="K543">
        <f>VLOOKUP(F543,[1]!china_towns_second__2[[Column1]:[Y]],2,FALSE)</f>
        <v>108.98351649999999</v>
      </c>
      <c r="L543" t="s">
        <v>4664</v>
      </c>
      <c r="M543" t="str">
        <f>VLOOKUP(H543,CHOOSE({1,2},Table11[Native],Table11[Name]),2,0)</f>
        <v>Hànbīn Qū</v>
      </c>
      <c r="N543" s="13" t="str">
        <f>VLOOKUP(I543,CHOOSE({1,2},Table11[Native],Table11[Name]),2,0)</f>
        <v>Ānkāng Shì</v>
      </c>
      <c r="O543" s="13" t="str">
        <f t="shared" si="34"/>
        <v>Jihe Zhen (Ānkāng Shì)</v>
      </c>
      <c r="P543" s="13" t="str">
        <f t="shared" si="35"/>
        <v>Jihe Zhen (Ānkāng Shì)</v>
      </c>
    </row>
    <row r="544" spans="1:16" hidden="1" x14ac:dyDescent="0.25">
      <c r="A544" t="s">
        <v>2774</v>
      </c>
      <c r="B544" t="str">
        <f t="shared" si="32"/>
        <v>Jījiāchà Xiāng</v>
      </c>
      <c r="C544" t="str">
        <f t="shared" si="33"/>
        <v>Jījiāchà Xiāng</v>
      </c>
      <c r="D544" t="s">
        <v>2775</v>
      </c>
      <c r="E544" t="s">
        <v>11</v>
      </c>
      <c r="F544" t="str">
        <f>_xlfn.CONCAT(D544,", ",H544,", ",I544,", ","陕西省")</f>
        <v>姬家岔乡, 米脂县, 榆林市, 陕西省</v>
      </c>
      <c r="G544">
        <v>6196</v>
      </c>
      <c r="H544" t="s">
        <v>3154</v>
      </c>
      <c r="I544" t="s">
        <v>3148</v>
      </c>
      <c r="J544" t="e">
        <f>VLOOKUP(F544,[1]!china_towns_second__2[[Column1]:[Y]],3,FALSE)</f>
        <v>#N/A</v>
      </c>
      <c r="K544" t="e">
        <f>VLOOKUP(F544,[1]!china_towns_second__2[[Column1]:[Y]],2,FALSE)</f>
        <v>#N/A</v>
      </c>
      <c r="L544" t="s">
        <v>4665</v>
      </c>
      <c r="M544" t="str">
        <f>VLOOKUP(H544,CHOOSE({1,2},Table11[Native],Table11[Name]),2,0)</f>
        <v>Mĭzhī Xiàn</v>
      </c>
      <c r="N544" s="13" t="str">
        <f>VLOOKUP(I544,CHOOSE({1,2},Table11[Native],Table11[Name]),2,0)</f>
        <v>Yúlín Shì</v>
      </c>
      <c r="O544" s="13" t="str">
        <f t="shared" si="34"/>
        <v>Jijiacha Xiang (Yúlín Shì)</v>
      </c>
      <c r="P544" s="13" t="str">
        <f t="shared" si="35"/>
        <v>Jijiacha Xiang (Yúlín Shì)</v>
      </c>
    </row>
    <row r="545" spans="1:16" hidden="1" x14ac:dyDescent="0.25">
      <c r="A545" t="s">
        <v>1502</v>
      </c>
      <c r="B545" t="str">
        <f t="shared" si="32"/>
        <v>Jīnchéng Jiēdào</v>
      </c>
      <c r="C545" t="str">
        <f t="shared" si="33"/>
        <v>Jīnchéng Jiēdào</v>
      </c>
      <c r="D545" t="s">
        <v>1503</v>
      </c>
      <c r="E545" t="s">
        <v>113</v>
      </c>
      <c r="F545" t="str">
        <f>_xlfn.CONCAT(D545,", ",H545,", ",I545,", ","陕西省")</f>
        <v>金城街道, 韩城市, 渭南市, 陕西省</v>
      </c>
      <c r="G545">
        <v>51430</v>
      </c>
      <c r="H545" t="s">
        <v>3093</v>
      </c>
      <c r="I545" t="s">
        <v>3087</v>
      </c>
      <c r="J545">
        <f>VLOOKUP(F545,[1]!china_towns_second__2[[Column1]:[Y]],3,FALSE)</f>
        <v>35.451233437124202</v>
      </c>
      <c r="K545">
        <f>VLOOKUP(F545,[1]!china_towns_second__2[[Column1]:[Y]],2,FALSE)</f>
        <v>110.4092979</v>
      </c>
      <c r="L545" t="s">
        <v>4666</v>
      </c>
      <c r="M545" t="str">
        <f>VLOOKUP(H545,CHOOSE({1,2},Table11[Native],Table11[Name]),2,0)</f>
        <v>Hánchéng Shì</v>
      </c>
      <c r="N545" s="13" t="str">
        <f>VLOOKUP(I545,CHOOSE({1,2},Table11[Native],Table11[Name]),2,0)</f>
        <v>Wèinán Shì</v>
      </c>
      <c r="O545" s="13" t="str">
        <f t="shared" si="34"/>
        <v>Jincheng Jiedao (Wèinán Shì)</v>
      </c>
      <c r="P545" s="13" t="str">
        <f t="shared" si="35"/>
        <v>Jincheng Jiedao (Wèinán Shì)</v>
      </c>
    </row>
    <row r="546" spans="1:16" hidden="1" x14ac:dyDescent="0.25">
      <c r="A546" t="s">
        <v>122</v>
      </c>
      <c r="B546" t="str">
        <f t="shared" si="32"/>
        <v>Jīnchuān Xiāng</v>
      </c>
      <c r="C546" t="str">
        <f t="shared" si="33"/>
        <v>Jīnchuān Xiāng</v>
      </c>
      <c r="D546" t="s">
        <v>123</v>
      </c>
      <c r="E546" t="s">
        <v>11</v>
      </c>
      <c r="F546" t="str">
        <f>_xlfn.CONCAT(D546,", ",H546,", ",I546,", ","陕西省")</f>
        <v>金川乡, 紫阳县, 安康市, 陕西省</v>
      </c>
      <c r="G546">
        <v>5314</v>
      </c>
      <c r="H546" t="s">
        <v>3043</v>
      </c>
      <c r="I546" t="s">
        <v>3031</v>
      </c>
      <c r="J546" t="e">
        <f>VLOOKUP(F546,[1]!china_towns_second__2[[Column1]:[Y]],3,FALSE)</f>
        <v>#N/A</v>
      </c>
      <c r="K546" t="e">
        <f>VLOOKUP(F546,[1]!china_towns_second__2[[Column1]:[Y]],2,FALSE)</f>
        <v>#N/A</v>
      </c>
      <c r="L546" t="s">
        <v>4667</v>
      </c>
      <c r="M546" t="str">
        <f>VLOOKUP(H546,CHOOSE({1,2},Table11[Native],Table11[Name]),2,0)</f>
        <v>Zĭyáng Xiàn</v>
      </c>
      <c r="N546" s="13" t="str">
        <f>VLOOKUP(I546,CHOOSE({1,2},Table11[Native],Table11[Name]),2,0)</f>
        <v>Ānkāng Shì</v>
      </c>
      <c r="O546" s="13" t="str">
        <f t="shared" si="34"/>
        <v>Jinchuan Xiang (Ānkāng Shì)</v>
      </c>
      <c r="P546" s="13" t="str">
        <f t="shared" si="35"/>
        <v>Jinchuan Xiang (Ānkāng Shì)</v>
      </c>
    </row>
    <row r="547" spans="1:16" hidden="1" x14ac:dyDescent="0.25">
      <c r="A547" t="s">
        <v>124</v>
      </c>
      <c r="B547" t="str">
        <f t="shared" si="32"/>
        <v>Jīnchuān Zhèn</v>
      </c>
      <c r="C547" t="str">
        <f t="shared" si="33"/>
        <v>Jīnchuān Zhèn</v>
      </c>
      <c r="D547" t="s">
        <v>125</v>
      </c>
      <c r="E547" t="s">
        <v>7</v>
      </c>
      <c r="F547" t="str">
        <f>_xlfn.CONCAT(D547,", ",H547,", ",I547,", ","陕西省")</f>
        <v>金川镇, 宁陕县, 安康市, 陕西省</v>
      </c>
      <c r="G547">
        <v>3400</v>
      </c>
      <c r="H547" t="s">
        <v>3038</v>
      </c>
      <c r="I547" t="s">
        <v>3031</v>
      </c>
      <c r="J547">
        <f>VLOOKUP(F547,[1]!china_towns_second__2[[Column1]:[Y]],3,FALSE)</f>
        <v>33.593815741450797</v>
      </c>
      <c r="K547">
        <f>VLOOKUP(F547,[1]!china_towns_second__2[[Column1]:[Y]],2,FALSE)</f>
        <v>108.74464039999999</v>
      </c>
      <c r="L547" t="s">
        <v>4668</v>
      </c>
      <c r="M547" t="str">
        <f>VLOOKUP(H547,CHOOSE({1,2},Table11[Native],Table11[Name]),2,0)</f>
        <v>Níngshăn Xiàn</v>
      </c>
      <c r="N547" s="13" t="str">
        <f>VLOOKUP(I547,CHOOSE({1,2},Table11[Native],Table11[Name]),2,0)</f>
        <v>Ānkāng Shì</v>
      </c>
      <c r="O547" s="13" t="str">
        <f t="shared" si="34"/>
        <v>Jinchuan Zhen (Ānkāng Shì)</v>
      </c>
      <c r="P547" s="13" t="str">
        <f t="shared" si="35"/>
        <v>Jinchuan Zhen (Ānkāng Shì)</v>
      </c>
    </row>
    <row r="548" spans="1:16" hidden="1" x14ac:dyDescent="0.25">
      <c r="A548" t="s">
        <v>2432</v>
      </c>
      <c r="B548" t="str">
        <f t="shared" si="32"/>
        <v>Jīndīng Zhèn</v>
      </c>
      <c r="C548" t="str">
        <f t="shared" si="33"/>
        <v>Jīndīng Zhèn</v>
      </c>
      <c r="D548" t="s">
        <v>2433</v>
      </c>
      <c r="E548" t="s">
        <v>7</v>
      </c>
      <c r="F548" t="str">
        <f>_xlfn.CONCAT(D548,", ",H548,", ",I548,", ","陕西省")</f>
        <v>金丁镇, 志丹县, 延安市, 陕西省</v>
      </c>
      <c r="G548">
        <v>8895</v>
      </c>
      <c r="H548" t="s">
        <v>3145</v>
      </c>
      <c r="I548" t="s">
        <v>3133</v>
      </c>
      <c r="J548">
        <f>VLOOKUP(F548,[1]!china_towns_second__2[[Column1]:[Y]],3,FALSE)</f>
        <v>36.787198402144803</v>
      </c>
      <c r="K548">
        <f>VLOOKUP(F548,[1]!china_towns_second__2[[Column1]:[Y]],2,FALSE)</f>
        <v>108.38764329999999</v>
      </c>
      <c r="L548" t="s">
        <v>4669</v>
      </c>
      <c r="M548" t="str">
        <f>VLOOKUP(H548,CHOOSE({1,2},Table11[Native],Table11[Name]),2,0)</f>
        <v>Zhìdān Xiàn</v>
      </c>
      <c r="N548" s="13" t="str">
        <f>VLOOKUP(I548,CHOOSE({1,2},Table11[Native],Table11[Name]),2,0)</f>
        <v>Yán'ān Shì</v>
      </c>
      <c r="O548" s="13" t="str">
        <f t="shared" si="34"/>
        <v>Jinding Zhen (Yán'ān Shì)</v>
      </c>
      <c r="P548" s="13" t="str">
        <f t="shared" si="35"/>
        <v>Jinding Zhen (Yán'ān Shì)</v>
      </c>
    </row>
    <row r="549" spans="1:16" hidden="1" x14ac:dyDescent="0.25">
      <c r="A549" t="s">
        <v>1504</v>
      </c>
      <c r="B549" t="str">
        <f t="shared" si="32"/>
        <v>Jīnduī Zhèn</v>
      </c>
      <c r="C549" t="str">
        <f t="shared" si="33"/>
        <v>Jīnduī Zhèn</v>
      </c>
      <c r="D549" t="s">
        <v>1505</v>
      </c>
      <c r="E549" t="s">
        <v>7</v>
      </c>
      <c r="F549" t="str">
        <f>_xlfn.CONCAT(D549,", ",H549,", ",I549,", ","陕西省")</f>
        <v>金堆镇, 华州区, 渭南市, 陕西省</v>
      </c>
      <c r="G549">
        <v>22744</v>
      </c>
      <c r="H549" t="s">
        <v>3096</v>
      </c>
      <c r="I549" t="s">
        <v>3087</v>
      </c>
      <c r="J549">
        <f>VLOOKUP(F549,[1]!china_towns_second__2[[Column1]:[Y]],3,FALSE)</f>
        <v>34.302831706856402</v>
      </c>
      <c r="K549">
        <f>VLOOKUP(F549,[1]!china_towns_second__2[[Column1]:[Y]],2,FALSE)</f>
        <v>109.9370794</v>
      </c>
      <c r="L549" t="s">
        <v>4670</v>
      </c>
      <c r="M549" t="str">
        <f>VLOOKUP(H549,CHOOSE({1,2},Table11[Native],Table11[Name]),2,0)</f>
        <v>Huázhōu Qū</v>
      </c>
      <c r="N549" s="13" t="str">
        <f>VLOOKUP(I549,CHOOSE({1,2},Table11[Native],Table11[Name]),2,0)</f>
        <v>Wèinán Shì</v>
      </c>
      <c r="O549" s="13" t="str">
        <f t="shared" si="34"/>
        <v>Jindui Zhen (Wèinán Shì)</v>
      </c>
      <c r="P549" s="13" t="str">
        <f t="shared" si="35"/>
        <v>Jindui Zhen (Wèinán Shì)</v>
      </c>
    </row>
    <row r="550" spans="1:16" hidden="1" x14ac:dyDescent="0.25">
      <c r="A550" t="s">
        <v>1124</v>
      </c>
      <c r="B550" t="str">
        <f t="shared" si="32"/>
        <v>Jĭngcūn Zhèn</v>
      </c>
      <c r="C550" t="str">
        <f t="shared" si="33"/>
        <v>Jĭngcūn Zhèn</v>
      </c>
      <c r="D550" t="s">
        <v>1125</v>
      </c>
      <c r="E550" t="s">
        <v>7</v>
      </c>
      <c r="F550" t="str">
        <f>_xlfn.CONCAT(D550,", ",H550,", ",I550,", ","陕西省")</f>
        <v>景村镇, 洛南县, 商洛市, 陕西省</v>
      </c>
      <c r="G550">
        <v>38721</v>
      </c>
      <c r="H550" t="s">
        <v>3074</v>
      </c>
      <c r="I550" t="s">
        <v>3072</v>
      </c>
      <c r="J550">
        <f>VLOOKUP(F550,[1]!china_towns_second__2[[Column1]:[Y]],3,FALSE)</f>
        <v>34.011120148833903</v>
      </c>
      <c r="K550">
        <f>VLOOKUP(F550,[1]!china_towns_second__2[[Column1]:[Y]],2,FALSE)</f>
        <v>110.2550044</v>
      </c>
      <c r="L550" t="s">
        <v>4671</v>
      </c>
      <c r="M550" t="str">
        <f>VLOOKUP(H550,CHOOSE({1,2},Table11[Native],Table11[Name]),2,0)</f>
        <v>Luònán Xiàn</v>
      </c>
      <c r="N550" s="13" t="str">
        <f>VLOOKUP(I550,CHOOSE({1,2},Table11[Native],Table11[Name]),2,0)</f>
        <v>Shāngluò Shì</v>
      </c>
      <c r="O550" s="13" t="str">
        <f t="shared" si="34"/>
        <v>Jingcun Zhen (Shāngluò Shì)</v>
      </c>
      <c r="P550" s="13" t="str">
        <f t="shared" si="35"/>
        <v>Jingcun Zhen (Shāngluò Shì)</v>
      </c>
    </row>
    <row r="551" spans="1:16" hidden="1" x14ac:dyDescent="0.25">
      <c r="A551" t="s">
        <v>455</v>
      </c>
      <c r="B551" t="str">
        <f t="shared" si="32"/>
        <v>Jīngdāng Zhèn [incl. Zhùjiāzhuāng Zhèn]</v>
      </c>
      <c r="C551" t="str">
        <f t="shared" si="33"/>
        <v>Jīngdāng Zhèn [incl. Zhùjiāzhuāng Zhèn]</v>
      </c>
      <c r="D551" t="s">
        <v>456</v>
      </c>
      <c r="E551" t="s">
        <v>7</v>
      </c>
      <c r="F551" t="str">
        <f>_xlfn.CONCAT(D551,", ",H551,", ",I551,", ","陕西省")</f>
        <v>京当镇, 岐山县, 宝鸡市, 陕西省</v>
      </c>
      <c r="G551">
        <v>31687</v>
      </c>
      <c r="H551" t="s">
        <v>3055</v>
      </c>
      <c r="I551" t="s">
        <v>3045</v>
      </c>
      <c r="J551">
        <f>VLOOKUP(F551,[1]!china_towns_second__2[[Column1]:[Y]],3,FALSE)</f>
        <v>34.529105296460003</v>
      </c>
      <c r="K551">
        <f>VLOOKUP(F551,[1]!china_towns_second__2[[Column1]:[Y]],2,FALSE)</f>
        <v>107.80436570000001</v>
      </c>
      <c r="L551" t="s">
        <v>4672</v>
      </c>
      <c r="M551" t="str">
        <f>VLOOKUP(H551,CHOOSE({1,2},Table11[Native],Table11[Name]),2,0)</f>
        <v>Qíshān Xiàn</v>
      </c>
      <c r="N551" s="13" t="str">
        <f>VLOOKUP(I551,CHOOSE({1,2},Table11[Native],Table11[Name]),2,0)</f>
        <v>Băojī Shì</v>
      </c>
      <c r="O551" s="13" t="str">
        <f t="shared" si="34"/>
        <v>Jingdang Zhen [incl. Zhujiazhuang Zhen] (Băojī Shì)</v>
      </c>
      <c r="P551" s="13" t="str">
        <f t="shared" si="35"/>
        <v>Jingdang Zhen [incl. Zhujiazhuang Zhen] (Băojī Shì)</v>
      </c>
    </row>
    <row r="552" spans="1:16" hidden="1" x14ac:dyDescent="0.25">
      <c r="A552" t="s">
        <v>457</v>
      </c>
      <c r="B552" t="str">
        <f t="shared" si="32"/>
        <v>Jīng'èrlù Jiēdào</v>
      </c>
      <c r="C552" t="str">
        <f t="shared" si="33"/>
        <v>Jīng'èrlù Jiēdào</v>
      </c>
      <c r="D552" t="s">
        <v>458</v>
      </c>
      <c r="E552" t="s">
        <v>113</v>
      </c>
      <c r="F552" t="str">
        <f>_xlfn.CONCAT(D552,", ",H552,", ",I552,", ","陕西省")</f>
        <v>经二路街道, 渭滨区, 宝鸡市, 陕西省</v>
      </c>
      <c r="G552">
        <v>49952</v>
      </c>
      <c r="H552" t="s">
        <v>3057</v>
      </c>
      <c r="I552" t="s">
        <v>3045</v>
      </c>
      <c r="J552">
        <f>VLOOKUP(F552,[1]!china_towns_second__2[[Column1]:[Y]],3,FALSE)</f>
        <v>34.371244757127002</v>
      </c>
      <c r="K552">
        <f>VLOOKUP(F552,[1]!china_towns_second__2[[Column1]:[Y]],2,FALSE)</f>
        <v>107.1291554</v>
      </c>
      <c r="L552" t="s">
        <v>4673</v>
      </c>
      <c r="M552" t="str">
        <f>VLOOKUP(H552,CHOOSE({1,2},Table11[Native],Table11[Name]),2,0)</f>
        <v>Wèibīn Qū</v>
      </c>
      <c r="N552" s="13" t="str">
        <f>VLOOKUP(I552,CHOOSE({1,2},Table11[Native],Table11[Name]),2,0)</f>
        <v>Băojī Shì</v>
      </c>
      <c r="O552" s="13" t="str">
        <f t="shared" si="34"/>
        <v>Jing'erlu Jiedao (Băojī Shì)</v>
      </c>
      <c r="P552" s="13" t="str">
        <f t="shared" si="35"/>
        <v>Jing'erlu Jiedao (Băojī Shì)</v>
      </c>
    </row>
    <row r="553" spans="1:16" hidden="1" x14ac:dyDescent="0.25">
      <c r="A553" t="s">
        <v>2108</v>
      </c>
      <c r="B553" t="str">
        <f t="shared" si="32"/>
        <v>Jīnggān Jiēdào</v>
      </c>
      <c r="C553" t="str">
        <f t="shared" si="33"/>
        <v>Jīnggān Jiēdào</v>
      </c>
      <c r="D553" t="s">
        <v>2109</v>
      </c>
      <c r="E553" t="s">
        <v>113</v>
      </c>
      <c r="F553" t="str">
        <f>_xlfn.CONCAT(D553,", ",H553,", ",I553,", ","陕西省")</f>
        <v>泾干街道, 西咸新区, 西安市, 陕西省</v>
      </c>
      <c r="G553">
        <v>100518</v>
      </c>
      <c r="H553" t="s">
        <v>3167</v>
      </c>
      <c r="I553" t="s">
        <v>3102</v>
      </c>
      <c r="J553" t="e">
        <f>VLOOKUP(F553,[1]!china_towns_second__2[[Column1]:[Y]],3,FALSE)</f>
        <v>#N/A</v>
      </c>
      <c r="K553" t="e">
        <f>VLOOKUP(F553,[1]!china_towns_second__2[[Column1]:[Y]],2,FALSE)</f>
        <v>#N/A</v>
      </c>
      <c r="L553" t="s">
        <v>4674</v>
      </c>
      <c r="M553" t="str">
        <f>VLOOKUP(H553,CHOOSE({1,2},Table11[Native],Table11[Name]),2,0)</f>
        <v>Xīxián Xīnqū</v>
      </c>
      <c r="N553" s="13" t="str">
        <f>VLOOKUP(I553,CHOOSE({1,2},Table11[Native],Table11[Name]),2,0)</f>
        <v>Xī'ān Shì</v>
      </c>
      <c r="O553" s="13" t="str">
        <f t="shared" si="34"/>
        <v>Jinggan Jiedao (Xī'ān Shì)</v>
      </c>
      <c r="P553" s="13" t="str">
        <f t="shared" si="35"/>
        <v>Jinggan Jiedao (Xī'ān Shì)</v>
      </c>
    </row>
    <row r="554" spans="1:16" hidden="1" x14ac:dyDescent="0.25">
      <c r="A554" t="s">
        <v>459</v>
      </c>
      <c r="B554" t="str">
        <f t="shared" si="32"/>
        <v>Jìngkŏu Zhèn</v>
      </c>
      <c r="C554" t="str">
        <f t="shared" si="33"/>
        <v>Jìngkŏu Zhèn</v>
      </c>
      <c r="D554" t="s">
        <v>460</v>
      </c>
      <c r="E554" t="s">
        <v>7</v>
      </c>
      <c r="F554" t="str">
        <f>_xlfn.CONCAT(D554,", ",H554,", ",I554,", ","陕西省")</f>
        <v>靖口镇, 太白县, 宝鸡市, 陕西省</v>
      </c>
      <c r="G554">
        <v>3260</v>
      </c>
      <c r="H554" t="s">
        <v>3056</v>
      </c>
      <c r="I554" t="s">
        <v>3045</v>
      </c>
      <c r="J554">
        <f>VLOOKUP(F554,[1]!china_towns_second__2[[Column1]:[Y]],3,FALSE)</f>
        <v>34.0656623250728</v>
      </c>
      <c r="K554">
        <f>VLOOKUP(F554,[1]!china_towns_second__2[[Column1]:[Y]],2,FALSE)</f>
        <v>107.14661630000001</v>
      </c>
      <c r="L554" t="s">
        <v>4675</v>
      </c>
      <c r="M554" t="str">
        <f>VLOOKUP(H554,CHOOSE({1,2},Table11[Native],Table11[Name]),2,0)</f>
        <v>Tàibái Xiàn</v>
      </c>
      <c r="N554" s="13" t="str">
        <f>VLOOKUP(I554,CHOOSE({1,2},Table11[Native],Table11[Name]),2,0)</f>
        <v>Băojī Shì</v>
      </c>
      <c r="O554" s="13" t="str">
        <f t="shared" si="34"/>
        <v>Jingkou Zhen (Băojī Shì)</v>
      </c>
      <c r="P554" s="13" t="str">
        <f t="shared" si="35"/>
        <v>Jingkou Zhen (Băojī Shì)</v>
      </c>
    </row>
    <row r="555" spans="1:16" hidden="1" x14ac:dyDescent="0.25">
      <c r="A555" t="s">
        <v>2110</v>
      </c>
      <c r="B555" t="str">
        <f t="shared" si="32"/>
        <v>Jīngwèi Jiēdào</v>
      </c>
      <c r="C555" t="str">
        <f t="shared" si="33"/>
        <v>Jīngwèi Jiēdào</v>
      </c>
      <c r="D555" t="s">
        <v>2111</v>
      </c>
      <c r="E555" t="s">
        <v>113</v>
      </c>
      <c r="F555" t="str">
        <f>_xlfn.CONCAT(D555,", ",H555,", ",I555,", ","陕西省")</f>
        <v>泾渭街道, 高陵区, 西安市, 陕西省</v>
      </c>
      <c r="G555">
        <v>132305</v>
      </c>
      <c r="H555" t="s">
        <v>3106</v>
      </c>
      <c r="I555" t="s">
        <v>3102</v>
      </c>
      <c r="J555" t="e">
        <f>VLOOKUP(F555,[1]!china_towns_second__2[[Column1]:[Y]],3,FALSE)</f>
        <v>#N/A</v>
      </c>
      <c r="K555" t="e">
        <f>VLOOKUP(F555,[1]!china_towns_second__2[[Column1]:[Y]],2,FALSE)</f>
        <v>#N/A</v>
      </c>
      <c r="L555" t="s">
        <v>4676</v>
      </c>
      <c r="M555" t="str">
        <f>VLOOKUP(H555,CHOOSE({1,2},Table11[Native],Table11[Name]),2,0)</f>
        <v>Gāolíng Qū</v>
      </c>
      <c r="N555" s="13" t="str">
        <f>VLOOKUP(I555,CHOOSE({1,2},Table11[Native],Table11[Name]),2,0)</f>
        <v>Xī'ān Shì</v>
      </c>
      <c r="O555" s="13" t="str">
        <f t="shared" si="34"/>
        <v>Jingwei Jiedao (Xī'ān Shì)</v>
      </c>
      <c r="P555" s="13" t="str">
        <f t="shared" si="35"/>
        <v>Jingwei Jiedao (Xī'ān Shì)</v>
      </c>
    </row>
    <row r="556" spans="1:16" hidden="1" x14ac:dyDescent="0.25">
      <c r="A556" t="s">
        <v>780</v>
      </c>
      <c r="B556" t="str">
        <f t="shared" si="32"/>
        <v>Jīngyáng Jiēdào</v>
      </c>
      <c r="C556" t="str">
        <f t="shared" si="33"/>
        <v>Jīngyáng Jiēdào</v>
      </c>
      <c r="D556" t="s">
        <v>781</v>
      </c>
      <c r="E556" t="s">
        <v>113</v>
      </c>
      <c r="F556" t="str">
        <f>_xlfn.CONCAT(D556,", ",H556,", ",I556,", ","陕西省")</f>
        <v>泾洋街道, 镇巴县, 汉中市, 陕西省</v>
      </c>
      <c r="G556">
        <v>38802</v>
      </c>
      <c r="H556" t="s">
        <v>3070</v>
      </c>
      <c r="I556" t="s">
        <v>3059</v>
      </c>
      <c r="J556" t="e">
        <f>VLOOKUP(F556,[1]!china_towns_second__2[[Column1]:[Y]],3,FALSE)</f>
        <v>#N/A</v>
      </c>
      <c r="K556" t="e">
        <f>VLOOKUP(F556,[1]!china_towns_second__2[[Column1]:[Y]],2,FALSE)</f>
        <v>#N/A</v>
      </c>
      <c r="L556" t="s">
        <v>4677</v>
      </c>
      <c r="M556" t="str">
        <f>VLOOKUP(H556,CHOOSE({1,2},Table11[Native],Table11[Name]),2,0)</f>
        <v>Zhènbā Xiàn</v>
      </c>
      <c r="N556" s="13" t="str">
        <f>VLOOKUP(I556,CHOOSE({1,2},Table11[Native],Table11[Name]),2,0)</f>
        <v>Hànzhōng Shì</v>
      </c>
      <c r="O556" s="13" t="str">
        <f t="shared" si="34"/>
        <v>Jingyang Jiedao (Hànzhōng Shì)</v>
      </c>
      <c r="P556" s="13" t="str">
        <f t="shared" si="35"/>
        <v>Jingyang Jiedao (Hànzhōng Shì)</v>
      </c>
    </row>
    <row r="557" spans="1:16" hidden="1" x14ac:dyDescent="0.25">
      <c r="A557" t="s">
        <v>1506</v>
      </c>
      <c r="B557" t="str">
        <f t="shared" si="32"/>
        <v>Jīngyáo Zhèn</v>
      </c>
      <c r="C557" t="str">
        <f t="shared" si="33"/>
        <v>Jīngyáo Zhèn</v>
      </c>
      <c r="D557" t="s">
        <v>1507</v>
      </c>
      <c r="E557" t="s">
        <v>7</v>
      </c>
      <c r="F557" t="str">
        <f>_xlfn.CONCAT(D557,", ",H557,", ",I557,", ","陕西省")</f>
        <v>荆姚镇, 蒲城县, 渭南市, 陕西省</v>
      </c>
      <c r="G557">
        <v>56650</v>
      </c>
      <c r="H557" t="s">
        <v>3098</v>
      </c>
      <c r="I557" t="s">
        <v>3087</v>
      </c>
      <c r="J557">
        <f>VLOOKUP(F557,[1]!china_towns_second__2[[Column1]:[Y]],3,FALSE)</f>
        <v>34.832811626231802</v>
      </c>
      <c r="K557">
        <f>VLOOKUP(F557,[1]!china_towns_second__2[[Column1]:[Y]],2,FALSE)</f>
        <v>109.4610175</v>
      </c>
      <c r="L557" t="s">
        <v>4678</v>
      </c>
      <c r="M557" t="str">
        <f>VLOOKUP(H557,CHOOSE({1,2},Table11[Native],Table11[Name]),2,0)</f>
        <v>Púchéng Xiàn</v>
      </c>
      <c r="N557" s="13" t="str">
        <f>VLOOKUP(I557,CHOOSE({1,2},Table11[Native],Table11[Name]),2,0)</f>
        <v>Wèinán Shì</v>
      </c>
      <c r="O557" s="13" t="str">
        <f t="shared" si="34"/>
        <v>Jingyao Zhen (Wèinán Shì)</v>
      </c>
      <c r="P557" s="13" t="str">
        <f t="shared" si="35"/>
        <v>Jingyao Zhen (Wèinán Shì)</v>
      </c>
    </row>
    <row r="558" spans="1:16" hidden="1" x14ac:dyDescent="0.25">
      <c r="A558" t="s">
        <v>2434</v>
      </c>
      <c r="B558" t="str">
        <f t="shared" si="32"/>
        <v>Jīngzhào Xiāng</v>
      </c>
      <c r="C558" t="str">
        <f t="shared" si="33"/>
        <v>Jīngzhào Xiāng</v>
      </c>
      <c r="D558" t="s">
        <v>2435</v>
      </c>
      <c r="E558" t="s">
        <v>11</v>
      </c>
      <c r="F558" t="str">
        <f>_xlfn.CONCAT(D558,", ",H558,", ",I558,", ","陕西省")</f>
        <v>京兆乡, 洛川县, 延安市, 陕西省</v>
      </c>
      <c r="G558">
        <v>5729</v>
      </c>
      <c r="H558" t="s">
        <v>3140</v>
      </c>
      <c r="I558" t="s">
        <v>3133</v>
      </c>
      <c r="J558" t="e">
        <f>VLOOKUP(F558,[1]!china_towns_second__2[[Column1]:[Y]],3,FALSE)</f>
        <v>#N/A</v>
      </c>
      <c r="K558" t="e">
        <f>VLOOKUP(F558,[1]!china_towns_second__2[[Column1]:[Y]],2,FALSE)</f>
        <v>#N/A</v>
      </c>
      <c r="L558" t="s">
        <v>4679</v>
      </c>
      <c r="M558" t="str">
        <f>VLOOKUP(H558,CHOOSE({1,2},Table11[Native],Table11[Name]),2,0)</f>
        <v>Luòchuān Xiàn</v>
      </c>
      <c r="N558" s="13" t="str">
        <f>VLOOKUP(I558,CHOOSE({1,2},Table11[Native],Table11[Name]),2,0)</f>
        <v>Yán'ān Shì</v>
      </c>
      <c r="O558" s="13" t="str">
        <f t="shared" si="34"/>
        <v>Jingzhao Xiang (Yán'ān Shì)</v>
      </c>
      <c r="P558" s="13" t="str">
        <f t="shared" si="35"/>
        <v>Jingzhao Xiang (Yán'ān Shì)</v>
      </c>
    </row>
    <row r="559" spans="1:16" hidden="1" x14ac:dyDescent="0.25">
      <c r="A559" t="s">
        <v>461</v>
      </c>
      <c r="B559" t="str">
        <f t="shared" si="32"/>
        <v>Jīnhé Zhèn [incl. Língyuán Xiāng]</v>
      </c>
      <c r="C559" t="str">
        <f t="shared" si="33"/>
        <v>Jīnhé Zhèn [incl. Língyuán Xiāng]</v>
      </c>
      <c r="D559" t="s">
        <v>462</v>
      </c>
      <c r="E559" t="s">
        <v>7</v>
      </c>
      <c r="F559" t="str">
        <f>_xlfn.CONCAT(D559,", ",H559,", ",I559,", ","陕西省")</f>
        <v>金河镇, 金台区, 宝鸡市, 陕西省</v>
      </c>
      <c r="G559">
        <v>30465</v>
      </c>
      <c r="H559" t="s">
        <v>3050</v>
      </c>
      <c r="I559" t="s">
        <v>3045</v>
      </c>
      <c r="J559">
        <f>VLOOKUP(F559,[1]!china_towns_second__2[[Column1]:[Y]],3,FALSE)</f>
        <v>34.433816054845401</v>
      </c>
      <c r="K559">
        <f>VLOOKUP(F559,[1]!china_towns_second__2[[Column1]:[Y]],2,FALSE)</f>
        <v>107.1169665</v>
      </c>
      <c r="L559" t="s">
        <v>4680</v>
      </c>
      <c r="M559" t="str">
        <f>VLOOKUP(H559,CHOOSE({1,2},Table11[Native],Table11[Name]),2,0)</f>
        <v>Jīntái Qū</v>
      </c>
      <c r="N559" s="13" t="str">
        <f>VLOOKUP(I559,CHOOSE({1,2},Table11[Native],Table11[Name]),2,0)</f>
        <v>Băojī Shì</v>
      </c>
      <c r="O559" s="13" t="str">
        <f t="shared" si="34"/>
        <v>Jinhe Zhen [incl. Lingyuan Xiang] (Băojī Shì)</v>
      </c>
      <c r="P559" s="13" t="str">
        <f t="shared" si="35"/>
        <v>Jinhe Zhen [incl. Lingyuan Xiang] (Băojī Shì)</v>
      </c>
    </row>
    <row r="560" spans="1:16" hidden="1" x14ac:dyDescent="0.25">
      <c r="A560" t="s">
        <v>1508</v>
      </c>
      <c r="B560" t="str">
        <f t="shared" si="32"/>
        <v>Jīnhuì Xiāng</v>
      </c>
      <c r="C560" t="str">
        <f t="shared" si="33"/>
        <v>Jīnhuì Xiāng</v>
      </c>
      <c r="D560" t="s">
        <v>1509</v>
      </c>
      <c r="E560" t="s">
        <v>11</v>
      </c>
      <c r="F560" t="str">
        <f>_xlfn.CONCAT(D560,", ",H560,", ",I560,", ","陕西省")</f>
        <v>金惠乡, 华州区, 渭南市, 陕西省</v>
      </c>
      <c r="G560">
        <v>12717</v>
      </c>
      <c r="H560" t="s">
        <v>3096</v>
      </c>
      <c r="I560" t="s">
        <v>3087</v>
      </c>
      <c r="J560" t="e">
        <f>VLOOKUP(F560,[1]!china_towns_second__2[[Column1]:[Y]],3,FALSE)</f>
        <v>#N/A</v>
      </c>
      <c r="K560" t="e">
        <f>VLOOKUP(F560,[1]!china_towns_second__2[[Column1]:[Y]],2,FALSE)</f>
        <v>#N/A</v>
      </c>
      <c r="L560" t="s">
        <v>4681</v>
      </c>
      <c r="M560" t="str">
        <f>VLOOKUP(H560,CHOOSE({1,2},Table11[Native],Table11[Name]),2,0)</f>
        <v>Huázhōu Qū</v>
      </c>
      <c r="N560" s="13" t="str">
        <f>VLOOKUP(I560,CHOOSE({1,2},Table11[Native],Table11[Name]),2,0)</f>
        <v>Wèinán Shì</v>
      </c>
      <c r="O560" s="13" t="str">
        <f t="shared" si="34"/>
        <v>Jinhui Xiang (Wèinán Shì)</v>
      </c>
      <c r="P560" s="13" t="str">
        <f t="shared" si="35"/>
        <v>Jinhui Xiang (Wèinán Shì)</v>
      </c>
    </row>
    <row r="561" spans="1:16" hidden="1" x14ac:dyDescent="0.25">
      <c r="A561" t="s">
        <v>782</v>
      </c>
      <c r="B561" t="str">
        <f t="shared" si="32"/>
        <v>Jīnjiāhé Zhèn</v>
      </c>
      <c r="C561" t="str">
        <f t="shared" si="33"/>
        <v>Jīnjiāhé Zhèn</v>
      </c>
      <c r="D561" t="s">
        <v>783</v>
      </c>
      <c r="E561" t="s">
        <v>7</v>
      </c>
      <c r="F561" t="str">
        <f>_xlfn.CONCAT(D561,", ",H561,", ",I561,", ","陕西省")</f>
        <v>金家河镇, 略阳县, 汉中市, 陕西省</v>
      </c>
      <c r="G561">
        <v>5424</v>
      </c>
      <c r="H561" t="s">
        <v>3064</v>
      </c>
      <c r="I561" t="s">
        <v>3059</v>
      </c>
      <c r="J561">
        <f>VLOOKUP(F561,[1]!china_towns_second__2[[Column1]:[Y]],3,FALSE)</f>
        <v>33.345931188780597</v>
      </c>
      <c r="K561">
        <f>VLOOKUP(F561,[1]!china_towns_second__2[[Column1]:[Y]],2,FALSE)</f>
        <v>105.933542</v>
      </c>
      <c r="L561" t="s">
        <v>4682</v>
      </c>
      <c r="M561" t="str">
        <f>VLOOKUP(H561,CHOOSE({1,2},Table11[Native],Table11[Name]),2,0)</f>
        <v>Lüèyáng Xiàn</v>
      </c>
      <c r="N561" s="13" t="str">
        <f>VLOOKUP(I561,CHOOSE({1,2},Table11[Native],Table11[Name]),2,0)</f>
        <v>Hànzhōng Shì</v>
      </c>
      <c r="O561" s="13" t="str">
        <f t="shared" si="34"/>
        <v>Jinjiahe Zhen (Hànzhōng Shì)</v>
      </c>
      <c r="P561" s="13" t="str">
        <f t="shared" si="35"/>
        <v>Jinjiahe Zhen (Hànzhōng Shì)</v>
      </c>
    </row>
    <row r="562" spans="1:16" hidden="1" x14ac:dyDescent="0.25">
      <c r="A562" t="s">
        <v>2776</v>
      </c>
      <c r="B562" t="str">
        <f t="shared" si="32"/>
        <v>Jĭnjiè Zhèn</v>
      </c>
      <c r="C562" t="str">
        <f t="shared" si="33"/>
        <v>Jĭnjiè Zhèn</v>
      </c>
      <c r="D562" t="s">
        <v>2777</v>
      </c>
      <c r="E562" t="s">
        <v>7</v>
      </c>
      <c r="F562" t="str">
        <f>_xlfn.CONCAT(D562,", ",H562,", ",I562,", ","陕西省")</f>
        <v>锦界镇, 神木市, 榆林市, 陕西省</v>
      </c>
      <c r="G562">
        <v>25561</v>
      </c>
      <c r="H562" t="s">
        <v>3156</v>
      </c>
      <c r="I562" t="s">
        <v>3148</v>
      </c>
      <c r="J562">
        <f>VLOOKUP(F562,[1]!china_towns_second__2[[Column1]:[Y]],3,FALSE)</f>
        <v>38.858858811153901</v>
      </c>
      <c r="K562">
        <f>VLOOKUP(F562,[1]!china_towns_second__2[[Column1]:[Y]],2,FALSE)</f>
        <v>110.07786830000001</v>
      </c>
      <c r="L562" t="s">
        <v>4683</v>
      </c>
      <c r="M562" t="str">
        <f>VLOOKUP(H562,CHOOSE({1,2},Table11[Native],Table11[Name]),2,0)</f>
        <v>Shénmù Shì</v>
      </c>
      <c r="N562" s="13" t="str">
        <f>VLOOKUP(I562,CHOOSE({1,2},Table11[Native],Table11[Name]),2,0)</f>
        <v>Yúlín Shì</v>
      </c>
      <c r="O562" s="13" t="str">
        <f t="shared" si="34"/>
        <v>Jinjie Zhen (Yúlín Shì)</v>
      </c>
      <c r="P562" s="13" t="str">
        <f t="shared" si="35"/>
        <v>Jinjie Zhen (Yúlín Shì)</v>
      </c>
    </row>
    <row r="563" spans="1:16" hidden="1" x14ac:dyDescent="0.25">
      <c r="A563" t="s">
        <v>2778</v>
      </c>
      <c r="B563" t="str">
        <f t="shared" si="32"/>
        <v>Jīnjītān Zhèn</v>
      </c>
      <c r="C563" t="str">
        <f t="shared" si="33"/>
        <v>Jīnjītān Zhèn</v>
      </c>
      <c r="D563" t="s">
        <v>2779</v>
      </c>
      <c r="E563" t="s">
        <v>7</v>
      </c>
      <c r="F563" t="str">
        <f>_xlfn.CONCAT(D563,", ",H563,", ",I563,", ","陕西省")</f>
        <v>金鸡滩镇, 榆阳区, 榆林市, 陕西省</v>
      </c>
      <c r="G563">
        <v>13672</v>
      </c>
      <c r="H563" t="s">
        <v>3159</v>
      </c>
      <c r="I563" t="s">
        <v>3148</v>
      </c>
      <c r="J563">
        <f>VLOOKUP(F563,[1]!china_towns_second__2[[Column1]:[Y]],3,FALSE)</f>
        <v>38.506826926464299</v>
      </c>
      <c r="K563">
        <f>VLOOKUP(F563,[1]!china_towns_second__2[[Column1]:[Y]],2,FALSE)</f>
        <v>109.8164668</v>
      </c>
      <c r="L563" t="s">
        <v>4684</v>
      </c>
      <c r="M563" t="str">
        <f>VLOOKUP(H563,CHOOSE({1,2},Table11[Native],Table11[Name]),2,0)</f>
        <v>Yúyáng Qū</v>
      </c>
      <c r="N563" s="13" t="str">
        <f>VLOOKUP(I563,CHOOSE({1,2},Table11[Native],Table11[Name]),2,0)</f>
        <v>Yúlín Shì</v>
      </c>
      <c r="O563" s="13" t="str">
        <f t="shared" si="34"/>
        <v>Jinjitan Zhen (Yúlín Shì)</v>
      </c>
      <c r="P563" s="13" t="str">
        <f t="shared" si="35"/>
        <v>Jinjitan Zhen (Yúlín Shì)</v>
      </c>
    </row>
    <row r="564" spans="1:16" hidden="1" x14ac:dyDescent="0.25">
      <c r="A564" t="s">
        <v>463</v>
      </c>
      <c r="B564" t="str">
        <f t="shared" si="32"/>
        <v>Jīnlíng Jiēdào</v>
      </c>
      <c r="C564" t="str">
        <f t="shared" si="33"/>
        <v>Jīnlíng Jiēdào</v>
      </c>
      <c r="D564" t="s">
        <v>464</v>
      </c>
      <c r="E564" t="s">
        <v>113</v>
      </c>
      <c r="F564" t="str">
        <f>_xlfn.CONCAT(D564,", ",H564,", ",I564,", ","陕西省")</f>
        <v>金陵街道, 渭滨区, 宝鸡市, 陕西省</v>
      </c>
      <c r="G564">
        <v>37677</v>
      </c>
      <c r="H564" t="s">
        <v>3057</v>
      </c>
      <c r="I564" t="s">
        <v>3045</v>
      </c>
      <c r="J564">
        <f>VLOOKUP(F564,[1]!china_towns_second__2[[Column1]:[Y]],3,FALSE)</f>
        <v>34.368908589280501</v>
      </c>
      <c r="K564">
        <f>VLOOKUP(F564,[1]!china_towns_second__2[[Column1]:[Y]],2,FALSE)</f>
        <v>107.1486628</v>
      </c>
      <c r="L564" t="s">
        <v>4685</v>
      </c>
      <c r="M564" t="str">
        <f>VLOOKUP(H564,CHOOSE({1,2},Table11[Native],Table11[Name]),2,0)</f>
        <v>Wèibīn Qū</v>
      </c>
      <c r="N564" s="13" t="str">
        <f>VLOOKUP(I564,CHOOSE({1,2},Table11[Native],Table11[Name]),2,0)</f>
        <v>Băojī Shì</v>
      </c>
      <c r="O564" s="13" t="str">
        <f t="shared" si="34"/>
        <v>Jinling Jiedao (Băojī Shì)</v>
      </c>
      <c r="P564" s="13" t="str">
        <f t="shared" si="35"/>
        <v>Jinling Jiedao (Băojī Shì)</v>
      </c>
    </row>
    <row r="565" spans="1:16" hidden="1" x14ac:dyDescent="0.25">
      <c r="A565" t="s">
        <v>1126</v>
      </c>
      <c r="B565" t="str">
        <f t="shared" si="32"/>
        <v>Jīnlíngsì Zhèn</v>
      </c>
      <c r="C565" t="str">
        <f t="shared" si="33"/>
        <v>Jīnlíngsì Zhèn</v>
      </c>
      <c r="D565" t="s">
        <v>1127</v>
      </c>
      <c r="E565" t="s">
        <v>7</v>
      </c>
      <c r="F565" t="str">
        <f>_xlfn.CONCAT(D565,", ",H565,", ",I565,", ","陕西省")</f>
        <v>金陵寺镇, 商州区, 商洛市, 陕西省</v>
      </c>
      <c r="G565">
        <v>20196</v>
      </c>
      <c r="H565" t="s">
        <v>3076</v>
      </c>
      <c r="I565" t="s">
        <v>3072</v>
      </c>
      <c r="J565">
        <f>VLOOKUP(F565,[1]!china_towns_second__2[[Column1]:[Y]],3,FALSE)</f>
        <v>33.908514714505102</v>
      </c>
      <c r="K565">
        <f>VLOOKUP(F565,[1]!china_towns_second__2[[Column1]:[Y]],2,FALSE)</f>
        <v>109.7545207</v>
      </c>
      <c r="L565" t="s">
        <v>4686</v>
      </c>
      <c r="M565" t="str">
        <f>VLOOKUP(H565,CHOOSE({1,2},Table11[Native],Table11[Name]),2,0)</f>
        <v>Shāngzhōu Qū</v>
      </c>
      <c r="N565" s="13" t="str">
        <f>VLOOKUP(I565,CHOOSE({1,2},Table11[Native],Table11[Name]),2,0)</f>
        <v>Shāngluò Shì</v>
      </c>
      <c r="O565" s="13" t="str">
        <f t="shared" si="34"/>
        <v>Jinlingsi Zhen (Shāngluò Shì)</v>
      </c>
      <c r="P565" s="13" t="str">
        <f t="shared" si="35"/>
        <v>Jinlingsi Zhen (Shāngluò Shì)</v>
      </c>
    </row>
    <row r="566" spans="1:16" hidden="1" x14ac:dyDescent="0.25">
      <c r="A566" t="s">
        <v>2780</v>
      </c>
      <c r="B566" t="str">
        <f t="shared" si="32"/>
        <v>Jīnmíngsì Zhèn</v>
      </c>
      <c r="C566" t="str">
        <f t="shared" si="33"/>
        <v>Jīnmíngsì Zhèn</v>
      </c>
      <c r="D566" t="s">
        <v>2781</v>
      </c>
      <c r="E566" t="s">
        <v>7</v>
      </c>
      <c r="F566" t="str">
        <f>_xlfn.CONCAT(D566,", ",H566,", ",I566,", ","陕西省")</f>
        <v>金明寺镇, 佳县, 榆林市, 陕西省</v>
      </c>
      <c r="G566">
        <v>6904</v>
      </c>
      <c r="H566" t="s">
        <v>3152</v>
      </c>
      <c r="I566" t="s">
        <v>3148</v>
      </c>
      <c r="J566">
        <f>VLOOKUP(F566,[1]!china_towns_second__2[[Column1]:[Y]],3,FALSE)</f>
        <v>38.044812382713999</v>
      </c>
      <c r="K566">
        <f>VLOOKUP(F566,[1]!china_towns_second__2[[Column1]:[Y]],2,FALSE)</f>
        <v>110.2495617</v>
      </c>
      <c r="L566" t="s">
        <v>4687</v>
      </c>
      <c r="M566" t="str">
        <f>VLOOKUP(H566,CHOOSE({1,2},Table11[Native],Table11[Name]),2,0)</f>
        <v>Jiā Xiàn</v>
      </c>
      <c r="N566" s="13" t="str">
        <f>VLOOKUP(I566,CHOOSE({1,2},Table11[Native],Table11[Name]),2,0)</f>
        <v>Yúlín Shì</v>
      </c>
      <c r="O566" s="13" t="str">
        <f t="shared" si="34"/>
        <v>Jinmingsi Zhen (Yúlín Shì)</v>
      </c>
      <c r="P566" s="13" t="str">
        <f t="shared" si="35"/>
        <v>Jinmingsi Zhen (Yúlín Shì)</v>
      </c>
    </row>
    <row r="567" spans="1:16" hidden="1" x14ac:dyDescent="0.25">
      <c r="A567" t="s">
        <v>465</v>
      </c>
      <c r="B567" t="str">
        <f t="shared" si="32"/>
        <v>Jīnqú Zhèn</v>
      </c>
      <c r="C567" t="str">
        <f t="shared" si="33"/>
        <v>Jīnqú Zhèn</v>
      </c>
      <c r="D567" t="s">
        <v>466</v>
      </c>
      <c r="E567" t="s">
        <v>7</v>
      </c>
      <c r="F567" t="str">
        <f>_xlfn.CONCAT(D567,", ",H567,", ",I567,", ","陕西省")</f>
        <v>金渠镇, 眉县, 宝鸡市, 陕西省</v>
      </c>
      <c r="G567">
        <v>33058</v>
      </c>
      <c r="H567" t="s">
        <v>3053</v>
      </c>
      <c r="I567" t="s">
        <v>3045</v>
      </c>
      <c r="J567">
        <f>VLOOKUP(F567,[1]!china_towns_second__2[[Column1]:[Y]],3,FALSE)</f>
        <v>34.218736550422101</v>
      </c>
      <c r="K567">
        <f>VLOOKUP(F567,[1]!china_towns_second__2[[Column1]:[Y]],2,FALSE)</f>
        <v>107.7875757</v>
      </c>
      <c r="L567" t="s">
        <v>4688</v>
      </c>
      <c r="M567" t="str">
        <f>VLOOKUP(H567,CHOOSE({1,2},Table11[Native],Table11[Name]),2,0)</f>
        <v>Méi Xiàn</v>
      </c>
      <c r="N567" s="13" t="str">
        <f>VLOOKUP(I567,CHOOSE({1,2},Table11[Native],Table11[Name]),2,0)</f>
        <v>Băojī Shì</v>
      </c>
      <c r="O567" s="13" t="str">
        <f t="shared" si="34"/>
        <v>Jinqu Zhen (Băojī Shì)</v>
      </c>
      <c r="P567" s="13" t="str">
        <f t="shared" si="35"/>
        <v>Jinqu Zhen (Băojī Shì)</v>
      </c>
    </row>
    <row r="568" spans="1:16" hidden="1" x14ac:dyDescent="0.25">
      <c r="A568" t="s">
        <v>784</v>
      </c>
      <c r="B568" t="str">
        <f t="shared" si="32"/>
        <v>Jīnquán Zhèn</v>
      </c>
      <c r="C568" t="str">
        <f t="shared" si="33"/>
        <v>Jīnquán Zhèn</v>
      </c>
      <c r="D568" t="s">
        <v>785</v>
      </c>
      <c r="E568" t="s">
        <v>7</v>
      </c>
      <c r="F568" t="str">
        <f>_xlfn.CONCAT(D568,", ",H568,", ",I568,", ","陕西省")</f>
        <v>金泉镇, 勉县, 汉中市, 陕西省</v>
      </c>
      <c r="G568">
        <v>13363</v>
      </c>
      <c r="H568" t="s">
        <v>3065</v>
      </c>
      <c r="I568" t="s">
        <v>3059</v>
      </c>
      <c r="J568">
        <f>VLOOKUP(F568,[1]!china_towns_second__2[[Column1]:[Y]],3,FALSE)</f>
        <v>33.126547696624499</v>
      </c>
      <c r="K568">
        <f>VLOOKUP(F568,[1]!china_towns_second__2[[Column1]:[Y]],2,FALSE)</f>
        <v>106.8461147</v>
      </c>
      <c r="L568" t="s">
        <v>4689</v>
      </c>
      <c r="M568" t="str">
        <f>VLOOKUP(H568,CHOOSE({1,2},Table11[Native],Table11[Name]),2,0)</f>
        <v>Miăn Xiàn</v>
      </c>
      <c r="N568" s="13" t="str">
        <f>VLOOKUP(I568,CHOOSE({1,2},Table11[Native],Table11[Name]),2,0)</f>
        <v>Hànzhōng Shì</v>
      </c>
      <c r="O568" s="13" t="str">
        <f t="shared" si="34"/>
        <v>Jinquan Zhen (Hànzhōng Shì)</v>
      </c>
      <c r="P568" s="13" t="str">
        <f t="shared" si="35"/>
        <v>Jinquan Zhen (Hànzhōng Shì)</v>
      </c>
    </row>
    <row r="569" spans="1:16" hidden="1" x14ac:dyDescent="0.25">
      <c r="A569" t="s">
        <v>786</v>
      </c>
      <c r="B569" t="str">
        <f t="shared" si="32"/>
        <v>Jīnshuĭ Zhèn</v>
      </c>
      <c r="C569" t="str">
        <f t="shared" si="33"/>
        <v>Jīnshuĭ Zhèn</v>
      </c>
      <c r="D569" t="s">
        <v>787</v>
      </c>
      <c r="E569" t="s">
        <v>7</v>
      </c>
      <c r="F569" t="str">
        <f>_xlfn.CONCAT(D569,", ",H569,", ",I569,", ","陕西省")</f>
        <v>金水镇, 洋县, 汉中市, 陕西省</v>
      </c>
      <c r="G569">
        <v>8889</v>
      </c>
      <c r="H569" t="s">
        <v>3069</v>
      </c>
      <c r="I569" t="s">
        <v>3059</v>
      </c>
      <c r="J569">
        <f>VLOOKUP(F569,[1]!china_towns_second__2[[Column1]:[Y]],3,FALSE)</f>
        <v>33.346921231159001</v>
      </c>
      <c r="K569">
        <f>VLOOKUP(F569,[1]!china_towns_second__2[[Column1]:[Y]],2,FALSE)</f>
        <v>107.8431981</v>
      </c>
      <c r="L569" t="s">
        <v>4690</v>
      </c>
      <c r="M569" t="str">
        <f>VLOOKUP(H569,CHOOSE({1,2},Table11[Native],Table11[Name]),2,0)</f>
        <v>Yáng Xiàn</v>
      </c>
      <c r="N569" s="13" t="str">
        <f>VLOOKUP(I569,CHOOSE({1,2},Table11[Native],Table11[Name]),2,0)</f>
        <v>Hànzhōng Shì</v>
      </c>
      <c r="O569" s="13" t="str">
        <f t="shared" si="34"/>
        <v>Jinshui Zhen (Hànzhōng Shì)</v>
      </c>
      <c r="P569" s="13" t="str">
        <f t="shared" si="35"/>
        <v>Jinshui Zhen (Hànzhōng Shì)</v>
      </c>
    </row>
    <row r="570" spans="1:16" hidden="1" x14ac:dyDescent="0.25">
      <c r="A570" t="s">
        <v>1128</v>
      </c>
      <c r="B570" t="str">
        <f t="shared" si="32"/>
        <v>Jīnsīxiá Zhèn [incl. Liángjiāwān Zhèn, Tàijíhé Zhèn]</v>
      </c>
      <c r="C570" t="str">
        <f t="shared" si="33"/>
        <v>Jīnsīxiá Zhèn [incl. Liángjiāwān Zhèn, Tàijíhé Zhèn]</v>
      </c>
      <c r="D570" t="s">
        <v>1129</v>
      </c>
      <c r="E570" t="s">
        <v>7</v>
      </c>
      <c r="F570" t="str">
        <f>_xlfn.CONCAT(D570,", ",H570,", ",I570,", ","陕西省")</f>
        <v>金丝峡镇, 商南县, 商洛市, 陕西省</v>
      </c>
      <c r="G570">
        <v>23160</v>
      </c>
      <c r="H570" t="s">
        <v>3075</v>
      </c>
      <c r="I570" t="s">
        <v>3072</v>
      </c>
      <c r="J570">
        <f>VLOOKUP(F570,[1]!china_towns_second__2[[Column1]:[Y]],3,FALSE)</f>
        <v>33.428383059051598</v>
      </c>
      <c r="K570">
        <f>VLOOKUP(F570,[1]!china_towns_second__2[[Column1]:[Y]],2,FALSE)</f>
        <v>110.58387759999999</v>
      </c>
      <c r="L570" t="s">
        <v>4691</v>
      </c>
      <c r="M570" t="str">
        <f>VLOOKUP(H570,CHOOSE({1,2},Table11[Native],Table11[Name]),2,0)</f>
        <v>Shāngnán Xiàn</v>
      </c>
      <c r="N570" s="13" t="str">
        <f>VLOOKUP(I570,CHOOSE({1,2},Table11[Native],Table11[Name]),2,0)</f>
        <v>Shāngluò Shì</v>
      </c>
      <c r="O570" s="13" t="str">
        <f t="shared" si="34"/>
        <v>Jinsixia Zhen [incl. Liangjiawan Zhen, Taijihe Zhen] (Shāngluò Shì)</v>
      </c>
      <c r="P570" s="13" t="str">
        <f t="shared" si="35"/>
        <v>Jinsixia Zhen [incl. Liangjiawan Zhen, Taijihe Zhen] (Shāngluò Shì)</v>
      </c>
    </row>
    <row r="571" spans="1:16" hidden="1" x14ac:dyDescent="0.25">
      <c r="A571" t="s">
        <v>1311</v>
      </c>
      <c r="B571" t="str">
        <f t="shared" si="32"/>
        <v>Jīnsuŏguān Zhèn [incl. Yùhuá Zhèn]</v>
      </c>
      <c r="C571" t="str">
        <f t="shared" si="33"/>
        <v>Jīnsuŏguān Zhèn [incl. Yùhuá Zhèn]</v>
      </c>
      <c r="D571" t="s">
        <v>1312</v>
      </c>
      <c r="E571" t="s">
        <v>7</v>
      </c>
      <c r="F571" t="str">
        <f>_xlfn.CONCAT(D571,", ",H571,", ",I571,", ","陕西省")</f>
        <v>金锁关镇, 印台区, 铜川市, 陕西省</v>
      </c>
      <c r="G571">
        <v>40670</v>
      </c>
      <c r="H571" t="s">
        <v>3085</v>
      </c>
      <c r="I571" t="s">
        <v>3081</v>
      </c>
      <c r="J571">
        <f>VLOOKUP(F571,[1]!china_towns_second__2[[Column1]:[Y]],3,FALSE)</f>
        <v>35.258228673959003</v>
      </c>
      <c r="K571">
        <f>VLOOKUP(F571,[1]!china_towns_second__2[[Column1]:[Y]],2,FALSE)</f>
        <v>108.962341</v>
      </c>
      <c r="L571" t="s">
        <v>4692</v>
      </c>
      <c r="M571" t="str">
        <f>VLOOKUP(H571,CHOOSE({1,2},Table11[Native],Table11[Name]),2,0)</f>
        <v>Yìntái Qū</v>
      </c>
      <c r="N571" s="13" t="str">
        <f>VLOOKUP(I571,CHOOSE({1,2},Table11[Native],Table11[Name]),2,0)</f>
        <v>Tóngchuān Shì</v>
      </c>
      <c r="O571" s="13" t="str">
        <f t="shared" si="34"/>
        <v>Jinsuoguan Zhen [incl. Yuhua Zhen] (Tóngchuān Shì)</v>
      </c>
      <c r="P571" s="13" t="str">
        <f t="shared" si="35"/>
        <v>Jinsuoguan Zhen [incl. Yuhua Zhen] (Tóngchuān Shì)</v>
      </c>
    </row>
    <row r="572" spans="1:16" hidden="1" x14ac:dyDescent="0.25">
      <c r="A572" t="s">
        <v>1313</v>
      </c>
      <c r="B572" t="str">
        <f t="shared" si="32"/>
        <v>Jǐnyánglù Jiēdào [Sìgōu Zhèn]</v>
      </c>
      <c r="C572" t="str">
        <f t="shared" si="33"/>
        <v>Jǐnyánglù Jiēdào [Sìgōu Zhèn]</v>
      </c>
      <c r="D572" t="s">
        <v>1314</v>
      </c>
      <c r="E572" t="s">
        <v>113</v>
      </c>
      <c r="F572" t="str">
        <f>_xlfn.CONCAT(D572,", ",H572,", ",I572,", ","陕西省")</f>
        <v>锦阳路街道, 耀州区, 铜川市, 陕西省</v>
      </c>
      <c r="G572">
        <v>17558</v>
      </c>
      <c r="H572" t="s">
        <v>3083</v>
      </c>
      <c r="I572" t="s">
        <v>3081</v>
      </c>
      <c r="J572">
        <f>VLOOKUP(F572,[1]!china_towns_second__2[[Column1]:[Y]],3,FALSE)</f>
        <v>34.957543374753797</v>
      </c>
      <c r="K572">
        <f>VLOOKUP(F572,[1]!china_towns_second__2[[Column1]:[Y]],2,FALSE)</f>
        <v>108.9390159</v>
      </c>
      <c r="L572" t="s">
        <v>4693</v>
      </c>
      <c r="M572" t="str">
        <f>VLOOKUP(H572,CHOOSE({1,2},Table11[Native],Table11[Name]),2,0)</f>
        <v>Yàozhōu Qū</v>
      </c>
      <c r="N572" s="13" t="str">
        <f>VLOOKUP(I572,CHOOSE({1,2},Table11[Native],Table11[Name]),2,0)</f>
        <v>Tóngchuān Shì</v>
      </c>
      <c r="O572" s="13" t="str">
        <f t="shared" si="34"/>
        <v>Jinyanglu Jiedao [Sigou Zhen] (Tóngchuān Shì)</v>
      </c>
      <c r="P572" s="13" t="str">
        <f t="shared" si="35"/>
        <v>Jinyanglu Jiedao [Sigou Zhen] (Tóngchuān Shì)</v>
      </c>
    </row>
    <row r="573" spans="1:16" hidden="1" x14ac:dyDescent="0.25">
      <c r="A573" t="s">
        <v>1510</v>
      </c>
      <c r="B573" t="str">
        <f t="shared" si="32"/>
        <v>Jīnyù Zhèn [incl. Huángfŭzhuāng Zhèn, Fánglŭzhài Xiāng]</v>
      </c>
      <c r="C573" t="str">
        <f t="shared" si="33"/>
        <v>Jīnyù Zhèn [incl. Huángfŭzhuāng Zhèn, Fánglŭzhài Xiāng]</v>
      </c>
      <c r="D573" t="s">
        <v>1511</v>
      </c>
      <c r="E573" t="s">
        <v>7</v>
      </c>
      <c r="F573" t="str">
        <f>_xlfn.CONCAT(D573,", ",H573,", ",I573,", ","陕西省")</f>
        <v>金峪镇, 合阳县, 渭南市, 陕西省</v>
      </c>
      <c r="G573">
        <v>23829</v>
      </c>
      <c r="H573" t="s">
        <v>3094</v>
      </c>
      <c r="I573" t="s">
        <v>3087</v>
      </c>
      <c r="J573">
        <f>VLOOKUP(F573,[1]!china_towns_second__2[[Column1]:[Y]],3,FALSE)</f>
        <v>35.325602822487497</v>
      </c>
      <c r="K573">
        <f>VLOOKUP(F573,[1]!china_towns_second__2[[Column1]:[Y]],2,FALSE)</f>
        <v>110.0290768</v>
      </c>
      <c r="L573" t="s">
        <v>4694</v>
      </c>
      <c r="M573" t="str">
        <f>VLOOKUP(H573,CHOOSE({1,2},Table11[Native],Table11[Name]),2,0)</f>
        <v>Héyáng Xiàn</v>
      </c>
      <c r="N573" s="13" t="str">
        <f>VLOOKUP(I573,CHOOSE({1,2},Table11[Native],Table11[Name]),2,0)</f>
        <v>Wèinán Shì</v>
      </c>
      <c r="O573" s="13" t="str">
        <f t="shared" si="34"/>
        <v>Jinyu Zhen [incl. Huangfuzhuang Zhen, Fangluzhai Xiang] (Wèinán Shì)</v>
      </c>
      <c r="P573" s="13" t="str">
        <f t="shared" si="35"/>
        <v>Jinyu Zhen [incl. Huangfuzhuang Zhen, Fangluzhai Xiang] (Wèinán Shì)</v>
      </c>
    </row>
    <row r="574" spans="1:16" hidden="1" x14ac:dyDescent="0.25">
      <c r="A574" t="s">
        <v>126</v>
      </c>
      <c r="B574" t="str">
        <f t="shared" si="32"/>
        <v>Jīnzhài Zhèn</v>
      </c>
      <c r="C574" t="str">
        <f t="shared" si="33"/>
        <v>Jīnzhài Zhèn</v>
      </c>
      <c r="D574" t="s">
        <v>127</v>
      </c>
      <c r="E574" t="s">
        <v>7</v>
      </c>
      <c r="F574" t="str">
        <f>_xlfn.CONCAT(D574,", ",H574,", ",I574,", ","陕西省")</f>
        <v>金寨镇, 旬阳县, 安康市, 陕西省</v>
      </c>
      <c r="G574">
        <v>13739</v>
      </c>
      <c r="H574" t="s">
        <v>3041</v>
      </c>
      <c r="I574" t="s">
        <v>3031</v>
      </c>
      <c r="J574">
        <f>VLOOKUP(F574,[1]!china_towns_second__2[[Column1]:[Y]],3,FALSE)</f>
        <v>32.7245025610083</v>
      </c>
      <c r="K574">
        <f>VLOOKUP(F574,[1]!china_towns_second__2[[Column1]:[Y]],2,FALSE)</f>
        <v>109.55855560000001</v>
      </c>
      <c r="L574" t="s">
        <v>4695</v>
      </c>
      <c r="M574" t="str">
        <f>VLOOKUP(H574,CHOOSE({1,2},Table11[Native],Table11[Name]),2,0)</f>
        <v>Xúnyáng Xiàn</v>
      </c>
      <c r="N574" s="13" t="str">
        <f>VLOOKUP(I574,CHOOSE({1,2},Table11[Native],Table11[Name]),2,0)</f>
        <v>Ānkāng Shì</v>
      </c>
      <c r="O574" s="13" t="str">
        <f t="shared" si="34"/>
        <v>Jinzhai Zhen (Ānkāng Shì)</v>
      </c>
      <c r="P574" s="13" t="str">
        <f t="shared" si="35"/>
        <v>Jinzhai Zhen (Ānkāng Shì)</v>
      </c>
    </row>
    <row r="575" spans="1:16" hidden="1" x14ac:dyDescent="0.25">
      <c r="A575" t="s">
        <v>467</v>
      </c>
      <c r="B575" t="str">
        <f t="shared" si="32"/>
        <v>Jiŭchénggōng Zhèn</v>
      </c>
      <c r="C575" t="str">
        <f t="shared" si="33"/>
        <v>Jiŭchénggōng Zhèn</v>
      </c>
      <c r="D575" t="s">
        <v>468</v>
      </c>
      <c r="E575" t="s">
        <v>7</v>
      </c>
      <c r="F575" t="str">
        <f>_xlfn.CONCAT(D575,", ",H575,", ",I575,", ","陕西省")</f>
        <v>九成宫镇, 麟游县, 宝鸡市, 陕西省</v>
      </c>
      <c r="G575">
        <v>30180</v>
      </c>
      <c r="H575" t="s">
        <v>3051</v>
      </c>
      <c r="I575" t="s">
        <v>3045</v>
      </c>
      <c r="J575">
        <f>VLOOKUP(F575,[1]!china_towns_second__2[[Column1]:[Y]],3,FALSE)</f>
        <v>34.680200049706499</v>
      </c>
      <c r="K575">
        <f>VLOOKUP(F575,[1]!china_towns_second__2[[Column1]:[Y]],2,FALSE)</f>
        <v>107.77018409999999</v>
      </c>
      <c r="L575" t="s">
        <v>4696</v>
      </c>
      <c r="M575" t="str">
        <f>VLOOKUP(H575,CHOOSE({1,2},Table11[Native],Table11[Name]),2,0)</f>
        <v>Línyóu Xiàn</v>
      </c>
      <c r="N575" s="13" t="str">
        <f>VLOOKUP(I575,CHOOSE({1,2},Table11[Native],Table11[Name]),2,0)</f>
        <v>Băojī Shì</v>
      </c>
      <c r="O575" s="13" t="str">
        <f t="shared" si="34"/>
        <v>Jiuchenggong Zhen (Băojī Shì)</v>
      </c>
      <c r="P575" s="13" t="str">
        <f t="shared" si="35"/>
        <v>Jiuchenggong Zhen (Băojī Shì)</v>
      </c>
    </row>
    <row r="576" spans="1:16" hidden="1" x14ac:dyDescent="0.25">
      <c r="A576" t="s">
        <v>469</v>
      </c>
      <c r="B576" t="str">
        <f t="shared" si="32"/>
        <v>Jiŭfáng Zhèn</v>
      </c>
      <c r="C576" t="str">
        <f t="shared" si="33"/>
        <v>Jiŭfáng Zhèn</v>
      </c>
      <c r="D576" t="s">
        <v>470</v>
      </c>
      <c r="E576" t="s">
        <v>7</v>
      </c>
      <c r="F576" t="str">
        <f>_xlfn.CONCAT(D576,", ",H576,", ",I576,", ","陕西省")</f>
        <v>酒房镇, 麟游县, 宝鸡市, 陕西省</v>
      </c>
      <c r="G576">
        <v>8207</v>
      </c>
      <c r="H576" t="s">
        <v>3051</v>
      </c>
      <c r="I576" t="s">
        <v>3045</v>
      </c>
      <c r="J576">
        <f>VLOOKUP(F576,[1]!china_towns_second__2[[Column1]:[Y]],3,FALSE)</f>
        <v>34.829242248631402</v>
      </c>
      <c r="K576">
        <f>VLOOKUP(F576,[1]!china_towns_second__2[[Column1]:[Y]],2,FALSE)</f>
        <v>107.39667710000001</v>
      </c>
      <c r="L576" t="s">
        <v>4697</v>
      </c>
      <c r="M576" t="str">
        <f>VLOOKUP(H576,CHOOSE({1,2},Table11[Native],Table11[Name]),2,0)</f>
        <v>Línyóu Xiàn</v>
      </c>
      <c r="N576" s="13" t="str">
        <f>VLOOKUP(I576,CHOOSE({1,2},Table11[Native],Table11[Name]),2,0)</f>
        <v>Băojī Shì</v>
      </c>
      <c r="O576" s="13" t="str">
        <f t="shared" si="34"/>
        <v>Jiufang Zhen (Băojī Shì)</v>
      </c>
      <c r="P576" s="13" t="str">
        <f t="shared" si="35"/>
        <v>Jiufang Zhen (Băojī Shì)</v>
      </c>
    </row>
    <row r="577" spans="1:16" hidden="1" x14ac:dyDescent="0.25">
      <c r="A577" t="s">
        <v>2112</v>
      </c>
      <c r="B577" t="str">
        <f t="shared" si="32"/>
        <v>Jiŭfēng Zhèn</v>
      </c>
      <c r="C577" t="str">
        <f t="shared" si="33"/>
        <v>Jiŭfēng Zhèn</v>
      </c>
      <c r="D577" t="s">
        <v>2113</v>
      </c>
      <c r="E577" t="s">
        <v>7</v>
      </c>
      <c r="F577" t="str">
        <f>_xlfn.CONCAT(D577,", ",H577,", ",I577,", ","陕西省")</f>
        <v>九峰镇, 周至县, 西安市, 陕西省</v>
      </c>
      <c r="G577">
        <v>23901</v>
      </c>
      <c r="H577" t="s">
        <v>3115</v>
      </c>
      <c r="I577" t="s">
        <v>3102</v>
      </c>
      <c r="J577">
        <f>VLOOKUP(F577,[1]!china_towns_second__2[[Column1]:[Y]],3,FALSE)</f>
        <v>34.038915089016903</v>
      </c>
      <c r="K577">
        <f>VLOOKUP(F577,[1]!china_towns_second__2[[Column1]:[Y]],2,FALSE)</f>
        <v>108.4208725</v>
      </c>
      <c r="L577" t="s">
        <v>4698</v>
      </c>
      <c r="M577" t="str">
        <f>VLOOKUP(H577,CHOOSE({1,2},Table11[Native],Table11[Name]),2,0)</f>
        <v>Zhōuzhì Xiàn</v>
      </c>
      <c r="N577" s="13" t="str">
        <f>VLOOKUP(I577,CHOOSE({1,2},Table11[Native],Table11[Name]),2,0)</f>
        <v>Xī'ān Shì</v>
      </c>
      <c r="O577" s="13" t="str">
        <f t="shared" si="34"/>
        <v>Jiufeng Zhen (Xī'ān Shì)</v>
      </c>
      <c r="P577" s="13" t="str">
        <f t="shared" si="35"/>
        <v>Jiufeng Zhen (Xī'ān Shì)</v>
      </c>
    </row>
    <row r="578" spans="1:16" hidden="1" x14ac:dyDescent="0.25">
      <c r="A578" t="s">
        <v>1130</v>
      </c>
      <c r="B578" t="str">
        <f t="shared" ref="B578:B641" si="36">IF(COUNTIF(A:A,A578)&gt;1,_xlfn.CONCAT(A578," (",N578,")"),A578)</f>
        <v>Jiŭjiānfáng Xiāng</v>
      </c>
      <c r="C578" t="str">
        <f t="shared" ref="C578:C641" si="37">IF(COUNTIF(B:B,B578)&gt;1,_xlfn.CONCAT(A578," (",M578,")"),B578)</f>
        <v>Jiŭjiānfáng Xiāng</v>
      </c>
      <c r="D578" t="s">
        <v>1131</v>
      </c>
      <c r="E578" t="s">
        <v>11</v>
      </c>
      <c r="F578" t="str">
        <f>_xlfn.CONCAT(D578,", ",H578,", ",I578,", ","陕西省")</f>
        <v>九间房乡, 柞水县, 商洛市, 陕西省</v>
      </c>
      <c r="G578">
        <v>3369</v>
      </c>
      <c r="H578" t="s">
        <v>3078</v>
      </c>
      <c r="I578" t="s">
        <v>3072</v>
      </c>
      <c r="J578" t="e">
        <f>VLOOKUP(F578,[1]!china_towns_second__2[[Column1]:[Y]],3,FALSE)</f>
        <v>#N/A</v>
      </c>
      <c r="K578" t="e">
        <f>VLOOKUP(F578,[1]!china_towns_second__2[[Column1]:[Y]],2,FALSE)</f>
        <v>#N/A</v>
      </c>
      <c r="L578" t="s">
        <v>4699</v>
      </c>
      <c r="M578" t="str">
        <f>VLOOKUP(H578,CHOOSE({1,2},Table11[Native],Table11[Name]),2,0)</f>
        <v>Zhàshuĭ Xiàn</v>
      </c>
      <c r="N578" s="13" t="str">
        <f>VLOOKUP(I578,CHOOSE({1,2},Table11[Native],Table11[Name]),2,0)</f>
        <v>Shāngluò Shì</v>
      </c>
      <c r="O578" s="13" t="str">
        <f t="shared" ref="O578:O641" si="38">_xlfn.CONCAT(L578," (",N578,")")</f>
        <v>Jiujianfang Xiang (Shāngluò Shì)</v>
      </c>
      <c r="P578" s="13" t="str">
        <f t="shared" ref="P578:P641" si="39">IF(COUNTIF(O:O,O578)&gt;1,_xlfn.CONCAT(L578," (",M578,")"),O578)</f>
        <v>Jiujianfang Xiang (Shāngluò Shì)</v>
      </c>
    </row>
    <row r="579" spans="1:16" hidden="1" x14ac:dyDescent="0.25">
      <c r="A579" t="s">
        <v>2114</v>
      </c>
      <c r="B579" t="str">
        <f t="shared" si="36"/>
        <v>Jiŭjiānfáng Zhèn</v>
      </c>
      <c r="C579" t="str">
        <f t="shared" si="37"/>
        <v>Jiŭjiānfáng Zhèn</v>
      </c>
      <c r="D579" t="s">
        <v>2115</v>
      </c>
      <c r="E579" t="s">
        <v>7</v>
      </c>
      <c r="F579" t="str">
        <f>_xlfn.CONCAT(D579,", ",H579,", ",I579,", ","陕西省")</f>
        <v>九间房镇, 蓝田县, 西安市, 陕西省</v>
      </c>
      <c r="G579">
        <v>13915</v>
      </c>
      <c r="H579" t="s">
        <v>3108</v>
      </c>
      <c r="I579" t="s">
        <v>3102</v>
      </c>
      <c r="J579">
        <f>VLOOKUP(F579,[1]!china_towns_second__2[[Column1]:[Y]],3,FALSE)</f>
        <v>34.136118208998099</v>
      </c>
      <c r="K579">
        <f>VLOOKUP(F579,[1]!china_towns_second__2[[Column1]:[Y]],2,FALSE)</f>
        <v>109.5601521</v>
      </c>
      <c r="L579" t="s">
        <v>4700</v>
      </c>
      <c r="M579" t="str">
        <f>VLOOKUP(H579,CHOOSE({1,2},Table11[Native],Table11[Name]),2,0)</f>
        <v>Lántián Xiàn</v>
      </c>
      <c r="N579" s="13" t="str">
        <f>VLOOKUP(I579,CHOOSE({1,2},Table11[Native],Table11[Name]),2,0)</f>
        <v>Xī'ān Shì</v>
      </c>
      <c r="O579" s="13" t="str">
        <f t="shared" si="38"/>
        <v>Jiujianfang Zhen (Xī'ān Shì)</v>
      </c>
      <c r="P579" s="13" t="str">
        <f t="shared" si="39"/>
        <v>Jiujianfang Zhen (Xī'ān Shì)</v>
      </c>
    </row>
    <row r="580" spans="1:16" hidden="1" x14ac:dyDescent="0.25">
      <c r="A580" t="s">
        <v>2436</v>
      </c>
      <c r="B580" t="str">
        <f t="shared" si="36"/>
        <v>Jiùxiàn Zhèn</v>
      </c>
      <c r="C580" t="str">
        <f t="shared" si="37"/>
        <v>Jiùxiàn Zhèn</v>
      </c>
      <c r="D580" t="s">
        <v>2437</v>
      </c>
      <c r="E580" t="s">
        <v>7</v>
      </c>
      <c r="F580" t="str">
        <f>_xlfn.CONCAT(D580,", ",H580,", ",I580,", ","陕西省")</f>
        <v>旧县镇, 洛川县, 延安市, 陕西省</v>
      </c>
      <c r="G580">
        <v>15467</v>
      </c>
      <c r="H580" t="s">
        <v>3140</v>
      </c>
      <c r="I580" t="s">
        <v>3133</v>
      </c>
      <c r="J580">
        <f>VLOOKUP(F580,[1]!china_towns_second__2[[Column1]:[Y]],3,FALSE)</f>
        <v>35.899611725482103</v>
      </c>
      <c r="K580">
        <f>VLOOKUP(F580,[1]!china_towns_second__2[[Column1]:[Y]],2,FALSE)</f>
        <v>109.6145489</v>
      </c>
      <c r="L580" t="s">
        <v>4701</v>
      </c>
      <c r="M580" t="str">
        <f>VLOOKUP(H580,CHOOSE({1,2},Table11[Native],Table11[Name]),2,0)</f>
        <v>Luòchuān Xiàn</v>
      </c>
      <c r="N580" s="13" t="str">
        <f>VLOOKUP(I580,CHOOSE({1,2},Table11[Native],Table11[Name]),2,0)</f>
        <v>Yán'ān Shì</v>
      </c>
      <c r="O580" s="13" t="str">
        <f t="shared" si="38"/>
        <v>Jiuxian Zhen (Yán'ān Shì)</v>
      </c>
      <c r="P580" s="13" t="str">
        <f t="shared" si="39"/>
        <v>Jiuxian Zhen (Yán'ān Shì)</v>
      </c>
    </row>
    <row r="581" spans="1:16" hidden="1" x14ac:dyDescent="0.25">
      <c r="A581" t="s">
        <v>2116</v>
      </c>
      <c r="B581" t="str">
        <f t="shared" si="36"/>
        <v>Jíxián Zhèn</v>
      </c>
      <c r="C581" t="str">
        <f t="shared" si="37"/>
        <v>Jíxián Zhèn</v>
      </c>
      <c r="D581" t="s">
        <v>2117</v>
      </c>
      <c r="E581" t="s">
        <v>7</v>
      </c>
      <c r="F581" t="str">
        <f>_xlfn.CONCAT(D581,", ",H581,", ",I581,", ","陕西省")</f>
        <v>集贤镇, 周至县, 西安市, 陕西省</v>
      </c>
      <c r="G581">
        <v>26167</v>
      </c>
      <c r="H581" t="s">
        <v>3115</v>
      </c>
      <c r="I581" t="s">
        <v>3102</v>
      </c>
      <c r="J581">
        <f>VLOOKUP(F581,[1]!china_towns_second__2[[Column1]:[Y]],3,FALSE)</f>
        <v>33.944498263013003</v>
      </c>
      <c r="K581">
        <f>VLOOKUP(F581,[1]!china_towns_second__2[[Column1]:[Y]],2,FALSE)</f>
        <v>108.3562506</v>
      </c>
      <c r="L581" t="s">
        <v>4702</v>
      </c>
      <c r="M581" t="str">
        <f>VLOOKUP(H581,CHOOSE({1,2},Table11[Native],Table11[Name]),2,0)</f>
        <v>Zhōuzhì Xiàn</v>
      </c>
      <c r="N581" s="13" t="str">
        <f>VLOOKUP(I581,CHOOSE({1,2},Table11[Native],Table11[Name]),2,0)</f>
        <v>Xī'ān Shì</v>
      </c>
      <c r="O581" s="13" t="str">
        <f t="shared" si="38"/>
        <v>Jixian Zhen (Xī'ān Shì)</v>
      </c>
      <c r="P581" s="13" t="str">
        <f t="shared" si="39"/>
        <v>Jixian Zhen (Xī'ān Shì)</v>
      </c>
    </row>
    <row r="582" spans="1:16" hidden="1" x14ac:dyDescent="0.25">
      <c r="A582" t="s">
        <v>2438</v>
      </c>
      <c r="B582" t="str">
        <f t="shared" si="36"/>
        <v>Jíyì Zhèn</v>
      </c>
      <c r="C582" t="str">
        <f t="shared" si="37"/>
        <v>Jíyì Zhèn</v>
      </c>
      <c r="D582" t="s">
        <v>2439</v>
      </c>
      <c r="E582" t="s">
        <v>7</v>
      </c>
      <c r="F582" t="str">
        <f>_xlfn.CONCAT(D582,", ",H582,", ",I582,", ","陕西省")</f>
        <v>集义镇, 宜川县, 延安市, 陕西省</v>
      </c>
      <c r="G582">
        <v>6983</v>
      </c>
      <c r="H582" t="s">
        <v>3144</v>
      </c>
      <c r="I582" t="s">
        <v>3133</v>
      </c>
      <c r="J582">
        <f>VLOOKUP(F582,[1]!china_towns_second__2[[Column1]:[Y]],3,FALSE)</f>
        <v>35.869789595922299</v>
      </c>
      <c r="K582">
        <f>VLOOKUP(F582,[1]!china_towns_second__2[[Column1]:[Y]],2,FALSE)</f>
        <v>110.3247793</v>
      </c>
      <c r="L582" t="s">
        <v>4703</v>
      </c>
      <c r="M582" t="str">
        <f>VLOOKUP(H582,CHOOSE({1,2},Table11[Native],Table11[Name]),2,0)</f>
        <v>Yíchuān Xiàn</v>
      </c>
      <c r="N582" s="13" t="str">
        <f>VLOOKUP(I582,CHOOSE({1,2},Table11[Native],Table11[Name]),2,0)</f>
        <v>Yán'ān Shì</v>
      </c>
      <c r="O582" s="13" t="str">
        <f t="shared" si="38"/>
        <v>Jiyi Zhen (Yán'ān Shì)</v>
      </c>
      <c r="P582" s="13" t="str">
        <f t="shared" si="39"/>
        <v>Jiyi Zhen (Yán'ān Shì)</v>
      </c>
    </row>
    <row r="583" spans="1:16" hidden="1" x14ac:dyDescent="0.25">
      <c r="A583" t="s">
        <v>2782</v>
      </c>
      <c r="B583" t="str">
        <f t="shared" si="36"/>
        <v>Jīyuán Zhèn</v>
      </c>
      <c r="C583" t="str">
        <f t="shared" si="37"/>
        <v>Jīyuán Zhèn</v>
      </c>
      <c r="D583" t="s">
        <v>2783</v>
      </c>
      <c r="E583" t="s">
        <v>7</v>
      </c>
      <c r="F583" t="str">
        <f>_xlfn.CONCAT(D583,", ",H583,", ",I583,", ","陕西省")</f>
        <v>姬塬镇, 定边县, 榆林市, 陕西省</v>
      </c>
      <c r="G583">
        <v>11341</v>
      </c>
      <c r="H583" t="s">
        <v>3149</v>
      </c>
      <c r="I583" t="s">
        <v>3148</v>
      </c>
      <c r="J583">
        <f>VLOOKUP(F583,[1]!china_towns_second__2[[Column1]:[Y]],3,FALSE)</f>
        <v>37.083626738016001</v>
      </c>
      <c r="K583">
        <f>VLOOKUP(F583,[1]!china_towns_second__2[[Column1]:[Y]],2,FALSE)</f>
        <v>107.4071508</v>
      </c>
      <c r="L583" t="s">
        <v>4704</v>
      </c>
      <c r="M583" t="str">
        <f>VLOOKUP(H583,CHOOSE({1,2},Table11[Native],Table11[Name]),2,0)</f>
        <v>Dìngbiān Xiàn</v>
      </c>
      <c r="N583" s="13" t="str">
        <f>VLOOKUP(I583,CHOOSE({1,2},Table11[Native],Table11[Name]),2,0)</f>
        <v>Yúlín Shì</v>
      </c>
      <c r="O583" s="13" t="str">
        <f t="shared" si="38"/>
        <v>Jiyuan Zhen (Yúlín Shì)</v>
      </c>
      <c r="P583" s="13" t="str">
        <f t="shared" si="39"/>
        <v>Jiyuan Zhen (Yúlín Shì)</v>
      </c>
    </row>
    <row r="584" spans="1:16" hidden="1" x14ac:dyDescent="0.25">
      <c r="A584" t="s">
        <v>1790</v>
      </c>
      <c r="B584" t="str">
        <f t="shared" si="36"/>
        <v>Jùjiā Zhèn</v>
      </c>
      <c r="C584" t="str">
        <f t="shared" si="37"/>
        <v>Jùjiā Zhèn</v>
      </c>
      <c r="D584" t="s">
        <v>1791</v>
      </c>
      <c r="E584" t="s">
        <v>7</v>
      </c>
      <c r="F584" t="str">
        <f>_xlfn.CONCAT(D584,", ",H584,", ",I584,", ","陕西省")</f>
        <v>巨家镇, 长武县, 咸阳市, 陕西省</v>
      </c>
      <c r="G584">
        <v>14647</v>
      </c>
      <c r="H584" t="s">
        <v>3119</v>
      </c>
      <c r="I584" t="s">
        <v>3117</v>
      </c>
      <c r="J584">
        <f>VLOOKUP(F584,[1]!china_towns_second__2[[Column1]:[Y]],3,FALSE)</f>
        <v>35.082939190387997</v>
      </c>
      <c r="K584">
        <f>VLOOKUP(F584,[1]!china_towns_second__2[[Column1]:[Y]],2,FALSE)</f>
        <v>107.8077713</v>
      </c>
      <c r="L584" t="s">
        <v>4705</v>
      </c>
      <c r="M584" t="str">
        <f>VLOOKUP(H584,CHOOSE({1,2},Table11[Native],Table11[Name]),2,0)</f>
        <v>Chángwŭ Xiàn</v>
      </c>
      <c r="N584" s="13" t="str">
        <f>VLOOKUP(I584,CHOOSE({1,2},Table11[Native],Table11[Name]),2,0)</f>
        <v>Xiányáng Shì</v>
      </c>
      <c r="O584" s="13" t="str">
        <f t="shared" si="38"/>
        <v>Jujia Zhen (Xiányáng Shì)</v>
      </c>
      <c r="P584" s="13" t="str">
        <f t="shared" si="39"/>
        <v>Jujia Zhen (Xiányáng Shì)</v>
      </c>
    </row>
    <row r="585" spans="1:16" hidden="1" x14ac:dyDescent="0.25">
      <c r="A585" t="s">
        <v>1792</v>
      </c>
      <c r="B585" t="str">
        <f t="shared" si="36"/>
        <v>Jùnmă Zhèn</v>
      </c>
      <c r="C585" t="str">
        <f t="shared" si="37"/>
        <v>Jùnmă Zhèn</v>
      </c>
      <c r="D585" t="s">
        <v>1793</v>
      </c>
      <c r="E585" t="s">
        <v>7</v>
      </c>
      <c r="F585" t="str">
        <f>_xlfn.CONCAT(D585,", ",H585,", ",I585,", ","陕西省")</f>
        <v>骏马镇, 礼泉县, 咸阳市, 陕西省</v>
      </c>
      <c r="G585">
        <v>24986</v>
      </c>
      <c r="H585" t="s">
        <v>3122</v>
      </c>
      <c r="I585" t="s">
        <v>3117</v>
      </c>
      <c r="J585">
        <f>VLOOKUP(F585,[1]!china_towns_second__2[[Column1]:[Y]],3,FALSE)</f>
        <v>34.462283461882897</v>
      </c>
      <c r="K585">
        <f>VLOOKUP(F585,[1]!china_towns_second__2[[Column1]:[Y]],2,FALSE)</f>
        <v>108.57224669999999</v>
      </c>
      <c r="L585" t="s">
        <v>4706</v>
      </c>
      <c r="M585" t="str">
        <f>VLOOKUP(H585,CHOOSE({1,2},Table11[Native],Table11[Name]),2,0)</f>
        <v>Lĭquán Xiàn</v>
      </c>
      <c r="N585" s="13" t="str">
        <f>VLOOKUP(I585,CHOOSE({1,2},Table11[Native],Table11[Name]),2,0)</f>
        <v>Xiányáng Shì</v>
      </c>
      <c r="O585" s="13" t="str">
        <f t="shared" si="38"/>
        <v>Junma Zhen (Xiányáng Shì)</v>
      </c>
      <c r="P585" s="13" t="str">
        <f t="shared" si="39"/>
        <v>Junma Zhen (Xiányáng Shì)</v>
      </c>
    </row>
    <row r="586" spans="1:16" hidden="1" x14ac:dyDescent="0.25">
      <c r="A586" t="s">
        <v>788</v>
      </c>
      <c r="B586" t="str">
        <f t="shared" si="36"/>
        <v>Jùtíng Zhèn</v>
      </c>
      <c r="C586" t="str">
        <f t="shared" si="37"/>
        <v>Jùtíng Zhèn</v>
      </c>
      <c r="D586" t="s">
        <v>789</v>
      </c>
      <c r="E586" t="s">
        <v>7</v>
      </c>
      <c r="F586" t="str">
        <f>_xlfn.CONCAT(D586,", ",H586,", ",I586,", ","陕西省")</f>
        <v>巨亭镇, 宁强县, 汉中市, 陕西省</v>
      </c>
      <c r="G586">
        <v>3161</v>
      </c>
      <c r="H586" t="s">
        <v>3067</v>
      </c>
      <c r="I586" t="s">
        <v>3059</v>
      </c>
      <c r="J586">
        <f>VLOOKUP(F586,[1]!china_towns_second__2[[Column1]:[Y]],3,FALSE)</f>
        <v>33.101428836398803</v>
      </c>
      <c r="K586">
        <f>VLOOKUP(F586,[1]!china_towns_second__2[[Column1]:[Y]],2,FALSE)</f>
        <v>106.0962541</v>
      </c>
      <c r="L586" t="s">
        <v>4707</v>
      </c>
      <c r="M586" t="str">
        <f>VLOOKUP(H586,CHOOSE({1,2},Table11[Native],Table11[Name]),2,0)</f>
        <v>Níngqiáng Xiàn</v>
      </c>
      <c r="N586" s="13" t="str">
        <f>VLOOKUP(I586,CHOOSE({1,2},Table11[Native],Table11[Name]),2,0)</f>
        <v>Hànzhōng Shì</v>
      </c>
      <c r="O586" s="13" t="str">
        <f t="shared" si="38"/>
        <v>Juting Zhen (Hànzhōng Shì)</v>
      </c>
      <c r="P586" s="13" t="str">
        <f t="shared" si="39"/>
        <v>Juting Zhen (Hànzhōng Shì)</v>
      </c>
    </row>
    <row r="587" spans="1:16" hidden="1" x14ac:dyDescent="0.25">
      <c r="A587" t="s">
        <v>471</v>
      </c>
      <c r="B587" t="str">
        <f t="shared" si="36"/>
        <v>Jŭtóu Zhèn</v>
      </c>
      <c r="C587" t="str">
        <f t="shared" si="37"/>
        <v>Jŭtóu Zhèn</v>
      </c>
      <c r="D587" t="s">
        <v>472</v>
      </c>
      <c r="E587" t="s">
        <v>7</v>
      </c>
      <c r="F587" t="str">
        <f>_xlfn.CONCAT(D587,", ",H587,", ",I587,", ","陕西省")</f>
        <v>咀头镇, 太白县, 宝鸡市, 陕西省</v>
      </c>
      <c r="G587">
        <v>26948</v>
      </c>
      <c r="H587" t="s">
        <v>3056</v>
      </c>
      <c r="I587" t="s">
        <v>3045</v>
      </c>
      <c r="J587">
        <f>VLOOKUP(F587,[1]!china_towns_second__2[[Column1]:[Y]],3,FALSE)</f>
        <v>34.029716264136397</v>
      </c>
      <c r="K587">
        <f>VLOOKUP(F587,[1]!china_towns_second__2[[Column1]:[Y]],2,FALSE)</f>
        <v>107.31046809999999</v>
      </c>
      <c r="L587" t="s">
        <v>4708</v>
      </c>
      <c r="M587" t="str">
        <f>VLOOKUP(H587,CHOOSE({1,2},Table11[Native],Table11[Name]),2,0)</f>
        <v>Tàibái Xiàn</v>
      </c>
      <c r="N587" s="13" t="str">
        <f>VLOOKUP(I587,CHOOSE({1,2},Table11[Native],Table11[Name]),2,0)</f>
        <v>Băojī Shì</v>
      </c>
      <c r="O587" s="13" t="str">
        <f t="shared" si="38"/>
        <v>Jutou Zhen (Băojī Shì)</v>
      </c>
      <c r="P587" s="13" t="str">
        <f t="shared" si="39"/>
        <v>Jutou Zhen (Băojī Shì)</v>
      </c>
    </row>
    <row r="588" spans="1:16" hidden="1" x14ac:dyDescent="0.25">
      <c r="A588" t="s">
        <v>128</v>
      </c>
      <c r="B588" t="str">
        <f t="shared" si="36"/>
        <v>Kăzi Zhèn</v>
      </c>
      <c r="C588" t="str">
        <f t="shared" si="37"/>
        <v>Kăzi Zhèn</v>
      </c>
      <c r="D588" t="s">
        <v>129</v>
      </c>
      <c r="E588" t="s">
        <v>7</v>
      </c>
      <c r="F588" t="str">
        <f>_xlfn.CONCAT(D588,", ",H588,", ",I588,", ","陕西省")</f>
        <v>卡子镇, 白河县, 安康市, 陕西省</v>
      </c>
      <c r="G588">
        <v>9689</v>
      </c>
      <c r="H588" t="s">
        <v>3033</v>
      </c>
      <c r="I588" t="s">
        <v>3031</v>
      </c>
      <c r="J588">
        <f>VLOOKUP(F588,[1]!china_towns_second__2[[Column1]:[Y]],3,FALSE)</f>
        <v>32.622058432525101</v>
      </c>
      <c r="K588">
        <f>VLOOKUP(F588,[1]!china_towns_second__2[[Column1]:[Y]],2,FALSE)</f>
        <v>110.02409849999999</v>
      </c>
      <c r="L588" t="s">
        <v>4709</v>
      </c>
      <c r="M588" t="str">
        <f>VLOOKUP(H588,CHOOSE({1,2},Table11[Native],Table11[Name]),2,0)</f>
        <v>Báihé Xiàn</v>
      </c>
      <c r="N588" s="13" t="str">
        <f>VLOOKUP(I588,CHOOSE({1,2},Table11[Native],Table11[Name]),2,0)</f>
        <v>Ānkāng Shì</v>
      </c>
      <c r="O588" s="13" t="str">
        <f t="shared" si="38"/>
        <v>Kazi Zhen (Ānkāng Shì)</v>
      </c>
      <c r="P588" s="13" t="str">
        <f t="shared" si="39"/>
        <v>Kazi Zhen (Ānkāng Shì)</v>
      </c>
    </row>
    <row r="589" spans="1:16" hidden="1" x14ac:dyDescent="0.25">
      <c r="A589" t="s">
        <v>2786</v>
      </c>
      <c r="B589" t="str">
        <f t="shared" si="36"/>
        <v>Kēng Zhèn [incl. Dàfósì Xiāng]</v>
      </c>
      <c r="C589" t="str">
        <f t="shared" si="37"/>
        <v>Kēng Zhèn [incl. Dàfósì Xiāng]</v>
      </c>
      <c r="D589" t="s">
        <v>2787</v>
      </c>
      <c r="E589" t="s">
        <v>7</v>
      </c>
      <c r="F589" t="str">
        <f>_xlfn.CONCAT(D589,", ",H589,", ",I589,", ","陕西省")</f>
        <v>坑镇, 佳县, 榆林市, 陕西省</v>
      </c>
      <c r="G589">
        <v>19357</v>
      </c>
      <c r="H589" t="s">
        <v>3152</v>
      </c>
      <c r="I589" t="s">
        <v>3148</v>
      </c>
      <c r="J589">
        <f>VLOOKUP(F589,[1]!china_towns_second__2[[Column1]:[Y]],3,FALSE)</f>
        <v>37.809937608105102</v>
      </c>
      <c r="K589">
        <f>VLOOKUP(F589,[1]!china_towns_second__2[[Column1]:[Y]],2,FALSE)</f>
        <v>110.59471019999999</v>
      </c>
      <c r="L589" t="s">
        <v>4710</v>
      </c>
      <c r="M589" t="str">
        <f>VLOOKUP(H589,CHOOSE({1,2},Table11[Native],Table11[Name]),2,0)</f>
        <v>Jiā Xiàn</v>
      </c>
      <c r="N589" s="13" t="str">
        <f>VLOOKUP(I589,CHOOSE({1,2},Table11[Native],Table11[Name]),2,0)</f>
        <v>Yúlín Shì</v>
      </c>
      <c r="O589" s="13" t="str">
        <f t="shared" si="38"/>
        <v>Keng Zhen [incl. Dafosi Xiang] (Yúlín Shì)</v>
      </c>
      <c r="P589" s="13" t="str">
        <f t="shared" si="39"/>
        <v>Keng Zhen [incl. Dafosi Xiang] (Yúlín Shì)</v>
      </c>
    </row>
    <row r="590" spans="1:16" hidden="1" x14ac:dyDescent="0.25">
      <c r="A590" t="s">
        <v>1794</v>
      </c>
      <c r="B590" t="str">
        <f t="shared" si="36"/>
        <v>Kŏu Zhèn</v>
      </c>
      <c r="C590" t="str">
        <f t="shared" si="37"/>
        <v>Kŏu Zhèn</v>
      </c>
      <c r="D590" t="s">
        <v>1795</v>
      </c>
      <c r="E590" t="s">
        <v>7</v>
      </c>
      <c r="F590" t="str">
        <f>_xlfn.CONCAT(D590,", ",H590,", ",I590,", ","陕西省")</f>
        <v>口镇, 泾阳县, 咸阳市, 陕西省</v>
      </c>
      <c r="G590">
        <v>22814</v>
      </c>
      <c r="H590" t="s">
        <v>3121</v>
      </c>
      <c r="I590" t="s">
        <v>3117</v>
      </c>
      <c r="J590">
        <f>VLOOKUP(F590,[1]!china_towns_second__2[[Column1]:[Y]],3,FALSE)</f>
        <v>34.684151201873</v>
      </c>
      <c r="K590">
        <f>VLOOKUP(F590,[1]!china_towns_second__2[[Column1]:[Y]],2,FALSE)</f>
        <v>108.73074149999999</v>
      </c>
      <c r="L590" t="s">
        <v>4711</v>
      </c>
      <c r="M590" t="str">
        <f>VLOOKUP(H590,CHOOSE({1,2},Table11[Native],Table11[Name]),2,0)</f>
        <v>Jīngyáng Xiàn</v>
      </c>
      <c r="N590" s="13" t="str">
        <f>VLOOKUP(I590,CHOOSE({1,2},Table11[Native],Table11[Name]),2,0)</f>
        <v>Xiányáng Shì</v>
      </c>
      <c r="O590" s="13" t="str">
        <f t="shared" si="38"/>
        <v>Kou Zhen (Xiányáng Shì)</v>
      </c>
      <c r="P590" s="13" t="str">
        <f t="shared" si="39"/>
        <v>Kou Zhen (Xiányáng Shì)</v>
      </c>
    </row>
    <row r="591" spans="1:16" hidden="1" x14ac:dyDescent="0.25">
      <c r="A591" t="s">
        <v>473</v>
      </c>
      <c r="B591" t="str">
        <f t="shared" si="36"/>
        <v>Kòujiāhé Xiāng</v>
      </c>
      <c r="C591" t="str">
        <f t="shared" si="37"/>
        <v>Kòujiāhé Xiāng</v>
      </c>
      <c r="D591" t="s">
        <v>474</v>
      </c>
      <c r="E591" t="s">
        <v>11</v>
      </c>
      <c r="F591" t="str">
        <f>_xlfn.CONCAT(D591,", ",H591,", ",I591,", ","陕西省")</f>
        <v>寇家河乡, 千阳县, 宝鸡市, 陕西省</v>
      </c>
      <c r="G591">
        <v>10436</v>
      </c>
      <c r="H591" t="s">
        <v>3054</v>
      </c>
      <c r="I591" t="s">
        <v>3045</v>
      </c>
      <c r="J591" t="e">
        <f>VLOOKUP(F591,[1]!china_towns_second__2[[Column1]:[Y]],3,FALSE)</f>
        <v>#N/A</v>
      </c>
      <c r="K591" t="e">
        <f>VLOOKUP(F591,[1]!china_towns_second__2[[Column1]:[Y]],2,FALSE)</f>
        <v>#N/A</v>
      </c>
      <c r="L591" t="s">
        <v>4712</v>
      </c>
      <c r="M591" t="str">
        <f>VLOOKUP(H591,CHOOSE({1,2},Table11[Native],Table11[Name]),2,0)</f>
        <v>Qiānyáng Xiàn</v>
      </c>
      <c r="N591" s="13" t="str">
        <f>VLOOKUP(I591,CHOOSE({1,2},Table11[Native],Table11[Name]),2,0)</f>
        <v>Băojī Shì</v>
      </c>
      <c r="O591" s="13" t="str">
        <f t="shared" si="38"/>
        <v>Koujiahe Xiang (Băojī Shì)</v>
      </c>
      <c r="P591" s="13" t="str">
        <f t="shared" si="39"/>
        <v>Koujiahe Xiang (Băojī Shì)</v>
      </c>
    </row>
    <row r="592" spans="1:16" hidden="1" x14ac:dyDescent="0.25">
      <c r="A592" t="s">
        <v>2788</v>
      </c>
      <c r="B592" t="str">
        <f t="shared" si="36"/>
        <v>Kòujiāyuán Zhèn</v>
      </c>
      <c r="C592" t="str">
        <f t="shared" si="37"/>
        <v>Kòujiāyuán Zhèn</v>
      </c>
      <c r="D592" t="s">
        <v>2789</v>
      </c>
      <c r="E592" t="s">
        <v>7</v>
      </c>
      <c r="F592" t="str">
        <f>_xlfn.CONCAT(D592,", ",H592,", ",I592,", ","陕西省")</f>
        <v>寇家塬镇, 吴堡县, 榆林市, 陕西省</v>
      </c>
      <c r="G592">
        <v>7665</v>
      </c>
      <c r="H592" t="s">
        <v>3158</v>
      </c>
      <c r="I592" t="s">
        <v>3148</v>
      </c>
      <c r="J592">
        <f>VLOOKUP(F592,[1]!china_towns_second__2[[Column1]:[Y]],3,FALSE)</f>
        <v>37.551350940240503</v>
      </c>
      <c r="K592">
        <f>VLOOKUP(F592,[1]!china_towns_second__2[[Column1]:[Y]],2,FALSE)</f>
        <v>110.72246699999999</v>
      </c>
      <c r="L592" t="s">
        <v>4713</v>
      </c>
      <c r="M592" t="str">
        <f>VLOOKUP(H592,CHOOSE({1,2},Table11[Native],Table11[Name]),2,0)</f>
        <v>Wúbǔ Xiàn</v>
      </c>
      <c r="N592" s="13" t="str">
        <f>VLOOKUP(I592,CHOOSE({1,2},Table11[Native],Table11[Name]),2,0)</f>
        <v>Yúlín Shì</v>
      </c>
      <c r="O592" s="13" t="str">
        <f t="shared" si="38"/>
        <v>Koujiayuan Zhen (Yúlín Shì)</v>
      </c>
      <c r="P592" s="13" t="str">
        <f t="shared" si="39"/>
        <v>Koujiayuan Zhen (Yúlín Shì)</v>
      </c>
    </row>
    <row r="593" spans="1:16" hidden="1" x14ac:dyDescent="0.25">
      <c r="A593" t="s">
        <v>790</v>
      </c>
      <c r="B593" t="str">
        <f t="shared" si="36"/>
        <v>Kuānchuān Xiāng</v>
      </c>
      <c r="C593" t="str">
        <f t="shared" si="37"/>
        <v>Kuānchuān Xiāng</v>
      </c>
      <c r="D593" t="s">
        <v>791</v>
      </c>
      <c r="E593" t="s">
        <v>11</v>
      </c>
      <c r="F593" t="str">
        <f>_xlfn.CONCAT(D593,", ",H593,", ",I593,", ","陕西省")</f>
        <v>宽川乡, 宁强县, 汉中市, 陕西省</v>
      </c>
      <c r="G593">
        <v>6137</v>
      </c>
      <c r="H593" t="s">
        <v>3067</v>
      </c>
      <c r="I593" t="s">
        <v>3059</v>
      </c>
      <c r="J593" t="e">
        <f>VLOOKUP(F593,[1]!china_towns_second__2[[Column1]:[Y]],3,FALSE)</f>
        <v>#N/A</v>
      </c>
      <c r="K593" t="e">
        <f>VLOOKUP(F593,[1]!china_towns_second__2[[Column1]:[Y]],2,FALSE)</f>
        <v>#N/A</v>
      </c>
      <c r="L593" t="s">
        <v>4714</v>
      </c>
      <c r="M593" t="str">
        <f>VLOOKUP(H593,CHOOSE({1,2},Table11[Native],Table11[Name]),2,0)</f>
        <v>Níngqiáng Xiàn</v>
      </c>
      <c r="N593" s="13" t="str">
        <f>VLOOKUP(I593,CHOOSE({1,2},Table11[Native],Table11[Name]),2,0)</f>
        <v>Hànzhōng Shì</v>
      </c>
      <c r="O593" s="13" t="str">
        <f t="shared" si="38"/>
        <v>Kuanchuan Xiang (Hànzhōng Shì)</v>
      </c>
      <c r="P593" s="13" t="str">
        <f t="shared" si="39"/>
        <v>Kuanchuan Xiang (Hànzhōng Shì)</v>
      </c>
    </row>
    <row r="594" spans="1:16" hidden="1" x14ac:dyDescent="0.25">
      <c r="A594" t="s">
        <v>2790</v>
      </c>
      <c r="B594" t="str">
        <f t="shared" si="36"/>
        <v>Kuānzhōu Zhèn [incl. Lètángbăo Xiāng]</v>
      </c>
      <c r="C594" t="str">
        <f t="shared" si="37"/>
        <v>Kuānzhōu Zhèn [incl. Lètángbăo Xiāng]</v>
      </c>
      <c r="D594" t="s">
        <v>2791</v>
      </c>
      <c r="E594" t="s">
        <v>7</v>
      </c>
      <c r="F594" t="str">
        <f>_xlfn.CONCAT(D594,", ",H594,", ",I594,", ","陕西省")</f>
        <v>宽州镇, 清涧县, 榆林市, 陕西省</v>
      </c>
      <c r="G594">
        <v>50519</v>
      </c>
      <c r="H594" t="s">
        <v>3155</v>
      </c>
      <c r="I594" t="s">
        <v>3148</v>
      </c>
      <c r="J594">
        <f>VLOOKUP(F594,[1]!china_towns_second__2[[Column1]:[Y]],3,FALSE)</f>
        <v>37.151551916558901</v>
      </c>
      <c r="K594">
        <f>VLOOKUP(F594,[1]!china_towns_second__2[[Column1]:[Y]],2,FALSE)</f>
        <v>110.13053069999999</v>
      </c>
      <c r="L594" t="s">
        <v>4715</v>
      </c>
      <c r="M594" t="str">
        <f>VLOOKUP(H594,CHOOSE({1,2},Table11[Native],Table11[Name]),2,0)</f>
        <v>Qīngjiàn Xiàn</v>
      </c>
      <c r="N594" s="13" t="str">
        <f>VLOOKUP(I594,CHOOSE({1,2},Table11[Native],Table11[Name]),2,0)</f>
        <v>Yúlín Shì</v>
      </c>
      <c r="O594" s="13" t="str">
        <f t="shared" si="38"/>
        <v>Kuanzhou Zhen [incl. Letangbao Xiang] (Yúlín Shì)</v>
      </c>
      <c r="P594" s="13" t="str">
        <f t="shared" si="39"/>
        <v>Kuanzhou Zhen [incl. Letangbao Xiang] (Yúlín Shì)</v>
      </c>
    </row>
    <row r="595" spans="1:16" hidden="1" x14ac:dyDescent="0.25">
      <c r="A595" t="s">
        <v>1315</v>
      </c>
      <c r="B595" t="str">
        <f t="shared" si="36"/>
        <v>Kūquán Zhèn</v>
      </c>
      <c r="C595" t="str">
        <f t="shared" si="37"/>
        <v>Kūquán Zhèn</v>
      </c>
      <c r="D595" t="s">
        <v>1316</v>
      </c>
      <c r="E595" t="s">
        <v>7</v>
      </c>
      <c r="F595" t="str">
        <f>_xlfn.CONCAT(D595,", ",H595,", ",I595,", ","陕西省")</f>
        <v>哭泉镇, 宜君县, 铜川市, 陕西省</v>
      </c>
      <c r="G595">
        <v>4579</v>
      </c>
      <c r="H595" t="s">
        <v>3084</v>
      </c>
      <c r="I595" t="s">
        <v>3081</v>
      </c>
      <c r="J595">
        <f>VLOOKUP(F595,[1]!china_towns_second__2[[Column1]:[Y]],3,FALSE)</f>
        <v>35.292568824902801</v>
      </c>
      <c r="K595">
        <f>VLOOKUP(F595,[1]!china_towns_second__2[[Column1]:[Y]],2,FALSE)</f>
        <v>109.0878017</v>
      </c>
      <c r="L595" t="s">
        <v>4716</v>
      </c>
      <c r="M595" t="str">
        <f>VLOOKUP(H595,CHOOSE({1,2},Table11[Native],Table11[Name]),2,0)</f>
        <v>Yíjūn Xiàn</v>
      </c>
      <c r="N595" s="13" t="str">
        <f>VLOOKUP(I595,CHOOSE({1,2},Table11[Native],Table11[Name]),2,0)</f>
        <v>Tóngchuān Shì</v>
      </c>
      <c r="O595" s="13" t="str">
        <f t="shared" si="38"/>
        <v>Kuquan Zhen (Tóngchuān Shì)</v>
      </c>
      <c r="P595" s="13" t="str">
        <f t="shared" si="39"/>
        <v>Kuquan Zhen (Tóngchuān Shì)</v>
      </c>
    </row>
    <row r="596" spans="1:16" hidden="1" x14ac:dyDescent="0.25">
      <c r="A596" t="s">
        <v>2792</v>
      </c>
      <c r="B596" t="str">
        <f t="shared" si="36"/>
        <v>Lángānbăo Zhèn</v>
      </c>
      <c r="C596" t="str">
        <f t="shared" si="37"/>
        <v>Lángānbăo Zhèn</v>
      </c>
      <c r="D596" t="s">
        <v>2793</v>
      </c>
      <c r="E596" t="s">
        <v>7</v>
      </c>
      <c r="F596" t="str">
        <f>_xlfn.CONCAT(D596,", ",H596,", ",I596,", ","陕西省")</f>
        <v>栏杆堡镇, 神木市, 榆林市, 陕西省</v>
      </c>
      <c r="G596">
        <v>4157</v>
      </c>
      <c r="H596" t="s">
        <v>3156</v>
      </c>
      <c r="I596" t="s">
        <v>3148</v>
      </c>
      <c r="J596">
        <f>VLOOKUP(F596,[1]!china_towns_second__2[[Column1]:[Y]],3,FALSE)</f>
        <v>38.799034768019197</v>
      </c>
      <c r="K596">
        <f>VLOOKUP(F596,[1]!china_towns_second__2[[Column1]:[Y]],2,FALSE)</f>
        <v>110.706108</v>
      </c>
      <c r="L596" t="s">
        <v>4717</v>
      </c>
      <c r="M596" t="str">
        <f>VLOOKUP(H596,CHOOSE({1,2},Table11[Native],Table11[Name]),2,0)</f>
        <v>Shénmù Shì</v>
      </c>
      <c r="N596" s="13" t="str">
        <f>VLOOKUP(I596,CHOOSE({1,2},Table11[Native],Table11[Name]),2,0)</f>
        <v>Yúlín Shì</v>
      </c>
      <c r="O596" s="13" t="str">
        <f t="shared" si="38"/>
        <v>Langanbao Zhen (Yúlín Shì)</v>
      </c>
      <c r="P596" s="13" t="str">
        <f t="shared" si="39"/>
        <v>Langanbao Zhen (Yúlín Shì)</v>
      </c>
    </row>
    <row r="597" spans="1:16" hidden="1" x14ac:dyDescent="0.25">
      <c r="A597" t="s">
        <v>2118</v>
      </c>
      <c r="B597" t="str">
        <f t="shared" si="36"/>
        <v>Lánguān Jiēdào</v>
      </c>
      <c r="C597" t="str">
        <f t="shared" si="37"/>
        <v>Lánguān Jiēdào</v>
      </c>
      <c r="D597" t="s">
        <v>2119</v>
      </c>
      <c r="E597" t="s">
        <v>113</v>
      </c>
      <c r="F597" t="str">
        <f>_xlfn.CONCAT(D597,", ",H597,", ",I597,", ","陕西省")</f>
        <v>蓝关街道, 蓝田县, 西安市, 陕西省</v>
      </c>
      <c r="G597">
        <v>73836</v>
      </c>
      <c r="H597" t="s">
        <v>3108</v>
      </c>
      <c r="I597" t="s">
        <v>3102</v>
      </c>
      <c r="J597" t="e">
        <f>VLOOKUP(F597,[1]!china_towns_second__2[[Column1]:[Y]],3,FALSE)</f>
        <v>#N/A</v>
      </c>
      <c r="K597" t="e">
        <f>VLOOKUP(F597,[1]!china_towns_second__2[[Column1]:[Y]],2,FALSE)</f>
        <v>#N/A</v>
      </c>
      <c r="L597" t="s">
        <v>4718</v>
      </c>
      <c r="M597" t="str">
        <f>VLOOKUP(H597,CHOOSE({1,2},Table11[Native],Table11[Name]),2,0)</f>
        <v>Lántián Xiàn</v>
      </c>
      <c r="N597" s="13" t="str">
        <f>VLOOKUP(I597,CHOOSE({1,2},Table11[Native],Table11[Name]),2,0)</f>
        <v>Xī'ān Shì</v>
      </c>
      <c r="O597" s="13" t="str">
        <f t="shared" si="38"/>
        <v>Languan Jiedao (Xī'ān Shì)</v>
      </c>
      <c r="P597" s="13" t="str">
        <f t="shared" si="39"/>
        <v>Languan Jiedao (Xī'ān Shì)</v>
      </c>
    </row>
    <row r="598" spans="1:16" hidden="1" x14ac:dyDescent="0.25">
      <c r="A598" t="s">
        <v>2120</v>
      </c>
      <c r="B598" t="str">
        <f t="shared" si="36"/>
        <v>Lánqiáo Zhèn</v>
      </c>
      <c r="C598" t="str">
        <f t="shared" si="37"/>
        <v>Lánqiáo Zhèn</v>
      </c>
      <c r="D598" t="s">
        <v>2121</v>
      </c>
      <c r="E598" t="s">
        <v>7</v>
      </c>
      <c r="F598" t="str">
        <f>_xlfn.CONCAT(D598,", ",H598,", ",I598,", ","陕西省")</f>
        <v>蓝桥镇, 蓝田县, 西安市, 陕西省</v>
      </c>
      <c r="G598">
        <v>8991</v>
      </c>
      <c r="H598" t="s">
        <v>3108</v>
      </c>
      <c r="I598" t="s">
        <v>3102</v>
      </c>
      <c r="J598">
        <f>VLOOKUP(F598,[1]!china_towns_second__2[[Column1]:[Y]],3,FALSE)</f>
        <v>34.054025540772003</v>
      </c>
      <c r="K598">
        <f>VLOOKUP(F598,[1]!china_towns_second__2[[Column1]:[Y]],2,FALSE)</f>
        <v>109.4998946</v>
      </c>
      <c r="L598" t="s">
        <v>4719</v>
      </c>
      <c r="M598" t="str">
        <f>VLOOKUP(H598,CHOOSE({1,2},Table11[Native],Table11[Name]),2,0)</f>
        <v>Lántián Xiàn</v>
      </c>
      <c r="N598" s="13" t="str">
        <f>VLOOKUP(I598,CHOOSE({1,2},Table11[Native],Table11[Name]),2,0)</f>
        <v>Xī'ān Shì</v>
      </c>
      <c r="O598" s="13" t="str">
        <f t="shared" si="38"/>
        <v>Lanqiao Zhen (Xī'ān Shì)</v>
      </c>
      <c r="P598" s="13" t="str">
        <f t="shared" si="39"/>
        <v>Lanqiao Zhen (Xī'ān Shì)</v>
      </c>
    </row>
    <row r="599" spans="1:16" hidden="1" x14ac:dyDescent="0.25">
      <c r="A599" t="s">
        <v>130</v>
      </c>
      <c r="B599" t="str">
        <f t="shared" si="36"/>
        <v>Lăochéng Jiēdào</v>
      </c>
      <c r="C599" t="str">
        <f t="shared" si="37"/>
        <v>Lăochéng Jiēdào</v>
      </c>
      <c r="D599" t="s">
        <v>131</v>
      </c>
      <c r="E599" t="s">
        <v>113</v>
      </c>
      <c r="F599" t="str">
        <f>_xlfn.CONCAT(D599,", ",H599,", ",I599,", ","陕西省")</f>
        <v>老城街道, 汉滨区, 安康市, 陕西省</v>
      </c>
      <c r="G599">
        <v>41388</v>
      </c>
      <c r="H599" t="s">
        <v>3035</v>
      </c>
      <c r="I599" t="s">
        <v>3031</v>
      </c>
      <c r="J599">
        <f>VLOOKUP(F599,[1]!china_towns_second__2[[Column1]:[Y]],3,FALSE)</f>
        <v>32.697858162311299</v>
      </c>
      <c r="K599">
        <f>VLOOKUP(F599,[1]!china_towns_second__2[[Column1]:[Y]],2,FALSE)</f>
        <v>109.0199216</v>
      </c>
      <c r="L599" t="s">
        <v>4720</v>
      </c>
      <c r="M599" t="str">
        <f>VLOOKUP(H599,CHOOSE({1,2},Table11[Native],Table11[Name]),2,0)</f>
        <v>Hànbīn Qū</v>
      </c>
      <c r="N599" s="13" t="str">
        <f>VLOOKUP(I599,CHOOSE({1,2},Table11[Native],Table11[Name]),2,0)</f>
        <v>Ānkāng Shì</v>
      </c>
      <c r="O599" s="13" t="str">
        <f t="shared" si="38"/>
        <v>Laocheng Jiedao (Ānkāng Shì)</v>
      </c>
      <c r="P599" s="13" t="str">
        <f t="shared" si="39"/>
        <v>Laocheng Jiedao (Ānkāng Shì)</v>
      </c>
    </row>
    <row r="600" spans="1:16" hidden="1" x14ac:dyDescent="0.25">
      <c r="A600" t="s">
        <v>792</v>
      </c>
      <c r="B600" t="str">
        <f t="shared" si="36"/>
        <v>Lăodàosì Zhèn [incl. Chánglín Zhèn]</v>
      </c>
      <c r="C600" t="str">
        <f t="shared" si="37"/>
        <v>Lăodàosì Zhèn [incl. Chánglín Zhèn]</v>
      </c>
      <c r="D600" t="s">
        <v>793</v>
      </c>
      <c r="E600" t="s">
        <v>7</v>
      </c>
      <c r="F600" t="str">
        <f>_xlfn.CONCAT(D600,", ",H600,", ",I600,", ","陕西省")</f>
        <v>老道寺镇, 勉县, 汉中市, 陕西省</v>
      </c>
      <c r="G600">
        <v>34121</v>
      </c>
      <c r="H600" t="s">
        <v>3065</v>
      </c>
      <c r="I600" t="s">
        <v>3059</v>
      </c>
      <c r="J600">
        <f>VLOOKUP(F600,[1]!china_towns_second__2[[Column1]:[Y]],3,FALSE)</f>
        <v>33.190909296782898</v>
      </c>
      <c r="K600">
        <f>VLOOKUP(F600,[1]!china_towns_second__2[[Column1]:[Y]],2,FALSE)</f>
        <v>106.88339240000001</v>
      </c>
      <c r="L600" t="s">
        <v>4721</v>
      </c>
      <c r="M600" t="str">
        <f>VLOOKUP(H600,CHOOSE({1,2},Table11[Native],Table11[Name]),2,0)</f>
        <v>Miăn Xiàn</v>
      </c>
      <c r="N600" s="13" t="str">
        <f>VLOOKUP(I600,CHOOSE({1,2},Table11[Native],Table11[Name]),2,0)</f>
        <v>Hànzhōng Shì</v>
      </c>
      <c r="O600" s="13" t="str">
        <f t="shared" si="38"/>
        <v>Laodaosi Zhen [incl. Changlin Zhen] (Hànzhōng Shì)</v>
      </c>
      <c r="P600" s="13" t="str">
        <f t="shared" si="39"/>
        <v>Laodaosi Zhen [incl. Changlin Zhen] (Hànzhōng Shì)</v>
      </c>
    </row>
    <row r="601" spans="1:16" hidden="1" x14ac:dyDescent="0.25">
      <c r="A601" t="s">
        <v>2122</v>
      </c>
      <c r="B601" t="str">
        <f t="shared" si="36"/>
        <v>Làodiàn Zhèn</v>
      </c>
      <c r="C601" t="str">
        <f t="shared" si="37"/>
        <v>Làodiàn Zhèn</v>
      </c>
      <c r="D601" t="s">
        <v>2123</v>
      </c>
      <c r="E601" t="s">
        <v>7</v>
      </c>
      <c r="F601" t="str">
        <f>_xlfn.CONCAT(D601,", ",H601,", ",I601,", ","陕西省")</f>
        <v>涝店镇, 鄠邑区, 西安市, 陕西省</v>
      </c>
      <c r="G601">
        <v>32346</v>
      </c>
      <c r="H601" t="s">
        <v>3107</v>
      </c>
      <c r="I601" t="s">
        <v>3102</v>
      </c>
      <c r="J601">
        <f>VLOOKUP(F601,[1]!china_towns_second__2[[Column1]:[Y]],3,FALSE)</f>
        <v>34.193472854346702</v>
      </c>
      <c r="K601">
        <f>VLOOKUP(F601,[1]!china_towns_second__2[[Column1]:[Y]],2,FALSE)</f>
        <v>108.54921059999999</v>
      </c>
      <c r="L601" t="s">
        <v>4722</v>
      </c>
      <c r="M601" t="str">
        <f>VLOOKUP(H601,CHOOSE({1,2},Table11[Native],Table11[Name]),2,0)</f>
        <v>Hùyì Qū</v>
      </c>
      <c r="N601" s="13" t="str">
        <f>VLOOKUP(I601,CHOOSE({1,2},Table11[Native],Table11[Name]),2,0)</f>
        <v>Xī'ān Shì</v>
      </c>
      <c r="O601" s="13" t="str">
        <f t="shared" si="38"/>
        <v>Laodian Zhen (Xī'ān Shì)</v>
      </c>
      <c r="P601" s="13" t="str">
        <f t="shared" si="39"/>
        <v>Laodian Zhen (Xī'ān Shì)</v>
      </c>
    </row>
    <row r="602" spans="1:16" hidden="1" x14ac:dyDescent="0.25">
      <c r="A602" t="s">
        <v>2794</v>
      </c>
      <c r="B602" t="str">
        <f t="shared" si="36"/>
        <v>Lăogāochuān Zhèn</v>
      </c>
      <c r="C602" t="str">
        <f t="shared" si="37"/>
        <v>Lăogāochuān Zhèn</v>
      </c>
      <c r="D602" t="s">
        <v>2795</v>
      </c>
      <c r="E602" t="s">
        <v>7</v>
      </c>
      <c r="F602" t="str">
        <f>_xlfn.CONCAT(D602,", ",H602,", ",I602,", ","陕西省")</f>
        <v>老高川镇, 府谷县, 榆林市, 陕西省</v>
      </c>
      <c r="G602">
        <v>14909</v>
      </c>
      <c r="H602" t="s">
        <v>3150</v>
      </c>
      <c r="I602" t="s">
        <v>3148</v>
      </c>
      <c r="J602">
        <f>VLOOKUP(F602,[1]!china_towns_second__2[[Column1]:[Y]],3,FALSE)</f>
        <v>39.188619611842398</v>
      </c>
      <c r="K602">
        <f>VLOOKUP(F602,[1]!china_towns_second__2[[Column1]:[Y]],2,FALSE)</f>
        <v>110.550273</v>
      </c>
      <c r="L602" t="s">
        <v>4723</v>
      </c>
      <c r="M602" t="str">
        <f>VLOOKUP(H602,CHOOSE({1,2},Table11[Native],Table11[Name]),2,0)</f>
        <v>Fŭgŭ Xiàn</v>
      </c>
      <c r="N602" s="13" t="str">
        <f>VLOOKUP(I602,CHOOSE({1,2},Table11[Native],Table11[Name]),2,0)</f>
        <v>Yúlín Shì</v>
      </c>
      <c r="O602" s="13" t="str">
        <f t="shared" si="38"/>
        <v>Laogaochuan Zhen (Yúlín Shì)</v>
      </c>
      <c r="P602" s="13" t="str">
        <f t="shared" si="39"/>
        <v>Laogaochuan Zhen (Yúlín Shì)</v>
      </c>
    </row>
    <row r="603" spans="1:16" hidden="1" x14ac:dyDescent="0.25">
      <c r="A603" t="s">
        <v>794</v>
      </c>
      <c r="B603" t="str">
        <f t="shared" si="36"/>
        <v>Lăojūn Zhèn</v>
      </c>
      <c r="C603" t="str">
        <f t="shared" si="37"/>
        <v>Lăojūn Zhèn</v>
      </c>
      <c r="D603" t="s">
        <v>795</v>
      </c>
      <c r="E603" t="s">
        <v>7</v>
      </c>
      <c r="F603" t="str">
        <f>_xlfn.CONCAT(D603,", ",H603,", ",I603,", ","陕西省")</f>
        <v>老君镇, 汉台区, 汉中市, 陕西省</v>
      </c>
      <c r="G603">
        <v>26089</v>
      </c>
      <c r="H603" t="s">
        <v>3062</v>
      </c>
      <c r="I603" t="s">
        <v>3059</v>
      </c>
      <c r="J603">
        <f>VLOOKUP(F603,[1]!china_towns_second__2[[Column1]:[Y]],3,FALSE)</f>
        <v>33.1315562572901</v>
      </c>
      <c r="K603">
        <f>VLOOKUP(F603,[1]!china_towns_second__2[[Column1]:[Y]],2,FALSE)</f>
        <v>107.0552177</v>
      </c>
      <c r="L603" t="s">
        <v>4724</v>
      </c>
      <c r="M603" t="str">
        <f>VLOOKUP(H603,CHOOSE({1,2},Table11[Native],Table11[Name]),2,0)</f>
        <v>Hàntái Qū</v>
      </c>
      <c r="N603" s="13" t="str">
        <f>VLOOKUP(I603,CHOOSE({1,2},Table11[Native],Table11[Name]),2,0)</f>
        <v>Hànzhōng Shì</v>
      </c>
      <c r="O603" s="13" t="str">
        <f t="shared" si="38"/>
        <v>Laojun Zhen (Hànzhōng Shì)</v>
      </c>
      <c r="P603" s="13" t="str">
        <f t="shared" si="39"/>
        <v>Laojun Zhen (Hànzhōng Shì)</v>
      </c>
    </row>
    <row r="604" spans="1:16" hidden="1" x14ac:dyDescent="0.25">
      <c r="A604" t="s">
        <v>2796</v>
      </c>
      <c r="B604" t="str">
        <f t="shared" si="36"/>
        <v>Lăojūndiàn Zhèn</v>
      </c>
      <c r="C604" t="str">
        <f t="shared" si="37"/>
        <v>Lăojūndiàn Zhèn</v>
      </c>
      <c r="D604" t="s">
        <v>2797</v>
      </c>
      <c r="E604" t="s">
        <v>7</v>
      </c>
      <c r="F604" t="str">
        <f>_xlfn.CONCAT(D604,", ",H604,", ",I604,", ","陕西省")</f>
        <v>老君殿镇, 子洲县, 榆林市, 陕西省</v>
      </c>
      <c r="G604">
        <v>9403</v>
      </c>
      <c r="H604" t="s">
        <v>3160</v>
      </c>
      <c r="I604" t="s">
        <v>3148</v>
      </c>
      <c r="J604">
        <f>VLOOKUP(F604,[1]!china_towns_second__2[[Column1]:[Y]],3,FALSE)</f>
        <v>37.365792583892599</v>
      </c>
      <c r="K604">
        <f>VLOOKUP(F604,[1]!china_towns_second__2[[Column1]:[Y]],2,FALSE)</f>
        <v>109.9208438</v>
      </c>
      <c r="L604" t="s">
        <v>4725</v>
      </c>
      <c r="M604" t="str">
        <f>VLOOKUP(H604,CHOOSE({1,2},Table11[Native],Table11[Name]),2,0)</f>
        <v>Zizhōu Xiàn</v>
      </c>
      <c r="N604" s="13" t="str">
        <f>VLOOKUP(I604,CHOOSE({1,2},Table11[Native],Table11[Name]),2,0)</f>
        <v>Yúlín Shì</v>
      </c>
      <c r="O604" s="13" t="str">
        <f t="shared" si="38"/>
        <v>Laojundian Zhen (Yúlín Shì)</v>
      </c>
      <c r="P604" s="13" t="str">
        <f t="shared" si="39"/>
        <v>Laojundian Zhen (Yúlín Shì)</v>
      </c>
    </row>
    <row r="605" spans="1:16" hidden="1" x14ac:dyDescent="0.25">
      <c r="A605" t="s">
        <v>1512</v>
      </c>
      <c r="B605" t="str">
        <f t="shared" si="36"/>
        <v>Lăomiào Zhèn</v>
      </c>
      <c r="C605" t="str">
        <f t="shared" si="37"/>
        <v>Lăomiào Zhèn</v>
      </c>
      <c r="D605" t="s">
        <v>1513</v>
      </c>
      <c r="E605" t="s">
        <v>7</v>
      </c>
      <c r="F605" t="str">
        <f>_xlfn.CONCAT(D605,", ",H605,", ",I605,", ","陕西省")</f>
        <v>老庙镇, 富平县, 渭南市, 陕西省</v>
      </c>
      <c r="G605">
        <v>33657</v>
      </c>
      <c r="H605" t="s">
        <v>3091</v>
      </c>
      <c r="I605" t="s">
        <v>3087</v>
      </c>
      <c r="J605">
        <f>VLOOKUP(F605,[1]!china_towns_second__2[[Column1]:[Y]],3,FALSE)</f>
        <v>35.037779467102297</v>
      </c>
      <c r="K605">
        <f>VLOOKUP(F605,[1]!china_towns_second__2[[Column1]:[Y]],2,FALSE)</f>
        <v>109.37793120000001</v>
      </c>
      <c r="L605" t="s">
        <v>4726</v>
      </c>
      <c r="M605" t="str">
        <f>VLOOKUP(H605,CHOOSE({1,2},Table11[Native],Table11[Name]),2,0)</f>
        <v>Fùpíng Xiàn</v>
      </c>
      <c r="N605" s="13" t="str">
        <f>VLOOKUP(I605,CHOOSE({1,2},Table11[Native],Table11[Name]),2,0)</f>
        <v>Wèinán Shì</v>
      </c>
      <c r="O605" s="13" t="str">
        <f t="shared" si="38"/>
        <v>Laomiao Zhen (Wèinán Shì)</v>
      </c>
      <c r="P605" s="13" t="str">
        <f t="shared" si="39"/>
        <v>Laomiao Zhen (Wèinán Shì)</v>
      </c>
    </row>
    <row r="606" spans="1:16" hidden="1" x14ac:dyDescent="0.25">
      <c r="A606" t="s">
        <v>2440</v>
      </c>
      <c r="B606" t="str">
        <f t="shared" si="36"/>
        <v>Lăomiào Zhèn [incl. Yángshū Xiāng]</v>
      </c>
      <c r="C606" t="str">
        <f t="shared" si="37"/>
        <v>Lăomiào Zhèn [incl. Yángshū Xiāng]</v>
      </c>
      <c r="D606" t="s">
        <v>1513</v>
      </c>
      <c r="E606" t="s">
        <v>7</v>
      </c>
      <c r="F606" t="str">
        <f>_xlfn.CONCAT(D606,", ",H606,", ",I606,", ","陕西省")</f>
        <v>老庙镇, 洛川县, 延安市, 陕西省</v>
      </c>
      <c r="G606">
        <v>28019</v>
      </c>
      <c r="H606" t="s">
        <v>3140</v>
      </c>
      <c r="I606" t="s">
        <v>3133</v>
      </c>
      <c r="J606">
        <f>VLOOKUP(F606,[1]!china_towns_second__2[[Column1]:[Y]],3,FALSE)</f>
        <v>35.650669605718903</v>
      </c>
      <c r="K606">
        <f>VLOOKUP(F606,[1]!china_towns_second__2[[Column1]:[Y]],2,FALSE)</f>
        <v>109.4936785</v>
      </c>
      <c r="L606" t="s">
        <v>4727</v>
      </c>
      <c r="M606" t="str">
        <f>VLOOKUP(H606,CHOOSE({1,2},Table11[Native],Table11[Name]),2,0)</f>
        <v>Luòchuān Xiàn</v>
      </c>
      <c r="N606" s="13" t="str">
        <f>VLOOKUP(I606,CHOOSE({1,2},Table11[Native],Table11[Name]),2,0)</f>
        <v>Yán'ān Shì</v>
      </c>
      <c r="O606" s="13" t="str">
        <f t="shared" si="38"/>
        <v>Laomiao Zhen [incl. Yangshu Xiang] (Yán'ān Shì)</v>
      </c>
      <c r="P606" s="13" t="str">
        <f t="shared" si="39"/>
        <v>Laomiao Zhen [incl. Yangshu Xiang] (Yán'ān Shì)</v>
      </c>
    </row>
    <row r="607" spans="1:16" hidden="1" x14ac:dyDescent="0.25">
      <c r="A607" t="s">
        <v>2441</v>
      </c>
      <c r="B607" t="str">
        <f t="shared" si="36"/>
        <v>Láoshān Xiāng</v>
      </c>
      <c r="C607" t="str">
        <f t="shared" si="37"/>
        <v>Láoshān Xiāng</v>
      </c>
      <c r="D607" t="s">
        <v>2442</v>
      </c>
      <c r="E607" t="s">
        <v>11</v>
      </c>
      <c r="F607" t="str">
        <f>_xlfn.CONCAT(D607,", ",H607,", ",I607,", ","陕西省")</f>
        <v>劳山乡, 甘泉县, 延安市, 陕西省</v>
      </c>
      <c r="G607">
        <v>4376</v>
      </c>
      <c r="H607" t="s">
        <v>3137</v>
      </c>
      <c r="I607" t="s">
        <v>3133</v>
      </c>
      <c r="J607" t="e">
        <f>VLOOKUP(F607,[1]!china_towns_second__2[[Column1]:[Y]],3,FALSE)</f>
        <v>#N/A</v>
      </c>
      <c r="K607" t="e">
        <f>VLOOKUP(F607,[1]!china_towns_second__2[[Column1]:[Y]],2,FALSE)</f>
        <v>#N/A</v>
      </c>
      <c r="L607" t="s">
        <v>4728</v>
      </c>
      <c r="M607" t="str">
        <f>VLOOKUP(H607,CHOOSE({1,2},Table11[Native],Table11[Name]),2,0)</f>
        <v>Gānquán Xiàn</v>
      </c>
      <c r="N607" s="13" t="str">
        <f>VLOOKUP(I607,CHOOSE({1,2},Table11[Native],Table11[Name]),2,0)</f>
        <v>Yán'ān Shì</v>
      </c>
      <c r="O607" s="13" t="str">
        <f t="shared" si="38"/>
        <v>Laoshan Xiang (Yán'ān Shì)</v>
      </c>
      <c r="P607" s="13" t="str">
        <f t="shared" si="39"/>
        <v>Laoshan Xiang (Yán'ān Shì)</v>
      </c>
    </row>
    <row r="608" spans="1:16" hidden="1" x14ac:dyDescent="0.25">
      <c r="A608" t="s">
        <v>132</v>
      </c>
      <c r="B608" t="str">
        <f t="shared" si="36"/>
        <v>Lăoxiàn Zhèn</v>
      </c>
      <c r="C608" t="str">
        <f t="shared" si="37"/>
        <v>Lăoxiàn Zhèn</v>
      </c>
      <c r="D608" t="s">
        <v>133</v>
      </c>
      <c r="E608" t="s">
        <v>7</v>
      </c>
      <c r="F608" t="str">
        <f>_xlfn.CONCAT(D608,", ",H608,", ",I608,", ","陕西省")</f>
        <v>老县镇, 平利县, 安康市, 陕西省</v>
      </c>
      <c r="G608">
        <v>14150</v>
      </c>
      <c r="H608" t="s">
        <v>3039</v>
      </c>
      <c r="I608" t="s">
        <v>3031</v>
      </c>
      <c r="J608">
        <f>VLOOKUP(F608,[1]!china_towns_second__2[[Column1]:[Y]],3,FALSE)</f>
        <v>32.546269648696402</v>
      </c>
      <c r="K608">
        <f>VLOOKUP(F608,[1]!china_towns_second__2[[Column1]:[Y]],2,FALSE)</f>
        <v>109.1780819</v>
      </c>
      <c r="L608" t="s">
        <v>4729</v>
      </c>
      <c r="M608" t="str">
        <f>VLOOKUP(H608,CHOOSE({1,2},Table11[Native],Table11[Name]),2,0)</f>
        <v>Pínglì Xiàn</v>
      </c>
      <c r="N608" s="13" t="str">
        <f>VLOOKUP(I608,CHOOSE({1,2},Table11[Native],Table11[Name]),2,0)</f>
        <v>Ānkāng Shì</v>
      </c>
      <c r="O608" s="13" t="str">
        <f t="shared" si="38"/>
        <v>Laoxian Zhen (Ānkāng Shì)</v>
      </c>
      <c r="P608" s="13" t="str">
        <f t="shared" si="39"/>
        <v>Laoxian Zhen (Ānkāng Shì)</v>
      </c>
    </row>
    <row r="609" spans="1:16" hidden="1" x14ac:dyDescent="0.25">
      <c r="A609" t="s">
        <v>796</v>
      </c>
      <c r="B609" t="str">
        <f t="shared" si="36"/>
        <v>Lăozhuāng Zhèn</v>
      </c>
      <c r="C609" t="str">
        <f t="shared" si="37"/>
        <v>Lăozhuāng Zhèn</v>
      </c>
      <c r="D609" t="s">
        <v>797</v>
      </c>
      <c r="E609" t="s">
        <v>7</v>
      </c>
      <c r="F609" t="str">
        <f>_xlfn.CONCAT(D609,", ",H609,", ",I609,", ","陕西省")</f>
        <v>老庄镇, 城固县, 汉中市, 陕西省</v>
      </c>
      <c r="G609">
        <v>28605</v>
      </c>
      <c r="H609" t="s">
        <v>3060</v>
      </c>
      <c r="I609" t="s">
        <v>3059</v>
      </c>
      <c r="J609">
        <f>VLOOKUP(F609,[1]!china_towns_second__2[[Column1]:[Y]],3,FALSE)</f>
        <v>33.288974420781301</v>
      </c>
      <c r="K609">
        <f>VLOOKUP(F609,[1]!china_towns_second__2[[Column1]:[Y]],2,FALSE)</f>
        <v>107.12255399999999</v>
      </c>
      <c r="L609" t="s">
        <v>4730</v>
      </c>
      <c r="M609" t="str">
        <f>VLOOKUP(H609,CHOOSE({1,2},Table11[Native],Table11[Name]),2,0)</f>
        <v>Chénggù Xiàn</v>
      </c>
      <c r="N609" s="13" t="str">
        <f>VLOOKUP(I609,CHOOSE({1,2},Table11[Native],Table11[Name]),2,0)</f>
        <v>Hànzhōng Shì</v>
      </c>
      <c r="O609" s="13" t="str">
        <f t="shared" si="38"/>
        <v>Laozhuang Zhen (Hànzhōng Shì)</v>
      </c>
      <c r="P609" s="13" t="str">
        <f t="shared" si="39"/>
        <v>Laozhuang Zhen (Hànzhōng Shì)</v>
      </c>
    </row>
    <row r="610" spans="1:16" hidden="1" x14ac:dyDescent="0.25">
      <c r="A610" t="s">
        <v>2443</v>
      </c>
      <c r="B610" t="str">
        <f t="shared" si="36"/>
        <v>Léichì Zhèn</v>
      </c>
      <c r="C610" t="str">
        <f t="shared" si="37"/>
        <v>Léichì Zhèn</v>
      </c>
      <c r="D610" t="s">
        <v>2444</v>
      </c>
      <c r="E610" t="s">
        <v>7</v>
      </c>
      <c r="F610" t="str">
        <f>_xlfn.CONCAT(D610,", ",H610,", ",I610,", ","陕西省")</f>
        <v>雷赤镇, 延长县, 延安市, 陕西省</v>
      </c>
      <c r="G610">
        <v>4978</v>
      </c>
      <c r="H610" t="s">
        <v>3142</v>
      </c>
      <c r="I610" t="s">
        <v>3133</v>
      </c>
      <c r="J610">
        <f>VLOOKUP(F610,[1]!china_towns_second__2[[Column1]:[Y]],3,FALSE)</f>
        <v>36.363012192568299</v>
      </c>
      <c r="K610">
        <f>VLOOKUP(F610,[1]!china_towns_second__2[[Column1]:[Y]],2,FALSE)</f>
        <v>110.3408026</v>
      </c>
      <c r="L610" t="s">
        <v>4731</v>
      </c>
      <c r="M610" t="str">
        <f>VLOOKUP(H610,CHOOSE({1,2},Table11[Native],Table11[Name]),2,0)</f>
        <v>Yáncháng Xiàn</v>
      </c>
      <c r="N610" s="13" t="str">
        <f>VLOOKUP(I610,CHOOSE({1,2},Table11[Native],Table11[Name]),2,0)</f>
        <v>Yán'ān Shì</v>
      </c>
      <c r="O610" s="13" t="str">
        <f t="shared" si="38"/>
        <v>Leichi Zhen (Yán'ān Shì)</v>
      </c>
      <c r="P610" s="13" t="str">
        <f t="shared" si="39"/>
        <v>Leichi Zhen (Yán'ān Shì)</v>
      </c>
    </row>
    <row r="611" spans="1:16" hidden="1" x14ac:dyDescent="0.25">
      <c r="A611" t="s">
        <v>1514</v>
      </c>
      <c r="B611" t="str">
        <f t="shared" si="36"/>
        <v>Léicūn Xiāng</v>
      </c>
      <c r="C611" t="str">
        <f t="shared" si="37"/>
        <v>Léicūn Xiāng</v>
      </c>
      <c r="D611" t="s">
        <v>1515</v>
      </c>
      <c r="E611" t="s">
        <v>11</v>
      </c>
      <c r="F611" t="str">
        <f>_xlfn.CONCAT(D611,", ",H611,", ",I611,", ","陕西省")</f>
        <v>雷村乡, 白水县, 渭南市, 陕西省</v>
      </c>
      <c r="G611">
        <v>14848</v>
      </c>
      <c r="H611" t="s">
        <v>3088</v>
      </c>
      <c r="I611" t="s">
        <v>3087</v>
      </c>
      <c r="J611" t="e">
        <f>VLOOKUP(F611,[1]!china_towns_second__2[[Column1]:[Y]],3,FALSE)</f>
        <v>#N/A</v>
      </c>
      <c r="K611" t="e">
        <f>VLOOKUP(F611,[1]!china_towns_second__2[[Column1]:[Y]],2,FALSE)</f>
        <v>#N/A</v>
      </c>
      <c r="L611" t="s">
        <v>4732</v>
      </c>
      <c r="M611" t="str">
        <f>VLOOKUP(H611,CHOOSE({1,2},Table11[Native],Table11[Name]),2,0)</f>
        <v>Báishuĭ Xiàn</v>
      </c>
      <c r="N611" s="13" t="str">
        <f>VLOOKUP(I611,CHOOSE({1,2},Table11[Native],Table11[Name]),2,0)</f>
        <v>Wèinán Shì</v>
      </c>
      <c r="O611" s="13" t="str">
        <f t="shared" si="38"/>
        <v>Leicun Xiang (Wèinán Shì)</v>
      </c>
      <c r="P611" s="13" t="str">
        <f t="shared" si="39"/>
        <v>Leicun Xiang (Wèinán Shì)</v>
      </c>
    </row>
    <row r="612" spans="1:16" hidden="1" x14ac:dyDescent="0.25">
      <c r="A612" t="s">
        <v>1516</v>
      </c>
      <c r="B612" t="str">
        <f t="shared" si="36"/>
        <v>Léijiāwā Xiāng</v>
      </c>
      <c r="C612" t="str">
        <f t="shared" si="37"/>
        <v>Léijiāwā Xiāng</v>
      </c>
      <c r="D612" t="s">
        <v>1517</v>
      </c>
      <c r="E612" t="s">
        <v>11</v>
      </c>
      <c r="F612" t="str">
        <f>_xlfn.CONCAT(D612,", ",H612,", ",I612,", ","陕西省")</f>
        <v>雷家洼乡, 澄城县, 渭南市, 陕西省</v>
      </c>
      <c r="G612">
        <v>16800</v>
      </c>
      <c r="H612" t="s">
        <v>3089</v>
      </c>
      <c r="I612" t="s">
        <v>3087</v>
      </c>
      <c r="J612" t="e">
        <f>VLOOKUP(F612,[1]!china_towns_second__2[[Column1]:[Y]],3,FALSE)</f>
        <v>#N/A</v>
      </c>
      <c r="K612" t="e">
        <f>VLOOKUP(F612,[1]!china_towns_second__2[[Column1]:[Y]],2,FALSE)</f>
        <v>#N/A</v>
      </c>
      <c r="L612" t="s">
        <v>4733</v>
      </c>
      <c r="M612" t="str">
        <f>VLOOKUP(H612,CHOOSE({1,2},Table11[Native],Table11[Name]),2,0)</f>
        <v>Chéngchéng Xiàn</v>
      </c>
      <c r="N612" s="13" t="str">
        <f>VLOOKUP(I612,CHOOSE({1,2},Table11[Native],Table11[Name]),2,0)</f>
        <v>Wèinán Shì</v>
      </c>
      <c r="O612" s="13" t="str">
        <f t="shared" si="38"/>
        <v>Leijiawa Xiang (Wèinán Shì)</v>
      </c>
      <c r="P612" s="13" t="str">
        <f t="shared" si="39"/>
        <v>Leijiawa Xiang (Wèinán Shì)</v>
      </c>
    </row>
    <row r="613" spans="1:16" hidden="1" x14ac:dyDescent="0.25">
      <c r="A613" t="s">
        <v>2798</v>
      </c>
      <c r="B613" t="str">
        <f t="shared" si="36"/>
        <v>Léilóngwān Zhèn</v>
      </c>
      <c r="C613" t="str">
        <f t="shared" si="37"/>
        <v>Léilóngwān Zhèn</v>
      </c>
      <c r="D613" t="s">
        <v>2799</v>
      </c>
      <c r="E613" t="s">
        <v>7</v>
      </c>
      <c r="F613" t="str">
        <f>_xlfn.CONCAT(D613,", ",H613,", ",I613,", ","陕西省")</f>
        <v>雷龙湾镇, 横山区, 榆林市, 陕西省</v>
      </c>
      <c r="G613">
        <v>7792</v>
      </c>
      <c r="H613" t="s">
        <v>3151</v>
      </c>
      <c r="I613" t="s">
        <v>3148</v>
      </c>
      <c r="J613">
        <f>VLOOKUP(F613,[1]!china_towns_second__2[[Column1]:[Y]],3,FALSE)</f>
        <v>37.979851339416101</v>
      </c>
      <c r="K613">
        <f>VLOOKUP(F613,[1]!china_towns_second__2[[Column1]:[Y]],2,FALSE)</f>
        <v>109.0928332</v>
      </c>
      <c r="L613" t="s">
        <v>4734</v>
      </c>
      <c r="M613" t="str">
        <f>VLOOKUP(H613,CHOOSE({1,2},Table11[Native],Table11[Name]),2,0)</f>
        <v>Héngshān Qū</v>
      </c>
      <c r="N613" s="13" t="str">
        <f>VLOOKUP(I613,CHOOSE({1,2},Table11[Native],Table11[Name]),2,0)</f>
        <v>Yúlín Shì</v>
      </c>
      <c r="O613" s="13" t="str">
        <f t="shared" si="38"/>
        <v>Leilongwan Zhen (Yúlín Shì)</v>
      </c>
      <c r="P613" s="13" t="str">
        <f t="shared" si="39"/>
        <v>Leilongwan Zhen (Yúlín Shì)</v>
      </c>
    </row>
    <row r="614" spans="1:16" hidden="1" x14ac:dyDescent="0.25">
      <c r="A614" t="s">
        <v>1518</v>
      </c>
      <c r="B614" t="str">
        <f t="shared" si="36"/>
        <v>Léiyá Zhèn</v>
      </c>
      <c r="C614" t="str">
        <f t="shared" si="37"/>
        <v>Léiyá Zhèn</v>
      </c>
      <c r="D614" t="s">
        <v>1519</v>
      </c>
      <c r="E614" t="s">
        <v>7</v>
      </c>
      <c r="F614" t="str">
        <f>_xlfn.CONCAT(D614,", ",H614,", ",I614,", ","陕西省")</f>
        <v>雷牙镇, 白水县, 渭南市, 陕西省</v>
      </c>
      <c r="G614">
        <v>11324</v>
      </c>
      <c r="H614" t="s">
        <v>3088</v>
      </c>
      <c r="I614" t="s">
        <v>3087</v>
      </c>
      <c r="J614">
        <f>VLOOKUP(F614,[1]!china_towns_second__2[[Column1]:[Y]],3,FALSE)</f>
        <v>35.244508630301397</v>
      </c>
      <c r="K614">
        <f>VLOOKUP(F614,[1]!china_towns_second__2[[Column1]:[Y]],2,FALSE)</f>
        <v>109.61941160000001</v>
      </c>
      <c r="L614" t="s">
        <v>4735</v>
      </c>
      <c r="M614" t="str">
        <f>VLOOKUP(H614,CHOOSE({1,2},Table11[Native],Table11[Name]),2,0)</f>
        <v>Báishuĭ Xiàn</v>
      </c>
      <c r="N614" s="13" t="str">
        <f>VLOOKUP(I614,CHOOSE({1,2},Table11[Native],Table11[Name]),2,0)</f>
        <v>Wèinán Shì</v>
      </c>
      <c r="O614" s="13" t="str">
        <f t="shared" si="38"/>
        <v>Leiya Zhen (Wèinán Shì)</v>
      </c>
      <c r="P614" s="13" t="str">
        <f t="shared" si="39"/>
        <v>Leiya Zhen (Wèinán Shì)</v>
      </c>
    </row>
    <row r="615" spans="1:16" hidden="1" x14ac:dyDescent="0.25">
      <c r="A615" t="s">
        <v>475</v>
      </c>
      <c r="B615" t="str">
        <f t="shared" si="36"/>
        <v>Lèngdĭxià Zhèn</v>
      </c>
      <c r="C615" t="str">
        <f t="shared" si="37"/>
        <v>Lèngdĭxià Zhèn</v>
      </c>
      <c r="D615" t="s">
        <v>476</v>
      </c>
      <c r="E615" t="s">
        <v>7</v>
      </c>
      <c r="F615" t="str">
        <f>_xlfn.CONCAT(D615,", ",H615,", ",I615,", ","陕西省")</f>
        <v>堎底下镇, 陇县, 宝鸡市, 陕西省</v>
      </c>
      <c r="G615">
        <v>14714</v>
      </c>
      <c r="H615" t="s">
        <v>3052</v>
      </c>
      <c r="I615" t="s">
        <v>3045</v>
      </c>
      <c r="J615">
        <f>VLOOKUP(F615,[1]!china_towns_second__2[[Column1]:[Y]],3,FALSE)</f>
        <v>34.8827274</v>
      </c>
      <c r="K615">
        <f>VLOOKUP(F615,[1]!china_towns_second__2[[Column1]:[Y]],2,FALSE)</f>
        <v>106.8161631</v>
      </c>
      <c r="L615" t="s">
        <v>4736</v>
      </c>
      <c r="M615" t="str">
        <f>VLOOKUP(H615,CHOOSE({1,2},Table11[Native],Table11[Name]),2,0)</f>
        <v>Lŏng Xiàn</v>
      </c>
      <c r="N615" s="13" t="str">
        <f>VLOOKUP(I615,CHOOSE({1,2},Table11[Native],Table11[Name]),2,0)</f>
        <v>Băojī Shì</v>
      </c>
      <c r="O615" s="13" t="str">
        <f t="shared" si="38"/>
        <v>Lengdixia Zhen (Băojī Shì)</v>
      </c>
      <c r="P615" s="13" t="str">
        <f t="shared" si="39"/>
        <v>Lengdixia Zhen (Băojī Shì)</v>
      </c>
    </row>
    <row r="616" spans="1:16" hidden="1" x14ac:dyDescent="0.25">
      <c r="A616" t="s">
        <v>134</v>
      </c>
      <c r="B616" t="str">
        <f t="shared" si="36"/>
        <v>Lĕngshuĭ Zhèn [incl. Xiăoshuāng Xiāng]</v>
      </c>
      <c r="C616" t="str">
        <f t="shared" si="37"/>
        <v>Lĕngshuĭ Zhèn [incl. Xiăoshuāng Xiāng]</v>
      </c>
      <c r="D616" t="s">
        <v>135</v>
      </c>
      <c r="E616" t="s">
        <v>7</v>
      </c>
      <c r="F616" t="str">
        <f>_xlfn.CONCAT(D616,", ",H616,", ",I616,", ","陕西省")</f>
        <v>冷水镇, 白河县, 安康市, 陕西省</v>
      </c>
      <c r="G616">
        <v>16172</v>
      </c>
      <c r="H616" t="s">
        <v>3033</v>
      </c>
      <c r="I616" t="s">
        <v>3031</v>
      </c>
      <c r="J616">
        <f>VLOOKUP(F616,[1]!china_towns_second__2[[Column1]:[Y]],3,FALSE)</f>
        <v>32.852922214357797</v>
      </c>
      <c r="K616">
        <f>VLOOKUP(F616,[1]!china_towns_second__2[[Column1]:[Y]],2,FALSE)</f>
        <v>109.8841259</v>
      </c>
      <c r="L616" t="s">
        <v>4737</v>
      </c>
      <c r="M616" t="str">
        <f>VLOOKUP(H616,CHOOSE({1,2},Table11[Native],Table11[Name]),2,0)</f>
        <v>Báihé Xiàn</v>
      </c>
      <c r="N616" s="13" t="str">
        <f>VLOOKUP(I616,CHOOSE({1,2},Table11[Native],Table11[Name]),2,0)</f>
        <v>Ānkāng Shì</v>
      </c>
      <c r="O616" s="13" t="str">
        <f t="shared" si="38"/>
        <v>Lengshui Zhen [incl. Xiaoshuang Xiang] (Ānkāng Shì)</v>
      </c>
      <c r="P616" s="13" t="str">
        <f t="shared" si="39"/>
        <v>Lengshui Zhen [incl. Xiaoshuang Xiang] (Ānkāng Shì)</v>
      </c>
    </row>
    <row r="617" spans="1:16" hidden="1" x14ac:dyDescent="0.25">
      <c r="A617" t="s">
        <v>798</v>
      </c>
      <c r="B617" t="str">
        <f t="shared" si="36"/>
        <v>Lèsùhé Zhèn</v>
      </c>
      <c r="C617" t="str">
        <f t="shared" si="37"/>
        <v>Lèsùhé Zhèn</v>
      </c>
      <c r="D617" t="s">
        <v>799</v>
      </c>
      <c r="E617" t="s">
        <v>7</v>
      </c>
      <c r="F617" t="str">
        <f>_xlfn.CONCAT(D617,", ",H617,", ",I617,", ","陕西省")</f>
        <v>乐素河镇, 略阳县, 汉中市, 陕西省</v>
      </c>
      <c r="G617">
        <v>6892</v>
      </c>
      <c r="H617" t="s">
        <v>3064</v>
      </c>
      <c r="I617" t="s">
        <v>3059</v>
      </c>
      <c r="J617">
        <f>VLOOKUP(F617,[1]!china_towns_second__2[[Column1]:[Y]],3,FALSE)</f>
        <v>33.194448976872401</v>
      </c>
      <c r="K617">
        <f>VLOOKUP(F617,[1]!china_towns_second__2[[Column1]:[Y]],2,FALSE)</f>
        <v>105.989868</v>
      </c>
      <c r="L617" t="s">
        <v>4738</v>
      </c>
      <c r="M617" t="str">
        <f>VLOOKUP(H617,CHOOSE({1,2},Table11[Native],Table11[Name]),2,0)</f>
        <v>Lüèyáng Xiàn</v>
      </c>
      <c r="N617" s="13" t="str">
        <f>VLOOKUP(I617,CHOOSE({1,2},Table11[Native],Table11[Name]),2,0)</f>
        <v>Hànzhōng Shì</v>
      </c>
      <c r="O617" s="13" t="str">
        <f t="shared" si="38"/>
        <v>Lesuhe Zhen (Hànzhōng Shì)</v>
      </c>
      <c r="P617" s="13" t="str">
        <f t="shared" si="39"/>
        <v>Lesuhe Zhen (Hànzhōng Shì)</v>
      </c>
    </row>
    <row r="618" spans="1:16" hidden="1" x14ac:dyDescent="0.25">
      <c r="A618" t="s">
        <v>2445</v>
      </c>
      <c r="B618" t="str">
        <f t="shared" si="36"/>
        <v>Liándāowān Zhèn</v>
      </c>
      <c r="C618" t="str">
        <f t="shared" si="37"/>
        <v>Liándāowān Zhèn</v>
      </c>
      <c r="D618" t="s">
        <v>2446</v>
      </c>
      <c r="E618" t="s">
        <v>7</v>
      </c>
      <c r="F618" t="str">
        <f>_xlfn.CONCAT(D618,", ",H618,", ",I618,", ","陕西省")</f>
        <v>镰刀湾镇, 安塞区, 延安市, 陕西省</v>
      </c>
      <c r="G618">
        <v>7591</v>
      </c>
      <c r="H618" t="s">
        <v>3134</v>
      </c>
      <c r="I618" t="s">
        <v>3133</v>
      </c>
      <c r="J618">
        <f>VLOOKUP(F618,[1]!china_towns_second__2[[Column1]:[Y]],3,FALSE)</f>
        <v>37.205612552143997</v>
      </c>
      <c r="K618">
        <f>VLOOKUP(F618,[1]!china_towns_second__2[[Column1]:[Y]],2,FALSE)</f>
        <v>108.9955076</v>
      </c>
      <c r="L618" t="s">
        <v>4739</v>
      </c>
      <c r="M618" t="str">
        <f>VLOOKUP(H618,CHOOSE({1,2},Table11[Native],Table11[Name]),2,0)</f>
        <v>Ānsài Qū</v>
      </c>
      <c r="N618" s="13" t="str">
        <f>VLOOKUP(I618,CHOOSE({1,2},Table11[Native],Table11[Name]),2,0)</f>
        <v>Yán'ān Shì</v>
      </c>
      <c r="O618" s="13" t="str">
        <f t="shared" si="38"/>
        <v>Liandaowan Zhen (Yán'ān Shì)</v>
      </c>
      <c r="P618" s="13" t="str">
        <f t="shared" si="39"/>
        <v>Liandaowan Zhen (Yán'ān Shì)</v>
      </c>
    </row>
    <row r="619" spans="1:16" hidden="1" x14ac:dyDescent="0.25">
      <c r="A619" t="s">
        <v>1796</v>
      </c>
      <c r="B619" t="str">
        <f t="shared" si="36"/>
        <v>Liángcūn Zhèn</v>
      </c>
      <c r="C619" t="str">
        <f t="shared" si="37"/>
        <v>Liángcūn Zhèn</v>
      </c>
      <c r="D619" t="s">
        <v>1797</v>
      </c>
      <c r="E619" t="s">
        <v>7</v>
      </c>
      <c r="F619" t="str">
        <f>_xlfn.CONCAT(D619,", ",H619,", ",I619,", ","陕西省")</f>
        <v>梁村镇, 乾县, 咸阳市, 陕西省</v>
      </c>
      <c r="G619">
        <v>32159</v>
      </c>
      <c r="H619" t="s">
        <v>3123</v>
      </c>
      <c r="I619" t="s">
        <v>3117</v>
      </c>
      <c r="J619">
        <f>VLOOKUP(F619,[1]!china_towns_second__2[[Column1]:[Y]],3,FALSE)</f>
        <v>34.434256248934901</v>
      </c>
      <c r="K619">
        <f>VLOOKUP(F619,[1]!china_towns_second__2[[Column1]:[Y]],2,FALSE)</f>
        <v>108.1788274</v>
      </c>
      <c r="L619" t="s">
        <v>4740</v>
      </c>
      <c r="M619" t="str">
        <f>VLOOKUP(H619,CHOOSE({1,2},Table11[Native],Table11[Name]),2,0)</f>
        <v>Qián Xiàn</v>
      </c>
      <c r="N619" s="13" t="str">
        <f>VLOOKUP(I619,CHOOSE({1,2},Table11[Native],Table11[Name]),2,0)</f>
        <v>Xiányáng Shì</v>
      </c>
      <c r="O619" s="13" t="str">
        <f t="shared" si="38"/>
        <v>Liangcun Zhen (Xiányáng Shì)</v>
      </c>
      <c r="P619" s="13" t="str">
        <f t="shared" si="39"/>
        <v>Liangcun Zhen (Xiányáng Shì)</v>
      </c>
    </row>
    <row r="620" spans="1:16" hidden="1" x14ac:dyDescent="0.25">
      <c r="A620" t="s">
        <v>136</v>
      </c>
      <c r="B620" t="str">
        <f t="shared" si="36"/>
        <v>Liănghé Zhèn (Ānkāng Shì)</v>
      </c>
      <c r="C620" t="str">
        <f t="shared" si="37"/>
        <v>Liănghé Zhèn (Ānkāng Shì)</v>
      </c>
      <c r="D620" t="s">
        <v>137</v>
      </c>
      <c r="E620" t="s">
        <v>7</v>
      </c>
      <c r="F620" t="str">
        <f>_xlfn.CONCAT(D620,", ",H620,", ",I620,", ","陕西省")</f>
        <v>两河镇, 石泉县, 安康市, 陕西省</v>
      </c>
      <c r="G620">
        <v>8662</v>
      </c>
      <c r="H620" t="s">
        <v>3040</v>
      </c>
      <c r="I620" t="s">
        <v>3031</v>
      </c>
      <c r="J620">
        <f>VLOOKUP(F620,[1]!china_towns_second__2[[Column1]:[Y]],3,FALSE)</f>
        <v>33.2753424158835</v>
      </c>
      <c r="K620">
        <f>VLOOKUP(F620,[1]!china_towns_second__2[[Column1]:[Y]],2,FALSE)</f>
        <v>108.1179776</v>
      </c>
      <c r="L620" t="s">
        <v>4741</v>
      </c>
      <c r="M620" t="str">
        <f>VLOOKUP(H620,CHOOSE({1,2},Table11[Native],Table11[Name]),2,0)</f>
        <v>Shíquán Xiàn</v>
      </c>
      <c r="N620" s="13" t="str">
        <f>VLOOKUP(I620,CHOOSE({1,2},Table11[Native],Table11[Name]),2,0)</f>
        <v>Ānkāng Shì</v>
      </c>
      <c r="O620" s="13" t="str">
        <f t="shared" si="38"/>
        <v>Lianghe Zhen (Ankang Shi) (Ānkāng Shì)</v>
      </c>
      <c r="P620" s="13" t="str">
        <f t="shared" si="39"/>
        <v>Lianghe Zhen (Ankang Shi) (Ānkāng Shì)</v>
      </c>
    </row>
    <row r="621" spans="1:16" hidden="1" x14ac:dyDescent="0.25">
      <c r="A621" t="s">
        <v>136</v>
      </c>
      <c r="B621" t="str">
        <f t="shared" si="36"/>
        <v>Liănghé Zhèn (Hànzhōng Shì)</v>
      </c>
      <c r="C621" t="str">
        <f t="shared" si="37"/>
        <v>Liănghé Zhèn (Hànzhōng Shì)</v>
      </c>
      <c r="D621" t="s">
        <v>137</v>
      </c>
      <c r="E621" t="s">
        <v>7</v>
      </c>
      <c r="F621" t="str">
        <f>_xlfn.CONCAT(D621,", ",H621,", ",I621,", ","陕西省")</f>
        <v>两河镇, 南郑区, 汉中市, 陕西省</v>
      </c>
      <c r="G621">
        <v>6354</v>
      </c>
      <c r="H621" t="s">
        <v>3066</v>
      </c>
      <c r="I621" t="s">
        <v>3059</v>
      </c>
      <c r="J621">
        <f>VLOOKUP(F621,[1]!china_towns_second__2[[Column1]:[Y]],3,FALSE)</f>
        <v>32.895243078483702</v>
      </c>
      <c r="K621">
        <f>VLOOKUP(F621,[1]!china_towns_second__2[[Column1]:[Y]],2,FALSE)</f>
        <v>106.7318016</v>
      </c>
      <c r="L621" t="s">
        <v>4742</v>
      </c>
      <c r="M621" t="str">
        <f>VLOOKUP(H621,CHOOSE({1,2},Table11[Native],Table11[Name]),2,0)</f>
        <v>Nánzhèng Qū</v>
      </c>
      <c r="N621" s="13" t="str">
        <f>VLOOKUP(I621,CHOOSE({1,2},Table11[Native],Table11[Name]),2,0)</f>
        <v>Hànzhōng Shì</v>
      </c>
      <c r="O621" s="13" t="str">
        <f t="shared" si="38"/>
        <v>Lianghe Zhen (Hanzhong Shi) (Hànzhōng Shì)</v>
      </c>
      <c r="P621" s="13" t="str">
        <f t="shared" si="39"/>
        <v>Lianghe Zhen (Hanzhong Shi) (Hànzhōng Shì)</v>
      </c>
    </row>
    <row r="622" spans="1:16" hidden="1" x14ac:dyDescent="0.25">
      <c r="A622" t="s">
        <v>800</v>
      </c>
      <c r="B622" t="str">
        <f t="shared" si="36"/>
        <v>Liănghékŏu Zhèn (Hànzhōng Shì)</v>
      </c>
      <c r="C622" t="str">
        <f t="shared" si="37"/>
        <v>Liănghékŏu Zhèn (Xīxiāng Xiàn)</v>
      </c>
      <c r="D622" t="s">
        <v>801</v>
      </c>
      <c r="E622" t="s">
        <v>7</v>
      </c>
      <c r="F622" t="str">
        <f>_xlfn.CONCAT(D622,", ",H622,", ",I622,", ","陕西省")</f>
        <v>两河口镇, 西乡县, 汉中市, 陕西省</v>
      </c>
      <c r="G622">
        <v>13058</v>
      </c>
      <c r="H622" t="s">
        <v>3068</v>
      </c>
      <c r="I622" t="s">
        <v>3059</v>
      </c>
      <c r="J622">
        <f>VLOOKUP(F622,[1]!china_towns_second__2[[Column1]:[Y]],3,FALSE)</f>
        <v>32.726684404514799</v>
      </c>
      <c r="K622">
        <f>VLOOKUP(F622,[1]!china_towns_second__2[[Column1]:[Y]],2,FALSE)</f>
        <v>108.15905069999999</v>
      </c>
      <c r="L622" t="s">
        <v>4743</v>
      </c>
      <c r="M622" t="str">
        <f>VLOOKUP(H622,CHOOSE({1,2},Table11[Native],Table11[Name]),2,0)</f>
        <v>Xīxiāng Xiàn</v>
      </c>
      <c r="N622" s="13" t="str">
        <f>VLOOKUP(I622,CHOOSE({1,2},Table11[Native],Table11[Name]),2,0)</f>
        <v>Hànzhōng Shì</v>
      </c>
      <c r="O622" s="13" t="str">
        <f t="shared" si="38"/>
        <v>Lianghekou Zhen (Xixiang Xian) (Hànzhōng Shì)</v>
      </c>
      <c r="P622" s="13" t="str">
        <f t="shared" si="39"/>
        <v>Lianghekou Zhen (Xixiang Xian) (Hànzhōng Shì)</v>
      </c>
    </row>
    <row r="623" spans="1:16" hidden="1" x14ac:dyDescent="0.25">
      <c r="A623" t="s">
        <v>800</v>
      </c>
      <c r="B623" t="str">
        <f t="shared" si="36"/>
        <v>Liănghékŏu Zhèn (Hànzhōng Shì)</v>
      </c>
      <c r="C623" t="str">
        <f t="shared" si="37"/>
        <v>Liănghékŏu Zhèn (Lüèyáng Xiàn)</v>
      </c>
      <c r="D623" t="s">
        <v>801</v>
      </c>
      <c r="E623" t="s">
        <v>7</v>
      </c>
      <c r="F623" t="str">
        <f>_xlfn.CONCAT(D623,", ",H623,", ",I623,", ","陕西省")</f>
        <v>两河口镇, 略阳县, 汉中市, 陕西省</v>
      </c>
      <c r="G623">
        <v>4296</v>
      </c>
      <c r="H623" t="s">
        <v>3064</v>
      </c>
      <c r="I623" t="s">
        <v>3059</v>
      </c>
      <c r="J623">
        <f>VLOOKUP(F623,[1]!china_towns_second__2[[Column1]:[Y]],3,FALSE)</f>
        <v>33.4637936604353</v>
      </c>
      <c r="K623">
        <f>VLOOKUP(F623,[1]!china_towns_second__2[[Column1]:[Y]],2,FALSE)</f>
        <v>106.34267319999999</v>
      </c>
      <c r="L623" t="s">
        <v>4744</v>
      </c>
      <c r="M623" t="str">
        <f>VLOOKUP(H623,CHOOSE({1,2},Table11[Native],Table11[Name]),2,0)</f>
        <v>Lüèyáng Xiàn</v>
      </c>
      <c r="N623" s="13" t="str">
        <f>VLOOKUP(I623,CHOOSE({1,2},Table11[Native],Table11[Name]),2,0)</f>
        <v>Hànzhōng Shì</v>
      </c>
      <c r="O623" s="13" t="str">
        <f t="shared" si="38"/>
        <v>Lianghekou Zhen (Lueyang Xian) (Hànzhōng Shì)</v>
      </c>
      <c r="P623" s="13" t="str">
        <f t="shared" si="39"/>
        <v>Lianghekou Zhen (Lueyang Xian) (Hànzhōng Shì)</v>
      </c>
    </row>
    <row r="624" spans="1:16" hidden="1" x14ac:dyDescent="0.25">
      <c r="A624" t="s">
        <v>1132</v>
      </c>
      <c r="B624" t="str">
        <f t="shared" si="36"/>
        <v>Liănglĭng Zhèn</v>
      </c>
      <c r="C624" t="str">
        <f t="shared" si="37"/>
        <v>Liănglĭng Zhèn</v>
      </c>
      <c r="D624" t="s">
        <v>1133</v>
      </c>
      <c r="E624" t="s">
        <v>7</v>
      </c>
      <c r="F624" t="str">
        <f>_xlfn.CONCAT(D624,", ",H624,", ",I624,", ","陕西省")</f>
        <v>两岭镇, 山阳县, 商洛市, 陕西省</v>
      </c>
      <c r="G624">
        <v>10635</v>
      </c>
      <c r="H624" t="s">
        <v>3077</v>
      </c>
      <c r="I624" t="s">
        <v>3072</v>
      </c>
      <c r="J624">
        <f>VLOOKUP(F624,[1]!china_towns_second__2[[Column1]:[Y]],3,FALSE)</f>
        <v>33.609304226114403</v>
      </c>
      <c r="K624">
        <f>VLOOKUP(F624,[1]!china_towns_second__2[[Column1]:[Y]],2,FALSE)</f>
        <v>110.097264</v>
      </c>
      <c r="L624" t="s">
        <v>4745</v>
      </c>
      <c r="M624" t="str">
        <f>VLOOKUP(H624,CHOOSE({1,2},Table11[Native],Table11[Name]),2,0)</f>
        <v>Shānyáng Xiàn</v>
      </c>
      <c r="N624" s="13" t="str">
        <f>VLOOKUP(I624,CHOOSE({1,2},Table11[Native],Table11[Name]),2,0)</f>
        <v>Shāngluò Shì</v>
      </c>
      <c r="O624" s="13" t="str">
        <f t="shared" si="38"/>
        <v>Liangling Zhen (Shāngluò Shì)</v>
      </c>
      <c r="P624" s="13" t="str">
        <f t="shared" si="39"/>
        <v>Liangling Zhen (Shāngluò Shì)</v>
      </c>
    </row>
    <row r="625" spans="1:16" hidden="1" x14ac:dyDescent="0.25">
      <c r="A625" t="s">
        <v>1798</v>
      </c>
      <c r="B625" t="str">
        <f t="shared" si="36"/>
        <v>Liángshān Zhèn [incl. Guāntóu Xiāng]</v>
      </c>
      <c r="C625" t="str">
        <f t="shared" si="37"/>
        <v>Liángshān Zhèn [incl. Guāntóu Xiāng]</v>
      </c>
      <c r="D625" t="s">
        <v>803</v>
      </c>
      <c r="E625" t="s">
        <v>7</v>
      </c>
      <c r="F625" t="str">
        <f>_xlfn.CONCAT(D625,", ",H625,", ",I625,", ","陕西省")</f>
        <v>梁山镇, 乾县, 咸阳市, 陕西省</v>
      </c>
      <c r="G625">
        <v>24901</v>
      </c>
      <c r="H625" t="s">
        <v>3123</v>
      </c>
      <c r="I625" t="s">
        <v>3117</v>
      </c>
      <c r="J625">
        <f>VLOOKUP(F625,[1]!china_towns_second__2[[Column1]:[Y]],3,FALSE)</f>
        <v>34.633447442711898</v>
      </c>
      <c r="K625">
        <f>VLOOKUP(F625,[1]!china_towns_second__2[[Column1]:[Y]],2,FALSE)</f>
        <v>108.116764</v>
      </c>
      <c r="L625" t="s">
        <v>4746</v>
      </c>
      <c r="M625" t="str">
        <f>VLOOKUP(H625,CHOOSE({1,2},Table11[Native],Table11[Name]),2,0)</f>
        <v>Qián Xiàn</v>
      </c>
      <c r="N625" s="13" t="str">
        <f>VLOOKUP(I625,CHOOSE({1,2},Table11[Native],Table11[Name]),2,0)</f>
        <v>Xiányáng Shì</v>
      </c>
      <c r="O625" s="13" t="str">
        <f t="shared" si="38"/>
        <v>Liangshan Zhen [incl. Guantou Xiang] (Xiányáng Shì)</v>
      </c>
      <c r="P625" s="13" t="str">
        <f t="shared" si="39"/>
        <v>Liangshan Zhen [incl. Guantou Xiang] (Xiányáng Shì)</v>
      </c>
    </row>
    <row r="626" spans="1:16" hidden="1" x14ac:dyDescent="0.25">
      <c r="A626" t="s">
        <v>802</v>
      </c>
      <c r="B626" t="str">
        <f t="shared" si="36"/>
        <v>Liángshān Zhèn [incl. Guōtān Xiāng]</v>
      </c>
      <c r="C626" t="str">
        <f t="shared" si="37"/>
        <v>Liángshān Zhèn [incl. Guōtān Xiāng]</v>
      </c>
      <c r="D626" t="s">
        <v>803</v>
      </c>
      <c r="E626" t="s">
        <v>7</v>
      </c>
      <c r="F626" t="str">
        <f>_xlfn.CONCAT(D626,", ",H626,", ",I626,", ","陕西省")</f>
        <v>梁山镇, 南郑区, 汉中市, 陕西省</v>
      </c>
      <c r="G626">
        <v>27736</v>
      </c>
      <c r="H626" t="s">
        <v>3066</v>
      </c>
      <c r="I626" t="s">
        <v>3059</v>
      </c>
      <c r="J626">
        <f>VLOOKUP(F626,[1]!china_towns_second__2[[Column1]:[Y]],3,FALSE)</f>
        <v>33.067541385570202</v>
      </c>
      <c r="K626">
        <f>VLOOKUP(F626,[1]!china_towns_second__2[[Column1]:[Y]],2,FALSE)</f>
        <v>106.9437547</v>
      </c>
      <c r="L626" t="s">
        <v>4747</v>
      </c>
      <c r="M626" t="str">
        <f>VLOOKUP(H626,CHOOSE({1,2},Table11[Native],Table11[Name]),2,0)</f>
        <v>Nánzhèng Qū</v>
      </c>
      <c r="N626" s="13" t="str">
        <f>VLOOKUP(I626,CHOOSE({1,2},Table11[Native],Table11[Name]),2,0)</f>
        <v>Hànzhōng Shì</v>
      </c>
      <c r="O626" s="13" t="str">
        <f t="shared" si="38"/>
        <v>Liangshan Zhen [incl. Guotan Xiang] (Hànzhōng Shì)</v>
      </c>
      <c r="P626" s="13" t="str">
        <f t="shared" si="39"/>
        <v>Liangshan Zhen [incl. Guotan Xiang] (Hànzhōng Shì)</v>
      </c>
    </row>
    <row r="627" spans="1:16" hidden="1" x14ac:dyDescent="0.25">
      <c r="A627" t="s">
        <v>1520</v>
      </c>
      <c r="B627" t="str">
        <f t="shared" si="36"/>
        <v>Liángtián Jiēdào</v>
      </c>
      <c r="C627" t="str">
        <f t="shared" si="37"/>
        <v>Liángtián Jiēdào</v>
      </c>
      <c r="D627" t="s">
        <v>1521</v>
      </c>
      <c r="E627" t="s">
        <v>113</v>
      </c>
      <c r="F627" t="str">
        <f>_xlfn.CONCAT(D627,", ",H627,", ",I627,", ","陕西省")</f>
        <v>良田街道, 临渭区, 渭南市, 陕西省</v>
      </c>
      <c r="G627">
        <v>18020</v>
      </c>
      <c r="H627" t="s">
        <v>3097</v>
      </c>
      <c r="I627" t="s">
        <v>3087</v>
      </c>
      <c r="J627">
        <f>VLOOKUP(F627,[1]!china_towns_second__2[[Column1]:[Y]],3,FALSE)</f>
        <v>34.481692277108699</v>
      </c>
      <c r="K627">
        <f>VLOOKUP(F627,[1]!china_towns_second__2[[Column1]:[Y]],2,FALSE)</f>
        <v>109.4264167</v>
      </c>
      <c r="L627" t="s">
        <v>4748</v>
      </c>
      <c r="M627" t="str">
        <f>VLOOKUP(H627,CHOOSE({1,2},Table11[Native],Table11[Name]),2,0)</f>
        <v>Línwèi Qū</v>
      </c>
      <c r="N627" s="13" t="str">
        <f>VLOOKUP(I627,CHOOSE({1,2},Table11[Native],Table11[Name]),2,0)</f>
        <v>Wèinán Shì</v>
      </c>
      <c r="O627" s="13" t="str">
        <f t="shared" si="38"/>
        <v>Liangtian Jiedao (Wèinán Shì)</v>
      </c>
      <c r="P627" s="13" t="str">
        <f t="shared" si="39"/>
        <v>Liangtian Jiedao (Wèinán Shì)</v>
      </c>
    </row>
    <row r="628" spans="1:16" hidden="1" x14ac:dyDescent="0.25">
      <c r="A628" t="s">
        <v>477</v>
      </c>
      <c r="B628" t="str">
        <f t="shared" si="36"/>
        <v>Liăngtíng Zhèn</v>
      </c>
      <c r="C628" t="str">
        <f t="shared" si="37"/>
        <v>Liăngtíng Zhèn</v>
      </c>
      <c r="D628" t="s">
        <v>478</v>
      </c>
      <c r="E628" t="s">
        <v>7</v>
      </c>
      <c r="F628" t="str">
        <f>_xlfn.CONCAT(D628,", ",H628,", ",I628,", ","陕西省")</f>
        <v>两亭镇, 麟游县, 宝鸡市, 陕西省</v>
      </c>
      <c r="G628">
        <v>6778</v>
      </c>
      <c r="H628" t="s">
        <v>3051</v>
      </c>
      <c r="I628" t="s">
        <v>3045</v>
      </c>
      <c r="J628">
        <f>VLOOKUP(F628,[1]!china_towns_second__2[[Column1]:[Y]],3,FALSE)</f>
        <v>34.854479201160103</v>
      </c>
      <c r="K628">
        <f>VLOOKUP(F628,[1]!china_towns_second__2[[Column1]:[Y]],2,FALSE)</f>
        <v>107.5236589</v>
      </c>
      <c r="L628" t="s">
        <v>4749</v>
      </c>
      <c r="M628" t="str">
        <f>VLOOKUP(H628,CHOOSE({1,2},Table11[Native],Table11[Name]),2,0)</f>
        <v>Línyóu Xiàn</v>
      </c>
      <c r="N628" s="13" t="str">
        <f>VLOOKUP(I628,CHOOSE({1,2},Table11[Native],Table11[Name]),2,0)</f>
        <v>Băojī Shì</v>
      </c>
      <c r="O628" s="13" t="str">
        <f t="shared" si="38"/>
        <v>Liangting Zhen (Băojī Shì)</v>
      </c>
      <c r="P628" s="13" t="str">
        <f t="shared" si="39"/>
        <v>Liangting Zhen (Băojī Shì)</v>
      </c>
    </row>
    <row r="629" spans="1:16" hidden="1" x14ac:dyDescent="0.25">
      <c r="A629" t="s">
        <v>1522</v>
      </c>
      <c r="B629" t="str">
        <f t="shared" si="36"/>
        <v>Liăngyí Zhèn [incl. Gāomíng Zhèn]</v>
      </c>
      <c r="C629" t="str">
        <f t="shared" si="37"/>
        <v>Liăngyí Zhèn [incl. Gāomíng Zhèn]</v>
      </c>
      <c r="D629" t="s">
        <v>1523</v>
      </c>
      <c r="E629" t="s">
        <v>7</v>
      </c>
      <c r="F629" t="str">
        <f>_xlfn.CONCAT(D629,", ",H629,", ",I629,", ","陕西省")</f>
        <v>两宜镇, 大荔县, 渭南市, 陕西省</v>
      </c>
      <c r="G629">
        <v>44774</v>
      </c>
      <c r="H629" t="s">
        <v>3090</v>
      </c>
      <c r="I629" t="s">
        <v>3087</v>
      </c>
      <c r="J629">
        <f>VLOOKUP(F629,[1]!china_towns_second__2[[Column1]:[Y]],3,FALSE)</f>
        <v>34.9440383424187</v>
      </c>
      <c r="K629">
        <f>VLOOKUP(F629,[1]!china_towns_second__2[[Column1]:[Y]],2,FALSE)</f>
        <v>110.1099936</v>
      </c>
      <c r="L629" t="s">
        <v>4750</v>
      </c>
      <c r="M629" t="str">
        <f>VLOOKUP(H629,CHOOSE({1,2},Table11[Native],Table11[Name]),2,0)</f>
        <v>Dàlì Xiàn</v>
      </c>
      <c r="N629" s="13" t="str">
        <f>VLOOKUP(I629,CHOOSE({1,2},Table11[Native],Table11[Name]),2,0)</f>
        <v>Wèinán Shì</v>
      </c>
      <c r="O629" s="13" t="str">
        <f t="shared" si="38"/>
        <v>Liangyi Zhen [incl. Gaoming Zhen] (Wèinán Shì)</v>
      </c>
      <c r="P629" s="13" t="str">
        <f t="shared" si="39"/>
        <v>Liangyi Zhen [incl. Gaoming Zhen] (Wèinán Shì)</v>
      </c>
    </row>
    <row r="630" spans="1:16" hidden="1" x14ac:dyDescent="0.25">
      <c r="A630" t="s">
        <v>804</v>
      </c>
      <c r="B630" t="str">
        <f t="shared" si="36"/>
        <v>Liánhuā Jiēdào [Wŭlángmiào Zhèn]</v>
      </c>
      <c r="C630" t="str">
        <f t="shared" si="37"/>
        <v>Liánhuā Jiēdào [Wŭlángmiào Zhèn]</v>
      </c>
      <c r="D630" t="s">
        <v>805</v>
      </c>
      <c r="E630" t="s">
        <v>113</v>
      </c>
      <c r="F630" t="str">
        <f>_xlfn.CONCAT(D630,", ",H630,", ",I630,", ","陕西省")</f>
        <v>莲花街道, 城固县, 汉中市, 陕西省</v>
      </c>
      <c r="G630">
        <v>11814</v>
      </c>
      <c r="H630" t="s">
        <v>3060</v>
      </c>
      <c r="I630" t="s">
        <v>3059</v>
      </c>
      <c r="J630" t="e">
        <f>VLOOKUP(F630,[1]!china_towns_second__2[[Column1]:[Y]],3,FALSE)</f>
        <v>#N/A</v>
      </c>
      <c r="K630" t="e">
        <f>VLOOKUP(F630,[1]!china_towns_second__2[[Column1]:[Y]],2,FALSE)</f>
        <v>#N/A</v>
      </c>
      <c r="L630" t="s">
        <v>4751</v>
      </c>
      <c r="M630" t="str">
        <f>VLOOKUP(H630,CHOOSE({1,2},Table11[Native],Table11[Name]),2,0)</f>
        <v>Chénggù Xiàn</v>
      </c>
      <c r="N630" s="13" t="str">
        <f>VLOOKUP(I630,CHOOSE({1,2},Table11[Native],Table11[Name]),2,0)</f>
        <v>Hànzhōng Shì</v>
      </c>
      <c r="O630" s="13" t="str">
        <f t="shared" si="38"/>
        <v>Lianhua Jiedao [Wulangmiao Zhen] (Hànzhōng Shì)</v>
      </c>
      <c r="P630" s="13" t="str">
        <f t="shared" si="39"/>
        <v>Lianhua Jiedao [Wulangmiao Zhen] (Hànzhōng Shì)</v>
      </c>
    </row>
    <row r="631" spans="1:16" hidden="1" x14ac:dyDescent="0.25">
      <c r="A631" t="s">
        <v>1134</v>
      </c>
      <c r="B631" t="str">
        <f t="shared" si="36"/>
        <v>Liánhuāchí Xiāng</v>
      </c>
      <c r="C631" t="str">
        <f t="shared" si="37"/>
        <v>Liánhuāchí Xiāng</v>
      </c>
      <c r="D631" t="s">
        <v>1135</v>
      </c>
      <c r="E631" t="s">
        <v>11</v>
      </c>
      <c r="F631" t="str">
        <f>_xlfn.CONCAT(D631,", ",H631,", ",I631,", ","陕西省")</f>
        <v>莲花池乡, 山阳县, 商洛市, 陕西省</v>
      </c>
      <c r="G631">
        <v>8071</v>
      </c>
      <c r="H631" t="s">
        <v>3077</v>
      </c>
      <c r="I631" t="s">
        <v>3072</v>
      </c>
      <c r="J631" t="e">
        <f>VLOOKUP(F631,[1]!china_towns_second__2[[Column1]:[Y]],3,FALSE)</f>
        <v>#N/A</v>
      </c>
      <c r="K631" t="e">
        <f>VLOOKUP(F631,[1]!china_towns_second__2[[Column1]:[Y]],2,FALSE)</f>
        <v>#N/A</v>
      </c>
      <c r="L631" t="s">
        <v>4752</v>
      </c>
      <c r="M631" t="str">
        <f>VLOOKUP(H631,CHOOSE({1,2},Table11[Native],Table11[Name]),2,0)</f>
        <v>Shānyáng Xiàn</v>
      </c>
      <c r="N631" s="13" t="str">
        <f>VLOOKUP(I631,CHOOSE({1,2},Table11[Native],Table11[Name]),2,0)</f>
        <v>Shāngluò Shì</v>
      </c>
      <c r="O631" s="13" t="str">
        <f t="shared" si="38"/>
        <v>Lianhuachi Xiang (Shāngluò Shì)</v>
      </c>
      <c r="P631" s="13" t="str">
        <f t="shared" si="39"/>
        <v>Lianhuachi Xiang (Shāngluò Shì)</v>
      </c>
    </row>
    <row r="632" spans="1:16" hidden="1" x14ac:dyDescent="0.25">
      <c r="A632" t="s">
        <v>1524</v>
      </c>
      <c r="B632" t="str">
        <f t="shared" si="36"/>
        <v>Liánhuāsì Zhèn</v>
      </c>
      <c r="C632" t="str">
        <f t="shared" si="37"/>
        <v>Liánhuāsì Zhèn</v>
      </c>
      <c r="D632" t="s">
        <v>1525</v>
      </c>
      <c r="E632" t="s">
        <v>7</v>
      </c>
      <c r="F632" t="str">
        <f>_xlfn.CONCAT(D632,", ",H632,", ",I632,", ","陕西省")</f>
        <v>莲花寺镇, 华州区, 渭南市, 陕西省</v>
      </c>
      <c r="G632">
        <v>25383</v>
      </c>
      <c r="H632" t="s">
        <v>3096</v>
      </c>
      <c r="I632" t="s">
        <v>3087</v>
      </c>
      <c r="J632">
        <f>VLOOKUP(F632,[1]!china_towns_second__2[[Column1]:[Y]],3,FALSE)</f>
        <v>34.468860031615499</v>
      </c>
      <c r="K632">
        <f>VLOOKUP(F632,[1]!china_towns_second__2[[Column1]:[Y]],2,FALSE)</f>
        <v>109.83922509999999</v>
      </c>
      <c r="L632" t="s">
        <v>4753</v>
      </c>
      <c r="M632" t="str">
        <f>VLOOKUP(H632,CHOOSE({1,2},Table11[Native],Table11[Name]),2,0)</f>
        <v>Huázhōu Qū</v>
      </c>
      <c r="N632" s="13" t="str">
        <f>VLOOKUP(I632,CHOOSE({1,2},Table11[Native],Table11[Name]),2,0)</f>
        <v>Wèinán Shì</v>
      </c>
      <c r="O632" s="13" t="str">
        <f t="shared" si="38"/>
        <v>Lianhuasi Zhen (Wèinán Shì)</v>
      </c>
      <c r="P632" s="13" t="str">
        <f t="shared" si="39"/>
        <v>Lianhuasi Zhen (Wèinán Shì)</v>
      </c>
    </row>
    <row r="633" spans="1:16" hidden="1" x14ac:dyDescent="0.25">
      <c r="A633" t="s">
        <v>806</v>
      </c>
      <c r="B633" t="str">
        <f t="shared" si="36"/>
        <v>Liánshuĭ Zhèn</v>
      </c>
      <c r="C633" t="str">
        <f t="shared" si="37"/>
        <v>Liánshuĭ Zhèn</v>
      </c>
      <c r="D633" t="s">
        <v>807</v>
      </c>
      <c r="E633" t="s">
        <v>7</v>
      </c>
      <c r="F633" t="str">
        <f>_xlfn.CONCAT(D633,", ",H633,", ",I633,", ","陕西省")</f>
        <v>濂水镇, 南郑区, 汉中市, 陕西省</v>
      </c>
      <c r="G633">
        <v>14462</v>
      </c>
      <c r="H633" t="s">
        <v>3066</v>
      </c>
      <c r="I633" t="s">
        <v>3059</v>
      </c>
      <c r="J633">
        <f>VLOOKUP(F633,[1]!china_towns_second__2[[Column1]:[Y]],3,FALSE)</f>
        <v>32.935376564652401</v>
      </c>
      <c r="K633">
        <f>VLOOKUP(F633,[1]!china_towns_second__2[[Column1]:[Y]],2,FALSE)</f>
        <v>106.84577640000001</v>
      </c>
      <c r="L633" t="s">
        <v>4754</v>
      </c>
      <c r="M633" t="str">
        <f>VLOOKUP(H633,CHOOSE({1,2},Table11[Native],Table11[Name]),2,0)</f>
        <v>Nánzhèng Qū</v>
      </c>
      <c r="N633" s="13" t="str">
        <f>VLOOKUP(I633,CHOOSE({1,2},Table11[Native],Table11[Name]),2,0)</f>
        <v>Hànzhōng Shì</v>
      </c>
      <c r="O633" s="13" t="str">
        <f t="shared" si="38"/>
        <v>Lianshui Zhen (Hànzhōng Shì)</v>
      </c>
      <c r="P633" s="13" t="str">
        <f t="shared" si="39"/>
        <v>Lianshui Zhen (Hànzhōng Shì)</v>
      </c>
    </row>
    <row r="634" spans="1:16" hidden="1" x14ac:dyDescent="0.25">
      <c r="A634" t="s">
        <v>138</v>
      </c>
      <c r="B634" t="str">
        <f t="shared" si="36"/>
        <v>Liáoyuán Xiāng</v>
      </c>
      <c r="C634" t="str">
        <f t="shared" si="37"/>
        <v>Liáoyuán Xiāng</v>
      </c>
      <c r="D634" t="s">
        <v>139</v>
      </c>
      <c r="E634" t="s">
        <v>11</v>
      </c>
      <c r="F634" t="str">
        <f>_xlfn.CONCAT(D634,", ",H634,", ",I634,", ","陕西省")</f>
        <v>燎原乡, 紫阳县, 安康市, 陕西省</v>
      </c>
      <c r="G634">
        <v>4244</v>
      </c>
      <c r="H634" t="s">
        <v>3043</v>
      </c>
      <c r="I634" t="s">
        <v>3031</v>
      </c>
      <c r="J634" t="e">
        <f>VLOOKUP(F634,[1]!china_towns_second__2[[Column1]:[Y]],3,FALSE)</f>
        <v>#N/A</v>
      </c>
      <c r="K634" t="e">
        <f>VLOOKUP(F634,[1]!china_towns_second__2[[Column1]:[Y]],2,FALSE)</f>
        <v>#N/A</v>
      </c>
      <c r="L634" t="s">
        <v>4755</v>
      </c>
      <c r="M634" t="str">
        <f>VLOOKUP(H634,CHOOSE({1,2},Table11[Native],Table11[Name]),2,0)</f>
        <v>Zĭyáng Xiàn</v>
      </c>
      <c r="N634" s="13" t="str">
        <f>VLOOKUP(I634,CHOOSE({1,2},Table11[Native],Table11[Name]),2,0)</f>
        <v>Ānkāng Shì</v>
      </c>
      <c r="O634" s="13" t="str">
        <f t="shared" si="38"/>
        <v>Liaoyuan Xiang (Ānkāng Shì)</v>
      </c>
      <c r="P634" s="13" t="str">
        <f t="shared" si="39"/>
        <v>Liaoyuan Xiang (Ānkāng Shì)</v>
      </c>
    </row>
    <row r="635" spans="1:16" hidden="1" x14ac:dyDescent="0.25">
      <c r="A635" t="s">
        <v>808</v>
      </c>
      <c r="B635" t="str">
        <f t="shared" si="36"/>
        <v>Líbà Zhèn</v>
      </c>
      <c r="C635" t="str">
        <f t="shared" si="37"/>
        <v>Líbà Zhèn</v>
      </c>
      <c r="D635" t="s">
        <v>809</v>
      </c>
      <c r="E635" t="s">
        <v>7</v>
      </c>
      <c r="F635" t="str">
        <f>_xlfn.CONCAT(D635,", ",H635,", ",I635,", ","陕西省")</f>
        <v>黎坝镇, 镇巴县, 汉中市, 陕西省</v>
      </c>
      <c r="G635">
        <v>7744</v>
      </c>
      <c r="H635" t="s">
        <v>3070</v>
      </c>
      <c r="I635" t="s">
        <v>3059</v>
      </c>
      <c r="J635">
        <f>VLOOKUP(F635,[1]!china_towns_second__2[[Column1]:[Y]],3,FALSE)</f>
        <v>32.387300738586298</v>
      </c>
      <c r="K635">
        <f>VLOOKUP(F635,[1]!china_towns_second__2[[Column1]:[Y]],2,FALSE)</f>
        <v>107.7410047</v>
      </c>
      <c r="L635" t="s">
        <v>4756</v>
      </c>
      <c r="M635" t="str">
        <f>VLOOKUP(H635,CHOOSE({1,2},Table11[Native],Table11[Name]),2,0)</f>
        <v>Zhènbā Xiàn</v>
      </c>
      <c r="N635" s="13" t="str">
        <f>VLOOKUP(I635,CHOOSE({1,2},Table11[Native],Table11[Name]),2,0)</f>
        <v>Hànzhōng Shì</v>
      </c>
      <c r="O635" s="13" t="str">
        <f t="shared" si="38"/>
        <v>Liba Zhen (Hànzhōng Shì)</v>
      </c>
      <c r="P635" s="13" t="str">
        <f t="shared" si="39"/>
        <v>Liba Zhen (Hànzhōng Shì)</v>
      </c>
    </row>
    <row r="636" spans="1:16" hidden="1" x14ac:dyDescent="0.25">
      <c r="A636" t="s">
        <v>2447</v>
      </c>
      <c r="B636" t="str">
        <f t="shared" si="36"/>
        <v>Lĭjiāchà Zhèn</v>
      </c>
      <c r="C636" t="str">
        <f t="shared" si="37"/>
        <v>Lĭjiāchà Zhèn</v>
      </c>
      <c r="D636" t="s">
        <v>2448</v>
      </c>
      <c r="E636" t="s">
        <v>7</v>
      </c>
      <c r="F636" t="str">
        <f>_xlfn.CONCAT(D636,", ",H636,", ",I636,", ","陕西省")</f>
        <v>李家岔镇, 子长市, 延安市, 陕西省</v>
      </c>
      <c r="G636">
        <v>11381</v>
      </c>
      <c r="H636" t="s">
        <v>3146</v>
      </c>
      <c r="I636" t="s">
        <v>3133</v>
      </c>
      <c r="J636">
        <f>VLOOKUP(F636,[1]!china_towns_second__2[[Column1]:[Y]],3,FALSE)</f>
        <v>37.299059287032001</v>
      </c>
      <c r="K636">
        <f>VLOOKUP(F636,[1]!china_towns_second__2[[Column1]:[Y]],2,FALSE)</f>
        <v>109.3651399</v>
      </c>
      <c r="L636" t="s">
        <v>4757</v>
      </c>
      <c r="M636" t="str">
        <f>VLOOKUP(H636,CHOOSE({1,2},Table11[Native],Table11[Name]),2,0)</f>
        <v>Zicháng Shì</v>
      </c>
      <c r="N636" s="13" t="str">
        <f>VLOOKUP(I636,CHOOSE({1,2},Table11[Native],Table11[Name]),2,0)</f>
        <v>Yán'ān Shì</v>
      </c>
      <c r="O636" s="13" t="str">
        <f t="shared" si="38"/>
        <v>Lijiacha Zhen (Yán'ān Shì)</v>
      </c>
      <c r="P636" s="13" t="str">
        <f t="shared" si="39"/>
        <v>Lijiacha Zhen (Yán'ān Shì)</v>
      </c>
    </row>
    <row r="637" spans="1:16" hidden="1" x14ac:dyDescent="0.25">
      <c r="A637" t="s">
        <v>2800</v>
      </c>
      <c r="B637" t="str">
        <f t="shared" si="36"/>
        <v>Lĭjiātă Zhèn</v>
      </c>
      <c r="C637" t="str">
        <f t="shared" si="37"/>
        <v>Lĭjiātă Zhèn</v>
      </c>
      <c r="D637" t="s">
        <v>2801</v>
      </c>
      <c r="E637" t="s">
        <v>7</v>
      </c>
      <c r="F637" t="str">
        <f>_xlfn.CONCAT(D637,", ",H637,", ",I637,", ","陕西省")</f>
        <v>李家塔镇, 清涧县, 榆林市, 陕西省</v>
      </c>
      <c r="G637">
        <v>7615</v>
      </c>
      <c r="H637" t="s">
        <v>3155</v>
      </c>
      <c r="I637" t="s">
        <v>3148</v>
      </c>
      <c r="J637">
        <f>VLOOKUP(F637,[1]!china_towns_second__2[[Column1]:[Y]],3,FALSE)</f>
        <v>37.207049950390299</v>
      </c>
      <c r="K637">
        <f>VLOOKUP(F637,[1]!china_towns_second__2[[Column1]:[Y]],2,FALSE)</f>
        <v>110.30396039999999</v>
      </c>
      <c r="L637" t="s">
        <v>4758</v>
      </c>
      <c r="M637" t="str">
        <f>VLOOKUP(H637,CHOOSE({1,2},Table11[Native],Table11[Name]),2,0)</f>
        <v>Qīngjiàn Xiàn</v>
      </c>
      <c r="N637" s="13" t="str">
        <f>VLOOKUP(I637,CHOOSE({1,2},Table11[Native],Table11[Name]),2,0)</f>
        <v>Yúlín Shì</v>
      </c>
      <c r="O637" s="13" t="str">
        <f t="shared" si="38"/>
        <v>Lijiata Zhen (Yúlín Shì)</v>
      </c>
      <c r="P637" s="13" t="str">
        <f t="shared" si="39"/>
        <v>Lijiata Zhen (Yúlín Shì)</v>
      </c>
    </row>
    <row r="638" spans="1:16" hidden="1" x14ac:dyDescent="0.25">
      <c r="A638" t="s">
        <v>2802</v>
      </c>
      <c r="B638" t="str">
        <f t="shared" si="36"/>
        <v>Lĭjiāzhàn Xiāng</v>
      </c>
      <c r="C638" t="str">
        <f t="shared" si="37"/>
        <v>Lĭjiāzhàn Xiāng</v>
      </c>
      <c r="D638" t="s">
        <v>2803</v>
      </c>
      <c r="E638" t="s">
        <v>11</v>
      </c>
      <c r="F638" t="str">
        <f>_xlfn.CONCAT(D638,", ",H638,", ",I638,", ","陕西省")</f>
        <v>李家站乡, 米脂县, 榆林市, 陕西省</v>
      </c>
      <c r="G638">
        <v>3469</v>
      </c>
      <c r="H638" t="s">
        <v>3154</v>
      </c>
      <c r="I638" t="s">
        <v>3148</v>
      </c>
      <c r="J638" t="e">
        <f>VLOOKUP(F638,[1]!china_towns_second__2[[Column1]:[Y]],3,FALSE)</f>
        <v>#N/A</v>
      </c>
      <c r="K638" t="e">
        <f>VLOOKUP(F638,[1]!china_towns_second__2[[Column1]:[Y]],2,FALSE)</f>
        <v>#N/A</v>
      </c>
      <c r="L638" t="s">
        <v>4759</v>
      </c>
      <c r="M638" t="str">
        <f>VLOOKUP(H638,CHOOSE({1,2},Table11[Native],Table11[Name]),2,0)</f>
        <v>Mĭzhī Xiàn</v>
      </c>
      <c r="N638" s="13" t="str">
        <f>VLOOKUP(I638,CHOOSE({1,2},Table11[Native],Table11[Name]),2,0)</f>
        <v>Yúlín Shì</v>
      </c>
      <c r="O638" s="13" t="str">
        <f t="shared" si="38"/>
        <v>Lijiazhan Xiang (Yúlín Shì)</v>
      </c>
      <c r="P638" s="13" t="str">
        <f t="shared" si="39"/>
        <v>Lijiazhan Xiang (Yúlín Shì)</v>
      </c>
    </row>
    <row r="639" spans="1:16" hidden="1" x14ac:dyDescent="0.25">
      <c r="A639" t="s">
        <v>1136</v>
      </c>
      <c r="B639" t="str">
        <f t="shared" si="36"/>
        <v>Lĭmiào Xiāng</v>
      </c>
      <c r="C639" t="str">
        <f t="shared" si="37"/>
        <v>Lĭmiào Xiāng</v>
      </c>
      <c r="D639" t="s">
        <v>1137</v>
      </c>
      <c r="E639" t="s">
        <v>11</v>
      </c>
      <c r="F639" t="str">
        <f>_xlfn.CONCAT(D639,", ",H639,", ",I639,", ","陕西省")</f>
        <v>李庙乡, 商州区, 商洛市, 陕西省</v>
      </c>
      <c r="G639">
        <v>11932</v>
      </c>
      <c r="H639" t="s">
        <v>3076</v>
      </c>
      <c r="I639" t="s">
        <v>3072</v>
      </c>
      <c r="J639" t="e">
        <f>VLOOKUP(F639,[1]!china_towns_second__2[[Column1]:[Y]],3,FALSE)</f>
        <v>#N/A</v>
      </c>
      <c r="K639" t="e">
        <f>VLOOKUP(F639,[1]!china_towns_second__2[[Column1]:[Y]],2,FALSE)</f>
        <v>#N/A</v>
      </c>
      <c r="L639" t="s">
        <v>4760</v>
      </c>
      <c r="M639" t="str">
        <f>VLOOKUP(H639,CHOOSE({1,2},Table11[Native],Table11[Name]),2,0)</f>
        <v>Shāngzhōu Qū</v>
      </c>
      <c r="N639" s="13" t="str">
        <f>VLOOKUP(I639,CHOOSE({1,2},Table11[Native],Table11[Name]),2,0)</f>
        <v>Shāngluò Shì</v>
      </c>
      <c r="O639" s="13" t="str">
        <f t="shared" si="38"/>
        <v>Limiao Xiang (Shāngluò Shì)</v>
      </c>
      <c r="P639" s="13" t="str">
        <f t="shared" si="39"/>
        <v>Limiao Xiang (Shāngluò Shì)</v>
      </c>
    </row>
    <row r="640" spans="1:16" hidden="1" x14ac:dyDescent="0.25">
      <c r="A640" t="s">
        <v>2449</v>
      </c>
      <c r="B640" t="str">
        <f t="shared" si="36"/>
        <v>Lín Zhèn</v>
      </c>
      <c r="C640" t="str">
        <f t="shared" si="37"/>
        <v>Lín Zhèn</v>
      </c>
      <c r="D640" t="s">
        <v>2450</v>
      </c>
      <c r="E640" t="s">
        <v>7</v>
      </c>
      <c r="F640" t="str">
        <f>_xlfn.CONCAT(D640,", ",H640,", ",I640,", ","陕西省")</f>
        <v>临镇, 宝塔区, 延安市, 陕西省</v>
      </c>
      <c r="G640">
        <v>7762</v>
      </c>
      <c r="H640" t="s">
        <v>3135</v>
      </c>
      <c r="I640" t="s">
        <v>3133</v>
      </c>
      <c r="J640">
        <f>VLOOKUP(F640,[1]!china_towns_second__2[[Column1]:[Y]],3,FALSE)</f>
        <v>36.299472303846898</v>
      </c>
      <c r="K640">
        <f>VLOOKUP(F640,[1]!china_towns_second__2[[Column1]:[Y]],2,FALSE)</f>
        <v>109.9055755</v>
      </c>
      <c r="L640" t="s">
        <v>4761</v>
      </c>
      <c r="M640" t="str">
        <f>VLOOKUP(H640,CHOOSE({1,2},Table11[Native],Table11[Name]),2,0)</f>
        <v>Băotă Qū</v>
      </c>
      <c r="N640" s="13" t="str">
        <f>VLOOKUP(I640,CHOOSE({1,2},Table11[Native],Table11[Name]),2,0)</f>
        <v>Yán'ān Shì</v>
      </c>
      <c r="O640" s="13" t="str">
        <f t="shared" si="38"/>
        <v>Lin Zhen (Yán'ān Shì)</v>
      </c>
      <c r="P640" s="13" t="str">
        <f t="shared" si="39"/>
        <v>Lin Zhen (Yán'ān Shì)</v>
      </c>
    </row>
    <row r="641" spans="1:16" hidden="1" x14ac:dyDescent="0.25">
      <c r="A641" t="s">
        <v>1526</v>
      </c>
      <c r="B641" t="str">
        <f t="shared" si="36"/>
        <v>Lìndiàn Zhèn</v>
      </c>
      <c r="C641" t="str">
        <f t="shared" si="37"/>
        <v>Lìndiàn Zhèn</v>
      </c>
      <c r="D641" t="s">
        <v>1527</v>
      </c>
      <c r="E641" t="s">
        <v>7</v>
      </c>
      <c r="F641" t="str">
        <f>_xlfn.CONCAT(D641,", ",H641,", ",I641,", ","陕西省")</f>
        <v>吝店镇, 临渭区, 渭南市, 陕西省</v>
      </c>
      <c r="G641">
        <v>25064</v>
      </c>
      <c r="H641" t="s">
        <v>3097</v>
      </c>
      <c r="I641" t="s">
        <v>3087</v>
      </c>
      <c r="J641">
        <f>VLOOKUP(F641,[1]!china_towns_second__2[[Column1]:[Y]],3,FALSE)</f>
        <v>34.737368503224801</v>
      </c>
      <c r="K641">
        <f>VLOOKUP(F641,[1]!china_towns_second__2[[Column1]:[Y]],2,FALSE)</f>
        <v>109.6244221</v>
      </c>
      <c r="L641" t="s">
        <v>4762</v>
      </c>
      <c r="M641" t="str">
        <f>VLOOKUP(H641,CHOOSE({1,2},Table11[Native],Table11[Name]),2,0)</f>
        <v>Línwèi Qū</v>
      </c>
      <c r="N641" s="13" t="str">
        <f>VLOOKUP(I641,CHOOSE({1,2},Table11[Native],Table11[Name]),2,0)</f>
        <v>Wèinán Shì</v>
      </c>
      <c r="O641" s="13" t="str">
        <f t="shared" si="38"/>
        <v>Lindian Zhen (Wèinán Shì)</v>
      </c>
      <c r="P641" s="13" t="str">
        <f t="shared" si="39"/>
        <v>Lindian Zhen (Wèinán Shì)</v>
      </c>
    </row>
    <row r="642" spans="1:16" hidden="1" x14ac:dyDescent="0.25">
      <c r="A642" t="s">
        <v>1528</v>
      </c>
      <c r="B642" t="str">
        <f t="shared" ref="B642:B705" si="40">IF(COUNTIF(A:A,A642)&gt;1,_xlfn.CONCAT(A642," (",N642,")"),A642)</f>
        <v>Língāo Zhèn [incl. Yúntái Xiāng]</v>
      </c>
      <c r="C642" t="str">
        <f t="shared" ref="C642:C705" si="41">IF(COUNTIF(B:B,B642)&gt;1,_xlfn.CONCAT(A642," (",M642,")"),B642)</f>
        <v>Língāo Zhèn [incl. Yúntái Xiāng]</v>
      </c>
      <c r="D642" t="s">
        <v>1529</v>
      </c>
      <c r="E642" t="s">
        <v>7</v>
      </c>
      <c r="F642" t="str">
        <f>_xlfn.CONCAT(D642,", ",H642,", ",I642,", ","陕西省")</f>
        <v>林皋镇, 白水县, 渭南市, 陕西省</v>
      </c>
      <c r="G642">
        <v>33014</v>
      </c>
      <c r="H642" t="s">
        <v>3088</v>
      </c>
      <c r="I642" t="s">
        <v>3087</v>
      </c>
      <c r="J642">
        <f>VLOOKUP(F642,[1]!china_towns_second__2[[Column1]:[Y]],3,FALSE)</f>
        <v>35.215040934017097</v>
      </c>
      <c r="K642">
        <f>VLOOKUP(F642,[1]!china_towns_second__2[[Column1]:[Y]],2,FALSE)</f>
        <v>109.40891360000001</v>
      </c>
      <c r="L642" t="s">
        <v>4763</v>
      </c>
      <c r="M642" t="str">
        <f>VLOOKUP(H642,CHOOSE({1,2},Table11[Native],Table11[Name]),2,0)</f>
        <v>Báishuĭ Xiàn</v>
      </c>
      <c r="N642" s="13" t="str">
        <f>VLOOKUP(I642,CHOOSE({1,2},Table11[Native],Table11[Name]),2,0)</f>
        <v>Wèinán Shì</v>
      </c>
      <c r="O642" s="13" t="str">
        <f t="shared" ref="O642:O705" si="42">_xlfn.CONCAT(L642," (",N642,")")</f>
        <v>Lingao Zhen [incl. Yuntai Xiang] (Wèinán Shì)</v>
      </c>
      <c r="P642" s="13" t="str">
        <f t="shared" ref="P642:P705" si="43">IF(COUNTIF(O:O,O642)&gt;1,_xlfn.CONCAT(L642," (",M642,")"),O642)</f>
        <v>Lingao Zhen [incl. Yuntai Xiang] (Wèinán Shì)</v>
      </c>
    </row>
    <row r="643" spans="1:16" hidden="1" x14ac:dyDescent="0.25">
      <c r="A643" t="s">
        <v>2124</v>
      </c>
      <c r="B643" t="str">
        <f t="shared" si="40"/>
        <v>Língkŏu Jiēdào</v>
      </c>
      <c r="C643" t="str">
        <f t="shared" si="41"/>
        <v>Língkŏu Jiēdào</v>
      </c>
      <c r="D643" t="s">
        <v>2125</v>
      </c>
      <c r="E643" t="s">
        <v>113</v>
      </c>
      <c r="F643" t="str">
        <f>_xlfn.CONCAT(D643,", ",H643,", ",I643,", ","陕西省")</f>
        <v>零口街道, 临潼区, 西安市, 陕西省</v>
      </c>
      <c r="G643">
        <v>31628</v>
      </c>
      <c r="H643" t="s">
        <v>3110</v>
      </c>
      <c r="I643" t="s">
        <v>3102</v>
      </c>
      <c r="J643">
        <f>VLOOKUP(F643,[1]!china_towns_second__2[[Column1]:[Y]],3,FALSE)</f>
        <v>34.471416382565103</v>
      </c>
      <c r="K643">
        <f>VLOOKUP(F643,[1]!china_towns_second__2[[Column1]:[Y]],2,FALSE)</f>
        <v>109.3603681</v>
      </c>
      <c r="L643" t="s">
        <v>4764</v>
      </c>
      <c r="M643" t="str">
        <f>VLOOKUP(H643,CHOOSE({1,2},Table11[Native],Table11[Name]),2,0)</f>
        <v>Líntóng Qū</v>
      </c>
      <c r="N643" s="13" t="str">
        <f>VLOOKUP(I643,CHOOSE({1,2},Table11[Native],Table11[Name]),2,0)</f>
        <v>Xī'ān Shì</v>
      </c>
      <c r="O643" s="13" t="str">
        <f t="shared" si="42"/>
        <v>Lingkou Jiedao (Xī'ān Shì)</v>
      </c>
      <c r="P643" s="13" t="str">
        <f t="shared" si="43"/>
        <v>Lingkou Jiedao (Xī'ān Shì)</v>
      </c>
    </row>
    <row r="644" spans="1:16" hidden="1" x14ac:dyDescent="0.25">
      <c r="A644" t="s">
        <v>1138</v>
      </c>
      <c r="B644" t="str">
        <f t="shared" si="40"/>
        <v>Língkŏu Zhèn [incl. Miàotái Xiāng, Shàngsìdiàn Xiāng]</v>
      </c>
      <c r="C644" t="str">
        <f t="shared" si="41"/>
        <v>Língkŏu Zhèn [incl. Miàotái Xiāng, Shàngsìdiàn Xiāng]</v>
      </c>
      <c r="D644" t="s">
        <v>1139</v>
      </c>
      <c r="E644" t="s">
        <v>7</v>
      </c>
      <c r="F644" t="str">
        <f>_xlfn.CONCAT(D644,", ",H644,", ",I644,", ","陕西省")</f>
        <v>灵口镇, 洛南县, 商洛市, 陕西省</v>
      </c>
      <c r="G644">
        <v>28308</v>
      </c>
      <c r="H644" t="s">
        <v>3074</v>
      </c>
      <c r="I644" t="s">
        <v>3072</v>
      </c>
      <c r="J644">
        <f>VLOOKUP(F644,[1]!china_towns_second__2[[Column1]:[Y]],3,FALSE)</f>
        <v>34.130895542644403</v>
      </c>
      <c r="K644">
        <f>VLOOKUP(F644,[1]!china_towns_second__2[[Column1]:[Y]],2,FALSE)</f>
        <v>110.4970344</v>
      </c>
      <c r="L644" t="s">
        <v>4765</v>
      </c>
      <c r="M644" t="str">
        <f>VLOOKUP(H644,CHOOSE({1,2},Table11[Native],Table11[Name]),2,0)</f>
        <v>Luònán Xiàn</v>
      </c>
      <c r="N644" s="13" t="str">
        <f>VLOOKUP(I644,CHOOSE({1,2},Table11[Native],Table11[Name]),2,0)</f>
        <v>Shāngluò Shì</v>
      </c>
      <c r="O644" s="13" t="str">
        <f t="shared" si="42"/>
        <v>Lingkou Zhen [incl. Miaotai Xiang, Shangsidian Xiang] (Shāngluò Shì)</v>
      </c>
      <c r="P644" s="13" t="str">
        <f t="shared" si="43"/>
        <v>Lingkou Zhen [incl. Miaotai Xiang, Shangsidian Xiang] (Shāngluò Shì)</v>
      </c>
    </row>
    <row r="645" spans="1:16" hidden="1" x14ac:dyDescent="0.25">
      <c r="A645" t="s">
        <v>1140</v>
      </c>
      <c r="B645" t="str">
        <f t="shared" si="40"/>
        <v>Línglóng Xiāng [→ Mĭliáng Zhèn, Dàpíng Zhèn]</v>
      </c>
      <c r="C645" t="str">
        <f t="shared" si="41"/>
        <v>Línglóng Xiāng [→ Mĭliáng Zhèn, Dàpíng Zhèn]</v>
      </c>
      <c r="D645" t="s">
        <v>1141</v>
      </c>
      <c r="E645" t="s">
        <v>11</v>
      </c>
      <c r="F645" t="str">
        <f>_xlfn.CONCAT(D645,", ",H645,", ",I645,", ","陕西省")</f>
        <v>灵龙乡, 镇安县, 商洛市, 陕西省</v>
      </c>
      <c r="G645">
        <v>10326</v>
      </c>
      <c r="H645" t="s">
        <v>3079</v>
      </c>
      <c r="I645" t="s">
        <v>3072</v>
      </c>
      <c r="J645" t="e">
        <f>VLOOKUP(F645,[1]!china_towns_second__2[[Column1]:[Y]],3,FALSE)</f>
        <v>#N/A</v>
      </c>
      <c r="K645" t="e">
        <f>VLOOKUP(F645,[1]!china_towns_second__2[[Column1]:[Y]],2,FALSE)</f>
        <v>#N/A</v>
      </c>
      <c r="L645" t="s">
        <v>4766</v>
      </c>
      <c r="M645" t="str">
        <f>VLOOKUP(H645,CHOOSE({1,2},Table11[Native],Table11[Name]),2,0)</f>
        <v>Zhèn'ān Xiàn</v>
      </c>
      <c r="N645" s="13" t="str">
        <f>VLOOKUP(I645,CHOOSE({1,2},Table11[Native],Table11[Name]),2,0)</f>
        <v>Shāngluò Shì</v>
      </c>
      <c r="O645" s="13" t="str">
        <f t="shared" si="42"/>
        <v>Linglong Xiang [→ Miliang Zhen, Daping Zhen] (Shāngluò Shì)</v>
      </c>
      <c r="P645" s="13" t="str">
        <f t="shared" si="43"/>
        <v>Linglong Xiang [→ Miliang Zhen, Daping Zhen] (Shāngluò Shì)</v>
      </c>
    </row>
    <row r="646" spans="1:16" hidden="1" x14ac:dyDescent="0.25">
      <c r="A646" t="s">
        <v>1799</v>
      </c>
      <c r="B646" t="str">
        <f t="shared" si="40"/>
        <v>Língqián Zhèn [incl. Mă'é Zhèn]</v>
      </c>
      <c r="C646" t="str">
        <f t="shared" si="41"/>
        <v>Língqián Zhèn [incl. Mă'é Zhèn]</v>
      </c>
      <c r="D646" t="s">
        <v>1800</v>
      </c>
      <c r="E646" t="s">
        <v>7</v>
      </c>
      <c r="F646" t="str">
        <f>_xlfn.CONCAT(D646,", ",H646,", ",I646,", ","陕西省")</f>
        <v>陵前镇, 三原县, 咸阳市, 陕西省</v>
      </c>
      <c r="G646">
        <v>43935</v>
      </c>
      <c r="H646" t="s">
        <v>3125</v>
      </c>
      <c r="I646" t="s">
        <v>3117</v>
      </c>
      <c r="J646">
        <f>VLOOKUP(F646,[1]!china_towns_second__2[[Column1]:[Y]],3,FALSE)</f>
        <v>34.767460192302899</v>
      </c>
      <c r="K646">
        <f>VLOOKUP(F646,[1]!china_towns_second__2[[Column1]:[Y]],2,FALSE)</f>
        <v>108.9730545</v>
      </c>
      <c r="L646" t="s">
        <v>4767</v>
      </c>
      <c r="M646" t="str">
        <f>VLOOKUP(H646,CHOOSE({1,2},Table11[Native],Table11[Name]),2,0)</f>
        <v>Sānyuán Xiàn</v>
      </c>
      <c r="N646" s="13" t="str">
        <f>VLOOKUP(I646,CHOOSE({1,2},Table11[Native],Table11[Name]),2,0)</f>
        <v>Xiányáng Shì</v>
      </c>
      <c r="O646" s="13" t="str">
        <f t="shared" si="42"/>
        <v>Lingqian Zhen [incl. Ma'e Zhen] (Xiányáng Shì)</v>
      </c>
      <c r="P646" s="13" t="str">
        <f t="shared" si="43"/>
        <v>Lingqian Zhen [incl. Ma'e Zhen] (Xiányáng Shì)</v>
      </c>
    </row>
    <row r="647" spans="1:16" hidden="1" x14ac:dyDescent="0.25">
      <c r="A647" t="s">
        <v>1801</v>
      </c>
      <c r="B647" t="str">
        <f t="shared" si="40"/>
        <v>Língyuán Zhèn</v>
      </c>
      <c r="C647" t="str">
        <f t="shared" si="41"/>
        <v>Língyuán Zhèn</v>
      </c>
      <c r="D647" t="s">
        <v>1802</v>
      </c>
      <c r="E647" t="s">
        <v>7</v>
      </c>
      <c r="F647" t="str">
        <f>_xlfn.CONCAT(D647,", ",H647,", ",I647,", ","陕西省")</f>
        <v>灵源镇, 乾县, 咸阳市, 陕西省</v>
      </c>
      <c r="G647">
        <v>21852</v>
      </c>
      <c r="H647" t="s">
        <v>3123</v>
      </c>
      <c r="I647" t="s">
        <v>3117</v>
      </c>
      <c r="J647">
        <f>VLOOKUP(F647,[1]!china_towns_second__2[[Column1]:[Y]],3,FALSE)</f>
        <v>34.491505648291202</v>
      </c>
      <c r="K647">
        <f>VLOOKUP(F647,[1]!china_towns_second__2[[Column1]:[Y]],2,FALSE)</f>
        <v>108.3667251</v>
      </c>
      <c r="L647" t="s">
        <v>4768</v>
      </c>
      <c r="M647" t="str">
        <f>VLOOKUP(H647,CHOOSE({1,2},Table11[Native],Table11[Name]),2,0)</f>
        <v>Qián Xiàn</v>
      </c>
      <c r="N647" s="13" t="str">
        <f>VLOOKUP(I647,CHOOSE({1,2},Table11[Native],Table11[Name]),2,0)</f>
        <v>Xiányáng Shì</v>
      </c>
      <c r="O647" s="13" t="str">
        <f t="shared" si="42"/>
        <v>Lingyuan Zhen (Xiányáng Shì)</v>
      </c>
      <c r="P647" s="13" t="str">
        <f t="shared" si="43"/>
        <v>Lingyuan Zhen (Xiányáng Shì)</v>
      </c>
    </row>
    <row r="648" spans="1:16" hidden="1" x14ac:dyDescent="0.25">
      <c r="A648" t="s">
        <v>2126</v>
      </c>
      <c r="B648" t="str">
        <f t="shared" si="40"/>
        <v>Língzhăo Jiēdào</v>
      </c>
      <c r="C648" t="str">
        <f t="shared" si="41"/>
        <v>Língzhăo Jiēdào</v>
      </c>
      <c r="D648" t="s">
        <v>2127</v>
      </c>
      <c r="E648" t="s">
        <v>113</v>
      </c>
      <c r="F648" t="str">
        <f>_xlfn.CONCAT(D648,", ",H648,", ",I648,", ","陕西省")</f>
        <v>灵沼街道, 长安区, 西安市, 陕西省</v>
      </c>
      <c r="G648">
        <v>21002</v>
      </c>
      <c r="H648" t="s">
        <v>3105</v>
      </c>
      <c r="I648" t="s">
        <v>3102</v>
      </c>
      <c r="J648">
        <f>VLOOKUP(F648,[1]!china_towns_second__2[[Column1]:[Y]],3,FALSE)</f>
        <v>34.156461621006102</v>
      </c>
      <c r="K648">
        <f>VLOOKUP(F648,[1]!china_towns_second__2[[Column1]:[Y]],2,FALSE)</f>
        <v>108.71827589999999</v>
      </c>
      <c r="L648" t="s">
        <v>4769</v>
      </c>
      <c r="M648" t="str">
        <f>VLOOKUP(H648,CHOOSE({1,2},Table11[Native],Table11[Name]),2,0)</f>
        <v>Cháng'ān Qū</v>
      </c>
      <c r="N648" s="13" t="str">
        <f>VLOOKUP(I648,CHOOSE({1,2},Table11[Native],Table11[Name]),2,0)</f>
        <v>Xī'ān Shì</v>
      </c>
      <c r="O648" s="13" t="str">
        <f t="shared" si="42"/>
        <v>Lingzhao Jiedao (Xī'ān Shì)</v>
      </c>
      <c r="P648" s="13" t="str">
        <f t="shared" si="43"/>
        <v>Lingzhao Jiedao (Xī'ān Shì)</v>
      </c>
    </row>
    <row r="649" spans="1:16" hidden="1" x14ac:dyDescent="0.25">
      <c r="A649" t="s">
        <v>140</v>
      </c>
      <c r="B649" t="str">
        <f t="shared" si="40"/>
        <v>Lìnhé Zhèn</v>
      </c>
      <c r="C649" t="str">
        <f t="shared" si="41"/>
        <v>Lìnhé Zhèn</v>
      </c>
      <c r="D649" t="s">
        <v>141</v>
      </c>
      <c r="E649" t="s">
        <v>7</v>
      </c>
      <c r="F649" t="str">
        <f>_xlfn.CONCAT(D649,", ",H649,", ",I649,", ","陕西省")</f>
        <v>蔺河镇, 岚皋县, 安康市, 陕西省</v>
      </c>
      <c r="G649">
        <v>7668</v>
      </c>
      <c r="H649" t="s">
        <v>3037</v>
      </c>
      <c r="I649" t="s">
        <v>3031</v>
      </c>
      <c r="J649">
        <f>VLOOKUP(F649,[1]!china_towns_second__2[[Column1]:[Y]],3,FALSE)</f>
        <v>32.3326240478603</v>
      </c>
      <c r="K649">
        <f>VLOOKUP(F649,[1]!china_towns_second__2[[Column1]:[Y]],2,FALSE)</f>
        <v>109.0005839</v>
      </c>
      <c r="L649" t="s">
        <v>4770</v>
      </c>
      <c r="M649" t="str">
        <f>VLOOKUP(H649,CHOOSE({1,2},Table11[Native],Table11[Name]),2,0)</f>
        <v>Lángāo Xiàn</v>
      </c>
      <c r="N649" s="13" t="str">
        <f>VLOOKUP(I649,CHOOSE({1,2},Table11[Native],Table11[Name]),2,0)</f>
        <v>Ānkāng Shì</v>
      </c>
      <c r="O649" s="13" t="str">
        <f t="shared" si="42"/>
        <v>Linhe Zhen (Ānkāng Shì)</v>
      </c>
      <c r="P649" s="13" t="str">
        <f t="shared" si="43"/>
        <v>Linhe Zhen (Ānkāng Shì)</v>
      </c>
    </row>
    <row r="650" spans="1:16" hidden="1" x14ac:dyDescent="0.25">
      <c r="A650" t="s">
        <v>1803</v>
      </c>
      <c r="B650" t="str">
        <f t="shared" si="40"/>
        <v>Línpíng Zhèn [incl. Shíniú Xiāng]</v>
      </c>
      <c r="C650" t="str">
        <f t="shared" si="41"/>
        <v>Línpíng Zhèn [incl. Shíniú Xiāng]</v>
      </c>
      <c r="D650" t="s">
        <v>1804</v>
      </c>
      <c r="E650" t="s">
        <v>7</v>
      </c>
      <c r="F650" t="str">
        <f>_xlfn.CONCAT(D650,", ",H650,", ",I650,", ","陕西省")</f>
        <v>临平镇, 乾县, 咸阳市, 陕西省</v>
      </c>
      <c r="G650">
        <v>40017</v>
      </c>
      <c r="H650" t="s">
        <v>3123</v>
      </c>
      <c r="I650" t="s">
        <v>3117</v>
      </c>
      <c r="J650">
        <f>VLOOKUP(F650,[1]!china_towns_second__2[[Column1]:[Y]],3,FALSE)</f>
        <v>34.489123297570004</v>
      </c>
      <c r="K650">
        <f>VLOOKUP(F650,[1]!china_towns_second__2[[Column1]:[Y]],2,FALSE)</f>
        <v>108.0627563</v>
      </c>
      <c r="L650" t="s">
        <v>4771</v>
      </c>
      <c r="M650" t="str">
        <f>VLOOKUP(H650,CHOOSE({1,2},Table11[Native],Table11[Name]),2,0)</f>
        <v>Qián Xiàn</v>
      </c>
      <c r="N650" s="13" t="str">
        <f>VLOOKUP(I650,CHOOSE({1,2},Table11[Native],Table11[Name]),2,0)</f>
        <v>Xiányáng Shì</v>
      </c>
      <c r="O650" s="13" t="str">
        <f t="shared" si="42"/>
        <v>Linping Zhen [incl. Shiniu Xiang] (Xiányáng Shì)</v>
      </c>
      <c r="P650" s="13" t="str">
        <f t="shared" si="43"/>
        <v>Linping Zhen [incl. Shiniu Xiang] (Xiányáng Shì)</v>
      </c>
    </row>
    <row r="651" spans="1:16" hidden="1" x14ac:dyDescent="0.25">
      <c r="A651" t="s">
        <v>810</v>
      </c>
      <c r="B651" t="str">
        <f t="shared" si="40"/>
        <v>Lípíng Zhèn [Yuánbà Zhèn]</v>
      </c>
      <c r="C651" t="str">
        <f t="shared" si="41"/>
        <v>Lípíng Zhèn [Yuánbà Zhèn]</v>
      </c>
      <c r="D651" t="s">
        <v>811</v>
      </c>
      <c r="E651" t="s">
        <v>7</v>
      </c>
      <c r="F651" t="str">
        <f>_xlfn.CONCAT(D651,", ",H651,", ",I651,", ","陕西省")</f>
        <v>元坝镇, 南郑区, 汉中市, 陕西省</v>
      </c>
      <c r="G651">
        <v>6502</v>
      </c>
      <c r="H651" t="s">
        <v>3066</v>
      </c>
      <c r="I651" t="s">
        <v>3059</v>
      </c>
      <c r="J651">
        <f>VLOOKUP(F651,[1]!china_towns_second__2[[Column1]:[Y]],3,FALSE)</f>
        <v>32.793105779894397</v>
      </c>
      <c r="K651">
        <f>VLOOKUP(F651,[1]!china_towns_second__2[[Column1]:[Y]],2,FALSE)</f>
        <v>106.60157100000001</v>
      </c>
      <c r="L651" t="s">
        <v>4772</v>
      </c>
      <c r="M651" t="str">
        <f>VLOOKUP(H651,CHOOSE({1,2},Table11[Native],Table11[Name]),2,0)</f>
        <v>Nánzhèng Qū</v>
      </c>
      <c r="N651" s="13" t="str">
        <f>VLOOKUP(I651,CHOOSE({1,2},Table11[Native],Table11[Name]),2,0)</f>
        <v>Hànzhōng Shì</v>
      </c>
      <c r="O651" s="13" t="str">
        <f t="shared" si="42"/>
        <v>Liping Zhen [Yuanba Zhen] (Hànzhōng Shì)</v>
      </c>
      <c r="P651" s="13" t="str">
        <f t="shared" si="43"/>
        <v>Liping Zhen [Yuanba Zhen] (Hànzhōng Shì)</v>
      </c>
    </row>
    <row r="652" spans="1:16" hidden="1" x14ac:dyDescent="0.25">
      <c r="A652" t="s">
        <v>2451</v>
      </c>
      <c r="B652" t="str">
        <f t="shared" si="40"/>
        <v>Lĭqú Zhèn</v>
      </c>
      <c r="C652" t="str">
        <f t="shared" si="41"/>
        <v>Lĭqú Zhèn</v>
      </c>
      <c r="D652" t="s">
        <v>2452</v>
      </c>
      <c r="E652" t="s">
        <v>7</v>
      </c>
      <c r="F652" t="str">
        <f>_xlfn.CONCAT(D652,", ",H652,", ",I652,", ","陕西省")</f>
        <v>李渠镇, 宝塔区, 延安市, 陕西省</v>
      </c>
      <c r="G652">
        <v>21167</v>
      </c>
      <c r="H652" t="s">
        <v>3135</v>
      </c>
      <c r="I652" t="s">
        <v>3133</v>
      </c>
      <c r="J652">
        <f>VLOOKUP(F652,[1]!china_towns_second__2[[Column1]:[Y]],3,FALSE)</f>
        <v>36.673660473395103</v>
      </c>
      <c r="K652">
        <f>VLOOKUP(F652,[1]!china_towns_second__2[[Column1]:[Y]],2,FALSE)</f>
        <v>109.57582600000001</v>
      </c>
      <c r="L652" t="s">
        <v>4773</v>
      </c>
      <c r="M652" t="str">
        <f>VLOOKUP(H652,CHOOSE({1,2},Table11[Native],Table11[Name]),2,0)</f>
        <v>Băotă Qū</v>
      </c>
      <c r="N652" s="13" t="str">
        <f>VLOOKUP(I652,CHOOSE({1,2},Table11[Native],Table11[Name]),2,0)</f>
        <v>Yán'ān Shì</v>
      </c>
      <c r="O652" s="13" t="str">
        <f t="shared" si="42"/>
        <v>Liqu Zhen (Yán'ān Shì)</v>
      </c>
      <c r="P652" s="13" t="str">
        <f t="shared" si="43"/>
        <v>Liqu Zhen (Yán'ān Shì)</v>
      </c>
    </row>
    <row r="653" spans="1:16" hidden="1" x14ac:dyDescent="0.25">
      <c r="A653" t="s">
        <v>2128</v>
      </c>
      <c r="B653" t="str">
        <f t="shared" si="40"/>
        <v>Líshān Jiēdào</v>
      </c>
      <c r="C653" t="str">
        <f t="shared" si="41"/>
        <v>Líshān Jiēdào</v>
      </c>
      <c r="D653" t="s">
        <v>2129</v>
      </c>
      <c r="E653" t="s">
        <v>113</v>
      </c>
      <c r="F653" t="str">
        <f>_xlfn.CONCAT(D653,", ",H653,", ",I653,", ","陕西省")</f>
        <v>骊山街道, 临潼区, 西安市, 陕西省</v>
      </c>
      <c r="G653">
        <v>82337</v>
      </c>
      <c r="H653" t="s">
        <v>3110</v>
      </c>
      <c r="I653" t="s">
        <v>3102</v>
      </c>
      <c r="J653">
        <f>VLOOKUP(F653,[1]!china_towns_second__2[[Column1]:[Y]],3,FALSE)</f>
        <v>34.3686822393177</v>
      </c>
      <c r="K653">
        <f>VLOOKUP(F653,[1]!china_towns_second__2[[Column1]:[Y]],2,FALSE)</f>
        <v>109.2162908</v>
      </c>
      <c r="L653" t="s">
        <v>4774</v>
      </c>
      <c r="M653" t="str">
        <f>VLOOKUP(H653,CHOOSE({1,2},Table11[Native],Table11[Name]),2,0)</f>
        <v>Líntóng Qū</v>
      </c>
      <c r="N653" s="13" t="str">
        <f>VLOOKUP(I653,CHOOSE({1,2},Table11[Native],Table11[Name]),2,0)</f>
        <v>Xī'ān Shì</v>
      </c>
      <c r="O653" s="13" t="str">
        <f t="shared" si="42"/>
        <v>Lishan Jiedao (Xī'ān Shì)</v>
      </c>
      <c r="P653" s="13" t="str">
        <f t="shared" si="43"/>
        <v>Lishan Jiedao (Xī'ān Shì)</v>
      </c>
    </row>
    <row r="654" spans="1:16" hidden="1" x14ac:dyDescent="0.25">
      <c r="A654" t="s">
        <v>1805</v>
      </c>
      <c r="B654" t="str">
        <f t="shared" si="40"/>
        <v>Lĭtái Jiēdào [incl. Yángcūn Jiēdào]</v>
      </c>
      <c r="C654" t="str">
        <f t="shared" si="41"/>
        <v>Lĭtái Jiēdào [incl. Yángcūn Jiēdào]</v>
      </c>
      <c r="D654" t="s">
        <v>1806</v>
      </c>
      <c r="E654" t="s">
        <v>113</v>
      </c>
      <c r="F654" t="str">
        <f>_xlfn.CONCAT(D654,", ",H654,", ",I654,", ","陕西省")</f>
        <v>李台街道, 杨陵区, 咸阳市, 陕西省</v>
      </c>
      <c r="G654">
        <v>52514</v>
      </c>
      <c r="H654" t="s">
        <v>3130</v>
      </c>
      <c r="I654" t="s">
        <v>3117</v>
      </c>
      <c r="J654">
        <f>VLOOKUP(F654,[1]!china_towns_second__2[[Column1]:[Y]],3,FALSE)</f>
        <v>34.253581875283999</v>
      </c>
      <c r="K654">
        <f>VLOOKUP(F654,[1]!china_towns_second__2[[Column1]:[Y]],2,FALSE)</f>
        <v>108.0828439</v>
      </c>
      <c r="L654" t="s">
        <v>4775</v>
      </c>
      <c r="M654" t="str">
        <f>VLOOKUP(H654,CHOOSE({1,2},Table11[Native],Table11[Name]),2,0)</f>
        <v>Yánglíng Qū</v>
      </c>
      <c r="N654" s="13" t="str">
        <f>VLOOKUP(I654,CHOOSE({1,2},Table11[Native],Table11[Name]),2,0)</f>
        <v>Xiányáng Shì</v>
      </c>
      <c r="O654" s="13" t="str">
        <f t="shared" si="42"/>
        <v>Litai Jiedao [incl. Yangcun Jiedao] (Xiányáng Shì)</v>
      </c>
      <c r="P654" s="13" t="str">
        <f t="shared" si="43"/>
        <v>Litai Jiedao [incl. Yangcun Jiedao] (Xiányáng Shì)</v>
      </c>
    </row>
    <row r="655" spans="1:16" hidden="1" x14ac:dyDescent="0.25">
      <c r="A655" t="s">
        <v>2130</v>
      </c>
      <c r="B655" t="str">
        <f t="shared" si="40"/>
        <v>Liùcūnbăo Jiēdào</v>
      </c>
      <c r="C655" t="str">
        <f t="shared" si="41"/>
        <v>Liùcūnbăo Jiēdào</v>
      </c>
      <c r="D655" t="s">
        <v>2131</v>
      </c>
      <c r="E655" t="s">
        <v>113</v>
      </c>
      <c r="F655" t="str">
        <f>_xlfn.CONCAT(D655,", ",H655,", ",I655,", ","陕西省")</f>
        <v>六村堡街道, 未央区, 西安市, 陕西省</v>
      </c>
      <c r="G655">
        <v>62333</v>
      </c>
      <c r="H655" t="s">
        <v>3111</v>
      </c>
      <c r="I655" t="s">
        <v>3102</v>
      </c>
      <c r="J655">
        <f>VLOOKUP(F655,[1]!china_towns_second__2[[Column1]:[Y]],3,FALSE)</f>
        <v>34.365479256796498</v>
      </c>
      <c r="K655">
        <f>VLOOKUP(F655,[1]!china_towns_second__2[[Column1]:[Y]],2,FALSE)</f>
        <v>108.87470980000001</v>
      </c>
      <c r="L655" t="s">
        <v>4776</v>
      </c>
      <c r="M655" t="str">
        <f>VLOOKUP(H655,CHOOSE({1,2},Table11[Native],Table11[Name]),2,0)</f>
        <v>Wèiyāng Qū</v>
      </c>
      <c r="N655" s="13" t="str">
        <f>VLOOKUP(I655,CHOOSE({1,2},Table11[Native],Table11[Name]),2,0)</f>
        <v>Xī'ān Shì</v>
      </c>
      <c r="O655" s="13" t="str">
        <f t="shared" si="42"/>
        <v>Liucunbao Jiedao (Xī'ān Shì)</v>
      </c>
      <c r="P655" s="13" t="str">
        <f t="shared" si="43"/>
        <v>Liucunbao Jiedao (Xī'ān Shì)</v>
      </c>
    </row>
    <row r="656" spans="1:16" hidden="1" x14ac:dyDescent="0.25">
      <c r="A656" t="s">
        <v>479</v>
      </c>
      <c r="B656" t="str">
        <f t="shared" si="40"/>
        <v>Liúfèngguān Zhèn [incl. Nánxīng Zhèn, Sānchà Zhèn, Wēnjiāngsì Xiāng]</v>
      </c>
      <c r="C656" t="str">
        <f t="shared" si="41"/>
        <v>Liúfèngguān Zhèn [incl. Nánxīng Zhèn, Sānchà Zhèn, Wēnjiāngsì Xiāng]</v>
      </c>
      <c r="D656" t="s">
        <v>480</v>
      </c>
      <c r="E656" t="s">
        <v>7</v>
      </c>
      <c r="F656" t="str">
        <f>_xlfn.CONCAT(D656,", ",H656,", ",I656,", ","陕西省")</f>
        <v>留凤关镇, 凤县, 宝鸡市, 陕西省</v>
      </c>
      <c r="G656">
        <v>14127</v>
      </c>
      <c r="H656" t="s">
        <v>3047</v>
      </c>
      <c r="I656" t="s">
        <v>3045</v>
      </c>
      <c r="J656">
        <f>VLOOKUP(F656,[1]!china_towns_second__2[[Column1]:[Y]],3,FALSE)</f>
        <v>33.771717101018602</v>
      </c>
      <c r="K656">
        <f>VLOOKUP(F656,[1]!china_towns_second__2[[Column1]:[Y]],2,FALSE)</f>
        <v>106.65174639999999</v>
      </c>
      <c r="L656" t="s">
        <v>4777</v>
      </c>
      <c r="M656" t="str">
        <f>VLOOKUP(H656,CHOOSE({1,2},Table11[Native],Table11[Name]),2,0)</f>
        <v>Fèng Xiàn</v>
      </c>
      <c r="N656" s="13" t="str">
        <f>VLOOKUP(I656,CHOOSE({1,2},Table11[Native],Table11[Name]),2,0)</f>
        <v>Băojī Shì</v>
      </c>
      <c r="O656" s="13" t="str">
        <f t="shared" si="42"/>
        <v>Liufengguan Zhen [incl. Nanxing Zhen, Sancha Zhen, Wenjiangsi Xiang] (Băojī Shì)</v>
      </c>
      <c r="P656" s="13" t="str">
        <f t="shared" si="43"/>
        <v>Liufengguan Zhen [incl. Nanxing Zhen, Sancha Zhen, Wenjiangsi Xiang] (Băojī Shì)</v>
      </c>
    </row>
    <row r="657" spans="1:16" hidden="1" x14ac:dyDescent="0.25">
      <c r="A657" t="s">
        <v>1530</v>
      </c>
      <c r="B657" t="str">
        <f t="shared" si="40"/>
        <v>Liúgŭ Zhèn</v>
      </c>
      <c r="C657" t="str">
        <f t="shared" si="41"/>
        <v>Liúgŭ Zhèn</v>
      </c>
      <c r="D657" t="s">
        <v>1531</v>
      </c>
      <c r="E657" t="s">
        <v>7</v>
      </c>
      <c r="F657" t="str">
        <f>_xlfn.CONCAT(D657,", ",H657,", ",I657,", ","陕西省")</f>
        <v>留古镇, 富平县, 渭南市, 陕西省</v>
      </c>
      <c r="G657">
        <v>29642</v>
      </c>
      <c r="H657" t="s">
        <v>3091</v>
      </c>
      <c r="I657" t="s">
        <v>3087</v>
      </c>
      <c r="J657">
        <f>VLOOKUP(F657,[1]!china_towns_second__2[[Column1]:[Y]],3,FALSE)</f>
        <v>34.731110945768201</v>
      </c>
      <c r="K657">
        <f>VLOOKUP(F657,[1]!china_towns_second__2[[Column1]:[Y]],2,FALSE)</f>
        <v>109.2828689</v>
      </c>
      <c r="L657" t="s">
        <v>4778</v>
      </c>
      <c r="M657" t="str">
        <f>VLOOKUP(H657,CHOOSE({1,2},Table11[Native],Table11[Name]),2,0)</f>
        <v>Fùpíng Xiàn</v>
      </c>
      <c r="N657" s="13" t="str">
        <f>VLOOKUP(I657,CHOOSE({1,2},Table11[Native],Table11[Name]),2,0)</f>
        <v>Wèinán Shì</v>
      </c>
      <c r="O657" s="13" t="str">
        <f t="shared" si="42"/>
        <v>Liugu Zhen (Wèinán Shì)</v>
      </c>
      <c r="P657" s="13" t="str">
        <f t="shared" si="43"/>
        <v>Liugu Zhen (Wèinán Shì)</v>
      </c>
    </row>
    <row r="658" spans="1:16" hidden="1" x14ac:dyDescent="0.25">
      <c r="A658" t="s">
        <v>2804</v>
      </c>
      <c r="B658" t="str">
        <f t="shared" si="40"/>
        <v>Liúguójù Zhèn [incl. Shànggāozhài Xiāng]</v>
      </c>
      <c r="C658" t="str">
        <f t="shared" si="41"/>
        <v>Liúguójù Zhèn [incl. Shànggāozhài Xiāng]</v>
      </c>
      <c r="D658" t="s">
        <v>2805</v>
      </c>
      <c r="E658" t="s">
        <v>7</v>
      </c>
      <c r="F658" t="str">
        <f>_xlfn.CONCAT(D658,", ",H658,", ",I658,", ","陕西省")</f>
        <v>刘国具镇, 佳县, 榆林市, 陕西省</v>
      </c>
      <c r="G658">
        <v>16929</v>
      </c>
      <c r="H658" t="s">
        <v>3152</v>
      </c>
      <c r="I658" t="s">
        <v>3148</v>
      </c>
      <c r="J658">
        <f>VLOOKUP(F658,[1]!china_towns_second__2[[Column1]:[Y]],3,FALSE)</f>
        <v>38.2701659867271</v>
      </c>
      <c r="K658">
        <f>VLOOKUP(F658,[1]!china_towns_second__2[[Column1]:[Y]],2,FALSE)</f>
        <v>110.37070300000001</v>
      </c>
      <c r="L658" t="s">
        <v>4779</v>
      </c>
      <c r="M658" t="str">
        <f>VLOOKUP(H658,CHOOSE({1,2},Table11[Native],Table11[Name]),2,0)</f>
        <v>Jiā Xiàn</v>
      </c>
      <c r="N658" s="13" t="str">
        <f>VLOOKUP(I658,CHOOSE({1,2},Table11[Native],Table11[Name]),2,0)</f>
        <v>Yúlín Shì</v>
      </c>
      <c r="O658" s="13" t="str">
        <f t="shared" si="42"/>
        <v>Liuguoju Zhen [incl. Shanggaozhai Xiang] (Yúlín Shì)</v>
      </c>
      <c r="P658" s="13" t="str">
        <f t="shared" si="43"/>
        <v>Liuguoju Zhen [incl. Shanggaozhai Xiang] (Yúlín Shì)</v>
      </c>
    </row>
    <row r="659" spans="1:16" hidden="1" x14ac:dyDescent="0.25">
      <c r="A659" t="s">
        <v>812</v>
      </c>
      <c r="B659" t="str">
        <f t="shared" si="40"/>
        <v>Liúhòu Zhèn</v>
      </c>
      <c r="C659" t="str">
        <f t="shared" si="41"/>
        <v>Liúhòu Zhèn</v>
      </c>
      <c r="D659" t="s">
        <v>813</v>
      </c>
      <c r="E659" t="s">
        <v>7</v>
      </c>
      <c r="F659" t="str">
        <f>_xlfn.CONCAT(D659,", ",H659,", ",I659,", ","陕西省")</f>
        <v>留侯镇, 留坝县, 汉中市, 陕西省</v>
      </c>
      <c r="G659">
        <v>2988</v>
      </c>
      <c r="H659" t="s">
        <v>3063</v>
      </c>
      <c r="I659" t="s">
        <v>3059</v>
      </c>
      <c r="J659">
        <f>VLOOKUP(F659,[1]!china_towns_second__2[[Column1]:[Y]],3,FALSE)</f>
        <v>33.613903518254197</v>
      </c>
      <c r="K659">
        <f>VLOOKUP(F659,[1]!china_towns_second__2[[Column1]:[Y]],2,FALSE)</f>
        <v>106.74608189999999</v>
      </c>
      <c r="L659" t="s">
        <v>4780</v>
      </c>
      <c r="M659" t="str">
        <f>VLOOKUP(H659,CHOOSE({1,2},Table11[Native],Table11[Name]),2,0)</f>
        <v>Liúbà Xiàn</v>
      </c>
      <c r="N659" s="13" t="str">
        <f>VLOOKUP(I659,CHOOSE({1,2},Table11[Native],Table11[Name]),2,0)</f>
        <v>Hànzhōng Shì</v>
      </c>
      <c r="O659" s="13" t="str">
        <f t="shared" si="42"/>
        <v>Liuhou Zhen (Hànzhōng Shì)</v>
      </c>
      <c r="P659" s="13" t="str">
        <f t="shared" si="43"/>
        <v>Liuhou Zhen (Hànzhōng Shì)</v>
      </c>
    </row>
    <row r="660" spans="1:16" hidden="1" x14ac:dyDescent="0.25">
      <c r="A660" t="s">
        <v>1532</v>
      </c>
      <c r="B660" t="str">
        <f t="shared" si="40"/>
        <v>Liújí Zhèn</v>
      </c>
      <c r="C660" t="str">
        <f t="shared" si="41"/>
        <v>Liújí Zhèn</v>
      </c>
      <c r="D660" t="s">
        <v>1533</v>
      </c>
      <c r="E660" t="s">
        <v>7</v>
      </c>
      <c r="F660" t="str">
        <f>_xlfn.CONCAT(D660,", ",H660,", ",I660,", ","陕西省")</f>
        <v>刘集镇, 富平县, 渭南市, 陕西省</v>
      </c>
      <c r="G660">
        <v>40169</v>
      </c>
      <c r="H660" t="s">
        <v>3091</v>
      </c>
      <c r="I660" t="s">
        <v>3087</v>
      </c>
      <c r="J660">
        <f>VLOOKUP(F660,[1]!china_towns_second__2[[Column1]:[Y]],3,FALSE)</f>
        <v>34.803147875545598</v>
      </c>
      <c r="K660">
        <f>VLOOKUP(F660,[1]!china_towns_second__2[[Column1]:[Y]],2,FALSE)</f>
        <v>109.3236313</v>
      </c>
      <c r="L660" t="s">
        <v>4781</v>
      </c>
      <c r="M660" t="str">
        <f>VLOOKUP(H660,CHOOSE({1,2},Table11[Native],Table11[Name]),2,0)</f>
        <v>Fùpíng Xiàn</v>
      </c>
      <c r="N660" s="13" t="str">
        <f>VLOOKUP(I660,CHOOSE({1,2},Table11[Native],Table11[Name]),2,0)</f>
        <v>Wèinán Shì</v>
      </c>
      <c r="O660" s="13" t="str">
        <f t="shared" si="42"/>
        <v>Liuji Zhen (Wèinán Shì)</v>
      </c>
      <c r="P660" s="13" t="str">
        <f t="shared" si="43"/>
        <v>Liuji Zhen (Wèinán Shì)</v>
      </c>
    </row>
    <row r="661" spans="1:16" hidden="1" x14ac:dyDescent="0.25">
      <c r="A661" t="s">
        <v>481</v>
      </c>
      <c r="B661" t="str">
        <f t="shared" si="40"/>
        <v>Liŭlín Zhèn (Băojī Shì)</v>
      </c>
      <c r="C661" t="str">
        <f t="shared" si="41"/>
        <v>Liŭlín Zhèn (Băojī Shì)</v>
      </c>
      <c r="D661" t="s">
        <v>482</v>
      </c>
      <c r="E661" t="s">
        <v>7</v>
      </c>
      <c r="F661" t="str">
        <f>_xlfn.CONCAT(D661,", ",H661,", ",I661,", ","陕西省")</f>
        <v>柳林镇, 凤翔区, 宝鸡市, 陕西省</v>
      </c>
      <c r="G661">
        <v>28545</v>
      </c>
      <c r="H661" t="s">
        <v>3048</v>
      </c>
      <c r="I661" t="s">
        <v>3045</v>
      </c>
      <c r="J661">
        <f>VLOOKUP(F661,[1]!china_towns_second__2[[Column1]:[Y]],3,FALSE)</f>
        <v>34.599986693470299</v>
      </c>
      <c r="K661">
        <f>VLOOKUP(F661,[1]!china_towns_second__2[[Column1]:[Y]],2,FALSE)</f>
        <v>107.289557</v>
      </c>
      <c r="L661" t="s">
        <v>4782</v>
      </c>
      <c r="M661" t="str">
        <f>VLOOKUP(H661,CHOOSE({1,2},Table11[Native],Table11[Name]),2,0)</f>
        <v>Fèngxiáng Qū</v>
      </c>
      <c r="N661" s="13" t="str">
        <f>VLOOKUP(I661,CHOOSE({1,2},Table11[Native],Table11[Name]),2,0)</f>
        <v>Băojī Shì</v>
      </c>
      <c r="O661" s="13" t="str">
        <f t="shared" si="42"/>
        <v>Liulin Zhen (Baoji Shi) (Băojī Shì)</v>
      </c>
      <c r="P661" s="13" t="str">
        <f t="shared" si="43"/>
        <v>Liulin Zhen (Baoji Shi) (Băojī Shì)</v>
      </c>
    </row>
    <row r="662" spans="1:16" hidden="1" x14ac:dyDescent="0.25">
      <c r="A662" t="s">
        <v>481</v>
      </c>
      <c r="B662" t="str">
        <f t="shared" si="40"/>
        <v>Liŭlín Zhèn (Yán'ān Shì)</v>
      </c>
      <c r="C662" t="str">
        <f t="shared" si="41"/>
        <v>Liŭlín Zhèn (Yán'ān Shì)</v>
      </c>
      <c r="D662" t="s">
        <v>482</v>
      </c>
      <c r="E662" t="s">
        <v>7</v>
      </c>
      <c r="F662" t="str">
        <f>_xlfn.CONCAT(D662,", ",H662,", ",I662,", ","陕西省")</f>
        <v>柳林镇, 宝塔区, 延安市, 陕西省</v>
      </c>
      <c r="G662">
        <v>46991</v>
      </c>
      <c r="H662" t="s">
        <v>3135</v>
      </c>
      <c r="I662" t="s">
        <v>3133</v>
      </c>
      <c r="J662">
        <f>VLOOKUP(F662,[1]!china_towns_second__2[[Column1]:[Y]],3,FALSE)</f>
        <v>36.475778677144604</v>
      </c>
      <c r="K662">
        <f>VLOOKUP(F662,[1]!china_towns_second__2[[Column1]:[Y]],2,FALSE)</f>
        <v>109.4668008</v>
      </c>
      <c r="L662" t="s">
        <v>4783</v>
      </c>
      <c r="M662" t="str">
        <f>VLOOKUP(H662,CHOOSE({1,2},Table11[Native],Table11[Name]),2,0)</f>
        <v>Băotă Qū</v>
      </c>
      <c r="N662" s="13" t="str">
        <f>VLOOKUP(I662,CHOOSE({1,2},Table11[Native],Table11[Name]),2,0)</f>
        <v>Yán'ān Shì</v>
      </c>
      <c r="O662" s="13" t="str">
        <f t="shared" si="42"/>
        <v>Liulin Zhen (Yan'an Shi) (Yán'ān Shì)</v>
      </c>
      <c r="P662" s="13" t="str">
        <f t="shared" si="43"/>
        <v>Liulin Zhen (Yan'an Shi) (Yán'ān Shì)</v>
      </c>
    </row>
    <row r="663" spans="1:16" hidden="1" x14ac:dyDescent="0.25">
      <c r="A663" t="s">
        <v>814</v>
      </c>
      <c r="B663" t="str">
        <f t="shared" si="40"/>
        <v>Liŭlín Zhèn [incl. Cuījiāshān Zhèn]</v>
      </c>
      <c r="C663" t="str">
        <f t="shared" si="41"/>
        <v>Liŭlín Zhèn [incl. Cuījiāshān Zhèn]</v>
      </c>
      <c r="D663" t="s">
        <v>482</v>
      </c>
      <c r="E663" t="s">
        <v>7</v>
      </c>
      <c r="F663" t="str">
        <f>_xlfn.CONCAT(D663,", ",H663,", ",I663,", ","陕西省")</f>
        <v>柳林镇, 城固县, 汉中市, 陕西省</v>
      </c>
      <c r="G663">
        <v>35762</v>
      </c>
      <c r="H663" t="s">
        <v>3060</v>
      </c>
      <c r="I663" t="s">
        <v>3059</v>
      </c>
      <c r="J663">
        <f>VLOOKUP(F663,[1]!china_towns_second__2[[Column1]:[Y]],3,FALSE)</f>
        <v>33.128874958301502</v>
      </c>
      <c r="K663">
        <f>VLOOKUP(F663,[1]!china_towns_second__2[[Column1]:[Y]],2,FALSE)</f>
        <v>107.2031121</v>
      </c>
      <c r="L663" t="s">
        <v>4784</v>
      </c>
      <c r="M663" t="str">
        <f>VLOOKUP(H663,CHOOSE({1,2},Table11[Native],Table11[Name]),2,0)</f>
        <v>Chénggù Xiàn</v>
      </c>
      <c r="N663" s="13" t="str">
        <f>VLOOKUP(I663,CHOOSE({1,2},Table11[Native],Table11[Name]),2,0)</f>
        <v>Hànzhōng Shì</v>
      </c>
      <c r="O663" s="13" t="str">
        <f t="shared" si="42"/>
        <v>Liulin Zhen [incl. Cuijiashan Zhen] (Hànzhōng Shì)</v>
      </c>
      <c r="P663" s="13" t="str">
        <f t="shared" si="43"/>
        <v>Liulin Zhen [incl. Cuijiashan Zhen] (Hànzhōng Shì)</v>
      </c>
    </row>
    <row r="664" spans="1:16" hidden="1" x14ac:dyDescent="0.25">
      <c r="A664" t="s">
        <v>1534</v>
      </c>
      <c r="B664" t="str">
        <f t="shared" si="40"/>
        <v>Liúqŭ Zhèn [incl. Wángliáo Zhèn]</v>
      </c>
      <c r="C664" t="str">
        <f t="shared" si="41"/>
        <v>Liúqŭ Zhèn [incl. Wángliáo Zhèn]</v>
      </c>
      <c r="D664" t="s">
        <v>1535</v>
      </c>
      <c r="E664" t="s">
        <v>7</v>
      </c>
      <c r="F664" t="str">
        <f>_xlfn.CONCAT(D664,", ",H664,", ",I664,", ","陕西省")</f>
        <v>流曲镇, 富平县, 渭南市, 陕西省</v>
      </c>
      <c r="G664">
        <v>59393</v>
      </c>
      <c r="H664" t="s">
        <v>3091</v>
      </c>
      <c r="I664" t="s">
        <v>3087</v>
      </c>
      <c r="J664">
        <f>VLOOKUP(F664,[1]!china_towns_second__2[[Column1]:[Y]],3,FALSE)</f>
        <v>34.857576756956597</v>
      </c>
      <c r="K664">
        <f>VLOOKUP(F664,[1]!china_towns_second__2[[Column1]:[Y]],2,FALSE)</f>
        <v>109.2555272</v>
      </c>
      <c r="L664" t="s">
        <v>4785</v>
      </c>
      <c r="M664" t="str">
        <f>VLOOKUP(H664,CHOOSE({1,2},Table11[Native],Table11[Name]),2,0)</f>
        <v>Fùpíng Xiàn</v>
      </c>
      <c r="N664" s="13" t="str">
        <f>VLOOKUP(I664,CHOOSE({1,2},Table11[Native],Table11[Name]),2,0)</f>
        <v>Wèinán Shì</v>
      </c>
      <c r="O664" s="13" t="str">
        <f t="shared" si="42"/>
        <v>Liuqu Zhen [incl. Wangliao Zhen] (Wèinán Shì)</v>
      </c>
      <c r="P664" s="13" t="str">
        <f t="shared" si="43"/>
        <v>Liuqu Zhen [incl. Wangliao Zhen] (Wèinán Shì)</v>
      </c>
    </row>
    <row r="665" spans="1:16" hidden="1" x14ac:dyDescent="0.25">
      <c r="A665" t="s">
        <v>815</v>
      </c>
      <c r="B665" t="str">
        <f t="shared" si="40"/>
        <v>Liŭshù Zhèn</v>
      </c>
      <c r="C665" t="str">
        <f t="shared" si="41"/>
        <v>Liŭshù Zhèn</v>
      </c>
      <c r="D665" t="s">
        <v>816</v>
      </c>
      <c r="E665" t="s">
        <v>7</v>
      </c>
      <c r="F665" t="str">
        <f>_xlfn.CONCAT(D665,", ",H665,", ",I665,", ","陕西省")</f>
        <v>柳树镇, 西乡县, 汉中市, 陕西省</v>
      </c>
      <c r="G665">
        <v>20126</v>
      </c>
      <c r="H665" t="s">
        <v>3068</v>
      </c>
      <c r="I665" t="s">
        <v>3059</v>
      </c>
      <c r="J665">
        <f>VLOOKUP(F665,[1]!china_towns_second__2[[Column1]:[Y]],3,FALSE)</f>
        <v>32.904050566852298</v>
      </c>
      <c r="K665">
        <f>VLOOKUP(F665,[1]!china_towns_second__2[[Column1]:[Y]],2,FALSE)</f>
        <v>107.6427669</v>
      </c>
      <c r="L665" t="s">
        <v>4786</v>
      </c>
      <c r="M665" t="str">
        <f>VLOOKUP(H665,CHOOSE({1,2},Table11[Native],Table11[Name]),2,0)</f>
        <v>Xīxiāng Xiàn</v>
      </c>
      <c r="N665" s="13" t="str">
        <f>VLOOKUP(I665,CHOOSE({1,2},Table11[Native],Table11[Name]),2,0)</f>
        <v>Hànzhōng Shì</v>
      </c>
      <c r="O665" s="13" t="str">
        <f t="shared" si="42"/>
        <v>Liushu Zhen (Hànzhōng Shì)</v>
      </c>
      <c r="P665" s="13" t="str">
        <f t="shared" si="43"/>
        <v>Liushu Zhen (Hànzhōng Shì)</v>
      </c>
    </row>
    <row r="666" spans="1:16" hidden="1" x14ac:dyDescent="0.25">
      <c r="A666" t="s">
        <v>142</v>
      </c>
      <c r="B666" t="str">
        <f t="shared" si="40"/>
        <v>Liúshuĭ Zhèn</v>
      </c>
      <c r="C666" t="str">
        <f t="shared" si="41"/>
        <v>Liúshuĭ Zhèn</v>
      </c>
      <c r="D666" t="s">
        <v>143</v>
      </c>
      <c r="E666" t="s">
        <v>7</v>
      </c>
      <c r="F666" t="str">
        <f>_xlfn.CONCAT(D666,", ",H666,", ",I666,", ","陕西省")</f>
        <v>流水镇, 汉滨区, 安康市, 陕西省</v>
      </c>
      <c r="G666">
        <v>11744</v>
      </c>
      <c r="H666" t="s">
        <v>3035</v>
      </c>
      <c r="I666" t="s">
        <v>3031</v>
      </c>
      <c r="J666">
        <f>VLOOKUP(F666,[1]!china_towns_second__2[[Column1]:[Y]],3,FALSE)</f>
        <v>32.611464592616699</v>
      </c>
      <c r="K666">
        <f>VLOOKUP(F666,[1]!china_towns_second__2[[Column1]:[Y]],2,FALSE)</f>
        <v>108.74815150000001</v>
      </c>
      <c r="L666" t="s">
        <v>4787</v>
      </c>
      <c r="M666" t="str">
        <f>VLOOKUP(H666,CHOOSE({1,2},Table11[Native],Table11[Name]),2,0)</f>
        <v>Hànbīn Qū</v>
      </c>
      <c r="N666" s="13" t="str">
        <f>VLOOKUP(I666,CHOOSE({1,2},Table11[Native],Table11[Name]),2,0)</f>
        <v>Ānkāng Shì</v>
      </c>
      <c r="O666" s="13" t="str">
        <f t="shared" si="42"/>
        <v>Liushui Zhen (Ānkāng Shì)</v>
      </c>
      <c r="P666" s="13" t="str">
        <f t="shared" si="43"/>
        <v>Liushui Zhen (Ānkāng Shì)</v>
      </c>
    </row>
    <row r="667" spans="1:16" hidden="1" x14ac:dyDescent="0.25">
      <c r="A667" t="s">
        <v>1142</v>
      </c>
      <c r="B667" t="str">
        <f t="shared" si="40"/>
        <v>Liúwān Jiēdào</v>
      </c>
      <c r="C667" t="str">
        <f t="shared" si="41"/>
        <v>Liúwān Jiēdào</v>
      </c>
      <c r="D667" t="s">
        <v>1143</v>
      </c>
      <c r="E667" t="s">
        <v>113</v>
      </c>
      <c r="F667" t="str">
        <f>_xlfn.CONCAT(D667,", ",H667,", ",I667,", ","陕西省")</f>
        <v>刘湾街道, 商州区, 商洛市, 陕西省</v>
      </c>
      <c r="G667">
        <v>23579</v>
      </c>
      <c r="H667" t="s">
        <v>3076</v>
      </c>
      <c r="I667" t="s">
        <v>3072</v>
      </c>
      <c r="J667">
        <f>VLOOKUP(F667,[1]!china_towns_second__2[[Column1]:[Y]],3,FALSE)</f>
        <v>33.801992304217002</v>
      </c>
      <c r="K667">
        <f>VLOOKUP(F667,[1]!china_towns_second__2[[Column1]:[Y]],2,FALSE)</f>
        <v>109.9144094</v>
      </c>
      <c r="L667" t="s">
        <v>4788</v>
      </c>
      <c r="M667" t="str">
        <f>VLOOKUP(H667,CHOOSE({1,2},Table11[Native],Table11[Name]),2,0)</f>
        <v>Shāngzhōu Qū</v>
      </c>
      <c r="N667" s="13" t="str">
        <f>VLOOKUP(I667,CHOOSE({1,2},Table11[Native],Table11[Name]),2,0)</f>
        <v>Shāngluò Shì</v>
      </c>
      <c r="O667" s="13" t="str">
        <f t="shared" si="42"/>
        <v>Liuwan Jiedao (Shāngluò Shì)</v>
      </c>
      <c r="P667" s="13" t="str">
        <f t="shared" si="43"/>
        <v>Liuwan Jiedao (Shāngluò Shì)</v>
      </c>
    </row>
    <row r="668" spans="1:16" hidden="1" x14ac:dyDescent="0.25">
      <c r="A668" t="s">
        <v>1144</v>
      </c>
      <c r="B668" t="str">
        <f t="shared" si="40"/>
        <v>Liúxiānpíng Xiāng</v>
      </c>
      <c r="C668" t="str">
        <f t="shared" si="41"/>
        <v>Liúxiānpíng Xiāng</v>
      </c>
      <c r="D668" t="s">
        <v>1145</v>
      </c>
      <c r="E668" t="s">
        <v>11</v>
      </c>
      <c r="F668" t="str">
        <f>_xlfn.CONCAT(D668,", ",H668,", ",I668,", ","陕西省")</f>
        <v>留仙坪乡, 丹凤县, 商洛市, 陕西省</v>
      </c>
      <c r="G668">
        <v>5753</v>
      </c>
      <c r="H668" t="s">
        <v>3073</v>
      </c>
      <c r="I668" t="s">
        <v>3072</v>
      </c>
      <c r="J668" t="e">
        <f>VLOOKUP(F668,[1]!china_towns_second__2[[Column1]:[Y]],3,FALSE)</f>
        <v>#N/A</v>
      </c>
      <c r="K668" t="e">
        <f>VLOOKUP(F668,[1]!china_towns_second__2[[Column1]:[Y]],2,FALSE)</f>
        <v>#N/A</v>
      </c>
      <c r="L668" t="s">
        <v>4789</v>
      </c>
      <c r="M668" t="str">
        <f>VLOOKUP(H668,CHOOSE({1,2},Table11[Native],Table11[Name]),2,0)</f>
        <v>Dānfèng Xiàn</v>
      </c>
      <c r="N668" s="13" t="str">
        <f>VLOOKUP(I668,CHOOSE({1,2},Table11[Native],Table11[Name]),2,0)</f>
        <v>Shāngluò Shì</v>
      </c>
      <c r="O668" s="13" t="str">
        <f t="shared" si="42"/>
        <v>Liuxianping Xiang (Shāngluò Shì)</v>
      </c>
      <c r="P668" s="13" t="str">
        <f t="shared" si="43"/>
        <v>Liuxianping Xiang (Shāngluò Shì)</v>
      </c>
    </row>
    <row r="669" spans="1:16" hidden="1" x14ac:dyDescent="0.25">
      <c r="A669" t="s">
        <v>1536</v>
      </c>
      <c r="B669" t="str">
        <f t="shared" si="40"/>
        <v>Liŭzhī Zhèn</v>
      </c>
      <c r="C669" t="str">
        <f t="shared" si="41"/>
        <v>Liŭzhī Zhèn</v>
      </c>
      <c r="D669" t="s">
        <v>1537</v>
      </c>
      <c r="E669" t="s">
        <v>7</v>
      </c>
      <c r="F669" t="str">
        <f>_xlfn.CONCAT(D669,", ",H669,", ",I669,", ","陕西省")</f>
        <v>柳枝镇, 华州区, 渭南市, 陕西省</v>
      </c>
      <c r="G669">
        <v>14215</v>
      </c>
      <c r="H669" t="s">
        <v>3096</v>
      </c>
      <c r="I669" t="s">
        <v>3087</v>
      </c>
      <c r="J669">
        <f>VLOOKUP(F669,[1]!china_towns_second__2[[Column1]:[Y]],3,FALSE)</f>
        <v>34.516126524357396</v>
      </c>
      <c r="K669">
        <f>VLOOKUP(F669,[1]!china_towns_second__2[[Column1]:[Y]],2,FALSE)</f>
        <v>109.8792655</v>
      </c>
      <c r="L669" t="s">
        <v>4790</v>
      </c>
      <c r="M669" t="str">
        <f>VLOOKUP(H669,CHOOSE({1,2},Table11[Native],Table11[Name]),2,0)</f>
        <v>Huázhōu Qū</v>
      </c>
      <c r="N669" s="13" t="str">
        <f>VLOOKUP(I669,CHOOSE({1,2},Table11[Native],Table11[Name]),2,0)</f>
        <v>Wèinán Shì</v>
      </c>
      <c r="O669" s="13" t="str">
        <f t="shared" si="42"/>
        <v>Liuzhi Zhen (Wèinán Shì)</v>
      </c>
      <c r="P669" s="13" t="str">
        <f t="shared" si="43"/>
        <v>Liuzhi Zhen (Wèinán Shì)</v>
      </c>
    </row>
    <row r="670" spans="1:16" hidden="1" x14ac:dyDescent="0.25">
      <c r="A670" t="s">
        <v>2806</v>
      </c>
      <c r="B670" t="str">
        <f t="shared" si="40"/>
        <v>Lĭxiàohé Xiāng</v>
      </c>
      <c r="C670" t="str">
        <f t="shared" si="41"/>
        <v>Lĭxiàohé Xiāng</v>
      </c>
      <c r="D670" t="s">
        <v>2807</v>
      </c>
      <c r="E670" t="s">
        <v>11</v>
      </c>
      <c r="F670" t="str">
        <f>_xlfn.CONCAT(D670,", ",H670,", ",I670,", ","陕西省")</f>
        <v>李孝河乡, 子洲县, 榆林市, 陕西省</v>
      </c>
      <c r="G670">
        <v>3381</v>
      </c>
      <c r="H670" t="s">
        <v>3160</v>
      </c>
      <c r="I670" t="s">
        <v>3148</v>
      </c>
      <c r="J670" t="e">
        <f>VLOOKUP(F670,[1]!china_towns_second__2[[Column1]:[Y]],3,FALSE)</f>
        <v>#N/A</v>
      </c>
      <c r="K670" t="e">
        <f>VLOOKUP(F670,[1]!china_towns_second__2[[Column1]:[Y]],2,FALSE)</f>
        <v>#N/A</v>
      </c>
      <c r="L670" t="s">
        <v>4791</v>
      </c>
      <c r="M670" t="str">
        <f>VLOOKUP(H670,CHOOSE({1,2},Table11[Native],Table11[Name]),2,0)</f>
        <v>Zizhōu Xiàn</v>
      </c>
      <c r="N670" s="13" t="str">
        <f>VLOOKUP(I670,CHOOSE({1,2},Table11[Native],Table11[Name]),2,0)</f>
        <v>Yúlín Shì</v>
      </c>
      <c r="O670" s="13" t="str">
        <f t="shared" si="42"/>
        <v>Lixiaohe Xiang (Yúlín Shì)</v>
      </c>
      <c r="P670" s="13" t="str">
        <f t="shared" si="43"/>
        <v>Lixiaohe Xiang (Yúlín Shì)</v>
      </c>
    </row>
    <row r="671" spans="1:16" hidden="1" x14ac:dyDescent="0.25">
      <c r="A671" t="s">
        <v>2132</v>
      </c>
      <c r="B671" t="str">
        <f t="shared" si="40"/>
        <v>Lìyáng Jiēdào</v>
      </c>
      <c r="C671" t="str">
        <f t="shared" si="41"/>
        <v>Lìyáng Jiēdào</v>
      </c>
      <c r="D671" t="s">
        <v>2133</v>
      </c>
      <c r="E671" t="s">
        <v>113</v>
      </c>
      <c r="F671" t="str">
        <f>_xlfn.CONCAT(D671,", ",H671,", ",I671,", ","陕西省")</f>
        <v>栎阳街道, 临潼区, 西安市, 陕西省</v>
      </c>
      <c r="G671">
        <v>28389</v>
      </c>
      <c r="H671" t="s">
        <v>3110</v>
      </c>
      <c r="I671" t="s">
        <v>3102</v>
      </c>
      <c r="J671">
        <f>VLOOKUP(F671,[1]!china_towns_second__2[[Column1]:[Y]],3,FALSE)</f>
        <v>34.578235536295303</v>
      </c>
      <c r="K671">
        <f>VLOOKUP(F671,[1]!china_towns_second__2[[Column1]:[Y]],2,FALSE)</f>
        <v>109.2012197</v>
      </c>
      <c r="L671" t="s">
        <v>4792</v>
      </c>
      <c r="M671" t="str">
        <f>VLOOKUP(H671,CHOOSE({1,2},Table11[Native],Table11[Name]),2,0)</f>
        <v>Líntóng Qū</v>
      </c>
      <c r="N671" s="13" t="str">
        <f>VLOOKUP(I671,CHOOSE({1,2},Table11[Native],Table11[Name]),2,0)</f>
        <v>Xī'ān Shì</v>
      </c>
      <c r="O671" s="13" t="str">
        <f t="shared" si="42"/>
        <v>Liyang Jiedao (Xī'ān Shì)</v>
      </c>
      <c r="P671" s="13" t="str">
        <f t="shared" si="43"/>
        <v>Liyang Jiedao (Xī'ān Shì)</v>
      </c>
    </row>
    <row r="672" spans="1:16" hidden="1" x14ac:dyDescent="0.25">
      <c r="A672" t="s">
        <v>817</v>
      </c>
      <c r="B672" t="str">
        <f t="shared" si="40"/>
        <v>Lìzibà Xiāng</v>
      </c>
      <c r="C672" t="str">
        <f t="shared" si="41"/>
        <v>Lìzibà Xiāng</v>
      </c>
      <c r="D672" t="s">
        <v>818</v>
      </c>
      <c r="E672" t="s">
        <v>11</v>
      </c>
      <c r="F672" t="str">
        <f>_xlfn.CONCAT(D672,", ",H672,", ",I672,", ","陕西省")</f>
        <v>栗子坝乡, 佛坪县, 汉中市, 陕西省</v>
      </c>
      <c r="G672">
        <v>1713</v>
      </c>
      <c r="H672" t="s">
        <v>3061</v>
      </c>
      <c r="I672" t="s">
        <v>3059</v>
      </c>
      <c r="J672" t="e">
        <f>VLOOKUP(F672,[1]!china_towns_second__2[[Column1]:[Y]],3,FALSE)</f>
        <v>#N/A</v>
      </c>
      <c r="K672" t="e">
        <f>VLOOKUP(F672,[1]!china_towns_second__2[[Column1]:[Y]],2,FALSE)</f>
        <v>#N/A</v>
      </c>
      <c r="L672" t="s">
        <v>4793</v>
      </c>
      <c r="M672" t="str">
        <f>VLOOKUP(H672,CHOOSE({1,2},Table11[Native],Table11[Name]),2,0)</f>
        <v>Fópíng Xiàn</v>
      </c>
      <c r="N672" s="13" t="str">
        <f>VLOOKUP(I672,CHOOSE({1,2},Table11[Native],Table11[Name]),2,0)</f>
        <v>Hànzhōng Shì</v>
      </c>
      <c r="O672" s="13" t="str">
        <f t="shared" si="42"/>
        <v>Liziba Xiang (Hànzhōng Shì)</v>
      </c>
      <c r="P672" s="13" t="str">
        <f t="shared" si="43"/>
        <v>Liziba Xiang (Hànzhōng Shì)</v>
      </c>
    </row>
    <row r="673" spans="1:16" hidden="1" x14ac:dyDescent="0.25">
      <c r="A673" t="s">
        <v>2808</v>
      </c>
      <c r="B673" t="str">
        <f t="shared" si="40"/>
        <v>Lóng Zhèn</v>
      </c>
      <c r="C673" t="str">
        <f t="shared" si="41"/>
        <v>Lóng Zhèn</v>
      </c>
      <c r="D673" t="s">
        <v>2809</v>
      </c>
      <c r="E673" t="s">
        <v>7</v>
      </c>
      <c r="F673" t="str">
        <f>_xlfn.CONCAT(D673,", ",H673,", ",I673,", ","陕西省")</f>
        <v>龙镇, 米脂县, 榆林市, 陕西省</v>
      </c>
      <c r="G673">
        <v>11365</v>
      </c>
      <c r="H673" t="s">
        <v>3154</v>
      </c>
      <c r="I673" t="s">
        <v>3148</v>
      </c>
      <c r="J673">
        <f>VLOOKUP(F673,[1]!china_towns_second__2[[Column1]:[Y]],3,FALSE)</f>
        <v>37.827781175425301</v>
      </c>
      <c r="K673">
        <f>VLOOKUP(F673,[1]!china_towns_second__2[[Column1]:[Y]],2,FALSE)</f>
        <v>109.9858866</v>
      </c>
      <c r="L673" t="s">
        <v>4794</v>
      </c>
      <c r="M673" t="str">
        <f>VLOOKUP(H673,CHOOSE({1,2},Table11[Native],Table11[Name]),2,0)</f>
        <v>Mĭzhī Xiàn</v>
      </c>
      <c r="N673" s="13" t="str">
        <f>VLOOKUP(I673,CHOOSE({1,2},Table11[Native],Table11[Name]),2,0)</f>
        <v>Yúlín Shì</v>
      </c>
      <c r="O673" s="13" t="str">
        <f t="shared" si="42"/>
        <v>Long Zhen (Yúlín Shì)</v>
      </c>
      <c r="P673" s="13" t="str">
        <f t="shared" si="43"/>
        <v>Long Zhen (Yúlín Shì)</v>
      </c>
    </row>
    <row r="674" spans="1:16" hidden="1" x14ac:dyDescent="0.25">
      <c r="A674" t="s">
        <v>1538</v>
      </c>
      <c r="B674" t="str">
        <f t="shared" si="40"/>
        <v>Lóngbèi Jiēdào</v>
      </c>
      <c r="C674" t="str">
        <f t="shared" si="41"/>
        <v>Lóngbèi Jiēdào</v>
      </c>
      <c r="D674" t="s">
        <v>1539</v>
      </c>
      <c r="E674" t="s">
        <v>113</v>
      </c>
      <c r="F674" t="str">
        <f>_xlfn.CONCAT(D674,", ",H674,", ",I674,", ","陕西省")</f>
        <v>龙背街道, 临渭区, 渭南市, 陕西省</v>
      </c>
      <c r="G674">
        <v>20455</v>
      </c>
      <c r="H674" t="s">
        <v>3097</v>
      </c>
      <c r="I674" t="s">
        <v>3087</v>
      </c>
      <c r="J674" t="e">
        <f>VLOOKUP(F674,[1]!china_towns_second__2[[Column1]:[Y]],3,FALSE)</f>
        <v>#N/A</v>
      </c>
      <c r="K674" t="e">
        <f>VLOOKUP(F674,[1]!china_towns_second__2[[Column1]:[Y]],2,FALSE)</f>
        <v>#N/A</v>
      </c>
      <c r="L674" t="s">
        <v>4795</v>
      </c>
      <c r="M674" t="str">
        <f>VLOOKUP(H674,CHOOSE({1,2},Table11[Native],Table11[Name]),2,0)</f>
        <v>Línwèi Qū</v>
      </c>
      <c r="N674" s="13" t="str">
        <f>VLOOKUP(I674,CHOOSE({1,2},Table11[Native],Table11[Name]),2,0)</f>
        <v>Wèinán Shì</v>
      </c>
      <c r="O674" s="13" t="str">
        <f t="shared" si="42"/>
        <v>Longbei Jiedao (Wèinán Shì)</v>
      </c>
      <c r="P674" s="13" t="str">
        <f t="shared" si="43"/>
        <v>Longbei Jiedao (Wèinán Shì)</v>
      </c>
    </row>
    <row r="675" spans="1:16" hidden="1" x14ac:dyDescent="0.25">
      <c r="A675" t="s">
        <v>1540</v>
      </c>
      <c r="B675" t="str">
        <f t="shared" si="40"/>
        <v>Lóngchí Zhèn</v>
      </c>
      <c r="C675" t="str">
        <f t="shared" si="41"/>
        <v>Lóngchí Zhèn</v>
      </c>
      <c r="D675" t="s">
        <v>1541</v>
      </c>
      <c r="E675" t="s">
        <v>7</v>
      </c>
      <c r="F675" t="str">
        <f>_xlfn.CONCAT(D675,", ",H675,", ",I675,", ","陕西省")</f>
        <v>龙池镇, 蒲城县, 渭南市, 陕西省</v>
      </c>
      <c r="G675">
        <v>33574</v>
      </c>
      <c r="H675" t="s">
        <v>3098</v>
      </c>
      <c r="I675" t="s">
        <v>3087</v>
      </c>
      <c r="J675">
        <f>VLOOKUP(F675,[1]!china_towns_second__2[[Column1]:[Y]],3,FALSE)</f>
        <v>34.810900400250098</v>
      </c>
      <c r="K675">
        <f>VLOOKUP(F675,[1]!china_towns_second__2[[Column1]:[Y]],2,FALSE)</f>
        <v>109.70701889999999</v>
      </c>
      <c r="L675" t="s">
        <v>4796</v>
      </c>
      <c r="M675" t="str">
        <f>VLOOKUP(H675,CHOOSE({1,2},Table11[Native],Table11[Name]),2,0)</f>
        <v>Púchéng Xiàn</v>
      </c>
      <c r="N675" s="13" t="str">
        <f>VLOOKUP(I675,CHOOSE({1,2},Table11[Native],Table11[Name]),2,0)</f>
        <v>Wèinán Shì</v>
      </c>
      <c r="O675" s="13" t="str">
        <f t="shared" si="42"/>
        <v>Longchi Zhen (Wèinán Shì)</v>
      </c>
      <c r="P675" s="13" t="str">
        <f t="shared" si="43"/>
        <v>Longchi Zhen (Wèinán Shì)</v>
      </c>
    </row>
    <row r="676" spans="1:16" hidden="1" x14ac:dyDescent="0.25">
      <c r="A676" t="s">
        <v>2453</v>
      </c>
      <c r="B676" t="str">
        <f t="shared" si="40"/>
        <v>Lóngfāng Zhèn [incl. Cāngcūn Xiāng]</v>
      </c>
      <c r="C676" t="str">
        <f t="shared" si="41"/>
        <v>Lóngfāng Zhèn [incl. Cāngcūn Xiāng]</v>
      </c>
      <c r="D676" t="s">
        <v>2454</v>
      </c>
      <c r="E676" t="s">
        <v>7</v>
      </c>
      <c r="F676" t="str">
        <f>_xlfn.CONCAT(D676,", ",H676,", ",I676,", ","陕西省")</f>
        <v>隆坊镇, 黄陵县, 延安市, 陕西省</v>
      </c>
      <c r="G676">
        <v>20188</v>
      </c>
      <c r="H676" t="s">
        <v>3138</v>
      </c>
      <c r="I676" t="s">
        <v>3133</v>
      </c>
      <c r="J676">
        <f>VLOOKUP(F676,[1]!china_towns_second__2[[Column1]:[Y]],3,FALSE)</f>
        <v>35.712472821773602</v>
      </c>
      <c r="K676">
        <f>VLOOKUP(F676,[1]!china_towns_second__2[[Column1]:[Y]],2,FALSE)</f>
        <v>109.1823055</v>
      </c>
      <c r="L676" t="s">
        <v>4797</v>
      </c>
      <c r="M676" t="str">
        <f>VLOOKUP(H676,CHOOSE({1,2},Table11[Native],Table11[Name]),2,0)</f>
        <v>Huánglíng Xiàn</v>
      </c>
      <c r="N676" s="13" t="str">
        <f>VLOOKUP(I676,CHOOSE({1,2},Table11[Native],Table11[Name]),2,0)</f>
        <v>Yán'ān Shì</v>
      </c>
      <c r="O676" s="13" t="str">
        <f t="shared" si="42"/>
        <v>Longfang Zhen [incl. Cangcun Xiang] (Yán'ān Shì)</v>
      </c>
      <c r="P676" s="13" t="str">
        <f t="shared" si="43"/>
        <v>Longfang Zhen [incl. Cangcun Xiang] (Yán'ān Shì)</v>
      </c>
    </row>
    <row r="677" spans="1:16" hidden="1" x14ac:dyDescent="0.25">
      <c r="A677" t="s">
        <v>1807</v>
      </c>
      <c r="B677" t="str">
        <f t="shared" si="40"/>
        <v>Lónggāo Zhèn [incl. Xiāngmiào Xiāng]</v>
      </c>
      <c r="C677" t="str">
        <f t="shared" si="41"/>
        <v>Lónggāo Zhèn [incl. Xiāngmiào Xiāng]</v>
      </c>
      <c r="D677" t="s">
        <v>1808</v>
      </c>
      <c r="E677" t="s">
        <v>7</v>
      </c>
      <c r="F677" t="str">
        <f>_xlfn.CONCAT(D677,", ",H677,", ",I677,", ","陕西省")</f>
        <v>龙高镇, 彬州市, 咸阳市, 陕西省</v>
      </c>
      <c r="G677">
        <v>28358</v>
      </c>
      <c r="H677" t="s">
        <v>3118</v>
      </c>
      <c r="I677" t="s">
        <v>3117</v>
      </c>
      <c r="J677">
        <f>VLOOKUP(F677,[1]!china_towns_second__2[[Column1]:[Y]],3,FALSE)</f>
        <v>34.924726023254003</v>
      </c>
      <c r="K677">
        <f>VLOOKUP(F677,[1]!china_towns_second__2[[Column1]:[Y]],2,FALSE)</f>
        <v>108.2884725</v>
      </c>
      <c r="L677" t="s">
        <v>4798</v>
      </c>
      <c r="M677" t="str">
        <f>VLOOKUP(H677,CHOOSE({1,2},Table11[Native],Table11[Name]),2,0)</f>
        <v>Bīnzhōu Shì</v>
      </c>
      <c r="N677" s="13" t="str">
        <f>VLOOKUP(I677,CHOOSE({1,2},Table11[Native],Table11[Name]),2,0)</f>
        <v>Xiányáng Shì</v>
      </c>
      <c r="O677" s="13" t="str">
        <f t="shared" si="42"/>
        <v>Longgao Zhen [incl. Xiangmiao Xiang] (Xiányáng Shì)</v>
      </c>
      <c r="P677" s="13" t="str">
        <f t="shared" si="43"/>
        <v>Longgao Zhen [incl. Xiangmiao Xiang] (Xiányáng Shì)</v>
      </c>
    </row>
    <row r="678" spans="1:16" hidden="1" x14ac:dyDescent="0.25">
      <c r="A678" t="s">
        <v>819</v>
      </c>
      <c r="B678" t="str">
        <f t="shared" si="40"/>
        <v>Lóngjiāng Jiēdào [incl. Shūjiāyíng Jiēdào]</v>
      </c>
      <c r="C678" t="str">
        <f t="shared" si="41"/>
        <v>Lóngjiāng Jiēdào [incl. Shūjiāyíng Jiēdào]</v>
      </c>
      <c r="D678" t="s">
        <v>820</v>
      </c>
      <c r="E678" t="s">
        <v>113</v>
      </c>
      <c r="F678" t="str">
        <f>_xlfn.CONCAT(D678,", ",H678,", ",I678,", ","陕西省")</f>
        <v>龙江街道, 汉台区, 汉中市, 陕西省</v>
      </c>
      <c r="G678">
        <v>31005</v>
      </c>
      <c r="H678" t="s">
        <v>3062</v>
      </c>
      <c r="I678" t="s">
        <v>3059</v>
      </c>
      <c r="J678">
        <f>VLOOKUP(F678,[1]!china_towns_second__2[[Column1]:[Y]],3,FALSE)</f>
        <v>33.118652527306502</v>
      </c>
      <c r="K678">
        <f>VLOOKUP(F678,[1]!china_towns_second__2[[Column1]:[Y]],2,FALSE)</f>
        <v>106.95982960000001</v>
      </c>
      <c r="L678" t="s">
        <v>4799</v>
      </c>
      <c r="M678" t="str">
        <f>VLOOKUP(H678,CHOOSE({1,2},Table11[Native],Table11[Name]),2,0)</f>
        <v>Hàntái Qū</v>
      </c>
      <c r="N678" s="13" t="str">
        <f>VLOOKUP(I678,CHOOSE({1,2},Table11[Native],Table11[Name]),2,0)</f>
        <v>Hànzhōng Shì</v>
      </c>
      <c r="O678" s="13" t="str">
        <f t="shared" si="42"/>
        <v>Longjiang Jiedao [incl. Shujiaying Jiedao] (Hànzhōng Shì)</v>
      </c>
      <c r="P678" s="13" t="str">
        <f t="shared" si="43"/>
        <v>Longjiang Jiedao [incl. Shujiaying Jiedao] (Hànzhōng Shì)</v>
      </c>
    </row>
    <row r="679" spans="1:16" hidden="1" x14ac:dyDescent="0.25">
      <c r="A679" t="s">
        <v>1146</v>
      </c>
      <c r="B679" t="str">
        <f t="shared" si="40"/>
        <v>Lóngjūzhài Jiēdào [incl. Yuèrì Xiāng, Zīyù Xiāng]</v>
      </c>
      <c r="C679" t="str">
        <f t="shared" si="41"/>
        <v>Lóngjūzhài Jiēdào [incl. Yuèrì Xiāng, Zīyù Xiāng]</v>
      </c>
      <c r="D679" t="s">
        <v>1147</v>
      </c>
      <c r="E679" t="s">
        <v>113</v>
      </c>
      <c r="F679" t="str">
        <f>_xlfn.CONCAT(D679,", ",H679,", ",I679,", ","陕西省")</f>
        <v>龙驹寨街道, 丹凤县, 商洛市, 陕西省</v>
      </c>
      <c r="G679">
        <v>83816</v>
      </c>
      <c r="H679" t="s">
        <v>3073</v>
      </c>
      <c r="I679" t="s">
        <v>3072</v>
      </c>
      <c r="J679" t="e">
        <f>VLOOKUP(F679,[1]!china_towns_second__2[[Column1]:[Y]],3,FALSE)</f>
        <v>#N/A</v>
      </c>
      <c r="K679" t="e">
        <f>VLOOKUP(F679,[1]!china_towns_second__2[[Column1]:[Y]],2,FALSE)</f>
        <v>#N/A</v>
      </c>
      <c r="L679" t="s">
        <v>4800</v>
      </c>
      <c r="M679" t="str">
        <f>VLOOKUP(H679,CHOOSE({1,2},Table11[Native],Table11[Name]),2,0)</f>
        <v>Dānfèng Xiàn</v>
      </c>
      <c r="N679" s="13" t="str">
        <f>VLOOKUP(I679,CHOOSE({1,2},Table11[Native],Table11[Name]),2,0)</f>
        <v>Shāngluò Shì</v>
      </c>
      <c r="O679" s="13" t="str">
        <f t="shared" si="42"/>
        <v>Longjuzhai Jiedao [incl. Yueri Xiang, Ziyu Xiang] (Shāngluò Shì)</v>
      </c>
      <c r="P679" s="13" t="str">
        <f t="shared" si="43"/>
        <v>Longjuzhai Jiedao [incl. Yueri Xiang, Ziyu Xiang] (Shāngluò Shì)</v>
      </c>
    </row>
    <row r="680" spans="1:16" hidden="1" x14ac:dyDescent="0.25">
      <c r="A680" t="s">
        <v>1542</v>
      </c>
      <c r="B680" t="str">
        <f t="shared" si="40"/>
        <v>Lóngmén Zhèn</v>
      </c>
      <c r="C680" t="str">
        <f t="shared" si="41"/>
        <v>Lóngmén Zhèn</v>
      </c>
      <c r="D680" t="s">
        <v>1543</v>
      </c>
      <c r="E680" t="s">
        <v>7</v>
      </c>
      <c r="F680" t="str">
        <f>_xlfn.CONCAT(D680,", ",H680,", ",I680,", ","陕西省")</f>
        <v>龙门镇, 韩城市, 渭南市, 陕西省</v>
      </c>
      <c r="G680">
        <v>55847</v>
      </c>
      <c r="H680" t="s">
        <v>3093</v>
      </c>
      <c r="I680" t="s">
        <v>3087</v>
      </c>
      <c r="J680">
        <f>VLOOKUP(F680,[1]!china_towns_second__2[[Column1]:[Y]],3,FALSE)</f>
        <v>35.604056010605802</v>
      </c>
      <c r="K680">
        <f>VLOOKUP(F680,[1]!china_towns_second__2[[Column1]:[Y]],2,FALSE)</f>
        <v>110.5465418</v>
      </c>
      <c r="L680" t="s">
        <v>4801</v>
      </c>
      <c r="M680" t="str">
        <f>VLOOKUP(H680,CHOOSE({1,2},Table11[Native],Table11[Name]),2,0)</f>
        <v>Hánchéng Shì</v>
      </c>
      <c r="N680" s="13" t="str">
        <f>VLOOKUP(I680,CHOOSE({1,2},Table11[Native],Table11[Name]),2,0)</f>
        <v>Wèinán Shì</v>
      </c>
      <c r="O680" s="13" t="str">
        <f t="shared" si="42"/>
        <v>Longmen Zhen (Wèinán Shì)</v>
      </c>
      <c r="P680" s="13" t="str">
        <f t="shared" si="43"/>
        <v>Longmen Zhen (Wèinán Shì)</v>
      </c>
    </row>
    <row r="681" spans="1:16" hidden="1" x14ac:dyDescent="0.25">
      <c r="A681" t="s">
        <v>821</v>
      </c>
      <c r="B681" t="str">
        <f t="shared" si="40"/>
        <v>Lóngtíng Zhèn [incl. Chángxī Xiāng]</v>
      </c>
      <c r="C681" t="str">
        <f t="shared" si="41"/>
        <v>Lóngtíng Zhèn [incl. Chángxī Xiāng]</v>
      </c>
      <c r="D681" t="s">
        <v>822</v>
      </c>
      <c r="E681" t="s">
        <v>7</v>
      </c>
      <c r="F681" t="str">
        <f>_xlfn.CONCAT(D681,", ",H681,", ",I681,", ","陕西省")</f>
        <v>龙亭镇, 洋县, 汉中市, 陕西省</v>
      </c>
      <c r="G681">
        <v>29391</v>
      </c>
      <c r="H681" t="s">
        <v>3069</v>
      </c>
      <c r="I681" t="s">
        <v>3059</v>
      </c>
      <c r="J681">
        <f>VLOOKUP(F681,[1]!china_towns_second__2[[Column1]:[Y]],3,FALSE)</f>
        <v>33.230943693943999</v>
      </c>
      <c r="K681">
        <f>VLOOKUP(F681,[1]!china_towns_second__2[[Column1]:[Y]],2,FALSE)</f>
        <v>107.63914870000001</v>
      </c>
      <c r="L681" t="s">
        <v>4802</v>
      </c>
      <c r="M681" t="str">
        <f>VLOOKUP(H681,CHOOSE({1,2},Table11[Native],Table11[Name]),2,0)</f>
        <v>Yáng Xiàn</v>
      </c>
      <c r="N681" s="13" t="str">
        <f>VLOOKUP(I681,CHOOSE({1,2},Table11[Native],Table11[Name]),2,0)</f>
        <v>Hànzhōng Shì</v>
      </c>
      <c r="O681" s="13" t="str">
        <f t="shared" si="42"/>
        <v>Longting Zhen [incl. Changxi Xiang] (Hànzhōng Shì)</v>
      </c>
      <c r="P681" s="13" t="str">
        <f t="shared" si="43"/>
        <v>Longting Zhen [incl. Changxi Xiang] (Hànzhōng Shì)</v>
      </c>
    </row>
    <row r="682" spans="1:16" hidden="1" x14ac:dyDescent="0.25">
      <c r="A682" t="s">
        <v>823</v>
      </c>
      <c r="B682" t="str">
        <f t="shared" si="40"/>
        <v>Lóngtóu Zhèn</v>
      </c>
      <c r="C682" t="str">
        <f t="shared" si="41"/>
        <v>Lóngtóu Zhèn</v>
      </c>
      <c r="D682" t="s">
        <v>824</v>
      </c>
      <c r="E682" t="s">
        <v>7</v>
      </c>
      <c r="F682" t="str">
        <f>_xlfn.CONCAT(D682,", ",H682,", ",I682,", ","陕西省")</f>
        <v>龙头镇, 城固县, 汉中市, 陕西省</v>
      </c>
      <c r="G682">
        <v>26277</v>
      </c>
      <c r="H682" t="s">
        <v>3060</v>
      </c>
      <c r="I682" t="s">
        <v>3059</v>
      </c>
      <c r="J682">
        <f>VLOOKUP(F682,[1]!china_towns_second__2[[Column1]:[Y]],3,FALSE)</f>
        <v>33.1796970390807</v>
      </c>
      <c r="K682">
        <f>VLOOKUP(F682,[1]!china_towns_second__2[[Column1]:[Y]],2,FALSE)</f>
        <v>107.23173199999999</v>
      </c>
      <c r="L682" t="s">
        <v>4803</v>
      </c>
      <c r="M682" t="str">
        <f>VLOOKUP(H682,CHOOSE({1,2},Table11[Native],Table11[Name]),2,0)</f>
        <v>Chénggù Xiàn</v>
      </c>
      <c r="N682" s="13" t="str">
        <f>VLOOKUP(I682,CHOOSE({1,2},Table11[Native],Table11[Name]),2,0)</f>
        <v>Hànzhōng Shì</v>
      </c>
      <c r="O682" s="13" t="str">
        <f t="shared" si="42"/>
        <v>Longtou Zhen (Hànzhōng Shì)</v>
      </c>
      <c r="P682" s="13" t="str">
        <f t="shared" si="43"/>
        <v>Longtou Zhen (Hànzhōng Shì)</v>
      </c>
    </row>
    <row r="683" spans="1:16" hidden="1" x14ac:dyDescent="0.25">
      <c r="A683" t="s">
        <v>144</v>
      </c>
      <c r="B683" t="str">
        <f t="shared" si="40"/>
        <v>Lóngwáng Zhèn</v>
      </c>
      <c r="C683" t="str">
        <f t="shared" si="41"/>
        <v>Lóngwáng Zhèn</v>
      </c>
      <c r="D683" t="s">
        <v>145</v>
      </c>
      <c r="E683" t="s">
        <v>7</v>
      </c>
      <c r="F683" t="str">
        <f>_xlfn.CONCAT(D683,", ",H683,", ",I683,", ","陕西省")</f>
        <v>龙王镇, 宁陕县, 安康市, 陕西省</v>
      </c>
      <c r="G683">
        <v>4683</v>
      </c>
      <c r="H683" t="s">
        <v>3038</v>
      </c>
      <c r="I683" t="s">
        <v>3031</v>
      </c>
      <c r="J683">
        <f>VLOOKUP(F683,[1]!china_towns_second__2[[Column1]:[Y]],3,FALSE)</f>
        <v>33.205626413773601</v>
      </c>
      <c r="K683">
        <f>VLOOKUP(F683,[1]!china_towns_second__2[[Column1]:[Y]],2,FALSE)</f>
        <v>108.4992732</v>
      </c>
      <c r="L683" t="s">
        <v>4804</v>
      </c>
      <c r="M683" t="str">
        <f>VLOOKUP(H683,CHOOSE({1,2},Table11[Native],Table11[Name]),2,0)</f>
        <v>Níngshăn Xiàn</v>
      </c>
      <c r="N683" s="13" t="str">
        <f>VLOOKUP(I683,CHOOSE({1,2},Table11[Native],Table11[Name]),2,0)</f>
        <v>Ānkāng Shì</v>
      </c>
      <c r="O683" s="13" t="str">
        <f t="shared" si="42"/>
        <v>Longwang Zhen (Ānkāng Shì)</v>
      </c>
      <c r="P683" s="13" t="str">
        <f t="shared" si="43"/>
        <v>Longwang Zhen (Ānkāng Shì)</v>
      </c>
    </row>
    <row r="684" spans="1:16" hidden="1" x14ac:dyDescent="0.25">
      <c r="A684" t="s">
        <v>1148</v>
      </c>
      <c r="B684" t="str">
        <f t="shared" si="40"/>
        <v>Lóngwángmiào Xiāng</v>
      </c>
      <c r="C684" t="str">
        <f t="shared" si="41"/>
        <v>Lóngwángmiào Xiāng</v>
      </c>
      <c r="D684" t="s">
        <v>1149</v>
      </c>
      <c r="E684" t="s">
        <v>11</v>
      </c>
      <c r="F684" t="str">
        <f>_xlfn.CONCAT(D684,", ",H684,", ",I684,", ","陕西省")</f>
        <v>龙王庙乡, 商州区, 商洛市, 陕西省</v>
      </c>
      <c r="G684">
        <v>6548</v>
      </c>
      <c r="H684" t="s">
        <v>3076</v>
      </c>
      <c r="I684" t="s">
        <v>3072</v>
      </c>
      <c r="J684" t="e">
        <f>VLOOKUP(F684,[1]!china_towns_second__2[[Column1]:[Y]],3,FALSE)</f>
        <v>#N/A</v>
      </c>
      <c r="K684" t="e">
        <f>VLOOKUP(F684,[1]!china_towns_second__2[[Column1]:[Y]],2,FALSE)</f>
        <v>#N/A</v>
      </c>
      <c r="L684" t="s">
        <v>4805</v>
      </c>
      <c r="M684" t="str">
        <f>VLOOKUP(H684,CHOOSE({1,2},Table11[Native],Table11[Name]),2,0)</f>
        <v>Shāngzhōu Qū</v>
      </c>
      <c r="N684" s="13" t="str">
        <f>VLOOKUP(I684,CHOOSE({1,2},Table11[Native],Table11[Name]),2,0)</f>
        <v>Shāngluò Shì</v>
      </c>
      <c r="O684" s="13" t="str">
        <f t="shared" si="42"/>
        <v>Longwangmiao Xiang (Shāngluò Shì)</v>
      </c>
      <c r="P684" s="13" t="str">
        <f t="shared" si="43"/>
        <v>Longwangmiao Xiang (Shāngluò Shì)</v>
      </c>
    </row>
    <row r="685" spans="1:16" hidden="1" x14ac:dyDescent="0.25">
      <c r="A685" t="s">
        <v>1544</v>
      </c>
      <c r="B685" t="str">
        <f t="shared" si="40"/>
        <v>Lóngyáng Zhèn</v>
      </c>
      <c r="C685" t="str">
        <f t="shared" si="41"/>
        <v>Lóngyáng Zhèn</v>
      </c>
      <c r="D685" t="s">
        <v>1545</v>
      </c>
      <c r="E685" t="s">
        <v>7</v>
      </c>
      <c r="F685" t="str">
        <f>_xlfn.CONCAT(D685,", ",H685,", ",I685,", ","陕西省")</f>
        <v>龙阳镇, 蒲城县, 渭南市, 陕西省</v>
      </c>
      <c r="G685">
        <v>25218</v>
      </c>
      <c r="H685" t="s">
        <v>3098</v>
      </c>
      <c r="I685" t="s">
        <v>3087</v>
      </c>
      <c r="J685">
        <f>VLOOKUP(F685,[1]!china_towns_second__2[[Column1]:[Y]],3,FALSE)</f>
        <v>34.859072758061401</v>
      </c>
      <c r="K685">
        <f>VLOOKUP(F685,[1]!china_towns_second__2[[Column1]:[Y]],2,FALSE)</f>
        <v>109.6851034</v>
      </c>
      <c r="L685" t="s">
        <v>4806</v>
      </c>
      <c r="M685" t="str">
        <f>VLOOKUP(H685,CHOOSE({1,2},Table11[Native],Table11[Name]),2,0)</f>
        <v>Púchéng Xiàn</v>
      </c>
      <c r="N685" s="13" t="str">
        <f>VLOOKUP(I685,CHOOSE({1,2},Table11[Native],Table11[Name]),2,0)</f>
        <v>Wèinán Shì</v>
      </c>
      <c r="O685" s="13" t="str">
        <f t="shared" si="42"/>
        <v>Longyang Zhen (Wèinán Shì)</v>
      </c>
      <c r="P685" s="13" t="str">
        <f t="shared" si="43"/>
        <v>Longyang Zhen (Wèinán Shì)</v>
      </c>
    </row>
    <row r="686" spans="1:16" hidden="1" x14ac:dyDescent="0.25">
      <c r="A686" t="s">
        <v>2810</v>
      </c>
      <c r="B686" t="str">
        <f t="shared" si="40"/>
        <v>Lóngzhōu Zhèn</v>
      </c>
      <c r="C686" t="str">
        <f t="shared" si="41"/>
        <v>Lóngzhōu Zhèn</v>
      </c>
      <c r="D686" t="s">
        <v>2811</v>
      </c>
      <c r="E686" t="s">
        <v>7</v>
      </c>
      <c r="F686" t="str">
        <f>_xlfn.CONCAT(D686,", ",H686,", ",I686,", ","陕西省")</f>
        <v>龙洲镇, 靖边县, 榆林市, 陕西省</v>
      </c>
      <c r="G686">
        <v>5572</v>
      </c>
      <c r="H686" t="s">
        <v>3153</v>
      </c>
      <c r="I686" t="s">
        <v>3148</v>
      </c>
      <c r="J686">
        <f>VLOOKUP(F686,[1]!china_towns_second__2[[Column1]:[Y]],3,FALSE)</f>
        <v>37.502859275300203</v>
      </c>
      <c r="K686">
        <f>VLOOKUP(F686,[1]!china_towns_second__2[[Column1]:[Y]],2,FALSE)</f>
        <v>109.0299964</v>
      </c>
      <c r="L686" t="s">
        <v>4807</v>
      </c>
      <c r="M686" t="str">
        <f>VLOOKUP(H686,CHOOSE({1,2},Table11[Native],Table11[Name]),2,0)</f>
        <v>Jìngbiān Xiàn</v>
      </c>
      <c r="N686" s="13" t="str">
        <f>VLOOKUP(I686,CHOOSE({1,2},Table11[Native],Table11[Name]),2,0)</f>
        <v>Yúlín Shì</v>
      </c>
      <c r="O686" s="13" t="str">
        <f t="shared" si="42"/>
        <v>Longzhou Zhen (Yúlín Shì)</v>
      </c>
      <c r="P686" s="13" t="str">
        <f t="shared" si="43"/>
        <v>Longzhou Zhen (Yúlín Shì)</v>
      </c>
    </row>
    <row r="687" spans="1:16" hidden="1" x14ac:dyDescent="0.25">
      <c r="A687" t="s">
        <v>2134</v>
      </c>
      <c r="B687" t="str">
        <f t="shared" si="40"/>
        <v>Lóuguān Zhèn</v>
      </c>
      <c r="C687" t="str">
        <f t="shared" si="41"/>
        <v>Lóuguān Zhèn</v>
      </c>
      <c r="D687" t="s">
        <v>2135</v>
      </c>
      <c r="E687" t="s">
        <v>7</v>
      </c>
      <c r="F687" t="str">
        <f>_xlfn.CONCAT(D687,", ",H687,", ",I687,", ","陕西省")</f>
        <v>楼观镇, 周至县, 西安市, 陕西省</v>
      </c>
      <c r="G687">
        <v>46642</v>
      </c>
      <c r="H687" t="s">
        <v>3115</v>
      </c>
      <c r="I687" t="s">
        <v>3102</v>
      </c>
      <c r="J687">
        <f>VLOOKUP(F687,[1]!china_towns_second__2[[Column1]:[Y]],3,FALSE)</f>
        <v>34.029963862154503</v>
      </c>
      <c r="K687">
        <f>VLOOKUP(F687,[1]!china_towns_second__2[[Column1]:[Y]],2,FALSE)</f>
        <v>108.2695061</v>
      </c>
      <c r="L687" t="s">
        <v>4808</v>
      </c>
      <c r="M687" t="str">
        <f>VLOOKUP(H687,CHOOSE({1,2},Table11[Native],Table11[Name]),2,0)</f>
        <v>Zhōuzhì Xiàn</v>
      </c>
      <c r="N687" s="13" t="str">
        <f>VLOOKUP(I687,CHOOSE({1,2},Table11[Native],Table11[Name]),2,0)</f>
        <v>Xī'ān Shì</v>
      </c>
      <c r="O687" s="13" t="str">
        <f t="shared" si="42"/>
        <v>Louguan Zhen (Xī'ān Shì)</v>
      </c>
      <c r="P687" s="13" t="str">
        <f t="shared" si="43"/>
        <v>Louguan Zhen (Xī'ān Shì)</v>
      </c>
    </row>
    <row r="688" spans="1:16" hidden="1" x14ac:dyDescent="0.25">
      <c r="A688" t="s">
        <v>2455</v>
      </c>
      <c r="B688" t="str">
        <f t="shared" si="40"/>
        <v>Lóupíng Xiāng</v>
      </c>
      <c r="C688" t="str">
        <f t="shared" si="41"/>
        <v>Lóupíng Xiāng</v>
      </c>
      <c r="D688" t="s">
        <v>2456</v>
      </c>
      <c r="E688" t="s">
        <v>11</v>
      </c>
      <c r="F688" t="str">
        <f>_xlfn.CONCAT(D688,", ",H688,", ",I688,", ","陕西省")</f>
        <v>楼坪乡, 安塞区, 延安市, 陕西省</v>
      </c>
      <c r="G688">
        <v>5183</v>
      </c>
      <c r="H688" t="s">
        <v>3134</v>
      </c>
      <c r="I688" t="s">
        <v>3133</v>
      </c>
      <c r="J688" t="e">
        <f>VLOOKUP(F688,[1]!china_towns_second__2[[Column1]:[Y]],3,FALSE)</f>
        <v>#N/A</v>
      </c>
      <c r="K688" t="e">
        <f>VLOOKUP(F688,[1]!china_towns_second__2[[Column1]:[Y]],2,FALSE)</f>
        <v>#N/A</v>
      </c>
      <c r="L688" t="s">
        <v>4809</v>
      </c>
      <c r="M688" t="str">
        <f>VLOOKUP(H688,CHOOSE({1,2},Table11[Native],Table11[Name]),2,0)</f>
        <v>Ānsài Qū</v>
      </c>
      <c r="N688" s="13" t="str">
        <f>VLOOKUP(I688,CHOOSE({1,2},Table11[Native],Table11[Name]),2,0)</f>
        <v>Yán'ān Shì</v>
      </c>
      <c r="O688" s="13" t="str">
        <f t="shared" si="42"/>
        <v>Louping Xiang (Yán'ān Shì)</v>
      </c>
      <c r="P688" s="13" t="str">
        <f t="shared" si="43"/>
        <v>Louping Xiang (Yán'ān Shì)</v>
      </c>
    </row>
    <row r="689" spans="1:16" hidden="1" x14ac:dyDescent="0.25">
      <c r="A689" t="s">
        <v>2457</v>
      </c>
      <c r="B689" t="str">
        <f t="shared" si="40"/>
        <v>Luánjiāpíng Xiāng</v>
      </c>
      <c r="C689" t="str">
        <f t="shared" si="41"/>
        <v>Luánjiāpíng Xiāng</v>
      </c>
      <c r="D689" t="s">
        <v>2458</v>
      </c>
      <c r="E689" t="s">
        <v>11</v>
      </c>
      <c r="F689" t="str">
        <f>_xlfn.CONCAT(D689,", ",H689,", ",I689,", ","陕西省")</f>
        <v>栾家坪乡, 子长市, 延安市, 陕西省</v>
      </c>
      <c r="G689">
        <v>9969</v>
      </c>
      <c r="H689" t="s">
        <v>3146</v>
      </c>
      <c r="I689" t="s">
        <v>3133</v>
      </c>
      <c r="J689" t="e">
        <f>VLOOKUP(F689,[1]!china_towns_second__2[[Column1]:[Y]],3,FALSE)</f>
        <v>#N/A</v>
      </c>
      <c r="K689" t="e">
        <f>VLOOKUP(F689,[1]!china_towns_second__2[[Column1]:[Y]],2,FALSE)</f>
        <v>#N/A</v>
      </c>
      <c r="L689" t="s">
        <v>4810</v>
      </c>
      <c r="M689" t="str">
        <f>VLOOKUP(H689,CHOOSE({1,2},Table11[Native],Table11[Name]),2,0)</f>
        <v>Zicháng Shì</v>
      </c>
      <c r="N689" s="13" t="str">
        <f>VLOOKUP(I689,CHOOSE({1,2},Table11[Native],Table11[Name]),2,0)</f>
        <v>Yán'ān Shì</v>
      </c>
      <c r="O689" s="13" t="str">
        <f t="shared" si="42"/>
        <v>Luanjiaping Xiang (Yán'ān Shì)</v>
      </c>
      <c r="P689" s="13" t="str">
        <f t="shared" si="43"/>
        <v>Luanjiaping Xiang (Yán'ān Shì)</v>
      </c>
    </row>
    <row r="690" spans="1:16" hidden="1" x14ac:dyDescent="0.25">
      <c r="A690" t="s">
        <v>2136</v>
      </c>
      <c r="B690" t="str">
        <f t="shared" si="40"/>
        <v>Luánzhèn Jiēdào</v>
      </c>
      <c r="C690" t="str">
        <f t="shared" si="41"/>
        <v>Luánzhèn Jiēdào</v>
      </c>
      <c r="D690" t="s">
        <v>2137</v>
      </c>
      <c r="E690" t="s">
        <v>113</v>
      </c>
      <c r="F690" t="str">
        <f>_xlfn.CONCAT(D690,", ",H690,", ",I690,", ","陕西省")</f>
        <v>滦镇街道, 长安区, 西安市, 陕西省</v>
      </c>
      <c r="G690">
        <v>56975</v>
      </c>
      <c r="H690" t="s">
        <v>3105</v>
      </c>
      <c r="I690" t="s">
        <v>3102</v>
      </c>
      <c r="J690">
        <f>VLOOKUP(F690,[1]!china_towns_second__2[[Column1]:[Y]],3,FALSE)</f>
        <v>33.940450536997901</v>
      </c>
      <c r="K690">
        <f>VLOOKUP(F690,[1]!china_towns_second__2[[Column1]:[Y]],2,FALSE)</f>
        <v>108.8405782</v>
      </c>
      <c r="L690" t="s">
        <v>4811</v>
      </c>
      <c r="M690" t="str">
        <f>VLOOKUP(H690,CHOOSE({1,2},Table11[Native],Table11[Name]),2,0)</f>
        <v>Cháng'ān Qū</v>
      </c>
      <c r="N690" s="13" t="str">
        <f>VLOOKUP(I690,CHOOSE({1,2},Table11[Native],Table11[Name]),2,0)</f>
        <v>Xī'ān Shì</v>
      </c>
      <c r="O690" s="13" t="str">
        <f t="shared" si="42"/>
        <v>Luanzhen Jiedao (Xī'ān Shì)</v>
      </c>
      <c r="P690" s="13" t="str">
        <f t="shared" si="43"/>
        <v>Luanzhen Jiedao (Xī'ān Shì)</v>
      </c>
    </row>
    <row r="691" spans="1:16" hidden="1" x14ac:dyDescent="0.25">
      <c r="A691" t="s">
        <v>1150</v>
      </c>
      <c r="B691" t="str">
        <f t="shared" si="40"/>
        <v>Luánzhuāng Zhèn [incl. Táopíng Xiāng]</v>
      </c>
      <c r="C691" t="str">
        <f t="shared" si="41"/>
        <v>Luánzhuāng Zhèn [incl. Táopíng Xiāng]</v>
      </c>
      <c r="D691" t="s">
        <v>1151</v>
      </c>
      <c r="E691" t="s">
        <v>7</v>
      </c>
      <c r="F691" t="str">
        <f>_xlfn.CONCAT(D691,", ",H691,", ",I691,", ","陕西省")</f>
        <v>峦庄镇, 丹凤县, 商洛市, 陕西省</v>
      </c>
      <c r="G691">
        <v>21044</v>
      </c>
      <c r="H691" t="s">
        <v>3073</v>
      </c>
      <c r="I691" t="s">
        <v>3072</v>
      </c>
      <c r="J691">
        <f>VLOOKUP(F691,[1]!china_towns_second__2[[Column1]:[Y]],3,FALSE)</f>
        <v>33.797646339421703</v>
      </c>
      <c r="K691">
        <f>VLOOKUP(F691,[1]!china_towns_second__2[[Column1]:[Y]],2,FALSE)</f>
        <v>110.556133</v>
      </c>
      <c r="L691" t="s">
        <v>4812</v>
      </c>
      <c r="M691" t="str">
        <f>VLOOKUP(H691,CHOOSE({1,2},Table11[Native],Table11[Name]),2,0)</f>
        <v>Dānfèng Xiàn</v>
      </c>
      <c r="N691" s="13" t="str">
        <f>VLOOKUP(I691,CHOOSE({1,2},Table11[Native],Table11[Name]),2,0)</f>
        <v>Shāngluò Shì</v>
      </c>
      <c r="O691" s="13" t="str">
        <f t="shared" si="42"/>
        <v>Luanzhuang Zhen [incl. Taoping Xiang] (Shāngluò Shì)</v>
      </c>
      <c r="P691" s="13" t="str">
        <f t="shared" si="43"/>
        <v>Luanzhuang Zhen [incl. Taoping Xiang] (Shāngluò Shì)</v>
      </c>
    </row>
    <row r="692" spans="1:16" hidden="1" x14ac:dyDescent="0.25">
      <c r="A692" t="s">
        <v>146</v>
      </c>
      <c r="B692" t="str">
        <f t="shared" si="40"/>
        <v>Lǚhé Zhèn [incl. Guìhuā Xiāng]</v>
      </c>
      <c r="C692" t="str">
        <f t="shared" si="41"/>
        <v>Lǚhé Zhèn [incl. Guìhuā Xiāng]</v>
      </c>
      <c r="D692" t="s">
        <v>147</v>
      </c>
      <c r="E692" t="s">
        <v>7</v>
      </c>
      <c r="F692" t="str">
        <f>_xlfn.CONCAT(D692,", ",H692,", ",I692,", ","陕西省")</f>
        <v>吕河镇, 旬阳县, 安康市, 陕西省</v>
      </c>
      <c r="G692">
        <v>25506</v>
      </c>
      <c r="H692" t="s">
        <v>3041</v>
      </c>
      <c r="I692" t="s">
        <v>3031</v>
      </c>
      <c r="J692">
        <f>VLOOKUP(F692,[1]!china_towns_second__2[[Column1]:[Y]],3,FALSE)</f>
        <v>32.730216579162601</v>
      </c>
      <c r="K692">
        <f>VLOOKUP(F692,[1]!china_towns_second__2[[Column1]:[Y]],2,FALSE)</f>
        <v>109.3727234</v>
      </c>
      <c r="L692" t="s">
        <v>4813</v>
      </c>
      <c r="M692" t="str">
        <f>VLOOKUP(H692,CHOOSE({1,2},Table11[Native],Table11[Name]),2,0)</f>
        <v>Xúnyáng Xiàn</v>
      </c>
      <c r="N692" s="13" t="str">
        <f>VLOOKUP(I692,CHOOSE({1,2},Table11[Native],Table11[Name]),2,0)</f>
        <v>Ānkāng Shì</v>
      </c>
      <c r="O692" s="13" t="str">
        <f t="shared" si="42"/>
        <v>Luhe Zhen [incl. Guihua Xiang] (Ānkāng Shì)</v>
      </c>
      <c r="P692" s="13" t="str">
        <f t="shared" si="43"/>
        <v>Luhe Zhen [incl. Guihua Xiang] (Ānkāng Shì)</v>
      </c>
    </row>
    <row r="693" spans="1:16" hidden="1" x14ac:dyDescent="0.25">
      <c r="A693" t="s">
        <v>1546</v>
      </c>
      <c r="B693" t="str">
        <f t="shared" si="40"/>
        <v>Lùjĭng Zhèn</v>
      </c>
      <c r="C693" t="str">
        <f t="shared" si="41"/>
        <v>Lùjĭng Zhèn</v>
      </c>
      <c r="D693" t="s">
        <v>1547</v>
      </c>
      <c r="E693" t="s">
        <v>7</v>
      </c>
      <c r="F693" t="str">
        <f>_xlfn.CONCAT(D693,", ",H693,", ",I693,", ","陕西省")</f>
        <v>路井镇, 合阳县, 渭南市, 陕西省</v>
      </c>
      <c r="G693">
        <v>38573</v>
      </c>
      <c r="H693" t="s">
        <v>3094</v>
      </c>
      <c r="I693" t="s">
        <v>3087</v>
      </c>
      <c r="J693">
        <f>VLOOKUP(F693,[1]!china_towns_second__2[[Column1]:[Y]],3,FALSE)</f>
        <v>35.073386974846102</v>
      </c>
      <c r="K693">
        <f>VLOOKUP(F693,[1]!china_towns_second__2[[Column1]:[Y]],2,FALSE)</f>
        <v>110.1037535</v>
      </c>
      <c r="L693" t="s">
        <v>4814</v>
      </c>
      <c r="M693" t="str">
        <f>VLOOKUP(H693,CHOOSE({1,2},Table11[Native],Table11[Name]),2,0)</f>
        <v>Héyáng Xiàn</v>
      </c>
      <c r="N693" s="13" t="str">
        <f>VLOOKUP(I693,CHOOSE({1,2},Table11[Native],Table11[Name]),2,0)</f>
        <v>Wèinán Shì</v>
      </c>
      <c r="O693" s="13" t="str">
        <f t="shared" si="42"/>
        <v>Lujing Zhen (Wèinán Shì)</v>
      </c>
      <c r="P693" s="13" t="str">
        <f t="shared" si="43"/>
        <v>Lujing Zhen (Wèinán Shì)</v>
      </c>
    </row>
    <row r="694" spans="1:16" hidden="1" x14ac:dyDescent="0.25">
      <c r="A694" t="s">
        <v>1548</v>
      </c>
      <c r="B694" t="str">
        <f t="shared" si="40"/>
        <v>Luòbīn Zhèn</v>
      </c>
      <c r="C694" t="str">
        <f t="shared" si="41"/>
        <v>Luòbīn Zhèn</v>
      </c>
      <c r="D694" t="s">
        <v>1549</v>
      </c>
      <c r="E694" t="s">
        <v>7</v>
      </c>
      <c r="F694" t="str">
        <f>_xlfn.CONCAT(D694,", ",H694,", ",I694,", ","陕西省")</f>
        <v>洛滨镇, 蒲城县, 渭南市, 陕西省</v>
      </c>
      <c r="G694">
        <v>27946</v>
      </c>
      <c r="H694" t="s">
        <v>3098</v>
      </c>
      <c r="I694" t="s">
        <v>3087</v>
      </c>
      <c r="J694">
        <f>VLOOKUP(F694,[1]!china_towns_second__2[[Column1]:[Y]],3,FALSE)</f>
        <v>35.095357534320101</v>
      </c>
      <c r="K694">
        <f>VLOOKUP(F694,[1]!china_towns_second__2[[Column1]:[Y]],2,FALSE)</f>
        <v>109.7954865</v>
      </c>
      <c r="L694" t="s">
        <v>4815</v>
      </c>
      <c r="M694" t="str">
        <f>VLOOKUP(H694,CHOOSE({1,2},Table11[Native],Table11[Name]),2,0)</f>
        <v>Púchéng Xiàn</v>
      </c>
      <c r="N694" s="13" t="str">
        <f>VLOOKUP(I694,CHOOSE({1,2},Table11[Native],Table11[Name]),2,0)</f>
        <v>Wèinán Shì</v>
      </c>
      <c r="O694" s="13" t="str">
        <f t="shared" si="42"/>
        <v>Luobin Zhen (Wèinán Shì)</v>
      </c>
      <c r="P694" s="13" t="str">
        <f t="shared" si="43"/>
        <v>Luobin Zhen (Wèinán Shì)</v>
      </c>
    </row>
    <row r="695" spans="1:16" hidden="1" x14ac:dyDescent="0.25">
      <c r="A695" t="s">
        <v>1550</v>
      </c>
      <c r="B695" t="str">
        <f t="shared" si="40"/>
        <v>Luōfū Zhèn [Fūshuĭ Zhèn]</v>
      </c>
      <c r="C695" t="str">
        <f t="shared" si="41"/>
        <v>Luōfū Zhèn [Fūshuĭ Zhèn]</v>
      </c>
      <c r="D695" t="s">
        <v>1551</v>
      </c>
      <c r="E695" t="s">
        <v>7</v>
      </c>
      <c r="F695" t="str">
        <f>_xlfn.CONCAT(D695,", ",H695,", ",I695,", ","陕西省")</f>
        <v>罗敷镇, 华阴市, 渭南市, 陕西省</v>
      </c>
      <c r="G695">
        <v>28794</v>
      </c>
      <c r="H695" t="s">
        <v>3095</v>
      </c>
      <c r="I695" t="s">
        <v>3087</v>
      </c>
      <c r="J695">
        <f>VLOOKUP(F695,[1]!china_towns_second__2[[Column1]:[Y]],3,FALSE)</f>
        <v>34.470883952477699</v>
      </c>
      <c r="K695">
        <f>VLOOKUP(F695,[1]!china_towns_second__2[[Column1]:[Y]],2,FALSE)</f>
        <v>109.9630861</v>
      </c>
      <c r="L695" t="s">
        <v>4816</v>
      </c>
      <c r="M695" t="str">
        <f>VLOOKUP(H695,CHOOSE({1,2},Table11[Native],Table11[Name]),2,0)</f>
        <v>Huáyīn Shì</v>
      </c>
      <c r="N695" s="13" t="str">
        <f>VLOOKUP(I695,CHOOSE({1,2},Table11[Native],Table11[Name]),2,0)</f>
        <v>Wèinán Shì</v>
      </c>
      <c r="O695" s="13" t="str">
        <f t="shared" si="42"/>
        <v>Luofu Zhen [Fushui Zhen] (Wèinán Shì)</v>
      </c>
      <c r="P695" s="13" t="str">
        <f t="shared" si="43"/>
        <v>Luofu Zhen [Fushui Zhen] (Wèinán Shì)</v>
      </c>
    </row>
    <row r="696" spans="1:16" hidden="1" x14ac:dyDescent="0.25">
      <c r="A696" t="s">
        <v>148</v>
      </c>
      <c r="B696" t="str">
        <f t="shared" si="40"/>
        <v>Luòhé Zhèn</v>
      </c>
      <c r="C696" t="str">
        <f t="shared" si="41"/>
        <v>Luòhé Zhèn</v>
      </c>
      <c r="D696" t="s">
        <v>149</v>
      </c>
      <c r="E696" t="s">
        <v>7</v>
      </c>
      <c r="F696" t="str">
        <f>_xlfn.CONCAT(D696,", ",H696,", ",I696,", ","陕西省")</f>
        <v>洛河镇, 平利县, 安康市, 陕西省</v>
      </c>
      <c r="G696">
        <v>13101</v>
      </c>
      <c r="H696" t="s">
        <v>3039</v>
      </c>
      <c r="I696" t="s">
        <v>3031</v>
      </c>
      <c r="J696">
        <f>VLOOKUP(F696,[1]!china_towns_second__2[[Column1]:[Y]],3,FALSE)</f>
        <v>32.296221469669497</v>
      </c>
      <c r="K696">
        <f>VLOOKUP(F696,[1]!china_towns_second__2[[Column1]:[Y]],2,FALSE)</f>
        <v>109.1740217</v>
      </c>
      <c r="L696" t="s">
        <v>4817</v>
      </c>
      <c r="M696" t="str">
        <f>VLOOKUP(H696,CHOOSE({1,2},Table11[Native],Table11[Name]),2,0)</f>
        <v>Pínglì Xiàn</v>
      </c>
      <c r="N696" s="13" t="str">
        <f>VLOOKUP(I696,CHOOSE({1,2},Table11[Native],Table11[Name]),2,0)</f>
        <v>Ānkāng Shì</v>
      </c>
      <c r="O696" s="13" t="str">
        <f t="shared" si="42"/>
        <v>Luohe Zhen (Ānkāng Shì)</v>
      </c>
      <c r="P696" s="13" t="str">
        <f t="shared" si="43"/>
        <v>Luohe Zhen (Ānkāng Shì)</v>
      </c>
    </row>
    <row r="697" spans="1:16" hidden="1" x14ac:dyDescent="0.25">
      <c r="A697" t="s">
        <v>825</v>
      </c>
      <c r="B697" t="str">
        <f t="shared" si="40"/>
        <v>Luòjiābà Zhèn</v>
      </c>
      <c r="C697" t="str">
        <f t="shared" si="41"/>
        <v>Luòjiābà Zhèn</v>
      </c>
      <c r="D697" t="s">
        <v>826</v>
      </c>
      <c r="E697" t="s">
        <v>7</v>
      </c>
      <c r="F697" t="str">
        <f>_xlfn.CONCAT(D697,", ",H697,", ",I697,", ","陕西省")</f>
        <v>骆家坝镇, 西乡县, 汉中市, 陕西省</v>
      </c>
      <c r="G697">
        <v>7892</v>
      </c>
      <c r="H697" t="s">
        <v>3068</v>
      </c>
      <c r="I697" t="s">
        <v>3059</v>
      </c>
      <c r="J697">
        <f>VLOOKUP(F697,[1]!china_towns_second__2[[Column1]:[Y]],3,FALSE)</f>
        <v>32.786956371344402</v>
      </c>
      <c r="K697">
        <f>VLOOKUP(F697,[1]!china_towns_second__2[[Column1]:[Y]],2,FALSE)</f>
        <v>107.4411405</v>
      </c>
      <c r="L697" t="s">
        <v>4818</v>
      </c>
      <c r="M697" t="str">
        <f>VLOOKUP(H697,CHOOSE({1,2},Table11[Native],Table11[Name]),2,0)</f>
        <v>Xīxiāng Xiàn</v>
      </c>
      <c r="N697" s="13" t="str">
        <f>VLOOKUP(I697,CHOOSE({1,2},Table11[Native],Table11[Name]),2,0)</f>
        <v>Hànzhōng Shì</v>
      </c>
      <c r="O697" s="13" t="str">
        <f t="shared" si="42"/>
        <v>Luojiaba Zhen (Hànzhōng Shì)</v>
      </c>
      <c r="P697" s="13" t="str">
        <f t="shared" si="43"/>
        <v>Luojiaba Zhen (Hànzhōng Shì)</v>
      </c>
    </row>
    <row r="698" spans="1:16" hidden="1" x14ac:dyDescent="0.25">
      <c r="A698" t="s">
        <v>1552</v>
      </c>
      <c r="B698" t="str">
        <f t="shared" si="40"/>
        <v>Luójiāwā Xiāng</v>
      </c>
      <c r="C698" t="str">
        <f t="shared" si="41"/>
        <v>Luójiāwā Xiāng</v>
      </c>
      <c r="D698" t="s">
        <v>1553</v>
      </c>
      <c r="E698" t="s">
        <v>11</v>
      </c>
      <c r="F698" t="str">
        <f>_xlfn.CONCAT(D698,", ",H698,", ",I698,", ","陕西省")</f>
        <v>罗家洼乡, 澄城县, 渭南市, 陕西省</v>
      </c>
      <c r="G698">
        <v>16970</v>
      </c>
      <c r="H698" t="s">
        <v>3089</v>
      </c>
      <c r="I698" t="s">
        <v>3087</v>
      </c>
      <c r="J698" t="e">
        <f>VLOOKUP(F698,[1]!china_towns_second__2[[Column1]:[Y]],3,FALSE)</f>
        <v>#N/A</v>
      </c>
      <c r="K698" t="e">
        <f>VLOOKUP(F698,[1]!china_towns_second__2[[Column1]:[Y]],2,FALSE)</f>
        <v>#N/A</v>
      </c>
      <c r="L698" t="s">
        <v>4819</v>
      </c>
      <c r="M698" t="str">
        <f>VLOOKUP(H698,CHOOSE({1,2},Table11[Native],Table11[Name]),2,0)</f>
        <v>Chéngchéng Xiàn</v>
      </c>
      <c r="N698" s="13" t="str">
        <f>VLOOKUP(I698,CHOOSE({1,2},Table11[Native],Table11[Name]),2,0)</f>
        <v>Wèinán Shì</v>
      </c>
      <c r="O698" s="13" t="str">
        <f t="shared" si="42"/>
        <v>Luojiawa Xiang (Wèinán Shì)</v>
      </c>
      <c r="P698" s="13" t="str">
        <f t="shared" si="43"/>
        <v>Luojiawa Xiang (Wèinán Shì)</v>
      </c>
    </row>
    <row r="699" spans="1:16" hidden="1" x14ac:dyDescent="0.25">
      <c r="A699" t="s">
        <v>2138</v>
      </c>
      <c r="B699" t="str">
        <f t="shared" si="40"/>
        <v>Luòyù Zhèn</v>
      </c>
      <c r="C699" t="str">
        <f t="shared" si="41"/>
        <v>Luòyù Zhèn</v>
      </c>
      <c r="D699" t="s">
        <v>2139</v>
      </c>
      <c r="E699" t="s">
        <v>7</v>
      </c>
      <c r="F699" t="str">
        <f>_xlfn.CONCAT(D699,", ",H699,", ",I699,", ","陕西省")</f>
        <v>骆峪镇, 周至县, 西安市, 陕西省</v>
      </c>
      <c r="G699">
        <v>5393</v>
      </c>
      <c r="H699" t="s">
        <v>3115</v>
      </c>
      <c r="I699" t="s">
        <v>3102</v>
      </c>
      <c r="J699">
        <f>VLOOKUP(F699,[1]!china_towns_second__2[[Column1]:[Y]],3,FALSE)</f>
        <v>34.033054972682002</v>
      </c>
      <c r="K699">
        <f>VLOOKUP(F699,[1]!china_towns_second__2[[Column1]:[Y]],2,FALSE)</f>
        <v>108.05646830000001</v>
      </c>
      <c r="L699" t="s">
        <v>4820</v>
      </c>
      <c r="M699" t="str">
        <f>VLOOKUP(H699,CHOOSE({1,2},Table11[Native],Table11[Name]),2,0)</f>
        <v>Zhōuzhì Xiàn</v>
      </c>
      <c r="N699" s="13" t="str">
        <f>VLOOKUP(I699,CHOOSE({1,2},Table11[Native],Table11[Name]),2,0)</f>
        <v>Xī'ān Shì</v>
      </c>
      <c r="O699" s="13" t="str">
        <f t="shared" si="42"/>
        <v>Luoyu Zhen (Xī'ān Shì)</v>
      </c>
      <c r="P699" s="13" t="str">
        <f t="shared" si="43"/>
        <v>Luoyu Zhen (Xī'ān Shì)</v>
      </c>
    </row>
    <row r="700" spans="1:16" hidden="1" x14ac:dyDescent="0.25">
      <c r="A700" t="s">
        <v>1152</v>
      </c>
      <c r="B700" t="str">
        <f t="shared" si="40"/>
        <v>Luòyuán Zhèn</v>
      </c>
      <c r="C700" t="str">
        <f t="shared" si="41"/>
        <v>Luòyuán Zhèn</v>
      </c>
      <c r="D700" t="s">
        <v>1153</v>
      </c>
      <c r="E700" t="s">
        <v>7</v>
      </c>
      <c r="F700" t="str">
        <f>_xlfn.CONCAT(D700,", ",H700,", ",I700,", ","陕西省")</f>
        <v>洛源镇, 洛南县, 商洛市, 陕西省</v>
      </c>
      <c r="G700">
        <v>16672</v>
      </c>
      <c r="H700" t="s">
        <v>3074</v>
      </c>
      <c r="I700" t="s">
        <v>3072</v>
      </c>
      <c r="J700">
        <f>VLOOKUP(F700,[1]!china_towns_second__2[[Column1]:[Y]],3,FALSE)</f>
        <v>34.219316992004401</v>
      </c>
      <c r="K700">
        <f>VLOOKUP(F700,[1]!china_towns_second__2[[Column1]:[Y]],2,FALSE)</f>
        <v>109.8304351</v>
      </c>
      <c r="L700" t="s">
        <v>4821</v>
      </c>
      <c r="M700" t="str">
        <f>VLOOKUP(H700,CHOOSE({1,2},Table11[Native],Table11[Name]),2,0)</f>
        <v>Luònán Xiàn</v>
      </c>
      <c r="N700" s="13" t="str">
        <f>VLOOKUP(I700,CHOOSE({1,2},Table11[Native],Table11[Name]),2,0)</f>
        <v>Shāngluò Shì</v>
      </c>
      <c r="O700" s="13" t="str">
        <f t="shared" si="42"/>
        <v>Luoyuan Zhen (Shāngluò Shì)</v>
      </c>
      <c r="P700" s="13" t="str">
        <f t="shared" si="43"/>
        <v>Luoyuan Zhen (Shāngluò Shì)</v>
      </c>
    </row>
    <row r="701" spans="1:16" hidden="1" x14ac:dyDescent="0.25">
      <c r="A701" t="s">
        <v>2459</v>
      </c>
      <c r="B701" t="str">
        <f t="shared" si="40"/>
        <v>Luózishān Zhèn</v>
      </c>
      <c r="C701" t="str">
        <f t="shared" si="41"/>
        <v>Luózishān Zhèn</v>
      </c>
      <c r="D701" t="s">
        <v>2460</v>
      </c>
      <c r="E701" t="s">
        <v>7</v>
      </c>
      <c r="F701" t="str">
        <f>_xlfn.CONCAT(D701,", ",H701,", ",I701,", ","陕西省")</f>
        <v>罗子山镇, 延长县, 延安市, 陕西省</v>
      </c>
      <c r="G701">
        <v>4947</v>
      </c>
      <c r="H701" t="s">
        <v>3142</v>
      </c>
      <c r="I701" t="s">
        <v>3133</v>
      </c>
      <c r="J701">
        <f>VLOOKUP(F701,[1]!china_towns_second__2[[Column1]:[Y]],3,FALSE)</f>
        <v>36.541917851015498</v>
      </c>
      <c r="K701">
        <f>VLOOKUP(F701,[1]!china_towns_second__2[[Column1]:[Y]],2,FALSE)</f>
        <v>110.3803485</v>
      </c>
      <c r="L701" t="s">
        <v>4822</v>
      </c>
      <c r="M701" t="str">
        <f>VLOOKUP(H701,CHOOSE({1,2},Table11[Native],Table11[Name]),2,0)</f>
        <v>Yáncháng Xiàn</v>
      </c>
      <c r="N701" s="13" t="str">
        <f>VLOOKUP(I701,CHOOSE({1,2},Table11[Native],Table11[Name]),2,0)</f>
        <v>Yán'ān Shì</v>
      </c>
      <c r="O701" s="13" t="str">
        <f t="shared" si="42"/>
        <v>Luozishan Zhen (Yán'ān Shì)</v>
      </c>
      <c r="P701" s="13" t="str">
        <f t="shared" si="43"/>
        <v>Luozishan Zhen (Yán'ān Shì)</v>
      </c>
    </row>
    <row r="702" spans="1:16" hidden="1" x14ac:dyDescent="0.25">
      <c r="A702" t="s">
        <v>1809</v>
      </c>
      <c r="B702" t="str">
        <f t="shared" si="40"/>
        <v>Lŭqiáo Zhèn</v>
      </c>
      <c r="C702" t="str">
        <f t="shared" si="41"/>
        <v>Lŭqiáo Zhèn</v>
      </c>
      <c r="D702" t="s">
        <v>1810</v>
      </c>
      <c r="E702" t="s">
        <v>7</v>
      </c>
      <c r="F702" t="str">
        <f>_xlfn.CONCAT(D702,", ",H702,", ",I702,", ","陕西省")</f>
        <v>鲁桥镇, 三原县, 咸阳市, 陕西省</v>
      </c>
      <c r="G702">
        <v>24871</v>
      </c>
      <c r="H702" t="s">
        <v>3125</v>
      </c>
      <c r="I702" t="s">
        <v>3117</v>
      </c>
      <c r="J702">
        <f>VLOOKUP(F702,[1]!china_towns_second__2[[Column1]:[Y]],3,FALSE)</f>
        <v>34.672292263156997</v>
      </c>
      <c r="K702">
        <f>VLOOKUP(F702,[1]!china_towns_second__2[[Column1]:[Y]],2,FALSE)</f>
        <v>108.9263412</v>
      </c>
      <c r="L702" t="s">
        <v>4823</v>
      </c>
      <c r="M702" t="str">
        <f>VLOOKUP(H702,CHOOSE({1,2},Table11[Native],Table11[Name]),2,0)</f>
        <v>Sānyuán Xiàn</v>
      </c>
      <c r="N702" s="13" t="str">
        <f>VLOOKUP(I702,CHOOSE({1,2},Table11[Native],Table11[Name]),2,0)</f>
        <v>Xiányáng Shì</v>
      </c>
      <c r="O702" s="13" t="str">
        <f t="shared" si="42"/>
        <v>Luqiao Zhen (Xiányáng Shì)</v>
      </c>
      <c r="P702" s="13" t="str">
        <f t="shared" si="43"/>
        <v>Luqiao Zhen (Xiányáng Shì)</v>
      </c>
    </row>
    <row r="703" spans="1:16" hidden="1" x14ac:dyDescent="0.25">
      <c r="A703" t="s">
        <v>2140</v>
      </c>
      <c r="B703" t="str">
        <f t="shared" si="40"/>
        <v>Lùyuàn Jiēdào</v>
      </c>
      <c r="C703" t="str">
        <f t="shared" si="41"/>
        <v>Lùyuàn Jiēdào</v>
      </c>
      <c r="D703" t="s">
        <v>2141</v>
      </c>
      <c r="E703" t="s">
        <v>113</v>
      </c>
      <c r="F703" t="str">
        <f>_xlfn.CONCAT(D703,", ",H703,", ",I703,", ","陕西省")</f>
        <v>鹿苑街道, 高陵区, 西安市, 陕西省</v>
      </c>
      <c r="G703">
        <v>71556</v>
      </c>
      <c r="H703" t="s">
        <v>3106</v>
      </c>
      <c r="I703" t="s">
        <v>3102</v>
      </c>
      <c r="J703" t="e">
        <f>VLOOKUP(F703,[1]!china_towns_second__2[[Column1]:[Y]],3,FALSE)</f>
        <v>#N/A</v>
      </c>
      <c r="K703" t="e">
        <f>VLOOKUP(F703,[1]!china_towns_second__2[[Column1]:[Y]],2,FALSE)</f>
        <v>#N/A</v>
      </c>
      <c r="L703" t="s">
        <v>4824</v>
      </c>
      <c r="M703" t="str">
        <f>VLOOKUP(H703,CHOOSE({1,2},Table11[Native],Table11[Name]),2,0)</f>
        <v>Gāolíng Qū</v>
      </c>
      <c r="N703" s="13" t="str">
        <f>VLOOKUP(I703,CHOOSE({1,2},Table11[Native],Table11[Name]),2,0)</f>
        <v>Xī'ān Shì</v>
      </c>
      <c r="O703" s="13" t="str">
        <f t="shared" si="42"/>
        <v>Luyuan Jiedao (Xī'ān Shì)</v>
      </c>
      <c r="P703" s="13" t="str">
        <f t="shared" si="43"/>
        <v>Luyuan Jiedao (Xī'ān Shì)</v>
      </c>
    </row>
    <row r="704" spans="1:16" hidden="1" x14ac:dyDescent="0.25">
      <c r="A704" t="s">
        <v>2826</v>
      </c>
      <c r="B704" t="str">
        <f t="shared" si="40"/>
        <v>Mă Zhèn</v>
      </c>
      <c r="C704" t="str">
        <f t="shared" si="41"/>
        <v>Mă Zhèn</v>
      </c>
      <c r="D704" t="s">
        <v>2827</v>
      </c>
      <c r="E704" t="s">
        <v>7</v>
      </c>
      <c r="F704" t="str">
        <f>_xlfn.CONCAT(D704,", ",H704,", ",I704,", ","陕西省")</f>
        <v>马镇, 神木市, 榆林市, 陕西省</v>
      </c>
      <c r="G704">
        <v>4605</v>
      </c>
      <c r="H704" t="s">
        <v>3156</v>
      </c>
      <c r="I704" t="s">
        <v>3148</v>
      </c>
      <c r="J704">
        <f>VLOOKUP(F704,[1]!china_towns_second__2[[Column1]:[Y]],3,FALSE)</f>
        <v>38.640693117283803</v>
      </c>
      <c r="K704">
        <f>VLOOKUP(F704,[1]!china_towns_second__2[[Column1]:[Y]],2,FALSE)</f>
        <v>110.85155520000001</v>
      </c>
      <c r="L704" t="s">
        <v>4825</v>
      </c>
      <c r="M704" t="str">
        <f>VLOOKUP(H704,CHOOSE({1,2},Table11[Native],Table11[Name]),2,0)</f>
        <v>Shénmù Shì</v>
      </c>
      <c r="N704" s="13" t="str">
        <f>VLOOKUP(I704,CHOOSE({1,2},Table11[Native],Table11[Name]),2,0)</f>
        <v>Yúlín Shì</v>
      </c>
      <c r="O704" s="13" t="str">
        <f t="shared" si="42"/>
        <v>Ma Zhen (Yúlín Shì)</v>
      </c>
      <c r="P704" s="13" t="str">
        <f t="shared" si="43"/>
        <v>Ma Zhen (Yúlín Shì)</v>
      </c>
    </row>
    <row r="705" spans="1:16" hidden="1" x14ac:dyDescent="0.25">
      <c r="A705" t="s">
        <v>2812</v>
      </c>
      <c r="B705" t="str">
        <f t="shared" si="40"/>
        <v>Măchà Zhèn [incl. Huáishùchà Xiāng]</v>
      </c>
      <c r="C705" t="str">
        <f t="shared" si="41"/>
        <v>Măchà Zhèn [incl. Huáishùchà Xiāng]</v>
      </c>
      <c r="D705" t="s">
        <v>2813</v>
      </c>
      <c r="E705" t="s">
        <v>7</v>
      </c>
      <c r="F705" t="str">
        <f>_xlfn.CONCAT(D705,", ",H705,", ",I705,", ","陕西省")</f>
        <v>马岔镇, 子洲县, 榆林市, 陕西省</v>
      </c>
      <c r="G705">
        <v>15128</v>
      </c>
      <c r="H705" t="s">
        <v>3160</v>
      </c>
      <c r="I705" t="s">
        <v>3148</v>
      </c>
      <c r="J705">
        <f>VLOOKUP(F705,[1]!china_towns_second__2[[Column1]:[Y]],3,FALSE)</f>
        <v>37.572037743727897</v>
      </c>
      <c r="K705">
        <f>VLOOKUP(F705,[1]!china_towns_second__2[[Column1]:[Y]],2,FALSE)</f>
        <v>109.64222460000001</v>
      </c>
      <c r="L705" t="s">
        <v>4826</v>
      </c>
      <c r="M705" t="str">
        <f>VLOOKUP(H705,CHOOSE({1,2},Table11[Native],Table11[Name]),2,0)</f>
        <v>Zizhōu Xiàn</v>
      </c>
      <c r="N705" s="13" t="str">
        <f>VLOOKUP(I705,CHOOSE({1,2},Table11[Native],Table11[Name]),2,0)</f>
        <v>Yúlín Shì</v>
      </c>
      <c r="O705" s="13" t="str">
        <f t="shared" si="42"/>
        <v>Macha Zhen [incl. Huaishucha Xiang] (Yúlín Shì)</v>
      </c>
      <c r="P705" s="13" t="str">
        <f t="shared" si="43"/>
        <v>Macha Zhen [incl. Huaishucha Xiang] (Yúlín Shì)</v>
      </c>
    </row>
    <row r="706" spans="1:16" hidden="1" x14ac:dyDescent="0.25">
      <c r="A706" t="s">
        <v>827</v>
      </c>
      <c r="B706" t="str">
        <f t="shared" ref="B706:B769" si="44">IF(COUNTIF(A:A,A706)&gt;1,_xlfn.CONCAT(A706," (",N706,")"),A706)</f>
        <v>Măchàng Zhèn</v>
      </c>
      <c r="C706" t="str">
        <f t="shared" ref="C706:C769" si="45">IF(COUNTIF(B:B,B706)&gt;1,_xlfn.CONCAT(A706," (",M706,")"),B706)</f>
        <v>Măchàng Zhèn</v>
      </c>
      <c r="D706" t="s">
        <v>828</v>
      </c>
      <c r="E706" t="s">
        <v>7</v>
      </c>
      <c r="F706" t="str">
        <f>_xlfn.CONCAT(D706,", ",H706,", ",I706,", ","陕西省")</f>
        <v>马畅镇, 洋县, 汉中市, 陕西省</v>
      </c>
      <c r="G706">
        <v>15552</v>
      </c>
      <c r="H706" t="s">
        <v>3069</v>
      </c>
      <c r="I706" t="s">
        <v>3059</v>
      </c>
      <c r="J706">
        <f>VLOOKUP(F706,[1]!china_towns_second__2[[Column1]:[Y]],3,FALSE)</f>
        <v>33.247651149149597</v>
      </c>
      <c r="K706">
        <f>VLOOKUP(F706,[1]!china_towns_second__2[[Column1]:[Y]],2,FALSE)</f>
        <v>107.3674735</v>
      </c>
      <c r="L706" t="s">
        <v>4827</v>
      </c>
      <c r="M706" t="str">
        <f>VLOOKUP(H706,CHOOSE({1,2},Table11[Native],Table11[Name]),2,0)</f>
        <v>Yáng Xiàn</v>
      </c>
      <c r="N706" s="13" t="str">
        <f>VLOOKUP(I706,CHOOSE({1,2},Table11[Native],Table11[Name]),2,0)</f>
        <v>Hànzhōng Shì</v>
      </c>
      <c r="O706" s="13" t="str">
        <f t="shared" ref="O706:O769" si="46">_xlfn.CONCAT(L706," (",N706,")")</f>
        <v>Machang Zhen (Hànzhōng Shì)</v>
      </c>
      <c r="P706" s="13" t="str">
        <f t="shared" ref="P706:P769" si="47">IF(COUNTIF(O:O,O706)&gt;1,_xlfn.CONCAT(L706," (",M706,")"),O706)</f>
        <v>Machang Zhen (Hànzhōng Shì)</v>
      </c>
    </row>
    <row r="707" spans="1:16" hidden="1" x14ac:dyDescent="0.25">
      <c r="A707" t="s">
        <v>829</v>
      </c>
      <c r="B707" t="str">
        <f t="shared" si="44"/>
        <v>Mădào Zhèn</v>
      </c>
      <c r="C707" t="str">
        <f t="shared" si="45"/>
        <v>Mădào Zhèn</v>
      </c>
      <c r="D707" t="s">
        <v>830</v>
      </c>
      <c r="E707" t="s">
        <v>7</v>
      </c>
      <c r="F707" t="str">
        <f>_xlfn.CONCAT(D707,", ",H707,", ",I707,", ","陕西省")</f>
        <v>马道镇, 留坝县, 汉中市, 陕西省</v>
      </c>
      <c r="G707">
        <v>5094</v>
      </c>
      <c r="H707" t="s">
        <v>3063</v>
      </c>
      <c r="I707" t="s">
        <v>3059</v>
      </c>
      <c r="J707">
        <f>VLOOKUP(F707,[1]!china_towns_second__2[[Column1]:[Y]],3,FALSE)</f>
        <v>33.420911020845402</v>
      </c>
      <c r="K707">
        <f>VLOOKUP(F707,[1]!china_towns_second__2[[Column1]:[Y]],2,FALSE)</f>
        <v>106.9680863</v>
      </c>
      <c r="L707" t="s">
        <v>4828</v>
      </c>
      <c r="M707" t="str">
        <f>VLOOKUP(H707,CHOOSE({1,2},Table11[Native],Table11[Name]),2,0)</f>
        <v>Liúbà Xiàn</v>
      </c>
      <c r="N707" s="13" t="str">
        <f>VLOOKUP(I707,CHOOSE({1,2},Table11[Native],Table11[Name]),2,0)</f>
        <v>Hànzhōng Shì</v>
      </c>
      <c r="O707" s="13" t="str">
        <f t="shared" si="46"/>
        <v>Madao Zhen (Hànzhōng Shì)</v>
      </c>
      <c r="P707" s="13" t="str">
        <f t="shared" si="47"/>
        <v>Madao Zhen (Hànzhōng Shì)</v>
      </c>
    </row>
    <row r="708" spans="1:16" hidden="1" x14ac:dyDescent="0.25">
      <c r="A708" t="s">
        <v>2461</v>
      </c>
      <c r="B708" t="str">
        <f t="shared" si="44"/>
        <v>Mádòngchuān Zhèn</v>
      </c>
      <c r="C708" t="str">
        <f t="shared" si="45"/>
        <v>Mádòngchuān Zhèn</v>
      </c>
      <c r="D708" t="s">
        <v>2462</v>
      </c>
      <c r="E708" t="s">
        <v>7</v>
      </c>
      <c r="F708" t="str">
        <f>_xlfn.CONCAT(D708,", ",H708,", ",I708,", ","陕西省")</f>
        <v>麻洞川镇, 宝塔区, 延安市, 陕西省</v>
      </c>
      <c r="G708">
        <v>6544</v>
      </c>
      <c r="H708" t="s">
        <v>3135</v>
      </c>
      <c r="I708" t="s">
        <v>3133</v>
      </c>
      <c r="J708">
        <f>VLOOKUP(F708,[1]!china_towns_second__2[[Column1]:[Y]],3,FALSE)</f>
        <v>36.416994065732197</v>
      </c>
      <c r="K708">
        <f>VLOOKUP(F708,[1]!china_towns_second__2[[Column1]:[Y]],2,FALSE)</f>
        <v>109.8104979</v>
      </c>
      <c r="L708" t="s">
        <v>4829</v>
      </c>
      <c r="M708" t="str">
        <f>VLOOKUP(H708,CHOOSE({1,2},Table11[Native],Table11[Name]),2,0)</f>
        <v>Băotă Qū</v>
      </c>
      <c r="N708" s="13" t="str">
        <f>VLOOKUP(I708,CHOOSE({1,2},Table11[Native],Table11[Name]),2,0)</f>
        <v>Yán'ān Shì</v>
      </c>
      <c r="O708" s="13" t="str">
        <f t="shared" si="46"/>
        <v>Madongchuan Zhen (Yán'ān Shì)</v>
      </c>
      <c r="P708" s="13" t="str">
        <f t="shared" si="47"/>
        <v>Madongchuan Zhen (Yán'ān Shì)</v>
      </c>
    </row>
    <row r="709" spans="1:16" hidden="1" x14ac:dyDescent="0.25">
      <c r="A709" t="s">
        <v>2142</v>
      </c>
      <c r="B709" t="str">
        <f t="shared" si="44"/>
        <v>Mă'é Jiēdào</v>
      </c>
      <c r="C709" t="str">
        <f t="shared" si="45"/>
        <v>Mă'é Jiēdào</v>
      </c>
      <c r="D709" t="s">
        <v>2143</v>
      </c>
      <c r="E709" t="s">
        <v>113</v>
      </c>
      <c r="F709" t="str">
        <f>_xlfn.CONCAT(D709,", ",H709,", ",I709,", ","陕西省")</f>
        <v>马额街道, 临潼区, 西安市, 陕西省</v>
      </c>
      <c r="G709">
        <v>20943</v>
      </c>
      <c r="H709" t="s">
        <v>3110</v>
      </c>
      <c r="I709" t="s">
        <v>3102</v>
      </c>
      <c r="J709">
        <f>VLOOKUP(F709,[1]!china_towns_second__2[[Column1]:[Y]],3,FALSE)</f>
        <v>34.413685144282603</v>
      </c>
      <c r="K709">
        <f>VLOOKUP(F709,[1]!china_towns_second__2[[Column1]:[Y]],2,FALSE)</f>
        <v>109.38808880000001</v>
      </c>
      <c r="L709" t="s">
        <v>4830</v>
      </c>
      <c r="M709" t="str">
        <f>VLOOKUP(H709,CHOOSE({1,2},Table11[Native],Table11[Name]),2,0)</f>
        <v>Líntóng Qū</v>
      </c>
      <c r="N709" s="13" t="str">
        <f>VLOOKUP(I709,CHOOSE({1,2},Table11[Native],Table11[Name]),2,0)</f>
        <v>Xī'ān Shì</v>
      </c>
      <c r="O709" s="13" t="str">
        <f t="shared" si="46"/>
        <v>Ma'e Jiedao (Xī'ān Shì)</v>
      </c>
      <c r="P709" s="13" t="str">
        <f t="shared" si="47"/>
        <v>Ma'e Jiedao (Xī'ān Shì)</v>
      </c>
    </row>
    <row r="710" spans="1:16" hidden="1" x14ac:dyDescent="0.25">
      <c r="A710" t="s">
        <v>1811</v>
      </c>
      <c r="B710" t="str">
        <f t="shared" si="44"/>
        <v>Măfāng Zhèn [incl. Yùjiàgōng Xiāng, Dùmă Xiāng]</v>
      </c>
      <c r="C710" t="str">
        <f t="shared" si="45"/>
        <v>Măfāng Zhèn [incl. Yùjiàgōng Xiāng, Dùmă Xiāng]</v>
      </c>
      <c r="D710" t="s">
        <v>1812</v>
      </c>
      <c r="E710" t="s">
        <v>7</v>
      </c>
      <c r="F710" t="str">
        <f>_xlfn.CONCAT(D710,", ",H710,", ",I710,", ","陕西省")</f>
        <v>马坊镇, 永寿县, 咸阳市, 陕西省</v>
      </c>
      <c r="G710">
        <v>26072</v>
      </c>
      <c r="H710" t="s">
        <v>3131</v>
      </c>
      <c r="I710" t="s">
        <v>3117</v>
      </c>
      <c r="J710">
        <f>VLOOKUP(F710,[1]!china_towns_second__2[[Column1]:[Y]],3,FALSE)</f>
        <v>34.796271347881799</v>
      </c>
      <c r="K710">
        <f>VLOOKUP(F710,[1]!china_towns_second__2[[Column1]:[Y]],2,FALSE)</f>
        <v>108.1630572</v>
      </c>
      <c r="L710" t="s">
        <v>4831</v>
      </c>
      <c r="M710" t="str">
        <f>VLOOKUP(H710,CHOOSE({1,2},Table11[Native],Table11[Name]),2,0)</f>
        <v>Yŏngshòu Xiàn</v>
      </c>
      <c r="N710" s="13" t="str">
        <f>VLOOKUP(I710,CHOOSE({1,2},Table11[Native],Table11[Name]),2,0)</f>
        <v>Xiányáng Shì</v>
      </c>
      <c r="O710" s="13" t="str">
        <f t="shared" si="46"/>
        <v>Mafang Zhen [incl. Yujiagong Xiang, Duma Xiang] (Xiányáng Shì)</v>
      </c>
      <c r="P710" s="13" t="str">
        <f t="shared" si="47"/>
        <v>Mafang Zhen [incl. Yujiagong Xiang, Duma Xiang] (Xiányáng Shì)</v>
      </c>
    </row>
    <row r="711" spans="1:16" hidden="1" x14ac:dyDescent="0.25">
      <c r="A711" t="s">
        <v>2814</v>
      </c>
      <c r="B711" t="str">
        <f t="shared" si="44"/>
        <v>Măhé Zhèn</v>
      </c>
      <c r="C711" t="str">
        <f t="shared" si="45"/>
        <v>Măhé Zhèn</v>
      </c>
      <c r="D711" t="s">
        <v>2815</v>
      </c>
      <c r="E711" t="s">
        <v>7</v>
      </c>
      <c r="F711" t="str">
        <f>_xlfn.CONCAT(D711,", ",H711,", ",I711,", ","陕西省")</f>
        <v>马合镇, 榆阳区, 榆林市, 陕西省</v>
      </c>
      <c r="G711">
        <v>9435</v>
      </c>
      <c r="H711" t="s">
        <v>3159</v>
      </c>
      <c r="I711" t="s">
        <v>3148</v>
      </c>
      <c r="J711">
        <f>VLOOKUP(F711,[1]!china_towns_second__2[[Column1]:[Y]],3,FALSE)</f>
        <v>38.5324227911617</v>
      </c>
      <c r="K711">
        <f>VLOOKUP(F711,[1]!china_towns_second__2[[Column1]:[Y]],2,FALSE)</f>
        <v>109.3349394</v>
      </c>
      <c r="L711" t="s">
        <v>4832</v>
      </c>
      <c r="M711" t="str">
        <f>VLOOKUP(H711,CHOOSE({1,2},Table11[Native],Table11[Name]),2,0)</f>
        <v>Yúyáng Qū</v>
      </c>
      <c r="N711" s="13" t="str">
        <f>VLOOKUP(I711,CHOOSE({1,2},Table11[Native],Table11[Name]),2,0)</f>
        <v>Yúlín Shì</v>
      </c>
      <c r="O711" s="13" t="str">
        <f t="shared" si="46"/>
        <v>Mahe Zhen (Yúlín Shì)</v>
      </c>
      <c r="P711" s="13" t="str">
        <f t="shared" si="47"/>
        <v>Mahe Zhen (Yúlín Shì)</v>
      </c>
    </row>
    <row r="712" spans="1:16" hidden="1" x14ac:dyDescent="0.25">
      <c r="A712" t="s">
        <v>150</v>
      </c>
      <c r="B712" t="str">
        <f t="shared" si="44"/>
        <v>Máhŭ Zhèn</v>
      </c>
      <c r="C712" t="str">
        <f t="shared" si="45"/>
        <v>Máhŭ Zhèn</v>
      </c>
      <c r="D712" t="s">
        <v>151</v>
      </c>
      <c r="E712" t="s">
        <v>7</v>
      </c>
      <c r="F712" t="str">
        <f>_xlfn.CONCAT(D712,", ",H712,", ",I712,", ","陕西省")</f>
        <v>麻虎镇, 白河县, 安康市, 陕西省</v>
      </c>
      <c r="G712">
        <v>7944</v>
      </c>
      <c r="H712" t="s">
        <v>3033</v>
      </c>
      <c r="I712" t="s">
        <v>3031</v>
      </c>
      <c r="J712">
        <f>VLOOKUP(F712,[1]!china_towns_second__2[[Column1]:[Y]],3,FALSE)</f>
        <v>32.8150622306337</v>
      </c>
      <c r="K712">
        <f>VLOOKUP(F712,[1]!china_towns_second__2[[Column1]:[Y]],2,FALSE)</f>
        <v>109.9718949</v>
      </c>
      <c r="L712" t="s">
        <v>4833</v>
      </c>
      <c r="M712" t="str">
        <f>VLOOKUP(H712,CHOOSE({1,2},Table11[Native],Table11[Name]),2,0)</f>
        <v>Báihé Xiàn</v>
      </c>
      <c r="N712" s="13" t="str">
        <f>VLOOKUP(I712,CHOOSE({1,2},Table11[Native],Table11[Name]),2,0)</f>
        <v>Ānkāng Shì</v>
      </c>
      <c r="O712" s="13" t="str">
        <f t="shared" si="46"/>
        <v>Mahu Zhen (Ānkāng Shì)</v>
      </c>
      <c r="P712" s="13" t="str">
        <f t="shared" si="47"/>
        <v>Mahu Zhen (Ānkāng Shì)</v>
      </c>
    </row>
    <row r="713" spans="1:16" hidden="1" x14ac:dyDescent="0.25">
      <c r="A713" t="s">
        <v>2816</v>
      </c>
      <c r="B713" t="str">
        <f t="shared" si="44"/>
        <v>Máhuángliáng Zhèn</v>
      </c>
      <c r="C713" t="str">
        <f t="shared" si="45"/>
        <v>Máhuángliáng Zhèn</v>
      </c>
      <c r="D713" t="s">
        <v>2817</v>
      </c>
      <c r="E713" t="s">
        <v>7</v>
      </c>
      <c r="F713" t="str">
        <f>_xlfn.CONCAT(D713,", ",H713,", ",I713,", ","陕西省")</f>
        <v>麻黄梁镇, 榆阳区, 榆林市, 陕西省</v>
      </c>
      <c r="G713">
        <v>9136</v>
      </c>
      <c r="H713" t="s">
        <v>3159</v>
      </c>
      <c r="I713" t="s">
        <v>3148</v>
      </c>
      <c r="J713">
        <f>VLOOKUP(F713,[1]!china_towns_second__2[[Column1]:[Y]],3,FALSE)</f>
        <v>38.435310802888402</v>
      </c>
      <c r="K713">
        <f>VLOOKUP(F713,[1]!china_towns_second__2[[Column1]:[Y]],2,FALSE)</f>
        <v>109.990538</v>
      </c>
      <c r="L713" t="s">
        <v>4834</v>
      </c>
      <c r="M713" t="str">
        <f>VLOOKUP(H713,CHOOSE({1,2},Table11[Native],Table11[Name]),2,0)</f>
        <v>Yúyáng Qū</v>
      </c>
      <c r="N713" s="13" t="str">
        <f>VLOOKUP(I713,CHOOSE({1,2},Table11[Native],Table11[Name]),2,0)</f>
        <v>Yúlín Shì</v>
      </c>
      <c r="O713" s="13" t="str">
        <f t="shared" si="46"/>
        <v>Mahuangliang Zhen (Yúlín Shì)</v>
      </c>
      <c r="P713" s="13" t="str">
        <f t="shared" si="47"/>
        <v>Mahuangliang Zhen (Yúlín Shì)</v>
      </c>
    </row>
    <row r="714" spans="1:16" hidden="1" x14ac:dyDescent="0.25">
      <c r="A714" t="s">
        <v>2463</v>
      </c>
      <c r="B714" t="str">
        <f t="shared" si="44"/>
        <v>Măjiābiān Zhèn</v>
      </c>
      <c r="C714" t="str">
        <f t="shared" si="45"/>
        <v>Măjiābiān Zhèn</v>
      </c>
      <c r="D714" t="s">
        <v>2464</v>
      </c>
      <c r="E714" t="s">
        <v>7</v>
      </c>
      <c r="F714" t="str">
        <f>_xlfn.CONCAT(D714,", ",H714,", ",I714,", ","陕西省")</f>
        <v>马家砭镇, 子长市, 延安市, 陕西省</v>
      </c>
      <c r="G714">
        <v>9394</v>
      </c>
      <c r="H714" t="s">
        <v>3146</v>
      </c>
      <c r="I714" t="s">
        <v>3133</v>
      </c>
      <c r="J714">
        <f>VLOOKUP(F714,[1]!china_towns_second__2[[Column1]:[Y]],3,FALSE)</f>
        <v>37.180530910706999</v>
      </c>
      <c r="K714">
        <f>VLOOKUP(F714,[1]!china_towns_second__2[[Column1]:[Y]],2,FALSE)</f>
        <v>109.9519942</v>
      </c>
      <c r="L714" t="s">
        <v>4835</v>
      </c>
      <c r="M714" t="str">
        <f>VLOOKUP(H714,CHOOSE({1,2},Table11[Native],Table11[Name]),2,0)</f>
        <v>Zicháng Shì</v>
      </c>
      <c r="N714" s="13" t="str">
        <f>VLOOKUP(I714,CHOOSE({1,2},Table11[Native],Table11[Name]),2,0)</f>
        <v>Yán'ān Shì</v>
      </c>
      <c r="O714" s="13" t="str">
        <f t="shared" si="46"/>
        <v>Majiabian Zhen (Yán'ān Shì)</v>
      </c>
      <c r="P714" s="13" t="str">
        <f t="shared" si="47"/>
        <v>Majiabian Zhen (Yán'ān Shì)</v>
      </c>
    </row>
    <row r="715" spans="1:16" hidden="1" x14ac:dyDescent="0.25">
      <c r="A715" t="s">
        <v>2818</v>
      </c>
      <c r="B715" t="str">
        <f t="shared" si="44"/>
        <v>Măjiāchuān Xiāng</v>
      </c>
      <c r="C715" t="str">
        <f t="shared" si="45"/>
        <v>Măjiāchuān Xiāng</v>
      </c>
      <c r="D715" t="s">
        <v>2819</v>
      </c>
      <c r="E715" t="s">
        <v>11</v>
      </c>
      <c r="F715" t="str">
        <f>_xlfn.CONCAT(D715,", ",H715,", ",I715,", ","陕西省")</f>
        <v>马家川乡, 绥德县, 榆林市, 陕西省</v>
      </c>
      <c r="G715">
        <v>6738</v>
      </c>
      <c r="H715" t="s">
        <v>3157</v>
      </c>
      <c r="I715" t="s">
        <v>3148</v>
      </c>
      <c r="J715" t="e">
        <f>VLOOKUP(F715,[1]!china_towns_second__2[[Column1]:[Y]],3,FALSE)</f>
        <v>#N/A</v>
      </c>
      <c r="K715" t="e">
        <f>VLOOKUP(F715,[1]!china_towns_second__2[[Column1]:[Y]],2,FALSE)</f>
        <v>#N/A</v>
      </c>
      <c r="L715" t="s">
        <v>4836</v>
      </c>
      <c r="M715" t="str">
        <f>VLOOKUP(H715,CHOOSE({1,2},Table11[Native],Table11[Name]),2,0)</f>
        <v>Suídé Xiàn</v>
      </c>
      <c r="N715" s="13" t="str">
        <f>VLOOKUP(I715,CHOOSE({1,2},Table11[Native],Table11[Name]),2,0)</f>
        <v>Yúlín Shì</v>
      </c>
      <c r="O715" s="13" t="str">
        <f t="shared" si="46"/>
        <v>Majiachuan Xiang (Yúlín Shì)</v>
      </c>
      <c r="P715" s="13" t="str">
        <f t="shared" si="47"/>
        <v>Majiachuan Xiang (Yúlín Shì)</v>
      </c>
    </row>
    <row r="716" spans="1:16" hidden="1" x14ac:dyDescent="0.25">
      <c r="A716" t="s">
        <v>2820</v>
      </c>
      <c r="B716" t="str">
        <f t="shared" si="44"/>
        <v>Májiātă Xiāng</v>
      </c>
      <c r="C716" t="str">
        <f t="shared" si="45"/>
        <v>Májiātă Xiāng</v>
      </c>
      <c r="D716" t="s">
        <v>2821</v>
      </c>
      <c r="E716" t="s">
        <v>11</v>
      </c>
      <c r="F716" t="str">
        <f>_xlfn.CONCAT(D716,", ",H716,", ",I716,", ","陕西省")</f>
        <v>麻家塔乡, 神木市, 榆林市, 陕西省</v>
      </c>
      <c r="G716">
        <v>30563</v>
      </c>
      <c r="H716" t="s">
        <v>3156</v>
      </c>
      <c r="I716" t="s">
        <v>3148</v>
      </c>
      <c r="J716" t="e">
        <f>VLOOKUP(F716,[1]!china_towns_second__2[[Column1]:[Y]],3,FALSE)</f>
        <v>#N/A</v>
      </c>
      <c r="K716" t="e">
        <f>VLOOKUP(F716,[1]!china_towns_second__2[[Column1]:[Y]],2,FALSE)</f>
        <v>#N/A</v>
      </c>
      <c r="L716" t="s">
        <v>4837</v>
      </c>
      <c r="M716" t="str">
        <f>VLOOKUP(H716,CHOOSE({1,2},Table11[Native],Table11[Name]),2,0)</f>
        <v>Shénmù Shì</v>
      </c>
      <c r="N716" s="13" t="str">
        <f>VLOOKUP(I716,CHOOSE({1,2},Table11[Native],Table11[Name]),2,0)</f>
        <v>Yúlín Shì</v>
      </c>
      <c r="O716" s="13" t="str">
        <f t="shared" si="46"/>
        <v>Majiata Xiang (Yúlín Shì)</v>
      </c>
      <c r="P716" s="13" t="str">
        <f t="shared" si="47"/>
        <v>Majiata Xiang (Yúlín Shì)</v>
      </c>
    </row>
    <row r="717" spans="1:16" hidden="1" x14ac:dyDescent="0.25">
      <c r="A717" t="s">
        <v>1154</v>
      </c>
      <c r="B717" t="str">
        <f t="shared" si="44"/>
        <v>Măjiātái Xiāng</v>
      </c>
      <c r="C717" t="str">
        <f t="shared" si="45"/>
        <v>Măjiātái Xiāng</v>
      </c>
      <c r="D717" t="s">
        <v>1155</v>
      </c>
      <c r="E717" t="s">
        <v>11</v>
      </c>
      <c r="F717" t="str">
        <f>_xlfn.CONCAT(D717,", ",H717,", ",I717,", ","陕西省")</f>
        <v>马家台乡, 柞水县, 商洛市, 陕西省</v>
      </c>
      <c r="G717">
        <v>5773</v>
      </c>
      <c r="H717" t="s">
        <v>3078</v>
      </c>
      <c r="I717" t="s">
        <v>3072</v>
      </c>
      <c r="J717" t="e">
        <f>VLOOKUP(F717,[1]!china_towns_second__2[[Column1]:[Y]],3,FALSE)</f>
        <v>#N/A</v>
      </c>
      <c r="K717" t="e">
        <f>VLOOKUP(F717,[1]!china_towns_second__2[[Column1]:[Y]],2,FALSE)</f>
        <v>#N/A</v>
      </c>
      <c r="L717" t="s">
        <v>4838</v>
      </c>
      <c r="M717" t="str">
        <f>VLOOKUP(H717,CHOOSE({1,2},Table11[Native],Table11[Name]),2,0)</f>
        <v>Zhàshuĭ Xiàn</v>
      </c>
      <c r="N717" s="13" t="str">
        <f>VLOOKUP(I717,CHOOSE({1,2},Table11[Native],Table11[Name]),2,0)</f>
        <v>Shāngluò Shì</v>
      </c>
      <c r="O717" s="13" t="str">
        <f t="shared" si="46"/>
        <v>Majiatai Xiang (Shāngluò Shì)</v>
      </c>
      <c r="P717" s="13" t="str">
        <f t="shared" si="47"/>
        <v>Majiatai Xiang (Shāngluò Shì)</v>
      </c>
    </row>
    <row r="718" spans="1:16" hidden="1" x14ac:dyDescent="0.25">
      <c r="A718" t="s">
        <v>831</v>
      </c>
      <c r="B718" t="str">
        <f t="shared" si="44"/>
        <v>Măjiāwān Xiāng</v>
      </c>
      <c r="C718" t="str">
        <f t="shared" si="45"/>
        <v>Măjiāwān Xiāng</v>
      </c>
      <c r="D718" t="s">
        <v>832</v>
      </c>
      <c r="E718" t="s">
        <v>11</v>
      </c>
      <c r="F718" t="str">
        <f>_xlfn.CONCAT(D718,", ",H718,", ",I718,", ","陕西省")</f>
        <v>马家湾乡, 西乡县, 汉中市, 陕西省</v>
      </c>
      <c r="G718">
        <v>4436</v>
      </c>
      <c r="H718" t="s">
        <v>3068</v>
      </c>
      <c r="I718" t="s">
        <v>3059</v>
      </c>
      <c r="J718" t="e">
        <f>VLOOKUP(F718,[1]!china_towns_second__2[[Column1]:[Y]],3,FALSE)</f>
        <v>#N/A</v>
      </c>
      <c r="K718" t="e">
        <f>VLOOKUP(F718,[1]!china_towns_second__2[[Column1]:[Y]],2,FALSE)</f>
        <v>#N/A</v>
      </c>
      <c r="L718" t="s">
        <v>4839</v>
      </c>
      <c r="M718" t="str">
        <f>VLOOKUP(H718,CHOOSE({1,2},Table11[Native],Table11[Name]),2,0)</f>
        <v>Xīxiāng Xiàn</v>
      </c>
      <c r="N718" s="13" t="str">
        <f>VLOOKUP(I718,CHOOSE({1,2},Table11[Native],Table11[Name]),2,0)</f>
        <v>Hànzhōng Shì</v>
      </c>
      <c r="O718" s="13" t="str">
        <f t="shared" si="46"/>
        <v>Majiawan Xiang (Hànzhōng Shì)</v>
      </c>
      <c r="P718" s="13" t="str">
        <f t="shared" si="47"/>
        <v>Majiawan Xiang (Hànzhōng Shì)</v>
      </c>
    </row>
    <row r="719" spans="1:16" hidden="1" x14ac:dyDescent="0.25">
      <c r="A719" t="s">
        <v>1554</v>
      </c>
      <c r="B719" t="str">
        <f t="shared" si="44"/>
        <v>Măjiāzhuāng Xiāng</v>
      </c>
      <c r="C719" t="str">
        <f t="shared" si="45"/>
        <v>Măjiāzhuāng Xiāng</v>
      </c>
      <c r="D719" t="s">
        <v>1555</v>
      </c>
      <c r="E719" t="s">
        <v>11</v>
      </c>
      <c r="F719" t="str">
        <f>_xlfn.CONCAT(D719,", ",H719,", ",I719,", ","陕西省")</f>
        <v>马家庄乡, 合阳县, 渭南市, 陕西省</v>
      </c>
      <c r="G719">
        <v>18238</v>
      </c>
      <c r="H719" t="s">
        <v>3094</v>
      </c>
      <c r="I719" t="s">
        <v>3087</v>
      </c>
      <c r="J719" t="e">
        <f>VLOOKUP(F719,[1]!china_towns_second__2[[Column1]:[Y]],3,FALSE)</f>
        <v>#N/A</v>
      </c>
      <c r="K719" t="e">
        <f>VLOOKUP(F719,[1]!china_towns_second__2[[Column1]:[Y]],2,FALSE)</f>
        <v>#N/A</v>
      </c>
      <c r="L719" t="s">
        <v>4840</v>
      </c>
      <c r="M719" t="str">
        <f>VLOOKUP(H719,CHOOSE({1,2},Table11[Native],Table11[Name]),2,0)</f>
        <v>Héyáng Xiàn</v>
      </c>
      <c r="N719" s="13" t="str">
        <f>VLOOKUP(I719,CHOOSE({1,2},Table11[Native],Table11[Name]),2,0)</f>
        <v>Wèinán Shì</v>
      </c>
      <c r="O719" s="13" t="str">
        <f t="shared" si="46"/>
        <v>Majiazhuang Xiang (Wèinán Shì)</v>
      </c>
      <c r="P719" s="13" t="str">
        <f t="shared" si="47"/>
        <v>Majiazhuang Xiang (Wèinán Shì)</v>
      </c>
    </row>
    <row r="720" spans="1:16" hidden="1" x14ac:dyDescent="0.25">
      <c r="A720" t="s">
        <v>1156</v>
      </c>
      <c r="B720" t="str">
        <f t="shared" si="44"/>
        <v>Májiē Zhèn</v>
      </c>
      <c r="C720" t="str">
        <f t="shared" si="45"/>
        <v>Májiē Zhèn</v>
      </c>
      <c r="D720" t="s">
        <v>1157</v>
      </c>
      <c r="E720" t="s">
        <v>7</v>
      </c>
      <c r="F720" t="str">
        <f>_xlfn.CONCAT(D720,", ",H720,", ",I720,", ","陕西省")</f>
        <v>麻街镇, 商州区, 商洛市, 陕西省</v>
      </c>
      <c r="G720">
        <v>14537</v>
      </c>
      <c r="H720" t="s">
        <v>3076</v>
      </c>
      <c r="I720" t="s">
        <v>3072</v>
      </c>
      <c r="J720">
        <f>VLOOKUP(F720,[1]!china_towns_second__2[[Column1]:[Y]],3,FALSE)</f>
        <v>33.958653554267997</v>
      </c>
      <c r="K720">
        <f>VLOOKUP(F720,[1]!china_towns_second__2[[Column1]:[Y]],2,FALSE)</f>
        <v>109.8489728</v>
      </c>
      <c r="L720" t="s">
        <v>4841</v>
      </c>
      <c r="M720" t="str">
        <f>VLOOKUP(H720,CHOOSE({1,2},Table11[Native],Table11[Name]),2,0)</f>
        <v>Shāngzhōu Qū</v>
      </c>
      <c r="N720" s="13" t="str">
        <f>VLOOKUP(I720,CHOOSE({1,2},Table11[Native],Table11[Name]),2,0)</f>
        <v>Shāngluò Shì</v>
      </c>
      <c r="O720" s="13" t="str">
        <f t="shared" si="46"/>
        <v>Majie Zhen (Shāngluò Shì)</v>
      </c>
      <c r="P720" s="13" t="str">
        <f t="shared" si="47"/>
        <v>Majie Zhen (Shāngluò Shì)</v>
      </c>
    </row>
    <row r="721" spans="1:16" hidden="1" x14ac:dyDescent="0.25">
      <c r="A721" t="s">
        <v>1813</v>
      </c>
      <c r="B721" t="str">
        <f t="shared" si="44"/>
        <v>Mălán Zhèn</v>
      </c>
      <c r="C721" t="str">
        <f t="shared" si="45"/>
        <v>Mălán Zhèn</v>
      </c>
      <c r="D721" t="s">
        <v>1814</v>
      </c>
      <c r="E721" t="s">
        <v>7</v>
      </c>
      <c r="F721" t="str">
        <f>_xlfn.CONCAT(D721,", ",H721,", ",I721,", ","陕西省")</f>
        <v>马栏镇, 旬邑县, 咸阳市, 陕西省</v>
      </c>
      <c r="G721">
        <v>12608</v>
      </c>
      <c r="H721" t="s">
        <v>3129</v>
      </c>
      <c r="I721" t="s">
        <v>3117</v>
      </c>
      <c r="J721">
        <f>VLOOKUP(F721,[1]!china_towns_second__2[[Column1]:[Y]],3,FALSE)</f>
        <v>35.329525507523798</v>
      </c>
      <c r="K721">
        <f>VLOOKUP(F721,[1]!china_towns_second__2[[Column1]:[Y]],2,FALSE)</f>
        <v>108.64654</v>
      </c>
      <c r="L721" t="s">
        <v>4842</v>
      </c>
      <c r="M721" t="str">
        <f>VLOOKUP(H721,CHOOSE({1,2},Table11[Native],Table11[Name]),2,0)</f>
        <v>Xúnyì Xiàn</v>
      </c>
      <c r="N721" s="13" t="str">
        <f>VLOOKUP(I721,CHOOSE({1,2},Table11[Native],Table11[Name]),2,0)</f>
        <v>Xiányáng Shì</v>
      </c>
      <c r="O721" s="13" t="str">
        <f t="shared" si="46"/>
        <v>Malan Zhen (Xiányáng Shì)</v>
      </c>
      <c r="P721" s="13" t="str">
        <f t="shared" si="47"/>
        <v>Malan Zhen (Xiányáng Shì)</v>
      </c>
    </row>
    <row r="722" spans="1:16" hidden="1" x14ac:dyDescent="0.25">
      <c r="A722" t="s">
        <v>1815</v>
      </c>
      <c r="B722" t="str">
        <f t="shared" si="44"/>
        <v>Mălián Zhèn</v>
      </c>
      <c r="C722" t="str">
        <f t="shared" si="45"/>
        <v>Mălián Zhèn</v>
      </c>
      <c r="D722" t="s">
        <v>1816</v>
      </c>
      <c r="E722" t="s">
        <v>7</v>
      </c>
      <c r="F722" t="str">
        <f>_xlfn.CONCAT(D722,", ",H722,", ",I722,", ","陕西省")</f>
        <v>马连镇, 乾县, 咸阳市, 陕西省</v>
      </c>
      <c r="G722">
        <v>26192</v>
      </c>
      <c r="H722" t="s">
        <v>3123</v>
      </c>
      <c r="I722" t="s">
        <v>3117</v>
      </c>
      <c r="J722">
        <f>VLOOKUP(F722,[1]!china_towns_second__2[[Column1]:[Y]],3,FALSE)</f>
        <v>34.365035176519299</v>
      </c>
      <c r="K722">
        <f>VLOOKUP(F722,[1]!china_towns_second__2[[Column1]:[Y]],2,FALSE)</f>
        <v>108.3406499</v>
      </c>
      <c r="L722" t="s">
        <v>4843</v>
      </c>
      <c r="M722" t="str">
        <f>VLOOKUP(H722,CHOOSE({1,2},Table11[Native],Table11[Name]),2,0)</f>
        <v>Qián Xiàn</v>
      </c>
      <c r="N722" s="13" t="str">
        <f>VLOOKUP(I722,CHOOSE({1,2},Table11[Native],Table11[Name]),2,0)</f>
        <v>Xiányáng Shì</v>
      </c>
      <c r="O722" s="13" t="str">
        <f t="shared" si="46"/>
        <v>Malian Zhen (Xiányáng Shì)</v>
      </c>
      <c r="P722" s="13" t="str">
        <f t="shared" si="47"/>
        <v>Malian Zhen (Xiányáng Shì)</v>
      </c>
    </row>
    <row r="723" spans="1:16" hidden="1" x14ac:dyDescent="0.25">
      <c r="A723" t="s">
        <v>152</v>
      </c>
      <c r="B723" t="str">
        <f t="shared" si="44"/>
        <v>Máliŭ Zhèn</v>
      </c>
      <c r="C723" t="str">
        <f t="shared" si="45"/>
        <v>Máliŭ Zhèn</v>
      </c>
      <c r="D723" t="s">
        <v>153</v>
      </c>
      <c r="E723" t="s">
        <v>7</v>
      </c>
      <c r="F723" t="str">
        <f>_xlfn.CONCAT(D723,", ",H723,", ",I723,", ","陕西省")</f>
        <v>麻柳镇, 紫阳县, 安康市, 陕西省</v>
      </c>
      <c r="G723">
        <v>11912</v>
      </c>
      <c r="H723" t="s">
        <v>3043</v>
      </c>
      <c r="I723" t="s">
        <v>3031</v>
      </c>
      <c r="J723">
        <f>VLOOKUP(F723,[1]!china_towns_second__2[[Column1]:[Y]],3,FALSE)</f>
        <v>32.293606390727298</v>
      </c>
      <c r="K723">
        <f>VLOOKUP(F723,[1]!china_towns_second__2[[Column1]:[Y]],2,FALSE)</f>
        <v>108.183763</v>
      </c>
      <c r="L723" t="s">
        <v>4844</v>
      </c>
      <c r="M723" t="str">
        <f>VLOOKUP(H723,CHOOSE({1,2},Table11[Native],Table11[Name]),2,0)</f>
        <v>Zĭyáng Xiàn</v>
      </c>
      <c r="N723" s="13" t="str">
        <f>VLOOKUP(I723,CHOOSE({1,2},Table11[Native],Table11[Name]),2,0)</f>
        <v>Ānkāng Shì</v>
      </c>
      <c r="O723" s="13" t="str">
        <f t="shared" si="46"/>
        <v>Maliu Zhen (Ānkāng Shì)</v>
      </c>
      <c r="P723" s="13" t="str">
        <f t="shared" si="47"/>
        <v>Maliu Zhen (Ānkāng Shì)</v>
      </c>
    </row>
    <row r="724" spans="1:16" hidden="1" x14ac:dyDescent="0.25">
      <c r="A724" t="s">
        <v>833</v>
      </c>
      <c r="B724" t="str">
        <f t="shared" si="44"/>
        <v>Máliŭtān Xiāng</v>
      </c>
      <c r="C724" t="str">
        <f t="shared" si="45"/>
        <v>Máliŭtān Xiāng</v>
      </c>
      <c r="D724" t="s">
        <v>834</v>
      </c>
      <c r="E724" t="s">
        <v>11</v>
      </c>
      <c r="F724" t="str">
        <f>_xlfn.CONCAT(D724,", ",H724,", ",I724,", ","陕西省")</f>
        <v>麻柳滩乡, 镇巴县, 汉中市, 陕西省</v>
      </c>
      <c r="G724">
        <v>5099</v>
      </c>
      <c r="H724" t="s">
        <v>3070</v>
      </c>
      <c r="I724" t="s">
        <v>3059</v>
      </c>
      <c r="J724" t="e">
        <f>VLOOKUP(F724,[1]!china_towns_second__2[[Column1]:[Y]],3,FALSE)</f>
        <v>#N/A</v>
      </c>
      <c r="K724" t="e">
        <f>VLOOKUP(F724,[1]!china_towns_second__2[[Column1]:[Y]],2,FALSE)</f>
        <v>#N/A</v>
      </c>
      <c r="L724" t="s">
        <v>4845</v>
      </c>
      <c r="M724" t="str">
        <f>VLOOKUP(H724,CHOOSE({1,2},Table11[Native],Table11[Name]),2,0)</f>
        <v>Zhènbā Xiàn</v>
      </c>
      <c r="N724" s="13" t="str">
        <f>VLOOKUP(I724,CHOOSE({1,2},Table11[Native],Table11[Name]),2,0)</f>
        <v>Hànzhōng Shì</v>
      </c>
      <c r="O724" s="13" t="str">
        <f t="shared" si="46"/>
        <v>Maliutan Xiang (Hànzhōng Shì)</v>
      </c>
      <c r="P724" s="13" t="str">
        <f t="shared" si="47"/>
        <v>Maliutan Xiang (Hànzhōng Shì)</v>
      </c>
    </row>
    <row r="725" spans="1:16" hidden="1" x14ac:dyDescent="0.25">
      <c r="A725" t="s">
        <v>1158</v>
      </c>
      <c r="B725" t="str">
        <f t="shared" si="44"/>
        <v>Mànchuānguān Zhèn</v>
      </c>
      <c r="C725" t="str">
        <f t="shared" si="45"/>
        <v>Mànchuānguān Zhèn</v>
      </c>
      <c r="D725" t="s">
        <v>1159</v>
      </c>
      <c r="E725" t="s">
        <v>7</v>
      </c>
      <c r="F725" t="str">
        <f>_xlfn.CONCAT(D725,", ",H725,", ",I725,", ","陕西省")</f>
        <v>漫川关镇, 山阳县, 商洛市, 陕西省</v>
      </c>
      <c r="G725">
        <v>17098</v>
      </c>
      <c r="H725" t="s">
        <v>3077</v>
      </c>
      <c r="I725" t="s">
        <v>3072</v>
      </c>
      <c r="J725">
        <f>VLOOKUP(F725,[1]!china_towns_second__2[[Column1]:[Y]],3,FALSE)</f>
        <v>33.276446933346101</v>
      </c>
      <c r="K725">
        <f>VLOOKUP(F725,[1]!china_towns_second__2[[Column1]:[Y]],2,FALSE)</f>
        <v>110.0069479</v>
      </c>
      <c r="L725" t="s">
        <v>4846</v>
      </c>
      <c r="M725" t="str">
        <f>VLOOKUP(H725,CHOOSE({1,2},Table11[Native],Table11[Name]),2,0)</f>
        <v>Shānyáng Xiàn</v>
      </c>
      <c r="N725" s="13" t="str">
        <f>VLOOKUP(I725,CHOOSE({1,2},Table11[Native],Table11[Name]),2,0)</f>
        <v>Shāngluò Shì</v>
      </c>
      <c r="O725" s="13" t="str">
        <f t="shared" si="46"/>
        <v>Manchuanguan Zhen (Shāngluò Shì)</v>
      </c>
      <c r="P725" s="13" t="str">
        <f t="shared" si="47"/>
        <v>Manchuanguan Zhen (Shāngluò Shì)</v>
      </c>
    </row>
    <row r="726" spans="1:16" hidden="1" x14ac:dyDescent="0.25">
      <c r="A726" t="s">
        <v>2822</v>
      </c>
      <c r="B726" t="str">
        <f t="shared" si="44"/>
        <v>Măntángchuān Zhèn</v>
      </c>
      <c r="C726" t="str">
        <f t="shared" si="45"/>
        <v>Măntángchuān Zhèn</v>
      </c>
      <c r="D726" t="s">
        <v>2823</v>
      </c>
      <c r="E726" t="s">
        <v>7</v>
      </c>
      <c r="F726" t="str">
        <f>_xlfn.CONCAT(D726,", ",H726,", ",I726,", ","陕西省")</f>
        <v>满堂川镇, 绥德县, 榆林市, 陕西省</v>
      </c>
      <c r="G726">
        <v>17750</v>
      </c>
      <c r="H726" t="s">
        <v>3157</v>
      </c>
      <c r="I726" t="s">
        <v>3148</v>
      </c>
      <c r="J726">
        <f>VLOOKUP(F726,[1]!china_towns_second__2[[Column1]:[Y]],3,FALSE)</f>
        <v>37.557252055970302</v>
      </c>
      <c r="K726">
        <f>VLOOKUP(F726,[1]!china_towns_second__2[[Column1]:[Y]],2,FALSE)</f>
        <v>110.4111805</v>
      </c>
      <c r="L726" t="s">
        <v>4847</v>
      </c>
      <c r="M726" t="str">
        <f>VLOOKUP(H726,CHOOSE({1,2},Table11[Native],Table11[Name]),2,0)</f>
        <v>Suídé Xiàn</v>
      </c>
      <c r="N726" s="13" t="str">
        <f>VLOOKUP(I726,CHOOSE({1,2},Table11[Native],Table11[Name]),2,0)</f>
        <v>Yúlín Shì</v>
      </c>
      <c r="O726" s="13" t="str">
        <f t="shared" si="46"/>
        <v>Mantangchuan Zhen (Yúlín Shì)</v>
      </c>
      <c r="P726" s="13" t="str">
        <f t="shared" si="47"/>
        <v>Mantangchuan Zhen (Yúlín Shì)</v>
      </c>
    </row>
    <row r="727" spans="1:16" hidden="1" x14ac:dyDescent="0.25">
      <c r="A727" t="s">
        <v>154</v>
      </c>
      <c r="B727" t="str">
        <f t="shared" si="44"/>
        <v>Máobà Zhèn [incl. Liánhé Xiāng]</v>
      </c>
      <c r="C727" t="str">
        <f t="shared" si="45"/>
        <v>Máobà Zhèn [incl. Liánhé Xiāng]</v>
      </c>
      <c r="D727" t="s">
        <v>155</v>
      </c>
      <c r="E727" t="s">
        <v>7</v>
      </c>
      <c r="F727" t="str">
        <f>_xlfn.CONCAT(D727,", ",H727,", ",I727,", ","陕西省")</f>
        <v>毛坝镇, 紫阳县, 安康市, 陕西省</v>
      </c>
      <c r="G727">
        <v>19008</v>
      </c>
      <c r="H727" t="s">
        <v>3043</v>
      </c>
      <c r="I727" t="s">
        <v>3031</v>
      </c>
      <c r="J727">
        <f>VLOOKUP(F727,[1]!china_towns_second__2[[Column1]:[Y]],3,FALSE)</f>
        <v>32.312372205957502</v>
      </c>
      <c r="K727">
        <f>VLOOKUP(F727,[1]!china_towns_second__2[[Column1]:[Y]],2,FALSE)</f>
        <v>108.2768927</v>
      </c>
      <c r="L727" t="s">
        <v>4848</v>
      </c>
      <c r="M727" t="str">
        <f>VLOOKUP(H727,CHOOSE({1,2},Table11[Native],Table11[Name]),2,0)</f>
        <v>Zĭyáng Xiàn</v>
      </c>
      <c r="N727" s="13" t="str">
        <f>VLOOKUP(I727,CHOOSE({1,2},Table11[Native],Table11[Name]),2,0)</f>
        <v>Ānkāng Shì</v>
      </c>
      <c r="O727" s="13" t="str">
        <f t="shared" si="46"/>
        <v>Maoba Zhen [incl. Lianhe Xiang] (Ānkāng Shì)</v>
      </c>
      <c r="P727" s="13" t="str">
        <f t="shared" si="47"/>
        <v>Maoba Zhen [incl. Lianhe Xiang] (Ānkāng Shì)</v>
      </c>
    </row>
    <row r="728" spans="1:16" hidden="1" x14ac:dyDescent="0.25">
      <c r="A728" t="s">
        <v>835</v>
      </c>
      <c r="B728" t="str">
        <f t="shared" si="44"/>
        <v>Máobàhé Zhèn</v>
      </c>
      <c r="C728" t="str">
        <f t="shared" si="45"/>
        <v>Máobàhé Zhèn</v>
      </c>
      <c r="D728" t="s">
        <v>836</v>
      </c>
      <c r="E728" t="s">
        <v>7</v>
      </c>
      <c r="F728" t="str">
        <f>_xlfn.CONCAT(D728,", ",H728,", ",I728,", ","陕西省")</f>
        <v>毛坝河镇, 宁强县, 汉中市, 陕西省</v>
      </c>
      <c r="G728">
        <v>11783</v>
      </c>
      <c r="H728" t="s">
        <v>3067</v>
      </c>
      <c r="I728" t="s">
        <v>3059</v>
      </c>
      <c r="J728">
        <f>VLOOKUP(F728,[1]!china_towns_second__2[[Column1]:[Y]],3,FALSE)</f>
        <v>32.695589292883099</v>
      </c>
      <c r="K728">
        <f>VLOOKUP(F728,[1]!china_towns_second__2[[Column1]:[Y]],2,FALSE)</f>
        <v>106.3975926</v>
      </c>
      <c r="L728" t="s">
        <v>4849</v>
      </c>
      <c r="M728" t="str">
        <f>VLOOKUP(H728,CHOOSE({1,2},Table11[Native],Table11[Name]),2,0)</f>
        <v>Níngqiáng Xiàn</v>
      </c>
      <c r="N728" s="13" t="str">
        <f>VLOOKUP(I728,CHOOSE({1,2},Table11[Native],Table11[Name]),2,0)</f>
        <v>Hànzhōng Shì</v>
      </c>
      <c r="O728" s="13" t="str">
        <f t="shared" si="46"/>
        <v>Maobahe Zhen (Hànzhōng Shì)</v>
      </c>
      <c r="P728" s="13" t="str">
        <f t="shared" si="47"/>
        <v>Maobahe Zhen (Hànzhōng Shì)</v>
      </c>
    </row>
    <row r="729" spans="1:16" hidden="1" x14ac:dyDescent="0.25">
      <c r="A729" t="s">
        <v>1160</v>
      </c>
      <c r="B729" t="str">
        <f t="shared" si="44"/>
        <v>Máolĭgăng Xiāng</v>
      </c>
      <c r="C729" t="str">
        <f t="shared" si="45"/>
        <v>Máolĭgăng Xiāng</v>
      </c>
      <c r="D729" t="s">
        <v>1161</v>
      </c>
      <c r="E729" t="s">
        <v>11</v>
      </c>
      <c r="F729" t="str">
        <f>_xlfn.CONCAT(D729,", ",H729,", ",I729,", ","陕西省")</f>
        <v>毛里岗乡, 丹凤县, 商洛市, 陕西省</v>
      </c>
      <c r="G729">
        <v>3910</v>
      </c>
      <c r="H729" t="s">
        <v>3073</v>
      </c>
      <c r="I729" t="s">
        <v>3072</v>
      </c>
      <c r="J729" t="e">
        <f>VLOOKUP(F729,[1]!china_towns_second__2[[Column1]:[Y]],3,FALSE)</f>
        <v>#N/A</v>
      </c>
      <c r="K729" t="e">
        <f>VLOOKUP(F729,[1]!china_towns_second__2[[Column1]:[Y]],2,FALSE)</f>
        <v>#N/A</v>
      </c>
      <c r="L729" t="s">
        <v>4850</v>
      </c>
      <c r="M729" t="str">
        <f>VLOOKUP(H729,CHOOSE({1,2},Table11[Native],Table11[Name]),2,0)</f>
        <v>Dānfèng Xiàn</v>
      </c>
      <c r="N729" s="13" t="str">
        <f>VLOOKUP(I729,CHOOSE({1,2},Table11[Native],Table11[Name]),2,0)</f>
        <v>Shāngluò Shì</v>
      </c>
      <c r="O729" s="13" t="str">
        <f t="shared" si="46"/>
        <v>Maoligang Xiang (Shāngluò Shì)</v>
      </c>
      <c r="P729" s="13" t="str">
        <f t="shared" si="47"/>
        <v>Maoligang Xiang (Shāngluò Shì)</v>
      </c>
    </row>
    <row r="730" spans="1:16" hidden="1" x14ac:dyDescent="0.25">
      <c r="A730" t="s">
        <v>1162</v>
      </c>
      <c r="B730" t="str">
        <f t="shared" si="44"/>
        <v>Máopíng Huízú Zhèn</v>
      </c>
      <c r="C730" t="str">
        <f t="shared" si="45"/>
        <v>Máopíng Huízú Zhèn</v>
      </c>
      <c r="D730" t="s">
        <v>1163</v>
      </c>
      <c r="E730" t="s">
        <v>7</v>
      </c>
      <c r="F730" t="str">
        <f>_xlfn.CONCAT(D730,", ",H730,", ",I730,", ","陕西省")</f>
        <v>茅坪回族镇, 镇安县, 商洛市, 陕西省</v>
      </c>
      <c r="G730">
        <v>7991</v>
      </c>
      <c r="H730" t="s">
        <v>3079</v>
      </c>
      <c r="I730" t="s">
        <v>3072</v>
      </c>
      <c r="J730">
        <f>VLOOKUP(F730,[1]!china_towns_second__2[[Column1]:[Y]],3,FALSE)</f>
        <v>33.190279749209402</v>
      </c>
      <c r="K730">
        <f>VLOOKUP(F730,[1]!china_towns_second__2[[Column1]:[Y]],2,FALSE)</f>
        <v>109.4171138</v>
      </c>
      <c r="L730" t="s">
        <v>4851</v>
      </c>
      <c r="M730" t="str">
        <f>VLOOKUP(H730,CHOOSE({1,2},Table11[Native],Table11[Name]),2,0)</f>
        <v>Zhèn'ān Xiàn</v>
      </c>
      <c r="N730" s="13" t="str">
        <f>VLOOKUP(I730,CHOOSE({1,2},Table11[Native],Table11[Name]),2,0)</f>
        <v>Shāngluò Shì</v>
      </c>
      <c r="O730" s="13" t="str">
        <f t="shared" si="46"/>
        <v>Maoping Huizu Zhen (Shāngluò Shì)</v>
      </c>
      <c r="P730" s="13" t="str">
        <f t="shared" si="47"/>
        <v>Maoping Huizu Zhen (Shāngluò Shì)</v>
      </c>
    </row>
    <row r="731" spans="1:16" hidden="1" x14ac:dyDescent="0.25">
      <c r="A731" t="s">
        <v>156</v>
      </c>
      <c r="B731" t="str">
        <f t="shared" si="44"/>
        <v>Máopíng Zhèn (Ānkāng Shì)</v>
      </c>
      <c r="C731" t="str">
        <f t="shared" si="45"/>
        <v>Máopíng Zhèn (Ānkāng Shì)</v>
      </c>
      <c r="D731" t="s">
        <v>157</v>
      </c>
      <c r="E731" t="s">
        <v>7</v>
      </c>
      <c r="F731" t="str">
        <f>_xlfn.CONCAT(D731,", ",H731,", ",I731,", ","陕西省")</f>
        <v>茅坪镇, 白河县, 安康市, 陕西省</v>
      </c>
      <c r="G731">
        <v>15293</v>
      </c>
      <c r="H731" t="s">
        <v>3033</v>
      </c>
      <c r="I731" t="s">
        <v>3031</v>
      </c>
      <c r="J731">
        <f>VLOOKUP(F731,[1]!china_towns_second__2[[Column1]:[Y]],3,FALSE)</f>
        <v>32.689042914966599</v>
      </c>
      <c r="K731">
        <f>VLOOKUP(F731,[1]!china_towns_second__2[[Column1]:[Y]],2,FALSE)</f>
        <v>109.9237445</v>
      </c>
      <c r="L731" t="s">
        <v>4852</v>
      </c>
      <c r="M731" t="str">
        <f>VLOOKUP(H731,CHOOSE({1,2},Table11[Native],Table11[Name]),2,0)</f>
        <v>Báihé Xiàn</v>
      </c>
      <c r="N731" s="13" t="str">
        <f>VLOOKUP(I731,CHOOSE({1,2},Table11[Native],Table11[Name]),2,0)</f>
        <v>Ānkāng Shì</v>
      </c>
      <c r="O731" s="13" t="str">
        <f t="shared" si="46"/>
        <v>Maoping Zhen (Ankang Shi) (Ānkāng Shì)</v>
      </c>
      <c r="P731" s="13" t="str">
        <f t="shared" si="47"/>
        <v>Maoping Zhen (Ankang Shi) (Ānkāng Shì)</v>
      </c>
    </row>
    <row r="732" spans="1:16" hidden="1" x14ac:dyDescent="0.25">
      <c r="A732" t="s">
        <v>156</v>
      </c>
      <c r="B732" t="str">
        <f t="shared" si="44"/>
        <v>Máopíng Zhèn (Hànzhōng Shì)</v>
      </c>
      <c r="C732" t="str">
        <f t="shared" si="45"/>
        <v>Máopíng Zhèn (Hànzhōng Shì)</v>
      </c>
      <c r="D732" t="s">
        <v>157</v>
      </c>
      <c r="E732" t="s">
        <v>7</v>
      </c>
      <c r="F732" t="str">
        <f>_xlfn.CONCAT(D732,", ",H732,", ",I732,", ","陕西省")</f>
        <v>茅坪镇, 洋县, 汉中市, 陕西省</v>
      </c>
      <c r="G732">
        <v>5907</v>
      </c>
      <c r="H732" t="s">
        <v>3069</v>
      </c>
      <c r="I732" t="s">
        <v>3059</v>
      </c>
      <c r="J732">
        <f>VLOOKUP(F732,[1]!china_towns_second__2[[Column1]:[Y]],3,FALSE)</f>
        <v>33.506575312254299</v>
      </c>
      <c r="K732">
        <f>VLOOKUP(F732,[1]!china_towns_second__2[[Column1]:[Y]],2,FALSE)</f>
        <v>107.6785951</v>
      </c>
      <c r="L732" t="s">
        <v>4853</v>
      </c>
      <c r="M732" t="str">
        <f>VLOOKUP(H732,CHOOSE({1,2},Table11[Native],Table11[Name]),2,0)</f>
        <v>Yáng Xiàn</v>
      </c>
      <c r="N732" s="13" t="str">
        <f>VLOOKUP(I732,CHOOSE({1,2},Table11[Native],Table11[Name]),2,0)</f>
        <v>Hànzhōng Shì</v>
      </c>
      <c r="O732" s="13" t="str">
        <f t="shared" si="46"/>
        <v>Maoping Zhen (Hanzhong Shi) (Hànzhōng Shì)</v>
      </c>
      <c r="P732" s="13" t="str">
        <f t="shared" si="47"/>
        <v>Maoping Zhen (Hanzhong Shi) (Hànzhōng Shì)</v>
      </c>
    </row>
    <row r="733" spans="1:16" hidden="1" x14ac:dyDescent="0.25">
      <c r="A733" t="s">
        <v>158</v>
      </c>
      <c r="B733" t="str">
        <f t="shared" si="44"/>
        <v>Mápíng Zhèn (Ānkāng Shì)</v>
      </c>
      <c r="C733" t="str">
        <f t="shared" si="45"/>
        <v>Mápíng Zhèn (Ānkāng Shì)</v>
      </c>
      <c r="D733" t="s">
        <v>159</v>
      </c>
      <c r="E733" t="s">
        <v>7</v>
      </c>
      <c r="F733" t="str">
        <f>_xlfn.CONCAT(D733,", ",H733,", ",I733,", ","陕西省")</f>
        <v>麻坪镇, 旬阳县, 安康市, 陕西省</v>
      </c>
      <c r="G733">
        <v>11385</v>
      </c>
      <c r="H733" t="s">
        <v>3041</v>
      </c>
      <c r="I733" t="s">
        <v>3031</v>
      </c>
      <c r="J733">
        <f>VLOOKUP(F733,[1]!china_towns_second__2[[Column1]:[Y]],3,FALSE)</f>
        <v>32.943537812798297</v>
      </c>
      <c r="K733">
        <f>VLOOKUP(F733,[1]!china_towns_second__2[[Column1]:[Y]],2,FALSE)</f>
        <v>109.1092226</v>
      </c>
      <c r="L733" t="s">
        <v>4854</v>
      </c>
      <c r="M733" t="str">
        <f>VLOOKUP(H733,CHOOSE({1,2},Table11[Native],Table11[Name]),2,0)</f>
        <v>Xúnyáng Xiàn</v>
      </c>
      <c r="N733" s="13" t="str">
        <f>VLOOKUP(I733,CHOOSE({1,2},Table11[Native],Table11[Name]),2,0)</f>
        <v>Ānkāng Shì</v>
      </c>
      <c r="O733" s="13" t="str">
        <f t="shared" si="46"/>
        <v>Maping Zhen (Ankang Shi) (Ānkāng Shì)</v>
      </c>
      <c r="P733" s="13" t="str">
        <f t="shared" si="47"/>
        <v>Maping Zhen (Ankang Shi) (Ānkāng Shì)</v>
      </c>
    </row>
    <row r="734" spans="1:16" hidden="1" x14ac:dyDescent="0.25">
      <c r="A734" t="s">
        <v>158</v>
      </c>
      <c r="B734" t="str">
        <f t="shared" si="44"/>
        <v>Mápíng Zhèn (Shāngluò Shì)</v>
      </c>
      <c r="C734" t="str">
        <f t="shared" si="45"/>
        <v>Mápíng Zhèn (Shāngluò Shì)</v>
      </c>
      <c r="D734" t="s">
        <v>159</v>
      </c>
      <c r="E734" t="s">
        <v>7</v>
      </c>
      <c r="F734" t="str">
        <f>_xlfn.CONCAT(D734,", ",H734,", ",I734,", ","陕西省")</f>
        <v>麻坪镇, 洛南县, 商洛市, 陕西省</v>
      </c>
      <c r="G734">
        <v>15763</v>
      </c>
      <c r="H734" t="s">
        <v>3074</v>
      </c>
      <c r="I734" t="s">
        <v>3072</v>
      </c>
      <c r="J734">
        <f>VLOOKUP(F734,[1]!china_towns_second__2[[Column1]:[Y]],3,FALSE)</f>
        <v>34.221756849138202</v>
      </c>
      <c r="K734">
        <f>VLOOKUP(F734,[1]!china_towns_second__2[[Column1]:[Y]],2,FALSE)</f>
        <v>110.0686616</v>
      </c>
      <c r="L734" t="s">
        <v>4855</v>
      </c>
      <c r="M734" t="str">
        <f>VLOOKUP(H734,CHOOSE({1,2},Table11[Native],Table11[Name]),2,0)</f>
        <v>Luònán Xiàn</v>
      </c>
      <c r="N734" s="13" t="str">
        <f>VLOOKUP(I734,CHOOSE({1,2},Table11[Native],Table11[Name]),2,0)</f>
        <v>Shāngluò Shì</v>
      </c>
      <c r="O734" s="13" t="str">
        <f t="shared" si="46"/>
        <v>Maping Zhen (Shangluo Shi) (Shāngluò Shì)</v>
      </c>
      <c r="P734" s="13" t="str">
        <f t="shared" si="47"/>
        <v>Maping Zhen (Shangluo Shi) (Shāngluò Shì)</v>
      </c>
    </row>
    <row r="735" spans="1:16" hidden="1" x14ac:dyDescent="0.25">
      <c r="A735" t="s">
        <v>1817</v>
      </c>
      <c r="B735" t="str">
        <f t="shared" si="44"/>
        <v>Măquán Jiēdào</v>
      </c>
      <c r="C735" t="str">
        <f t="shared" si="45"/>
        <v>Măquán Jiēdào</v>
      </c>
      <c r="D735" t="s">
        <v>1818</v>
      </c>
      <c r="E735" t="s">
        <v>113</v>
      </c>
      <c r="F735" t="str">
        <f>_xlfn.CONCAT(D735,", ",H735,", ",I735,", ","陕西省")</f>
        <v>马泉街道, 秦都区, 咸阳市, 陕西省</v>
      </c>
      <c r="G735">
        <v>22579</v>
      </c>
      <c r="H735" t="s">
        <v>3124</v>
      </c>
      <c r="I735" t="s">
        <v>3117</v>
      </c>
      <c r="J735">
        <f>VLOOKUP(F735,[1]!china_towns_second__2[[Column1]:[Y]],3,FALSE)</f>
        <v>34.333379193700999</v>
      </c>
      <c r="K735">
        <f>VLOOKUP(F735,[1]!china_towns_second__2[[Column1]:[Y]],2,FALSE)</f>
        <v>108.63254809999999</v>
      </c>
      <c r="L735" t="s">
        <v>4856</v>
      </c>
      <c r="M735" t="str">
        <f>VLOOKUP(H735,CHOOSE({1,2},Table11[Native],Table11[Name]),2,0)</f>
        <v>Qíndū Qū</v>
      </c>
      <c r="N735" s="13" t="str">
        <f>VLOOKUP(I735,CHOOSE({1,2},Table11[Native],Table11[Name]),2,0)</f>
        <v>Xiányáng Shì</v>
      </c>
      <c r="O735" s="13" t="str">
        <f t="shared" si="46"/>
        <v>Maquan Jiedao (Xiányáng Shì)</v>
      </c>
      <c r="P735" s="13" t="str">
        <f t="shared" si="47"/>
        <v>Maquan Jiedao (Xiányáng Shì)</v>
      </c>
    </row>
    <row r="736" spans="1:16" hidden="1" x14ac:dyDescent="0.25">
      <c r="A736" t="s">
        <v>2824</v>
      </c>
      <c r="B736" t="str">
        <f t="shared" si="44"/>
        <v>Mătígōu Zhèn</v>
      </c>
      <c r="C736" t="str">
        <f t="shared" si="45"/>
        <v>Mătígōu Zhèn</v>
      </c>
      <c r="D736" t="s">
        <v>2825</v>
      </c>
      <c r="E736" t="s">
        <v>7</v>
      </c>
      <c r="F736" t="str">
        <f>_xlfn.CONCAT(D736,", ",H736,", ",I736,", ","陕西省")</f>
        <v>马蹄沟镇, 子洲县, 榆林市, 陕西省</v>
      </c>
      <c r="G736">
        <v>13895</v>
      </c>
      <c r="H736" t="s">
        <v>3160</v>
      </c>
      <c r="I736" t="s">
        <v>3148</v>
      </c>
      <c r="J736">
        <f>VLOOKUP(F736,[1]!china_towns_second__2[[Column1]:[Y]],3,FALSE)</f>
        <v>37.631856755613597</v>
      </c>
      <c r="K736">
        <f>VLOOKUP(F736,[1]!china_towns_second__2[[Column1]:[Y]],2,FALSE)</f>
        <v>109.8673253</v>
      </c>
      <c r="L736" t="s">
        <v>4857</v>
      </c>
      <c r="M736" t="str">
        <f>VLOOKUP(H736,CHOOSE({1,2},Table11[Native],Table11[Name]),2,0)</f>
        <v>Zizhōu Xiàn</v>
      </c>
      <c r="N736" s="13" t="str">
        <f>VLOOKUP(I736,CHOOSE({1,2},Table11[Native],Table11[Name]),2,0)</f>
        <v>Yúlín Shì</v>
      </c>
      <c r="O736" s="13" t="str">
        <f t="shared" si="46"/>
        <v>Matigou Zhen (Yúlín Shì)</v>
      </c>
      <c r="P736" s="13" t="str">
        <f t="shared" si="47"/>
        <v>Matigou Zhen (Yúlín Shì)</v>
      </c>
    </row>
    <row r="737" spans="1:16" hidden="1" x14ac:dyDescent="0.25">
      <c r="A737" t="s">
        <v>837</v>
      </c>
      <c r="B737" t="str">
        <f t="shared" si="44"/>
        <v>Mătíwān Zhèn</v>
      </c>
      <c r="C737" t="str">
        <f t="shared" si="45"/>
        <v>Mătíwān Zhèn</v>
      </c>
      <c r="D737" t="s">
        <v>838</v>
      </c>
      <c r="E737" t="s">
        <v>7</v>
      </c>
      <c r="F737" t="str">
        <f>_xlfn.CONCAT(D737,", ",H737,", ",I737,", ","陕西省")</f>
        <v>马蹄湾镇, 略阳县, 汉中市, 陕西省</v>
      </c>
      <c r="G737">
        <v>4982</v>
      </c>
      <c r="H737" t="s">
        <v>3064</v>
      </c>
      <c r="I737" t="s">
        <v>3059</v>
      </c>
      <c r="J737">
        <f>VLOOKUP(F737,[1]!china_towns_second__2[[Column1]:[Y]],3,FALSE)</f>
        <v>33.493942242443502</v>
      </c>
      <c r="K737">
        <f>VLOOKUP(F737,[1]!china_towns_second__2[[Column1]:[Y]],2,FALSE)</f>
        <v>106.04034660000001</v>
      </c>
      <c r="L737" t="s">
        <v>4858</v>
      </c>
      <c r="M737" t="str">
        <f>VLOOKUP(H737,CHOOSE({1,2},Table11[Native],Table11[Name]),2,0)</f>
        <v>Lüèyáng Xiàn</v>
      </c>
      <c r="N737" s="13" t="str">
        <f>VLOOKUP(I737,CHOOSE({1,2},Table11[Native],Table11[Name]),2,0)</f>
        <v>Hànzhōng Shì</v>
      </c>
      <c r="O737" s="13" t="str">
        <f t="shared" si="46"/>
        <v>Matiwan Zhen (Hànzhōng Shì)</v>
      </c>
      <c r="P737" s="13" t="str">
        <f t="shared" si="47"/>
        <v>Matiwan Zhen (Hànzhōng Shì)</v>
      </c>
    </row>
    <row r="738" spans="1:16" hidden="1" x14ac:dyDescent="0.25">
      <c r="A738" t="s">
        <v>2144</v>
      </c>
      <c r="B738" t="str">
        <f t="shared" si="44"/>
        <v>Măwáng Jiēdào</v>
      </c>
      <c r="C738" t="str">
        <f t="shared" si="45"/>
        <v>Măwáng Jiēdào</v>
      </c>
      <c r="D738" t="s">
        <v>2145</v>
      </c>
      <c r="E738" t="s">
        <v>113</v>
      </c>
      <c r="F738" t="str">
        <f>_xlfn.CONCAT(D738,", ",H738,", ",I738,", ","陕西省")</f>
        <v>马王街道, 西咸新区, 西安市, 陕西省</v>
      </c>
      <c r="G738">
        <v>26944</v>
      </c>
      <c r="H738" t="s">
        <v>3167</v>
      </c>
      <c r="I738" t="s">
        <v>3102</v>
      </c>
      <c r="J738" t="e">
        <f>VLOOKUP(F738,[1]!china_towns_second__2[[Column1]:[Y]],3,FALSE)</f>
        <v>#N/A</v>
      </c>
      <c r="K738" t="e">
        <f>VLOOKUP(F738,[1]!china_towns_second__2[[Column1]:[Y]],2,FALSE)</f>
        <v>#N/A</v>
      </c>
      <c r="L738" t="s">
        <v>4859</v>
      </c>
      <c r="M738" t="str">
        <f>VLOOKUP(H738,CHOOSE({1,2},Table11[Native],Table11[Name]),2,0)</f>
        <v>Xīxián Xīnqū</v>
      </c>
      <c r="N738" s="13" t="str">
        <f>VLOOKUP(I738,CHOOSE({1,2},Table11[Native],Table11[Name]),2,0)</f>
        <v>Xī'ān Shì</v>
      </c>
      <c r="O738" s="13" t="str">
        <f t="shared" si="46"/>
        <v>Mawang Jiedao (Xī'ān Shì)</v>
      </c>
      <c r="P738" s="13" t="str">
        <f t="shared" si="47"/>
        <v>Mawang Jiedao (Xī'ān Shì)</v>
      </c>
    </row>
    <row r="739" spans="1:16" hidden="1" x14ac:dyDescent="0.25">
      <c r="A739" t="s">
        <v>1819</v>
      </c>
      <c r="B739" t="str">
        <f t="shared" si="44"/>
        <v>Măwéi Jiēdào</v>
      </c>
      <c r="C739" t="str">
        <f t="shared" si="45"/>
        <v>Măwéi Jiēdào</v>
      </c>
      <c r="D739" t="s">
        <v>1820</v>
      </c>
      <c r="E739" t="s">
        <v>113</v>
      </c>
      <c r="F739" t="str">
        <f>_xlfn.CONCAT(D739,", ",H739,", ",I739,", ","陕西省")</f>
        <v>马嵬街道, 兴平市, 咸阳市, 陕西省</v>
      </c>
      <c r="G739">
        <v>32115</v>
      </c>
      <c r="H739" t="s">
        <v>3128</v>
      </c>
      <c r="I739" t="s">
        <v>3117</v>
      </c>
      <c r="J739">
        <f>VLOOKUP(F739,[1]!china_towns_second__2[[Column1]:[Y]],3,FALSE)</f>
        <v>34.3239368950385</v>
      </c>
      <c r="K739">
        <f>VLOOKUP(F739,[1]!china_towns_second__2[[Column1]:[Y]],2,FALSE)</f>
        <v>108.3783006</v>
      </c>
      <c r="L739" t="s">
        <v>4860</v>
      </c>
      <c r="M739" t="str">
        <f>VLOOKUP(H739,CHOOSE({1,2},Table11[Native],Table11[Name]),2,0)</f>
        <v>Xīngpíng Shì</v>
      </c>
      <c r="N739" s="13" t="str">
        <f>VLOOKUP(I739,CHOOSE({1,2},Table11[Native],Table11[Name]),2,0)</f>
        <v>Xiányáng Shì</v>
      </c>
      <c r="O739" s="13" t="str">
        <f t="shared" si="46"/>
        <v>Mawei Jiedao (Xiányáng Shì)</v>
      </c>
      <c r="P739" s="13" t="str">
        <f t="shared" si="47"/>
        <v>Mawei Jiedao (Xiányáng Shì)</v>
      </c>
    </row>
    <row r="740" spans="1:16" hidden="1" x14ac:dyDescent="0.25">
      <c r="A740" t="s">
        <v>483</v>
      </c>
      <c r="B740" t="str">
        <f t="shared" si="44"/>
        <v>Măyíng Zhèn</v>
      </c>
      <c r="C740" t="str">
        <f t="shared" si="45"/>
        <v>Măyíng Zhèn</v>
      </c>
      <c r="D740" t="s">
        <v>484</v>
      </c>
      <c r="E740" t="s">
        <v>7</v>
      </c>
      <c r="F740" t="str">
        <f>_xlfn.CONCAT(D740,", ",H740,", ",I740,", ","陕西省")</f>
        <v>马营镇, 渭滨区, 宝鸡市, 陕西省</v>
      </c>
      <c r="G740">
        <v>56854</v>
      </c>
      <c r="H740" t="s">
        <v>3057</v>
      </c>
      <c r="I740" t="s">
        <v>3045</v>
      </c>
      <c r="J740">
        <f>VLOOKUP(F740,[1]!china_towns_second__2[[Column1]:[Y]],3,FALSE)</f>
        <v>34.2446483736299</v>
      </c>
      <c r="K740">
        <f>VLOOKUP(F740,[1]!china_towns_second__2[[Column1]:[Y]],2,FALSE)</f>
        <v>107.216177</v>
      </c>
      <c r="L740" t="s">
        <v>4861</v>
      </c>
      <c r="M740" t="str">
        <f>VLOOKUP(H740,CHOOSE({1,2},Table11[Native],Table11[Name]),2,0)</f>
        <v>Wèibīn Qū</v>
      </c>
      <c r="N740" s="13" t="str">
        <f>VLOOKUP(I740,CHOOSE({1,2},Table11[Native],Table11[Name]),2,0)</f>
        <v>Băojī Shì</v>
      </c>
      <c r="O740" s="13" t="str">
        <f t="shared" si="46"/>
        <v>Maying Zhen (Băojī Shì)</v>
      </c>
      <c r="P740" s="13" t="str">
        <f t="shared" si="47"/>
        <v>Maying Zhen (Băojī Shì)</v>
      </c>
    </row>
    <row r="741" spans="1:16" hidden="1" x14ac:dyDescent="0.25">
      <c r="A741" t="s">
        <v>2146</v>
      </c>
      <c r="B741" t="str">
        <f t="shared" si="44"/>
        <v>Măzhào Zhèn</v>
      </c>
      <c r="C741" t="str">
        <f t="shared" si="45"/>
        <v>Măzhào Zhèn</v>
      </c>
      <c r="D741" t="s">
        <v>2147</v>
      </c>
      <c r="E741" t="s">
        <v>7</v>
      </c>
      <c r="F741" t="str">
        <f>_xlfn.CONCAT(D741,", ",H741,", ",I741,", ","陕西省")</f>
        <v>马召镇, 周至县, 西安市, 陕西省</v>
      </c>
      <c r="G741">
        <v>32023</v>
      </c>
      <c r="H741" t="s">
        <v>3115</v>
      </c>
      <c r="I741" t="s">
        <v>3102</v>
      </c>
      <c r="J741">
        <f>VLOOKUP(F741,[1]!china_towns_second__2[[Column1]:[Y]],3,FALSE)</f>
        <v>34.070970027389997</v>
      </c>
      <c r="K741">
        <f>VLOOKUP(F741,[1]!china_towns_second__2[[Column1]:[Y]],2,FALSE)</f>
        <v>108.17712659999999</v>
      </c>
      <c r="L741" t="s">
        <v>4862</v>
      </c>
      <c r="M741" t="str">
        <f>VLOOKUP(H741,CHOOSE({1,2},Table11[Native],Table11[Name]),2,0)</f>
        <v>Zhōuzhì Xiàn</v>
      </c>
      <c r="N741" s="13" t="str">
        <f>VLOOKUP(I741,CHOOSE({1,2},Table11[Native],Table11[Name]),2,0)</f>
        <v>Xī'ān Shì</v>
      </c>
      <c r="O741" s="13" t="str">
        <f t="shared" si="46"/>
        <v>Mazhao Zhen (Xī'ān Shì)</v>
      </c>
      <c r="P741" s="13" t="str">
        <f t="shared" si="47"/>
        <v>Mazhao Zhen (Xī'ān Shì)</v>
      </c>
    </row>
    <row r="742" spans="1:16" hidden="1" x14ac:dyDescent="0.25">
      <c r="A742" t="s">
        <v>1821</v>
      </c>
      <c r="B742" t="str">
        <f t="shared" si="44"/>
        <v>Măzhuāng Jiēdào</v>
      </c>
      <c r="C742" t="str">
        <f t="shared" si="45"/>
        <v>Măzhuāng Jiēdào</v>
      </c>
      <c r="D742" t="s">
        <v>1822</v>
      </c>
      <c r="E742" t="s">
        <v>113</v>
      </c>
      <c r="F742" t="str">
        <f>_xlfn.CONCAT(D742,", ",H742,", ",I742,", ","陕西省")</f>
        <v>马庄街道, 秦都区, 咸阳市, 陕西省</v>
      </c>
      <c r="G742">
        <v>27022</v>
      </c>
      <c r="H742" t="s">
        <v>3124</v>
      </c>
      <c r="I742" t="s">
        <v>3117</v>
      </c>
      <c r="J742" t="e">
        <f>VLOOKUP(F742,[1]!china_towns_second__2[[Column1]:[Y]],3,FALSE)</f>
        <v>#N/A</v>
      </c>
      <c r="K742" t="e">
        <f>VLOOKUP(F742,[1]!china_towns_second__2[[Column1]:[Y]],2,FALSE)</f>
        <v>#N/A</v>
      </c>
      <c r="L742" t="s">
        <v>4863</v>
      </c>
      <c r="M742" t="str">
        <f>VLOOKUP(H742,CHOOSE({1,2},Table11[Native],Table11[Name]),2,0)</f>
        <v>Qíndū Qū</v>
      </c>
      <c r="N742" s="13" t="str">
        <f>VLOOKUP(I742,CHOOSE({1,2},Table11[Native],Table11[Name]),2,0)</f>
        <v>Xiányáng Shì</v>
      </c>
      <c r="O742" s="13" t="str">
        <f t="shared" si="46"/>
        <v>Mazhuang Jiedao (Xiányáng Shì)</v>
      </c>
      <c r="P742" s="13" t="str">
        <f t="shared" si="47"/>
        <v>Mazhuang Jiedao (Xiányáng Shì)</v>
      </c>
    </row>
    <row r="743" spans="1:16" hidden="1" x14ac:dyDescent="0.25">
      <c r="A743" t="s">
        <v>1556</v>
      </c>
      <c r="B743" t="str">
        <f t="shared" si="44"/>
        <v>Méijiāpíng Zhèn</v>
      </c>
      <c r="C743" t="str">
        <f t="shared" si="45"/>
        <v>Méijiāpíng Zhèn</v>
      </c>
      <c r="D743" t="s">
        <v>1557</v>
      </c>
      <c r="E743" t="s">
        <v>7</v>
      </c>
      <c r="F743" t="str">
        <f>_xlfn.CONCAT(D743,", ",H743,", ",I743,", ","陕西省")</f>
        <v>梅家坪镇, 富平县, 渭南市, 陕西省</v>
      </c>
      <c r="G743">
        <v>30232</v>
      </c>
      <c r="H743" t="s">
        <v>3091</v>
      </c>
      <c r="I743" t="s">
        <v>3087</v>
      </c>
      <c r="J743">
        <f>VLOOKUP(F743,[1]!china_towns_second__2[[Column1]:[Y]],3,FALSE)</f>
        <v>34.855929831150398</v>
      </c>
      <c r="K743">
        <f>VLOOKUP(F743,[1]!china_towns_second__2[[Column1]:[Y]],2,FALSE)</f>
        <v>108.99351350000001</v>
      </c>
      <c r="L743" t="s">
        <v>4864</v>
      </c>
      <c r="M743" t="str">
        <f>VLOOKUP(H743,CHOOSE({1,2},Table11[Native],Table11[Name]),2,0)</f>
        <v>Fùpíng Xiàn</v>
      </c>
      <c r="N743" s="13" t="str">
        <f>VLOOKUP(I743,CHOOSE({1,2},Table11[Native],Table11[Name]),2,0)</f>
        <v>Wèinán Shì</v>
      </c>
      <c r="O743" s="13" t="str">
        <f t="shared" si="46"/>
        <v>Meijiaping Zhen (Wèinán Shì)</v>
      </c>
      <c r="P743" s="13" t="str">
        <f t="shared" si="47"/>
        <v>Meijiaping Zhen (Wèinán Shì)</v>
      </c>
    </row>
    <row r="744" spans="1:16" hidden="1" x14ac:dyDescent="0.25">
      <c r="A744" t="s">
        <v>2465</v>
      </c>
      <c r="B744" t="str">
        <f t="shared" si="44"/>
        <v>Měishuǐ Jiēdào [Chéngguān Zhèn]</v>
      </c>
      <c r="C744" t="str">
        <f t="shared" si="45"/>
        <v>Měishuǐ Jiēdào [Chéngguān Zhèn]</v>
      </c>
      <c r="D744" t="s">
        <v>2466</v>
      </c>
      <c r="E744" t="s">
        <v>113</v>
      </c>
      <c r="F744" t="str">
        <f>_xlfn.CONCAT(D744,", ",H744,", ",I744,", ","陕西省")</f>
        <v>美水街道, 甘泉县, 延安市, 陕西省</v>
      </c>
      <c r="G744">
        <v>38142</v>
      </c>
      <c r="H744" t="s">
        <v>3137</v>
      </c>
      <c r="I744" t="s">
        <v>3133</v>
      </c>
      <c r="J744" t="e">
        <f>VLOOKUP(F744,[1]!china_towns_second__2[[Column1]:[Y]],3,FALSE)</f>
        <v>#N/A</v>
      </c>
      <c r="K744" t="e">
        <f>VLOOKUP(F744,[1]!china_towns_second__2[[Column1]:[Y]],2,FALSE)</f>
        <v>#N/A</v>
      </c>
      <c r="L744" t="s">
        <v>4865</v>
      </c>
      <c r="M744" t="str">
        <f>VLOOKUP(H744,CHOOSE({1,2},Table11[Native],Table11[Name]),2,0)</f>
        <v>Gānquán Xiàn</v>
      </c>
      <c r="N744" s="13" t="str">
        <f>VLOOKUP(I744,CHOOSE({1,2},Table11[Native],Table11[Name]),2,0)</f>
        <v>Yán'ān Shì</v>
      </c>
      <c r="O744" s="13" t="str">
        <f t="shared" si="46"/>
        <v>Meishui Jiedao [Chengguan Zhen] (Yán'ān Shì)</v>
      </c>
      <c r="P744" s="13" t="str">
        <f t="shared" si="47"/>
        <v>Meishui Jiedao [Chengguan Zhen] (Yán'ān Shì)</v>
      </c>
    </row>
    <row r="745" spans="1:16" hidden="1" x14ac:dyDescent="0.25">
      <c r="A745" t="s">
        <v>1558</v>
      </c>
      <c r="B745" t="str">
        <f t="shared" si="44"/>
        <v>Mĕiyuán Zhèn</v>
      </c>
      <c r="C745" t="str">
        <f t="shared" si="45"/>
        <v>Mĕiyuán Zhèn</v>
      </c>
      <c r="D745" t="s">
        <v>1559</v>
      </c>
      <c r="E745" t="s">
        <v>7</v>
      </c>
      <c r="F745" t="str">
        <f>_xlfn.CONCAT(D745,", ",H745,", ",I745,", ","陕西省")</f>
        <v>美原镇, 富平县, 渭南市, 陕西省</v>
      </c>
      <c r="G745">
        <v>47520</v>
      </c>
      <c r="H745" t="s">
        <v>3091</v>
      </c>
      <c r="I745" t="s">
        <v>3087</v>
      </c>
      <c r="J745">
        <f>VLOOKUP(F745,[1]!china_towns_second__2[[Column1]:[Y]],3,FALSE)</f>
        <v>34.958942780405899</v>
      </c>
      <c r="K745">
        <f>VLOOKUP(F745,[1]!china_towns_second__2[[Column1]:[Y]],2,FALSE)</f>
        <v>109.3461259</v>
      </c>
      <c r="L745" t="s">
        <v>4866</v>
      </c>
      <c r="M745" t="str">
        <f>VLOOKUP(H745,CHOOSE({1,2},Table11[Native],Table11[Name]),2,0)</f>
        <v>Fùpíng Xiàn</v>
      </c>
      <c r="N745" s="13" t="str">
        <f>VLOOKUP(I745,CHOOSE({1,2},Table11[Native],Table11[Name]),2,0)</f>
        <v>Wèinán Shì</v>
      </c>
      <c r="O745" s="13" t="str">
        <f t="shared" si="46"/>
        <v>Meiyuan Zhen (Wèinán Shì)</v>
      </c>
      <c r="P745" s="13" t="str">
        <f t="shared" si="47"/>
        <v>Meiyuan Zhen (Wèinán Shì)</v>
      </c>
    </row>
    <row r="746" spans="1:16" hidden="1" x14ac:dyDescent="0.25">
      <c r="A746" t="s">
        <v>160</v>
      </c>
      <c r="B746" t="str">
        <f t="shared" si="44"/>
        <v>Méizi Zhèn</v>
      </c>
      <c r="C746" t="str">
        <f t="shared" si="45"/>
        <v>Méizi Zhèn</v>
      </c>
      <c r="D746" t="s">
        <v>161</v>
      </c>
      <c r="E746" t="s">
        <v>7</v>
      </c>
      <c r="F746" t="str">
        <f>_xlfn.CONCAT(D746,", ",H746,", ",I746,", ","陕西省")</f>
        <v>梅子镇, 宁陕县, 安康市, 陕西省</v>
      </c>
      <c r="G746">
        <v>2401</v>
      </c>
      <c r="H746" t="s">
        <v>3038</v>
      </c>
      <c r="I746" t="s">
        <v>3031</v>
      </c>
      <c r="J746">
        <f>VLOOKUP(F746,[1]!china_towns_second__2[[Column1]:[Y]],3,FALSE)</f>
        <v>33.350736532111497</v>
      </c>
      <c r="K746">
        <f>VLOOKUP(F746,[1]!china_towns_second__2[[Column1]:[Y]],2,FALSE)</f>
        <v>108.10397500000001</v>
      </c>
      <c r="L746" t="s">
        <v>4867</v>
      </c>
      <c r="M746" t="str">
        <f>VLOOKUP(H746,CHOOSE({1,2},Table11[Native],Table11[Name]),2,0)</f>
        <v>Níngshăn Xiàn</v>
      </c>
      <c r="N746" s="13" t="str">
        <f>VLOOKUP(I746,CHOOSE({1,2},Table11[Native],Table11[Name]),2,0)</f>
        <v>Ānkāng Shì</v>
      </c>
      <c r="O746" s="13" t="str">
        <f t="shared" si="46"/>
        <v>Meizi Zhen (Ānkāng Shì)</v>
      </c>
      <c r="P746" s="13" t="str">
        <f t="shared" si="47"/>
        <v>Meizi Zhen (Ānkāng Shì)</v>
      </c>
    </row>
    <row r="747" spans="1:16" hidden="1" x14ac:dyDescent="0.25">
      <c r="A747" t="s">
        <v>2148</v>
      </c>
      <c r="B747" t="str">
        <f t="shared" si="44"/>
        <v>Mèngcūn Zhèn</v>
      </c>
      <c r="C747" t="str">
        <f t="shared" si="45"/>
        <v>Mèngcūn Zhèn</v>
      </c>
      <c r="D747" t="s">
        <v>2149</v>
      </c>
      <c r="E747" t="s">
        <v>7</v>
      </c>
      <c r="F747" t="str">
        <f>_xlfn.CONCAT(D747,", ",H747,", ",I747,", ","陕西省")</f>
        <v>孟村镇, 蓝田县, 西安市, 陕西省</v>
      </c>
      <c r="G747">
        <v>21779</v>
      </c>
      <c r="H747" t="s">
        <v>3108</v>
      </c>
      <c r="I747" t="s">
        <v>3102</v>
      </c>
      <c r="J747">
        <f>VLOOKUP(F747,[1]!china_towns_second__2[[Column1]:[Y]],3,FALSE)</f>
        <v>34.178838049937603</v>
      </c>
      <c r="K747">
        <f>VLOOKUP(F747,[1]!china_towns_second__2[[Column1]:[Y]],2,FALSE)</f>
        <v>109.206506</v>
      </c>
      <c r="L747" t="s">
        <v>4868</v>
      </c>
      <c r="M747" t="str">
        <f>VLOOKUP(H747,CHOOSE({1,2},Table11[Native],Table11[Name]),2,0)</f>
        <v>Lántián Xiàn</v>
      </c>
      <c r="N747" s="13" t="str">
        <f>VLOOKUP(I747,CHOOSE({1,2},Table11[Native],Table11[Name]),2,0)</f>
        <v>Xī'ān Shì</v>
      </c>
      <c r="O747" s="13" t="str">
        <f t="shared" si="46"/>
        <v>Mengcun Zhen (Xī'ān Shì)</v>
      </c>
      <c r="P747" s="13" t="str">
        <f t="shared" si="47"/>
        <v>Mengcun Zhen (Xī'ān Shì)</v>
      </c>
    </row>
    <row r="748" spans="1:16" hidden="1" x14ac:dyDescent="0.25">
      <c r="A748" t="s">
        <v>2828</v>
      </c>
      <c r="B748" t="str">
        <f t="shared" si="44"/>
        <v>Mèngjiāwān Xiāng</v>
      </c>
      <c r="C748" t="str">
        <f t="shared" si="45"/>
        <v>Mèngjiāwān Xiāng</v>
      </c>
      <c r="D748" t="s">
        <v>2829</v>
      </c>
      <c r="E748" t="s">
        <v>11</v>
      </c>
      <c r="F748" t="str">
        <f>_xlfn.CONCAT(D748,", ",H748,", ",I748,", ","陕西省")</f>
        <v>孟家湾乡, 榆阳区, 榆林市, 陕西省</v>
      </c>
      <c r="G748">
        <v>11186</v>
      </c>
      <c r="H748" t="s">
        <v>3159</v>
      </c>
      <c r="I748" t="s">
        <v>3148</v>
      </c>
      <c r="J748" t="e">
        <f>VLOOKUP(F748,[1]!china_towns_second__2[[Column1]:[Y]],3,FALSE)</f>
        <v>#N/A</v>
      </c>
      <c r="K748" t="e">
        <f>VLOOKUP(F748,[1]!china_towns_second__2[[Column1]:[Y]],2,FALSE)</f>
        <v>#N/A</v>
      </c>
      <c r="L748" t="s">
        <v>4869</v>
      </c>
      <c r="M748" t="str">
        <f>VLOOKUP(H748,CHOOSE({1,2},Table11[Native],Table11[Name]),2,0)</f>
        <v>Yúyáng Qū</v>
      </c>
      <c r="N748" s="13" t="str">
        <f>VLOOKUP(I748,CHOOSE({1,2},Table11[Native],Table11[Name]),2,0)</f>
        <v>Yúlín Shì</v>
      </c>
      <c r="O748" s="13" t="str">
        <f t="shared" si="46"/>
        <v>Mengjiawan Xiang (Yúlín Shì)</v>
      </c>
      <c r="P748" s="13" t="str">
        <f t="shared" si="47"/>
        <v>Mengjiawan Xiang (Yúlín Shì)</v>
      </c>
    </row>
    <row r="749" spans="1:16" hidden="1" x14ac:dyDescent="0.25">
      <c r="A749" t="s">
        <v>162</v>
      </c>
      <c r="B749" t="str">
        <f t="shared" si="44"/>
        <v>Mèngshílĭng Zhèn</v>
      </c>
      <c r="C749" t="str">
        <f t="shared" si="45"/>
        <v>Mèngshílĭng Zhèn</v>
      </c>
      <c r="D749" t="s">
        <v>163</v>
      </c>
      <c r="E749" t="s">
        <v>7</v>
      </c>
      <c r="F749" t="str">
        <f>_xlfn.CONCAT(D749,", ",H749,", ",I749,", ","陕西省")</f>
        <v>孟石岭镇, 岚皋县, 安康市, 陕西省</v>
      </c>
      <c r="G749">
        <v>9113</v>
      </c>
      <c r="H749" t="s">
        <v>3037</v>
      </c>
      <c r="I749" t="s">
        <v>3031</v>
      </c>
      <c r="J749">
        <f>VLOOKUP(F749,[1]!china_towns_second__2[[Column1]:[Y]],3,FALSE)</f>
        <v>32.162142915850403</v>
      </c>
      <c r="K749">
        <f>VLOOKUP(F749,[1]!china_towns_second__2[[Column1]:[Y]],2,FALSE)</f>
        <v>109.08096140000001</v>
      </c>
      <c r="L749" t="s">
        <v>4870</v>
      </c>
      <c r="M749" t="str">
        <f>VLOOKUP(H749,CHOOSE({1,2},Table11[Native],Table11[Name]),2,0)</f>
        <v>Lángāo Xiàn</v>
      </c>
      <c r="N749" s="13" t="str">
        <f>VLOOKUP(I749,CHOOSE({1,2},Table11[Native],Table11[Name]),2,0)</f>
        <v>Ānkāng Shì</v>
      </c>
      <c r="O749" s="13" t="str">
        <f t="shared" si="46"/>
        <v>Mengshiling Zhen (Ānkāng Shì)</v>
      </c>
      <c r="P749" s="13" t="str">
        <f t="shared" si="47"/>
        <v>Mengshiling Zhen (Ānkāng Shì)</v>
      </c>
    </row>
    <row r="750" spans="1:16" hidden="1" x14ac:dyDescent="0.25">
      <c r="A750" t="s">
        <v>1560</v>
      </c>
      <c r="B750" t="str">
        <f t="shared" si="44"/>
        <v>Mèngyuán Zhèn</v>
      </c>
      <c r="C750" t="str">
        <f t="shared" si="45"/>
        <v>Mèngyuán Zhèn</v>
      </c>
      <c r="D750" t="s">
        <v>1561</v>
      </c>
      <c r="E750" t="s">
        <v>7</v>
      </c>
      <c r="F750" t="str">
        <f>_xlfn.CONCAT(D750,", ",H750,", ",I750,", ","陕西省")</f>
        <v>孟塬镇, 华阴市, 渭南市, 陕西省</v>
      </c>
      <c r="G750">
        <v>24687</v>
      </c>
      <c r="H750" t="s">
        <v>3095</v>
      </c>
      <c r="I750" t="s">
        <v>3087</v>
      </c>
      <c r="J750">
        <f>VLOOKUP(F750,[1]!china_towns_second__2[[Column1]:[Y]],3,FALSE)</f>
        <v>34.515622883715302</v>
      </c>
      <c r="K750">
        <f>VLOOKUP(F750,[1]!china_towns_second__2[[Column1]:[Y]],2,FALSE)</f>
        <v>110.1628369</v>
      </c>
      <c r="L750" t="s">
        <v>4871</v>
      </c>
      <c r="M750" t="str">
        <f>VLOOKUP(H750,CHOOSE({1,2},Table11[Native],Table11[Name]),2,0)</f>
        <v>Huáyīn Shì</v>
      </c>
      <c r="N750" s="13" t="str">
        <f>VLOOKUP(I750,CHOOSE({1,2},Table11[Native],Table11[Name]),2,0)</f>
        <v>Wèinán Shì</v>
      </c>
      <c r="O750" s="13" t="str">
        <f t="shared" si="46"/>
        <v>Mengyuan Zhen (Wèinán Shì)</v>
      </c>
      <c r="P750" s="13" t="str">
        <f t="shared" si="47"/>
        <v>Mengyuan Zhen (Wèinán Shì)</v>
      </c>
    </row>
    <row r="751" spans="1:16" hidden="1" x14ac:dyDescent="0.25">
      <c r="A751" t="s">
        <v>839</v>
      </c>
      <c r="B751" t="str">
        <f t="shared" si="44"/>
        <v>Miănyáng Jiēdào</v>
      </c>
      <c r="C751" t="str">
        <f t="shared" si="45"/>
        <v>Miănyáng Jiēdào</v>
      </c>
      <c r="D751" t="s">
        <v>840</v>
      </c>
      <c r="E751" t="s">
        <v>113</v>
      </c>
      <c r="F751" t="str">
        <f>_xlfn.CONCAT(D751,", ",H751,", ",I751,", ","陕西省")</f>
        <v>勉阳街道, 勉县, 汉中市, 陕西省</v>
      </c>
      <c r="G751">
        <v>84606</v>
      </c>
      <c r="H751" t="s">
        <v>3065</v>
      </c>
      <c r="I751" t="s">
        <v>3059</v>
      </c>
      <c r="J751" t="e">
        <f>VLOOKUP(F751,[1]!china_towns_second__2[[Column1]:[Y]],3,FALSE)</f>
        <v>#N/A</v>
      </c>
      <c r="K751" t="e">
        <f>VLOOKUP(F751,[1]!china_towns_second__2[[Column1]:[Y]],2,FALSE)</f>
        <v>#N/A</v>
      </c>
      <c r="L751" t="s">
        <v>4872</v>
      </c>
      <c r="M751" t="str">
        <f>VLOOKUP(H751,CHOOSE({1,2},Table11[Native],Table11[Name]),2,0)</f>
        <v>Miăn Xiàn</v>
      </c>
      <c r="N751" s="13" t="str">
        <f>VLOOKUP(I751,CHOOSE({1,2},Table11[Native],Table11[Name]),2,0)</f>
        <v>Hànzhōng Shì</v>
      </c>
      <c r="O751" s="13" t="str">
        <f t="shared" si="46"/>
        <v>Mianyang Jiedao (Hànzhōng Shì)</v>
      </c>
      <c r="P751" s="13" t="str">
        <f t="shared" si="47"/>
        <v>Mianyang Jiedao (Hànzhōng Shì)</v>
      </c>
    </row>
    <row r="752" spans="1:16" hidden="1" x14ac:dyDescent="0.25">
      <c r="A752" t="s">
        <v>1164</v>
      </c>
      <c r="B752" t="str">
        <f t="shared" si="44"/>
        <v>Miàogōu Zhèn (Shāngluò Shì)</v>
      </c>
      <c r="C752" t="str">
        <f t="shared" si="45"/>
        <v>Miàogōu Zhèn (Shāngluò Shì)</v>
      </c>
      <c r="D752" t="s">
        <v>1165</v>
      </c>
      <c r="E752" t="s">
        <v>7</v>
      </c>
      <c r="F752" t="str">
        <f>_xlfn.CONCAT(D752,", ",H752,", ",I752,", ","陕西省")</f>
        <v>庙沟镇, 镇安县, 商洛市, 陕西省</v>
      </c>
      <c r="G752">
        <v>8995</v>
      </c>
      <c r="H752" t="s">
        <v>3079</v>
      </c>
      <c r="I752" t="s">
        <v>3072</v>
      </c>
      <c r="J752">
        <f>VLOOKUP(F752,[1]!china_towns_second__2[[Column1]:[Y]],3,FALSE)</f>
        <v>33.3979837947603</v>
      </c>
      <c r="K752">
        <f>VLOOKUP(F752,[1]!china_towns_second__2[[Column1]:[Y]],2,FALSE)</f>
        <v>108.9559364</v>
      </c>
      <c r="L752" t="s">
        <v>4873</v>
      </c>
      <c r="M752" t="str">
        <f>VLOOKUP(H752,CHOOSE({1,2},Table11[Native],Table11[Name]),2,0)</f>
        <v>Zhèn'ān Xiàn</v>
      </c>
      <c r="N752" s="13" t="str">
        <f>VLOOKUP(I752,CHOOSE({1,2},Table11[Native],Table11[Name]),2,0)</f>
        <v>Shāngluò Shì</v>
      </c>
      <c r="O752" s="13" t="str">
        <f t="shared" si="46"/>
        <v>Miaogou Zhen (Shangluo Shi) (Shāngluò Shì)</v>
      </c>
      <c r="P752" s="13" t="str">
        <f t="shared" si="47"/>
        <v>Miaogou Zhen (Shangluo Shi) (Shāngluò Shì)</v>
      </c>
    </row>
    <row r="753" spans="1:16" hidden="1" x14ac:dyDescent="0.25">
      <c r="A753" t="s">
        <v>1164</v>
      </c>
      <c r="B753" t="str">
        <f t="shared" si="44"/>
        <v>Miàogōu Zhèn (Yán'ān Shì)</v>
      </c>
      <c r="C753" t="str">
        <f t="shared" si="45"/>
        <v>Miàogōu Zhèn (Yán'ān Shì)</v>
      </c>
      <c r="D753" t="s">
        <v>1165</v>
      </c>
      <c r="E753" t="s">
        <v>7</v>
      </c>
      <c r="F753" t="str">
        <f>_xlfn.CONCAT(D753,", ",H753,", ",I753,", ","陕西省")</f>
        <v>庙沟镇, 吴起县, 延安市, 陕西省</v>
      </c>
      <c r="G753">
        <v>5957</v>
      </c>
      <c r="H753" t="s">
        <v>3141</v>
      </c>
      <c r="I753" t="s">
        <v>3133</v>
      </c>
      <c r="J753">
        <f>VLOOKUP(F753,[1]!china_towns_second__2[[Column1]:[Y]],3,FALSE)</f>
        <v>36.844977147564698</v>
      </c>
      <c r="K753">
        <f>VLOOKUP(F753,[1]!china_towns_second__2[[Column1]:[Y]],2,FALSE)</f>
        <v>107.8777472</v>
      </c>
      <c r="L753" t="s">
        <v>4874</v>
      </c>
      <c r="M753" t="str">
        <f>VLOOKUP(H753,CHOOSE({1,2},Table11[Native],Table11[Name]),2,0)</f>
        <v>Wúqĭ Xiàn</v>
      </c>
      <c r="N753" s="13" t="str">
        <f>VLOOKUP(I753,CHOOSE({1,2},Table11[Native],Table11[Name]),2,0)</f>
        <v>Yán'ān Shì</v>
      </c>
      <c r="O753" s="13" t="str">
        <f t="shared" si="46"/>
        <v>Miaogou Zhen (Yan'an Shi) (Yán'ān Shì)</v>
      </c>
      <c r="P753" s="13" t="str">
        <f t="shared" si="47"/>
        <v>Miaogou Zhen (Yan'an Shi) (Yán'ān Shì)</v>
      </c>
    </row>
    <row r="754" spans="1:16" hidden="1" x14ac:dyDescent="0.25">
      <c r="A754" t="s">
        <v>2830</v>
      </c>
      <c r="B754" t="str">
        <f t="shared" si="44"/>
        <v>Miàogōumén Zhèn</v>
      </c>
      <c r="C754" t="str">
        <f t="shared" si="45"/>
        <v>Miàogōumén Zhèn</v>
      </c>
      <c r="D754" t="s">
        <v>2831</v>
      </c>
      <c r="E754" t="s">
        <v>7</v>
      </c>
      <c r="F754" t="str">
        <f>_xlfn.CONCAT(D754,", ",H754,", ",I754,", ","陕西省")</f>
        <v>庙沟门镇, 府谷县, 榆林市, 陕西省</v>
      </c>
      <c r="G754">
        <v>16149</v>
      </c>
      <c r="H754" t="s">
        <v>3150</v>
      </c>
      <c r="I754" t="s">
        <v>3148</v>
      </c>
      <c r="J754">
        <f>VLOOKUP(F754,[1]!china_towns_second__2[[Column1]:[Y]],3,FALSE)</f>
        <v>39.281899665279603</v>
      </c>
      <c r="K754">
        <f>VLOOKUP(F754,[1]!china_towns_second__2[[Column1]:[Y]],2,FALSE)</f>
        <v>110.7866811</v>
      </c>
      <c r="L754" t="s">
        <v>4875</v>
      </c>
      <c r="M754" t="str">
        <f>VLOOKUP(H754,CHOOSE({1,2},Table11[Native],Table11[Name]),2,0)</f>
        <v>Fŭgŭ Xiàn</v>
      </c>
      <c r="N754" s="13" t="str">
        <f>VLOOKUP(I754,CHOOSE({1,2},Table11[Native],Table11[Name]),2,0)</f>
        <v>Yúlín Shì</v>
      </c>
      <c r="O754" s="13" t="str">
        <f t="shared" si="46"/>
        <v>Miaogoumen Zhen (Yúlín Shì)</v>
      </c>
      <c r="P754" s="13" t="str">
        <f t="shared" si="47"/>
        <v>Miaogoumen Zhen (Yúlín Shì)</v>
      </c>
    </row>
    <row r="755" spans="1:16" hidden="1" x14ac:dyDescent="0.25">
      <c r="A755" t="s">
        <v>164</v>
      </c>
      <c r="B755" t="str">
        <f t="shared" si="44"/>
        <v>Miáohé Xiāng</v>
      </c>
      <c r="C755" t="str">
        <f t="shared" si="45"/>
        <v>Miáohé Xiāng</v>
      </c>
      <c r="D755" t="s">
        <v>165</v>
      </c>
      <c r="E755" t="s">
        <v>11</v>
      </c>
      <c r="F755" t="str">
        <f>_xlfn.CONCAT(D755,", ",H755,", ",I755,", ","陕西省")</f>
        <v>苗河乡, 紫阳县, 安康市, 陕西省</v>
      </c>
      <c r="G755">
        <v>2811</v>
      </c>
      <c r="H755" t="s">
        <v>3043</v>
      </c>
      <c r="I755" t="s">
        <v>3031</v>
      </c>
      <c r="J755" t="e">
        <f>VLOOKUP(F755,[1]!china_towns_second__2[[Column1]:[Y]],3,FALSE)</f>
        <v>#N/A</v>
      </c>
      <c r="K755" t="e">
        <f>VLOOKUP(F755,[1]!china_towns_second__2[[Column1]:[Y]],2,FALSE)</f>
        <v>#N/A</v>
      </c>
      <c r="L755" t="s">
        <v>4876</v>
      </c>
      <c r="M755" t="str">
        <f>VLOOKUP(H755,CHOOSE({1,2},Table11[Native],Table11[Name]),2,0)</f>
        <v>Zĭyáng Xiàn</v>
      </c>
      <c r="N755" s="13" t="str">
        <f>VLOOKUP(I755,CHOOSE({1,2},Table11[Native],Table11[Name]),2,0)</f>
        <v>Ānkāng Shì</v>
      </c>
      <c r="O755" s="13" t="str">
        <f t="shared" si="46"/>
        <v>Miaohe Xiang (Ānkāng Shì)</v>
      </c>
      <c r="P755" s="13" t="str">
        <f t="shared" si="47"/>
        <v>Miaohe Xiang (Ānkāng Shì)</v>
      </c>
    </row>
    <row r="756" spans="1:16" hidden="1" x14ac:dyDescent="0.25">
      <c r="A756" t="s">
        <v>2832</v>
      </c>
      <c r="B756" t="str">
        <f t="shared" si="44"/>
        <v>Miáojiāpíng Zhèn</v>
      </c>
      <c r="C756" t="str">
        <f t="shared" si="45"/>
        <v>Miáojiāpíng Zhèn</v>
      </c>
      <c r="D756" t="s">
        <v>2833</v>
      </c>
      <c r="E756" t="s">
        <v>7</v>
      </c>
      <c r="F756" t="str">
        <f>_xlfn.CONCAT(D756,", ",H756,", ",I756,", ","陕西省")</f>
        <v>苗家坪镇, 子洲县, 榆林市, 陕西省</v>
      </c>
      <c r="G756">
        <v>17689</v>
      </c>
      <c r="H756" t="s">
        <v>3160</v>
      </c>
      <c r="I756" t="s">
        <v>3148</v>
      </c>
      <c r="J756">
        <f>VLOOKUP(F756,[1]!china_towns_second__2[[Column1]:[Y]],3,FALSE)</f>
        <v>37.549158459989897</v>
      </c>
      <c r="K756">
        <f>VLOOKUP(F756,[1]!china_towns_second__2[[Column1]:[Y]],2,FALSE)</f>
        <v>110.0342388</v>
      </c>
      <c r="L756" t="s">
        <v>4877</v>
      </c>
      <c r="M756" t="str">
        <f>VLOOKUP(H756,CHOOSE({1,2},Table11[Native],Table11[Name]),2,0)</f>
        <v>Zizhōu Xiàn</v>
      </c>
      <c r="N756" s="13" t="str">
        <f>VLOOKUP(I756,CHOOSE({1,2},Table11[Native],Table11[Name]),2,0)</f>
        <v>Yúlín Shì</v>
      </c>
      <c r="O756" s="13" t="str">
        <f t="shared" si="46"/>
        <v>Miaojiaping Zhen (Yúlín Shì)</v>
      </c>
      <c r="P756" s="13" t="str">
        <f t="shared" si="47"/>
        <v>Miaojiaping Zhen (Yúlín Shì)</v>
      </c>
    </row>
    <row r="757" spans="1:16" hidden="1" x14ac:dyDescent="0.25">
      <c r="A757" t="s">
        <v>1166</v>
      </c>
      <c r="B757" t="str">
        <f t="shared" si="44"/>
        <v>Miàopíng Xiāng</v>
      </c>
      <c r="C757" t="str">
        <f t="shared" si="45"/>
        <v>Miàopíng Xiāng</v>
      </c>
      <c r="D757" t="s">
        <v>1167</v>
      </c>
      <c r="E757" t="s">
        <v>11</v>
      </c>
      <c r="F757" t="str">
        <f>_xlfn.CONCAT(D757,", ",H757,", ",I757,", ","陕西省")</f>
        <v>庙坪乡, 洛南县, 商洛市, 陕西省</v>
      </c>
      <c r="G757">
        <v>14818</v>
      </c>
      <c r="H757" t="s">
        <v>3074</v>
      </c>
      <c r="I757" t="s">
        <v>3072</v>
      </c>
      <c r="J757" t="e">
        <f>VLOOKUP(F757,[1]!china_towns_second__2[[Column1]:[Y]],3,FALSE)</f>
        <v>#N/A</v>
      </c>
      <c r="K757" t="e">
        <f>VLOOKUP(F757,[1]!china_towns_second__2[[Column1]:[Y]],2,FALSE)</f>
        <v>#N/A</v>
      </c>
      <c r="L757" t="s">
        <v>4878</v>
      </c>
      <c r="M757" t="str">
        <f>VLOOKUP(H757,CHOOSE({1,2},Table11[Native],Table11[Name]),2,0)</f>
        <v>Luònán Xiàn</v>
      </c>
      <c r="N757" s="13" t="str">
        <f>VLOOKUP(I757,CHOOSE({1,2},Table11[Native],Table11[Name]),2,0)</f>
        <v>Shāngluò Shì</v>
      </c>
      <c r="O757" s="13" t="str">
        <f t="shared" si="46"/>
        <v>Miaoping Xiang (Shāngluò Shì)</v>
      </c>
      <c r="P757" s="13" t="str">
        <f t="shared" si="47"/>
        <v>Miaoping Xiang (Shāngluò Shì)</v>
      </c>
    </row>
    <row r="758" spans="1:16" hidden="1" x14ac:dyDescent="0.25">
      <c r="A758" t="s">
        <v>1317</v>
      </c>
      <c r="B758" t="str">
        <f t="shared" si="44"/>
        <v>Miàowān Zhèn [incl. Liŭlín Zhèn]</v>
      </c>
      <c r="C758" t="str">
        <f t="shared" si="45"/>
        <v>Miàowān Zhèn [incl. Liŭlín Zhèn]</v>
      </c>
      <c r="D758" t="s">
        <v>1318</v>
      </c>
      <c r="E758" t="s">
        <v>7</v>
      </c>
      <c r="F758" t="str">
        <f>_xlfn.CONCAT(D758,", ",H758,", ",I758,", ","陕西省")</f>
        <v>庙湾镇, 耀州区, 铜川市, 陕西省</v>
      </c>
      <c r="G758">
        <v>28032</v>
      </c>
      <c r="H758" t="s">
        <v>3083</v>
      </c>
      <c r="I758" t="s">
        <v>3081</v>
      </c>
      <c r="J758">
        <f>VLOOKUP(F758,[1]!china_towns_second__2[[Column1]:[Y]],3,FALSE)</f>
        <v>35.176670093981798</v>
      </c>
      <c r="K758">
        <f>VLOOKUP(F758,[1]!china_towns_second__2[[Column1]:[Y]],2,FALSE)</f>
        <v>108.7615405</v>
      </c>
      <c r="L758" t="s">
        <v>4879</v>
      </c>
      <c r="M758" t="str">
        <f>VLOOKUP(H758,CHOOSE({1,2},Table11[Native],Table11[Name]),2,0)</f>
        <v>Yàozhōu Qū</v>
      </c>
      <c r="N758" s="13" t="str">
        <f>VLOOKUP(I758,CHOOSE({1,2},Table11[Native],Table11[Name]),2,0)</f>
        <v>Tóngchuān Shì</v>
      </c>
      <c r="O758" s="13" t="str">
        <f t="shared" si="46"/>
        <v>Miaowan Zhen [incl. Liulin Zhen] (Tóngchuān Shì)</v>
      </c>
      <c r="P758" s="13" t="str">
        <f t="shared" si="47"/>
        <v>Miaowan Zhen [incl. Liulin Zhen] (Tóngchuān Shì)</v>
      </c>
    </row>
    <row r="759" spans="1:16" hidden="1" x14ac:dyDescent="0.25">
      <c r="A759" t="s">
        <v>485</v>
      </c>
      <c r="B759" t="str">
        <f t="shared" si="44"/>
        <v>Mígānqiáo Zhèn</v>
      </c>
      <c r="C759" t="str">
        <f t="shared" si="45"/>
        <v>Mígānqiáo Zhèn</v>
      </c>
      <c r="D759" t="s">
        <v>486</v>
      </c>
      <c r="E759" t="s">
        <v>7</v>
      </c>
      <c r="F759" t="str">
        <f>_xlfn.CONCAT(D759,", ",H759,", ",I759,", ","陕西省")</f>
        <v>糜杆桥镇, 凤翔区, 宝鸡市, 陕西省</v>
      </c>
      <c r="G759">
        <v>32429</v>
      </c>
      <c r="H759" t="s">
        <v>3048</v>
      </c>
      <c r="I759" t="s">
        <v>3045</v>
      </c>
      <c r="J759">
        <f>VLOOKUP(F759,[1]!china_towns_second__2[[Column1]:[Y]],3,FALSE)</f>
        <v>34.637696406655401</v>
      </c>
      <c r="K759">
        <f>VLOOKUP(F759,[1]!china_towns_second__2[[Column1]:[Y]],2,FALSE)</f>
        <v>107.46047419999999</v>
      </c>
      <c r="L759" t="s">
        <v>4880</v>
      </c>
      <c r="M759" t="str">
        <f>VLOOKUP(H759,CHOOSE({1,2},Table11[Native],Table11[Name]),2,0)</f>
        <v>Fèngxiáng Qū</v>
      </c>
      <c r="N759" s="13" t="str">
        <f>VLOOKUP(I759,CHOOSE({1,2},Table11[Native],Table11[Name]),2,0)</f>
        <v>Băojī Shì</v>
      </c>
      <c r="O759" s="13" t="str">
        <f t="shared" si="46"/>
        <v>Miganqiao Zhen (Băojī Shì)</v>
      </c>
      <c r="P759" s="13" t="str">
        <f t="shared" si="47"/>
        <v>Miganqiao Zhen (Băojī Shì)</v>
      </c>
    </row>
    <row r="760" spans="1:16" hidden="1" x14ac:dyDescent="0.25">
      <c r="A760" t="s">
        <v>1168</v>
      </c>
      <c r="B760" t="str">
        <f t="shared" si="44"/>
        <v>Mĭliáng Zhèn</v>
      </c>
      <c r="C760" t="str">
        <f t="shared" si="45"/>
        <v>Mĭliáng Zhèn</v>
      </c>
      <c r="D760" t="s">
        <v>1169</v>
      </c>
      <c r="E760" t="s">
        <v>7</v>
      </c>
      <c r="F760" t="str">
        <f>_xlfn.CONCAT(D760,", ",H760,", ",I760,", ","陕西省")</f>
        <v>米粮镇, 镇安县, 商洛市, 陕西省</v>
      </c>
      <c r="G760">
        <v>18795</v>
      </c>
      <c r="H760" t="s">
        <v>3079</v>
      </c>
      <c r="I760" t="s">
        <v>3072</v>
      </c>
      <c r="J760">
        <f>VLOOKUP(F760,[1]!china_towns_second__2[[Column1]:[Y]],3,FALSE)</f>
        <v>33.286282016860099</v>
      </c>
      <c r="K760">
        <f>VLOOKUP(F760,[1]!china_towns_second__2[[Column1]:[Y]],2,FALSE)</f>
        <v>109.50749260000001</v>
      </c>
      <c r="L760" t="s">
        <v>4881</v>
      </c>
      <c r="M760" t="str">
        <f>VLOOKUP(H760,CHOOSE({1,2},Table11[Native],Table11[Name]),2,0)</f>
        <v>Zhèn'ān Xiàn</v>
      </c>
      <c r="N760" s="13" t="str">
        <f>VLOOKUP(I760,CHOOSE({1,2},Table11[Native],Table11[Name]),2,0)</f>
        <v>Shāngluò Shì</v>
      </c>
      <c r="O760" s="13" t="str">
        <f t="shared" si="46"/>
        <v>Miliang Zhen (Shāngluò Shì)</v>
      </c>
      <c r="P760" s="13" t="str">
        <f t="shared" si="47"/>
        <v>Miliang Zhen (Shāngluò Shì)</v>
      </c>
    </row>
    <row r="761" spans="1:16" hidden="1" x14ac:dyDescent="0.25">
      <c r="A761" t="s">
        <v>2150</v>
      </c>
      <c r="B761" t="str">
        <f t="shared" si="44"/>
        <v>Míngdú Jiēdào</v>
      </c>
      <c r="C761" t="str">
        <f t="shared" si="45"/>
        <v>Míngdú Jiēdào</v>
      </c>
      <c r="D761" t="s">
        <v>2151</v>
      </c>
      <c r="E761" t="s">
        <v>113</v>
      </c>
      <c r="F761" t="str">
        <f>_xlfn.CONCAT(D761,", ",H761,", ",I761,", ","陕西省")</f>
        <v>鸣犊街道, 长安区, 西安市, 陕西省</v>
      </c>
      <c r="G761">
        <v>34101</v>
      </c>
      <c r="H761" t="s">
        <v>3105</v>
      </c>
      <c r="I761" t="s">
        <v>3102</v>
      </c>
      <c r="J761">
        <f>VLOOKUP(F761,[1]!china_towns_second__2[[Column1]:[Y]],3,FALSE)</f>
        <v>34.1301745675242</v>
      </c>
      <c r="K761">
        <f>VLOOKUP(F761,[1]!china_towns_second__2[[Column1]:[Y]],2,FALSE)</f>
        <v>109.1086722</v>
      </c>
      <c r="L761" t="s">
        <v>4882</v>
      </c>
      <c r="M761" t="str">
        <f>VLOOKUP(H761,CHOOSE({1,2},Table11[Native],Table11[Name]),2,0)</f>
        <v>Cháng'ān Qū</v>
      </c>
      <c r="N761" s="13" t="str">
        <f>VLOOKUP(I761,CHOOSE({1,2},Table11[Native],Table11[Name]),2,0)</f>
        <v>Xī'ān Shì</v>
      </c>
      <c r="O761" s="13" t="str">
        <f t="shared" si="46"/>
        <v>Mingdu Jiedao (Xī'ān Shì)</v>
      </c>
      <c r="P761" s="13" t="str">
        <f t="shared" si="47"/>
        <v>Mingdu Jiedao (Xī'ān Shì)</v>
      </c>
    </row>
    <row r="762" spans="1:16" hidden="1" x14ac:dyDescent="0.25">
      <c r="A762" t="s">
        <v>2834</v>
      </c>
      <c r="B762" t="str">
        <f t="shared" si="44"/>
        <v>Míngzhōu Zhèn [incl. Jiŭyuángōu Xiāng]</v>
      </c>
      <c r="C762" t="str">
        <f t="shared" si="45"/>
        <v>Míngzhōu Zhèn [incl. Jiŭyuángōu Xiāng]</v>
      </c>
      <c r="D762" t="s">
        <v>2835</v>
      </c>
      <c r="E762" t="s">
        <v>7</v>
      </c>
      <c r="F762" t="str">
        <f>_xlfn.CONCAT(D762,", ",H762,", ",I762,", ","陕西省")</f>
        <v>名州镇, 绥德县, 榆林市, 陕西省</v>
      </c>
      <c r="G762">
        <v>62842</v>
      </c>
      <c r="H762" t="s">
        <v>3157</v>
      </c>
      <c r="I762" t="s">
        <v>3148</v>
      </c>
      <c r="J762">
        <f>VLOOKUP(F762,[1]!china_towns_second__2[[Column1]:[Y]],3,FALSE)</f>
        <v>37.508924423207397</v>
      </c>
      <c r="K762">
        <f>VLOOKUP(F762,[1]!china_towns_second__2[[Column1]:[Y]],2,FALSE)</f>
        <v>110.2879812</v>
      </c>
      <c r="L762" t="s">
        <v>4883</v>
      </c>
      <c r="M762" t="str">
        <f>VLOOKUP(H762,CHOOSE({1,2},Table11[Native],Table11[Name]),2,0)</f>
        <v>Suídé Xiàn</v>
      </c>
      <c r="N762" s="13" t="str">
        <f>VLOOKUP(I762,CHOOSE({1,2},Table11[Native],Table11[Name]),2,0)</f>
        <v>Yúlín Shì</v>
      </c>
      <c r="O762" s="13" t="str">
        <f t="shared" si="46"/>
        <v>Mingzhou Zhen [incl. Jiuyuangou Xiang] (Yúlín Shì)</v>
      </c>
      <c r="P762" s="13" t="str">
        <f t="shared" si="47"/>
        <v>Mingzhou Zhen [incl. Jiuyuangou Xiang] (Yúlín Shì)</v>
      </c>
    </row>
    <row r="763" spans="1:16" hidden="1" x14ac:dyDescent="0.25">
      <c r="A763" t="s">
        <v>166</v>
      </c>
      <c r="B763" t="str">
        <f t="shared" si="44"/>
        <v>Mínzhŭ Zhèn [incl. Tiĕlú Xiāng]</v>
      </c>
      <c r="C763" t="str">
        <f t="shared" si="45"/>
        <v>Mínzhŭ Zhèn [incl. Tiĕlú Xiāng]</v>
      </c>
      <c r="D763" t="s">
        <v>167</v>
      </c>
      <c r="E763" t="s">
        <v>7</v>
      </c>
      <c r="F763" t="str">
        <f>_xlfn.CONCAT(D763,", ",H763,", ",I763,", ","陕西省")</f>
        <v>民主镇, 岚皋县, 安康市, 陕西省</v>
      </c>
      <c r="G763">
        <v>25786</v>
      </c>
      <c r="H763" t="s">
        <v>3037</v>
      </c>
      <c r="I763" t="s">
        <v>3031</v>
      </c>
      <c r="J763">
        <f>VLOOKUP(F763,[1]!china_towns_second__2[[Column1]:[Y]],3,FALSE)</f>
        <v>32.379433312815998</v>
      </c>
      <c r="K763">
        <f>VLOOKUP(F763,[1]!china_towns_second__2[[Column1]:[Y]],2,FALSE)</f>
        <v>108.7511791</v>
      </c>
      <c r="L763" t="s">
        <v>4884</v>
      </c>
      <c r="M763" t="str">
        <f>VLOOKUP(H763,CHOOSE({1,2},Table11[Native],Table11[Name]),2,0)</f>
        <v>Lángāo Xiàn</v>
      </c>
      <c r="N763" s="13" t="str">
        <f>VLOOKUP(I763,CHOOSE({1,2},Table11[Native],Table11[Name]),2,0)</f>
        <v>Ānkāng Shì</v>
      </c>
      <c r="O763" s="13" t="str">
        <f t="shared" si="46"/>
        <v>Minzhu Zhen [incl. Tielu Xiang] (Ānkāng Shì)</v>
      </c>
      <c r="P763" s="13" t="str">
        <f t="shared" si="47"/>
        <v>Minzhu Zhen [incl. Tielu Xiang] (Ānkāng Shì)</v>
      </c>
    </row>
    <row r="764" spans="1:16" hidden="1" x14ac:dyDescent="0.25">
      <c r="A764" t="s">
        <v>1562</v>
      </c>
      <c r="B764" t="str">
        <f t="shared" si="44"/>
        <v>Mìzi Xiāng</v>
      </c>
      <c r="C764" t="str">
        <f t="shared" si="45"/>
        <v>Mìzi Xiāng</v>
      </c>
      <c r="D764" t="s">
        <v>1563</v>
      </c>
      <c r="E764" t="s">
        <v>11</v>
      </c>
      <c r="F764" t="str">
        <f>_xlfn.CONCAT(D764,", ",H764,", ",I764,", ","陕西省")</f>
        <v>觅子乡, 富平县, 渭南市, 陕西省</v>
      </c>
      <c r="G764">
        <v>17445</v>
      </c>
      <c r="H764" t="s">
        <v>3091</v>
      </c>
      <c r="I764" t="s">
        <v>3087</v>
      </c>
      <c r="J764" t="e">
        <f>VLOOKUP(F764,[1]!china_towns_second__2[[Column1]:[Y]],3,FALSE)</f>
        <v>#N/A</v>
      </c>
      <c r="K764" t="e">
        <f>VLOOKUP(F764,[1]!china_towns_second__2[[Column1]:[Y]],2,FALSE)</f>
        <v>#N/A</v>
      </c>
      <c r="L764" t="s">
        <v>4885</v>
      </c>
      <c r="M764" t="str">
        <f>VLOOKUP(H764,CHOOSE({1,2},Table11[Native],Table11[Name]),2,0)</f>
        <v>Fùpíng Xiàn</v>
      </c>
      <c r="N764" s="13" t="str">
        <f>VLOOKUP(I764,CHOOSE({1,2},Table11[Native],Table11[Name]),2,0)</f>
        <v>Wèinán Shì</v>
      </c>
      <c r="O764" s="13" t="str">
        <f t="shared" si="46"/>
        <v>Mizi Xiang (Wèinán Shì)</v>
      </c>
      <c r="P764" s="13" t="str">
        <f t="shared" si="47"/>
        <v>Mizi Xiang (Wèinán Shì)</v>
      </c>
    </row>
    <row r="765" spans="1:16" hidden="1" x14ac:dyDescent="0.25">
      <c r="A765" t="s">
        <v>841</v>
      </c>
      <c r="B765" t="str">
        <f t="shared" si="44"/>
        <v>Móujiābà Zhèn [incl. Gāojiālĭng Xiāng]</v>
      </c>
      <c r="C765" t="str">
        <f t="shared" si="45"/>
        <v>Móujiābà Zhèn [incl. Gāojiālĭng Xiāng]</v>
      </c>
      <c r="D765" t="s">
        <v>842</v>
      </c>
      <c r="E765" t="s">
        <v>7</v>
      </c>
      <c r="F765" t="str">
        <f>_xlfn.CONCAT(D765,", ",H765,", ",I765,", ","陕西省")</f>
        <v>牟家坝镇, 南郑区, 汉中市, 陕西省</v>
      </c>
      <c r="G765">
        <v>22894</v>
      </c>
      <c r="H765" t="s">
        <v>3066</v>
      </c>
      <c r="I765" t="s">
        <v>3059</v>
      </c>
      <c r="J765">
        <f>VLOOKUP(F765,[1]!china_towns_second__2[[Column1]:[Y]],3,FALSE)</f>
        <v>32.9027263428585</v>
      </c>
      <c r="K765">
        <f>VLOOKUP(F765,[1]!china_towns_second__2[[Column1]:[Y]],2,FALSE)</f>
        <v>107.0101767</v>
      </c>
      <c r="L765" t="s">
        <v>4886</v>
      </c>
      <c r="M765" t="str">
        <f>VLOOKUP(H765,CHOOSE({1,2},Table11[Native],Table11[Name]),2,0)</f>
        <v>Nánzhèng Qū</v>
      </c>
      <c r="N765" s="13" t="str">
        <f>VLOOKUP(I765,CHOOSE({1,2},Table11[Native],Table11[Name]),2,0)</f>
        <v>Hànzhōng Shì</v>
      </c>
      <c r="O765" s="13" t="str">
        <f t="shared" si="46"/>
        <v>Moujiaba Zhen [incl. Gaojialing Xiang] (Hànzhōng Shì)</v>
      </c>
      <c r="P765" s="13" t="str">
        <f t="shared" si="47"/>
        <v>Moujiaba Zhen [incl. Gaojialing Xiang] (Hànzhōng Shì)</v>
      </c>
    </row>
    <row r="766" spans="1:16" hidden="1" x14ac:dyDescent="0.25">
      <c r="A766" t="s">
        <v>843</v>
      </c>
      <c r="B766" t="str">
        <f t="shared" si="44"/>
        <v>Móziqiáo Zhèn</v>
      </c>
      <c r="C766" t="str">
        <f t="shared" si="45"/>
        <v>Móziqiáo Zhèn</v>
      </c>
      <c r="D766" t="s">
        <v>844</v>
      </c>
      <c r="E766" t="s">
        <v>7</v>
      </c>
      <c r="F766" t="str">
        <f>_xlfn.CONCAT(D766,", ",H766,", ",I766,", ","陕西省")</f>
        <v>磨子桥镇, 洋县, 汉中市, 陕西省</v>
      </c>
      <c r="G766">
        <v>26667</v>
      </c>
      <c r="H766" t="s">
        <v>3069</v>
      </c>
      <c r="I766" t="s">
        <v>3059</v>
      </c>
      <c r="J766">
        <f>VLOOKUP(F766,[1]!china_towns_second__2[[Column1]:[Y]],3,FALSE)</f>
        <v>33.120531188894901</v>
      </c>
      <c r="K766">
        <f>VLOOKUP(F766,[1]!china_towns_second__2[[Column1]:[Y]],2,FALSE)</f>
        <v>107.4949397</v>
      </c>
      <c r="L766" t="s">
        <v>4887</v>
      </c>
      <c r="M766" t="str">
        <f>VLOOKUP(H766,CHOOSE({1,2},Table11[Native],Table11[Name]),2,0)</f>
        <v>Yáng Xiàn</v>
      </c>
      <c r="N766" s="13" t="str">
        <f>VLOOKUP(I766,CHOOSE({1,2},Table11[Native],Table11[Name]),2,0)</f>
        <v>Hànzhōng Shì</v>
      </c>
      <c r="O766" s="13" t="str">
        <f t="shared" si="46"/>
        <v>Moziqiao Zhen (Hànzhōng Shì)</v>
      </c>
      <c r="P766" s="13" t="str">
        <f t="shared" si="47"/>
        <v>Moziqiao Zhen (Hànzhōng Shì)</v>
      </c>
    </row>
    <row r="767" spans="1:16" hidden="1" x14ac:dyDescent="0.25">
      <c r="A767" t="s">
        <v>2836</v>
      </c>
      <c r="B767" t="str">
        <f t="shared" si="44"/>
        <v>Mùguā Zhèn</v>
      </c>
      <c r="C767" t="str">
        <f t="shared" si="45"/>
        <v>Mùguā Zhèn</v>
      </c>
      <c r="D767" t="s">
        <v>2837</v>
      </c>
      <c r="E767" t="s">
        <v>7</v>
      </c>
      <c r="F767" t="str">
        <f>_xlfn.CONCAT(D767,", ",H767,", ",I767,", ","陕西省")</f>
        <v>木瓜镇, 府谷县, 榆林市, 陕西省</v>
      </c>
      <c r="G767">
        <v>4063</v>
      </c>
      <c r="H767" t="s">
        <v>3150</v>
      </c>
      <c r="I767" t="s">
        <v>3148</v>
      </c>
      <c r="J767">
        <f>VLOOKUP(F767,[1]!china_towns_second__2[[Column1]:[Y]],3,FALSE)</f>
        <v>39.205554842304601</v>
      </c>
      <c r="K767">
        <f>VLOOKUP(F767,[1]!china_towns_second__2[[Column1]:[Y]],2,FALSE)</f>
        <v>110.9345373</v>
      </c>
      <c r="L767" t="s">
        <v>4888</v>
      </c>
      <c r="M767" t="str">
        <f>VLOOKUP(H767,CHOOSE({1,2},Table11[Native],Table11[Name]),2,0)</f>
        <v>Fŭgŭ Xiàn</v>
      </c>
      <c r="N767" s="13" t="str">
        <f>VLOOKUP(I767,CHOOSE({1,2},Table11[Native],Table11[Name]),2,0)</f>
        <v>Yúlín Shì</v>
      </c>
      <c r="O767" s="13" t="str">
        <f t="shared" si="46"/>
        <v>Mugua Zhen (Yúlín Shì)</v>
      </c>
      <c r="P767" s="13" t="str">
        <f t="shared" si="47"/>
        <v>Mugua Zhen (Yúlín Shì)</v>
      </c>
    </row>
    <row r="768" spans="1:16" hidden="1" x14ac:dyDescent="0.25">
      <c r="A768" t="s">
        <v>1170</v>
      </c>
      <c r="B768" t="str">
        <f t="shared" si="44"/>
        <v>Mùhùguān Zhèn [incl. Hēilóngkŏu Zhèn]</v>
      </c>
      <c r="C768" t="str">
        <f t="shared" si="45"/>
        <v>Mùhùguān Zhèn [incl. Hēilóngkŏu Zhèn]</v>
      </c>
      <c r="D768" t="s">
        <v>1171</v>
      </c>
      <c r="E768" t="s">
        <v>7</v>
      </c>
      <c r="F768" t="str">
        <f>_xlfn.CONCAT(D768,", ",H768,", ",I768,", ","陕西省")</f>
        <v>牧护关镇, 商州区, 商洛市, 陕西省</v>
      </c>
      <c r="G768">
        <v>26328</v>
      </c>
      <c r="H768" t="s">
        <v>3076</v>
      </c>
      <c r="I768" t="s">
        <v>3072</v>
      </c>
      <c r="J768">
        <f>VLOOKUP(F768,[1]!china_towns_second__2[[Column1]:[Y]],3,FALSE)</f>
        <v>34.017035591207502</v>
      </c>
      <c r="K768">
        <f>VLOOKUP(F768,[1]!china_towns_second__2[[Column1]:[Y]],2,FALSE)</f>
        <v>109.5805194</v>
      </c>
      <c r="L768" t="s">
        <v>4889</v>
      </c>
      <c r="M768" t="str">
        <f>VLOOKUP(H768,CHOOSE({1,2},Table11[Native],Table11[Name]),2,0)</f>
        <v>Shāngzhōu Qū</v>
      </c>
      <c r="N768" s="13" t="str">
        <f>VLOOKUP(I768,CHOOSE({1,2},Table11[Native],Table11[Name]),2,0)</f>
        <v>Shāngluò Shì</v>
      </c>
      <c r="O768" s="13" t="str">
        <f t="shared" si="46"/>
        <v>Muhuguan Zhen [incl. Heilongkou Zhen] (Shāngluò Shì)</v>
      </c>
      <c r="P768" s="13" t="str">
        <f t="shared" si="47"/>
        <v>Muhuguan Zhen [incl. Heilongkou Zhen] (Shāngluò Shì)</v>
      </c>
    </row>
    <row r="769" spans="1:16" hidden="1" x14ac:dyDescent="0.25">
      <c r="A769" t="s">
        <v>2838</v>
      </c>
      <c r="B769" t="str">
        <f t="shared" si="44"/>
        <v>Mùtóuyù Zhèn</v>
      </c>
      <c r="C769" t="str">
        <f t="shared" si="45"/>
        <v>Mùtóuyù Zhèn</v>
      </c>
      <c r="D769" t="s">
        <v>2839</v>
      </c>
      <c r="E769" t="s">
        <v>7</v>
      </c>
      <c r="F769" t="str">
        <f>_xlfn.CONCAT(D769,", ",H769,", ",I769,", ","陕西省")</f>
        <v>木头峪镇, 佳县, 榆林市, 陕西省</v>
      </c>
      <c r="G769">
        <v>8734</v>
      </c>
      <c r="H769" t="s">
        <v>3152</v>
      </c>
      <c r="I769" t="s">
        <v>3148</v>
      </c>
      <c r="J769">
        <f>VLOOKUP(F769,[1]!china_towns_second__2[[Column1]:[Y]],3,FALSE)</f>
        <v>37.896922646554799</v>
      </c>
      <c r="K769">
        <f>VLOOKUP(F769,[1]!china_towns_second__2[[Column1]:[Y]],2,FALSE)</f>
        <v>110.55534160000001</v>
      </c>
      <c r="L769" t="s">
        <v>4890</v>
      </c>
      <c r="M769" t="str">
        <f>VLOOKUP(H769,CHOOSE({1,2},Table11[Native],Table11[Name]),2,0)</f>
        <v>Jiā Xiàn</v>
      </c>
      <c r="N769" s="13" t="str">
        <f>VLOOKUP(I769,CHOOSE({1,2},Table11[Native],Table11[Name]),2,0)</f>
        <v>Yúlín Shì</v>
      </c>
      <c r="O769" s="13" t="str">
        <f t="shared" si="46"/>
        <v>Mutouyu Zhen (Yúlín Shì)</v>
      </c>
      <c r="P769" s="13" t="str">
        <f t="shared" si="47"/>
        <v>Mutouyu Zhen (Yúlín Shì)</v>
      </c>
    </row>
    <row r="770" spans="1:16" hidden="1" x14ac:dyDescent="0.25">
      <c r="A770" t="s">
        <v>1172</v>
      </c>
      <c r="B770" t="str">
        <f t="shared" ref="B770:B833" si="48">IF(COUNTIF(A:A,A770)&gt;1,_xlfn.CONCAT(A770," (",N770,")"),A770)</f>
        <v>Mùwáng Zhèn [incl. Yángsì Xiāng]</v>
      </c>
      <c r="C770" t="str">
        <f t="shared" ref="C770:C833" si="49">IF(COUNTIF(B:B,B770)&gt;1,_xlfn.CONCAT(A770," (",M770,")"),B770)</f>
        <v>Mùwáng Zhèn [incl. Yángsì Xiāng]</v>
      </c>
      <c r="D770" t="s">
        <v>1173</v>
      </c>
      <c r="E770" t="s">
        <v>7</v>
      </c>
      <c r="F770" t="str">
        <f>_xlfn.CONCAT(D770,", ",H770,", ",I770,", ","陕西省")</f>
        <v>木王镇, 镇安县, 商洛市, 陕西省</v>
      </c>
      <c r="G770">
        <v>9556</v>
      </c>
      <c r="H770" t="s">
        <v>3079</v>
      </c>
      <c r="I770" t="s">
        <v>3072</v>
      </c>
      <c r="J770">
        <f>VLOOKUP(F770,[1]!china_towns_second__2[[Column1]:[Y]],3,FALSE)</f>
        <v>33.331896112125101</v>
      </c>
      <c r="K770">
        <f>VLOOKUP(F770,[1]!china_towns_second__2[[Column1]:[Y]],2,FALSE)</f>
        <v>108.69136020000001</v>
      </c>
      <c r="L770" t="s">
        <v>4891</v>
      </c>
      <c r="M770" t="str">
        <f>VLOOKUP(H770,CHOOSE({1,2},Table11[Native],Table11[Name]),2,0)</f>
        <v>Zhèn'ān Xiàn</v>
      </c>
      <c r="N770" s="13" t="str">
        <f>VLOOKUP(I770,CHOOSE({1,2},Table11[Native],Table11[Name]),2,0)</f>
        <v>Shāngluò Shì</v>
      </c>
      <c r="O770" s="13" t="str">
        <f t="shared" ref="O770:O833" si="50">_xlfn.CONCAT(L770," (",N770,")")</f>
        <v>Muwang Zhen [incl. Yangsi Xiang] (Shāngluò Shì)</v>
      </c>
      <c r="P770" s="13" t="str">
        <f t="shared" ref="P770:P833" si="51">IF(COUNTIF(O:O,O770)&gt;1,_xlfn.CONCAT(L770," (",M770,")"),O770)</f>
        <v>Muwang Zhen [incl. Yangsi Xiang] (Shāngluò Shì)</v>
      </c>
    </row>
    <row r="771" spans="1:16" hidden="1" x14ac:dyDescent="0.25">
      <c r="A771" t="s">
        <v>487</v>
      </c>
      <c r="B771" t="str">
        <f t="shared" si="48"/>
        <v>Mùyí Zhèn</v>
      </c>
      <c r="C771" t="str">
        <f t="shared" si="49"/>
        <v>Mùyí Zhèn</v>
      </c>
      <c r="D771" t="s">
        <v>488</v>
      </c>
      <c r="E771" t="s">
        <v>7</v>
      </c>
      <c r="F771" t="str">
        <f>_xlfn.CONCAT(D771,", ",H771,", ",I771,", ","陕西省")</f>
        <v>慕仪镇, 陈仓区, 宝鸡市, 陕西省</v>
      </c>
      <c r="G771">
        <v>36483</v>
      </c>
      <c r="H771" t="s">
        <v>3046</v>
      </c>
      <c r="I771" t="s">
        <v>3045</v>
      </c>
      <c r="J771">
        <f>VLOOKUP(F771,[1]!china_towns_second__2[[Column1]:[Y]],3,FALSE)</f>
        <v>34.395557044463999</v>
      </c>
      <c r="K771">
        <f>VLOOKUP(F771,[1]!china_towns_second__2[[Column1]:[Y]],2,FALSE)</f>
        <v>107.4416463</v>
      </c>
      <c r="L771" t="s">
        <v>4892</v>
      </c>
      <c r="M771" t="str">
        <f>VLOOKUP(H771,CHOOSE({1,2},Table11[Native],Table11[Name]),2,0)</f>
        <v>Chéncāng Qū</v>
      </c>
      <c r="N771" s="13" t="str">
        <f>VLOOKUP(I771,CHOOSE({1,2},Table11[Native],Table11[Name]),2,0)</f>
        <v>Băojī Shì</v>
      </c>
      <c r="O771" s="13" t="str">
        <f t="shared" si="50"/>
        <v>Muyi Zhen (Băojī Shì)</v>
      </c>
      <c r="P771" s="13" t="str">
        <f t="shared" si="51"/>
        <v>Muyi Zhen (Băojī Shì)</v>
      </c>
    </row>
    <row r="772" spans="1:16" hidden="1" x14ac:dyDescent="0.25">
      <c r="A772" t="s">
        <v>2152</v>
      </c>
      <c r="B772" t="str">
        <f t="shared" si="48"/>
        <v>Mùzhài Jiēdào</v>
      </c>
      <c r="C772" t="str">
        <f t="shared" si="49"/>
        <v>Mùzhài Jiēdào</v>
      </c>
      <c r="D772" t="s">
        <v>2153</v>
      </c>
      <c r="E772" t="s">
        <v>113</v>
      </c>
      <c r="F772" t="str">
        <f>_xlfn.CONCAT(D772,", ",H772,", ",I772,", ","陕西省")</f>
        <v>穆寨街道, 临潼区, 西安市, 陕西省</v>
      </c>
      <c r="G772">
        <v>9286</v>
      </c>
      <c r="H772" t="s">
        <v>3110</v>
      </c>
      <c r="I772" t="s">
        <v>3102</v>
      </c>
      <c r="J772">
        <f>VLOOKUP(F772,[1]!china_towns_second__2[[Column1]:[Y]],3,FALSE)</f>
        <v>34.336752399384899</v>
      </c>
      <c r="K772">
        <f>VLOOKUP(F772,[1]!china_towns_second__2[[Column1]:[Y]],2,FALSE)</f>
        <v>109.3553387</v>
      </c>
      <c r="L772" t="s">
        <v>4893</v>
      </c>
      <c r="M772" t="str">
        <f>VLOOKUP(H772,CHOOSE({1,2},Table11[Native],Table11[Name]),2,0)</f>
        <v>Líntóng Qū</v>
      </c>
      <c r="N772" s="13" t="str">
        <f>VLOOKUP(I772,CHOOSE({1,2},Table11[Native],Table11[Name]),2,0)</f>
        <v>Xī'ān Shì</v>
      </c>
      <c r="O772" s="13" t="str">
        <f t="shared" si="50"/>
        <v>Muzhai Jiedao (Xī'ān Shì)</v>
      </c>
      <c r="P772" s="13" t="str">
        <f t="shared" si="51"/>
        <v>Muzhai Jiedao (Xī'ān Shì)</v>
      </c>
    </row>
    <row r="773" spans="1:16" hidden="1" x14ac:dyDescent="0.25">
      <c r="A773" t="s">
        <v>2467</v>
      </c>
      <c r="B773" t="str">
        <f t="shared" si="48"/>
        <v>Nándàodé Xiāng</v>
      </c>
      <c r="C773" t="str">
        <f t="shared" si="49"/>
        <v>Nándàodé Xiāng</v>
      </c>
      <c r="D773" t="s">
        <v>2468</v>
      </c>
      <c r="E773" t="s">
        <v>11</v>
      </c>
      <c r="F773" t="str">
        <f>_xlfn.CONCAT(D773,", ",H773,", ",I773,", ","陕西省")</f>
        <v>南道德乡, 富县, 延安市, 陕西省</v>
      </c>
      <c r="G773">
        <v>3762</v>
      </c>
      <c r="H773" t="s">
        <v>3136</v>
      </c>
      <c r="I773" t="s">
        <v>3133</v>
      </c>
      <c r="J773" t="e">
        <f>VLOOKUP(F773,[1]!china_towns_second__2[[Column1]:[Y]],3,FALSE)</f>
        <v>#N/A</v>
      </c>
      <c r="K773" t="e">
        <f>VLOOKUP(F773,[1]!china_towns_second__2[[Column1]:[Y]],2,FALSE)</f>
        <v>#N/A</v>
      </c>
      <c r="L773" t="s">
        <v>4894</v>
      </c>
      <c r="M773" t="str">
        <f>VLOOKUP(H773,CHOOSE({1,2},Table11[Native],Table11[Name]),2,0)</f>
        <v>Fù Xiàn</v>
      </c>
      <c r="N773" s="13" t="str">
        <f>VLOOKUP(I773,CHOOSE({1,2},Table11[Native],Table11[Name]),2,0)</f>
        <v>Yán'ān Shì</v>
      </c>
      <c r="O773" s="13" t="str">
        <f t="shared" si="50"/>
        <v>Nandaode Xiang (Yán'ān Shì)</v>
      </c>
      <c r="P773" s="13" t="str">
        <f t="shared" si="51"/>
        <v>Nandaode Xiang (Yán'ān Shì)</v>
      </c>
    </row>
    <row r="774" spans="1:16" hidden="1" x14ac:dyDescent="0.25">
      <c r="A774" t="s">
        <v>1823</v>
      </c>
      <c r="B774" t="str">
        <f t="shared" si="48"/>
        <v>Nánfāng Zhèn</v>
      </c>
      <c r="C774" t="str">
        <f t="shared" si="49"/>
        <v>Nánfāng Zhèn</v>
      </c>
      <c r="D774" t="s">
        <v>1824</v>
      </c>
      <c r="E774" t="s">
        <v>7</v>
      </c>
      <c r="F774" t="str">
        <f>_xlfn.CONCAT(D774,", ",H774,", ",I774,", ","陕西省")</f>
        <v>南坊镇, 礼泉县, 咸阳市, 陕西省</v>
      </c>
      <c r="G774">
        <v>22654</v>
      </c>
      <c r="H774" t="s">
        <v>3122</v>
      </c>
      <c r="I774" t="s">
        <v>3117</v>
      </c>
      <c r="J774">
        <f>VLOOKUP(F774,[1]!china_towns_second__2[[Column1]:[Y]],3,FALSE)</f>
        <v>34.744316467194601</v>
      </c>
      <c r="K774">
        <f>VLOOKUP(F774,[1]!china_towns_second__2[[Column1]:[Y]],2,FALSE)</f>
        <v>108.3501033</v>
      </c>
      <c r="L774" t="s">
        <v>4895</v>
      </c>
      <c r="M774" t="str">
        <f>VLOOKUP(H774,CHOOSE({1,2},Table11[Native],Table11[Name]),2,0)</f>
        <v>Lĭquán Xiàn</v>
      </c>
      <c r="N774" s="13" t="str">
        <f>VLOOKUP(I774,CHOOSE({1,2},Table11[Native],Table11[Name]),2,0)</f>
        <v>Xiányáng Shì</v>
      </c>
      <c r="O774" s="13" t="str">
        <f t="shared" si="50"/>
        <v>Nanfang Zhen (Xiányáng Shì)</v>
      </c>
      <c r="P774" s="13" t="str">
        <f t="shared" si="51"/>
        <v>Nanfang Zhen (Xiányáng Shì)</v>
      </c>
    </row>
    <row r="775" spans="1:16" hidden="1" x14ac:dyDescent="0.25">
      <c r="A775" t="s">
        <v>168</v>
      </c>
      <c r="B775" t="str">
        <f t="shared" si="48"/>
        <v>Nángōngshān Zhèn [incl. Huālĭ Zhèn, Yìhé Xiāng]</v>
      </c>
      <c r="C775" t="str">
        <f t="shared" si="49"/>
        <v>Nángōngshān Zhèn [incl. Huālĭ Zhèn, Yìhé Xiāng]</v>
      </c>
      <c r="D775" t="s">
        <v>169</v>
      </c>
      <c r="E775" t="s">
        <v>7</v>
      </c>
      <c r="F775" t="str">
        <f>_xlfn.CONCAT(D775,", ",H775,", ",I775,", ","陕西省")</f>
        <v>南宫山镇, 岚皋县, 安康市, 陕西省</v>
      </c>
      <c r="G775">
        <v>12228</v>
      </c>
      <c r="H775" t="s">
        <v>3037</v>
      </c>
      <c r="I775" t="s">
        <v>3031</v>
      </c>
      <c r="J775">
        <f>VLOOKUP(F775,[1]!china_towns_second__2[[Column1]:[Y]],3,FALSE)</f>
        <v>32.257911665919003</v>
      </c>
      <c r="K775">
        <f>VLOOKUP(F775,[1]!china_towns_second__2[[Column1]:[Y]],2,FALSE)</f>
        <v>109.0011422</v>
      </c>
      <c r="L775" t="s">
        <v>4896</v>
      </c>
      <c r="M775" t="str">
        <f>VLOOKUP(H775,CHOOSE({1,2},Table11[Native],Table11[Name]),2,0)</f>
        <v>Lángāo Xiàn</v>
      </c>
      <c r="N775" s="13" t="str">
        <f>VLOOKUP(I775,CHOOSE({1,2},Table11[Native],Table11[Name]),2,0)</f>
        <v>Ānkāng Shì</v>
      </c>
      <c r="O775" s="13" t="str">
        <f t="shared" si="50"/>
        <v>Nangongshan Zhen [incl. Huali Zhen, Yihe Xiang] (Ānkāng Shì)</v>
      </c>
      <c r="P775" s="13" t="str">
        <f t="shared" si="51"/>
        <v>Nangongshan Zhen [incl. Huali Zhen, Yihe Xiang] (Ānkāng Shì)</v>
      </c>
    </row>
    <row r="776" spans="1:16" hidden="1" x14ac:dyDescent="0.25">
      <c r="A776" t="s">
        <v>2469</v>
      </c>
      <c r="B776" t="str">
        <f t="shared" si="48"/>
        <v>Nángōuchà Zhèn</v>
      </c>
      <c r="C776" t="str">
        <f t="shared" si="49"/>
        <v>Nángōuchà Zhèn</v>
      </c>
      <c r="D776" t="s">
        <v>2470</v>
      </c>
      <c r="E776" t="s">
        <v>7</v>
      </c>
      <c r="F776" t="str">
        <f>_xlfn.CONCAT(D776,", ",H776,", ",I776,", ","陕西省")</f>
        <v>南沟岔镇, 子长市, 延安市, 陕西省</v>
      </c>
      <c r="G776">
        <v>8400</v>
      </c>
      <c r="H776" t="s">
        <v>3146</v>
      </c>
      <c r="I776" t="s">
        <v>3133</v>
      </c>
      <c r="J776">
        <f>VLOOKUP(F776,[1]!china_towns_second__2[[Column1]:[Y]],3,FALSE)</f>
        <v>37.351595098332901</v>
      </c>
      <c r="K776">
        <f>VLOOKUP(F776,[1]!china_towns_second__2[[Column1]:[Y]],2,FALSE)</f>
        <v>109.7201523</v>
      </c>
      <c r="L776" t="s">
        <v>4897</v>
      </c>
      <c r="M776" t="str">
        <f>VLOOKUP(H776,CHOOSE({1,2},Table11[Native],Table11[Name]),2,0)</f>
        <v>Zicháng Shì</v>
      </c>
      <c r="N776" s="13" t="str">
        <f>VLOOKUP(I776,CHOOSE({1,2},Table11[Native],Table11[Name]),2,0)</f>
        <v>Yán'ān Shì</v>
      </c>
      <c r="O776" s="13" t="str">
        <f t="shared" si="50"/>
        <v>Nangoucha Zhen (Yán'ān Shì)</v>
      </c>
      <c r="P776" s="13" t="str">
        <f t="shared" si="51"/>
        <v>Nangoucha Zhen (Yán'ān Shì)</v>
      </c>
    </row>
    <row r="777" spans="1:16" hidden="1" x14ac:dyDescent="0.25">
      <c r="A777" t="s">
        <v>2471</v>
      </c>
      <c r="B777" t="str">
        <f t="shared" si="48"/>
        <v>Nánhégōu Xiāng</v>
      </c>
      <c r="C777" t="str">
        <f t="shared" si="49"/>
        <v>Nánhégōu Xiāng</v>
      </c>
      <c r="D777" t="s">
        <v>2472</v>
      </c>
      <c r="E777" t="s">
        <v>11</v>
      </c>
      <c r="F777" t="str">
        <f>_xlfn.CONCAT(D777,", ",H777,", ",I777,", ","陕西省")</f>
        <v>南河沟乡, 延长县, 延安市, 陕西省</v>
      </c>
      <c r="G777">
        <v>4214</v>
      </c>
      <c r="H777" t="s">
        <v>3142</v>
      </c>
      <c r="I777" t="s">
        <v>3133</v>
      </c>
      <c r="J777" t="e">
        <f>VLOOKUP(F777,[1]!china_towns_second__2[[Column1]:[Y]],3,FALSE)</f>
        <v>#N/A</v>
      </c>
      <c r="K777" t="e">
        <f>VLOOKUP(F777,[1]!china_towns_second__2[[Column1]:[Y]],2,FALSE)</f>
        <v>#N/A</v>
      </c>
      <c r="L777" t="s">
        <v>4898</v>
      </c>
      <c r="M777" t="str">
        <f>VLOOKUP(H777,CHOOSE({1,2},Table11[Native],Table11[Name]),2,0)</f>
        <v>Yáncháng Xiàn</v>
      </c>
      <c r="N777" s="13" t="str">
        <f>VLOOKUP(I777,CHOOSE({1,2},Table11[Native],Table11[Name]),2,0)</f>
        <v>Yán'ān Shì</v>
      </c>
      <c r="O777" s="13" t="str">
        <f t="shared" si="50"/>
        <v>Nanhegou Xiang (Yán'ān Shì)</v>
      </c>
      <c r="P777" s="13" t="str">
        <f t="shared" si="51"/>
        <v>Nanhegou Xiang (Yán'ān Shì)</v>
      </c>
    </row>
    <row r="778" spans="1:16" hidden="1" x14ac:dyDescent="0.25">
      <c r="A778" t="s">
        <v>1174</v>
      </c>
      <c r="B778" t="str">
        <f t="shared" si="48"/>
        <v>Nánkuānpíng Zhèn</v>
      </c>
      <c r="C778" t="str">
        <f t="shared" si="49"/>
        <v>Nánkuānpíng Zhèn</v>
      </c>
      <c r="D778" t="s">
        <v>1175</v>
      </c>
      <c r="E778" t="s">
        <v>7</v>
      </c>
      <c r="F778" t="str">
        <f>_xlfn.CONCAT(D778,", ",H778,", ",I778,", ","陕西省")</f>
        <v>南宽坪镇, 山阳县, 商洛市, 陕西省</v>
      </c>
      <c r="G778">
        <v>17112</v>
      </c>
      <c r="H778" t="s">
        <v>3077</v>
      </c>
      <c r="I778" t="s">
        <v>3072</v>
      </c>
      <c r="J778">
        <f>VLOOKUP(F778,[1]!china_towns_second__2[[Column1]:[Y]],3,FALSE)</f>
        <v>33.300635225935999</v>
      </c>
      <c r="K778">
        <f>VLOOKUP(F778,[1]!china_towns_second__2[[Column1]:[Y]],2,FALSE)</f>
        <v>109.8497641</v>
      </c>
      <c r="L778" t="s">
        <v>4899</v>
      </c>
      <c r="M778" t="str">
        <f>VLOOKUP(H778,CHOOSE({1,2},Table11[Native],Table11[Name]),2,0)</f>
        <v>Shānyáng Xiàn</v>
      </c>
      <c r="N778" s="13" t="str">
        <f>VLOOKUP(I778,CHOOSE({1,2},Table11[Native],Table11[Name]),2,0)</f>
        <v>Shāngluò Shì</v>
      </c>
      <c r="O778" s="13" t="str">
        <f t="shared" si="50"/>
        <v>Nankuanping Zhen (Shāngluò Shì)</v>
      </c>
      <c r="P778" s="13" t="str">
        <f t="shared" si="51"/>
        <v>Nankuanping Zhen (Shāngluò Shì)</v>
      </c>
    </row>
    <row r="779" spans="1:16" hidden="1" x14ac:dyDescent="0.25">
      <c r="A779" t="s">
        <v>2473</v>
      </c>
      <c r="B779" t="str">
        <f t="shared" si="48"/>
        <v>Nánníwān Zhèn</v>
      </c>
      <c r="C779" t="str">
        <f t="shared" si="49"/>
        <v>Nánníwān Zhèn</v>
      </c>
      <c r="D779" t="s">
        <v>2474</v>
      </c>
      <c r="E779" t="s">
        <v>7</v>
      </c>
      <c r="F779" t="str">
        <f>_xlfn.CONCAT(D779,", ",H779,", ",I779,", ","陕西省")</f>
        <v>南泥湾镇, 宝塔区, 延安市, 陕西省</v>
      </c>
      <c r="G779">
        <v>4960</v>
      </c>
      <c r="H779" t="s">
        <v>3135</v>
      </c>
      <c r="I779" t="s">
        <v>3133</v>
      </c>
      <c r="J779">
        <f>VLOOKUP(F779,[1]!china_towns_second__2[[Column1]:[Y]],3,FALSE)</f>
        <v>36.342389339220901</v>
      </c>
      <c r="K779">
        <f>VLOOKUP(F779,[1]!china_towns_second__2[[Column1]:[Y]],2,FALSE)</f>
        <v>109.6405364</v>
      </c>
      <c r="L779" t="s">
        <v>4900</v>
      </c>
      <c r="M779" t="str">
        <f>VLOOKUP(H779,CHOOSE({1,2},Table11[Native],Table11[Name]),2,0)</f>
        <v>Băotă Qū</v>
      </c>
      <c r="N779" s="13" t="str">
        <f>VLOOKUP(I779,CHOOSE({1,2},Table11[Native],Table11[Name]),2,0)</f>
        <v>Yán'ān Shì</v>
      </c>
      <c r="O779" s="13" t="str">
        <f t="shared" si="50"/>
        <v>Nanniwan Zhen (Yán'ān Shì)</v>
      </c>
      <c r="P779" s="13" t="str">
        <f t="shared" si="51"/>
        <v>Nanniwan Zhen (Yán'ān Shì)</v>
      </c>
    </row>
    <row r="780" spans="1:16" hidden="1" x14ac:dyDescent="0.25">
      <c r="A780" t="s">
        <v>845</v>
      </c>
      <c r="B780" t="str">
        <f t="shared" si="48"/>
        <v>Nánpíng Xiāng</v>
      </c>
      <c r="C780" t="str">
        <f t="shared" si="49"/>
        <v>Nánpíng Xiāng</v>
      </c>
      <c r="D780" t="s">
        <v>846</v>
      </c>
      <c r="E780" t="s">
        <v>11</v>
      </c>
      <c r="F780" t="str">
        <f>_xlfn.CONCAT(D780,", ",H780,", ",I780,", ","陕西省")</f>
        <v>南屏乡, 宁强县, 汉中市, 陕西省</v>
      </c>
      <c r="G780">
        <v>5349</v>
      </c>
      <c r="H780" t="s">
        <v>3067</v>
      </c>
      <c r="I780" t="s">
        <v>3059</v>
      </c>
      <c r="J780" t="e">
        <f>VLOOKUP(F780,[1]!china_towns_second__2[[Column1]:[Y]],3,FALSE)</f>
        <v>#N/A</v>
      </c>
      <c r="K780" t="e">
        <f>VLOOKUP(F780,[1]!china_towns_second__2[[Column1]:[Y]],2,FALSE)</f>
        <v>#N/A</v>
      </c>
      <c r="L780" t="s">
        <v>4901</v>
      </c>
      <c r="M780" t="str">
        <f>VLOOKUP(H780,CHOOSE({1,2},Table11[Native],Table11[Name]),2,0)</f>
        <v>Níngqiáng Xiàn</v>
      </c>
      <c r="N780" s="13" t="str">
        <f>VLOOKUP(I780,CHOOSE({1,2},Table11[Native],Table11[Name]),2,0)</f>
        <v>Hànzhōng Shì</v>
      </c>
      <c r="O780" s="13" t="str">
        <f t="shared" si="50"/>
        <v>Nanping Xiang (Hànzhōng Shì)</v>
      </c>
      <c r="P780" s="13" t="str">
        <f t="shared" si="51"/>
        <v>Nanping Xiang (Hànzhōng Shì)</v>
      </c>
    </row>
    <row r="781" spans="1:16" hidden="1" x14ac:dyDescent="0.25">
      <c r="A781" t="s">
        <v>1564</v>
      </c>
      <c r="B781" t="str">
        <f t="shared" si="48"/>
        <v>Nánshè Xiāng</v>
      </c>
      <c r="C781" t="str">
        <f t="shared" si="49"/>
        <v>Nánshè Xiāng</v>
      </c>
      <c r="D781" t="s">
        <v>1565</v>
      </c>
      <c r="E781" t="s">
        <v>11</v>
      </c>
      <c r="F781" t="str">
        <f>_xlfn.CONCAT(D781,", ",H781,", ",I781,", ","陕西省")</f>
        <v>南社乡, 富平县, 渭南市, 陕西省</v>
      </c>
      <c r="G781">
        <v>16987</v>
      </c>
      <c r="H781" t="s">
        <v>3091</v>
      </c>
      <c r="I781" t="s">
        <v>3087</v>
      </c>
      <c r="J781" t="e">
        <f>VLOOKUP(F781,[1]!china_towns_second__2[[Column1]:[Y]],3,FALSE)</f>
        <v>#N/A</v>
      </c>
      <c r="K781" t="e">
        <f>VLOOKUP(F781,[1]!china_towns_second__2[[Column1]:[Y]],2,FALSE)</f>
        <v>#N/A</v>
      </c>
      <c r="L781" t="s">
        <v>4902</v>
      </c>
      <c r="M781" t="str">
        <f>VLOOKUP(H781,CHOOSE({1,2},Table11[Native],Table11[Name]),2,0)</f>
        <v>Fùpíng Xiàn</v>
      </c>
      <c r="N781" s="13" t="str">
        <f>VLOOKUP(I781,CHOOSE({1,2},Table11[Native],Table11[Name]),2,0)</f>
        <v>Wèinán Shì</v>
      </c>
      <c r="O781" s="13" t="str">
        <f t="shared" si="50"/>
        <v>Nanshe Xiang (Wèinán Shì)</v>
      </c>
      <c r="P781" s="13" t="str">
        <f t="shared" si="51"/>
        <v>Nanshe Xiang (Wèinán Shì)</v>
      </c>
    </row>
    <row r="782" spans="1:16" hidden="1" x14ac:dyDescent="0.25">
      <c r="A782" t="s">
        <v>2475</v>
      </c>
      <c r="B782" t="str">
        <f t="shared" si="48"/>
        <v>Nánshì Jiēdào</v>
      </c>
      <c r="C782" t="str">
        <f t="shared" si="49"/>
        <v>Nánshì Jiēdào</v>
      </c>
      <c r="D782" t="s">
        <v>2476</v>
      </c>
      <c r="E782" t="s">
        <v>113</v>
      </c>
      <c r="F782" t="str">
        <f>_xlfn.CONCAT(D782,", ",H782,", ",I782,", ","陕西省")</f>
        <v>南市街道, 宝塔区, 延安市, 陕西省</v>
      </c>
      <c r="G782">
        <v>57320</v>
      </c>
      <c r="H782" t="s">
        <v>3135</v>
      </c>
      <c r="I782" t="s">
        <v>3133</v>
      </c>
      <c r="J782">
        <f>VLOOKUP(F782,[1]!china_towns_second__2[[Column1]:[Y]],3,FALSE)</f>
        <v>36.577008016550998</v>
      </c>
      <c r="K782">
        <f>VLOOKUP(F782,[1]!china_towns_second__2[[Column1]:[Y]],2,FALSE)</f>
        <v>109.4730871</v>
      </c>
      <c r="L782" t="s">
        <v>4903</v>
      </c>
      <c r="M782" t="str">
        <f>VLOOKUP(H782,CHOOSE({1,2},Table11[Native],Table11[Name]),2,0)</f>
        <v>Băotă Qū</v>
      </c>
      <c r="N782" s="13" t="str">
        <f>VLOOKUP(I782,CHOOSE({1,2},Table11[Native],Table11[Name]),2,0)</f>
        <v>Yán'ān Shì</v>
      </c>
      <c r="O782" s="13" t="str">
        <f t="shared" si="50"/>
        <v>Nanshi Jiedao (Yán'ān Shì)</v>
      </c>
      <c r="P782" s="13" t="str">
        <f t="shared" si="51"/>
        <v>Nanshi Jiedao (Yán'ān Shì)</v>
      </c>
    </row>
    <row r="783" spans="1:16" hidden="1" x14ac:dyDescent="0.25">
      <c r="A783" t="s">
        <v>1566</v>
      </c>
      <c r="B783" t="str">
        <f t="shared" si="48"/>
        <v>Nánshī Xiāng</v>
      </c>
      <c r="C783" t="str">
        <f t="shared" si="49"/>
        <v>Nánshī Xiāng</v>
      </c>
      <c r="D783" t="s">
        <v>1567</v>
      </c>
      <c r="E783" t="s">
        <v>11</v>
      </c>
      <c r="F783" t="str">
        <f>_xlfn.CONCAT(D783,", ",H783,", ",I783,", ","陕西省")</f>
        <v>南师乡, 临渭区, 渭南市, 陕西省</v>
      </c>
      <c r="G783">
        <v>18411</v>
      </c>
      <c r="H783" t="s">
        <v>3097</v>
      </c>
      <c r="I783" t="s">
        <v>3087</v>
      </c>
      <c r="J783" t="e">
        <f>VLOOKUP(F783,[1]!china_towns_second__2[[Column1]:[Y]],3,FALSE)</f>
        <v>#N/A</v>
      </c>
      <c r="K783" t="e">
        <f>VLOOKUP(F783,[1]!china_towns_second__2[[Column1]:[Y]],2,FALSE)</f>
        <v>#N/A</v>
      </c>
      <c r="L783" t="s">
        <v>4904</v>
      </c>
      <c r="M783" t="str">
        <f>VLOOKUP(H783,CHOOSE({1,2},Table11[Native],Table11[Name]),2,0)</f>
        <v>Línwèi Qū</v>
      </c>
      <c r="N783" s="13" t="str">
        <f>VLOOKUP(I783,CHOOSE({1,2},Table11[Native],Table11[Name]),2,0)</f>
        <v>Wèinán Shì</v>
      </c>
      <c r="O783" s="13" t="str">
        <f t="shared" si="50"/>
        <v>Nanshi Xiang (Wèinán Shì)</v>
      </c>
      <c r="P783" s="13" t="str">
        <f t="shared" si="51"/>
        <v>Nanshi Xiang (Wèinán Shì)</v>
      </c>
    </row>
    <row r="784" spans="1:16" hidden="1" x14ac:dyDescent="0.25">
      <c r="A784" t="s">
        <v>1825</v>
      </c>
      <c r="B784" t="str">
        <f t="shared" si="48"/>
        <v>Nánshì Zhèn</v>
      </c>
      <c r="C784" t="str">
        <f t="shared" si="49"/>
        <v>Nánshì Zhèn</v>
      </c>
      <c r="D784" t="s">
        <v>1826</v>
      </c>
      <c r="E784" t="s">
        <v>7</v>
      </c>
      <c r="F784" t="str">
        <f>_xlfn.CONCAT(D784,", ",H784,", ",I784,", ","陕西省")</f>
        <v>南市镇, 兴平市, 咸阳市, 陕西省</v>
      </c>
      <c r="G784">
        <v>33631</v>
      </c>
      <c r="H784" t="s">
        <v>3128</v>
      </c>
      <c r="I784" t="s">
        <v>3117</v>
      </c>
      <c r="J784">
        <f>VLOOKUP(F784,[1]!china_towns_second__2[[Column1]:[Y]],3,FALSE)</f>
        <v>34.352656126722302</v>
      </c>
      <c r="K784">
        <f>VLOOKUP(F784,[1]!china_towns_second__2[[Column1]:[Y]],2,FALSE)</f>
        <v>108.4587322</v>
      </c>
      <c r="L784" t="s">
        <v>4905</v>
      </c>
      <c r="M784" t="str">
        <f>VLOOKUP(H784,CHOOSE({1,2},Table11[Native],Table11[Name]),2,0)</f>
        <v>Xīngpíng Shì</v>
      </c>
      <c r="N784" s="13" t="str">
        <f>VLOOKUP(I784,CHOOSE({1,2},Table11[Native],Table11[Name]),2,0)</f>
        <v>Xiányáng Shì</v>
      </c>
      <c r="O784" s="13" t="str">
        <f t="shared" si="50"/>
        <v>Nanshi Zhen (Xiányáng Shì)</v>
      </c>
      <c r="P784" s="13" t="str">
        <f t="shared" si="51"/>
        <v>Nanshi Zhen (Xiányáng Shì)</v>
      </c>
    </row>
    <row r="785" spans="1:16" hidden="1" x14ac:dyDescent="0.25">
      <c r="A785" t="s">
        <v>2840</v>
      </c>
      <c r="B785" t="str">
        <f t="shared" si="48"/>
        <v>Nántă Xiāng</v>
      </c>
      <c r="C785" t="str">
        <f t="shared" si="49"/>
        <v>Nántă Xiāng</v>
      </c>
      <c r="D785" t="s">
        <v>2841</v>
      </c>
      <c r="E785" t="s">
        <v>11</v>
      </c>
      <c r="F785" t="str">
        <f>_xlfn.CONCAT(D785,", ",H785,", ",I785,", ","陕西省")</f>
        <v>南塔乡, 横山区, 榆林市, 陕西省</v>
      </c>
      <c r="G785">
        <v>8644</v>
      </c>
      <c r="H785" t="s">
        <v>3151</v>
      </c>
      <c r="I785" t="s">
        <v>3148</v>
      </c>
      <c r="J785" t="e">
        <f>VLOOKUP(F785,[1]!china_towns_second__2[[Column1]:[Y]],3,FALSE)</f>
        <v>#N/A</v>
      </c>
      <c r="K785" t="e">
        <f>VLOOKUP(F785,[1]!china_towns_second__2[[Column1]:[Y]],2,FALSE)</f>
        <v>#N/A</v>
      </c>
      <c r="L785" t="s">
        <v>4906</v>
      </c>
      <c r="M785" t="str">
        <f>VLOOKUP(H785,CHOOSE({1,2},Table11[Native],Table11[Name]),2,0)</f>
        <v>Héngshān Qū</v>
      </c>
      <c r="N785" s="13" t="str">
        <f>VLOOKUP(I785,CHOOSE({1,2},Table11[Native],Table11[Name]),2,0)</f>
        <v>Yúlín Shì</v>
      </c>
      <c r="O785" s="13" t="str">
        <f t="shared" si="50"/>
        <v>Nanta Xiang (Yúlín Shì)</v>
      </c>
      <c r="P785" s="13" t="str">
        <f t="shared" si="51"/>
        <v>Nanta Xiang (Yúlín Shì)</v>
      </c>
    </row>
    <row r="786" spans="1:16" hidden="1" x14ac:dyDescent="0.25">
      <c r="A786" t="s">
        <v>1568</v>
      </c>
      <c r="B786" t="str">
        <f t="shared" si="48"/>
        <v>Nántóu Xiāng</v>
      </c>
      <c r="C786" t="str">
        <f t="shared" si="49"/>
        <v>Nántóu Xiāng</v>
      </c>
      <c r="D786" t="s">
        <v>1569</v>
      </c>
      <c r="E786" t="s">
        <v>11</v>
      </c>
      <c r="F786" t="str">
        <f>_xlfn.CONCAT(D786,", ",H786,", ",I786,", ","陕西省")</f>
        <v>南头乡, 潼关县, 渭南市, 陕西省</v>
      </c>
      <c r="G786">
        <v>12380</v>
      </c>
      <c r="H786" t="s">
        <v>3099</v>
      </c>
      <c r="I786" t="s">
        <v>3087</v>
      </c>
      <c r="J786" t="e">
        <f>VLOOKUP(F786,[1]!china_towns_second__2[[Column1]:[Y]],3,FALSE)</f>
        <v>#N/A</v>
      </c>
      <c r="K786" t="e">
        <f>VLOOKUP(F786,[1]!china_towns_second__2[[Column1]:[Y]],2,FALSE)</f>
        <v>#N/A</v>
      </c>
      <c r="L786" t="s">
        <v>4907</v>
      </c>
      <c r="M786" t="str">
        <f>VLOOKUP(H786,CHOOSE({1,2},Table11[Native],Table11[Name]),2,0)</f>
        <v>Tóngguān Xiàn</v>
      </c>
      <c r="N786" s="13" t="str">
        <f>VLOOKUP(I786,CHOOSE({1,2},Table11[Native],Table11[Name]),2,0)</f>
        <v>Wèinán Shì</v>
      </c>
      <c r="O786" s="13" t="str">
        <f t="shared" si="50"/>
        <v>Nantou Xiang (Wèinán Shì)</v>
      </c>
      <c r="P786" s="13" t="str">
        <f t="shared" si="51"/>
        <v>Nantou Xiang (Wèinán Shì)</v>
      </c>
    </row>
    <row r="787" spans="1:16" hidden="1" x14ac:dyDescent="0.25">
      <c r="A787" t="s">
        <v>2154</v>
      </c>
      <c r="B787" t="str">
        <f t="shared" si="48"/>
        <v>Nánwèi Zhèn</v>
      </c>
      <c r="C787" t="str">
        <f t="shared" si="49"/>
        <v>Nánwèi Zhèn</v>
      </c>
      <c r="D787" t="s">
        <v>2155</v>
      </c>
      <c r="E787" t="s">
        <v>7</v>
      </c>
      <c r="F787" t="str">
        <f>_xlfn.CONCAT(D787,", ",H787,", ",I787,", ","陕西省")</f>
        <v>南位镇, 西咸新区, 西安市, 陕西省</v>
      </c>
      <c r="G787">
        <v>33982</v>
      </c>
      <c r="H787" t="s">
        <v>3167</v>
      </c>
      <c r="I787" t="s">
        <v>3102</v>
      </c>
      <c r="J787">
        <f>VLOOKUP(F787,[1]!china_towns_second__2[[Column1]:[Y]],3,FALSE)</f>
        <v>34.355460647943701</v>
      </c>
      <c r="K787">
        <f>VLOOKUP(F787,[1]!china_towns_second__2[[Column1]:[Y]],2,FALSE)</f>
        <v>108.5509</v>
      </c>
      <c r="L787" t="s">
        <v>4908</v>
      </c>
      <c r="M787" t="str">
        <f>VLOOKUP(H787,CHOOSE({1,2},Table11[Native],Table11[Name]),2,0)</f>
        <v>Xīxián Xīnqū</v>
      </c>
      <c r="N787" s="13" t="str">
        <f>VLOOKUP(I787,CHOOSE({1,2},Table11[Native],Table11[Name]),2,0)</f>
        <v>Xī'ān Shì</v>
      </c>
      <c r="O787" s="13" t="str">
        <f t="shared" si="50"/>
        <v>Nanwei Zhen (Xī'ān Shì)</v>
      </c>
      <c r="P787" s="13" t="str">
        <f t="shared" si="51"/>
        <v>Nanwei Zhen (Xī'ān Shì)</v>
      </c>
    </row>
    <row r="788" spans="1:16" hidden="1" x14ac:dyDescent="0.25">
      <c r="A788" t="s">
        <v>170</v>
      </c>
      <c r="B788" t="str">
        <f t="shared" si="48"/>
        <v>Nánxī Xiāng</v>
      </c>
      <c r="C788" t="str">
        <f t="shared" si="49"/>
        <v>Nánxī Xiāng</v>
      </c>
      <c r="D788" t="s">
        <v>171</v>
      </c>
      <c r="E788" t="s">
        <v>11</v>
      </c>
      <c r="F788" t="str">
        <f>_xlfn.CONCAT(D788,", ",H788,", ",I788,", ","陕西省")</f>
        <v>南溪乡, 汉滨区, 安康市, 陕西省</v>
      </c>
      <c r="G788">
        <v>8619</v>
      </c>
      <c r="H788" t="s">
        <v>3035</v>
      </c>
      <c r="I788" t="s">
        <v>3031</v>
      </c>
      <c r="J788" t="e">
        <f>VLOOKUP(F788,[1]!china_towns_second__2[[Column1]:[Y]],3,FALSE)</f>
        <v>#N/A</v>
      </c>
      <c r="K788" t="e">
        <f>VLOOKUP(F788,[1]!china_towns_second__2[[Column1]:[Y]],2,FALSE)</f>
        <v>#N/A</v>
      </c>
      <c r="L788" t="s">
        <v>4909</v>
      </c>
      <c r="M788" t="str">
        <f>VLOOKUP(H788,CHOOSE({1,2},Table11[Native],Table11[Name]),2,0)</f>
        <v>Hànbīn Qū</v>
      </c>
      <c r="N788" s="13" t="str">
        <f>VLOOKUP(I788,CHOOSE({1,2},Table11[Native],Table11[Name]),2,0)</f>
        <v>Ānkāng Shì</v>
      </c>
      <c r="O788" s="13" t="str">
        <f t="shared" si="50"/>
        <v>Nanxi Xiang (Ānkāng Shì)</v>
      </c>
      <c r="P788" s="13" t="str">
        <f t="shared" si="51"/>
        <v>Nanxi Xiang (Ānkāng Shì)</v>
      </c>
    </row>
    <row r="789" spans="1:16" hidden="1" x14ac:dyDescent="0.25">
      <c r="A789" t="s">
        <v>489</v>
      </c>
      <c r="B789" t="str">
        <f t="shared" si="48"/>
        <v>Nányáng Zhèn</v>
      </c>
      <c r="C789" t="str">
        <f t="shared" si="49"/>
        <v>Nányáng Zhèn</v>
      </c>
      <c r="D789" t="s">
        <v>490</v>
      </c>
      <c r="E789" t="s">
        <v>7</v>
      </c>
      <c r="F789" t="str">
        <f>_xlfn.CONCAT(D789,", ",H789,", ",I789,", ","陕西省")</f>
        <v>南阳镇, 扶风县, 宝鸡市, 陕西省</v>
      </c>
      <c r="G789">
        <v>20880</v>
      </c>
      <c r="H789" t="s">
        <v>3049</v>
      </c>
      <c r="I789" t="s">
        <v>3045</v>
      </c>
      <c r="J789">
        <f>VLOOKUP(F789,[1]!china_towns_second__2[[Column1]:[Y]],3,FALSE)</f>
        <v>34.472299999999997</v>
      </c>
      <c r="K789">
        <f>VLOOKUP(F789,[1]!china_towns_second__2[[Column1]:[Y]],2,FALSE)</f>
        <v>107.904</v>
      </c>
      <c r="L789" t="s">
        <v>4910</v>
      </c>
      <c r="M789" t="str">
        <f>VLOOKUP(H789,CHOOSE({1,2},Table11[Native],Table11[Name]),2,0)</f>
        <v>Fúfēng Xiàn</v>
      </c>
      <c r="N789" s="13" t="str">
        <f>VLOOKUP(I789,CHOOSE({1,2},Table11[Native],Table11[Name]),2,0)</f>
        <v>Băojī Shì</v>
      </c>
      <c r="O789" s="13" t="str">
        <f t="shared" si="50"/>
        <v>Nanyang Zhen (Băojī Shì)</v>
      </c>
      <c r="P789" s="13" t="str">
        <f t="shared" si="51"/>
        <v>Nanyang Zhen (Băojī Shì)</v>
      </c>
    </row>
    <row r="790" spans="1:16" hidden="1" x14ac:dyDescent="0.25">
      <c r="A790" t="s">
        <v>2156</v>
      </c>
      <c r="B790" t="str">
        <f t="shared" si="48"/>
        <v>Nányuànmén Jiēdào</v>
      </c>
      <c r="C790" t="str">
        <f t="shared" si="49"/>
        <v>Nányuànmén Jiēdào</v>
      </c>
      <c r="D790" t="s">
        <v>2157</v>
      </c>
      <c r="E790" t="s">
        <v>113</v>
      </c>
      <c r="F790" t="str">
        <f>_xlfn.CONCAT(D790,", ",H790,", ",I790,", ","陕西省")</f>
        <v>南院门街道, 碑林区, 西安市, 陕西省</v>
      </c>
      <c r="G790">
        <v>22976</v>
      </c>
      <c r="H790" t="s">
        <v>3104</v>
      </c>
      <c r="I790" t="s">
        <v>3102</v>
      </c>
      <c r="J790">
        <f>VLOOKUP(F790,[1]!china_towns_second__2[[Column1]:[Y]],3,FALSE)</f>
        <v>34.256376467159299</v>
      </c>
      <c r="K790">
        <f>VLOOKUP(F790,[1]!china_towns_second__2[[Column1]:[Y]],2,FALSE)</f>
        <v>108.9388938</v>
      </c>
      <c r="L790" t="s">
        <v>4911</v>
      </c>
      <c r="M790" t="str">
        <f>VLOOKUP(H790,CHOOSE({1,2},Table11[Native],Table11[Name]),2,0)</f>
        <v>Bēilín Qū</v>
      </c>
      <c r="N790" s="13" t="str">
        <f>VLOOKUP(I790,CHOOSE({1,2},Table11[Native],Table11[Name]),2,0)</f>
        <v>Xī'ān Shì</v>
      </c>
      <c r="O790" s="13" t="str">
        <f t="shared" si="50"/>
        <v>Nanyuanmen Jiedao (Xī'ān Shì)</v>
      </c>
      <c r="P790" s="13" t="str">
        <f t="shared" si="51"/>
        <v>Nanyuanmen Jiedao (Xī'ān Shì)</v>
      </c>
    </row>
    <row r="791" spans="1:16" hidden="1" x14ac:dyDescent="0.25">
      <c r="A791" t="s">
        <v>491</v>
      </c>
      <c r="B791" t="str">
        <f t="shared" si="48"/>
        <v>Nánzhài Zhèn</v>
      </c>
      <c r="C791" t="str">
        <f t="shared" si="49"/>
        <v>Nánzhài Zhèn</v>
      </c>
      <c r="D791" t="s">
        <v>492</v>
      </c>
      <c r="E791" t="s">
        <v>7</v>
      </c>
      <c r="F791" t="str">
        <f>_xlfn.CONCAT(D791,", ",H791,", ",I791,", ","陕西省")</f>
        <v>南寨镇, 千阳县, 宝鸡市, 陕西省</v>
      </c>
      <c r="G791">
        <v>20234</v>
      </c>
      <c r="H791" t="s">
        <v>3054</v>
      </c>
      <c r="I791" t="s">
        <v>3045</v>
      </c>
      <c r="J791">
        <f>VLOOKUP(F791,[1]!china_towns_second__2[[Column1]:[Y]],3,FALSE)</f>
        <v>34.719387221044101</v>
      </c>
      <c r="K791">
        <f>VLOOKUP(F791,[1]!china_towns_second__2[[Column1]:[Y]],2,FALSE)</f>
        <v>107.225999</v>
      </c>
      <c r="L791" t="s">
        <v>4912</v>
      </c>
      <c r="M791" t="str">
        <f>VLOOKUP(H791,CHOOSE({1,2},Table11[Native],Table11[Name]),2,0)</f>
        <v>Qiānyáng Xiàn</v>
      </c>
      <c r="N791" s="13" t="str">
        <f>VLOOKUP(I791,CHOOSE({1,2},Table11[Native],Table11[Name]),2,0)</f>
        <v>Băojī Shì</v>
      </c>
      <c r="O791" s="13" t="str">
        <f t="shared" si="50"/>
        <v>Nanzhai Zhen (Băojī Shì)</v>
      </c>
      <c r="P791" s="13" t="str">
        <f t="shared" si="51"/>
        <v>Nanzhai Zhen (Băojī Shì)</v>
      </c>
    </row>
    <row r="792" spans="1:16" hidden="1" x14ac:dyDescent="0.25">
      <c r="A792" t="s">
        <v>493</v>
      </c>
      <c r="B792" t="str">
        <f t="shared" si="48"/>
        <v>Nánzhĭhuī Zhèn</v>
      </c>
      <c r="C792" t="str">
        <f t="shared" si="49"/>
        <v>Nánzhĭhuī Zhèn</v>
      </c>
      <c r="D792" t="s">
        <v>494</v>
      </c>
      <c r="E792" t="s">
        <v>7</v>
      </c>
      <c r="F792" t="str">
        <f>_xlfn.CONCAT(D792,", ",H792,", ",I792,", ","陕西省")</f>
        <v>南指挥镇, 凤翔区, 宝鸡市, 陕西省</v>
      </c>
      <c r="G792">
        <v>33178</v>
      </c>
      <c r="H792" t="s">
        <v>3048</v>
      </c>
      <c r="I792" t="s">
        <v>3045</v>
      </c>
      <c r="J792">
        <f>VLOOKUP(F792,[1]!china_towns_second__2[[Column1]:[Y]],3,FALSE)</f>
        <v>34.463179884948502</v>
      </c>
      <c r="K792">
        <f>VLOOKUP(F792,[1]!china_towns_second__2[[Column1]:[Y]],2,FALSE)</f>
        <v>107.3604563</v>
      </c>
      <c r="L792" t="s">
        <v>4913</v>
      </c>
      <c r="M792" t="str">
        <f>VLOOKUP(H792,CHOOSE({1,2},Table11[Native],Table11[Name]),2,0)</f>
        <v>Fèngxiáng Qū</v>
      </c>
      <c r="N792" s="13" t="str">
        <f>VLOOKUP(I792,CHOOSE({1,2},Table11[Native],Table11[Name]),2,0)</f>
        <v>Băojī Shì</v>
      </c>
      <c r="O792" s="13" t="str">
        <f t="shared" si="50"/>
        <v>Nanzhihui Zhen (Băojī Shì)</v>
      </c>
      <c r="P792" s="13" t="str">
        <f t="shared" si="51"/>
        <v>Nanzhihui Zhen (Băojī Shì)</v>
      </c>
    </row>
    <row r="793" spans="1:16" hidden="1" x14ac:dyDescent="0.25">
      <c r="A793" t="s">
        <v>1570</v>
      </c>
      <c r="B793" t="str">
        <f t="shared" si="48"/>
        <v>Niànqiáo Zhèn</v>
      </c>
      <c r="C793" t="str">
        <f t="shared" si="49"/>
        <v>Niànqiáo Zhèn</v>
      </c>
      <c r="D793" t="s">
        <v>1571</v>
      </c>
      <c r="E793" t="s">
        <v>7</v>
      </c>
      <c r="F793" t="str">
        <f>_xlfn.CONCAT(D793,", ",H793,", ",I793,", ","陕西省")</f>
        <v>埝桥镇, 大荔县, 渭南市, 陕西省</v>
      </c>
      <c r="G793">
        <v>27182</v>
      </c>
      <c r="H793" t="s">
        <v>3090</v>
      </c>
      <c r="I793" t="s">
        <v>3087</v>
      </c>
      <c r="J793">
        <f>VLOOKUP(F793,[1]!china_towns_second__2[[Column1]:[Y]],3,FALSE)</f>
        <v>34.809547762105304</v>
      </c>
      <c r="K793">
        <f>VLOOKUP(F793,[1]!china_towns_second__2[[Column1]:[Y]],2,FALSE)</f>
        <v>109.8582756</v>
      </c>
      <c r="L793" t="s">
        <v>4914</v>
      </c>
      <c r="M793" t="str">
        <f>VLOOKUP(H793,CHOOSE({1,2},Table11[Native],Table11[Name]),2,0)</f>
        <v>Dàlì Xiàn</v>
      </c>
      <c r="N793" s="13" t="str">
        <f>VLOOKUP(I793,CHOOSE({1,2},Table11[Native],Table11[Name]),2,0)</f>
        <v>Wèinán Shì</v>
      </c>
      <c r="O793" s="13" t="str">
        <f t="shared" si="50"/>
        <v>Nianqiao Zhen (Wèinán Shì)</v>
      </c>
      <c r="P793" s="13" t="str">
        <f t="shared" si="51"/>
        <v>Nianqiao Zhen (Wèinán Shì)</v>
      </c>
    </row>
    <row r="794" spans="1:16" hidden="1" x14ac:dyDescent="0.25">
      <c r="A794" t="s">
        <v>847</v>
      </c>
      <c r="B794" t="str">
        <f t="shared" si="48"/>
        <v>Niănzi Zhèn</v>
      </c>
      <c r="C794" t="str">
        <f t="shared" si="49"/>
        <v>Niănzi Zhèn</v>
      </c>
      <c r="D794" t="s">
        <v>848</v>
      </c>
      <c r="E794" t="s">
        <v>7</v>
      </c>
      <c r="F794" t="str">
        <f>_xlfn.CONCAT(D794,", ",H794,", ",I794,", ","陕西省")</f>
        <v>碾子镇, 镇巴县, 汉中市, 陕西省</v>
      </c>
      <c r="G794">
        <v>10207</v>
      </c>
      <c r="H794" t="s">
        <v>3070</v>
      </c>
      <c r="I794" t="s">
        <v>3059</v>
      </c>
      <c r="J794">
        <f>VLOOKUP(F794,[1]!china_towns_second__2[[Column1]:[Y]],3,FALSE)</f>
        <v>32.6477756868928</v>
      </c>
      <c r="K794">
        <f>VLOOKUP(F794,[1]!china_towns_second__2[[Column1]:[Y]],2,FALSE)</f>
        <v>108.192297</v>
      </c>
      <c r="L794" t="s">
        <v>4915</v>
      </c>
      <c r="M794" t="str">
        <f>VLOOKUP(H794,CHOOSE({1,2},Table11[Native],Table11[Name]),2,0)</f>
        <v>Zhènbā Xiàn</v>
      </c>
      <c r="N794" s="13" t="str">
        <f>VLOOKUP(I794,CHOOSE({1,2},Table11[Native],Table11[Name]),2,0)</f>
        <v>Hànzhōng Shì</v>
      </c>
      <c r="O794" s="13" t="str">
        <f t="shared" si="50"/>
        <v>Nianzi Zhen (Hànzhōng Shì)</v>
      </c>
      <c r="P794" s="13" t="str">
        <f t="shared" si="51"/>
        <v>Nianzi Zhen (Hànzhōng Shì)</v>
      </c>
    </row>
    <row r="795" spans="1:16" hidden="1" x14ac:dyDescent="0.25">
      <c r="A795" t="s">
        <v>2842</v>
      </c>
      <c r="B795" t="str">
        <f t="shared" si="48"/>
        <v>Níngtiáoliáng Zhèn</v>
      </c>
      <c r="C795" t="str">
        <f t="shared" si="49"/>
        <v>Níngtiáoliáng Zhèn</v>
      </c>
      <c r="D795" t="s">
        <v>2843</v>
      </c>
      <c r="E795" t="s">
        <v>7</v>
      </c>
      <c r="F795" t="str">
        <f>_xlfn.CONCAT(D795,", ",H795,", ",I795,", ","陕西省")</f>
        <v>宁条梁镇, 靖边县, 榆林市, 陕西省</v>
      </c>
      <c r="G795">
        <v>17542</v>
      </c>
      <c r="H795" t="s">
        <v>3153</v>
      </c>
      <c r="I795" t="s">
        <v>3148</v>
      </c>
      <c r="J795">
        <f>VLOOKUP(F795,[1]!china_towns_second__2[[Column1]:[Y]],3,FALSE)</f>
        <v>37.548163438288299</v>
      </c>
      <c r="K795">
        <f>VLOOKUP(F795,[1]!china_towns_second__2[[Column1]:[Y]],2,FALSE)</f>
        <v>108.3867786</v>
      </c>
      <c r="L795" t="s">
        <v>4916</v>
      </c>
      <c r="M795" t="str">
        <f>VLOOKUP(H795,CHOOSE({1,2},Table11[Native],Table11[Name]),2,0)</f>
        <v>Jìngbiān Xiàn</v>
      </c>
      <c r="N795" s="13" t="str">
        <f>VLOOKUP(I795,CHOOSE({1,2},Table11[Native],Table11[Name]),2,0)</f>
        <v>Yúlín Shì</v>
      </c>
      <c r="O795" s="13" t="str">
        <f t="shared" si="50"/>
        <v>Ningtiaoliang Zhen (Yúlín Shì)</v>
      </c>
      <c r="P795" s="13" t="str">
        <f t="shared" si="51"/>
        <v>Ningtiaoliang Zhen (Yúlín Shì)</v>
      </c>
    </row>
    <row r="796" spans="1:16" hidden="1" x14ac:dyDescent="0.25">
      <c r="A796" t="s">
        <v>2844</v>
      </c>
      <c r="B796" t="str">
        <f t="shared" si="48"/>
        <v>Niújiāliáng Zhèn</v>
      </c>
      <c r="C796" t="str">
        <f t="shared" si="49"/>
        <v>Niújiāliáng Zhèn</v>
      </c>
      <c r="D796" t="s">
        <v>2845</v>
      </c>
      <c r="E796" t="s">
        <v>7</v>
      </c>
      <c r="F796" t="str">
        <f>_xlfn.CONCAT(D796,", ",H796,", ",I796,", ","陕西省")</f>
        <v>牛家梁镇, 榆阳区, 榆林市, 陕西省</v>
      </c>
      <c r="G796">
        <v>17352</v>
      </c>
      <c r="H796" t="s">
        <v>3159</v>
      </c>
      <c r="I796" t="s">
        <v>3148</v>
      </c>
      <c r="J796">
        <f>VLOOKUP(F796,[1]!china_towns_second__2[[Column1]:[Y]],3,FALSE)</f>
        <v>38.396201250055</v>
      </c>
      <c r="K796">
        <f>VLOOKUP(F796,[1]!china_towns_second__2[[Column1]:[Y]],2,FALSE)</f>
        <v>109.7581634</v>
      </c>
      <c r="L796" t="s">
        <v>4917</v>
      </c>
      <c r="M796" t="str">
        <f>VLOOKUP(H796,CHOOSE({1,2},Table11[Native],Table11[Name]),2,0)</f>
        <v>Yúyáng Qū</v>
      </c>
      <c r="N796" s="13" t="str">
        <f>VLOOKUP(I796,CHOOSE({1,2},Table11[Native],Table11[Name]),2,0)</f>
        <v>Yúlín Shì</v>
      </c>
      <c r="O796" s="13" t="str">
        <f t="shared" si="50"/>
        <v>Niujialiang Zhen (Yúlín Shì)</v>
      </c>
      <c r="P796" s="13" t="str">
        <f t="shared" si="51"/>
        <v>Niujialiang Zhen (Yúlín Shì)</v>
      </c>
    </row>
    <row r="797" spans="1:16" hidden="1" x14ac:dyDescent="0.25">
      <c r="A797" t="s">
        <v>172</v>
      </c>
      <c r="B797" t="str">
        <f t="shared" si="48"/>
        <v>Niútí Zhèn</v>
      </c>
      <c r="C797" t="str">
        <f t="shared" si="49"/>
        <v>Niútí Zhèn</v>
      </c>
      <c r="D797" t="s">
        <v>173</v>
      </c>
      <c r="E797" t="s">
        <v>7</v>
      </c>
      <c r="F797" t="str">
        <f>_xlfn.CONCAT(D797,", ",H797,", ",I797,", ","陕西省")</f>
        <v>牛蹄镇, 汉滨区, 安康市, 陕西省</v>
      </c>
      <c r="G797">
        <v>5999</v>
      </c>
      <c r="H797" t="s">
        <v>3035</v>
      </c>
      <c r="I797" t="s">
        <v>3031</v>
      </c>
      <c r="J797">
        <f>VLOOKUP(F797,[1]!china_towns_second__2[[Column1]:[Y]],3,FALSE)</f>
        <v>32.723091676581703</v>
      </c>
      <c r="K797">
        <f>VLOOKUP(F797,[1]!china_towns_second__2[[Column1]:[Y]],2,FALSE)</f>
        <v>108.5425631</v>
      </c>
      <c r="L797" t="s">
        <v>4918</v>
      </c>
      <c r="M797" t="str">
        <f>VLOOKUP(H797,CHOOSE({1,2},Table11[Native],Table11[Name]),2,0)</f>
        <v>Hànbīn Qū</v>
      </c>
      <c r="N797" s="13" t="str">
        <f>VLOOKUP(I797,CHOOSE({1,2},Table11[Native],Table11[Name]),2,0)</f>
        <v>Ānkāng Shì</v>
      </c>
      <c r="O797" s="13" t="str">
        <f t="shared" si="50"/>
        <v>Niuti Zhen (Ānkāng Shì)</v>
      </c>
      <c r="P797" s="13" t="str">
        <f t="shared" si="51"/>
        <v>Niuti Zhen (Ānkāng Shì)</v>
      </c>
    </row>
    <row r="798" spans="1:16" hidden="1" x14ac:dyDescent="0.25">
      <c r="A798" t="s">
        <v>174</v>
      </c>
      <c r="B798" t="str">
        <f t="shared" si="48"/>
        <v>Niútóudiàn Zhèn</v>
      </c>
      <c r="C798" t="str">
        <f t="shared" si="49"/>
        <v>Niútóudiàn Zhèn</v>
      </c>
      <c r="D798" t="s">
        <v>175</v>
      </c>
      <c r="E798" t="s">
        <v>7</v>
      </c>
      <c r="F798" t="str">
        <f>_xlfn.CONCAT(D798,", ",H798,", ",I798,", ","陕西省")</f>
        <v>牛头店镇, 镇坪县, 安康市, 陕西省</v>
      </c>
      <c r="G798">
        <v>4386</v>
      </c>
      <c r="H798" t="s">
        <v>3042</v>
      </c>
      <c r="I798" t="s">
        <v>3031</v>
      </c>
      <c r="J798">
        <f>VLOOKUP(F798,[1]!china_towns_second__2[[Column1]:[Y]],3,FALSE)</f>
        <v>32.054651619160801</v>
      </c>
      <c r="K798">
        <f>VLOOKUP(F798,[1]!china_towns_second__2[[Column1]:[Y]],2,FALSE)</f>
        <v>109.4968377</v>
      </c>
      <c r="L798" t="s">
        <v>4919</v>
      </c>
      <c r="M798" t="str">
        <f>VLOOKUP(H798,CHOOSE({1,2},Table11[Native],Table11[Name]),2,0)</f>
        <v>Zhènpíng Xiàn</v>
      </c>
      <c r="N798" s="13" t="str">
        <f>VLOOKUP(I798,CHOOSE({1,2},Table11[Native],Table11[Name]),2,0)</f>
        <v>Ānkāng Shì</v>
      </c>
      <c r="O798" s="13" t="str">
        <f t="shared" si="50"/>
        <v>Niutoudian Zhen (Ānkāng Shì)</v>
      </c>
      <c r="P798" s="13" t="str">
        <f t="shared" si="51"/>
        <v>Niutoudian Zhen (Ānkāng Shì)</v>
      </c>
    </row>
    <row r="799" spans="1:16" hidden="1" x14ac:dyDescent="0.25">
      <c r="A799" t="s">
        <v>2477</v>
      </c>
      <c r="B799" t="str">
        <f t="shared" si="48"/>
        <v>Niúwŭ Zhèn</v>
      </c>
      <c r="C799" t="str">
        <f t="shared" si="49"/>
        <v>Niúwŭ Zhèn</v>
      </c>
      <c r="D799" t="s">
        <v>2478</v>
      </c>
      <c r="E799" t="s">
        <v>7</v>
      </c>
      <c r="F799" t="str">
        <f>_xlfn.CONCAT(D799,", ",H799,", ",I799,", ","陕西省")</f>
        <v>牛武镇, 富县, 延安市, 陕西省</v>
      </c>
      <c r="G799">
        <v>7121</v>
      </c>
      <c r="H799" t="s">
        <v>3136</v>
      </c>
      <c r="I799" t="s">
        <v>3133</v>
      </c>
      <c r="J799">
        <f>VLOOKUP(F799,[1]!china_towns_second__2[[Column1]:[Y]],3,FALSE)</f>
        <v>36.121829675836501</v>
      </c>
      <c r="K799">
        <f>VLOOKUP(F799,[1]!china_towns_second__2[[Column1]:[Y]],2,FALSE)</f>
        <v>109.57188189999999</v>
      </c>
      <c r="L799" t="s">
        <v>4920</v>
      </c>
      <c r="M799" t="str">
        <f>VLOOKUP(H799,CHOOSE({1,2},Table11[Native],Table11[Name]),2,0)</f>
        <v>Fù Xiàn</v>
      </c>
      <c r="N799" s="13" t="str">
        <f>VLOOKUP(I799,CHOOSE({1,2},Table11[Native],Table11[Name]),2,0)</f>
        <v>Yán'ān Shì</v>
      </c>
      <c r="O799" s="13" t="str">
        <f t="shared" si="50"/>
        <v>Niuwu Zhen (Yán'ān Shì)</v>
      </c>
      <c r="P799" s="13" t="str">
        <f t="shared" si="51"/>
        <v>Niuwu Zhen (Yán'ān Shì)</v>
      </c>
    </row>
    <row r="800" spans="1:16" hidden="1" x14ac:dyDescent="0.25">
      <c r="A800" t="s">
        <v>176</v>
      </c>
      <c r="B800" t="str">
        <f t="shared" si="48"/>
        <v>Nǚwāshān Xiāng</v>
      </c>
      <c r="C800" t="str">
        <f t="shared" si="49"/>
        <v>Nǚwāshān Xiāng</v>
      </c>
      <c r="D800" t="s">
        <v>177</v>
      </c>
      <c r="E800" t="s">
        <v>11</v>
      </c>
      <c r="F800" t="str">
        <f>_xlfn.CONCAT(D800,", ",H800,", ",I800,", ","陕西省")</f>
        <v>女娲山乡, 平利县, 安康市, 陕西省</v>
      </c>
      <c r="G800">
        <v>8099</v>
      </c>
      <c r="H800" t="s">
        <v>3039</v>
      </c>
      <c r="I800" t="s">
        <v>3031</v>
      </c>
      <c r="J800" t="e">
        <f>VLOOKUP(F800,[1]!china_towns_second__2[[Column1]:[Y]],3,FALSE)</f>
        <v>#N/A</v>
      </c>
      <c r="K800" t="e">
        <f>VLOOKUP(F800,[1]!china_towns_second__2[[Column1]:[Y]],2,FALSE)</f>
        <v>#N/A</v>
      </c>
      <c r="L800" t="s">
        <v>4921</v>
      </c>
      <c r="M800" t="str">
        <f>VLOOKUP(H800,CHOOSE({1,2},Table11[Native],Table11[Name]),2,0)</f>
        <v>Pínglì Xiàn</v>
      </c>
      <c r="N800" s="13" t="str">
        <f>VLOOKUP(I800,CHOOSE({1,2},Table11[Native],Table11[Name]),2,0)</f>
        <v>Ānkāng Shì</v>
      </c>
      <c r="O800" s="13" t="str">
        <f t="shared" si="50"/>
        <v>Nuwashan Xiang (Ānkāng Shì)</v>
      </c>
      <c r="P800" s="13" t="str">
        <f t="shared" si="51"/>
        <v>Nuwashan Xiang (Ānkāng Shì)</v>
      </c>
    </row>
    <row r="801" spans="1:16" hidden="1" x14ac:dyDescent="0.25">
      <c r="A801" t="s">
        <v>2158</v>
      </c>
      <c r="B801" t="str">
        <f t="shared" si="48"/>
        <v>Pángguāng Jiēdào</v>
      </c>
      <c r="C801" t="str">
        <f t="shared" si="49"/>
        <v>Pángguāng Jiēdào</v>
      </c>
      <c r="D801" t="s">
        <v>2159</v>
      </c>
      <c r="E801" t="s">
        <v>113</v>
      </c>
      <c r="F801" t="str">
        <f>_xlfn.CONCAT(D801,", ",H801,", ",I801,", ","陕西省")</f>
        <v>庞光街道, 鄠邑区, 西安市, 陕西省</v>
      </c>
      <c r="G801">
        <v>26922</v>
      </c>
      <c r="H801" t="s">
        <v>3107</v>
      </c>
      <c r="I801" t="s">
        <v>3102</v>
      </c>
      <c r="J801" t="e">
        <f>VLOOKUP(F801,[1]!china_towns_second__2[[Column1]:[Y]],3,FALSE)</f>
        <v>#N/A</v>
      </c>
      <c r="K801" t="e">
        <f>VLOOKUP(F801,[1]!china_towns_second__2[[Column1]:[Y]],2,FALSE)</f>
        <v>#N/A</v>
      </c>
      <c r="L801" t="s">
        <v>4922</v>
      </c>
      <c r="M801" t="str">
        <f>VLOOKUP(H801,CHOOSE({1,2},Table11[Native],Table11[Name]),2,0)</f>
        <v>Hùyì Qū</v>
      </c>
      <c r="N801" s="13" t="str">
        <f>VLOOKUP(I801,CHOOSE({1,2},Table11[Native],Table11[Name]),2,0)</f>
        <v>Xī'ān Shì</v>
      </c>
      <c r="O801" s="13" t="str">
        <f t="shared" si="50"/>
        <v>Pangguang Jiedao (Xī'ān Shì)</v>
      </c>
      <c r="P801" s="13" t="str">
        <f t="shared" si="51"/>
        <v>Pangguang Jiedao (Xī'ān Shì)</v>
      </c>
    </row>
    <row r="802" spans="1:16" hidden="1" x14ac:dyDescent="0.25">
      <c r="A802" t="s">
        <v>849</v>
      </c>
      <c r="B802" t="str">
        <f t="shared" si="48"/>
        <v>Pánlóng Xiāng (Hànzhōng Shì)</v>
      </c>
      <c r="C802" t="str">
        <f t="shared" si="49"/>
        <v>Pánlóng Xiāng (Hànzhōng Shì)</v>
      </c>
      <c r="D802" t="s">
        <v>850</v>
      </c>
      <c r="E802" t="s">
        <v>11</v>
      </c>
      <c r="F802" t="str">
        <f>_xlfn.CONCAT(D802,", ",H802,", ",I802,", ","陕西省")</f>
        <v>盘龙乡, 城固县, 汉中市, 陕西省</v>
      </c>
      <c r="G802">
        <v>2513</v>
      </c>
      <c r="H802" t="s">
        <v>3060</v>
      </c>
      <c r="I802" t="s">
        <v>3059</v>
      </c>
      <c r="J802" t="e">
        <f>VLOOKUP(F802,[1]!china_towns_second__2[[Column1]:[Y]],3,FALSE)</f>
        <v>#N/A</v>
      </c>
      <c r="K802" t="e">
        <f>VLOOKUP(F802,[1]!china_towns_second__2[[Column1]:[Y]],2,FALSE)</f>
        <v>#N/A</v>
      </c>
      <c r="L802" t="s">
        <v>4923</v>
      </c>
      <c r="M802" t="str">
        <f>VLOOKUP(H802,CHOOSE({1,2},Table11[Native],Table11[Name]),2,0)</f>
        <v>Chénggù Xiàn</v>
      </c>
      <c r="N802" s="13" t="str">
        <f>VLOOKUP(I802,CHOOSE({1,2},Table11[Native],Table11[Name]),2,0)</f>
        <v>Hànzhōng Shì</v>
      </c>
      <c r="O802" s="13" t="str">
        <f t="shared" si="50"/>
        <v>Panlong Xiang (Hanzhong Shi) (Hànzhōng Shì)</v>
      </c>
      <c r="P802" s="13" t="str">
        <f t="shared" si="51"/>
        <v>Panlong Xiang (Hanzhong Shi) (Hànzhōng Shì)</v>
      </c>
    </row>
    <row r="803" spans="1:16" hidden="1" x14ac:dyDescent="0.25">
      <c r="A803" t="s">
        <v>849</v>
      </c>
      <c r="B803" t="str">
        <f t="shared" si="48"/>
        <v>Pánlóng Xiāng (Wèinán Shì)</v>
      </c>
      <c r="C803" t="str">
        <f t="shared" si="49"/>
        <v>Pánlóng Xiāng (Wèinán Shì)</v>
      </c>
      <c r="D803" t="s">
        <v>850</v>
      </c>
      <c r="E803" t="s">
        <v>11</v>
      </c>
      <c r="F803" t="str">
        <f>_xlfn.CONCAT(D803,", ",H803,", ",I803,", ","陕西省")</f>
        <v>盘龙乡, 韩城市, 渭南市, 陕西省</v>
      </c>
      <c r="G803">
        <v>5966</v>
      </c>
      <c r="H803" t="s">
        <v>3093</v>
      </c>
      <c r="I803" t="s">
        <v>3087</v>
      </c>
      <c r="J803" t="e">
        <f>VLOOKUP(F803,[1]!china_towns_second__2[[Column1]:[Y]],3,FALSE)</f>
        <v>#N/A</v>
      </c>
      <c r="K803" t="e">
        <f>VLOOKUP(F803,[1]!china_towns_second__2[[Column1]:[Y]],2,FALSE)</f>
        <v>#N/A</v>
      </c>
      <c r="L803" t="s">
        <v>4924</v>
      </c>
      <c r="M803" t="str">
        <f>VLOOKUP(H803,CHOOSE({1,2},Table11[Native],Table11[Name]),2,0)</f>
        <v>Hánchéng Shì</v>
      </c>
      <c r="N803" s="13" t="str">
        <f>VLOOKUP(I803,CHOOSE({1,2},Table11[Native],Table11[Name]),2,0)</f>
        <v>Wèinán Shì</v>
      </c>
      <c r="O803" s="13" t="str">
        <f t="shared" si="50"/>
        <v>Panlong Xiang (Weinan Shi) (Wèinán Shì)</v>
      </c>
      <c r="P803" s="13" t="str">
        <f t="shared" si="51"/>
        <v>Panlong Xiang (Weinan Shi) (Wèinán Shì)</v>
      </c>
    </row>
    <row r="804" spans="1:16" hidden="1" x14ac:dyDescent="0.25">
      <c r="A804" t="s">
        <v>495</v>
      </c>
      <c r="B804" t="str">
        <f t="shared" si="48"/>
        <v>Pánlóng Zhèn (Băojī Shì)</v>
      </c>
      <c r="C804" t="str">
        <f t="shared" si="49"/>
        <v>Pánlóng Zhèn (Băojī Shì)</v>
      </c>
      <c r="D804" t="s">
        <v>496</v>
      </c>
      <c r="E804" t="s">
        <v>7</v>
      </c>
      <c r="F804" t="str">
        <f>_xlfn.CONCAT(D804,", ",H804,", ",I804,", ","陕西省")</f>
        <v>蟠龙镇, 金台区, 宝鸡市, 陕西省</v>
      </c>
      <c r="G804">
        <v>37902</v>
      </c>
      <c r="H804" t="s">
        <v>3050</v>
      </c>
      <c r="I804" t="s">
        <v>3045</v>
      </c>
      <c r="J804">
        <f>VLOOKUP(F804,[1]!china_towns_second__2[[Column1]:[Y]],3,FALSE)</f>
        <v>34.404532443148597</v>
      </c>
      <c r="K804">
        <f>VLOOKUP(F804,[1]!china_towns_second__2[[Column1]:[Y]],2,FALSE)</f>
        <v>107.2045926</v>
      </c>
      <c r="L804" t="s">
        <v>4925</v>
      </c>
      <c r="M804" t="str">
        <f>VLOOKUP(H804,CHOOSE({1,2},Table11[Native],Table11[Name]),2,0)</f>
        <v>Jīntái Qū</v>
      </c>
      <c r="N804" s="13" t="str">
        <f>VLOOKUP(I804,CHOOSE({1,2},Table11[Native],Table11[Name]),2,0)</f>
        <v>Băojī Shì</v>
      </c>
      <c r="O804" s="13" t="str">
        <f t="shared" si="50"/>
        <v>Panlong Zhen (Baoji Shi) (Băojī Shì)</v>
      </c>
      <c r="P804" s="13" t="str">
        <f t="shared" si="51"/>
        <v>Panlong Zhen (Baoji Shi) (Băojī Shì)</v>
      </c>
    </row>
    <row r="805" spans="1:16" hidden="1" x14ac:dyDescent="0.25">
      <c r="A805" t="s">
        <v>495</v>
      </c>
      <c r="B805" t="str">
        <f t="shared" si="48"/>
        <v>Pánlóng Zhèn (Yán'ān Shì)</v>
      </c>
      <c r="C805" t="str">
        <f t="shared" si="49"/>
        <v>Pánlóng Zhèn (Yán'ān Shì)</v>
      </c>
      <c r="D805" t="s">
        <v>496</v>
      </c>
      <c r="E805" t="s">
        <v>7</v>
      </c>
      <c r="F805" t="str">
        <f>_xlfn.CONCAT(D805,", ",H805,", ",I805,", ","陕西省")</f>
        <v>蟠龙镇, 宝塔区, 延安市, 陕西省</v>
      </c>
      <c r="G805">
        <v>7351</v>
      </c>
      <c r="H805" t="s">
        <v>3135</v>
      </c>
      <c r="I805" t="s">
        <v>3133</v>
      </c>
      <c r="J805">
        <f>VLOOKUP(F805,[1]!china_towns_second__2[[Column1]:[Y]],3,FALSE)</f>
        <v>36.945813136879003</v>
      </c>
      <c r="K805">
        <f>VLOOKUP(F805,[1]!china_towns_second__2[[Column1]:[Y]],2,FALSE)</f>
        <v>109.5541905</v>
      </c>
      <c r="L805" t="s">
        <v>4926</v>
      </c>
      <c r="M805" t="str">
        <f>VLOOKUP(H805,CHOOSE({1,2},Table11[Native],Table11[Name]),2,0)</f>
        <v>Băotă Qū</v>
      </c>
      <c r="N805" s="13" t="str">
        <f>VLOOKUP(I805,CHOOSE({1,2},Table11[Native],Table11[Name]),2,0)</f>
        <v>Yán'ān Shì</v>
      </c>
      <c r="O805" s="13" t="str">
        <f t="shared" si="50"/>
        <v>Panlong Zhen (Yan'an Shi) (Yán'ān Shì)</v>
      </c>
      <c r="P805" s="13" t="str">
        <f t="shared" si="51"/>
        <v>Panlong Zhen (Yan'an Shi) (Yán'ān Shì)</v>
      </c>
    </row>
    <row r="806" spans="1:16" hidden="1" x14ac:dyDescent="0.25">
      <c r="A806" t="s">
        <v>497</v>
      </c>
      <c r="B806" t="str">
        <f t="shared" si="48"/>
        <v>Pánxī Zhèn</v>
      </c>
      <c r="C806" t="str">
        <f t="shared" si="49"/>
        <v>Pánxī Zhèn</v>
      </c>
      <c r="D806" t="s">
        <v>498</v>
      </c>
      <c r="E806" t="s">
        <v>7</v>
      </c>
      <c r="F806" t="str">
        <f>_xlfn.CONCAT(D806,", ",H806,", ",I806,", ","陕西省")</f>
        <v>磻溪镇, 陈仓区, 宝鸡市, 陕西省</v>
      </c>
      <c r="G806">
        <v>44211</v>
      </c>
      <c r="H806" t="s">
        <v>3046</v>
      </c>
      <c r="I806" t="s">
        <v>3045</v>
      </c>
      <c r="J806">
        <f>VLOOKUP(F806,[1]!china_towns_second__2[[Column1]:[Y]],3,FALSE)</f>
        <v>34.2542346396949</v>
      </c>
      <c r="K806">
        <f>VLOOKUP(F806,[1]!china_towns_second__2[[Column1]:[Y]],2,FALSE)</f>
        <v>107.358457</v>
      </c>
      <c r="L806" t="s">
        <v>4927</v>
      </c>
      <c r="M806" t="str">
        <f>VLOOKUP(H806,CHOOSE({1,2},Table11[Native],Table11[Name]),2,0)</f>
        <v>Chéncāng Qū</v>
      </c>
      <c r="N806" s="13" t="str">
        <f>VLOOKUP(I806,CHOOSE({1,2},Table11[Native],Table11[Name]),2,0)</f>
        <v>Băojī Shì</v>
      </c>
      <c r="O806" s="13" t="str">
        <f t="shared" si="50"/>
        <v>Panxi Zhen (Băojī Shì)</v>
      </c>
      <c r="P806" s="13" t="str">
        <f t="shared" si="51"/>
        <v>Panxi Zhen (Băojī Shì)</v>
      </c>
    </row>
    <row r="807" spans="1:16" hidden="1" x14ac:dyDescent="0.25">
      <c r="A807" t="s">
        <v>2160</v>
      </c>
      <c r="B807" t="str">
        <f t="shared" si="48"/>
        <v>Pàolĭ Jiēdào</v>
      </c>
      <c r="C807" t="str">
        <f t="shared" si="49"/>
        <v>Pàolĭ Jiēdào</v>
      </c>
      <c r="D807" t="s">
        <v>2161</v>
      </c>
      <c r="E807" t="s">
        <v>113</v>
      </c>
      <c r="F807" t="str">
        <f>_xlfn.CONCAT(D807,", ",H807,", ",I807,", ","陕西省")</f>
        <v>砲里街道, 长安区, 西安市, 陕西省</v>
      </c>
      <c r="G807">
        <v>12336</v>
      </c>
      <c r="H807" t="s">
        <v>3105</v>
      </c>
      <c r="I807" t="s">
        <v>3102</v>
      </c>
      <c r="J807" t="e">
        <f>VLOOKUP(F807,[1]!china_towns_second__2[[Column1]:[Y]],3,FALSE)</f>
        <v>#N/A</v>
      </c>
      <c r="K807" t="e">
        <f>VLOOKUP(F807,[1]!china_towns_second__2[[Column1]:[Y]],2,FALSE)</f>
        <v>#N/A</v>
      </c>
      <c r="L807" t="s">
        <v>4928</v>
      </c>
      <c r="M807" t="str">
        <f>VLOOKUP(H807,CHOOSE({1,2},Table11[Native],Table11[Name]),2,0)</f>
        <v>Cháng'ān Qū</v>
      </c>
      <c r="N807" s="13" t="str">
        <f>VLOOKUP(I807,CHOOSE({1,2},Table11[Native],Table11[Name]),2,0)</f>
        <v>Xī'ān Shì</v>
      </c>
      <c r="O807" s="13" t="str">
        <f t="shared" si="50"/>
        <v>Paoli Jiedao (Xī'ān Shì)</v>
      </c>
      <c r="P807" s="13" t="str">
        <f t="shared" si="51"/>
        <v>Paoli Jiedao (Xī'ān Shì)</v>
      </c>
    </row>
    <row r="808" spans="1:16" hidden="1" x14ac:dyDescent="0.25">
      <c r="A808" t="s">
        <v>2846</v>
      </c>
      <c r="B808" t="str">
        <f t="shared" si="48"/>
        <v>Péijiāwān Zhèn</v>
      </c>
      <c r="C808" t="str">
        <f t="shared" si="49"/>
        <v>Péijiāwān Zhèn</v>
      </c>
      <c r="D808" t="s">
        <v>2847</v>
      </c>
      <c r="E808" t="s">
        <v>7</v>
      </c>
      <c r="F808" t="str">
        <f>_xlfn.CONCAT(D808,", ",H808,", ",I808,", ","陕西省")</f>
        <v>裴家湾镇, 子洲县, 榆林市, 陕西省</v>
      </c>
      <c r="G808">
        <v>9402</v>
      </c>
      <c r="H808" t="s">
        <v>3160</v>
      </c>
      <c r="I808" t="s">
        <v>3148</v>
      </c>
      <c r="J808">
        <f>VLOOKUP(F808,[1]!china_towns_second__2[[Column1]:[Y]],3,FALSE)</f>
        <v>37.343862981398999</v>
      </c>
      <c r="K808">
        <f>VLOOKUP(F808,[1]!china_towns_second__2[[Column1]:[Y]],2,FALSE)</f>
        <v>110.0163017</v>
      </c>
      <c r="L808" t="s">
        <v>4929</v>
      </c>
      <c r="M808" t="str">
        <f>VLOOKUP(H808,CHOOSE({1,2},Table11[Native],Table11[Name]),2,0)</f>
        <v>Zizhōu Xiàn</v>
      </c>
      <c r="N808" s="13" t="str">
        <f>VLOOKUP(I808,CHOOSE({1,2},Table11[Native],Table11[Name]),2,0)</f>
        <v>Yúlín Shì</v>
      </c>
      <c r="O808" s="13" t="str">
        <f t="shared" si="50"/>
        <v>Peijiawan Zhen (Yúlín Shì)</v>
      </c>
      <c r="P808" s="13" t="str">
        <f t="shared" si="51"/>
        <v>Peijiawan Zhen (Yúlín Shì)</v>
      </c>
    </row>
    <row r="809" spans="1:16" hidden="1" x14ac:dyDescent="0.25">
      <c r="A809" t="s">
        <v>1319</v>
      </c>
      <c r="B809" t="str">
        <f t="shared" si="48"/>
        <v>Péng Zhèn</v>
      </c>
      <c r="C809" t="str">
        <f t="shared" si="49"/>
        <v>Péng Zhèn</v>
      </c>
      <c r="D809" t="s">
        <v>1320</v>
      </c>
      <c r="E809" t="s">
        <v>7</v>
      </c>
      <c r="F809" t="str">
        <f>_xlfn.CONCAT(D809,", ",H809,", ",I809,", ","陕西省")</f>
        <v>彭镇, 宜君县, 铜川市, 陕西省</v>
      </c>
      <c r="G809">
        <v>12966</v>
      </c>
      <c r="H809" t="s">
        <v>3084</v>
      </c>
      <c r="I809" t="s">
        <v>3081</v>
      </c>
      <c r="J809">
        <f>VLOOKUP(F809,[1]!china_towns_second__2[[Column1]:[Y]],3,FALSE)</f>
        <v>35.501519826329499</v>
      </c>
      <c r="K809">
        <f>VLOOKUP(F809,[1]!china_towns_second__2[[Column1]:[Y]],2,FALSE)</f>
        <v>109.12862</v>
      </c>
      <c r="L809" t="s">
        <v>4930</v>
      </c>
      <c r="M809" t="str">
        <f>VLOOKUP(H809,CHOOSE({1,2},Table11[Native],Table11[Name]),2,0)</f>
        <v>Yíjūn Xiàn</v>
      </c>
      <c r="N809" s="13" t="str">
        <f>VLOOKUP(I809,CHOOSE({1,2},Table11[Native],Table11[Name]),2,0)</f>
        <v>Tóngchuān Shì</v>
      </c>
      <c r="O809" s="13" t="str">
        <f t="shared" si="50"/>
        <v>Peng Zhen (Tóngchuān Shì)</v>
      </c>
      <c r="P809" s="13" t="str">
        <f t="shared" si="51"/>
        <v>Peng Zhen (Tóngchuān Shì)</v>
      </c>
    </row>
    <row r="810" spans="1:16" hidden="1" x14ac:dyDescent="0.25">
      <c r="A810" t="s">
        <v>1827</v>
      </c>
      <c r="B810" t="str">
        <f t="shared" si="48"/>
        <v>Pénggōng Zhèn</v>
      </c>
      <c r="C810" t="str">
        <f t="shared" si="49"/>
        <v>Pénggōng Zhèn</v>
      </c>
      <c r="D810" t="s">
        <v>1828</v>
      </c>
      <c r="E810" t="s">
        <v>7</v>
      </c>
      <c r="F810" t="str">
        <f>_xlfn.CONCAT(D810,", ",H810,", ",I810,", ","陕西省")</f>
        <v>彭公镇, 长武县, 咸阳市, 陕西省</v>
      </c>
      <c r="G810">
        <v>15224</v>
      </c>
      <c r="H810" t="s">
        <v>3119</v>
      </c>
      <c r="I810" t="s">
        <v>3117</v>
      </c>
      <c r="J810">
        <f>VLOOKUP(F810,[1]!china_towns_second__2[[Column1]:[Y]],3,FALSE)</f>
        <v>35.2276217184328</v>
      </c>
      <c r="K810">
        <f>VLOOKUP(F810,[1]!china_towns_second__2[[Column1]:[Y]],2,FALSE)</f>
        <v>107.84425349999999</v>
      </c>
      <c r="L810" t="s">
        <v>4931</v>
      </c>
      <c r="M810" t="str">
        <f>VLOOKUP(H810,CHOOSE({1,2},Table11[Native],Table11[Name]),2,0)</f>
        <v>Chángwŭ Xiàn</v>
      </c>
      <c r="N810" s="13" t="str">
        <f>VLOOKUP(I810,CHOOSE({1,2},Table11[Native],Table11[Name]),2,0)</f>
        <v>Xiányáng Shì</v>
      </c>
      <c r="O810" s="13" t="str">
        <f t="shared" si="50"/>
        <v>Penggong Zhen (Xiányáng Shì)</v>
      </c>
      <c r="P810" s="13" t="str">
        <f t="shared" si="51"/>
        <v>Penggong Zhen (Xiányáng Shì)</v>
      </c>
    </row>
    <row r="811" spans="1:16" hidden="1" x14ac:dyDescent="0.25">
      <c r="A811" t="s">
        <v>851</v>
      </c>
      <c r="B811" t="str">
        <f t="shared" si="48"/>
        <v>Píng'ān Zhèn</v>
      </c>
      <c r="C811" t="str">
        <f t="shared" si="49"/>
        <v>Píng'ān Zhèn</v>
      </c>
      <c r="D811" t="s">
        <v>852</v>
      </c>
      <c r="E811" t="s">
        <v>7</v>
      </c>
      <c r="F811" t="str">
        <f>_xlfn.CONCAT(D811,", ",H811,", ",I811,", ","陕西省")</f>
        <v>平安镇, 镇巴县, 汉中市, 陕西省</v>
      </c>
      <c r="G811">
        <v>8796</v>
      </c>
      <c r="H811" t="s">
        <v>3070</v>
      </c>
      <c r="I811" t="s">
        <v>3059</v>
      </c>
      <c r="J811">
        <f>VLOOKUP(F811,[1]!china_towns_second__2[[Column1]:[Y]],3,FALSE)</f>
        <v>32.764630236208497</v>
      </c>
      <c r="K811">
        <f>VLOOKUP(F811,[1]!china_towns_second__2[[Column1]:[Y]],2,FALSE)</f>
        <v>107.9815657</v>
      </c>
      <c r="L811" t="s">
        <v>4932</v>
      </c>
      <c r="M811" t="str">
        <f>VLOOKUP(H811,CHOOSE({1,2},Table11[Native],Table11[Name]),2,0)</f>
        <v>Zhènbā Xiàn</v>
      </c>
      <c r="N811" s="13" t="str">
        <f>VLOOKUP(I811,CHOOSE({1,2},Table11[Native],Table11[Name]),2,0)</f>
        <v>Hànzhōng Shì</v>
      </c>
      <c r="O811" s="13" t="str">
        <f t="shared" si="50"/>
        <v>Ping'an Zhen (Hànzhōng Shì)</v>
      </c>
      <c r="P811" s="13" t="str">
        <f t="shared" si="51"/>
        <v>Ping'an Zhen (Hànzhōng Shì)</v>
      </c>
    </row>
    <row r="812" spans="1:16" hidden="1" x14ac:dyDescent="0.25">
      <c r="A812" t="s">
        <v>499</v>
      </c>
      <c r="B812" t="str">
        <f t="shared" si="48"/>
        <v>Píngkăn Zhèn</v>
      </c>
      <c r="C812" t="str">
        <f t="shared" si="49"/>
        <v>Píngkăn Zhèn</v>
      </c>
      <c r="D812" t="s">
        <v>500</v>
      </c>
      <c r="E812" t="s">
        <v>7</v>
      </c>
      <c r="F812" t="str">
        <f>_xlfn.CONCAT(D812,", ",H812,", ",I812,", ","陕西省")</f>
        <v>坪坎镇, 凤县, 宝鸡市, 陕西省</v>
      </c>
      <c r="G812">
        <v>4042</v>
      </c>
      <c r="H812" t="s">
        <v>3047</v>
      </c>
      <c r="I812" t="s">
        <v>3045</v>
      </c>
      <c r="J812">
        <f>VLOOKUP(F812,[1]!china_towns_second__2[[Column1]:[Y]],3,FALSE)</f>
        <v>33.8752619196488</v>
      </c>
      <c r="K812">
        <f>VLOOKUP(F812,[1]!china_towns_second__2[[Column1]:[Y]],2,FALSE)</f>
        <v>106.95833</v>
      </c>
      <c r="L812" t="s">
        <v>4933</v>
      </c>
      <c r="M812" t="str">
        <f>VLOOKUP(H812,CHOOSE({1,2},Table11[Native],Table11[Name]),2,0)</f>
        <v>Fèng Xiàn</v>
      </c>
      <c r="N812" s="13" t="str">
        <f>VLOOKUP(I812,CHOOSE({1,2},Table11[Native],Table11[Name]),2,0)</f>
        <v>Băojī Shì</v>
      </c>
      <c r="O812" s="13" t="str">
        <f t="shared" si="50"/>
        <v>Pingkan Zhen (Băojī Shì)</v>
      </c>
      <c r="P812" s="13" t="str">
        <f t="shared" si="51"/>
        <v>Pingkan Zhen (Băojī Shì)</v>
      </c>
    </row>
    <row r="813" spans="1:16" hidden="1" x14ac:dyDescent="0.25">
      <c r="A813" t="s">
        <v>178</v>
      </c>
      <c r="B813" t="str">
        <f t="shared" si="48"/>
        <v>Píngliáng Zhèn [incl. Jiŭdiàn Zhèn]</v>
      </c>
      <c r="C813" t="str">
        <f t="shared" si="49"/>
        <v>Píngliáng Zhèn [incl. Jiŭdiàn Zhèn]</v>
      </c>
      <c r="D813" t="s">
        <v>179</v>
      </c>
      <c r="E813" t="s">
        <v>7</v>
      </c>
      <c r="F813" t="str">
        <f>_xlfn.CONCAT(D813,", ",H813,", ",I813,", ","陕西省")</f>
        <v>平梁镇, 汉阴县, 安康市, 陕西省</v>
      </c>
      <c r="G813">
        <v>28237</v>
      </c>
      <c r="H813" t="s">
        <v>3036</v>
      </c>
      <c r="I813" t="s">
        <v>3031</v>
      </c>
      <c r="J813">
        <f>VLOOKUP(F813,[1]!china_towns_second__2[[Column1]:[Y]],3,FALSE)</f>
        <v>32.930118653795603</v>
      </c>
      <c r="K813">
        <f>VLOOKUP(F813,[1]!china_towns_second__2[[Column1]:[Y]],2,FALSE)</f>
        <v>108.4221752</v>
      </c>
      <c r="L813" t="s">
        <v>4934</v>
      </c>
      <c r="M813" t="str">
        <f>VLOOKUP(H813,CHOOSE({1,2},Table11[Native],Table11[Name]),2,0)</f>
        <v>Hànyīn Xiàn</v>
      </c>
      <c r="N813" s="13" t="str">
        <f>VLOOKUP(I813,CHOOSE({1,2},Table11[Native],Table11[Name]),2,0)</f>
        <v>Ānkāng Shì</v>
      </c>
      <c r="O813" s="13" t="str">
        <f t="shared" si="50"/>
        <v>Pingliang Zhen [incl. Jiudian Zhen] (Ānkāng Shì)</v>
      </c>
      <c r="P813" s="13" t="str">
        <f t="shared" si="51"/>
        <v>Pingliang Zhen [incl. Jiudian Zhen] (Ānkāng Shì)</v>
      </c>
    </row>
    <row r="814" spans="1:16" hidden="1" x14ac:dyDescent="0.25">
      <c r="A814" t="s">
        <v>1572</v>
      </c>
      <c r="B814" t="str">
        <f t="shared" si="48"/>
        <v>Pínglùmiào Xiāng</v>
      </c>
      <c r="C814" t="str">
        <f t="shared" si="49"/>
        <v>Pínglùmiào Xiāng</v>
      </c>
      <c r="D814" t="s">
        <v>1573</v>
      </c>
      <c r="E814" t="s">
        <v>11</v>
      </c>
      <c r="F814" t="str">
        <f>_xlfn.CONCAT(D814,", ",H814,", ",I814,", ","陕西省")</f>
        <v>平路庙乡, 蒲城县, 渭南市, 陕西省</v>
      </c>
      <c r="G814">
        <v>20192</v>
      </c>
      <c r="H814" t="s">
        <v>3098</v>
      </c>
      <c r="I814" t="s">
        <v>3087</v>
      </c>
      <c r="J814" t="e">
        <f>VLOOKUP(F814,[1]!china_towns_second__2[[Column1]:[Y]],3,FALSE)</f>
        <v>#N/A</v>
      </c>
      <c r="K814" t="e">
        <f>VLOOKUP(F814,[1]!china_towns_second__2[[Column1]:[Y]],2,FALSE)</f>
        <v>#N/A</v>
      </c>
      <c r="L814" t="s">
        <v>4935</v>
      </c>
      <c r="M814" t="str">
        <f>VLOOKUP(H814,CHOOSE({1,2},Table11[Native],Table11[Name]),2,0)</f>
        <v>Púchéng Xiàn</v>
      </c>
      <c r="N814" s="13" t="str">
        <f>VLOOKUP(I814,CHOOSE({1,2},Table11[Native],Table11[Name]),2,0)</f>
        <v>Wèinán Shì</v>
      </c>
      <c r="O814" s="13" t="str">
        <f t="shared" si="50"/>
        <v>Pinglumiao Xiang (Wèinán Shì)</v>
      </c>
      <c r="P814" s="13" t="str">
        <f t="shared" si="51"/>
        <v>Pinglumiao Xiang (Wèinán Shì)</v>
      </c>
    </row>
    <row r="815" spans="1:16" hidden="1" x14ac:dyDescent="0.25">
      <c r="A815" t="s">
        <v>501</v>
      </c>
      <c r="B815" t="str">
        <f t="shared" si="48"/>
        <v>Píngmù Zhèn</v>
      </c>
      <c r="C815" t="str">
        <f t="shared" si="49"/>
        <v>Píngmù Zhèn</v>
      </c>
      <c r="D815" t="s">
        <v>502</v>
      </c>
      <c r="E815" t="s">
        <v>7</v>
      </c>
      <c r="F815" t="str">
        <f>_xlfn.CONCAT(D815,", ",H815,", ",I815,", ","陕西省")</f>
        <v>平木镇, 凤县, 宝鸡市, 陕西省</v>
      </c>
      <c r="G815">
        <v>8794</v>
      </c>
      <c r="H815" t="s">
        <v>3047</v>
      </c>
      <c r="I815" t="s">
        <v>3045</v>
      </c>
      <c r="J815">
        <f>VLOOKUP(F815,[1]!china_towns_second__2[[Column1]:[Y]],3,FALSE)</f>
        <v>34.0229496097528</v>
      </c>
      <c r="K815">
        <f>VLOOKUP(F815,[1]!china_towns_second__2[[Column1]:[Y]],2,FALSE)</f>
        <v>107.0486822</v>
      </c>
      <c r="L815" t="s">
        <v>4936</v>
      </c>
      <c r="M815" t="str">
        <f>VLOOKUP(H815,CHOOSE({1,2},Table11[Native],Table11[Name]),2,0)</f>
        <v>Fèng Xiàn</v>
      </c>
      <c r="N815" s="13" t="str">
        <f>VLOOKUP(I815,CHOOSE({1,2},Table11[Native],Table11[Name]),2,0)</f>
        <v>Băojī Shì</v>
      </c>
      <c r="O815" s="13" t="str">
        <f t="shared" si="50"/>
        <v>Pingmu Zhen (Băojī Shì)</v>
      </c>
      <c r="P815" s="13" t="str">
        <f t="shared" si="51"/>
        <v>Pingmu Zhen (Băojī Shì)</v>
      </c>
    </row>
    <row r="816" spans="1:16" hidden="1" x14ac:dyDescent="0.25">
      <c r="A816" t="s">
        <v>2479</v>
      </c>
      <c r="B816" t="str">
        <f t="shared" si="48"/>
        <v>Píngqiáo Zhèn</v>
      </c>
      <c r="C816" t="str">
        <f t="shared" si="49"/>
        <v>Píngqiáo Zhèn</v>
      </c>
      <c r="D816" t="s">
        <v>2480</v>
      </c>
      <c r="E816" t="s">
        <v>7</v>
      </c>
      <c r="F816" t="str">
        <f>_xlfn.CONCAT(D816,", ",H816,", ",I816,", ","陕西省")</f>
        <v>坪桥镇, 安塞区, 延安市, 陕西省</v>
      </c>
      <c r="G816">
        <v>10497</v>
      </c>
      <c r="H816" t="s">
        <v>3134</v>
      </c>
      <c r="I816" t="s">
        <v>3133</v>
      </c>
      <c r="J816">
        <f>VLOOKUP(F816,[1]!china_towns_second__2[[Column1]:[Y]],3,FALSE)</f>
        <v>37.1823660527904</v>
      </c>
      <c r="K816">
        <f>VLOOKUP(F816,[1]!china_towns_second__2[[Column1]:[Y]],2,FALSE)</f>
        <v>109.2063874</v>
      </c>
      <c r="L816" t="s">
        <v>4937</v>
      </c>
      <c r="M816" t="str">
        <f>VLOOKUP(H816,CHOOSE({1,2},Table11[Native],Table11[Name]),2,0)</f>
        <v>Ānsài Qū</v>
      </c>
      <c r="N816" s="13" t="str">
        <f>VLOOKUP(I816,CHOOSE({1,2},Table11[Native],Table11[Name]),2,0)</f>
        <v>Yán'ān Shì</v>
      </c>
      <c r="O816" s="13" t="str">
        <f t="shared" si="50"/>
        <v>Pingqiao Zhen (Yán'ān Shì)</v>
      </c>
      <c r="P816" s="13" t="str">
        <f t="shared" si="51"/>
        <v>Pingqiao Zhen (Yán'ān Shì)</v>
      </c>
    </row>
    <row r="817" spans="1:16" hidden="1" x14ac:dyDescent="0.25">
      <c r="A817" t="s">
        <v>503</v>
      </c>
      <c r="B817" t="str">
        <f t="shared" si="48"/>
        <v>Píngtóu Zhèn</v>
      </c>
      <c r="C817" t="str">
        <f t="shared" si="49"/>
        <v>Píngtóu Zhèn</v>
      </c>
      <c r="D817" t="s">
        <v>504</v>
      </c>
      <c r="E817" t="s">
        <v>7</v>
      </c>
      <c r="F817" t="str">
        <f>_xlfn.CONCAT(D817,", ",H817,", ",I817,", ","陕西省")</f>
        <v>坪头镇, 陈仓区, 宝鸡市, 陕西省</v>
      </c>
      <c r="G817">
        <v>15161</v>
      </c>
      <c r="H817" t="s">
        <v>3046</v>
      </c>
      <c r="I817" t="s">
        <v>3045</v>
      </c>
      <c r="J817">
        <f>VLOOKUP(F817,[1]!china_towns_second__2[[Column1]:[Y]],3,FALSE)</f>
        <v>34.388280921180403</v>
      </c>
      <c r="K817">
        <f>VLOOKUP(F817,[1]!china_towns_second__2[[Column1]:[Y]],2,FALSE)</f>
        <v>106.82659959999999</v>
      </c>
      <c r="L817" t="s">
        <v>4938</v>
      </c>
      <c r="M817" t="str">
        <f>VLOOKUP(H817,CHOOSE({1,2},Table11[Native],Table11[Name]),2,0)</f>
        <v>Chéncāng Qū</v>
      </c>
      <c r="N817" s="13" t="str">
        <f>VLOOKUP(I817,CHOOSE({1,2},Table11[Native],Table11[Name]),2,0)</f>
        <v>Băojī Shì</v>
      </c>
      <c r="O817" s="13" t="str">
        <f t="shared" si="50"/>
        <v>Pingtou Zhen (Băojī Shì)</v>
      </c>
      <c r="P817" s="13" t="str">
        <f t="shared" si="51"/>
        <v>Pingtou Zhen (Băojī Shì)</v>
      </c>
    </row>
    <row r="818" spans="1:16" hidden="1" x14ac:dyDescent="0.25">
      <c r="A818" t="s">
        <v>1574</v>
      </c>
      <c r="B818" t="str">
        <f t="shared" si="48"/>
        <v>Píngxìn Xiāng</v>
      </c>
      <c r="C818" t="str">
        <f t="shared" si="49"/>
        <v>Píngxìn Xiāng</v>
      </c>
      <c r="D818" t="s">
        <v>1575</v>
      </c>
      <c r="E818" t="s">
        <v>11</v>
      </c>
      <c r="F818" t="str">
        <f>_xlfn.CONCAT(D818,", ",H818,", ",I818,", ","陕西省")</f>
        <v>凭信乡, 临渭区, 渭南市, 陕西省</v>
      </c>
      <c r="G818">
        <v>13000</v>
      </c>
      <c r="H818" t="s">
        <v>3097</v>
      </c>
      <c r="I818" t="s">
        <v>3087</v>
      </c>
      <c r="J818" t="e">
        <f>VLOOKUP(F818,[1]!china_towns_second__2[[Column1]:[Y]],3,FALSE)</f>
        <v>#N/A</v>
      </c>
      <c r="K818" t="e">
        <f>VLOOKUP(F818,[1]!china_towns_second__2[[Column1]:[Y]],2,FALSE)</f>
        <v>#N/A</v>
      </c>
      <c r="L818" t="s">
        <v>4939</v>
      </c>
      <c r="M818" t="str">
        <f>VLOOKUP(H818,CHOOSE({1,2},Table11[Native],Table11[Name]),2,0)</f>
        <v>Línwèi Qū</v>
      </c>
      <c r="N818" s="13" t="str">
        <f>VLOOKUP(I818,CHOOSE({1,2},Table11[Native],Table11[Name]),2,0)</f>
        <v>Wèinán Shì</v>
      </c>
      <c r="O818" s="13" t="str">
        <f t="shared" si="50"/>
        <v>Pingxin Xiang (Wèinán Shì)</v>
      </c>
      <c r="P818" s="13" t="str">
        <f t="shared" si="51"/>
        <v>Pingxin Xiang (Wèinán Shì)</v>
      </c>
    </row>
    <row r="819" spans="1:16" hidden="1" x14ac:dyDescent="0.25">
      <c r="A819" t="s">
        <v>1321</v>
      </c>
      <c r="B819" t="str">
        <f t="shared" si="48"/>
        <v>Pōtóu Jiēdào</v>
      </c>
      <c r="C819" t="str">
        <f t="shared" si="49"/>
        <v>Pōtóu Jiēdào</v>
      </c>
      <c r="D819" t="s">
        <v>1322</v>
      </c>
      <c r="E819" t="s">
        <v>113</v>
      </c>
      <c r="F819" t="str">
        <f>_xlfn.CONCAT(D819,", ",H819,", ",I819,", ","陕西省")</f>
        <v>坡头街道, 耀州区, 铜川市, 陕西省</v>
      </c>
      <c r="G819">
        <v>14522</v>
      </c>
      <c r="H819" t="s">
        <v>3083</v>
      </c>
      <c r="I819" t="s">
        <v>3081</v>
      </c>
      <c r="J819" t="e">
        <f>VLOOKUP(F819,[1]!china_towns_second__2[[Column1]:[Y]],3,FALSE)</f>
        <v>#N/A</v>
      </c>
      <c r="K819" t="e">
        <f>VLOOKUP(F819,[1]!china_towns_second__2[[Column1]:[Y]],2,FALSE)</f>
        <v>#N/A</v>
      </c>
      <c r="L819" t="s">
        <v>4940</v>
      </c>
      <c r="M819" t="str">
        <f>VLOOKUP(H819,CHOOSE({1,2},Table11[Native],Table11[Name]),2,0)</f>
        <v>Yàozhōu Qū</v>
      </c>
      <c r="N819" s="13" t="str">
        <f>VLOOKUP(I819,CHOOSE({1,2},Table11[Native],Table11[Name]),2,0)</f>
        <v>Tóngchuān Shì</v>
      </c>
      <c r="O819" s="13" t="str">
        <f t="shared" si="50"/>
        <v>Potou Jiedao (Tóngchuān Shì)</v>
      </c>
      <c r="P819" s="13" t="str">
        <f t="shared" si="51"/>
        <v>Potou Jiedao (Tóngchuān Shì)</v>
      </c>
    </row>
    <row r="820" spans="1:16" hidden="1" x14ac:dyDescent="0.25">
      <c r="A820" t="s">
        <v>1576</v>
      </c>
      <c r="B820" t="str">
        <f t="shared" si="48"/>
        <v>Pōtóu Zhèn</v>
      </c>
      <c r="C820" t="str">
        <f t="shared" si="49"/>
        <v>Pōtóu Zhèn</v>
      </c>
      <c r="D820" t="s">
        <v>1577</v>
      </c>
      <c r="E820" t="s">
        <v>7</v>
      </c>
      <c r="F820" t="str">
        <f>_xlfn.CONCAT(D820,", ",H820,", ",I820,", ","陕西省")</f>
        <v>坡头镇, 蒲城县, 渭南市, 陕西省</v>
      </c>
      <c r="G820">
        <v>24579</v>
      </c>
      <c r="H820" t="s">
        <v>3098</v>
      </c>
      <c r="I820" t="s">
        <v>3087</v>
      </c>
      <c r="J820">
        <f>VLOOKUP(F820,[1]!china_towns_second__2[[Column1]:[Y]],3,FALSE)</f>
        <v>34.971074899999998</v>
      </c>
      <c r="K820">
        <f>VLOOKUP(F820,[1]!china_towns_second__2[[Column1]:[Y]],2,FALSE)</f>
        <v>109.44806149999999</v>
      </c>
      <c r="L820" t="s">
        <v>4941</v>
      </c>
      <c r="M820" t="str">
        <f>VLOOKUP(H820,CHOOSE({1,2},Table11[Native],Table11[Name]),2,0)</f>
        <v>Púchéng Xiàn</v>
      </c>
      <c r="N820" s="13" t="str">
        <f>VLOOKUP(I820,CHOOSE({1,2},Table11[Native],Table11[Name]),2,0)</f>
        <v>Wèinán Shì</v>
      </c>
      <c r="O820" s="13" t="str">
        <f t="shared" si="50"/>
        <v>Potou Zhen (Wèinán Shì)</v>
      </c>
      <c r="P820" s="13" t="str">
        <f t="shared" si="51"/>
        <v>Potou Zhen (Wèinán Shì)</v>
      </c>
    </row>
    <row r="821" spans="1:16" hidden="1" x14ac:dyDescent="0.25">
      <c r="A821" t="s">
        <v>1829</v>
      </c>
      <c r="B821" t="str">
        <f t="shared" si="48"/>
        <v>Pōxī Zhèn [incl. Ānlè Zhèn]</v>
      </c>
      <c r="C821" t="str">
        <f t="shared" si="49"/>
        <v>Pōxī Zhèn [incl. Ānlè Zhèn]</v>
      </c>
      <c r="D821" t="s">
        <v>1830</v>
      </c>
      <c r="E821" t="s">
        <v>7</v>
      </c>
      <c r="F821" t="str">
        <f>_xlfn.CONCAT(D821,", ",H821,", ",I821,", ","陕西省")</f>
        <v>陂西镇, 三原县, 咸阳市, 陕西省</v>
      </c>
      <c r="G821">
        <v>43086</v>
      </c>
      <c r="H821" t="s">
        <v>3125</v>
      </c>
      <c r="I821" t="s">
        <v>3117</v>
      </c>
      <c r="J821">
        <f>VLOOKUP(F821,[1]!china_towns_second__2[[Column1]:[Y]],3,FALSE)</f>
        <v>34.604374670382803</v>
      </c>
      <c r="K821">
        <f>VLOOKUP(F821,[1]!china_towns_second__2[[Column1]:[Y]],2,FALSE)</f>
        <v>109.0966305</v>
      </c>
      <c r="L821" t="s">
        <v>4942</v>
      </c>
      <c r="M821" t="str">
        <f>VLOOKUP(H821,CHOOSE({1,2},Table11[Native],Table11[Name]),2,0)</f>
        <v>Sānyuán Xiàn</v>
      </c>
      <c r="N821" s="13" t="str">
        <f>VLOOKUP(I821,CHOOSE({1,2},Table11[Native],Table11[Name]),2,0)</f>
        <v>Xiányáng Shì</v>
      </c>
      <c r="O821" s="13" t="str">
        <f t="shared" si="50"/>
        <v>Poxi Zhen [incl. Anle Zhen] (Xiányáng Shì)</v>
      </c>
      <c r="P821" s="13" t="str">
        <f t="shared" si="51"/>
        <v>Poxi Zhen [incl. Anle Zhen] (Xiányáng Shì)</v>
      </c>
    </row>
    <row r="822" spans="1:16" hidden="1" x14ac:dyDescent="0.25">
      <c r="A822" t="s">
        <v>853</v>
      </c>
      <c r="B822" t="str">
        <f t="shared" si="48"/>
        <v>Pū Zhèn</v>
      </c>
      <c r="C822" t="str">
        <f t="shared" si="49"/>
        <v>Pū Zhèn</v>
      </c>
      <c r="D822" t="s">
        <v>854</v>
      </c>
      <c r="E822" t="s">
        <v>7</v>
      </c>
      <c r="F822" t="str">
        <f>_xlfn.CONCAT(D822,", ",H822,", ",I822,", ","陕西省")</f>
        <v>铺镇, 汉台区, 汉中市, 陕西省</v>
      </c>
      <c r="G822">
        <v>46300</v>
      </c>
      <c r="H822" t="s">
        <v>3062</v>
      </c>
      <c r="I822" t="s">
        <v>3059</v>
      </c>
      <c r="J822">
        <f>VLOOKUP(F822,[1]!china_towns_second__2[[Column1]:[Y]],3,FALSE)</f>
        <v>33.099233178736299</v>
      </c>
      <c r="K822">
        <f>VLOOKUP(F822,[1]!china_towns_second__2[[Column1]:[Y]],2,FALSE)</f>
        <v>107.1312724</v>
      </c>
      <c r="L822" t="s">
        <v>4943</v>
      </c>
      <c r="M822" t="str">
        <f>VLOOKUP(H822,CHOOSE({1,2},Table11[Native],Table11[Name]),2,0)</f>
        <v>Hàntái Qū</v>
      </c>
      <c r="N822" s="13" t="str">
        <f>VLOOKUP(I822,CHOOSE({1,2},Table11[Native],Table11[Name]),2,0)</f>
        <v>Hànzhōng Shì</v>
      </c>
      <c r="O822" s="13" t="str">
        <f t="shared" si="50"/>
        <v>Pu Zhen (Hànzhōng Shì)</v>
      </c>
      <c r="P822" s="13" t="str">
        <f t="shared" si="51"/>
        <v>Pu Zhen (Hànzhōng Shì)</v>
      </c>
    </row>
    <row r="823" spans="1:16" hidden="1" x14ac:dyDescent="0.25">
      <c r="A823" t="s">
        <v>505</v>
      </c>
      <c r="B823" t="str">
        <f t="shared" si="48"/>
        <v>Púcūn Zhèn</v>
      </c>
      <c r="C823" t="str">
        <f t="shared" si="49"/>
        <v>Púcūn Zhèn</v>
      </c>
      <c r="D823" t="s">
        <v>506</v>
      </c>
      <c r="E823" t="s">
        <v>7</v>
      </c>
      <c r="F823" t="str">
        <f>_xlfn.CONCAT(D823,", ",H823,", ",I823,", ","陕西省")</f>
        <v>蒲村镇, 岐山县, 宝鸡市, 陕西省</v>
      </c>
      <c r="G823">
        <v>24236</v>
      </c>
      <c r="H823" t="s">
        <v>3055</v>
      </c>
      <c r="I823" t="s">
        <v>3045</v>
      </c>
      <c r="J823">
        <f>VLOOKUP(F823,[1]!china_towns_second__2[[Column1]:[Y]],3,FALSE)</f>
        <v>34.506613639829403</v>
      </c>
      <c r="K823">
        <f>VLOOKUP(F823,[1]!china_towns_second__2[[Column1]:[Y]],2,FALSE)</f>
        <v>107.7252603</v>
      </c>
      <c r="L823" t="s">
        <v>4944</v>
      </c>
      <c r="M823" t="str">
        <f>VLOOKUP(H823,CHOOSE({1,2},Table11[Native],Table11[Name]),2,0)</f>
        <v>Qíshān Xiàn</v>
      </c>
      <c r="N823" s="13" t="str">
        <f>VLOOKUP(I823,CHOOSE({1,2},Table11[Native],Table11[Name]),2,0)</f>
        <v>Băojī Shì</v>
      </c>
      <c r="O823" s="13" t="str">
        <f t="shared" si="50"/>
        <v>Pucun Zhen (Băojī Shì)</v>
      </c>
      <c r="P823" s="13" t="str">
        <f t="shared" si="51"/>
        <v>Pucun Zhen (Băojī Shì)</v>
      </c>
    </row>
    <row r="824" spans="1:16" hidden="1" x14ac:dyDescent="0.25">
      <c r="A824" t="s">
        <v>2162</v>
      </c>
      <c r="B824" t="str">
        <f t="shared" si="48"/>
        <v>Pŭhuà Zhèn</v>
      </c>
      <c r="C824" t="str">
        <f t="shared" si="49"/>
        <v>Pŭhuà Zhèn</v>
      </c>
      <c r="D824" t="s">
        <v>2163</v>
      </c>
      <c r="E824" t="s">
        <v>7</v>
      </c>
      <c r="F824" t="str">
        <f>_xlfn.CONCAT(D824,", ",H824,", ",I824,", ","陕西省")</f>
        <v>普化镇, 蓝田县, 西安市, 陕西省</v>
      </c>
      <c r="G824">
        <v>45116</v>
      </c>
      <c r="H824" t="s">
        <v>3108</v>
      </c>
      <c r="I824" t="s">
        <v>3102</v>
      </c>
      <c r="J824">
        <f>VLOOKUP(F824,[1]!china_towns_second__2[[Column1]:[Y]],3,FALSE)</f>
        <v>34.152204281177902</v>
      </c>
      <c r="K824">
        <f>VLOOKUP(F824,[1]!china_towns_second__2[[Column1]:[Y]],2,FALSE)</f>
        <v>109.436865</v>
      </c>
      <c r="L824" t="s">
        <v>4945</v>
      </c>
      <c r="M824" t="str">
        <f>VLOOKUP(H824,CHOOSE({1,2},Table11[Native],Table11[Name]),2,0)</f>
        <v>Lántián Xiàn</v>
      </c>
      <c r="N824" s="13" t="str">
        <f>VLOOKUP(I824,CHOOSE({1,2},Table11[Native],Table11[Name]),2,0)</f>
        <v>Xī'ān Shì</v>
      </c>
      <c r="O824" s="13" t="str">
        <f t="shared" si="50"/>
        <v>Puhua Zhen (Xī'ān Shì)</v>
      </c>
      <c r="P824" s="13" t="str">
        <f t="shared" si="51"/>
        <v>Puhua Zhen (Xī'ān Shì)</v>
      </c>
    </row>
    <row r="825" spans="1:16" hidden="1" x14ac:dyDescent="0.25">
      <c r="A825" t="s">
        <v>1831</v>
      </c>
      <c r="B825" t="str">
        <f t="shared" si="48"/>
        <v>Pŭjí Jiēdào [incl. Nánrén Xiāng]</v>
      </c>
      <c r="C825" t="str">
        <f t="shared" si="49"/>
        <v>Pŭjí Jiēdào [incl. Nánrén Xiāng]</v>
      </c>
      <c r="D825" t="s">
        <v>1832</v>
      </c>
      <c r="E825" t="s">
        <v>113</v>
      </c>
      <c r="F825" t="str">
        <f>_xlfn.CONCAT(D825,", ",H825,", ",I825,", ","陕西省")</f>
        <v>普集街道, 武功县, 咸阳市, 陕西省</v>
      </c>
      <c r="G825">
        <v>87464</v>
      </c>
      <c r="H825" t="s">
        <v>3127</v>
      </c>
      <c r="I825" t="s">
        <v>3117</v>
      </c>
      <c r="J825" t="e">
        <f>VLOOKUP(F825,[1]!china_towns_second__2[[Column1]:[Y]],3,FALSE)</f>
        <v>#N/A</v>
      </c>
      <c r="K825" t="e">
        <f>VLOOKUP(F825,[1]!china_towns_second__2[[Column1]:[Y]],2,FALSE)</f>
        <v>#N/A</v>
      </c>
      <c r="L825" t="s">
        <v>4946</v>
      </c>
      <c r="M825" t="str">
        <f>VLOOKUP(H825,CHOOSE({1,2},Table11[Native],Table11[Name]),2,0)</f>
        <v>Wŭgōng Xiàn</v>
      </c>
      <c r="N825" s="13" t="str">
        <f>VLOOKUP(I825,CHOOSE({1,2},Table11[Native],Table11[Name]),2,0)</f>
        <v>Xiányáng Shì</v>
      </c>
      <c r="O825" s="13" t="str">
        <f t="shared" si="50"/>
        <v>Puji Jiedao [incl. Nanren Xiang] (Xiányáng Shì)</v>
      </c>
      <c r="P825" s="13" t="str">
        <f t="shared" si="51"/>
        <v>Puji Jiedao [incl. Nanren Xiang] (Xiányáng Shì)</v>
      </c>
    </row>
    <row r="826" spans="1:16" hidden="1" x14ac:dyDescent="0.25">
      <c r="A826" t="s">
        <v>2481</v>
      </c>
      <c r="B826" t="str">
        <f t="shared" si="48"/>
        <v>Pútí Zhèn</v>
      </c>
      <c r="C826" t="str">
        <f t="shared" si="49"/>
        <v>Pútí Zhèn</v>
      </c>
      <c r="D826" t="s">
        <v>2482</v>
      </c>
      <c r="E826" t="s">
        <v>7</v>
      </c>
      <c r="F826" t="str">
        <f>_xlfn.CONCAT(D826,", ",H826,", ",I826,", ","陕西省")</f>
        <v>菩提镇, 洛川县, 延安市, 陕西省</v>
      </c>
      <c r="G826">
        <v>6682</v>
      </c>
      <c r="H826" t="s">
        <v>3140</v>
      </c>
      <c r="I826" t="s">
        <v>3133</v>
      </c>
      <c r="J826">
        <f>VLOOKUP(F826,[1]!china_towns_second__2[[Column1]:[Y]],3,FALSE)</f>
        <v>35.995732156954297</v>
      </c>
      <c r="K826">
        <f>VLOOKUP(F826,[1]!china_towns_second__2[[Column1]:[Y]],2,FALSE)</f>
        <v>109.58787940000001</v>
      </c>
      <c r="L826" t="s">
        <v>4947</v>
      </c>
      <c r="M826" t="str">
        <f>VLOOKUP(H826,CHOOSE({1,2},Table11[Native],Table11[Name]),2,0)</f>
        <v>Luòchuān Xiàn</v>
      </c>
      <c r="N826" s="13" t="str">
        <f>VLOOKUP(I826,CHOOSE({1,2},Table11[Native],Table11[Name]),2,0)</f>
        <v>Yán'ān Shì</v>
      </c>
      <c r="O826" s="13" t="str">
        <f t="shared" si="50"/>
        <v>Puti Zhen (Yán'ān Shì)</v>
      </c>
      <c r="P826" s="13" t="str">
        <f t="shared" si="51"/>
        <v>Puti Zhen (Yán'ān Shì)</v>
      </c>
    </row>
    <row r="827" spans="1:16" hidden="1" x14ac:dyDescent="0.25">
      <c r="A827" t="s">
        <v>180</v>
      </c>
      <c r="B827" t="str">
        <f t="shared" si="48"/>
        <v>Púxī Zhèn</v>
      </c>
      <c r="C827" t="str">
        <f t="shared" si="49"/>
        <v>Púxī Zhèn</v>
      </c>
      <c r="D827" t="s">
        <v>181</v>
      </c>
      <c r="E827" t="s">
        <v>7</v>
      </c>
      <c r="F827" t="str">
        <f>_xlfn.CONCAT(D827,", ",H827,", ",I827,", ","陕西省")</f>
        <v>蒲溪镇, 汉阴县, 安康市, 陕西省</v>
      </c>
      <c r="G827">
        <v>18898</v>
      </c>
      <c r="H827" t="s">
        <v>3036</v>
      </c>
      <c r="I827" t="s">
        <v>3031</v>
      </c>
      <c r="J827">
        <f>VLOOKUP(F827,[1]!china_towns_second__2[[Column1]:[Y]],3,FALSE)</f>
        <v>32.842852093096802</v>
      </c>
      <c r="K827">
        <f>VLOOKUP(F827,[1]!china_towns_second__2[[Column1]:[Y]],2,FALSE)</f>
        <v>108.6445542</v>
      </c>
      <c r="L827" t="s">
        <v>4948</v>
      </c>
      <c r="M827" t="str">
        <f>VLOOKUP(H827,CHOOSE({1,2},Table11[Native],Table11[Name]),2,0)</f>
        <v>Hànyīn Xiàn</v>
      </c>
      <c r="N827" s="13" t="str">
        <f>VLOOKUP(I827,CHOOSE({1,2},Table11[Native],Table11[Name]),2,0)</f>
        <v>Ānkāng Shì</v>
      </c>
      <c r="O827" s="13" t="str">
        <f t="shared" si="50"/>
        <v>Puxi Zhen (Ānkāng Shì)</v>
      </c>
      <c r="P827" s="13" t="str">
        <f t="shared" si="51"/>
        <v>Puxi Zhen (Ānkāng Shì)</v>
      </c>
    </row>
    <row r="828" spans="1:16" hidden="1" x14ac:dyDescent="0.25">
      <c r="A828" t="s">
        <v>1176</v>
      </c>
      <c r="B828" t="str">
        <f t="shared" si="48"/>
        <v>Púyù Xiāng</v>
      </c>
      <c r="C828" t="str">
        <f t="shared" si="49"/>
        <v>Púyù Xiāng</v>
      </c>
      <c r="D828" t="s">
        <v>1177</v>
      </c>
      <c r="E828" t="s">
        <v>11</v>
      </c>
      <c r="F828" t="str">
        <f>_xlfn.CONCAT(D828,", ",H828,", ",I828,", ","陕西省")</f>
        <v>蒲峪乡, 商州区, 商洛市, 陕西省</v>
      </c>
      <c r="G828">
        <v>5441</v>
      </c>
      <c r="H828" t="s">
        <v>3076</v>
      </c>
      <c r="I828" t="s">
        <v>3072</v>
      </c>
      <c r="J828" t="e">
        <f>VLOOKUP(F828,[1]!china_towns_second__2[[Column1]:[Y]],3,FALSE)</f>
        <v>#N/A</v>
      </c>
      <c r="K828" t="e">
        <f>VLOOKUP(F828,[1]!china_towns_second__2[[Column1]:[Y]],2,FALSE)</f>
        <v>#N/A</v>
      </c>
      <c r="L828" t="s">
        <v>4949</v>
      </c>
      <c r="M828" t="str">
        <f>VLOOKUP(H828,CHOOSE({1,2},Table11[Native],Table11[Name]),2,0)</f>
        <v>Shāngzhōu Qū</v>
      </c>
      <c r="N828" s="13" t="str">
        <f>VLOOKUP(I828,CHOOSE({1,2},Table11[Native],Table11[Name]),2,0)</f>
        <v>Shāngluò Shì</v>
      </c>
      <c r="O828" s="13" t="str">
        <f t="shared" si="50"/>
        <v>Puyu Xiang (Shāngluò Shì)</v>
      </c>
      <c r="P828" s="13" t="str">
        <f t="shared" si="51"/>
        <v>Puyu Xiang (Shāngluò Shì)</v>
      </c>
    </row>
    <row r="829" spans="1:16" hidden="1" x14ac:dyDescent="0.25">
      <c r="A829" t="s">
        <v>519</v>
      </c>
      <c r="B829" t="str">
        <f t="shared" si="48"/>
        <v>Qí Zhèn</v>
      </c>
      <c r="C829" t="str">
        <f t="shared" si="49"/>
        <v>Qí Zhèn</v>
      </c>
      <c r="D829" t="s">
        <v>520</v>
      </c>
      <c r="E829" t="s">
        <v>7</v>
      </c>
      <c r="F829" t="str">
        <f>_xlfn.CONCAT(D829,", ",H829,", ",I829,", ","陕西省")</f>
        <v>齐镇, 眉县, 宝鸡市, 陕西省</v>
      </c>
      <c r="G829">
        <v>29683</v>
      </c>
      <c r="H829" t="s">
        <v>3053</v>
      </c>
      <c r="I829" t="s">
        <v>3045</v>
      </c>
      <c r="J829">
        <f>VLOOKUP(F829,[1]!china_towns_second__2[[Column1]:[Y]],3,FALSE)</f>
        <v>34.1921070204627</v>
      </c>
      <c r="K829">
        <f>VLOOKUP(F829,[1]!china_towns_second__2[[Column1]:[Y]],2,FALSE)</f>
        <v>107.69917959999999</v>
      </c>
      <c r="L829" t="s">
        <v>4950</v>
      </c>
      <c r="M829" t="str">
        <f>VLOOKUP(H829,CHOOSE({1,2},Table11[Native],Table11[Name]),2,0)</f>
        <v>Méi Xiàn</v>
      </c>
      <c r="N829" s="13" t="str">
        <f>VLOOKUP(I829,CHOOSE({1,2},Table11[Native],Table11[Name]),2,0)</f>
        <v>Băojī Shì</v>
      </c>
      <c r="O829" s="13" t="str">
        <f t="shared" si="50"/>
        <v>Qi Zhen (Băojī Shì)</v>
      </c>
      <c r="P829" s="13" t="str">
        <f t="shared" si="51"/>
        <v>Qi Zhen (Băojī Shì)</v>
      </c>
    </row>
    <row r="830" spans="1:16" hidden="1" x14ac:dyDescent="0.25">
      <c r="A830" t="s">
        <v>1578</v>
      </c>
      <c r="B830" t="str">
        <f t="shared" si="48"/>
        <v>Qiàchuān Zhèn</v>
      </c>
      <c r="C830" t="str">
        <f t="shared" si="49"/>
        <v>Qiàchuān Zhèn</v>
      </c>
      <c r="D830" t="s">
        <v>1579</v>
      </c>
      <c r="E830" t="s">
        <v>7</v>
      </c>
      <c r="F830" t="str">
        <f>_xlfn.CONCAT(D830,", ",H830,", ",I830,", ","陕西省")</f>
        <v>洽川镇, 合阳县, 渭南市, 陕西省</v>
      </c>
      <c r="G830">
        <v>8593</v>
      </c>
      <c r="H830" t="s">
        <v>3094</v>
      </c>
      <c r="I830" t="s">
        <v>3087</v>
      </c>
      <c r="J830">
        <f>VLOOKUP(F830,[1]!china_towns_second__2[[Column1]:[Y]],3,FALSE)</f>
        <v>35.131975934167698</v>
      </c>
      <c r="K830">
        <f>VLOOKUP(F830,[1]!china_towns_second__2[[Column1]:[Y]],2,FALSE)</f>
        <v>110.32829719999999</v>
      </c>
      <c r="L830" t="s">
        <v>4951</v>
      </c>
      <c r="M830" t="str">
        <f>VLOOKUP(H830,CHOOSE({1,2},Table11[Native],Table11[Name]),2,0)</f>
        <v>Héyáng Xiàn</v>
      </c>
      <c r="N830" s="13" t="str">
        <f>VLOOKUP(I830,CHOOSE({1,2},Table11[Native],Table11[Name]),2,0)</f>
        <v>Wèinán Shì</v>
      </c>
      <c r="O830" s="13" t="str">
        <f t="shared" si="50"/>
        <v>Qiachuan Zhen (Wèinán Shì)</v>
      </c>
      <c r="P830" s="13" t="str">
        <f t="shared" si="51"/>
        <v>Qiachuan Zhen (Wèinán Shì)</v>
      </c>
    </row>
    <row r="831" spans="1:16" hidden="1" x14ac:dyDescent="0.25">
      <c r="A831" t="s">
        <v>1833</v>
      </c>
      <c r="B831" t="str">
        <f t="shared" si="48"/>
        <v>Qiāndōng Zhèn</v>
      </c>
      <c r="C831" t="str">
        <f t="shared" si="49"/>
        <v>Qiāndōng Zhèn</v>
      </c>
      <c r="D831" t="s">
        <v>1834</v>
      </c>
      <c r="E831" t="s">
        <v>7</v>
      </c>
      <c r="F831" t="str">
        <f>_xlfn.CONCAT(D831,", ",H831,", ",I831,", ","陕西省")</f>
        <v>阡东镇, 礼泉县, 咸阳市, 陕西省</v>
      </c>
      <c r="G831">
        <v>30862</v>
      </c>
      <c r="H831" t="s">
        <v>3122</v>
      </c>
      <c r="I831" t="s">
        <v>3117</v>
      </c>
      <c r="J831">
        <f>VLOOKUP(F831,[1]!china_towns_second__2[[Column1]:[Y]],3,FALSE)</f>
        <v>34.510839926897702</v>
      </c>
      <c r="K831">
        <f>VLOOKUP(F831,[1]!china_towns_second__2[[Column1]:[Y]],2,FALSE)</f>
        <v>108.6510677</v>
      </c>
      <c r="L831" t="s">
        <v>4952</v>
      </c>
      <c r="M831" t="str">
        <f>VLOOKUP(H831,CHOOSE({1,2},Table11[Native],Table11[Name]),2,0)</f>
        <v>Lĭquán Xiàn</v>
      </c>
      <c r="N831" s="13" t="str">
        <f>VLOOKUP(I831,CHOOSE({1,2},Table11[Native],Table11[Name]),2,0)</f>
        <v>Xiányáng Shì</v>
      </c>
      <c r="O831" s="13" t="str">
        <f t="shared" si="50"/>
        <v>Qiandong Zhen (Xiányáng Shì)</v>
      </c>
      <c r="P831" s="13" t="str">
        <f t="shared" si="51"/>
        <v>Qiandong Zhen (Xiányáng Shì)</v>
      </c>
    </row>
    <row r="832" spans="1:16" hidden="1" x14ac:dyDescent="0.25">
      <c r="A832" t="s">
        <v>2483</v>
      </c>
      <c r="B832" t="str">
        <f t="shared" si="48"/>
        <v>Qián'èr Xiāng</v>
      </c>
      <c r="C832" t="str">
        <f t="shared" si="49"/>
        <v>Qián'èr Xiāng</v>
      </c>
      <c r="D832" t="s">
        <v>2484</v>
      </c>
      <c r="E832" t="s">
        <v>11</v>
      </c>
      <c r="F832" t="str">
        <f>_xlfn.CONCAT(D832,", ",H832,", ",I832,", ","陕西省")</f>
        <v>钳二乡, 富县, 延安市, 陕西省</v>
      </c>
      <c r="G832">
        <v>8966</v>
      </c>
      <c r="H832" t="s">
        <v>3136</v>
      </c>
      <c r="I832" t="s">
        <v>3133</v>
      </c>
      <c r="J832" t="e">
        <f>VLOOKUP(F832,[1]!china_towns_second__2[[Column1]:[Y]],3,FALSE)</f>
        <v>#N/A</v>
      </c>
      <c r="K832" t="e">
        <f>VLOOKUP(F832,[1]!china_towns_second__2[[Column1]:[Y]],2,FALSE)</f>
        <v>#N/A</v>
      </c>
      <c r="L832" t="s">
        <v>4953</v>
      </c>
      <c r="M832" t="str">
        <f>VLOOKUP(H832,CHOOSE({1,2},Table11[Native],Table11[Name]),2,0)</f>
        <v>Fù Xiàn</v>
      </c>
      <c r="N832" s="13" t="str">
        <f>VLOOKUP(I832,CHOOSE({1,2},Table11[Native],Table11[Name]),2,0)</f>
        <v>Yán'ān Shì</v>
      </c>
      <c r="O832" s="13" t="str">
        <f t="shared" si="50"/>
        <v>Qian'er Xiang (Yán'ān Shì)</v>
      </c>
      <c r="P832" s="13" t="str">
        <f t="shared" si="51"/>
        <v>Qian'er Xiang (Yán'ān Shì)</v>
      </c>
    </row>
    <row r="833" spans="1:16" hidden="1" x14ac:dyDescent="0.25">
      <c r="A833" t="s">
        <v>1580</v>
      </c>
      <c r="B833" t="str">
        <f t="shared" si="48"/>
        <v>Qiāngbái Zhèn [incl. Bāyú Xiāng]</v>
      </c>
      <c r="C833" t="str">
        <f t="shared" si="49"/>
        <v>Qiāngbái Zhèn [incl. Bāyú Xiāng]</v>
      </c>
      <c r="D833" t="s">
        <v>1581</v>
      </c>
      <c r="E833" t="s">
        <v>7</v>
      </c>
      <c r="F833" t="str">
        <f>_xlfn.CONCAT(D833,", ",H833,", ",I833,", ","陕西省")</f>
        <v>羌白镇, 大荔县, 渭南市, 陕西省</v>
      </c>
      <c r="G833">
        <v>56431</v>
      </c>
      <c r="H833" t="s">
        <v>3090</v>
      </c>
      <c r="I833" t="s">
        <v>3087</v>
      </c>
      <c r="J833">
        <f>VLOOKUP(F833,[1]!china_towns_second__2[[Column1]:[Y]],3,FALSE)</f>
        <v>34.737648403536703</v>
      </c>
      <c r="K833">
        <f>VLOOKUP(F833,[1]!china_towns_second__2[[Column1]:[Y]],2,FALSE)</f>
        <v>109.82386169999999</v>
      </c>
      <c r="L833" t="s">
        <v>4954</v>
      </c>
      <c r="M833" t="str">
        <f>VLOOKUP(H833,CHOOSE({1,2},Table11[Native],Table11[Name]),2,0)</f>
        <v>Dàlì Xiàn</v>
      </c>
      <c r="N833" s="13" t="str">
        <f>VLOOKUP(I833,CHOOSE({1,2},Table11[Native],Table11[Name]),2,0)</f>
        <v>Wèinán Shì</v>
      </c>
      <c r="O833" s="13" t="str">
        <f t="shared" si="50"/>
        <v>Qiangbai Zhen [incl. Bayu Xiang] (Wèinán Shì)</v>
      </c>
      <c r="P833" s="13" t="str">
        <f t="shared" si="51"/>
        <v>Qiangbai Zhen [incl. Bayu Xiang] (Wèinán Shì)</v>
      </c>
    </row>
    <row r="834" spans="1:16" hidden="1" x14ac:dyDescent="0.25">
      <c r="A834" t="s">
        <v>2848</v>
      </c>
      <c r="B834" t="str">
        <f t="shared" ref="B834:B897" si="52">IF(COUNTIF(A:A,A834)&gt;1,_xlfn.CONCAT(A834," (",N834,")"),A834)</f>
        <v>Qiángtóu Xiāng</v>
      </c>
      <c r="C834" t="str">
        <f t="shared" ref="C834:C897" si="53">IF(COUNTIF(B:B,B834)&gt;1,_xlfn.CONCAT(A834," (",M834,")"),B834)</f>
        <v>Qiángtóu Xiāng</v>
      </c>
      <c r="D834" t="s">
        <v>2849</v>
      </c>
      <c r="E834" t="s">
        <v>11</v>
      </c>
      <c r="F834" t="str">
        <f>_xlfn.CONCAT(D834,", ",H834,", ",I834,", ","陕西省")</f>
        <v>墙头乡, 府谷县, 榆林市, 陕西省</v>
      </c>
      <c r="G834">
        <v>2397</v>
      </c>
      <c r="H834" t="s">
        <v>3150</v>
      </c>
      <c r="I834" t="s">
        <v>3148</v>
      </c>
      <c r="J834" t="e">
        <f>VLOOKUP(F834,[1]!china_towns_second__2[[Column1]:[Y]],3,FALSE)</f>
        <v>#N/A</v>
      </c>
      <c r="K834" t="e">
        <f>VLOOKUP(F834,[1]!china_towns_second__2[[Column1]:[Y]],2,FALSE)</f>
        <v>#N/A</v>
      </c>
      <c r="L834" t="s">
        <v>4955</v>
      </c>
      <c r="M834" t="str">
        <f>VLOOKUP(H834,CHOOSE({1,2},Table11[Native],Table11[Name]),2,0)</f>
        <v>Fŭgŭ Xiàn</v>
      </c>
      <c r="N834" s="13" t="str">
        <f>VLOOKUP(I834,CHOOSE({1,2},Table11[Native],Table11[Name]),2,0)</f>
        <v>Yúlín Shì</v>
      </c>
      <c r="O834" s="13" t="str">
        <f t="shared" ref="O834:O897" si="54">_xlfn.CONCAT(L834," (",N834,")")</f>
        <v>Qiangtou Xiang (Yúlín Shì)</v>
      </c>
      <c r="P834" s="13" t="str">
        <f t="shared" ref="P834:P897" si="55">IF(COUNTIF(O:O,O834)&gt;1,_xlfn.CONCAT(L834," (",M834,")"),O834)</f>
        <v>Qiangtou Xiang (Yúlín Shì)</v>
      </c>
    </row>
    <row r="835" spans="1:16" hidden="1" x14ac:dyDescent="0.25">
      <c r="A835" t="s">
        <v>507</v>
      </c>
      <c r="B835" t="str">
        <f t="shared" si="52"/>
        <v>Qiānhé Zhèn</v>
      </c>
      <c r="C835" t="str">
        <f t="shared" si="53"/>
        <v>Qiānhé Zhèn</v>
      </c>
      <c r="D835" t="s">
        <v>508</v>
      </c>
      <c r="E835" t="s">
        <v>7</v>
      </c>
      <c r="F835" t="str">
        <f>_xlfn.CONCAT(D835,", ",H835,", ",I835,", ","陕西省")</f>
        <v>千河镇, 陈仓区, 宝鸡市, 陕西省</v>
      </c>
      <c r="G835">
        <v>45793</v>
      </c>
      <c r="H835" t="s">
        <v>3046</v>
      </c>
      <c r="I835" t="s">
        <v>3045</v>
      </c>
      <c r="J835">
        <f>VLOOKUP(F835,[1]!china_towns_second__2[[Column1]:[Y]],3,FALSE)</f>
        <v>34.397714065159199</v>
      </c>
      <c r="K835">
        <f>VLOOKUP(F835,[1]!china_towns_second__2[[Column1]:[Y]],2,FALSE)</f>
        <v>107.28513839999999</v>
      </c>
      <c r="L835" t="s">
        <v>4956</v>
      </c>
      <c r="M835" t="str">
        <f>VLOOKUP(H835,CHOOSE({1,2},Table11[Native],Table11[Name]),2,0)</f>
        <v>Chéncāng Qū</v>
      </c>
      <c r="N835" s="13" t="str">
        <f>VLOOKUP(I835,CHOOSE({1,2},Table11[Native],Table11[Name]),2,0)</f>
        <v>Băojī Shì</v>
      </c>
      <c r="O835" s="13" t="str">
        <f t="shared" si="54"/>
        <v>Qianhe Zhen (Băojī Shì)</v>
      </c>
      <c r="P835" s="13" t="str">
        <f t="shared" si="55"/>
        <v>Qianhe Zhen (Băojī Shì)</v>
      </c>
    </row>
    <row r="836" spans="1:16" hidden="1" x14ac:dyDescent="0.25">
      <c r="A836" t="s">
        <v>182</v>
      </c>
      <c r="B836" t="str">
        <f t="shared" si="52"/>
        <v>Qiánjìn Xiāng</v>
      </c>
      <c r="C836" t="str">
        <f t="shared" si="53"/>
        <v>Qiánjìn Xiāng</v>
      </c>
      <c r="D836" t="s">
        <v>183</v>
      </c>
      <c r="E836" t="s">
        <v>11</v>
      </c>
      <c r="F836" t="str">
        <f>_xlfn.CONCAT(D836,", ",H836,", ",I836,", ","陕西省")</f>
        <v>前进乡, 汉滨区, 安康市, 陕西省</v>
      </c>
      <c r="G836">
        <v>6113</v>
      </c>
      <c r="H836" t="s">
        <v>3035</v>
      </c>
      <c r="I836" t="s">
        <v>3031</v>
      </c>
      <c r="J836" t="e">
        <f>VLOOKUP(F836,[1]!china_towns_second__2[[Column1]:[Y]],3,FALSE)</f>
        <v>#N/A</v>
      </c>
      <c r="K836" t="e">
        <f>VLOOKUP(F836,[1]!china_towns_second__2[[Column1]:[Y]],2,FALSE)</f>
        <v>#N/A</v>
      </c>
      <c r="L836" t="s">
        <v>4957</v>
      </c>
      <c r="M836" t="str">
        <f>VLOOKUP(H836,CHOOSE({1,2},Table11[Native],Table11[Name]),2,0)</f>
        <v>Hànbīn Qū</v>
      </c>
      <c r="N836" s="13" t="str">
        <f>VLOOKUP(I836,CHOOSE({1,2},Table11[Native],Table11[Name]),2,0)</f>
        <v>Ānkāng Shì</v>
      </c>
      <c r="O836" s="13" t="str">
        <f t="shared" si="54"/>
        <v>Qianjin Xiang (Ānkāng Shì)</v>
      </c>
      <c r="P836" s="13" t="str">
        <f t="shared" si="55"/>
        <v>Qianjin Xiang (Ānkāng Shì)</v>
      </c>
    </row>
    <row r="837" spans="1:16" hidden="1" x14ac:dyDescent="0.25">
      <c r="A837" t="s">
        <v>2485</v>
      </c>
      <c r="B837" t="str">
        <f t="shared" si="52"/>
        <v>Qiánkūnwān Zhèn [Tŭgăng Zhèn]</v>
      </c>
      <c r="C837" t="str">
        <f t="shared" si="53"/>
        <v>Qiánkūnwān Zhèn [Tŭgăng Zhèn]</v>
      </c>
      <c r="D837" t="s">
        <v>2486</v>
      </c>
      <c r="E837" t="s">
        <v>7</v>
      </c>
      <c r="F837" t="str">
        <f>_xlfn.CONCAT(D837,", ",H837,", ",I837,", ","陕西省")</f>
        <v>乾坤湾镇, 延川县, 延安市, 陕西省</v>
      </c>
      <c r="G837">
        <v>3388</v>
      </c>
      <c r="H837" t="s">
        <v>3143</v>
      </c>
      <c r="I837" t="s">
        <v>3133</v>
      </c>
      <c r="J837">
        <f>VLOOKUP(F837,[1]!china_towns_second__2[[Column1]:[Y]],3,FALSE)</f>
        <v>36.690267502798001</v>
      </c>
      <c r="K837">
        <f>VLOOKUP(F837,[1]!china_towns_second__2[[Column1]:[Y]],2,FALSE)</f>
        <v>110.3539924</v>
      </c>
      <c r="L837" t="s">
        <v>4958</v>
      </c>
      <c r="M837" t="str">
        <f>VLOOKUP(H837,CHOOSE({1,2},Table11[Native],Table11[Name]),2,0)</f>
        <v>Yánchuān Xiàn</v>
      </c>
      <c r="N837" s="13" t="str">
        <f>VLOOKUP(I837,CHOOSE({1,2},Table11[Native],Table11[Name]),2,0)</f>
        <v>Yán'ān Shì</v>
      </c>
      <c r="O837" s="13" t="str">
        <f t="shared" si="54"/>
        <v>Qiankunwan Zhen [Tugang Zhen] (Yán'ān Shì)</v>
      </c>
      <c r="P837" s="13" t="str">
        <f t="shared" si="55"/>
        <v>Qiankunwan Zhen [Tugang Zhen] (Yán'ān Shì)</v>
      </c>
    </row>
    <row r="838" spans="1:16" hidden="1" x14ac:dyDescent="0.25">
      <c r="A838" t="s">
        <v>2164</v>
      </c>
      <c r="B838" t="str">
        <f t="shared" si="52"/>
        <v>Qiánwèi Zhèn</v>
      </c>
      <c r="C838" t="str">
        <f t="shared" si="53"/>
        <v>Qiánwèi Zhèn</v>
      </c>
      <c r="D838" t="s">
        <v>2165</v>
      </c>
      <c r="E838" t="s">
        <v>7</v>
      </c>
      <c r="F838" t="str">
        <f>_xlfn.CONCAT(D838,", ",H838,", ",I838,", ","陕西省")</f>
        <v>前卫镇, 蓝田县, 西安市, 陕西省</v>
      </c>
      <c r="G838">
        <v>26579</v>
      </c>
      <c r="H838" t="s">
        <v>3108</v>
      </c>
      <c r="I838" t="s">
        <v>3102</v>
      </c>
      <c r="J838">
        <f>VLOOKUP(F838,[1]!china_towns_second__2[[Column1]:[Y]],3,FALSE)</f>
        <v>34.117998548748602</v>
      </c>
      <c r="K838">
        <f>VLOOKUP(F838,[1]!china_towns_second__2[[Column1]:[Y]],2,FALSE)</f>
        <v>109.22225829999999</v>
      </c>
      <c r="L838" t="s">
        <v>4959</v>
      </c>
      <c r="M838" t="str">
        <f>VLOOKUP(H838,CHOOSE({1,2},Table11[Native],Table11[Name]),2,0)</f>
        <v>Lántián Xiàn</v>
      </c>
      <c r="N838" s="13" t="str">
        <f>VLOOKUP(I838,CHOOSE({1,2},Table11[Native],Table11[Name]),2,0)</f>
        <v>Xī'ān Shì</v>
      </c>
      <c r="O838" s="13" t="str">
        <f t="shared" si="54"/>
        <v>Qianwei Zhen (Xī'ān Shì)</v>
      </c>
      <c r="P838" s="13" t="str">
        <f t="shared" si="55"/>
        <v>Qianwei Zhen (Xī'ān Shì)</v>
      </c>
    </row>
    <row r="839" spans="1:16" hidden="1" x14ac:dyDescent="0.25">
      <c r="A839" t="s">
        <v>1178</v>
      </c>
      <c r="B839" t="str">
        <f t="shared" si="52"/>
        <v>Qiányòu Jiēdào</v>
      </c>
      <c r="C839" t="str">
        <f t="shared" si="53"/>
        <v>Qiányòu Jiēdào</v>
      </c>
      <c r="D839" t="s">
        <v>1179</v>
      </c>
      <c r="E839" t="s">
        <v>113</v>
      </c>
      <c r="F839" t="str">
        <f>_xlfn.CONCAT(D839,", ",H839,", ",I839,", ","陕西省")</f>
        <v>乾佑街道, 柞水县, 商洛市, 陕西省</v>
      </c>
      <c r="G839">
        <v>27137</v>
      </c>
      <c r="H839" t="s">
        <v>3078</v>
      </c>
      <c r="I839" t="s">
        <v>3072</v>
      </c>
      <c r="J839" t="e">
        <f>VLOOKUP(F839,[1]!china_towns_second__2[[Column1]:[Y]],3,FALSE)</f>
        <v>#N/A</v>
      </c>
      <c r="K839" t="e">
        <f>VLOOKUP(F839,[1]!china_towns_second__2[[Column1]:[Y]],2,FALSE)</f>
        <v>#N/A</v>
      </c>
      <c r="L839" t="s">
        <v>4960</v>
      </c>
      <c r="M839" t="str">
        <f>VLOOKUP(H839,CHOOSE({1,2},Table11[Native],Table11[Name]),2,0)</f>
        <v>Zhàshuĭ Xiàn</v>
      </c>
      <c r="N839" s="13" t="str">
        <f>VLOOKUP(I839,CHOOSE({1,2},Table11[Native],Table11[Name]),2,0)</f>
        <v>Shāngluò Shì</v>
      </c>
      <c r="O839" s="13" t="str">
        <f t="shared" si="54"/>
        <v>Qianyou Jiedao (Shāngluò Shì)</v>
      </c>
      <c r="P839" s="13" t="str">
        <f t="shared" si="55"/>
        <v>Qianyou Jiedao (Shāngluò Shì)</v>
      </c>
    </row>
    <row r="840" spans="1:16" hidden="1" x14ac:dyDescent="0.25">
      <c r="A840" t="s">
        <v>511</v>
      </c>
      <c r="B840" t="str">
        <f t="shared" si="52"/>
        <v>Qiáo Zhèn</v>
      </c>
      <c r="C840" t="str">
        <f t="shared" si="53"/>
        <v>Qiáo Zhèn</v>
      </c>
      <c r="D840" t="s">
        <v>512</v>
      </c>
      <c r="E840" t="s">
        <v>7</v>
      </c>
      <c r="F840" t="str">
        <f>_xlfn.CONCAT(D840,", ",H840,", ",I840,", ","陕西省")</f>
        <v>桥镇, 陈仓区, 宝鸡市, 陕西省</v>
      </c>
      <c r="G840">
        <v>25763</v>
      </c>
      <c r="H840" t="s">
        <v>3046</v>
      </c>
      <c r="I840" t="s">
        <v>3045</v>
      </c>
      <c r="J840">
        <f>VLOOKUP(F840,[1]!china_towns_second__2[[Column1]:[Y]],3,FALSE)</f>
        <v>34.4851338</v>
      </c>
      <c r="K840">
        <f>VLOOKUP(F840,[1]!china_towns_second__2[[Column1]:[Y]],2,FALSE)</f>
        <v>107.1384834</v>
      </c>
      <c r="L840" t="s">
        <v>4961</v>
      </c>
      <c r="M840" t="str">
        <f>VLOOKUP(H840,CHOOSE({1,2},Table11[Native],Table11[Name]),2,0)</f>
        <v>Chéncāng Qū</v>
      </c>
      <c r="N840" s="13" t="str">
        <f>VLOOKUP(I840,CHOOSE({1,2},Table11[Native],Table11[Name]),2,0)</f>
        <v>Băojī Shì</v>
      </c>
      <c r="O840" s="13" t="str">
        <f t="shared" si="54"/>
        <v>Qiao Zhen (Băojī Shì)</v>
      </c>
      <c r="P840" s="13" t="str">
        <f t="shared" si="55"/>
        <v>Qiao Zhen (Băojī Shì)</v>
      </c>
    </row>
    <row r="841" spans="1:16" hidden="1" x14ac:dyDescent="0.25">
      <c r="A841" t="s">
        <v>1835</v>
      </c>
      <c r="B841" t="str">
        <f t="shared" si="52"/>
        <v>Qiáodĭ Zhèn</v>
      </c>
      <c r="C841" t="str">
        <f t="shared" si="53"/>
        <v>Qiáodĭ Zhèn</v>
      </c>
      <c r="D841" t="s">
        <v>1836</v>
      </c>
      <c r="E841" t="s">
        <v>7</v>
      </c>
      <c r="F841" t="str">
        <f>_xlfn.CONCAT(D841,", ",H841,", ",I841,", ","陕西省")</f>
        <v>桥底镇, 泾阳县, 咸阳市, 陕西省</v>
      </c>
      <c r="G841">
        <v>28920</v>
      </c>
      <c r="H841" t="s">
        <v>3121</v>
      </c>
      <c r="I841" t="s">
        <v>3117</v>
      </c>
      <c r="J841">
        <f>VLOOKUP(F841,[1]!china_towns_second__2[[Column1]:[Y]],3,FALSE)</f>
        <v>34.583202907065903</v>
      </c>
      <c r="K841">
        <f>VLOOKUP(F841,[1]!china_towns_second__2[[Column1]:[Y]],2,FALSE)</f>
        <v>108.7162873</v>
      </c>
      <c r="L841" t="s">
        <v>4962</v>
      </c>
      <c r="M841" t="str">
        <f>VLOOKUP(H841,CHOOSE({1,2},Table11[Native],Table11[Name]),2,0)</f>
        <v>Jīngyáng Xiàn</v>
      </c>
      <c r="N841" s="13" t="str">
        <f>VLOOKUP(I841,CHOOSE({1,2},Table11[Native],Table11[Name]),2,0)</f>
        <v>Xiányáng Shì</v>
      </c>
      <c r="O841" s="13" t="str">
        <f t="shared" si="54"/>
        <v>Qiaodi Zhen (Xiányáng Shì)</v>
      </c>
      <c r="P841" s="13" t="str">
        <f t="shared" si="55"/>
        <v>Qiaodi Zhen (Xiányáng Shì)</v>
      </c>
    </row>
    <row r="842" spans="1:16" hidden="1" x14ac:dyDescent="0.25">
      <c r="A842" t="s">
        <v>2487</v>
      </c>
      <c r="B842" t="str">
        <f t="shared" si="52"/>
        <v>Qiáogōu Jiēdào</v>
      </c>
      <c r="C842" t="str">
        <f t="shared" si="53"/>
        <v>Qiáogōu Jiēdào</v>
      </c>
      <c r="D842" t="s">
        <v>2488</v>
      </c>
      <c r="E842" t="s">
        <v>113</v>
      </c>
      <c r="F842" t="str">
        <f>_xlfn.CONCAT(D842,", ",H842,", ",I842,", ","陕西省")</f>
        <v>桥沟街道, 宝塔区, 延安市, 陕西省</v>
      </c>
      <c r="G842">
        <v>69345</v>
      </c>
      <c r="H842" t="s">
        <v>3135</v>
      </c>
      <c r="I842" t="s">
        <v>3133</v>
      </c>
      <c r="J842" t="e">
        <f>VLOOKUP(F842,[1]!china_towns_second__2[[Column1]:[Y]],3,FALSE)</f>
        <v>#N/A</v>
      </c>
      <c r="K842" t="e">
        <f>VLOOKUP(F842,[1]!china_towns_second__2[[Column1]:[Y]],2,FALSE)</f>
        <v>#N/A</v>
      </c>
      <c r="L842" t="s">
        <v>4963</v>
      </c>
      <c r="M842" t="str">
        <f>VLOOKUP(H842,CHOOSE({1,2},Table11[Native],Table11[Name]),2,0)</f>
        <v>Băotă Qū</v>
      </c>
      <c r="N842" s="13" t="str">
        <f>VLOOKUP(I842,CHOOSE({1,2},Table11[Native],Table11[Name]),2,0)</f>
        <v>Yán'ān Shì</v>
      </c>
      <c r="O842" s="13" t="str">
        <f t="shared" si="54"/>
        <v>Qiaogou Jiedao (Yán'ān Shì)</v>
      </c>
      <c r="P842" s="13" t="str">
        <f t="shared" si="55"/>
        <v>Qiaogou Jiedao (Yán'ān Shì)</v>
      </c>
    </row>
    <row r="843" spans="1:16" hidden="1" x14ac:dyDescent="0.25">
      <c r="A843" t="s">
        <v>1582</v>
      </c>
      <c r="B843" t="str">
        <f t="shared" si="52"/>
        <v>Qiáolíng Zhèn [incl. Sānhé Xiāng, Dàkŏng Xiāng]</v>
      </c>
      <c r="C843" t="str">
        <f t="shared" si="53"/>
        <v>Qiáolíng Zhèn [incl. Sānhé Xiāng, Dàkŏng Xiāng]</v>
      </c>
      <c r="D843" t="s">
        <v>1583</v>
      </c>
      <c r="E843" t="s">
        <v>7</v>
      </c>
      <c r="F843" t="str">
        <f>_xlfn.CONCAT(D843,", ",H843,", ",I843,", ","陕西省")</f>
        <v>桥陵镇, 蒲城县, 渭南市, 陕西省</v>
      </c>
      <c r="G843">
        <v>39550</v>
      </c>
      <c r="H843" t="s">
        <v>3098</v>
      </c>
      <c r="I843" t="s">
        <v>3087</v>
      </c>
      <c r="J843">
        <f>VLOOKUP(F843,[1]!china_towns_second__2[[Column1]:[Y]],3,FALSE)</f>
        <v>35.009651681952803</v>
      </c>
      <c r="K843">
        <f>VLOOKUP(F843,[1]!china_towns_second__2[[Column1]:[Y]],2,FALSE)</f>
        <v>109.4794256</v>
      </c>
      <c r="L843" t="s">
        <v>4964</v>
      </c>
      <c r="M843" t="str">
        <f>VLOOKUP(H843,CHOOSE({1,2},Table11[Native],Table11[Name]),2,0)</f>
        <v>Púchéng Xiàn</v>
      </c>
      <c r="N843" s="13" t="str">
        <f>VLOOKUP(I843,CHOOSE({1,2},Table11[Native],Table11[Name]),2,0)</f>
        <v>Wèinán Shì</v>
      </c>
      <c r="O843" s="13" t="str">
        <f t="shared" si="54"/>
        <v>Qiaoling Zhen [incl. Sanhe Xiang, Dakong Xiang] (Wèinán Shì)</v>
      </c>
      <c r="P843" s="13" t="str">
        <f t="shared" si="55"/>
        <v>Qiaoling Zhen [incl. Sanhe Xiang, Dakong Xiang] (Wèinán Shì)</v>
      </c>
    </row>
    <row r="844" spans="1:16" hidden="1" x14ac:dyDescent="0.25">
      <c r="A844" t="s">
        <v>509</v>
      </c>
      <c r="B844" t="str">
        <f t="shared" si="52"/>
        <v>Qiáonán Jiēdào</v>
      </c>
      <c r="C844" t="str">
        <f t="shared" si="53"/>
        <v>Qiáonán Jiēdào</v>
      </c>
      <c r="D844" t="s">
        <v>510</v>
      </c>
      <c r="E844" t="s">
        <v>113</v>
      </c>
      <c r="F844" t="str">
        <f>_xlfn.CONCAT(D844,", ",H844,", ",I844,", ","陕西省")</f>
        <v>桥南街道, 渭滨区, 宝鸡市, 陕西省</v>
      </c>
      <c r="G844">
        <v>101381</v>
      </c>
      <c r="H844" t="s">
        <v>3057</v>
      </c>
      <c r="I844" t="s">
        <v>3045</v>
      </c>
      <c r="J844">
        <f>VLOOKUP(F844,[1]!china_towns_second__2[[Column1]:[Y]],3,FALSE)</f>
        <v>34.355723660957203</v>
      </c>
      <c r="K844">
        <f>VLOOKUP(F844,[1]!china_towns_second__2[[Column1]:[Y]],2,FALSE)</f>
        <v>107.1464761</v>
      </c>
      <c r="L844" t="s">
        <v>4965</v>
      </c>
      <c r="M844" t="str">
        <f>VLOOKUP(H844,CHOOSE({1,2},Table11[Native],Table11[Name]),2,0)</f>
        <v>Wèibīn Qū</v>
      </c>
      <c r="N844" s="13" t="str">
        <f>VLOOKUP(I844,CHOOSE({1,2},Table11[Native],Table11[Name]),2,0)</f>
        <v>Băojī Shì</v>
      </c>
      <c r="O844" s="13" t="str">
        <f t="shared" si="54"/>
        <v>Qiaonan Jiedao (Băojī Shì)</v>
      </c>
      <c r="P844" s="13" t="str">
        <f t="shared" si="55"/>
        <v>Qiaonan Jiedao (Băojī Shì)</v>
      </c>
    </row>
    <row r="845" spans="1:16" hidden="1" x14ac:dyDescent="0.25">
      <c r="A845" t="s">
        <v>1584</v>
      </c>
      <c r="B845" t="str">
        <f t="shared" si="52"/>
        <v>Qiáonán Zhèn</v>
      </c>
      <c r="C845" t="str">
        <f t="shared" si="53"/>
        <v>Qiáonán Zhèn</v>
      </c>
      <c r="D845" t="s">
        <v>1585</v>
      </c>
      <c r="E845" t="s">
        <v>7</v>
      </c>
      <c r="F845" t="str">
        <f>_xlfn.CONCAT(D845,", ",H845,", ",I845,", ","陕西省")</f>
        <v>桥南镇, 临渭区, 渭南市, 陕西省</v>
      </c>
      <c r="G845">
        <v>21267</v>
      </c>
      <c r="H845" t="s">
        <v>3097</v>
      </c>
      <c r="I845" t="s">
        <v>3087</v>
      </c>
      <c r="J845">
        <f>VLOOKUP(F845,[1]!china_towns_second__2[[Column1]:[Y]],3,FALSE)</f>
        <v>34.303301482601398</v>
      </c>
      <c r="K845">
        <f>VLOOKUP(F845,[1]!china_towns_second__2[[Column1]:[Y]],2,FALSE)</f>
        <v>109.6013265</v>
      </c>
      <c r="L845" t="s">
        <v>4966</v>
      </c>
      <c r="M845" t="str">
        <f>VLOOKUP(H845,CHOOSE({1,2},Table11[Native],Table11[Name]),2,0)</f>
        <v>Línwèi Qū</v>
      </c>
      <c r="N845" s="13" t="str">
        <f>VLOOKUP(I845,CHOOSE({1,2},Table11[Native],Table11[Name]),2,0)</f>
        <v>Wèinán Shì</v>
      </c>
      <c r="O845" s="13" t="str">
        <f t="shared" si="54"/>
        <v>Qiaonan Zhen (Wèinán Shì)</v>
      </c>
      <c r="P845" s="13" t="str">
        <f t="shared" si="55"/>
        <v>Qiaonan Zhen (Wèinán Shì)</v>
      </c>
    </row>
    <row r="846" spans="1:16" hidden="1" x14ac:dyDescent="0.25">
      <c r="A846" t="s">
        <v>2489</v>
      </c>
      <c r="B846" t="str">
        <f t="shared" si="52"/>
        <v>Qiáoshān Jiēdào</v>
      </c>
      <c r="C846" t="str">
        <f t="shared" si="53"/>
        <v>Qiáoshān Jiēdào</v>
      </c>
      <c r="D846" t="s">
        <v>2490</v>
      </c>
      <c r="E846" t="s">
        <v>113</v>
      </c>
      <c r="F846" t="str">
        <f>_xlfn.CONCAT(D846,", ",H846,", ",I846,", ","陕西省")</f>
        <v>桥山街道, 黄陵县, 延安市, 陕西省</v>
      </c>
      <c r="G846">
        <v>45302</v>
      </c>
      <c r="H846" t="s">
        <v>3138</v>
      </c>
      <c r="I846" t="s">
        <v>3133</v>
      </c>
      <c r="J846" t="e">
        <f>VLOOKUP(F846,[1]!china_towns_second__2[[Column1]:[Y]],3,FALSE)</f>
        <v>#N/A</v>
      </c>
      <c r="K846" t="e">
        <f>VLOOKUP(F846,[1]!china_towns_second__2[[Column1]:[Y]],2,FALSE)</f>
        <v>#N/A</v>
      </c>
      <c r="L846" t="s">
        <v>4967</v>
      </c>
      <c r="M846" t="str">
        <f>VLOOKUP(H846,CHOOSE({1,2},Table11[Native],Table11[Name]),2,0)</f>
        <v>Huánglíng Xiàn</v>
      </c>
      <c r="N846" s="13" t="str">
        <f>VLOOKUP(I846,CHOOSE({1,2},Table11[Native],Table11[Name]),2,0)</f>
        <v>Yán'ān Shì</v>
      </c>
      <c r="O846" s="13" t="str">
        <f t="shared" si="54"/>
        <v>Qiaoshan Jiedao (Yán'ān Shì)</v>
      </c>
      <c r="P846" s="13" t="str">
        <f t="shared" si="55"/>
        <v>Qiaoshan Jiedao (Yán'ān Shì)</v>
      </c>
    </row>
    <row r="847" spans="1:16" hidden="1" x14ac:dyDescent="0.25">
      <c r="A847" t="s">
        <v>2491</v>
      </c>
      <c r="B847" t="str">
        <f t="shared" si="52"/>
        <v>Qiáozhèn Xiāng</v>
      </c>
      <c r="C847" t="str">
        <f t="shared" si="53"/>
        <v>Qiáozhèn Xiāng</v>
      </c>
      <c r="D847" t="s">
        <v>2492</v>
      </c>
      <c r="E847" t="s">
        <v>11</v>
      </c>
      <c r="F847" t="str">
        <f>_xlfn.CONCAT(D847,", ",H847,", ",I847,", ","陕西省")</f>
        <v>桥镇乡, 甘泉县, 延安市, 陕西省</v>
      </c>
      <c r="G847">
        <v>4292</v>
      </c>
      <c r="H847" t="s">
        <v>3137</v>
      </c>
      <c r="I847" t="s">
        <v>3133</v>
      </c>
      <c r="J847" t="e">
        <f>VLOOKUP(F847,[1]!china_towns_second__2[[Column1]:[Y]],3,FALSE)</f>
        <v>#N/A</v>
      </c>
      <c r="K847" t="e">
        <f>VLOOKUP(F847,[1]!china_towns_second__2[[Column1]:[Y]],2,FALSE)</f>
        <v>#N/A</v>
      </c>
      <c r="L847" t="s">
        <v>4968</v>
      </c>
      <c r="M847" t="str">
        <f>VLOOKUP(H847,CHOOSE({1,2},Table11[Native],Table11[Name]),2,0)</f>
        <v>Gānquán Xiàn</v>
      </c>
      <c r="N847" s="13" t="str">
        <f>VLOOKUP(I847,CHOOSE({1,2},Table11[Native],Table11[Name]),2,0)</f>
        <v>Yán'ān Shì</v>
      </c>
      <c r="O847" s="13" t="str">
        <f t="shared" si="54"/>
        <v>Qiaozhen Xiang (Yán'ān Shì)</v>
      </c>
      <c r="P847" s="13" t="str">
        <f t="shared" si="55"/>
        <v>Qiaozhen Xiang (Yán'ān Shì)</v>
      </c>
    </row>
    <row r="848" spans="1:16" hidden="1" x14ac:dyDescent="0.25">
      <c r="A848" t="s">
        <v>1586</v>
      </c>
      <c r="B848" t="str">
        <f t="shared" si="52"/>
        <v>Qícūn Zhèn</v>
      </c>
      <c r="C848" t="str">
        <f t="shared" si="53"/>
        <v>Qícūn Zhèn</v>
      </c>
      <c r="D848" t="s">
        <v>1587</v>
      </c>
      <c r="E848" t="s">
        <v>7</v>
      </c>
      <c r="F848" t="str">
        <f>_xlfn.CONCAT(D848,", ",H848,", ",I848,", ","陕西省")</f>
        <v>齐村镇, 富平县, 渭南市, 陕西省</v>
      </c>
      <c r="G848">
        <v>32194</v>
      </c>
      <c r="H848" t="s">
        <v>3091</v>
      </c>
      <c r="I848" t="s">
        <v>3087</v>
      </c>
      <c r="J848">
        <f>VLOOKUP(F848,[1]!china_towns_second__2[[Column1]:[Y]],3,FALSE)</f>
        <v>34.827364755673599</v>
      </c>
      <c r="K848">
        <f>VLOOKUP(F848,[1]!china_towns_second__2[[Column1]:[Y]],2,FALSE)</f>
        <v>109.1130246</v>
      </c>
      <c r="L848" t="s">
        <v>4969</v>
      </c>
      <c r="M848" t="str">
        <f>VLOOKUP(H848,CHOOSE({1,2},Table11[Native],Table11[Name]),2,0)</f>
        <v>Fùpíng Xiàn</v>
      </c>
      <c r="N848" s="13" t="str">
        <f>VLOOKUP(I848,CHOOSE({1,2},Table11[Native],Table11[Name]),2,0)</f>
        <v>Wèinán Shì</v>
      </c>
      <c r="O848" s="13" t="str">
        <f t="shared" si="54"/>
        <v>Qicun Zhen (Wèinán Shì)</v>
      </c>
      <c r="P848" s="13" t="str">
        <f t="shared" si="55"/>
        <v>Qicun Zhen (Wèinán Shì)</v>
      </c>
    </row>
    <row r="849" spans="1:16" hidden="1" x14ac:dyDescent="0.25">
      <c r="A849" t="s">
        <v>2850</v>
      </c>
      <c r="B849" t="str">
        <f t="shared" si="52"/>
        <v>Qìléng Xiāng</v>
      </c>
      <c r="C849" t="str">
        <f t="shared" si="53"/>
        <v>Qìléng Xiāng</v>
      </c>
      <c r="D849" t="s">
        <v>2851</v>
      </c>
      <c r="E849" t="s">
        <v>11</v>
      </c>
      <c r="F849" t="str">
        <f>_xlfn.CONCAT(D849,", ",H849,", ",I849,", ","陕西省")</f>
        <v>碛塄乡, 府谷县, 榆林市, 陕西省</v>
      </c>
      <c r="G849">
        <v>4608</v>
      </c>
      <c r="H849" t="s">
        <v>3150</v>
      </c>
      <c r="I849" t="s">
        <v>3148</v>
      </c>
      <c r="J849" t="e">
        <f>VLOOKUP(F849,[1]!china_towns_second__2[[Column1]:[Y]],3,FALSE)</f>
        <v>#N/A</v>
      </c>
      <c r="K849" t="e">
        <f>VLOOKUP(F849,[1]!china_towns_second__2[[Column1]:[Y]],2,FALSE)</f>
        <v>#N/A</v>
      </c>
      <c r="L849" t="s">
        <v>4970</v>
      </c>
      <c r="M849" t="str">
        <f>VLOOKUP(H849,CHOOSE({1,2},Table11[Native],Table11[Name]),2,0)</f>
        <v>Fŭgŭ Xiàn</v>
      </c>
      <c r="N849" s="13" t="str">
        <f>VLOOKUP(I849,CHOOSE({1,2},Table11[Native],Table11[Name]),2,0)</f>
        <v>Yúlín Shì</v>
      </c>
      <c r="O849" s="13" t="str">
        <f t="shared" si="54"/>
        <v>Qileng Xiang (Yúlín Shì)</v>
      </c>
      <c r="P849" s="13" t="str">
        <f t="shared" si="55"/>
        <v>Qileng Xiang (Yúlín Shì)</v>
      </c>
    </row>
    <row r="850" spans="1:16" hidden="1" x14ac:dyDescent="0.25">
      <c r="A850" t="s">
        <v>855</v>
      </c>
      <c r="B850" t="str">
        <f t="shared" si="52"/>
        <v>Qīlĭ Jiēdào</v>
      </c>
      <c r="C850" t="str">
        <f t="shared" si="53"/>
        <v>Qīlĭ Jiēdào</v>
      </c>
      <c r="D850" t="s">
        <v>856</v>
      </c>
      <c r="E850" t="s">
        <v>113</v>
      </c>
      <c r="F850" t="str">
        <f>_xlfn.CONCAT(D850,", ",H850,", ",I850,", ","陕西省")</f>
        <v>七里街道, 汉台区, 汉中市, 陕西省</v>
      </c>
      <c r="G850">
        <v>38649</v>
      </c>
      <c r="H850" t="s">
        <v>3062</v>
      </c>
      <c r="I850" t="s">
        <v>3059</v>
      </c>
      <c r="J850">
        <f>VLOOKUP(F850,[1]!china_towns_second__2[[Column1]:[Y]],3,FALSE)</f>
        <v>33.070702707173297</v>
      </c>
      <c r="K850">
        <f>VLOOKUP(F850,[1]!china_towns_second__2[[Column1]:[Y]],2,FALSE)</f>
        <v>107.075163</v>
      </c>
      <c r="L850" t="s">
        <v>4971</v>
      </c>
      <c r="M850" t="str">
        <f>VLOOKUP(H850,CHOOSE({1,2},Table11[Native],Table11[Name]),2,0)</f>
        <v>Hàntái Qū</v>
      </c>
      <c r="N850" s="13" t="str">
        <f>VLOOKUP(I850,CHOOSE({1,2},Table11[Native],Table11[Name]),2,0)</f>
        <v>Hànzhōng Shì</v>
      </c>
      <c r="O850" s="13" t="str">
        <f t="shared" si="54"/>
        <v>Qili Jiedao (Hànzhōng Shì)</v>
      </c>
      <c r="P850" s="13" t="str">
        <f t="shared" si="55"/>
        <v>Qili Jiedao (Hànzhōng Shì)</v>
      </c>
    </row>
    <row r="851" spans="1:16" hidden="1" x14ac:dyDescent="0.25">
      <c r="A851" t="s">
        <v>2493</v>
      </c>
      <c r="B851" t="str">
        <f t="shared" si="52"/>
        <v>Qīlĭcūn Jiēdào</v>
      </c>
      <c r="C851" t="str">
        <f t="shared" si="53"/>
        <v>Qīlĭcūn Jiēdào</v>
      </c>
      <c r="D851" t="s">
        <v>2494</v>
      </c>
      <c r="E851" t="s">
        <v>113</v>
      </c>
      <c r="F851" t="str">
        <f>_xlfn.CONCAT(D851,", ",H851,", ",I851,", ","陕西省")</f>
        <v>七里村街道, 延长县, 延安市, 陕西省</v>
      </c>
      <c r="G851">
        <v>58832</v>
      </c>
      <c r="H851" t="s">
        <v>3142</v>
      </c>
      <c r="I851" t="s">
        <v>3133</v>
      </c>
      <c r="J851" t="e">
        <f>VLOOKUP(F851,[1]!china_towns_second__2[[Column1]:[Y]],3,FALSE)</f>
        <v>#N/A</v>
      </c>
      <c r="K851" t="e">
        <f>VLOOKUP(F851,[1]!china_towns_second__2[[Column1]:[Y]],2,FALSE)</f>
        <v>#N/A</v>
      </c>
      <c r="L851" t="s">
        <v>4972</v>
      </c>
      <c r="M851" t="str">
        <f>VLOOKUP(H851,CHOOSE({1,2},Table11[Native],Table11[Name]),2,0)</f>
        <v>Yáncháng Xiàn</v>
      </c>
      <c r="N851" s="13" t="str">
        <f>VLOOKUP(I851,CHOOSE({1,2},Table11[Native],Table11[Name]),2,0)</f>
        <v>Yán'ān Shì</v>
      </c>
      <c r="O851" s="13" t="str">
        <f t="shared" si="54"/>
        <v>Qilicun Jiedao (Yán'ān Shì)</v>
      </c>
      <c r="P851" s="13" t="str">
        <f t="shared" si="55"/>
        <v>Qilicun Jiedao (Yán'ān Shì)</v>
      </c>
    </row>
    <row r="852" spans="1:16" hidden="1" x14ac:dyDescent="0.25">
      <c r="A852" t="s">
        <v>1588</v>
      </c>
      <c r="B852" t="str">
        <f t="shared" si="52"/>
        <v>Qíndōng Zhèn</v>
      </c>
      <c r="C852" t="str">
        <f t="shared" si="53"/>
        <v>Qíndōng Zhèn</v>
      </c>
      <c r="D852" t="s">
        <v>1589</v>
      </c>
      <c r="E852" t="s">
        <v>7</v>
      </c>
      <c r="F852" t="str">
        <f>_xlfn.CONCAT(D852,", ",H852,", ",I852,", ","陕西省")</f>
        <v>秦东镇, 潼关县, 渭南市, 陕西省</v>
      </c>
      <c r="G852">
        <v>17866</v>
      </c>
      <c r="H852" t="s">
        <v>3099</v>
      </c>
      <c r="I852" t="s">
        <v>3087</v>
      </c>
      <c r="J852">
        <f>VLOOKUP(F852,[1]!china_towns_second__2[[Column1]:[Y]],3,FALSE)</f>
        <v>34.604906796945798</v>
      </c>
      <c r="K852">
        <f>VLOOKUP(F852,[1]!china_towns_second__2[[Column1]:[Y]],2,FALSE)</f>
        <v>110.2638025</v>
      </c>
      <c r="L852" t="s">
        <v>4973</v>
      </c>
      <c r="M852" t="str">
        <f>VLOOKUP(H852,CHOOSE({1,2},Table11[Native],Table11[Name]),2,0)</f>
        <v>Tóngguān Xiàn</v>
      </c>
      <c r="N852" s="13" t="str">
        <f>VLOOKUP(I852,CHOOSE({1,2},Table11[Native],Table11[Name]),2,0)</f>
        <v>Wèinán Shì</v>
      </c>
      <c r="O852" s="13" t="str">
        <f t="shared" si="54"/>
        <v>Qindong Zhen (Wèinán Shì)</v>
      </c>
      <c r="P852" s="13" t="str">
        <f t="shared" si="55"/>
        <v>Qindong Zhen (Wèinán Shì)</v>
      </c>
    </row>
    <row r="853" spans="1:16" hidden="1" x14ac:dyDescent="0.25">
      <c r="A853" t="s">
        <v>2166</v>
      </c>
      <c r="B853" t="str">
        <f t="shared" si="52"/>
        <v>Qíndù Jiēdào</v>
      </c>
      <c r="C853" t="str">
        <f t="shared" si="53"/>
        <v>Qíndù Jiēdào</v>
      </c>
      <c r="D853" t="s">
        <v>2167</v>
      </c>
      <c r="E853" t="s">
        <v>113</v>
      </c>
      <c r="F853" t="str">
        <f>_xlfn.CONCAT(D853,", ",H853,", ",I853,", ","陕西省")</f>
        <v>秦渡街道, 鄠邑区, 西安市, 陕西省</v>
      </c>
      <c r="G853">
        <v>51050</v>
      </c>
      <c r="H853" t="s">
        <v>3107</v>
      </c>
      <c r="I853" t="s">
        <v>3102</v>
      </c>
      <c r="J853" t="e">
        <f>VLOOKUP(F853,[1]!china_towns_second__2[[Column1]:[Y]],3,FALSE)</f>
        <v>#N/A</v>
      </c>
      <c r="K853" t="e">
        <f>VLOOKUP(F853,[1]!china_towns_second__2[[Column1]:[Y]],2,FALSE)</f>
        <v>#N/A</v>
      </c>
      <c r="L853" t="s">
        <v>4974</v>
      </c>
      <c r="M853" t="str">
        <f>VLOOKUP(H853,CHOOSE({1,2},Table11[Native],Table11[Name]),2,0)</f>
        <v>Hùyì Qū</v>
      </c>
      <c r="N853" s="13" t="str">
        <f>VLOOKUP(I853,CHOOSE({1,2},Table11[Native],Table11[Name]),2,0)</f>
        <v>Xī'ān Shì</v>
      </c>
      <c r="O853" s="13" t="str">
        <f t="shared" si="54"/>
        <v>Qindu Jiedao (Xī'ān Shì)</v>
      </c>
      <c r="P853" s="13" t="str">
        <f t="shared" si="55"/>
        <v>Qindu Jiedao (Xī'ān Shì)</v>
      </c>
    </row>
    <row r="854" spans="1:16" hidden="1" x14ac:dyDescent="0.25">
      <c r="A854" t="s">
        <v>513</v>
      </c>
      <c r="B854" t="str">
        <f t="shared" si="52"/>
        <v>Qīnghuà Xiāng</v>
      </c>
      <c r="C854" t="str">
        <f t="shared" si="53"/>
        <v>Qīnghuà Xiāng</v>
      </c>
      <c r="D854" t="s">
        <v>514</v>
      </c>
      <c r="E854" t="s">
        <v>11</v>
      </c>
      <c r="F854" t="str">
        <f>_xlfn.CONCAT(D854,", ",H854,", ",I854,", ","陕西省")</f>
        <v>青化乡, 眉县, 宝鸡市, 陕西省</v>
      </c>
      <c r="G854">
        <v>17214</v>
      </c>
      <c r="H854" t="s">
        <v>3053</v>
      </c>
      <c r="I854" t="s">
        <v>3045</v>
      </c>
      <c r="J854" t="e">
        <f>VLOOKUP(F854,[1]!china_towns_second__2[[Column1]:[Y]],3,FALSE)</f>
        <v>#N/A</v>
      </c>
      <c r="K854" t="e">
        <f>VLOOKUP(F854,[1]!china_towns_second__2[[Column1]:[Y]],2,FALSE)</f>
        <v>#N/A</v>
      </c>
      <c r="L854" t="s">
        <v>4975</v>
      </c>
      <c r="M854" t="str">
        <f>VLOOKUP(H854,CHOOSE({1,2},Table11[Native],Table11[Name]),2,0)</f>
        <v>Méi Xiàn</v>
      </c>
      <c r="N854" s="13" t="str">
        <f>VLOOKUP(I854,CHOOSE({1,2},Table11[Native],Table11[Name]),2,0)</f>
        <v>Băojī Shì</v>
      </c>
      <c r="O854" s="13" t="str">
        <f t="shared" si="54"/>
        <v>Qinghua Xiang (Băojī Shì)</v>
      </c>
      <c r="P854" s="13" t="str">
        <f t="shared" si="55"/>
        <v>Qinghua Xiang (Băojī Shì)</v>
      </c>
    </row>
    <row r="855" spans="1:16" hidden="1" x14ac:dyDescent="0.25">
      <c r="A855" t="s">
        <v>515</v>
      </c>
      <c r="B855" t="str">
        <f t="shared" si="52"/>
        <v>Qīnghuà Zhèn (Băojī Shì)</v>
      </c>
      <c r="C855" t="str">
        <f t="shared" si="53"/>
        <v>Qīnghuà Zhèn (Băojī Shì)</v>
      </c>
      <c r="D855" t="s">
        <v>516</v>
      </c>
      <c r="E855" t="s">
        <v>7</v>
      </c>
      <c r="F855" t="str">
        <f>_xlfn.CONCAT(D855,", ",H855,", ",I855,", ","陕西省")</f>
        <v>青化镇, 岐山县, 宝鸡市, 陕西省</v>
      </c>
      <c r="G855">
        <v>26637</v>
      </c>
      <c r="H855" t="s">
        <v>3055</v>
      </c>
      <c r="I855" t="s">
        <v>3045</v>
      </c>
      <c r="J855">
        <f>VLOOKUP(F855,[1]!china_towns_second__2[[Column1]:[Y]],3,FALSE)</f>
        <v>34.428479345345401</v>
      </c>
      <c r="K855">
        <f>VLOOKUP(F855,[1]!china_towns_second__2[[Column1]:[Y]],2,FALSE)</f>
        <v>107.836572</v>
      </c>
      <c r="L855" t="s">
        <v>4976</v>
      </c>
      <c r="M855" t="str">
        <f>VLOOKUP(H855,CHOOSE({1,2},Table11[Native],Table11[Name]),2,0)</f>
        <v>Qíshān Xiàn</v>
      </c>
      <c r="N855" s="13" t="str">
        <f>VLOOKUP(I855,CHOOSE({1,2},Table11[Native],Table11[Name]),2,0)</f>
        <v>Băojī Shì</v>
      </c>
      <c r="O855" s="13" t="str">
        <f t="shared" si="54"/>
        <v>Qinghua Zhen (Baoji Shi) (Băojī Shì)</v>
      </c>
      <c r="P855" s="13" t="str">
        <f t="shared" si="55"/>
        <v>Qinghua Zhen (Baoji Shi) (Băojī Shì)</v>
      </c>
    </row>
    <row r="856" spans="1:16" hidden="1" x14ac:dyDescent="0.25">
      <c r="A856" t="s">
        <v>515</v>
      </c>
      <c r="B856" t="str">
        <f t="shared" si="52"/>
        <v>Qīnghuà Zhèn (Xī'ān Shì)</v>
      </c>
      <c r="C856" t="str">
        <f t="shared" si="53"/>
        <v>Qīnghuà Zhèn (Xī'ān Shì)</v>
      </c>
      <c r="D856" t="s">
        <v>516</v>
      </c>
      <c r="E856" t="s">
        <v>7</v>
      </c>
      <c r="F856" t="str">
        <f>_xlfn.CONCAT(D856,", ",H856,", ",I856,", ","陕西省")</f>
        <v>青化镇, 周至县, 西安市, 陕西省</v>
      </c>
      <c r="G856">
        <v>21204</v>
      </c>
      <c r="H856" t="s">
        <v>3115</v>
      </c>
      <c r="I856" t="s">
        <v>3102</v>
      </c>
      <c r="J856">
        <f>VLOOKUP(F856,[1]!china_towns_second__2[[Column1]:[Y]],3,FALSE)</f>
        <v>34.201797414610297</v>
      </c>
      <c r="K856">
        <f>VLOOKUP(F856,[1]!china_towns_second__2[[Column1]:[Y]],2,FALSE)</f>
        <v>108.05059660000001</v>
      </c>
      <c r="L856" t="s">
        <v>4977</v>
      </c>
      <c r="M856" t="str">
        <f>VLOOKUP(H856,CHOOSE({1,2},Table11[Native],Table11[Name]),2,0)</f>
        <v>Zhōuzhì Xiàn</v>
      </c>
      <c r="N856" s="13" t="str">
        <f>VLOOKUP(I856,CHOOSE({1,2},Table11[Native],Table11[Name]),2,0)</f>
        <v>Xī'ān Shì</v>
      </c>
      <c r="O856" s="13" t="str">
        <f t="shared" si="54"/>
        <v>Qinghua Zhen (Xi'an Shi) (Xī'ān Shì)</v>
      </c>
      <c r="P856" s="13" t="str">
        <f t="shared" si="55"/>
        <v>Qinghua Zhen (Xi'an Shi) (Xī'ān Shì)</v>
      </c>
    </row>
    <row r="857" spans="1:16" hidden="1" x14ac:dyDescent="0.25">
      <c r="A857" t="s">
        <v>2495</v>
      </c>
      <c r="B857" t="str">
        <f t="shared" si="52"/>
        <v>Qīnghuàbiān Zhèn [incl. Liángcūn Xiāng]</v>
      </c>
      <c r="C857" t="str">
        <f t="shared" si="53"/>
        <v>Qīnghuàbiān Zhèn [incl. Liángcūn Xiāng]</v>
      </c>
      <c r="D857" t="s">
        <v>2496</v>
      </c>
      <c r="E857" t="s">
        <v>7</v>
      </c>
      <c r="F857" t="str">
        <f>_xlfn.CONCAT(D857,", ",H857,", ",I857,", ","陕西省")</f>
        <v>青化砭镇, 宝塔区, 延安市, 陕西省</v>
      </c>
      <c r="G857">
        <v>18016</v>
      </c>
      <c r="H857" t="s">
        <v>3135</v>
      </c>
      <c r="I857" t="s">
        <v>3133</v>
      </c>
      <c r="J857">
        <f>VLOOKUP(F857,[1]!china_towns_second__2[[Column1]:[Y]],3,FALSE)</f>
        <v>36.785736856355697</v>
      </c>
      <c r="K857">
        <f>VLOOKUP(F857,[1]!china_towns_second__2[[Column1]:[Y]],2,FALSE)</f>
        <v>109.63973420000001</v>
      </c>
      <c r="L857" t="s">
        <v>4978</v>
      </c>
      <c r="M857" t="str">
        <f>VLOOKUP(H857,CHOOSE({1,2},Table11[Native],Table11[Name]),2,0)</f>
        <v>Băotă Qū</v>
      </c>
      <c r="N857" s="13" t="str">
        <f>VLOOKUP(I857,CHOOSE({1,2},Table11[Native],Table11[Name]),2,0)</f>
        <v>Yán'ān Shì</v>
      </c>
      <c r="O857" s="13" t="str">
        <f t="shared" si="54"/>
        <v>Qinghuabian Zhen [incl. Liangcun Xiang] (Yán'ān Shì)</v>
      </c>
      <c r="P857" s="13" t="str">
        <f t="shared" si="55"/>
        <v>Qinghuabian Zhen [incl. Liangcun Xiang] (Yán'ān Shì)</v>
      </c>
    </row>
    <row r="858" spans="1:16" hidden="1" x14ac:dyDescent="0.25">
      <c r="A858" t="s">
        <v>517</v>
      </c>
      <c r="B858" t="str">
        <f t="shared" si="52"/>
        <v>Qīngjiāng Jiēdào</v>
      </c>
      <c r="C858" t="str">
        <f t="shared" si="53"/>
        <v>Qīngjiāng Jiēdào</v>
      </c>
      <c r="D858" t="s">
        <v>518</v>
      </c>
      <c r="E858" t="s">
        <v>113</v>
      </c>
      <c r="F858" t="str">
        <f>_xlfn.CONCAT(D858,", ",H858,", ",I858,", ","陕西省")</f>
        <v>清姜街道, 渭滨区, 宝鸡市, 陕西省</v>
      </c>
      <c r="G858">
        <v>58057</v>
      </c>
      <c r="H858" t="s">
        <v>3057</v>
      </c>
      <c r="I858" t="s">
        <v>3045</v>
      </c>
      <c r="J858">
        <f>VLOOKUP(F858,[1]!china_towns_second__2[[Column1]:[Y]],3,FALSE)</f>
        <v>34.347496703126602</v>
      </c>
      <c r="K858">
        <f>VLOOKUP(F858,[1]!china_towns_second__2[[Column1]:[Y]],2,FALSE)</f>
        <v>107.1221249</v>
      </c>
      <c r="L858" t="s">
        <v>4979</v>
      </c>
      <c r="M858" t="str">
        <f>VLOOKUP(H858,CHOOSE({1,2},Table11[Native],Table11[Name]),2,0)</f>
        <v>Wèibīn Qū</v>
      </c>
      <c r="N858" s="13" t="str">
        <f>VLOOKUP(I858,CHOOSE({1,2},Table11[Native],Table11[Name]),2,0)</f>
        <v>Băojī Shì</v>
      </c>
      <c r="O858" s="13" t="str">
        <f t="shared" si="54"/>
        <v>Qingjiang Jiedao (Băojī Shì)</v>
      </c>
      <c r="P858" s="13" t="str">
        <f t="shared" si="55"/>
        <v>Qingjiang Jiedao (Băojī Shì)</v>
      </c>
    </row>
    <row r="859" spans="1:16" hidden="1" x14ac:dyDescent="0.25">
      <c r="A859" t="s">
        <v>857</v>
      </c>
      <c r="B859" t="str">
        <f t="shared" si="52"/>
        <v>Qīngmùchuān Zhèn</v>
      </c>
      <c r="C859" t="str">
        <f t="shared" si="53"/>
        <v>Qīngmùchuān Zhèn</v>
      </c>
      <c r="D859" t="s">
        <v>858</v>
      </c>
      <c r="E859" t="s">
        <v>7</v>
      </c>
      <c r="F859" t="str">
        <f>_xlfn.CONCAT(D859,", ",H859,", ",I859,", ","陕西省")</f>
        <v>青木川镇, 宁强县, 汉中市, 陕西省</v>
      </c>
      <c r="G859">
        <v>6648</v>
      </c>
      <c r="H859" t="s">
        <v>3067</v>
      </c>
      <c r="I859" t="s">
        <v>3059</v>
      </c>
      <c r="J859">
        <f>VLOOKUP(F859,[1]!china_towns_second__2[[Column1]:[Y]],3,FALSE)</f>
        <v>32.855162605367497</v>
      </c>
      <c r="K859">
        <f>VLOOKUP(F859,[1]!china_towns_second__2[[Column1]:[Y]],2,FALSE)</f>
        <v>105.5998579</v>
      </c>
      <c r="L859" t="s">
        <v>4980</v>
      </c>
      <c r="M859" t="str">
        <f>VLOOKUP(H859,CHOOSE({1,2},Table11[Native],Table11[Name]),2,0)</f>
        <v>Níngqiáng Xiàn</v>
      </c>
      <c r="N859" s="13" t="str">
        <f>VLOOKUP(I859,CHOOSE({1,2},Table11[Native],Table11[Name]),2,0)</f>
        <v>Hànzhōng Shì</v>
      </c>
      <c r="O859" s="13" t="str">
        <f t="shared" si="54"/>
        <v>Qingmuchuan Zhen (Hànzhōng Shì)</v>
      </c>
      <c r="P859" s="13" t="str">
        <f t="shared" si="55"/>
        <v>Qingmuchuan Zhen (Hànzhōng Shì)</v>
      </c>
    </row>
    <row r="860" spans="1:16" hidden="1" x14ac:dyDescent="0.25">
      <c r="A860" t="s">
        <v>1323</v>
      </c>
      <c r="B860" t="str">
        <f t="shared" si="52"/>
        <v>Qīngniánlù Jiēdào (Tóngchuān Shì)</v>
      </c>
      <c r="C860" t="str">
        <f t="shared" si="53"/>
        <v>Qīngniánlù Jiēdào (Tóngchuān Shì)</v>
      </c>
      <c r="D860" t="s">
        <v>1324</v>
      </c>
      <c r="E860" t="s">
        <v>113</v>
      </c>
      <c r="F860" t="str">
        <f>_xlfn.CONCAT(D860,", ",H860,", ",I860,", ","陕西省")</f>
        <v>青年路街道, 王益区, 铜川市, 陕西省</v>
      </c>
      <c r="G860">
        <v>24535</v>
      </c>
      <c r="H860" t="s">
        <v>3082</v>
      </c>
      <c r="I860" t="s">
        <v>3081</v>
      </c>
      <c r="J860">
        <f>VLOOKUP(F860,[1]!china_towns_second__2[[Column1]:[Y]],3,FALSE)</f>
        <v>35.085958095437498</v>
      </c>
      <c r="K860">
        <f>VLOOKUP(F860,[1]!china_towns_second__2[[Column1]:[Y]],2,FALSE)</f>
        <v>109.099611</v>
      </c>
      <c r="L860" t="s">
        <v>4981</v>
      </c>
      <c r="M860" t="str">
        <f>VLOOKUP(H860,CHOOSE({1,2},Table11[Native],Table11[Name]),2,0)</f>
        <v>Wángyì Qū</v>
      </c>
      <c r="N860" s="13" t="str">
        <f>VLOOKUP(I860,CHOOSE({1,2},Table11[Native],Table11[Name]),2,0)</f>
        <v>Tóngchuān Shì</v>
      </c>
      <c r="O860" s="13" t="str">
        <f t="shared" si="54"/>
        <v>Qingnianlu Jiedao (Tongchuan Shi) (Tóngchuān Shì)</v>
      </c>
      <c r="P860" s="13" t="str">
        <f t="shared" si="55"/>
        <v>Qingnianlu Jiedao (Tongchuan Shi) (Tóngchuān Shì)</v>
      </c>
    </row>
    <row r="861" spans="1:16" hidden="1" x14ac:dyDescent="0.25">
      <c r="A861" t="s">
        <v>1323</v>
      </c>
      <c r="B861" t="str">
        <f t="shared" si="52"/>
        <v>Qīngniánlù Jiēdào (Xī'ān Shì)</v>
      </c>
      <c r="C861" t="str">
        <f t="shared" si="53"/>
        <v>Qīngniánlù Jiēdào (Xī'ān Shì)</v>
      </c>
      <c r="D861" t="s">
        <v>1324</v>
      </c>
      <c r="E861" t="s">
        <v>113</v>
      </c>
      <c r="F861" t="str">
        <f>_xlfn.CONCAT(D861,", ",H861,", ",I861,", ","陕西省")</f>
        <v>青年路街道, 莲湖区, 西安市, 陕西省</v>
      </c>
      <c r="G861">
        <v>57848</v>
      </c>
      <c r="H861" t="s">
        <v>3109</v>
      </c>
      <c r="I861" t="s">
        <v>3102</v>
      </c>
      <c r="J861">
        <f>VLOOKUP(F861,[1]!china_towns_second__2[[Column1]:[Y]],3,FALSE)</f>
        <v>34.2736670221162</v>
      </c>
      <c r="K861">
        <f>VLOOKUP(F861,[1]!china_towns_second__2[[Column1]:[Y]],2,FALSE)</f>
        <v>108.93132079999999</v>
      </c>
      <c r="L861" t="s">
        <v>4982</v>
      </c>
      <c r="M861" t="str">
        <f>VLOOKUP(H861,CHOOSE({1,2},Table11[Native],Table11[Name]),2,0)</f>
        <v>Liánhú Qū</v>
      </c>
      <c r="N861" s="13" t="str">
        <f>VLOOKUP(I861,CHOOSE({1,2},Table11[Native],Table11[Name]),2,0)</f>
        <v>Xī'ān Shì</v>
      </c>
      <c r="O861" s="13" t="str">
        <f t="shared" si="54"/>
        <v>Qingnianlu Jiedao (Xi'an Shi) (Xī'ān Shì)</v>
      </c>
      <c r="P861" s="13" t="str">
        <f t="shared" si="55"/>
        <v>Qingnianlu Jiedao (Xi'an Shi) (Xī'ān Shì)</v>
      </c>
    </row>
    <row r="862" spans="1:16" hidden="1" x14ac:dyDescent="0.25">
      <c r="A862" t="s">
        <v>859</v>
      </c>
      <c r="B862" t="str">
        <f t="shared" si="52"/>
        <v>Qīngqiáoyì Zhèn</v>
      </c>
      <c r="C862" t="str">
        <f t="shared" si="53"/>
        <v>Qīngqiáoyì Zhèn</v>
      </c>
      <c r="D862" t="s">
        <v>860</v>
      </c>
      <c r="E862" t="s">
        <v>7</v>
      </c>
      <c r="F862" t="str">
        <f>_xlfn.CONCAT(D862,", ",H862,", ",I862,", ","陕西省")</f>
        <v>青桥驿镇, 留坝县, 汉中市, 陕西省</v>
      </c>
      <c r="G862">
        <v>1947</v>
      </c>
      <c r="H862" t="s">
        <v>3063</v>
      </c>
      <c r="I862" t="s">
        <v>3059</v>
      </c>
      <c r="J862">
        <f>VLOOKUP(F862,[1]!china_towns_second__2[[Column1]:[Y]],3,FALSE)</f>
        <v>33.343476595933303</v>
      </c>
      <c r="K862">
        <f>VLOOKUP(F862,[1]!china_towns_second__2[[Column1]:[Y]],2,FALSE)</f>
        <v>106.9231959</v>
      </c>
      <c r="L862" t="s">
        <v>4983</v>
      </c>
      <c r="M862" t="str">
        <f>VLOOKUP(H862,CHOOSE({1,2},Table11[Native],Table11[Name]),2,0)</f>
        <v>Liúbà Xiàn</v>
      </c>
      <c r="N862" s="13" t="str">
        <f>VLOOKUP(I862,CHOOSE({1,2},Table11[Native],Table11[Name]),2,0)</f>
        <v>Hànzhōng Shì</v>
      </c>
      <c r="O862" s="13" t="str">
        <f t="shared" si="54"/>
        <v>Qingqiaoyi Zhen (Hànzhōng Shì)</v>
      </c>
      <c r="P862" s="13" t="str">
        <f t="shared" si="55"/>
        <v>Qingqiaoyi Zhen (Hànzhōng Shì)</v>
      </c>
    </row>
    <row r="863" spans="1:16" hidden="1" x14ac:dyDescent="0.25">
      <c r="A863" t="s">
        <v>1180</v>
      </c>
      <c r="B863" t="str">
        <f t="shared" si="52"/>
        <v>Qīngshān Zhèn</v>
      </c>
      <c r="C863" t="str">
        <f t="shared" si="53"/>
        <v>Qīngshān Zhèn</v>
      </c>
      <c r="D863" t="s">
        <v>1181</v>
      </c>
      <c r="E863" t="s">
        <v>7</v>
      </c>
      <c r="F863" t="str">
        <f>_xlfn.CONCAT(D863,", ",H863,", ",I863,", ","陕西省")</f>
        <v>青山镇, 商南县, 商洛市, 陕西省</v>
      </c>
      <c r="G863">
        <v>10153</v>
      </c>
      <c r="H863" t="s">
        <v>3075</v>
      </c>
      <c r="I863" t="s">
        <v>3072</v>
      </c>
      <c r="J863">
        <f>VLOOKUP(F863,[1]!china_towns_second__2[[Column1]:[Y]],3,FALSE)</f>
        <v>33.405249257677603</v>
      </c>
      <c r="K863">
        <f>VLOOKUP(F863,[1]!china_towns_second__2[[Column1]:[Y]],2,FALSE)</f>
        <v>110.92256020000001</v>
      </c>
      <c r="L863" t="s">
        <v>4984</v>
      </c>
      <c r="M863" t="str">
        <f>VLOOKUP(H863,CHOOSE({1,2},Table11[Native],Table11[Name]),2,0)</f>
        <v>Shāngnán Xiàn</v>
      </c>
      <c r="N863" s="13" t="str">
        <f>VLOOKUP(I863,CHOOSE({1,2},Table11[Native],Table11[Name]),2,0)</f>
        <v>Shāngluò Shì</v>
      </c>
      <c r="O863" s="13" t="str">
        <f t="shared" si="54"/>
        <v>Qingshan Zhen (Shāngluò Shì)</v>
      </c>
      <c r="P863" s="13" t="str">
        <f t="shared" si="55"/>
        <v>Qingshan Zhen (Shāngluò Shì)</v>
      </c>
    </row>
    <row r="864" spans="1:16" hidden="1" x14ac:dyDescent="0.25">
      <c r="A864" t="s">
        <v>2852</v>
      </c>
      <c r="B864" t="str">
        <f t="shared" si="52"/>
        <v>Qīngshānlù Jiēdào</v>
      </c>
      <c r="C864" t="str">
        <f t="shared" si="53"/>
        <v>Qīngshānlù Jiēdào</v>
      </c>
      <c r="D864" t="s">
        <v>2853</v>
      </c>
      <c r="E864" t="s">
        <v>113</v>
      </c>
      <c r="F864" t="str">
        <f>_xlfn.CONCAT(D864,", ",H864,", ",I864,", ","陕西省")</f>
        <v>青山路街道, 榆阳区, 榆林市, 陕西省</v>
      </c>
      <c r="G864">
        <v>55019</v>
      </c>
      <c r="H864" t="s">
        <v>3159</v>
      </c>
      <c r="I864" t="s">
        <v>3148</v>
      </c>
      <c r="J864">
        <f>VLOOKUP(F864,[1]!china_towns_second__2[[Column1]:[Y]],3,FALSE)</f>
        <v>38.281238137208803</v>
      </c>
      <c r="K864">
        <f>VLOOKUP(F864,[1]!china_towns_second__2[[Column1]:[Y]],2,FALSE)</f>
        <v>109.72089</v>
      </c>
      <c r="L864" t="s">
        <v>4985</v>
      </c>
      <c r="M864" t="str">
        <f>VLOOKUP(H864,CHOOSE({1,2},Table11[Native],Table11[Name]),2,0)</f>
        <v>Yúyáng Qū</v>
      </c>
      <c r="N864" s="13" t="str">
        <f>VLOOKUP(I864,CHOOSE({1,2},Table11[Native],Table11[Name]),2,0)</f>
        <v>Yúlín Shì</v>
      </c>
      <c r="O864" s="13" t="str">
        <f t="shared" si="54"/>
        <v>Qingshanlu Jiedao (Yúlín Shì)</v>
      </c>
      <c r="P864" s="13" t="str">
        <f t="shared" si="55"/>
        <v>Qingshanlu Jiedao (Yúlín Shì)</v>
      </c>
    </row>
    <row r="865" spans="1:16" hidden="1" x14ac:dyDescent="0.25">
      <c r="A865" t="s">
        <v>863</v>
      </c>
      <c r="B865" t="str">
        <f t="shared" si="52"/>
        <v>Qīngshù Zhèn</v>
      </c>
      <c r="C865" t="str">
        <f t="shared" si="53"/>
        <v>Qīngshù Zhèn</v>
      </c>
      <c r="D865" t="s">
        <v>864</v>
      </c>
      <c r="E865" t="s">
        <v>7</v>
      </c>
      <c r="F865" t="str">
        <f>_xlfn.CONCAT(D865,", ",H865,", ",I865,", ","陕西省")</f>
        <v>青树镇, 南郑区, 汉中市, 陕西省</v>
      </c>
      <c r="G865">
        <v>23386</v>
      </c>
      <c r="H865" t="s">
        <v>3066</v>
      </c>
      <c r="I865" t="s">
        <v>3059</v>
      </c>
      <c r="J865">
        <f>VLOOKUP(F865,[1]!china_towns_second__2[[Column1]:[Y]],3,FALSE)</f>
        <v>32.920556728706998</v>
      </c>
      <c r="K865">
        <f>VLOOKUP(F865,[1]!china_towns_second__2[[Column1]:[Y]],2,FALSE)</f>
        <v>106.9165745</v>
      </c>
      <c r="L865" t="s">
        <v>4986</v>
      </c>
      <c r="M865" t="str">
        <f>VLOOKUP(H865,CHOOSE({1,2},Table11[Native],Table11[Name]),2,0)</f>
        <v>Nánzhèng Qū</v>
      </c>
      <c r="N865" s="13" t="str">
        <f>VLOOKUP(I865,CHOOSE({1,2},Table11[Native],Table11[Name]),2,0)</f>
        <v>Hànzhōng Shì</v>
      </c>
      <c r="O865" s="13" t="str">
        <f t="shared" si="54"/>
        <v>Qingshu Zhen (Hànzhōng Shì)</v>
      </c>
      <c r="P865" s="13" t="str">
        <f t="shared" si="55"/>
        <v>Qingshu Zhen (Hànzhōng Shì)</v>
      </c>
    </row>
    <row r="866" spans="1:16" hidden="1" x14ac:dyDescent="0.25">
      <c r="A866" t="s">
        <v>861</v>
      </c>
      <c r="B866" t="str">
        <f t="shared" si="52"/>
        <v>Qīngshuĭ Zhèn (Hànzhōng Shì)</v>
      </c>
      <c r="C866" t="str">
        <f t="shared" si="53"/>
        <v>Qīngshuĭ Zhèn (Hànzhōng Shì)</v>
      </c>
      <c r="D866" t="s">
        <v>862</v>
      </c>
      <c r="E866" t="s">
        <v>7</v>
      </c>
      <c r="F866" t="str">
        <f>_xlfn.CONCAT(D866,", ",H866,", ",I866,", ","陕西省")</f>
        <v>青水镇, 镇巴县, 汉中市, 陕西省</v>
      </c>
      <c r="G866">
        <v>7183</v>
      </c>
      <c r="H866" t="s">
        <v>3070</v>
      </c>
      <c r="I866" t="s">
        <v>3059</v>
      </c>
      <c r="J866">
        <f>VLOOKUP(F866,[1]!china_towns_second__2[[Column1]:[Y]],3,FALSE)</f>
        <v>32.6852154467893</v>
      </c>
      <c r="K866">
        <f>VLOOKUP(F866,[1]!china_towns_second__2[[Column1]:[Y]],2,FALSE)</f>
        <v>107.75238950000001</v>
      </c>
      <c r="L866" t="s">
        <v>4987</v>
      </c>
      <c r="M866" t="str">
        <f>VLOOKUP(H866,CHOOSE({1,2},Table11[Native],Table11[Name]),2,0)</f>
        <v>Zhènbā Xiàn</v>
      </c>
      <c r="N866" s="13" t="str">
        <f>VLOOKUP(I866,CHOOSE({1,2},Table11[Native],Table11[Name]),2,0)</f>
        <v>Hànzhōng Shì</v>
      </c>
      <c r="O866" s="13" t="str">
        <f t="shared" si="54"/>
        <v>Qingshui Zhen (Hanzhong Shi) (Hànzhōng Shì)</v>
      </c>
      <c r="P866" s="13" t="str">
        <f t="shared" si="55"/>
        <v>Qingshui Zhen (Hanzhong Shi) (Hànzhōng Shì)</v>
      </c>
    </row>
    <row r="867" spans="1:16" hidden="1" x14ac:dyDescent="0.25">
      <c r="A867" t="s">
        <v>861</v>
      </c>
      <c r="B867" t="str">
        <f t="shared" si="52"/>
        <v>Qīngshuĭ Zhèn (Yúlín Shì)</v>
      </c>
      <c r="C867" t="str">
        <f t="shared" si="53"/>
        <v>Qīngshuĭ Zhèn (Yúlín Shì)</v>
      </c>
      <c r="D867" t="s">
        <v>2854</v>
      </c>
      <c r="E867" t="s">
        <v>7</v>
      </c>
      <c r="F867" t="str">
        <f>_xlfn.CONCAT(D867,", ",H867,", ",I867,", ","陕西省")</f>
        <v>清水镇, 府谷县, 榆林市, 陕西省</v>
      </c>
      <c r="G867">
        <v>5279</v>
      </c>
      <c r="H867" t="s">
        <v>3150</v>
      </c>
      <c r="I867" t="s">
        <v>3148</v>
      </c>
      <c r="J867">
        <f>VLOOKUP(F867,[1]!china_towns_second__2[[Column1]:[Y]],3,FALSE)</f>
        <v>39.209523222029397</v>
      </c>
      <c r="K867">
        <f>VLOOKUP(F867,[1]!china_towns_second__2[[Column1]:[Y]],2,FALSE)</f>
        <v>111.05624</v>
      </c>
      <c r="L867" t="s">
        <v>4988</v>
      </c>
      <c r="M867" t="str">
        <f>VLOOKUP(H867,CHOOSE({1,2},Table11[Native],Table11[Name]),2,0)</f>
        <v>Fŭgŭ Xiàn</v>
      </c>
      <c r="N867" s="13" t="str">
        <f>VLOOKUP(I867,CHOOSE({1,2},Table11[Native],Table11[Name]),2,0)</f>
        <v>Yúlín Shì</v>
      </c>
      <c r="O867" s="13" t="str">
        <f t="shared" si="54"/>
        <v>Qingshui Zhen (Yulin Shi) (Yúlín Shì)</v>
      </c>
      <c r="P867" s="13" t="str">
        <f t="shared" si="55"/>
        <v>Qingshui Zhen (Yulin Shi) (Yúlín Shì)</v>
      </c>
    </row>
    <row r="868" spans="1:16" hidden="1" x14ac:dyDescent="0.25">
      <c r="A868" t="s">
        <v>1182</v>
      </c>
      <c r="B868" t="str">
        <f t="shared" si="52"/>
        <v>Qīngtóngguān Zhèn</v>
      </c>
      <c r="C868" t="str">
        <f t="shared" si="53"/>
        <v>Qīngtóngguān Zhèn</v>
      </c>
      <c r="D868" t="s">
        <v>1183</v>
      </c>
      <c r="E868" t="s">
        <v>7</v>
      </c>
      <c r="F868" t="str">
        <f>_xlfn.CONCAT(D868,", ",H868,", ",I868,", ","陕西省")</f>
        <v>青铜关镇, 镇安县, 商洛市, 陕西省</v>
      </c>
      <c r="G868">
        <v>16548</v>
      </c>
      <c r="H868" t="s">
        <v>3079</v>
      </c>
      <c r="I868" t="s">
        <v>3072</v>
      </c>
      <c r="J868">
        <f>VLOOKUP(F868,[1]!china_towns_second__2[[Column1]:[Y]],3,FALSE)</f>
        <v>33.243793962995099</v>
      </c>
      <c r="K868">
        <f>VLOOKUP(F868,[1]!china_towns_second__2[[Column1]:[Y]],2,FALSE)</f>
        <v>109.1552686</v>
      </c>
      <c r="L868" t="s">
        <v>4989</v>
      </c>
      <c r="M868" t="str">
        <f>VLOOKUP(H868,CHOOSE({1,2},Table11[Native],Table11[Name]),2,0)</f>
        <v>Zhèn'ān Xiàn</v>
      </c>
      <c r="N868" s="13" t="str">
        <f>VLOOKUP(I868,CHOOSE({1,2},Table11[Native],Table11[Name]),2,0)</f>
        <v>Shāngluò Shì</v>
      </c>
      <c r="O868" s="13" t="str">
        <f t="shared" si="54"/>
        <v>Qingtongguan Zhen (Shāngluò Shì)</v>
      </c>
      <c r="P868" s="13" t="str">
        <f t="shared" si="55"/>
        <v>Qingtongguan Zhen (Shāngluò Shì)</v>
      </c>
    </row>
    <row r="869" spans="1:16" hidden="1" x14ac:dyDescent="0.25">
      <c r="A869" t="s">
        <v>2497</v>
      </c>
      <c r="B869" t="str">
        <f t="shared" si="52"/>
        <v>Qínguān Xiāng</v>
      </c>
      <c r="C869" t="str">
        <f t="shared" si="53"/>
        <v>Qínguān Xiāng</v>
      </c>
      <c r="D869" t="s">
        <v>2498</v>
      </c>
      <c r="E869" t="s">
        <v>11</v>
      </c>
      <c r="F869" t="str">
        <f>_xlfn.CONCAT(D869,", ",H869,", ",I869,", ","陕西省")</f>
        <v>秦关乡, 洛川县, 延安市, 陕西省</v>
      </c>
      <c r="G869">
        <v>10277</v>
      </c>
      <c r="H869" t="s">
        <v>3140</v>
      </c>
      <c r="I869" t="s">
        <v>3133</v>
      </c>
      <c r="J869" t="e">
        <f>VLOOKUP(F869,[1]!china_towns_second__2[[Column1]:[Y]],3,FALSE)</f>
        <v>#N/A</v>
      </c>
      <c r="K869" t="e">
        <f>VLOOKUP(F869,[1]!china_towns_second__2[[Column1]:[Y]],2,FALSE)</f>
        <v>#N/A</v>
      </c>
      <c r="L869" t="s">
        <v>4990</v>
      </c>
      <c r="M869" t="str">
        <f>VLOOKUP(H869,CHOOSE({1,2},Table11[Native],Table11[Name]),2,0)</f>
        <v>Luòchuān Xiàn</v>
      </c>
      <c r="N869" s="13" t="str">
        <f>VLOOKUP(I869,CHOOSE({1,2},Table11[Native],Table11[Name]),2,0)</f>
        <v>Yán'ān Shì</v>
      </c>
      <c r="O869" s="13" t="str">
        <f t="shared" si="54"/>
        <v>Qinguan Xiang (Yán'ān Shì)</v>
      </c>
      <c r="P869" s="13" t="str">
        <f t="shared" si="55"/>
        <v>Qinguan Xiang (Yán'ān Shì)</v>
      </c>
    </row>
    <row r="870" spans="1:16" hidden="1" x14ac:dyDescent="0.25">
      <c r="A870" t="s">
        <v>2855</v>
      </c>
      <c r="B870" t="str">
        <f t="shared" si="52"/>
        <v>Qīngyángchà Zhèn</v>
      </c>
      <c r="C870" t="str">
        <f t="shared" si="53"/>
        <v>Qīngyángchà Zhèn</v>
      </c>
      <c r="D870" t="s">
        <v>2856</v>
      </c>
      <c r="E870" t="s">
        <v>7</v>
      </c>
      <c r="F870" t="str">
        <f>_xlfn.CONCAT(D870,", ",H870,", ",I870,", ","陕西省")</f>
        <v>青阳岔镇, 靖边县, 榆林市, 陕西省</v>
      </c>
      <c r="G870">
        <v>8181</v>
      </c>
      <c r="H870" t="s">
        <v>3153</v>
      </c>
      <c r="I870" t="s">
        <v>3148</v>
      </c>
      <c r="J870">
        <f>VLOOKUP(F870,[1]!china_towns_second__2[[Column1]:[Y]],3,FALSE)</f>
        <v>37.406104668844698</v>
      </c>
      <c r="K870">
        <f>VLOOKUP(F870,[1]!china_towns_second__2[[Column1]:[Y]],2,FALSE)</f>
        <v>109.20252410000001</v>
      </c>
      <c r="L870" t="s">
        <v>4991</v>
      </c>
      <c r="M870" t="str">
        <f>VLOOKUP(H870,CHOOSE({1,2},Table11[Native],Table11[Name]),2,0)</f>
        <v>Jìngbiān Xiàn</v>
      </c>
      <c r="N870" s="13" t="str">
        <f>VLOOKUP(I870,CHOOSE({1,2},Table11[Native],Table11[Name]),2,0)</f>
        <v>Yúlín Shì</v>
      </c>
      <c r="O870" s="13" t="str">
        <f t="shared" si="54"/>
        <v>Qingyangcha Zhen (Yúlín Shì)</v>
      </c>
      <c r="P870" s="13" t="str">
        <f t="shared" si="55"/>
        <v>Qingyangcha Zhen (Yúlín Shì)</v>
      </c>
    </row>
    <row r="871" spans="1:16" hidden="1" x14ac:dyDescent="0.25">
      <c r="A871" t="s">
        <v>1184</v>
      </c>
      <c r="B871" t="str">
        <f t="shared" si="52"/>
        <v>Qīngyóuhé Zhèn</v>
      </c>
      <c r="C871" t="str">
        <f t="shared" si="53"/>
        <v>Qīngyóuhé Zhèn</v>
      </c>
      <c r="D871" t="s">
        <v>1185</v>
      </c>
      <c r="E871" t="s">
        <v>7</v>
      </c>
      <c r="F871" t="str">
        <f>_xlfn.CONCAT(D871,", ",H871,", ",I871,", ","陕西省")</f>
        <v>清油河镇, 商南县, 商洛市, 陕西省</v>
      </c>
      <c r="G871">
        <v>11657</v>
      </c>
      <c r="H871" t="s">
        <v>3075</v>
      </c>
      <c r="I871" t="s">
        <v>3072</v>
      </c>
      <c r="J871">
        <f>VLOOKUP(F871,[1]!china_towns_second__2[[Column1]:[Y]],3,FALSE)</f>
        <v>33.651382152255202</v>
      </c>
      <c r="K871">
        <f>VLOOKUP(F871,[1]!china_towns_second__2[[Column1]:[Y]],2,FALSE)</f>
        <v>110.741328</v>
      </c>
      <c r="L871" t="s">
        <v>4992</v>
      </c>
      <c r="M871" t="str">
        <f>VLOOKUP(H871,CHOOSE({1,2},Table11[Native],Table11[Name]),2,0)</f>
        <v>Shāngnán Xiàn</v>
      </c>
      <c r="N871" s="13" t="str">
        <f>VLOOKUP(I871,CHOOSE({1,2},Table11[Native],Table11[Name]),2,0)</f>
        <v>Shāngluò Shì</v>
      </c>
      <c r="O871" s="13" t="str">
        <f t="shared" si="54"/>
        <v>Qingyouhe Zhen (Shāngluò Shì)</v>
      </c>
      <c r="P871" s="13" t="str">
        <f t="shared" si="55"/>
        <v>Qingyouhe Zhen (Shāngluò Shì)</v>
      </c>
    </row>
    <row r="872" spans="1:16" hidden="1" x14ac:dyDescent="0.25">
      <c r="A872" t="s">
        <v>1837</v>
      </c>
      <c r="B872" t="str">
        <f t="shared" si="52"/>
        <v>Qīngyuán Zhèn</v>
      </c>
      <c r="C872" t="str">
        <f t="shared" si="53"/>
        <v>Qīngyuán Zhèn</v>
      </c>
      <c r="D872" t="s">
        <v>1838</v>
      </c>
      <c r="E872" t="s">
        <v>7</v>
      </c>
      <c r="F872" t="str">
        <f>_xlfn.CONCAT(D872,", ",H872,", ",I872,", ","陕西省")</f>
        <v>清塬镇, 旬邑县, 咸阳市, 陕西省</v>
      </c>
      <c r="G872">
        <v>10087</v>
      </c>
      <c r="H872" t="s">
        <v>3129</v>
      </c>
      <c r="I872" t="s">
        <v>3117</v>
      </c>
      <c r="J872">
        <f>VLOOKUP(F872,[1]!china_towns_second__2[[Column1]:[Y]],3,FALSE)</f>
        <v>35.095027195546201</v>
      </c>
      <c r="K872">
        <f>VLOOKUP(F872,[1]!china_towns_second__2[[Column1]:[Y]],2,FALSE)</f>
        <v>108.50298890000001</v>
      </c>
      <c r="L872" t="s">
        <v>4993</v>
      </c>
      <c r="M872" t="str">
        <f>VLOOKUP(H872,CHOOSE({1,2},Table11[Native],Table11[Name]),2,0)</f>
        <v>Xúnyì Xiàn</v>
      </c>
      <c r="N872" s="13" t="str">
        <f>VLOOKUP(I872,CHOOSE({1,2},Table11[Native],Table11[Name]),2,0)</f>
        <v>Xiányáng Shì</v>
      </c>
      <c r="O872" s="13" t="str">
        <f t="shared" si="54"/>
        <v>Qingyuan Zhen (Xiányáng Shì)</v>
      </c>
      <c r="P872" s="13" t="str">
        <f t="shared" si="55"/>
        <v>Qingyuan Zhen (Xiányáng Shì)</v>
      </c>
    </row>
    <row r="873" spans="1:16" hidden="1" x14ac:dyDescent="0.25">
      <c r="A873" t="s">
        <v>2857</v>
      </c>
      <c r="B873" t="str">
        <f t="shared" si="52"/>
        <v>Qīngyún Zhèn [incl. Liúqiānhé Xiāng]</v>
      </c>
      <c r="C873" t="str">
        <f t="shared" si="53"/>
        <v>Qīngyún Zhèn [incl. Liúqiānhé Xiāng]</v>
      </c>
      <c r="D873" t="s">
        <v>2858</v>
      </c>
      <c r="E873" t="s">
        <v>7</v>
      </c>
      <c r="F873" t="str">
        <f>_xlfn.CONCAT(D873,", ",H873,", ",I873,", ","陕西省")</f>
        <v>青云镇, 榆阳区, 榆林市, 陕西省</v>
      </c>
      <c r="G873">
        <v>15428</v>
      </c>
      <c r="H873" t="s">
        <v>3159</v>
      </c>
      <c r="I873" t="s">
        <v>3148</v>
      </c>
      <c r="J873">
        <f>VLOOKUP(F873,[1]!china_towns_second__2[[Column1]:[Y]],3,FALSE)</f>
        <v>38.289281865563801</v>
      </c>
      <c r="K873">
        <f>VLOOKUP(F873,[1]!china_towns_second__2[[Column1]:[Y]],2,FALSE)</f>
        <v>109.9345486</v>
      </c>
      <c r="L873" t="s">
        <v>4994</v>
      </c>
      <c r="M873" t="str">
        <f>VLOOKUP(H873,CHOOSE({1,2},Table11[Native],Table11[Name]),2,0)</f>
        <v>Yúyáng Qū</v>
      </c>
      <c r="N873" s="13" t="str">
        <f>VLOOKUP(I873,CHOOSE({1,2},Table11[Native],Table11[Name]),2,0)</f>
        <v>Yúlín Shì</v>
      </c>
      <c r="O873" s="13" t="str">
        <f t="shared" si="54"/>
        <v>Qingyun Zhen [incl. Liuqianhe Xiang] (Yúlín Shì)</v>
      </c>
      <c r="P873" s="13" t="str">
        <f t="shared" si="55"/>
        <v>Qingyun Zhen [incl. Liuqianhe Xiang] (Yúlín Shì)</v>
      </c>
    </row>
    <row r="874" spans="1:16" hidden="1" x14ac:dyDescent="0.25">
      <c r="A874" t="s">
        <v>2859</v>
      </c>
      <c r="B874" t="str">
        <f t="shared" si="52"/>
        <v>Qínhé Zhèn</v>
      </c>
      <c r="C874" t="str">
        <f t="shared" si="53"/>
        <v>Qínhé Zhèn</v>
      </c>
      <c r="D874" t="s">
        <v>2860</v>
      </c>
      <c r="E874" t="s">
        <v>7</v>
      </c>
      <c r="F874" t="str">
        <f>_xlfn.CONCAT(D874,", ",H874,", ",I874,", ","陕西省")</f>
        <v>芹河镇, 榆阳区, 榆林市, 陕西省</v>
      </c>
      <c r="G874">
        <v>16724</v>
      </c>
      <c r="H874" t="s">
        <v>3159</v>
      </c>
      <c r="I874" t="s">
        <v>3148</v>
      </c>
      <c r="J874">
        <f>VLOOKUP(F874,[1]!china_towns_second__2[[Column1]:[Y]],3,FALSE)</f>
        <v>38.258774731166703</v>
      </c>
      <c r="K874">
        <f>VLOOKUP(F874,[1]!china_towns_second__2[[Column1]:[Y]],2,FALSE)</f>
        <v>109.5547541</v>
      </c>
      <c r="L874" t="s">
        <v>4995</v>
      </c>
      <c r="M874" t="str">
        <f>VLOOKUP(H874,CHOOSE({1,2},Table11[Native],Table11[Name]),2,0)</f>
        <v>Yúyáng Qū</v>
      </c>
      <c r="N874" s="13" t="str">
        <f>VLOOKUP(I874,CHOOSE({1,2},Table11[Native],Table11[Name]),2,0)</f>
        <v>Yúlín Shì</v>
      </c>
      <c r="O874" s="13" t="str">
        <f t="shared" si="54"/>
        <v>Qinhe Zhen (Yúlín Shì)</v>
      </c>
      <c r="P874" s="13" t="str">
        <f t="shared" si="55"/>
        <v>Qinhe Zhen (Yúlín Shì)</v>
      </c>
    </row>
    <row r="875" spans="1:16" hidden="1" x14ac:dyDescent="0.25">
      <c r="A875" t="s">
        <v>2168</v>
      </c>
      <c r="B875" t="str">
        <f t="shared" si="52"/>
        <v>Qínlíng Jiēdào</v>
      </c>
      <c r="C875" t="str">
        <f t="shared" si="53"/>
        <v>Qínlíng Jiēdào</v>
      </c>
      <c r="D875" t="s">
        <v>2169</v>
      </c>
      <c r="E875" t="s">
        <v>113</v>
      </c>
      <c r="F875" t="str">
        <f>_xlfn.CONCAT(D875,", ",H875,", ",I875,", ","陕西省")</f>
        <v>秦陵街道, 临潼区, 西安市, 陕西省</v>
      </c>
      <c r="G875">
        <v>28288</v>
      </c>
      <c r="H875" t="s">
        <v>3110</v>
      </c>
      <c r="I875" t="s">
        <v>3102</v>
      </c>
      <c r="J875">
        <f>VLOOKUP(F875,[1]!china_towns_second__2[[Column1]:[Y]],3,FALSE)</f>
        <v>34.3821039894599</v>
      </c>
      <c r="K875">
        <f>VLOOKUP(F875,[1]!china_towns_second__2[[Column1]:[Y]],2,FALSE)</f>
        <v>109.2570668</v>
      </c>
      <c r="L875" t="s">
        <v>4996</v>
      </c>
      <c r="M875" t="str">
        <f>VLOOKUP(H875,CHOOSE({1,2},Table11[Native],Table11[Name]),2,0)</f>
        <v>Líntóng Qū</v>
      </c>
      <c r="N875" s="13" t="str">
        <f>VLOOKUP(I875,CHOOSE({1,2},Table11[Native],Table11[Name]),2,0)</f>
        <v>Xī'ān Shì</v>
      </c>
      <c r="O875" s="13" t="str">
        <f t="shared" si="54"/>
        <v>Qinling Jiedao (Xī'ān Shì)</v>
      </c>
      <c r="P875" s="13" t="str">
        <f t="shared" si="55"/>
        <v>Qinling Jiedao (Xī'ān Shì)</v>
      </c>
    </row>
    <row r="876" spans="1:16" hidden="1" x14ac:dyDescent="0.25">
      <c r="A876" t="s">
        <v>1325</v>
      </c>
      <c r="B876" t="str">
        <f t="shared" si="52"/>
        <v>Qípán Zhèn</v>
      </c>
      <c r="C876" t="str">
        <f t="shared" si="53"/>
        <v>Qípán Zhèn</v>
      </c>
      <c r="D876" t="s">
        <v>1326</v>
      </c>
      <c r="E876" t="s">
        <v>7</v>
      </c>
      <c r="F876" t="str">
        <f>_xlfn.CONCAT(D876,", ",H876,", ",I876,", ","陕西省")</f>
        <v>棋盘镇, 宜君县, 铜川市, 陕西省</v>
      </c>
      <c r="G876">
        <v>7596</v>
      </c>
      <c r="H876" t="s">
        <v>3084</v>
      </c>
      <c r="I876" t="s">
        <v>3081</v>
      </c>
      <c r="J876">
        <f>VLOOKUP(F876,[1]!china_towns_second__2[[Column1]:[Y]],3,FALSE)</f>
        <v>35.312023959013104</v>
      </c>
      <c r="K876">
        <f>VLOOKUP(F876,[1]!china_towns_second__2[[Column1]:[Y]],2,FALSE)</f>
        <v>109.22663009999999</v>
      </c>
      <c r="L876" t="s">
        <v>4997</v>
      </c>
      <c r="M876" t="str">
        <f>VLOOKUP(H876,CHOOSE({1,2},Table11[Native],Table11[Name]),2,0)</f>
        <v>Yíjūn Xiàn</v>
      </c>
      <c r="N876" s="13" t="str">
        <f>VLOOKUP(I876,CHOOSE({1,2},Table11[Native],Table11[Name]),2,0)</f>
        <v>Tóngchuān Shì</v>
      </c>
      <c r="O876" s="13" t="str">
        <f t="shared" si="54"/>
        <v>Qipan Zhen (Tóngchuān Shì)</v>
      </c>
      <c r="P876" s="13" t="str">
        <f t="shared" si="55"/>
        <v>Qipan Zhen (Tóngchuān Shì)</v>
      </c>
    </row>
    <row r="877" spans="1:16" hidden="1" x14ac:dyDescent="0.25">
      <c r="A877" t="s">
        <v>865</v>
      </c>
      <c r="B877" t="str">
        <f t="shared" si="52"/>
        <v>Qīshì Jiēdào</v>
      </c>
      <c r="C877" t="str">
        <f t="shared" si="53"/>
        <v>Qīshì Jiēdào</v>
      </c>
      <c r="D877" t="s">
        <v>866</v>
      </c>
      <c r="E877" t="s">
        <v>113</v>
      </c>
      <c r="F877" t="str">
        <f>_xlfn.CONCAT(D877,", ",H877,", ",I877,", ","陕西省")</f>
        <v>戚氏街道, 洋县, 汉中市, 陕西省</v>
      </c>
      <c r="G877">
        <v>23827</v>
      </c>
      <c r="H877" t="s">
        <v>3069</v>
      </c>
      <c r="I877" t="s">
        <v>3059</v>
      </c>
      <c r="J877" t="e">
        <f>VLOOKUP(F877,[1]!china_towns_second__2[[Column1]:[Y]],3,FALSE)</f>
        <v>#N/A</v>
      </c>
      <c r="K877" t="e">
        <f>VLOOKUP(F877,[1]!china_towns_second__2[[Column1]:[Y]],2,FALSE)</f>
        <v>#N/A</v>
      </c>
      <c r="L877" t="s">
        <v>4998</v>
      </c>
      <c r="M877" t="str">
        <f>VLOOKUP(H877,CHOOSE({1,2},Table11[Native],Table11[Name]),2,0)</f>
        <v>Yáng Xiàn</v>
      </c>
      <c r="N877" s="13" t="str">
        <f>VLOOKUP(I877,CHOOSE({1,2},Table11[Native],Table11[Name]),2,0)</f>
        <v>Hànzhōng Shì</v>
      </c>
      <c r="O877" s="13" t="str">
        <f t="shared" si="54"/>
        <v>Qishi Jiedao (Hànzhōng Shì)</v>
      </c>
      <c r="P877" s="13" t="str">
        <f t="shared" si="55"/>
        <v>Qishi Jiedao (Hànzhōng Shì)</v>
      </c>
    </row>
    <row r="878" spans="1:16" hidden="1" x14ac:dyDescent="0.25">
      <c r="A878" t="s">
        <v>867</v>
      </c>
      <c r="B878" t="str">
        <f t="shared" si="52"/>
        <v>Qīshùbà Zhèn</v>
      </c>
      <c r="C878" t="str">
        <f t="shared" si="53"/>
        <v>Qīshùbà Zhèn</v>
      </c>
      <c r="D878" t="s">
        <v>868</v>
      </c>
      <c r="E878" t="s">
        <v>7</v>
      </c>
      <c r="F878" t="str">
        <f>_xlfn.CONCAT(D878,", ",H878,", ",I878,", ","陕西省")</f>
        <v>漆树坝镇, 勉县, 汉中市, 陕西省</v>
      </c>
      <c r="G878">
        <v>4913</v>
      </c>
      <c r="H878" t="s">
        <v>3065</v>
      </c>
      <c r="I878" t="s">
        <v>3059</v>
      </c>
      <c r="J878">
        <f>VLOOKUP(F878,[1]!china_towns_second__2[[Column1]:[Y]],3,FALSE)</f>
        <v>32.943472508106701</v>
      </c>
      <c r="K878">
        <f>VLOOKUP(F878,[1]!china_towns_second__2[[Column1]:[Y]],2,FALSE)</f>
        <v>106.5706799</v>
      </c>
      <c r="L878" t="s">
        <v>4999</v>
      </c>
      <c r="M878" t="str">
        <f>VLOOKUP(H878,CHOOSE({1,2},Table11[Native],Table11[Name]),2,0)</f>
        <v>Miăn Xiàn</v>
      </c>
      <c r="N878" s="13" t="str">
        <f>VLOOKUP(I878,CHOOSE({1,2},Table11[Native],Table11[Name]),2,0)</f>
        <v>Hànzhōng Shì</v>
      </c>
      <c r="O878" s="13" t="str">
        <f t="shared" si="54"/>
        <v>Qishuba Zhen (Hànzhōng Shì)</v>
      </c>
      <c r="P878" s="13" t="str">
        <f t="shared" si="55"/>
        <v>Qishuba Zhen (Hànzhōng Shì)</v>
      </c>
    </row>
    <row r="879" spans="1:16" hidden="1" x14ac:dyDescent="0.25">
      <c r="A879" t="s">
        <v>2499</v>
      </c>
      <c r="B879" t="str">
        <f t="shared" si="52"/>
        <v>Qiūlín Zhèn [incl. Niújiāxì Xiāng]</v>
      </c>
      <c r="C879" t="str">
        <f t="shared" si="53"/>
        <v>Qiūlín Zhèn [incl. Niújiāxì Xiāng]</v>
      </c>
      <c r="D879" t="s">
        <v>2500</v>
      </c>
      <c r="E879" t="s">
        <v>7</v>
      </c>
      <c r="F879" t="str">
        <f>_xlfn.CONCAT(D879,", ",H879,", ",I879,", ","陕西省")</f>
        <v>秋林镇, 宜川县, 延安市, 陕西省</v>
      </c>
      <c r="G879">
        <v>16233</v>
      </c>
      <c r="H879" t="s">
        <v>3144</v>
      </c>
      <c r="I879" t="s">
        <v>3133</v>
      </c>
      <c r="J879">
        <f>VLOOKUP(F879,[1]!china_towns_second__2[[Column1]:[Y]],3,FALSE)</f>
        <v>36.0571913554448</v>
      </c>
      <c r="K879">
        <f>VLOOKUP(F879,[1]!china_towns_second__2[[Column1]:[Y]],2,FALSE)</f>
        <v>110.3142319</v>
      </c>
      <c r="L879" t="s">
        <v>5000</v>
      </c>
      <c r="M879" t="str">
        <f>VLOOKUP(H879,CHOOSE({1,2},Table11[Native],Table11[Name]),2,0)</f>
        <v>Yíchuān Xiàn</v>
      </c>
      <c r="N879" s="13" t="str">
        <f>VLOOKUP(I879,CHOOSE({1,2},Table11[Native],Table11[Name]),2,0)</f>
        <v>Yán'ān Shì</v>
      </c>
      <c r="O879" s="13" t="str">
        <f t="shared" si="54"/>
        <v>Qiulin Zhen [incl. Niujiaxi Xiang] (Yán'ān Shì)</v>
      </c>
      <c r="P879" s="13" t="str">
        <f t="shared" si="55"/>
        <v>Qiulin Zhen [incl. Niujiaxi Xiang] (Yán'ān Shì)</v>
      </c>
    </row>
    <row r="880" spans="1:16" hidden="1" x14ac:dyDescent="0.25">
      <c r="A880" t="s">
        <v>1839</v>
      </c>
      <c r="B880" t="str">
        <f t="shared" si="52"/>
        <v>Qiūpōtóu Zhèn</v>
      </c>
      <c r="C880" t="str">
        <f t="shared" si="53"/>
        <v>Qiūpōtóu Zhèn</v>
      </c>
      <c r="D880" t="s">
        <v>1840</v>
      </c>
      <c r="E880" t="s">
        <v>7</v>
      </c>
      <c r="F880" t="str">
        <f>_xlfn.CONCAT(D880,", ",H880,", ",I880,", ","陕西省")</f>
        <v>湫坡头镇, 旬邑县, 咸阳市, 陕西省</v>
      </c>
      <c r="G880">
        <v>22495</v>
      </c>
      <c r="H880" t="s">
        <v>3129</v>
      </c>
      <c r="I880" t="s">
        <v>3117</v>
      </c>
      <c r="J880">
        <f>VLOOKUP(F880,[1]!china_towns_second__2[[Column1]:[Y]],3,FALSE)</f>
        <v>35.228577472833102</v>
      </c>
      <c r="K880">
        <f>VLOOKUP(F880,[1]!china_towns_second__2[[Column1]:[Y]],2,FALSE)</f>
        <v>108.27906710000001</v>
      </c>
      <c r="L880" t="s">
        <v>5001</v>
      </c>
      <c r="M880" t="str">
        <f>VLOOKUP(H880,CHOOSE({1,2},Table11[Native],Table11[Name]),2,0)</f>
        <v>Xúnyì Xiàn</v>
      </c>
      <c r="N880" s="13" t="str">
        <f>VLOOKUP(I880,CHOOSE({1,2},Table11[Native],Table11[Name]),2,0)</f>
        <v>Xiányáng Shì</v>
      </c>
      <c r="O880" s="13" t="str">
        <f t="shared" si="54"/>
        <v>Qiupotou Zhen (Xiányáng Shì)</v>
      </c>
      <c r="P880" s="13" t="str">
        <f t="shared" si="55"/>
        <v>Qiupotou Zhen (Xiányáng Shì)</v>
      </c>
    </row>
    <row r="881" spans="1:16" hidden="1" x14ac:dyDescent="0.25">
      <c r="A881" t="s">
        <v>1327</v>
      </c>
      <c r="B881" t="str">
        <f t="shared" si="52"/>
        <v>Qīyīlù Jiēdào</v>
      </c>
      <c r="C881" t="str">
        <f t="shared" si="53"/>
        <v>Qīyīlù Jiēdào</v>
      </c>
      <c r="D881" t="s">
        <v>1328</v>
      </c>
      <c r="E881" t="s">
        <v>113</v>
      </c>
      <c r="F881" t="str">
        <f>_xlfn.CONCAT(D881,", ",H881,", ",I881,", ","陕西省")</f>
        <v>七一路街道, 王益区, 铜川市, 陕西省</v>
      </c>
      <c r="G881">
        <v>28007</v>
      </c>
      <c r="H881" t="s">
        <v>3082</v>
      </c>
      <c r="I881" t="s">
        <v>3081</v>
      </c>
      <c r="J881">
        <f>VLOOKUP(F881,[1]!china_towns_second__2[[Column1]:[Y]],3,FALSE)</f>
        <v>35.073481886618403</v>
      </c>
      <c r="K881">
        <f>VLOOKUP(F881,[1]!china_towns_second__2[[Column1]:[Y]],2,FALSE)</f>
        <v>109.0846932</v>
      </c>
      <c r="L881" t="s">
        <v>5002</v>
      </c>
      <c r="M881" t="str">
        <f>VLOOKUP(H881,CHOOSE({1,2},Table11[Native],Table11[Name]),2,0)</f>
        <v>Wángyì Qū</v>
      </c>
      <c r="N881" s="13" t="str">
        <f>VLOOKUP(I881,CHOOSE({1,2},Table11[Native],Table11[Name]),2,0)</f>
        <v>Tóngchuān Shì</v>
      </c>
      <c r="O881" s="13" t="str">
        <f t="shared" si="54"/>
        <v>Qiyilu Jiedao (Tóngchuān Shì)</v>
      </c>
      <c r="P881" s="13" t="str">
        <f t="shared" si="55"/>
        <v>Qiyilu Jiedao (Tóngchuān Shì)</v>
      </c>
    </row>
    <row r="882" spans="1:16" hidden="1" x14ac:dyDescent="0.25">
      <c r="A882" t="s">
        <v>1841</v>
      </c>
      <c r="B882" t="str">
        <f t="shared" si="52"/>
        <v>Qú'àn Zhèn</v>
      </c>
      <c r="C882" t="str">
        <f t="shared" si="53"/>
        <v>Qú'àn Zhèn</v>
      </c>
      <c r="D882" t="s">
        <v>1842</v>
      </c>
      <c r="E882" t="s">
        <v>7</v>
      </c>
      <c r="F882" t="str">
        <f>_xlfn.CONCAT(D882,", ",H882,", ",I882,", ","陕西省")</f>
        <v>渠岸镇, 三原县, 咸阳市, 陕西省</v>
      </c>
      <c r="G882">
        <v>30928</v>
      </c>
      <c r="H882" t="s">
        <v>3125</v>
      </c>
      <c r="I882" t="s">
        <v>3117</v>
      </c>
      <c r="J882">
        <f>VLOOKUP(F882,[1]!china_towns_second__2[[Column1]:[Y]],3,FALSE)</f>
        <v>34.625256528662</v>
      </c>
      <c r="K882">
        <f>VLOOKUP(F882,[1]!china_towns_second__2[[Column1]:[Y]],2,FALSE)</f>
        <v>108.9944892</v>
      </c>
      <c r="L882" t="s">
        <v>5003</v>
      </c>
      <c r="M882" t="str">
        <f>VLOOKUP(H882,CHOOSE({1,2},Table11[Native],Table11[Name]),2,0)</f>
        <v>Sānyuán Xiàn</v>
      </c>
      <c r="N882" s="13" t="str">
        <f>VLOOKUP(I882,CHOOSE({1,2},Table11[Native],Table11[Name]),2,0)</f>
        <v>Xiányáng Shì</v>
      </c>
      <c r="O882" s="13" t="str">
        <f t="shared" si="54"/>
        <v>Qu'an Zhen (Xiányáng Shì)</v>
      </c>
      <c r="P882" s="13" t="str">
        <f t="shared" si="55"/>
        <v>Qu'an Zhen (Xiányáng Shì)</v>
      </c>
    </row>
    <row r="883" spans="1:16" hidden="1" x14ac:dyDescent="0.25">
      <c r="A883" t="s">
        <v>2170</v>
      </c>
      <c r="B883" t="str">
        <f t="shared" si="52"/>
        <v>Qŭjiāng Jiēdào</v>
      </c>
      <c r="C883" t="str">
        <f t="shared" si="53"/>
        <v>Qŭjiāng Jiēdào</v>
      </c>
      <c r="D883" t="s">
        <v>2171</v>
      </c>
      <c r="E883" t="s">
        <v>113</v>
      </c>
      <c r="F883" t="str">
        <f>_xlfn.CONCAT(D883,", ",H883,", ",I883,", ","陕西省")</f>
        <v>曲江街道, 雁塔区, 西安市, 陕西省</v>
      </c>
      <c r="G883">
        <v>71496</v>
      </c>
      <c r="H883" t="s">
        <v>3114</v>
      </c>
      <c r="I883" t="s">
        <v>3102</v>
      </c>
      <c r="J883">
        <f>VLOOKUP(F883,[1]!china_towns_second__2[[Column1]:[Y]],3,FALSE)</f>
        <v>34.198756364491601</v>
      </c>
      <c r="K883">
        <f>VLOOKUP(F883,[1]!china_towns_second__2[[Column1]:[Y]],2,FALSE)</f>
        <v>109.0030727</v>
      </c>
      <c r="L883" t="s">
        <v>5004</v>
      </c>
      <c r="M883" t="str">
        <f>VLOOKUP(H883,CHOOSE({1,2},Table11[Native],Table11[Name]),2,0)</f>
        <v>Yàntă Qū</v>
      </c>
      <c r="N883" s="13" t="str">
        <f>VLOOKUP(I883,CHOOSE({1,2},Table11[Native],Table11[Name]),2,0)</f>
        <v>Xī'ān Shì</v>
      </c>
      <c r="O883" s="13" t="str">
        <f t="shared" si="54"/>
        <v>Qujiang Jiedao (Xī'ān Shì)</v>
      </c>
      <c r="P883" s="13" t="str">
        <f t="shared" si="55"/>
        <v>Qujiang Jiedao (Xī'ān Shì)</v>
      </c>
    </row>
    <row r="884" spans="1:16" hidden="1" x14ac:dyDescent="0.25">
      <c r="A884" t="s">
        <v>521</v>
      </c>
      <c r="B884" t="str">
        <f t="shared" si="52"/>
        <v>Qúnzhònglù Jiēdào</v>
      </c>
      <c r="C884" t="str">
        <f t="shared" si="53"/>
        <v>Qúnzhònglù Jiēdào</v>
      </c>
      <c r="D884" t="s">
        <v>522</v>
      </c>
      <c r="E884" t="s">
        <v>113</v>
      </c>
      <c r="F884" t="str">
        <f>_xlfn.CONCAT(D884,", ",H884,", ",I884,", ","陕西省")</f>
        <v>群众路街道, 金台区, 宝鸡市, 陕西省</v>
      </c>
      <c r="G884">
        <v>28501</v>
      </c>
      <c r="H884" t="s">
        <v>3050</v>
      </c>
      <c r="I884" t="s">
        <v>3045</v>
      </c>
      <c r="J884">
        <f>VLOOKUP(F884,[1]!china_towns_second__2[[Column1]:[Y]],3,FALSE)</f>
        <v>34.403961114005497</v>
      </c>
      <c r="K884">
        <f>VLOOKUP(F884,[1]!china_towns_second__2[[Column1]:[Y]],2,FALSE)</f>
        <v>107.1479362</v>
      </c>
      <c r="L884" t="s">
        <v>5005</v>
      </c>
      <c r="M884" t="str">
        <f>VLOOKUP(H884,CHOOSE({1,2},Table11[Native],Table11[Name]),2,0)</f>
        <v>Jīntái Qū</v>
      </c>
      <c r="N884" s="13" t="str">
        <f>VLOOKUP(I884,CHOOSE({1,2},Table11[Native],Table11[Name]),2,0)</f>
        <v>Băojī Shì</v>
      </c>
      <c r="O884" s="13" t="str">
        <f t="shared" si="54"/>
        <v>Qunzhonglu Jiedao (Băojī Shì)</v>
      </c>
      <c r="P884" s="13" t="str">
        <f t="shared" si="55"/>
        <v>Qunzhonglu Jiedao (Băojī Shì)</v>
      </c>
    </row>
    <row r="885" spans="1:16" hidden="1" x14ac:dyDescent="0.25">
      <c r="A885" t="s">
        <v>1843</v>
      </c>
      <c r="B885" t="str">
        <f t="shared" si="52"/>
        <v>Qúzi Zhèn [incl. Yŏngtài Xiāng]</v>
      </c>
      <c r="C885" t="str">
        <f t="shared" si="53"/>
        <v>Qúzi Zhèn [incl. Yŏngtài Xiāng]</v>
      </c>
      <c r="D885" t="s">
        <v>1844</v>
      </c>
      <c r="E885" t="s">
        <v>7</v>
      </c>
      <c r="F885" t="str">
        <f>_xlfn.CONCAT(D885,", ",H885,", ",I885,", ","陕西省")</f>
        <v>渠子镇, 永寿县, 咸阳市, 陕西省</v>
      </c>
      <c r="G885">
        <v>13971</v>
      </c>
      <c r="H885" t="s">
        <v>3131</v>
      </c>
      <c r="I885" t="s">
        <v>3117</v>
      </c>
      <c r="J885">
        <f>VLOOKUP(F885,[1]!china_towns_second__2[[Column1]:[Y]],3,FALSE)</f>
        <v>34.869976166780098</v>
      </c>
      <c r="K885">
        <f>VLOOKUP(F885,[1]!china_towns_second__2[[Column1]:[Y]],2,FALSE)</f>
        <v>108.17627160000001</v>
      </c>
      <c r="L885" t="s">
        <v>5006</v>
      </c>
      <c r="M885" t="str">
        <f>VLOOKUP(H885,CHOOSE({1,2},Table11[Native],Table11[Name]),2,0)</f>
        <v>Yŏngshòu Xiàn</v>
      </c>
      <c r="N885" s="13" t="str">
        <f>VLOOKUP(I885,CHOOSE({1,2},Table11[Native],Table11[Name]),2,0)</f>
        <v>Xiányáng Shì</v>
      </c>
      <c r="O885" s="13" t="str">
        <f t="shared" si="54"/>
        <v>Quzi Zhen [incl. Yongtai Xiang] (Xiányáng Shì)</v>
      </c>
      <c r="P885" s="13" t="str">
        <f t="shared" si="55"/>
        <v>Quzi Zhen [incl. Yongtai Xiang] (Xiányáng Shì)</v>
      </c>
    </row>
    <row r="886" spans="1:16" hidden="1" x14ac:dyDescent="0.25">
      <c r="A886" t="s">
        <v>184</v>
      </c>
      <c r="B886" t="str">
        <f t="shared" si="52"/>
        <v>Ráofēng Zhèn</v>
      </c>
      <c r="C886" t="str">
        <f t="shared" si="53"/>
        <v>Ráofēng Zhèn</v>
      </c>
      <c r="D886" t="s">
        <v>185</v>
      </c>
      <c r="E886" t="s">
        <v>7</v>
      </c>
      <c r="F886" t="str">
        <f>_xlfn.CONCAT(D886,", ",H886,", ",I886,", ","陕西省")</f>
        <v>饶峰镇, 石泉县, 安康市, 陕西省</v>
      </c>
      <c r="G886">
        <v>10586</v>
      </c>
      <c r="H886" t="s">
        <v>3040</v>
      </c>
      <c r="I886" t="s">
        <v>3031</v>
      </c>
      <c r="J886">
        <f>VLOOKUP(F886,[1]!china_towns_second__2[[Column1]:[Y]],3,FALSE)</f>
        <v>33.195221120446597</v>
      </c>
      <c r="K886">
        <f>VLOOKUP(F886,[1]!china_towns_second__2[[Column1]:[Y]],2,FALSE)</f>
        <v>108.1680345</v>
      </c>
      <c r="L886" t="s">
        <v>5007</v>
      </c>
      <c r="M886" t="str">
        <f>VLOOKUP(H886,CHOOSE({1,2},Table11[Native],Table11[Name]),2,0)</f>
        <v>Shíquán Xiàn</v>
      </c>
      <c r="N886" s="13" t="str">
        <f>VLOOKUP(I886,CHOOSE({1,2},Table11[Native],Table11[Name]),2,0)</f>
        <v>Ānkāng Shì</v>
      </c>
      <c r="O886" s="13" t="str">
        <f t="shared" si="54"/>
        <v>Raofeng Zhen (Ānkāng Shì)</v>
      </c>
      <c r="P886" s="13" t="str">
        <f t="shared" si="55"/>
        <v>Raofeng Zhen (Ānkāng Shì)</v>
      </c>
    </row>
    <row r="887" spans="1:16" hidden="1" x14ac:dyDescent="0.25">
      <c r="A887" t="s">
        <v>869</v>
      </c>
      <c r="B887" t="str">
        <f t="shared" si="52"/>
        <v>Réncūn Zhèn</v>
      </c>
      <c r="C887" t="str">
        <f t="shared" si="53"/>
        <v>Réncūn Zhèn</v>
      </c>
      <c r="D887" t="s">
        <v>870</v>
      </c>
      <c r="E887" t="s">
        <v>7</v>
      </c>
      <c r="F887" t="str">
        <f>_xlfn.CONCAT(D887,", ",H887,", ",I887,", ","陕西省")</f>
        <v>仁村镇, 镇巴县, 汉中市, 陕西省</v>
      </c>
      <c r="G887">
        <v>5898</v>
      </c>
      <c r="H887" t="s">
        <v>3070</v>
      </c>
      <c r="I887" t="s">
        <v>3059</v>
      </c>
      <c r="J887">
        <f>VLOOKUP(F887,[1]!china_towns_second__2[[Column1]:[Y]],3,FALSE)</f>
        <v>32.316275874926902</v>
      </c>
      <c r="K887">
        <f>VLOOKUP(F887,[1]!china_towns_second__2[[Column1]:[Y]],2,FALSE)</f>
        <v>107.8181601</v>
      </c>
      <c r="L887" t="s">
        <v>5008</v>
      </c>
      <c r="M887" t="str">
        <f>VLOOKUP(H887,CHOOSE({1,2},Table11[Native],Table11[Name]),2,0)</f>
        <v>Zhènbā Xiàn</v>
      </c>
      <c r="N887" s="13" t="str">
        <f>VLOOKUP(I887,CHOOSE({1,2},Table11[Native],Table11[Name]),2,0)</f>
        <v>Hànzhōng Shì</v>
      </c>
      <c r="O887" s="13" t="str">
        <f t="shared" si="54"/>
        <v>Rencun Zhen (Hànzhōng Shì)</v>
      </c>
      <c r="P887" s="13" t="str">
        <f t="shared" si="55"/>
        <v>Rencun Zhen (Hànzhōng Shì)</v>
      </c>
    </row>
    <row r="888" spans="1:16" hidden="1" x14ac:dyDescent="0.25">
      <c r="A888" t="s">
        <v>186</v>
      </c>
      <c r="B888" t="str">
        <f t="shared" si="52"/>
        <v>Rénhékŏu Zhèn</v>
      </c>
      <c r="C888" t="str">
        <f t="shared" si="53"/>
        <v>Rénhékŏu Zhèn</v>
      </c>
      <c r="D888" t="s">
        <v>187</v>
      </c>
      <c r="E888" t="s">
        <v>7</v>
      </c>
      <c r="F888" t="str">
        <f>_xlfn.CONCAT(D888,", ",H888,", ",I888,", ","陕西省")</f>
        <v>仁河口镇, 旬阳县, 安康市, 陕西省</v>
      </c>
      <c r="G888">
        <v>6486</v>
      </c>
      <c r="H888" t="s">
        <v>3041</v>
      </c>
      <c r="I888" t="s">
        <v>3031</v>
      </c>
      <c r="J888">
        <f>VLOOKUP(F888,[1]!china_towns_second__2[[Column1]:[Y]],3,FALSE)</f>
        <v>33.158041420973298</v>
      </c>
      <c r="K888">
        <f>VLOOKUP(F888,[1]!china_towns_second__2[[Column1]:[Y]],2,FALSE)</f>
        <v>109.04593319999999</v>
      </c>
      <c r="L888" t="s">
        <v>5009</v>
      </c>
      <c r="M888" t="str">
        <f>VLOOKUP(H888,CHOOSE({1,2},Table11[Native],Table11[Name]),2,0)</f>
        <v>Xúnyáng Xiàn</v>
      </c>
      <c r="N888" s="13" t="str">
        <f>VLOOKUP(I888,CHOOSE({1,2},Table11[Native],Table11[Name]),2,0)</f>
        <v>Ānkāng Shì</v>
      </c>
      <c r="O888" s="13" t="str">
        <f t="shared" si="54"/>
        <v>Renhekou Zhen (Ānkāng Shì)</v>
      </c>
      <c r="P888" s="13" t="str">
        <f t="shared" si="55"/>
        <v>Renhekou Zhen (Ānkāng Shì)</v>
      </c>
    </row>
    <row r="889" spans="1:16" hidden="1" x14ac:dyDescent="0.25">
      <c r="A889" t="s">
        <v>2172</v>
      </c>
      <c r="B889" t="str">
        <f t="shared" si="52"/>
        <v>Rènliú Jiēdào</v>
      </c>
      <c r="C889" t="str">
        <f t="shared" si="53"/>
        <v>Rènliú Jiēdào</v>
      </c>
      <c r="D889" t="s">
        <v>2173</v>
      </c>
      <c r="E889" t="s">
        <v>113</v>
      </c>
      <c r="F889" t="str">
        <f>_xlfn.CONCAT(D889,", ",H889,", ",I889,", ","陕西省")</f>
        <v>任留街道, 临潼区, 西安市, 陕西省</v>
      </c>
      <c r="G889">
        <v>21635</v>
      </c>
      <c r="H889" t="s">
        <v>3110</v>
      </c>
      <c r="I889" t="s">
        <v>3102</v>
      </c>
      <c r="J889">
        <f>VLOOKUP(F889,[1]!china_towns_second__2[[Column1]:[Y]],3,FALSE)</f>
        <v>34.480879678190497</v>
      </c>
      <c r="K889">
        <f>VLOOKUP(F889,[1]!china_towns_second__2[[Column1]:[Y]],2,FALSE)</f>
        <v>109.2408913</v>
      </c>
      <c r="L889" t="s">
        <v>5010</v>
      </c>
      <c r="M889" t="str">
        <f>VLOOKUP(H889,CHOOSE({1,2},Table11[Native],Table11[Name]),2,0)</f>
        <v>Líntóng Qū</v>
      </c>
      <c r="N889" s="13" t="str">
        <f>VLOOKUP(I889,CHOOSE({1,2},Table11[Native],Table11[Name]),2,0)</f>
        <v>Xī'ān Shì</v>
      </c>
      <c r="O889" s="13" t="str">
        <f t="shared" si="54"/>
        <v>Renliu Jiedao (Xī'ān Shì)</v>
      </c>
      <c r="P889" s="13" t="str">
        <f t="shared" si="55"/>
        <v>Renliu Jiedao (Xī'ān Shì)</v>
      </c>
    </row>
    <row r="890" spans="1:16" hidden="1" x14ac:dyDescent="0.25">
      <c r="A890" t="s">
        <v>1590</v>
      </c>
      <c r="B890" t="str">
        <f t="shared" si="52"/>
        <v>Rénmín Jiēdào</v>
      </c>
      <c r="C890" t="str">
        <f t="shared" si="53"/>
        <v>Rénmín Jiēdào</v>
      </c>
      <c r="D890" t="s">
        <v>1591</v>
      </c>
      <c r="E890" t="s">
        <v>113</v>
      </c>
      <c r="F890" t="str">
        <f>_xlfn.CONCAT(D890,", ",H890,", ",I890,", ","陕西省")</f>
        <v>人民街道, 临渭区, 渭南市, 陕西省</v>
      </c>
      <c r="G890">
        <v>66293</v>
      </c>
      <c r="H890" t="s">
        <v>3097</v>
      </c>
      <c r="I890" t="s">
        <v>3087</v>
      </c>
      <c r="J890">
        <f>VLOOKUP(F890,[1]!china_towns_second__2[[Column1]:[Y]],3,FALSE)</f>
        <v>34.511381097135597</v>
      </c>
      <c r="K890">
        <f>VLOOKUP(F890,[1]!china_towns_second__2[[Column1]:[Y]],2,FALSE)</f>
        <v>109.51348419999999</v>
      </c>
      <c r="L890" t="s">
        <v>5011</v>
      </c>
      <c r="M890" t="str">
        <f>VLOOKUP(H890,CHOOSE({1,2},Table11[Native],Table11[Name]),2,0)</f>
        <v>Línwèi Qū</v>
      </c>
      <c r="N890" s="13" t="str">
        <f>VLOOKUP(I890,CHOOSE({1,2},Table11[Native],Table11[Name]),2,0)</f>
        <v>Wèinán Shì</v>
      </c>
      <c r="O890" s="13" t="str">
        <f t="shared" si="54"/>
        <v>Renmin Jiedao (Wèinán Shì)</v>
      </c>
      <c r="P890" s="13" t="str">
        <f t="shared" si="55"/>
        <v>Renmin Jiedao (Wèinán Shì)</v>
      </c>
    </row>
    <row r="891" spans="1:16" hidden="1" x14ac:dyDescent="0.25">
      <c r="A891" t="s">
        <v>1845</v>
      </c>
      <c r="B891" t="str">
        <f t="shared" si="52"/>
        <v>Rénmínlù Jiēdào</v>
      </c>
      <c r="C891" t="str">
        <f t="shared" si="53"/>
        <v>Rénmínlù Jiēdào</v>
      </c>
      <c r="D891" t="s">
        <v>1846</v>
      </c>
      <c r="E891" t="s">
        <v>113</v>
      </c>
      <c r="F891" t="str">
        <f>_xlfn.CONCAT(D891,", ",H891,", ",I891,", ","陕西省")</f>
        <v>人民路街道, 秦都区, 咸阳市, 陕西省</v>
      </c>
      <c r="G891">
        <v>36638</v>
      </c>
      <c r="H891" t="s">
        <v>3124</v>
      </c>
      <c r="I891" t="s">
        <v>3117</v>
      </c>
      <c r="J891">
        <f>VLOOKUP(F891,[1]!china_towns_second__2[[Column1]:[Y]],3,FALSE)</f>
        <v>34.334411833192</v>
      </c>
      <c r="K891">
        <f>VLOOKUP(F891,[1]!china_towns_second__2[[Column1]:[Y]],2,FALSE)</f>
        <v>108.7062621</v>
      </c>
      <c r="L891" t="s">
        <v>5012</v>
      </c>
      <c r="M891" t="str">
        <f>VLOOKUP(H891,CHOOSE({1,2},Table11[Native],Table11[Name]),2,0)</f>
        <v>Qíndū Qū</v>
      </c>
      <c r="N891" s="13" t="str">
        <f>VLOOKUP(I891,CHOOSE({1,2},Table11[Native],Table11[Name]),2,0)</f>
        <v>Xiányáng Shì</v>
      </c>
      <c r="O891" s="13" t="str">
        <f t="shared" si="54"/>
        <v>Renminlu Jiedao (Xiányáng Shì)</v>
      </c>
      <c r="P891" s="13" t="str">
        <f t="shared" si="55"/>
        <v>Renminlu Jiedao (Xiányáng Shì)</v>
      </c>
    </row>
    <row r="892" spans="1:16" hidden="1" x14ac:dyDescent="0.25">
      <c r="A892" t="s">
        <v>2174</v>
      </c>
      <c r="B892" t="str">
        <f t="shared" si="52"/>
        <v>Rénzōng Jiēdào</v>
      </c>
      <c r="C892" t="str">
        <f t="shared" si="53"/>
        <v>Rénzōng Jiēdào</v>
      </c>
      <c r="D892" t="s">
        <v>2175</v>
      </c>
      <c r="E892" t="s">
        <v>113</v>
      </c>
      <c r="F892" t="str">
        <f>_xlfn.CONCAT(D892,", ",H892,", ",I892,", ","陕西省")</f>
        <v>仁宗街道, 临潼区, 西安市, 陕西省</v>
      </c>
      <c r="G892">
        <v>8621</v>
      </c>
      <c r="H892" t="s">
        <v>3110</v>
      </c>
      <c r="I892" t="s">
        <v>3102</v>
      </c>
      <c r="J892">
        <f>VLOOKUP(F892,[1]!china_towns_second__2[[Column1]:[Y]],3,FALSE)</f>
        <v>34.336821803551501</v>
      </c>
      <c r="K892">
        <f>VLOOKUP(F892,[1]!china_towns_second__2[[Column1]:[Y]],2,FALSE)</f>
        <v>109.28957560000001</v>
      </c>
      <c r="L892" t="s">
        <v>5013</v>
      </c>
      <c r="M892" t="str">
        <f>VLOOKUP(H892,CHOOSE({1,2},Table11[Native],Table11[Name]),2,0)</f>
        <v>Líntóng Qū</v>
      </c>
      <c r="N892" s="13" t="str">
        <f>VLOOKUP(I892,CHOOSE({1,2},Table11[Native],Table11[Name]),2,0)</f>
        <v>Xī'ān Shì</v>
      </c>
      <c r="O892" s="13" t="str">
        <f t="shared" si="54"/>
        <v>Renzong Jiedao (Xī'ān Shì)</v>
      </c>
      <c r="P892" s="13" t="str">
        <f t="shared" si="55"/>
        <v>Renzong Jiedao (Xī'ān Shì)</v>
      </c>
    </row>
    <row r="893" spans="1:16" hidden="1" x14ac:dyDescent="0.25">
      <c r="A893" t="s">
        <v>2501</v>
      </c>
      <c r="B893" t="str">
        <f t="shared" si="52"/>
        <v>Rèsìwān Xiāng</v>
      </c>
      <c r="C893" t="str">
        <f t="shared" si="53"/>
        <v>Rèsìwān Xiāng</v>
      </c>
      <c r="D893" t="s">
        <v>2502</v>
      </c>
      <c r="E893" t="s">
        <v>11</v>
      </c>
      <c r="F893" t="str">
        <f>_xlfn.CONCAT(D893,", ",H893,", ",I893,", ","陕西省")</f>
        <v>热寺湾乡, 子长市, 延安市, 陕西省</v>
      </c>
      <c r="G893">
        <v>3231</v>
      </c>
      <c r="H893" t="s">
        <v>3146</v>
      </c>
      <c r="I893" t="s">
        <v>3133</v>
      </c>
      <c r="J893" t="e">
        <f>VLOOKUP(F893,[1]!china_towns_second__2[[Column1]:[Y]],3,FALSE)</f>
        <v>#N/A</v>
      </c>
      <c r="K893" t="e">
        <f>VLOOKUP(F893,[1]!china_towns_second__2[[Column1]:[Y]],2,FALSE)</f>
        <v>#N/A</v>
      </c>
      <c r="L893" t="s">
        <v>5014</v>
      </c>
      <c r="M893" t="str">
        <f>VLOOKUP(H893,CHOOSE({1,2},Table11[Native],Table11[Name]),2,0)</f>
        <v>Zicháng Shì</v>
      </c>
      <c r="N893" s="13" t="str">
        <f>VLOOKUP(I893,CHOOSE({1,2},Table11[Native],Table11[Name]),2,0)</f>
        <v>Yán'ān Shì</v>
      </c>
      <c r="O893" s="13" t="str">
        <f t="shared" si="54"/>
        <v>Resiwan Xiang (Yán'ān Shì)</v>
      </c>
      <c r="P893" s="13" t="str">
        <f t="shared" si="55"/>
        <v>Resiwan Xiang (Yán'ān Shì)</v>
      </c>
    </row>
    <row r="894" spans="1:16" hidden="1" x14ac:dyDescent="0.25">
      <c r="A894" t="s">
        <v>1847</v>
      </c>
      <c r="B894" t="str">
        <f t="shared" si="52"/>
        <v>Róugŭ Zhèn</v>
      </c>
      <c r="C894" t="str">
        <f t="shared" si="53"/>
        <v>Róugŭ Zhèn</v>
      </c>
      <c r="D894" t="s">
        <v>1848</v>
      </c>
      <c r="E894" t="s">
        <v>7</v>
      </c>
      <c r="F894" t="str">
        <f>_xlfn.CONCAT(D894,", ",H894,", ",I894,", ","陕西省")</f>
        <v>揉谷镇, 杨陵区, 咸阳市, 陕西省</v>
      </c>
      <c r="G894">
        <v>31261</v>
      </c>
      <c r="H894" t="s">
        <v>3130</v>
      </c>
      <c r="I894" t="s">
        <v>3117</v>
      </c>
      <c r="J894">
        <f>VLOOKUP(F894,[1]!china_towns_second__2[[Column1]:[Y]],3,FALSE)</f>
        <v>34.2572403642707</v>
      </c>
      <c r="K894">
        <f>VLOOKUP(F894,[1]!china_towns_second__2[[Column1]:[Y]],2,FALSE)</f>
        <v>108.0158462</v>
      </c>
      <c r="L894" t="s">
        <v>5015</v>
      </c>
      <c r="M894" t="str">
        <f>VLOOKUP(H894,CHOOSE({1,2},Table11[Native],Table11[Name]),2,0)</f>
        <v>Yánglíng Qū</v>
      </c>
      <c r="N894" s="13" t="str">
        <f>VLOOKUP(I894,CHOOSE({1,2},Table11[Native],Table11[Name]),2,0)</f>
        <v>Xiányáng Shì</v>
      </c>
      <c r="O894" s="13" t="str">
        <f t="shared" si="54"/>
        <v>Rougu Zhen (Xiányáng Shì)</v>
      </c>
      <c r="P894" s="13" t="str">
        <f t="shared" si="55"/>
        <v>Rougu Zhen (Xiányáng Shì)</v>
      </c>
    </row>
    <row r="895" spans="1:16" hidden="1" x14ac:dyDescent="0.25">
      <c r="A895" t="s">
        <v>1849</v>
      </c>
      <c r="B895" t="str">
        <f t="shared" si="52"/>
        <v>Rùn Zhèn [incl. Bŭjiā Xiāng]</v>
      </c>
      <c r="C895" t="str">
        <f t="shared" si="53"/>
        <v>Rùn Zhèn [incl. Bŭjiā Xiāng]</v>
      </c>
      <c r="D895" t="s">
        <v>1850</v>
      </c>
      <c r="E895" t="s">
        <v>7</v>
      </c>
      <c r="F895" t="str">
        <f>_xlfn.CONCAT(D895,", ",H895,", ",I895,", ","陕西省")</f>
        <v>润镇, 淳化县, 咸阳市, 陕西省</v>
      </c>
      <c r="G895">
        <v>25828</v>
      </c>
      <c r="H895" t="s">
        <v>3120</v>
      </c>
      <c r="I895" t="s">
        <v>3117</v>
      </c>
      <c r="J895">
        <f>VLOOKUP(F895,[1]!china_towns_second__2[[Column1]:[Y]],3,FALSE)</f>
        <v>34.866112725752203</v>
      </c>
      <c r="K895">
        <f>VLOOKUP(F895,[1]!china_towns_second__2[[Column1]:[Y]],2,FALSE)</f>
        <v>108.5257589</v>
      </c>
      <c r="L895" t="s">
        <v>5016</v>
      </c>
      <c r="M895" t="str">
        <f>VLOOKUP(H895,CHOOSE({1,2},Table11[Native],Table11[Name]),2,0)</f>
        <v>Chúnhuà Xiàn</v>
      </c>
      <c r="N895" s="13" t="str">
        <f>VLOOKUP(I895,CHOOSE({1,2},Table11[Native],Table11[Name]),2,0)</f>
        <v>Xiányáng Shì</v>
      </c>
      <c r="O895" s="13" t="str">
        <f t="shared" si="54"/>
        <v>Run Zhen [incl. Bujia Xiang] (Xiányáng Shì)</v>
      </c>
      <c r="P895" s="13" t="str">
        <f t="shared" si="55"/>
        <v>Run Zhen [incl. Bujia Xiang] (Xiányáng Shì)</v>
      </c>
    </row>
    <row r="896" spans="1:16" hidden="1" x14ac:dyDescent="0.25">
      <c r="A896" t="s">
        <v>2503</v>
      </c>
      <c r="B896" t="str">
        <f t="shared" si="52"/>
        <v>Sānchà Zhèn</v>
      </c>
      <c r="C896" t="str">
        <f t="shared" si="53"/>
        <v>Sānchà Zhèn</v>
      </c>
      <c r="D896" t="s">
        <v>2504</v>
      </c>
      <c r="E896" t="s">
        <v>7</v>
      </c>
      <c r="F896" t="str">
        <f>_xlfn.CONCAT(D896,", ",H896,", ",I896,", ","陕西省")</f>
        <v>三岔镇, 黄龙县, 延安市, 陕西省</v>
      </c>
      <c r="G896">
        <v>7795</v>
      </c>
      <c r="H896" t="s">
        <v>3139</v>
      </c>
      <c r="I896" t="s">
        <v>3133</v>
      </c>
      <c r="J896">
        <f>VLOOKUP(F896,[1]!china_towns_second__2[[Column1]:[Y]],3,FALSE)</f>
        <v>35.620406957092797</v>
      </c>
      <c r="K896">
        <f>VLOOKUP(F896,[1]!china_towns_second__2[[Column1]:[Y]],2,FALSE)</f>
        <v>109.7358926</v>
      </c>
      <c r="L896" t="s">
        <v>5017</v>
      </c>
      <c r="M896" t="str">
        <f>VLOOKUP(H896,CHOOSE({1,2},Table11[Native],Table11[Name]),2,0)</f>
        <v>Huánglóng Xiàn</v>
      </c>
      <c r="N896" s="13" t="str">
        <f>VLOOKUP(I896,CHOOSE({1,2},Table11[Native],Table11[Name]),2,0)</f>
        <v>Yán'ān Shì</v>
      </c>
      <c r="O896" s="13" t="str">
        <f t="shared" si="54"/>
        <v>Sancha Zhen (Yán'ān Shì)</v>
      </c>
      <c r="P896" s="13" t="str">
        <f t="shared" si="55"/>
        <v>Sancha Zhen (Yán'ān Shì)</v>
      </c>
    </row>
    <row r="897" spans="1:16" hidden="1" x14ac:dyDescent="0.25">
      <c r="A897" t="s">
        <v>1186</v>
      </c>
      <c r="B897" t="str">
        <f t="shared" si="52"/>
        <v>Sānchàhé Zhèn</v>
      </c>
      <c r="C897" t="str">
        <f t="shared" si="53"/>
        <v>Sānchàhé Zhèn</v>
      </c>
      <c r="D897" t="s">
        <v>1187</v>
      </c>
      <c r="E897" t="s">
        <v>7</v>
      </c>
      <c r="F897" t="str">
        <f>_xlfn.CONCAT(D897,", ",H897,", ",I897,", ","陕西省")</f>
        <v>三岔河镇, 商州区, 商洛市, 陕西省</v>
      </c>
      <c r="G897">
        <v>11410</v>
      </c>
      <c r="H897" t="s">
        <v>3076</v>
      </c>
      <c r="I897" t="s">
        <v>3072</v>
      </c>
      <c r="J897">
        <f>VLOOKUP(F897,[1]!china_towns_second__2[[Column1]:[Y]],3,FALSE)</f>
        <v>33.965589891844402</v>
      </c>
      <c r="K897">
        <f>VLOOKUP(F897,[1]!china_towns_second__2[[Column1]:[Y]],2,FALSE)</f>
        <v>109.6771421</v>
      </c>
      <c r="L897" t="s">
        <v>5018</v>
      </c>
      <c r="M897" t="str">
        <f>VLOOKUP(H897,CHOOSE({1,2},Table11[Native],Table11[Name]),2,0)</f>
        <v>Shāngzhōu Qū</v>
      </c>
      <c r="N897" s="13" t="str">
        <f>VLOOKUP(I897,CHOOSE({1,2},Table11[Native],Table11[Name]),2,0)</f>
        <v>Shāngluò Shì</v>
      </c>
      <c r="O897" s="13" t="str">
        <f t="shared" si="54"/>
        <v>Sanchahe Zhen (Shāngluò Shì)</v>
      </c>
      <c r="P897" s="13" t="str">
        <f t="shared" si="55"/>
        <v>Sanchahe Zhen (Shāngluò Shì)</v>
      </c>
    </row>
    <row r="898" spans="1:16" hidden="1" x14ac:dyDescent="0.25">
      <c r="A898" t="s">
        <v>2861</v>
      </c>
      <c r="B898" t="str">
        <f t="shared" ref="B898:B961" si="56">IF(COUNTIF(A:A,A898)&gt;1,_xlfn.CONCAT(A898," (",N898,")"),A898)</f>
        <v>Sānchuānkŏu Zhèn</v>
      </c>
      <c r="C898" t="str">
        <f t="shared" ref="C898:C961" si="57">IF(COUNTIF(B:B,B898)&gt;1,_xlfn.CONCAT(A898," (",M898,")"),B898)</f>
        <v>Sānchuānkŏu Zhèn</v>
      </c>
      <c r="D898" t="s">
        <v>2862</v>
      </c>
      <c r="E898" t="s">
        <v>7</v>
      </c>
      <c r="F898" t="str">
        <f>_xlfn.CONCAT(D898,", ",H898,", ",I898,", ","陕西省")</f>
        <v>三川口镇, 子洲县, 榆林市, 陕西省</v>
      </c>
      <c r="G898">
        <v>9165</v>
      </c>
      <c r="H898" t="s">
        <v>3160</v>
      </c>
      <c r="I898" t="s">
        <v>3148</v>
      </c>
      <c r="J898">
        <f>VLOOKUP(F898,[1]!china_towns_second__2[[Column1]:[Y]],3,FALSE)</f>
        <v>37.711633862804902</v>
      </c>
      <c r="K898">
        <f>VLOOKUP(F898,[1]!china_towns_second__2[[Column1]:[Y]],2,FALSE)</f>
        <v>109.9182397</v>
      </c>
      <c r="L898" t="s">
        <v>5019</v>
      </c>
      <c r="M898" t="str">
        <f>VLOOKUP(H898,CHOOSE({1,2},Table11[Native],Table11[Name]),2,0)</f>
        <v>Zizhōu Xiàn</v>
      </c>
      <c r="N898" s="13" t="str">
        <f>VLOOKUP(I898,CHOOSE({1,2},Table11[Native],Table11[Name]),2,0)</f>
        <v>Yúlín Shì</v>
      </c>
      <c r="O898" s="13" t="str">
        <f t="shared" ref="O898:O961" si="58">_xlfn.CONCAT(L898," (",N898,")")</f>
        <v>Sanchuankou Zhen (Yúlín Shì)</v>
      </c>
      <c r="P898" s="13" t="str">
        <f t="shared" ref="P898:P961" si="59">IF(COUNTIF(O:O,O898)&gt;1,_xlfn.CONCAT(L898," (",M898,")"),O898)</f>
        <v>Sanchuankou Zhen (Yúlín Shì)</v>
      </c>
    </row>
    <row r="899" spans="1:16" hidden="1" x14ac:dyDescent="0.25">
      <c r="A899" t="s">
        <v>2863</v>
      </c>
      <c r="B899" t="str">
        <f t="shared" si="56"/>
        <v>Sāndàogōu Zhèn</v>
      </c>
      <c r="C899" t="str">
        <f t="shared" si="57"/>
        <v>Sāndàogōu Zhèn</v>
      </c>
      <c r="D899" t="s">
        <v>2864</v>
      </c>
      <c r="E899" t="s">
        <v>7</v>
      </c>
      <c r="F899" t="str">
        <f>_xlfn.CONCAT(D899,", ",H899,", ",I899,", ","陕西省")</f>
        <v>三道沟镇, 府谷县, 榆林市, 陕西省</v>
      </c>
      <c r="G899">
        <v>12137</v>
      </c>
      <c r="H899" t="s">
        <v>3150</v>
      </c>
      <c r="I899" t="s">
        <v>3148</v>
      </c>
      <c r="J899">
        <f>VLOOKUP(F899,[1]!china_towns_second__2[[Column1]:[Y]],3,FALSE)</f>
        <v>39.170532863004503</v>
      </c>
      <c r="K899">
        <f>VLOOKUP(F899,[1]!china_towns_second__2[[Column1]:[Y]],2,FALSE)</f>
        <v>110.7057782</v>
      </c>
      <c r="L899" t="s">
        <v>5020</v>
      </c>
      <c r="M899" t="str">
        <f>VLOOKUP(H899,CHOOSE({1,2},Table11[Native],Table11[Name]),2,0)</f>
        <v>Fŭgŭ Xiàn</v>
      </c>
      <c r="N899" s="13" t="str">
        <f>VLOOKUP(I899,CHOOSE({1,2},Table11[Native],Table11[Name]),2,0)</f>
        <v>Yúlín Shì</v>
      </c>
      <c r="O899" s="13" t="str">
        <f t="shared" si="58"/>
        <v>Sandaogou Zhen (Yúlín Shì)</v>
      </c>
      <c r="P899" s="13" t="str">
        <f t="shared" si="59"/>
        <v>Sandaogou Zhen (Yúlín Shì)</v>
      </c>
    </row>
    <row r="900" spans="1:16" hidden="1" x14ac:dyDescent="0.25">
      <c r="A900" t="s">
        <v>1851</v>
      </c>
      <c r="B900" t="str">
        <f t="shared" si="56"/>
        <v>Sāng Zhèn</v>
      </c>
      <c r="C900" t="str">
        <f t="shared" si="57"/>
        <v>Sāng Zhèn</v>
      </c>
      <c r="D900" t="s">
        <v>1852</v>
      </c>
      <c r="E900" t="s">
        <v>7</v>
      </c>
      <c r="F900" t="str">
        <f>_xlfn.CONCAT(D900,", ",H900,", ",I900,", ","陕西省")</f>
        <v>桑镇, 兴平市, 咸阳市, 陕西省</v>
      </c>
      <c r="G900">
        <v>26083</v>
      </c>
      <c r="H900" t="s">
        <v>3128</v>
      </c>
      <c r="I900" t="s">
        <v>3117</v>
      </c>
      <c r="J900">
        <f>VLOOKUP(F900,[1]!china_towns_second__2[[Column1]:[Y]],3,FALSE)</f>
        <v>34.238309936875403</v>
      </c>
      <c r="K900">
        <f>VLOOKUP(F900,[1]!china_towns_second__2[[Column1]:[Y]],2,FALSE)</f>
        <v>108.32907729999999</v>
      </c>
      <c r="L900" t="s">
        <v>5021</v>
      </c>
      <c r="M900" t="str">
        <f>VLOOKUP(H900,CHOOSE({1,2},Table11[Native],Table11[Name]),2,0)</f>
        <v>Xīngpíng Shì</v>
      </c>
      <c r="N900" s="13" t="str">
        <f>VLOOKUP(I900,CHOOSE({1,2},Table11[Native],Table11[Name]),2,0)</f>
        <v>Xiányáng Shì</v>
      </c>
      <c r="O900" s="13" t="str">
        <f t="shared" si="58"/>
        <v>Sang Zhen (Xiányáng Shì)</v>
      </c>
      <c r="P900" s="13" t="str">
        <f t="shared" si="59"/>
        <v>Sang Zhen (Xiányáng Shì)</v>
      </c>
    </row>
    <row r="901" spans="1:16" hidden="1" x14ac:dyDescent="0.25">
      <c r="A901" t="s">
        <v>1592</v>
      </c>
      <c r="B901" t="str">
        <f t="shared" si="56"/>
        <v>Sāngshùpíng Zhèn [incl. Wángfēng Xiāng]</v>
      </c>
      <c r="C901" t="str">
        <f t="shared" si="57"/>
        <v>Sāngshùpíng Zhèn [incl. Wángfēng Xiāng]</v>
      </c>
      <c r="D901" t="s">
        <v>1593</v>
      </c>
      <c r="E901" t="s">
        <v>7</v>
      </c>
      <c r="F901" t="str">
        <f>_xlfn.CONCAT(D901,", ",H901,", ",I901,", ","陕西省")</f>
        <v>桑树坪镇, 韩城市, 渭南市, 陕西省</v>
      </c>
      <c r="G901">
        <v>32677</v>
      </c>
      <c r="H901" t="s">
        <v>3093</v>
      </c>
      <c r="I901" t="s">
        <v>3087</v>
      </c>
      <c r="J901">
        <f>VLOOKUP(F901,[1]!china_towns_second__2[[Column1]:[Y]],3,FALSE)</f>
        <v>35.768361932117699</v>
      </c>
      <c r="K901">
        <f>VLOOKUP(F901,[1]!china_towns_second__2[[Column1]:[Y]],2,FALSE)</f>
        <v>110.5009989</v>
      </c>
      <c r="L901" t="s">
        <v>5022</v>
      </c>
      <c r="M901" t="str">
        <f>VLOOKUP(H901,CHOOSE({1,2},Table11[Native],Table11[Name]),2,0)</f>
        <v>Hánchéng Shì</v>
      </c>
      <c r="N901" s="13" t="str">
        <f>VLOOKUP(I901,CHOOSE({1,2},Table11[Native],Table11[Name]),2,0)</f>
        <v>Wèinán Shì</v>
      </c>
      <c r="O901" s="13" t="str">
        <f t="shared" si="58"/>
        <v>Sangshuping Zhen [incl. Wangfeng Xiang] (Wèinán Shì)</v>
      </c>
      <c r="P901" s="13" t="str">
        <f t="shared" si="59"/>
        <v>Sangshuping Zhen [incl. Wangfeng Xiang] (Wèinán Shì)</v>
      </c>
    </row>
    <row r="902" spans="1:16" hidden="1" x14ac:dyDescent="0.25">
      <c r="A902" t="s">
        <v>523</v>
      </c>
      <c r="B902" t="str">
        <f t="shared" si="56"/>
        <v>Sāngshùyuán Xiāng</v>
      </c>
      <c r="C902" t="str">
        <f t="shared" si="57"/>
        <v>Sāngshùyuán Xiāng</v>
      </c>
      <c r="D902" t="s">
        <v>524</v>
      </c>
      <c r="E902" t="s">
        <v>11</v>
      </c>
      <c r="F902" t="str">
        <f>_xlfn.CONCAT(D902,", ",H902,", ",I902,", ","陕西省")</f>
        <v>桑树塬乡, 麟游县, 宝鸡市, 陕西省</v>
      </c>
      <c r="G902">
        <v>3665</v>
      </c>
      <c r="H902" t="s">
        <v>3051</v>
      </c>
      <c r="I902" t="s">
        <v>3045</v>
      </c>
      <c r="J902" t="e">
        <f>VLOOKUP(F902,[1]!china_towns_second__2[[Column1]:[Y]],3,FALSE)</f>
        <v>#N/A</v>
      </c>
      <c r="K902" t="e">
        <f>VLOOKUP(F902,[1]!china_towns_second__2[[Column1]:[Y]],2,FALSE)</f>
        <v>#N/A</v>
      </c>
      <c r="L902" t="s">
        <v>5023</v>
      </c>
      <c r="M902" t="str">
        <f>VLOOKUP(H902,CHOOSE({1,2},Table11[Native],Table11[Name]),2,0)</f>
        <v>Línyóu Xiàn</v>
      </c>
      <c r="N902" s="13" t="str">
        <f>VLOOKUP(I902,CHOOSE({1,2},Table11[Native],Table11[Name]),2,0)</f>
        <v>Băojī Shì</v>
      </c>
      <c r="O902" s="13" t="str">
        <f t="shared" si="58"/>
        <v>Sangshuyuan Xiang (Băojī Shì)</v>
      </c>
      <c r="P902" s="13" t="str">
        <f t="shared" si="59"/>
        <v>Sangshuyuan Xiang (Băojī Shì)</v>
      </c>
    </row>
    <row r="903" spans="1:16" hidden="1" x14ac:dyDescent="0.25">
      <c r="A903" t="s">
        <v>2176</v>
      </c>
      <c r="B903" t="str">
        <f t="shared" si="56"/>
        <v>Sānguānmiào Zhèn [incl. Jīnshān Xiāng]</v>
      </c>
      <c r="C903" t="str">
        <f t="shared" si="57"/>
        <v>Sānguānmiào Zhèn [incl. Jīnshān Xiāng]</v>
      </c>
      <c r="D903" t="s">
        <v>2177</v>
      </c>
      <c r="E903" t="s">
        <v>7</v>
      </c>
      <c r="F903" t="str">
        <f>_xlfn.CONCAT(D903,", ",H903,", ",I903,", ","陕西省")</f>
        <v>三官庙镇, 蓝田县, 西安市, 陕西省</v>
      </c>
      <c r="G903">
        <v>29111</v>
      </c>
      <c r="H903" t="s">
        <v>3108</v>
      </c>
      <c r="I903" t="s">
        <v>3102</v>
      </c>
      <c r="J903">
        <f>VLOOKUP(F903,[1]!china_towns_second__2[[Column1]:[Y]],3,FALSE)</f>
        <v>34.240432047945198</v>
      </c>
      <c r="K903">
        <f>VLOOKUP(F903,[1]!china_towns_second__2[[Column1]:[Y]],2,FALSE)</f>
        <v>109.4123019</v>
      </c>
      <c r="L903" t="s">
        <v>5024</v>
      </c>
      <c r="M903" t="str">
        <f>VLOOKUP(H903,CHOOSE({1,2},Table11[Native],Table11[Name]),2,0)</f>
        <v>Lántián Xiàn</v>
      </c>
      <c r="N903" s="13" t="str">
        <f>VLOOKUP(I903,CHOOSE({1,2},Table11[Native],Table11[Name]),2,0)</f>
        <v>Xī'ān Shì</v>
      </c>
      <c r="O903" s="13" t="str">
        <f t="shared" si="58"/>
        <v>Sanguanmiao Zhen [incl. Jinshan Xiang] (Xī'ān Shì)</v>
      </c>
      <c r="P903" s="13" t="str">
        <f t="shared" si="59"/>
        <v>Sanguanmiao Zhen [incl. Jinshan Xiang] (Xī'ān Shì)</v>
      </c>
    </row>
    <row r="904" spans="1:16" hidden="1" x14ac:dyDescent="0.25">
      <c r="A904" t="s">
        <v>871</v>
      </c>
      <c r="B904" t="str">
        <f t="shared" si="56"/>
        <v>Sāngxī Zhèn</v>
      </c>
      <c r="C904" t="str">
        <f t="shared" si="57"/>
        <v>Sāngxī Zhèn</v>
      </c>
      <c r="D904" t="s">
        <v>872</v>
      </c>
      <c r="E904" t="s">
        <v>7</v>
      </c>
      <c r="F904" t="str">
        <f>_xlfn.CONCAT(D904,", ",H904,", ",I904,", ","陕西省")</f>
        <v>桑溪镇, 洋县, 汉中市, 陕西省</v>
      </c>
      <c r="G904">
        <v>7713</v>
      </c>
      <c r="H904" t="s">
        <v>3069</v>
      </c>
      <c r="I904" t="s">
        <v>3059</v>
      </c>
      <c r="J904">
        <f>VLOOKUP(F904,[1]!china_towns_second__2[[Column1]:[Y]],3,FALSE)</f>
        <v>33.251952663367703</v>
      </c>
      <c r="K904">
        <f>VLOOKUP(F904,[1]!china_towns_second__2[[Column1]:[Y]],2,FALSE)</f>
        <v>107.9605275</v>
      </c>
      <c r="L904" t="s">
        <v>5025</v>
      </c>
      <c r="M904" t="str">
        <f>VLOOKUP(H904,CHOOSE({1,2},Table11[Native],Table11[Name]),2,0)</f>
        <v>Yáng Xiàn</v>
      </c>
      <c r="N904" s="13" t="str">
        <f>VLOOKUP(I904,CHOOSE({1,2},Table11[Native],Table11[Name]),2,0)</f>
        <v>Hànzhōng Shì</v>
      </c>
      <c r="O904" s="13" t="str">
        <f t="shared" si="58"/>
        <v>Sangxi Zhen (Hànzhōng Shì)</v>
      </c>
      <c r="P904" s="13" t="str">
        <f t="shared" si="59"/>
        <v>Sangxi Zhen (Hànzhōng Shì)</v>
      </c>
    </row>
    <row r="905" spans="1:16" hidden="1" x14ac:dyDescent="0.25">
      <c r="A905" t="s">
        <v>875</v>
      </c>
      <c r="B905" t="str">
        <f t="shared" si="56"/>
        <v>Sāngyuán Zhèn</v>
      </c>
      <c r="C905" t="str">
        <f t="shared" si="57"/>
        <v>Sāngyuán Zhèn</v>
      </c>
      <c r="D905" t="s">
        <v>876</v>
      </c>
      <c r="E905" t="s">
        <v>7</v>
      </c>
      <c r="F905" t="str">
        <f>_xlfn.CONCAT(D905,", ",H905,", ",I905,", ","陕西省")</f>
        <v>桑园镇, 西乡县, 汉中市, 陕西省</v>
      </c>
      <c r="G905">
        <v>9605</v>
      </c>
      <c r="H905" t="s">
        <v>3068</v>
      </c>
      <c r="I905" t="s">
        <v>3059</v>
      </c>
      <c r="J905">
        <f>VLOOKUP(F905,[1]!china_towns_second__2[[Column1]:[Y]],3,FALSE)</f>
        <v>33.046222846008902</v>
      </c>
      <c r="K905">
        <f>VLOOKUP(F905,[1]!china_towns_second__2[[Column1]:[Y]],2,FALSE)</f>
        <v>107.6427824</v>
      </c>
      <c r="L905" t="s">
        <v>5026</v>
      </c>
      <c r="M905" t="str">
        <f>VLOOKUP(H905,CHOOSE({1,2},Table11[Native],Table11[Name]),2,0)</f>
        <v>Xīxiāng Xiàn</v>
      </c>
      <c r="N905" s="13" t="str">
        <f>VLOOKUP(I905,CHOOSE({1,2},Table11[Native],Table11[Name]),2,0)</f>
        <v>Hànzhōng Shì</v>
      </c>
      <c r="O905" s="13" t="str">
        <f t="shared" si="58"/>
        <v>Sangyuan Zhen (Hànzhōng Shì)</v>
      </c>
      <c r="P905" s="13" t="str">
        <f t="shared" si="59"/>
        <v>Sangyuan Zhen (Hànzhōng Shì)</v>
      </c>
    </row>
    <row r="906" spans="1:16" hidden="1" x14ac:dyDescent="0.25">
      <c r="A906" t="s">
        <v>873</v>
      </c>
      <c r="B906" t="str">
        <f t="shared" si="56"/>
        <v>Sāngyuánbà Xiāng</v>
      </c>
      <c r="C906" t="str">
        <f t="shared" si="57"/>
        <v>Sāngyuánbà Xiāng</v>
      </c>
      <c r="D906" t="s">
        <v>874</v>
      </c>
      <c r="E906" t="s">
        <v>11</v>
      </c>
      <c r="F906" t="str">
        <f>_xlfn.CONCAT(D906,", ",H906,", ",I906,", ","陕西省")</f>
        <v>桑元坝乡, 留坝县, 汉中市, 陕西省</v>
      </c>
      <c r="G906">
        <v>2097</v>
      </c>
      <c r="H906" t="s">
        <v>3063</v>
      </c>
      <c r="I906" t="s">
        <v>3059</v>
      </c>
      <c r="J906" t="e">
        <f>VLOOKUP(F906,[1]!china_towns_second__2[[Column1]:[Y]],3,FALSE)</f>
        <v>#N/A</v>
      </c>
      <c r="K906" t="e">
        <f>VLOOKUP(F906,[1]!china_towns_second__2[[Column1]:[Y]],2,FALSE)</f>
        <v>#N/A</v>
      </c>
      <c r="L906" t="s">
        <v>5027</v>
      </c>
      <c r="M906" t="str">
        <f>VLOOKUP(H906,CHOOSE({1,2},Table11[Native],Table11[Name]),2,0)</f>
        <v>Liúbà Xiàn</v>
      </c>
      <c r="N906" s="13" t="str">
        <f>VLOOKUP(I906,CHOOSE({1,2},Table11[Native],Table11[Name]),2,0)</f>
        <v>Hànzhōng Shì</v>
      </c>
      <c r="O906" s="13" t="str">
        <f t="shared" si="58"/>
        <v>Sangyuanba Xiang (Hànzhōng Shì)</v>
      </c>
      <c r="P906" s="13" t="str">
        <f t="shared" si="59"/>
        <v>Sangyuanba Xiang (Hànzhōng Shì)</v>
      </c>
    </row>
    <row r="907" spans="1:16" hidden="1" x14ac:dyDescent="0.25">
      <c r="A907" t="s">
        <v>877</v>
      </c>
      <c r="B907" t="str">
        <f t="shared" si="56"/>
        <v>Sānhé Zhèn</v>
      </c>
      <c r="C907" t="str">
        <f t="shared" si="57"/>
        <v>Sānhé Zhèn</v>
      </c>
      <c r="D907" t="s">
        <v>878</v>
      </c>
      <c r="E907" t="s">
        <v>7</v>
      </c>
      <c r="F907" t="str">
        <f>_xlfn.CONCAT(D907,", ",H907,", ",I907,", ","陕西省")</f>
        <v>三合镇, 城固县, 汉中市, 陕西省</v>
      </c>
      <c r="G907">
        <v>17142</v>
      </c>
      <c r="H907" t="s">
        <v>3060</v>
      </c>
      <c r="I907" t="s">
        <v>3059</v>
      </c>
      <c r="J907">
        <f>VLOOKUP(F907,[1]!china_towns_second__2[[Column1]:[Y]],3,FALSE)</f>
        <v>33.100031066925702</v>
      </c>
      <c r="K907">
        <f>VLOOKUP(F907,[1]!china_towns_second__2[[Column1]:[Y]],2,FALSE)</f>
        <v>107.3638188</v>
      </c>
      <c r="L907" t="s">
        <v>5028</v>
      </c>
      <c r="M907" t="str">
        <f>VLOOKUP(H907,CHOOSE({1,2},Table11[Native],Table11[Name]),2,0)</f>
        <v>Chénggù Xiàn</v>
      </c>
      <c r="N907" s="13" t="str">
        <f>VLOOKUP(I907,CHOOSE({1,2},Table11[Native],Table11[Name]),2,0)</f>
        <v>Hànzhōng Shì</v>
      </c>
      <c r="O907" s="13" t="str">
        <f t="shared" si="58"/>
        <v>Sanhe Zhen (Hànzhōng Shì)</v>
      </c>
      <c r="P907" s="13" t="str">
        <f t="shared" si="59"/>
        <v>Sanhe Zhen (Hànzhōng Shì)</v>
      </c>
    </row>
    <row r="908" spans="1:16" hidden="1" x14ac:dyDescent="0.25">
      <c r="A908" t="s">
        <v>879</v>
      </c>
      <c r="B908" t="str">
        <f t="shared" si="56"/>
        <v>Sānhuāshí Xiāng</v>
      </c>
      <c r="C908" t="str">
        <f t="shared" si="57"/>
        <v>Sānhuāshí Xiāng</v>
      </c>
      <c r="D908" t="s">
        <v>880</v>
      </c>
      <c r="E908" t="s">
        <v>11</v>
      </c>
      <c r="F908" t="str">
        <f>_xlfn.CONCAT(D908,", ",H908,", ",I908,", ","陕西省")</f>
        <v>三花石乡, 西乡县, 汉中市, 陕西省</v>
      </c>
      <c r="G908">
        <v>5896</v>
      </c>
      <c r="H908" t="s">
        <v>3068</v>
      </c>
      <c r="I908" t="s">
        <v>3059</v>
      </c>
      <c r="J908" t="e">
        <f>VLOOKUP(F908,[1]!china_towns_second__2[[Column1]:[Y]],3,FALSE)</f>
        <v>#N/A</v>
      </c>
      <c r="K908" t="e">
        <f>VLOOKUP(F908,[1]!china_towns_second__2[[Column1]:[Y]],2,FALSE)</f>
        <v>#N/A</v>
      </c>
      <c r="L908" t="s">
        <v>5029</v>
      </c>
      <c r="M908" t="str">
        <f>VLOOKUP(H908,CHOOSE({1,2},Table11[Native],Table11[Name]),2,0)</f>
        <v>Xīxiāng Xiàn</v>
      </c>
      <c r="N908" s="13" t="str">
        <f>VLOOKUP(I908,CHOOSE({1,2},Table11[Native],Table11[Name]),2,0)</f>
        <v>Hànzhōng Shì</v>
      </c>
      <c r="O908" s="13" t="str">
        <f t="shared" si="58"/>
        <v>Sanhuashi Xiang (Hànzhōng Shì)</v>
      </c>
      <c r="P908" s="13" t="str">
        <f t="shared" si="59"/>
        <v>Sanhuashi Xiang (Hànzhōng Shì)</v>
      </c>
    </row>
    <row r="909" spans="1:16" hidden="1" x14ac:dyDescent="0.25">
      <c r="A909" t="s">
        <v>2178</v>
      </c>
      <c r="B909" t="str">
        <f t="shared" si="56"/>
        <v>Sānlĭ Zhèn</v>
      </c>
      <c r="C909" t="str">
        <f t="shared" si="57"/>
        <v>Sānlĭ Zhèn</v>
      </c>
      <c r="D909" t="s">
        <v>2179</v>
      </c>
      <c r="E909" t="s">
        <v>7</v>
      </c>
      <c r="F909" t="str">
        <f>_xlfn.CONCAT(D909,", ",H909,", ",I909,", ","陕西省")</f>
        <v>三里镇, 蓝田县, 西安市, 陕西省</v>
      </c>
      <c r="G909">
        <v>43364</v>
      </c>
      <c r="H909" t="s">
        <v>3108</v>
      </c>
      <c r="I909" t="s">
        <v>3102</v>
      </c>
      <c r="J909">
        <f>VLOOKUP(F909,[1]!china_towns_second__2[[Column1]:[Y]],3,FALSE)</f>
        <v>34.189084300754402</v>
      </c>
      <c r="K909">
        <f>VLOOKUP(F909,[1]!china_towns_second__2[[Column1]:[Y]],2,FALSE)</f>
        <v>109.3444853</v>
      </c>
      <c r="L909" t="s">
        <v>5030</v>
      </c>
      <c r="M909" t="str">
        <f>VLOOKUP(H909,CHOOSE({1,2},Table11[Native],Table11[Name]),2,0)</f>
        <v>Lántián Xiàn</v>
      </c>
      <c r="N909" s="13" t="str">
        <f>VLOOKUP(I909,CHOOSE({1,2},Table11[Native],Table11[Name]),2,0)</f>
        <v>Xī'ān Shì</v>
      </c>
      <c r="O909" s="13" t="str">
        <f t="shared" si="58"/>
        <v>Sanli Zhen (Xī'ān Shì)</v>
      </c>
      <c r="P909" s="13" t="str">
        <f t="shared" si="59"/>
        <v>Sanli Zhen (Xī'ān Shì)</v>
      </c>
    </row>
    <row r="910" spans="1:16" hidden="1" x14ac:dyDescent="0.25">
      <c r="A910" t="s">
        <v>1329</v>
      </c>
      <c r="B910" t="str">
        <f t="shared" si="56"/>
        <v>Sānlĭdòng Jiēdào</v>
      </c>
      <c r="C910" t="str">
        <f t="shared" si="57"/>
        <v>Sānlĭdòng Jiēdào</v>
      </c>
      <c r="D910" t="s">
        <v>1330</v>
      </c>
      <c r="E910" t="s">
        <v>113</v>
      </c>
      <c r="F910" t="str">
        <f>_xlfn.CONCAT(D910,", ",H910,", ",I910,", ","陕西省")</f>
        <v>三里洞街道, 印台区, 铜川市, 陕西省</v>
      </c>
      <c r="G910">
        <v>19992</v>
      </c>
      <c r="H910" t="s">
        <v>3085</v>
      </c>
      <c r="I910" t="s">
        <v>3081</v>
      </c>
      <c r="J910">
        <f>VLOOKUP(F910,[1]!china_towns_second__2[[Column1]:[Y]],3,FALSE)</f>
        <v>35.095132886673703</v>
      </c>
      <c r="K910">
        <f>VLOOKUP(F910,[1]!china_towns_second__2[[Column1]:[Y]],2,FALSE)</f>
        <v>109.09760439999999</v>
      </c>
      <c r="L910" t="s">
        <v>5031</v>
      </c>
      <c r="M910" t="str">
        <f>VLOOKUP(H910,CHOOSE({1,2},Table11[Native],Table11[Name]),2,0)</f>
        <v>Yìntái Qū</v>
      </c>
      <c r="N910" s="13" t="str">
        <f>VLOOKUP(I910,CHOOSE({1,2},Table11[Native],Table11[Name]),2,0)</f>
        <v>Tóngchuān Shì</v>
      </c>
      <c r="O910" s="13" t="str">
        <f t="shared" si="58"/>
        <v>Sanlidong Jiedao (Tóngchuān Shì)</v>
      </c>
      <c r="P910" s="13" t="str">
        <f t="shared" si="59"/>
        <v>Sanlidong Jiedao (Tóngchuān Shì)</v>
      </c>
    </row>
    <row r="911" spans="1:16" hidden="1" x14ac:dyDescent="0.25">
      <c r="A911" t="s">
        <v>2180</v>
      </c>
      <c r="B911" t="str">
        <f t="shared" si="56"/>
        <v>Sānqiáo Jiēdào</v>
      </c>
      <c r="C911" t="str">
        <f t="shared" si="57"/>
        <v>Sānqiáo Jiēdào</v>
      </c>
      <c r="D911" t="s">
        <v>2181</v>
      </c>
      <c r="E911" t="s">
        <v>113</v>
      </c>
      <c r="F911" t="str">
        <f>_xlfn.CONCAT(D911,", ",H911,", ",I911,", ","陕西省")</f>
        <v>三桥街道, 西咸新区, 西安市, 陕西省</v>
      </c>
      <c r="G911">
        <v>135773</v>
      </c>
      <c r="H911" t="s">
        <v>3167</v>
      </c>
      <c r="I911" t="s">
        <v>3102</v>
      </c>
      <c r="J911" t="e">
        <f>VLOOKUP(F911,[1]!china_towns_second__2[[Column1]:[Y]],3,FALSE)</f>
        <v>#N/A</v>
      </c>
      <c r="K911" t="e">
        <f>VLOOKUP(F911,[1]!china_towns_second__2[[Column1]:[Y]],2,FALSE)</f>
        <v>#N/A</v>
      </c>
      <c r="L911" t="s">
        <v>5032</v>
      </c>
      <c r="M911" t="str">
        <f>VLOOKUP(H911,CHOOSE({1,2},Table11[Native],Table11[Name]),2,0)</f>
        <v>Xīxián Xīnqū</v>
      </c>
      <c r="N911" s="13" t="str">
        <f>VLOOKUP(I911,CHOOSE({1,2},Table11[Native],Table11[Name]),2,0)</f>
        <v>Xī'ān Shì</v>
      </c>
      <c r="O911" s="13" t="str">
        <f t="shared" si="58"/>
        <v>Sanqiao Jiedao (Xī'ān Shì)</v>
      </c>
      <c r="P911" s="13" t="str">
        <f t="shared" si="59"/>
        <v>Sanqiao Jiedao (Xī'ān Shì)</v>
      </c>
    </row>
    <row r="912" spans="1:16" hidden="1" x14ac:dyDescent="0.25">
      <c r="A912" t="s">
        <v>1853</v>
      </c>
      <c r="B912" t="str">
        <f t="shared" si="56"/>
        <v>Sānqú Zhèn</v>
      </c>
      <c r="C912" t="str">
        <f t="shared" si="57"/>
        <v>Sānqú Zhèn</v>
      </c>
      <c r="D912" t="s">
        <v>1854</v>
      </c>
      <c r="E912" t="s">
        <v>7</v>
      </c>
      <c r="F912" t="str">
        <f>_xlfn.CONCAT(D912,", ",H912,", ",I912,", ","陕西省")</f>
        <v>三渠镇, 泾阳县, 咸阳市, 陕西省</v>
      </c>
      <c r="G912">
        <v>39000</v>
      </c>
      <c r="H912" t="s">
        <v>3121</v>
      </c>
      <c r="I912" t="s">
        <v>3117</v>
      </c>
      <c r="J912">
        <f>VLOOKUP(F912,[1]!china_towns_second__2[[Column1]:[Y]],3,FALSE)</f>
        <v>34.571184129486603</v>
      </c>
      <c r="K912">
        <f>VLOOKUP(F912,[1]!china_towns_second__2[[Column1]:[Y]],2,FALSE)</f>
        <v>108.8839251</v>
      </c>
      <c r="L912" t="s">
        <v>5033</v>
      </c>
      <c r="M912" t="str">
        <f>VLOOKUP(H912,CHOOSE({1,2},Table11[Native],Table11[Name]),2,0)</f>
        <v>Jīngyáng Xiàn</v>
      </c>
      <c r="N912" s="13" t="str">
        <f>VLOOKUP(I912,CHOOSE({1,2},Table11[Native],Table11[Name]),2,0)</f>
        <v>Xiányáng Shì</v>
      </c>
      <c r="O912" s="13" t="str">
        <f t="shared" si="58"/>
        <v>Sanqu Zhen (Xiányáng Shì)</v>
      </c>
      <c r="P912" s="13" t="str">
        <f t="shared" si="59"/>
        <v>Sanqu Zhen (Xiányáng Shì)</v>
      </c>
    </row>
    <row r="913" spans="1:16" hidden="1" x14ac:dyDescent="0.25">
      <c r="A913" t="s">
        <v>188</v>
      </c>
      <c r="B913" t="str">
        <f t="shared" si="56"/>
        <v>Sānyáng Zhèn</v>
      </c>
      <c r="C913" t="str">
        <f t="shared" si="57"/>
        <v>Sānyáng Zhèn</v>
      </c>
      <c r="D913" t="s">
        <v>189</v>
      </c>
      <c r="E913" t="s">
        <v>7</v>
      </c>
      <c r="F913" t="str">
        <f>_xlfn.CONCAT(D913,", ",H913,", ",I913,", ","陕西省")</f>
        <v>三阳镇, 平利县, 安康市, 陕西省</v>
      </c>
      <c r="G913">
        <v>11318</v>
      </c>
      <c r="H913" t="s">
        <v>3039</v>
      </c>
      <c r="I913" t="s">
        <v>3031</v>
      </c>
      <c r="J913">
        <f>VLOOKUP(F913,[1]!china_towns_second__2[[Column1]:[Y]],3,FALSE)</f>
        <v>32.4415049981734</v>
      </c>
      <c r="K913">
        <f>VLOOKUP(F913,[1]!china_towns_second__2[[Column1]:[Y]],2,FALSE)</f>
        <v>109.0578336</v>
      </c>
      <c r="L913" t="s">
        <v>5034</v>
      </c>
      <c r="M913" t="str">
        <f>VLOOKUP(H913,CHOOSE({1,2},Table11[Native],Table11[Name]),2,0)</f>
        <v>Pínglì Xiàn</v>
      </c>
      <c r="N913" s="13" t="str">
        <f>VLOOKUP(I913,CHOOSE({1,2},Table11[Native],Table11[Name]),2,0)</f>
        <v>Ānkāng Shì</v>
      </c>
      <c r="O913" s="13" t="str">
        <f t="shared" si="58"/>
        <v>Sanyang Zhen (Ānkāng Shì)</v>
      </c>
      <c r="P913" s="13" t="str">
        <f t="shared" si="59"/>
        <v>Sanyang Zhen (Ānkāng Shì)</v>
      </c>
    </row>
    <row r="914" spans="1:16" hidden="1" x14ac:dyDescent="0.25">
      <c r="A914" t="s">
        <v>1188</v>
      </c>
      <c r="B914" t="str">
        <f t="shared" si="56"/>
        <v>Sānyào Zhèn</v>
      </c>
      <c r="C914" t="str">
        <f t="shared" si="57"/>
        <v>Sānyào Zhèn</v>
      </c>
      <c r="D914" t="s">
        <v>1189</v>
      </c>
      <c r="E914" t="s">
        <v>7</v>
      </c>
      <c r="F914" t="str">
        <f>_xlfn.CONCAT(D914,", ",H914,", ",I914,", ","陕西省")</f>
        <v>三要镇, 洛南县, 商洛市, 陕西省</v>
      </c>
      <c r="G914">
        <v>14027</v>
      </c>
      <c r="H914" t="s">
        <v>3074</v>
      </c>
      <c r="I914" t="s">
        <v>3072</v>
      </c>
      <c r="J914">
        <f>VLOOKUP(F914,[1]!china_towns_second__2[[Column1]:[Y]],3,FALSE)</f>
        <v>34.003658460141899</v>
      </c>
      <c r="K914">
        <f>VLOOKUP(F914,[1]!china_towns_second__2[[Column1]:[Y]],2,FALSE)</f>
        <v>110.51347560000001</v>
      </c>
      <c r="L914" t="s">
        <v>5035</v>
      </c>
      <c r="M914" t="str">
        <f>VLOOKUP(H914,CHOOSE({1,2},Table11[Native],Table11[Name]),2,0)</f>
        <v>Luònán Xiàn</v>
      </c>
      <c r="N914" s="13" t="str">
        <f>VLOOKUP(I914,CHOOSE({1,2},Table11[Native],Table11[Name]),2,0)</f>
        <v>Shāngluò Shì</v>
      </c>
      <c r="O914" s="13" t="str">
        <f t="shared" si="58"/>
        <v>Sanyao Zhen (Shāngluò Shì)</v>
      </c>
      <c r="P914" s="13" t="str">
        <f t="shared" si="59"/>
        <v>Sanyao Zhen (Shāngluò Shì)</v>
      </c>
    </row>
    <row r="915" spans="1:16" hidden="1" x14ac:dyDescent="0.25">
      <c r="A915" t="s">
        <v>881</v>
      </c>
      <c r="B915" t="str">
        <f t="shared" si="56"/>
        <v>Sānyuán Zhèn</v>
      </c>
      <c r="C915" t="str">
        <f t="shared" si="57"/>
        <v>Sānyuán Zhèn</v>
      </c>
      <c r="D915" t="s">
        <v>882</v>
      </c>
      <c r="E915" t="s">
        <v>7</v>
      </c>
      <c r="F915" t="str">
        <f>_xlfn.CONCAT(D915,", ",H915,", ",I915,", ","陕西省")</f>
        <v>三元镇, 镇巴县, 汉中市, 陕西省</v>
      </c>
      <c r="G915">
        <v>14256</v>
      </c>
      <c r="H915" t="s">
        <v>3070</v>
      </c>
      <c r="I915" t="s">
        <v>3059</v>
      </c>
      <c r="J915">
        <f>VLOOKUP(F915,[1]!china_towns_second__2[[Column1]:[Y]],3,FALSE)</f>
        <v>32.570209566712698</v>
      </c>
      <c r="K915">
        <f>VLOOKUP(F915,[1]!china_towns_second__2[[Column1]:[Y]],2,FALSE)</f>
        <v>107.688607</v>
      </c>
      <c r="L915" t="s">
        <v>5036</v>
      </c>
      <c r="M915" t="str">
        <f>VLOOKUP(H915,CHOOSE({1,2},Table11[Native],Table11[Name]),2,0)</f>
        <v>Zhènbā Xiàn</v>
      </c>
      <c r="N915" s="13" t="str">
        <f>VLOOKUP(I915,CHOOSE({1,2},Table11[Native],Table11[Name]),2,0)</f>
        <v>Hànzhōng Shì</v>
      </c>
      <c r="O915" s="13" t="str">
        <f t="shared" si="58"/>
        <v>Sanyuan Zhen (Hànzhōng Shì)</v>
      </c>
      <c r="P915" s="13" t="str">
        <f t="shared" si="59"/>
        <v>Sanyuan Zhen (Hànzhōng Shì)</v>
      </c>
    </row>
    <row r="916" spans="1:16" hidden="1" x14ac:dyDescent="0.25">
      <c r="A916" t="s">
        <v>1594</v>
      </c>
      <c r="B916" t="str">
        <f t="shared" si="56"/>
        <v>Sānzhāng Zhèn</v>
      </c>
      <c r="C916" t="str">
        <f t="shared" si="57"/>
        <v>Sānzhāng Zhèn</v>
      </c>
      <c r="D916" t="s">
        <v>1595</v>
      </c>
      <c r="E916" t="s">
        <v>7</v>
      </c>
      <c r="F916" t="str">
        <f>_xlfn.CONCAT(D916,", ",H916,", ",I916,", ","陕西省")</f>
        <v>三张镇, 临渭区, 渭南市, 陕西省</v>
      </c>
      <c r="G916">
        <v>26809</v>
      </c>
      <c r="H916" t="s">
        <v>3097</v>
      </c>
      <c r="I916" t="s">
        <v>3087</v>
      </c>
      <c r="J916">
        <f>VLOOKUP(F916,[1]!china_towns_second__2[[Column1]:[Y]],3,FALSE)</f>
        <v>34.4442607487616</v>
      </c>
      <c r="K916">
        <f>VLOOKUP(F916,[1]!china_towns_second__2[[Column1]:[Y]],2,FALSE)</f>
        <v>109.44907980000001</v>
      </c>
      <c r="L916" t="s">
        <v>5037</v>
      </c>
      <c r="M916" t="str">
        <f>VLOOKUP(H916,CHOOSE({1,2},Table11[Native],Table11[Name]),2,0)</f>
        <v>Línwèi Qū</v>
      </c>
      <c r="N916" s="13" t="str">
        <f>VLOOKUP(I916,CHOOSE({1,2},Table11[Native],Table11[Name]),2,0)</f>
        <v>Wèinán Shì</v>
      </c>
      <c r="O916" s="13" t="str">
        <f t="shared" si="58"/>
        <v>Sanzhang Zhen (Wèinán Shì)</v>
      </c>
      <c r="P916" s="13" t="str">
        <f t="shared" si="59"/>
        <v>Sanzhang Zhen (Wèinán Shì)</v>
      </c>
    </row>
    <row r="917" spans="1:16" hidden="1" x14ac:dyDescent="0.25">
      <c r="A917" t="s">
        <v>1190</v>
      </c>
      <c r="B917" t="str">
        <f t="shared" si="56"/>
        <v>Sèhépū Zhèn [incl. Yuánzijiē Zhèn]</v>
      </c>
      <c r="C917" t="str">
        <f t="shared" si="57"/>
        <v>Sèhépū Zhèn [incl. Yuánzijiē Zhèn]</v>
      </c>
      <c r="D917" t="s">
        <v>1191</v>
      </c>
      <c r="E917" t="s">
        <v>7</v>
      </c>
      <c r="F917" t="str">
        <f>_xlfn.CONCAT(D917,", ",H917,", ",I917,", ","陕西省")</f>
        <v>色河铺镇, 山阳县, 商洛市, 陕西省</v>
      </c>
      <c r="G917">
        <v>22344</v>
      </c>
      <c r="H917" t="s">
        <v>3077</v>
      </c>
      <c r="I917" t="s">
        <v>3072</v>
      </c>
      <c r="J917">
        <f>VLOOKUP(F917,[1]!china_towns_second__2[[Column1]:[Y]],3,FALSE)</f>
        <v>33.510321415735099</v>
      </c>
      <c r="K917">
        <f>VLOOKUP(F917,[1]!china_towns_second__2[[Column1]:[Y]],2,FALSE)</f>
        <v>109.7324742</v>
      </c>
      <c r="L917" t="s">
        <v>5038</v>
      </c>
      <c r="M917" t="str">
        <f>VLOOKUP(H917,CHOOSE({1,2},Table11[Native],Table11[Name]),2,0)</f>
        <v>Shānyáng Xiàn</v>
      </c>
      <c r="N917" s="13" t="str">
        <f>VLOOKUP(I917,CHOOSE({1,2},Table11[Native],Table11[Name]),2,0)</f>
        <v>Shāngluò Shì</v>
      </c>
      <c r="O917" s="13" t="str">
        <f t="shared" si="58"/>
        <v>Sehepu Zhen [incl. Yuanzijie Zhen] (Shāngluò Shì)</v>
      </c>
      <c r="P917" s="13" t="str">
        <f t="shared" si="59"/>
        <v>Sehepu Zhen [incl. Yuanzijie Zhen] (Shāngluò Shì)</v>
      </c>
    </row>
    <row r="918" spans="1:16" hidden="1" x14ac:dyDescent="0.25">
      <c r="A918" t="s">
        <v>1596</v>
      </c>
      <c r="B918" t="str">
        <f t="shared" si="56"/>
        <v>Shādĭ Xiāng</v>
      </c>
      <c r="C918" t="str">
        <f t="shared" si="57"/>
        <v>Shādĭ Xiāng</v>
      </c>
      <c r="D918" t="s">
        <v>1597</v>
      </c>
      <c r="E918" t="s">
        <v>11</v>
      </c>
      <c r="F918" t="str">
        <f>_xlfn.CONCAT(D918,", ",H918,", ",I918,", ","陕西省")</f>
        <v>沙底乡, 大荔县, 渭南市, 陕西省</v>
      </c>
      <c r="G918">
        <v>14342</v>
      </c>
      <c r="H918" t="s">
        <v>3090</v>
      </c>
      <c r="I918" t="s">
        <v>3087</v>
      </c>
      <c r="J918" t="e">
        <f>VLOOKUP(F918,[1]!china_towns_second__2[[Column1]:[Y]],3,FALSE)</f>
        <v>#N/A</v>
      </c>
      <c r="K918" t="e">
        <f>VLOOKUP(F918,[1]!china_towns_second__2[[Column1]:[Y]],2,FALSE)</f>
        <v>#N/A</v>
      </c>
      <c r="L918" t="s">
        <v>5039</v>
      </c>
      <c r="M918" t="str">
        <f>VLOOKUP(H918,CHOOSE({1,2},Table11[Native],Table11[Name]),2,0)</f>
        <v>Dàlì Xiàn</v>
      </c>
      <c r="N918" s="13" t="str">
        <f>VLOOKUP(I918,CHOOSE({1,2},Table11[Native],Table11[Name]),2,0)</f>
        <v>Wèinán Shì</v>
      </c>
      <c r="O918" s="13" t="str">
        <f t="shared" si="58"/>
        <v>Shadi Xiang (Wèinán Shì)</v>
      </c>
      <c r="P918" s="13" t="str">
        <f t="shared" si="59"/>
        <v>Shadi Xiang (Wèinán Shì)</v>
      </c>
    </row>
    <row r="919" spans="1:16" hidden="1" x14ac:dyDescent="0.25">
      <c r="A919" t="s">
        <v>885</v>
      </c>
      <c r="B919" t="str">
        <f t="shared" si="56"/>
        <v>Shāhé Zhèn</v>
      </c>
      <c r="C919" t="str">
        <f t="shared" si="57"/>
        <v>Shāhé Zhèn</v>
      </c>
      <c r="D919" t="s">
        <v>886</v>
      </c>
      <c r="E919" t="s">
        <v>7</v>
      </c>
      <c r="F919" t="str">
        <f>_xlfn.CONCAT(D919,", ",H919,", ",I919,", ","陕西省")</f>
        <v>沙河镇, 西乡县, 汉中市, 陕西省</v>
      </c>
      <c r="G919">
        <v>25100</v>
      </c>
      <c r="H919" t="s">
        <v>3068</v>
      </c>
      <c r="I919" t="s">
        <v>3059</v>
      </c>
      <c r="J919">
        <f>VLOOKUP(F919,[1]!china_towns_second__2[[Column1]:[Y]],3,FALSE)</f>
        <v>32.966298343142299</v>
      </c>
      <c r="K919">
        <f>VLOOKUP(F919,[1]!china_towns_second__2[[Column1]:[Y]],2,FALSE)</f>
        <v>107.5456471</v>
      </c>
      <c r="L919" t="s">
        <v>5040</v>
      </c>
      <c r="M919" t="str">
        <f>VLOOKUP(H919,CHOOSE({1,2},Table11[Native],Table11[Name]),2,0)</f>
        <v>Xīxiāng Xiàn</v>
      </c>
      <c r="N919" s="13" t="str">
        <f>VLOOKUP(I919,CHOOSE({1,2},Table11[Native],Table11[Name]),2,0)</f>
        <v>Hànzhōng Shì</v>
      </c>
      <c r="O919" s="13" t="str">
        <f t="shared" si="58"/>
        <v>Shahe Zhen (Hànzhōng Shì)</v>
      </c>
      <c r="P919" s="13" t="str">
        <f t="shared" si="59"/>
        <v>Shahe Zhen (Hànzhōng Shì)</v>
      </c>
    </row>
    <row r="920" spans="1:16" hidden="1" x14ac:dyDescent="0.25">
      <c r="A920" t="s">
        <v>883</v>
      </c>
      <c r="B920" t="str">
        <f t="shared" si="56"/>
        <v>Shāhéyíng Zhèn</v>
      </c>
      <c r="C920" t="str">
        <f t="shared" si="57"/>
        <v>Shāhéyíng Zhèn</v>
      </c>
      <c r="D920" t="s">
        <v>884</v>
      </c>
      <c r="E920" t="s">
        <v>7</v>
      </c>
      <c r="F920" t="str">
        <f>_xlfn.CONCAT(D920,", ",H920,", ",I920,", ","陕西省")</f>
        <v>沙河营镇, 城固县, 汉中市, 陕西省</v>
      </c>
      <c r="G920">
        <v>16224</v>
      </c>
      <c r="H920" t="s">
        <v>3060</v>
      </c>
      <c r="I920" t="s">
        <v>3059</v>
      </c>
      <c r="J920">
        <f>VLOOKUP(F920,[1]!china_towns_second__2[[Column1]:[Y]],3,FALSE)</f>
        <v>33.136801329078203</v>
      </c>
      <c r="K920">
        <f>VLOOKUP(F920,[1]!china_towns_second__2[[Column1]:[Y]],2,FALSE)</f>
        <v>107.259488</v>
      </c>
      <c r="L920" t="s">
        <v>5041</v>
      </c>
      <c r="M920" t="str">
        <f>VLOOKUP(H920,CHOOSE({1,2},Table11[Native],Table11[Name]),2,0)</f>
        <v>Chénggù Xiàn</v>
      </c>
      <c r="N920" s="13" t="str">
        <f>VLOOKUP(I920,CHOOSE({1,2},Table11[Native],Table11[Name]),2,0)</f>
        <v>Hànzhōng Shì</v>
      </c>
      <c r="O920" s="13" t="str">
        <f t="shared" si="58"/>
        <v>Shaheying Zhen (Hànzhōng Shì)</v>
      </c>
      <c r="P920" s="13" t="str">
        <f t="shared" si="59"/>
        <v>Shaheying Zhen (Hànzhōng Shì)</v>
      </c>
    </row>
    <row r="921" spans="1:16" hidden="1" x14ac:dyDescent="0.25">
      <c r="A921" t="s">
        <v>1192</v>
      </c>
      <c r="B921" t="str">
        <f t="shared" si="56"/>
        <v>Shāhézi Zhèn</v>
      </c>
      <c r="C921" t="str">
        <f t="shared" si="57"/>
        <v>Shāhézi Zhèn</v>
      </c>
      <c r="D921" t="s">
        <v>1193</v>
      </c>
      <c r="E921" t="s">
        <v>7</v>
      </c>
      <c r="F921" t="str">
        <f>_xlfn.CONCAT(D921,", ",H921,", ",I921,", ","陕西省")</f>
        <v>沙河子镇, 商州区, 商洛市, 陕西省</v>
      </c>
      <c r="G921">
        <v>27381</v>
      </c>
      <c r="H921" t="s">
        <v>3076</v>
      </c>
      <c r="I921" t="s">
        <v>3072</v>
      </c>
      <c r="J921">
        <f>VLOOKUP(F921,[1]!china_towns_second__2[[Column1]:[Y]],3,FALSE)</f>
        <v>33.833286810397198</v>
      </c>
      <c r="K921">
        <f>VLOOKUP(F921,[1]!china_towns_second__2[[Column1]:[Y]],2,FALSE)</f>
        <v>110.0393189</v>
      </c>
      <c r="L921" t="s">
        <v>5042</v>
      </c>
      <c r="M921" t="str">
        <f>VLOOKUP(H921,CHOOSE({1,2},Table11[Native],Table11[Name]),2,0)</f>
        <v>Shāngzhōu Qū</v>
      </c>
      <c r="N921" s="13" t="str">
        <f>VLOOKUP(I921,CHOOSE({1,2},Table11[Native],Table11[Name]),2,0)</f>
        <v>Shāngluò Shì</v>
      </c>
      <c r="O921" s="13" t="str">
        <f t="shared" si="58"/>
        <v>Shahezi Zhen (Shāngluò Shì)</v>
      </c>
      <c r="P921" s="13" t="str">
        <f t="shared" si="59"/>
        <v>Shahezi Zhen (Shāngluò Shì)</v>
      </c>
    </row>
    <row r="922" spans="1:16" hidden="1" x14ac:dyDescent="0.25">
      <c r="A922" t="s">
        <v>525</v>
      </c>
      <c r="B922" t="str">
        <f t="shared" si="56"/>
        <v>Shājiā'ào Xiāng</v>
      </c>
      <c r="C922" t="str">
        <f t="shared" si="57"/>
        <v>Shājiā'ào Xiāng</v>
      </c>
      <c r="D922" t="s">
        <v>526</v>
      </c>
      <c r="E922" t="s">
        <v>11</v>
      </c>
      <c r="F922" t="str">
        <f>_xlfn.CONCAT(D922,", ",H922,", ",I922,", ","陕西省")</f>
        <v>沙家坳乡, 千阳县, 宝鸡市, 陕西省</v>
      </c>
      <c r="G922">
        <v>4402</v>
      </c>
      <c r="H922" t="s">
        <v>3054</v>
      </c>
      <c r="I922" t="s">
        <v>3045</v>
      </c>
      <c r="J922" t="e">
        <f>VLOOKUP(F922,[1]!china_towns_second__2[[Column1]:[Y]],3,FALSE)</f>
        <v>#N/A</v>
      </c>
      <c r="K922" t="e">
        <f>VLOOKUP(F922,[1]!china_towns_second__2[[Column1]:[Y]],2,FALSE)</f>
        <v>#N/A</v>
      </c>
      <c r="L922" t="s">
        <v>5043</v>
      </c>
      <c r="M922" t="str">
        <f>VLOOKUP(H922,CHOOSE({1,2},Table11[Native],Table11[Name]),2,0)</f>
        <v>Qiānyáng Xiàn</v>
      </c>
      <c r="N922" s="13" t="str">
        <f>VLOOKUP(I922,CHOOSE({1,2},Table11[Native],Table11[Name]),2,0)</f>
        <v>Băojī Shì</v>
      </c>
      <c r="O922" s="13" t="str">
        <f t="shared" si="58"/>
        <v>Shajia'ao Xiang (Băojī Shì)</v>
      </c>
      <c r="P922" s="13" t="str">
        <f t="shared" si="59"/>
        <v>Shajia'ao Xiang (Băojī Shì)</v>
      </c>
    </row>
    <row r="923" spans="1:16" hidden="1" x14ac:dyDescent="0.25">
      <c r="A923" t="s">
        <v>2865</v>
      </c>
      <c r="B923" t="str">
        <f t="shared" si="56"/>
        <v>Shājiādiàn Zhèn</v>
      </c>
      <c r="C923" t="str">
        <f t="shared" si="57"/>
        <v>Shājiādiàn Zhèn</v>
      </c>
      <c r="D923" t="s">
        <v>2866</v>
      </c>
      <c r="E923" t="s">
        <v>7</v>
      </c>
      <c r="F923" t="str">
        <f>_xlfn.CONCAT(D923,", ",H923,", ",I923,", ","陕西省")</f>
        <v>沙家店镇, 米脂县, 榆林市, 陕西省</v>
      </c>
      <c r="G923">
        <v>7727</v>
      </c>
      <c r="H923" t="s">
        <v>3154</v>
      </c>
      <c r="I923" t="s">
        <v>3148</v>
      </c>
      <c r="J923">
        <f>VLOOKUP(F923,[1]!china_towns_second__2[[Column1]:[Y]],3,FALSE)</f>
        <v>37.952074895525897</v>
      </c>
      <c r="K923">
        <f>VLOOKUP(F923,[1]!china_towns_second__2[[Column1]:[Y]],2,FALSE)</f>
        <v>110.15734500000001</v>
      </c>
      <c r="L923" t="s">
        <v>5044</v>
      </c>
      <c r="M923" t="str">
        <f>VLOOKUP(H923,CHOOSE({1,2},Table11[Native],Table11[Name]),2,0)</f>
        <v>Mĭzhī Xiàn</v>
      </c>
      <c r="N923" s="13" t="str">
        <f>VLOOKUP(I923,CHOOSE({1,2},Table11[Native],Table11[Name]),2,0)</f>
        <v>Yúlín Shì</v>
      </c>
      <c r="O923" s="13" t="str">
        <f t="shared" si="58"/>
        <v>Shajiadian Zhen (Yúlín Shì)</v>
      </c>
      <c r="P923" s="13" t="str">
        <f t="shared" si="59"/>
        <v>Shajiadian Zhen (Yúlín Shì)</v>
      </c>
    </row>
    <row r="924" spans="1:16" hidden="1" x14ac:dyDescent="0.25">
      <c r="A924" t="s">
        <v>2867</v>
      </c>
      <c r="B924" t="str">
        <f t="shared" si="56"/>
        <v>Shāmăo Zhèn</v>
      </c>
      <c r="C924" t="str">
        <f t="shared" si="57"/>
        <v>Shāmăo Zhèn</v>
      </c>
      <c r="D924" t="s">
        <v>2868</v>
      </c>
      <c r="E924" t="s">
        <v>7</v>
      </c>
      <c r="F924" t="str">
        <f>_xlfn.CONCAT(D924,", ",H924,", ",I924,", ","陕西省")</f>
        <v>沙峁镇, 神木市, 榆林市, 陕西省</v>
      </c>
      <c r="G924">
        <v>5517</v>
      </c>
      <c r="H924" t="s">
        <v>3156</v>
      </c>
      <c r="I924" t="s">
        <v>3148</v>
      </c>
      <c r="J924">
        <f>VLOOKUP(F924,[1]!china_towns_second__2[[Column1]:[Y]],3,FALSE)</f>
        <v>38.589081734815203</v>
      </c>
      <c r="K924">
        <f>VLOOKUP(F924,[1]!china_towns_second__2[[Column1]:[Y]],2,FALSE)</f>
        <v>110.7413382</v>
      </c>
      <c r="L924" t="s">
        <v>5045</v>
      </c>
      <c r="M924" t="str">
        <f>VLOOKUP(H924,CHOOSE({1,2},Table11[Native],Table11[Name]),2,0)</f>
        <v>Shénmù Shì</v>
      </c>
      <c r="N924" s="13" t="str">
        <f>VLOOKUP(I924,CHOOSE({1,2},Table11[Native],Table11[Name]),2,0)</f>
        <v>Yúlín Shì</v>
      </c>
      <c r="O924" s="13" t="str">
        <f t="shared" si="58"/>
        <v>Shamao Zhen (Yúlín Shì)</v>
      </c>
      <c r="P924" s="13" t="str">
        <f t="shared" si="59"/>
        <v>Shamao Zhen (Yúlín Shì)</v>
      </c>
    </row>
    <row r="925" spans="1:16" hidden="1" x14ac:dyDescent="0.25">
      <c r="A925" t="s">
        <v>1194</v>
      </c>
      <c r="B925" t="str">
        <f t="shared" si="56"/>
        <v>Shāng Zhèn</v>
      </c>
      <c r="C925" t="str">
        <f t="shared" si="57"/>
        <v>Shāng Zhèn</v>
      </c>
      <c r="D925" t="s">
        <v>1195</v>
      </c>
      <c r="E925" t="s">
        <v>7</v>
      </c>
      <c r="F925" t="str">
        <f>_xlfn.CONCAT(D925,", ",H925,", ",I925,", ","陕西省")</f>
        <v>商镇, 丹凤县, 商洛市, 陕西省</v>
      </c>
      <c r="G925">
        <v>28728</v>
      </c>
      <c r="H925" t="s">
        <v>3073</v>
      </c>
      <c r="I925" t="s">
        <v>3072</v>
      </c>
      <c r="J925">
        <f>VLOOKUP(F925,[1]!china_towns_second__2[[Column1]:[Y]],3,FALSE)</f>
        <v>33.747596600706203</v>
      </c>
      <c r="K925">
        <f>VLOOKUP(F925,[1]!china_towns_second__2[[Column1]:[Y]],2,FALSE)</f>
        <v>110.2389872</v>
      </c>
      <c r="L925" t="s">
        <v>5046</v>
      </c>
      <c r="M925" t="str">
        <f>VLOOKUP(H925,CHOOSE({1,2},Table11[Native],Table11[Name]),2,0)</f>
        <v>Dānfèng Xiàn</v>
      </c>
      <c r="N925" s="13" t="str">
        <f>VLOOKUP(I925,CHOOSE({1,2},Table11[Native],Table11[Name]),2,0)</f>
        <v>Shāngluò Shì</v>
      </c>
      <c r="O925" s="13" t="str">
        <f t="shared" si="58"/>
        <v>Shang Zhen (Shāngluò Shì)</v>
      </c>
      <c r="P925" s="13" t="str">
        <f t="shared" si="59"/>
        <v>Shang Zhen (Shāngluò Shì)</v>
      </c>
    </row>
    <row r="926" spans="1:16" hidden="1" x14ac:dyDescent="0.25">
      <c r="A926" t="s">
        <v>2182</v>
      </c>
      <c r="B926" t="str">
        <f t="shared" si="56"/>
        <v>Shàngcūn Zhèn</v>
      </c>
      <c r="C926" t="str">
        <f t="shared" si="57"/>
        <v>Shàngcūn Zhèn</v>
      </c>
      <c r="D926" t="s">
        <v>2183</v>
      </c>
      <c r="E926" t="s">
        <v>7</v>
      </c>
      <c r="F926" t="str">
        <f>_xlfn.CONCAT(D926,", ",H926,", ",I926,", ","陕西省")</f>
        <v>尚村镇, 周至县, 西安市, 陕西省</v>
      </c>
      <c r="G926">
        <v>46037</v>
      </c>
      <c r="H926" t="s">
        <v>3115</v>
      </c>
      <c r="I926" t="s">
        <v>3102</v>
      </c>
      <c r="J926">
        <f>VLOOKUP(F926,[1]!china_towns_second__2[[Column1]:[Y]],3,FALSE)</f>
        <v>34.173088776864503</v>
      </c>
      <c r="K926">
        <f>VLOOKUP(F926,[1]!china_towns_second__2[[Column1]:[Y]],2,FALSE)</f>
        <v>108.452697</v>
      </c>
      <c r="L926" t="s">
        <v>5047</v>
      </c>
      <c r="M926" t="str">
        <f>VLOOKUP(H926,CHOOSE({1,2},Table11[Native],Table11[Name]),2,0)</f>
        <v>Zhōuzhì Xiàn</v>
      </c>
      <c r="N926" s="13" t="str">
        <f>VLOOKUP(I926,CHOOSE({1,2},Table11[Native],Table11[Name]),2,0)</f>
        <v>Xī'ān Shì</v>
      </c>
      <c r="O926" s="13" t="str">
        <f t="shared" si="58"/>
        <v>Shangcun Zhen (Xī'ān Shì)</v>
      </c>
      <c r="P926" s="13" t="str">
        <f t="shared" si="59"/>
        <v>Shangcun Zhen (Xī'ān Shì)</v>
      </c>
    </row>
    <row r="927" spans="1:16" hidden="1" x14ac:dyDescent="0.25">
      <c r="A927" t="s">
        <v>2869</v>
      </c>
      <c r="B927" t="str">
        <f t="shared" si="56"/>
        <v>Shàngjùnlù Jiēdào</v>
      </c>
      <c r="C927" t="str">
        <f t="shared" si="57"/>
        <v>Shàngjùnlù Jiēdào</v>
      </c>
      <c r="D927" t="s">
        <v>2870</v>
      </c>
      <c r="E927" t="s">
        <v>113</v>
      </c>
      <c r="F927" t="str">
        <f>_xlfn.CONCAT(D927,", ",H927,", ",I927,", ","陕西省")</f>
        <v>上郡路街道, 榆阳区, 榆林市, 陕西省</v>
      </c>
      <c r="G927">
        <v>60304</v>
      </c>
      <c r="H927" t="s">
        <v>3159</v>
      </c>
      <c r="I927" t="s">
        <v>3148</v>
      </c>
      <c r="J927">
        <f>VLOOKUP(F927,[1]!china_towns_second__2[[Column1]:[Y]],3,FALSE)</f>
        <v>38.256403688581301</v>
      </c>
      <c r="K927">
        <f>VLOOKUP(F927,[1]!china_towns_second__2[[Column1]:[Y]],2,FALSE)</f>
        <v>109.7682314</v>
      </c>
      <c r="L927" t="s">
        <v>5048</v>
      </c>
      <c r="M927" t="str">
        <f>VLOOKUP(H927,CHOOSE({1,2},Table11[Native],Table11[Name]),2,0)</f>
        <v>Yúyáng Qū</v>
      </c>
      <c r="N927" s="13" t="str">
        <f>VLOOKUP(I927,CHOOSE({1,2},Table11[Native],Table11[Name]),2,0)</f>
        <v>Yúlín Shì</v>
      </c>
      <c r="O927" s="13" t="str">
        <f t="shared" si="58"/>
        <v>Shangjunlu Jiedao (Yúlín Shì)</v>
      </c>
      <c r="P927" s="13" t="str">
        <f t="shared" si="59"/>
        <v>Shangjunlu Jiedao (Yúlín Shì)</v>
      </c>
    </row>
    <row r="928" spans="1:16" hidden="1" x14ac:dyDescent="0.25">
      <c r="A928" t="s">
        <v>2184</v>
      </c>
      <c r="B928" t="str">
        <f t="shared" si="56"/>
        <v>Shànglín Jiēdào [Fēngdōng Jiēdào]</v>
      </c>
      <c r="C928" t="str">
        <f t="shared" si="57"/>
        <v>Shànglín Jiēdào [Fēngdōng Jiēdào]</v>
      </c>
      <c r="D928" t="s">
        <v>2185</v>
      </c>
      <c r="E928" t="s">
        <v>113</v>
      </c>
      <c r="F928" t="str">
        <f>_xlfn.CONCAT(D928,", ",H928,", ",I928,", ","陕西省")</f>
        <v>上林街道, 西咸新区, 西安市, 陕西省</v>
      </c>
      <c r="G928">
        <v>28068</v>
      </c>
      <c r="H928" t="s">
        <v>3167</v>
      </c>
      <c r="I928" t="s">
        <v>3102</v>
      </c>
      <c r="J928" t="e">
        <f>VLOOKUP(F928,[1]!china_towns_second__2[[Column1]:[Y]],3,FALSE)</f>
        <v>#N/A</v>
      </c>
      <c r="K928" t="e">
        <f>VLOOKUP(F928,[1]!china_towns_second__2[[Column1]:[Y]],2,FALSE)</f>
        <v>#N/A</v>
      </c>
      <c r="L928" t="s">
        <v>5049</v>
      </c>
      <c r="M928" t="str">
        <f>VLOOKUP(H928,CHOOSE({1,2},Table11[Native],Table11[Name]),2,0)</f>
        <v>Xīxián Xīnqū</v>
      </c>
      <c r="N928" s="13" t="str">
        <f>VLOOKUP(I928,CHOOSE({1,2},Table11[Native],Table11[Name]),2,0)</f>
        <v>Xī'ān Shì</v>
      </c>
      <c r="O928" s="13" t="str">
        <f t="shared" si="58"/>
        <v>Shanglin Jiedao [Fengdong Jiedao] (Xī'ān Shì)</v>
      </c>
      <c r="P928" s="13" t="str">
        <f t="shared" si="59"/>
        <v>Shanglin Jiedao [Fengdong Jiedao] (Xī'ān Shì)</v>
      </c>
    </row>
    <row r="929" spans="1:16" hidden="1" x14ac:dyDescent="0.25">
      <c r="A929" t="s">
        <v>2871</v>
      </c>
      <c r="B929" t="str">
        <f t="shared" si="56"/>
        <v>Shàngyánwān Zhèn [incl. Qīngquán Zhèn]</v>
      </c>
      <c r="C929" t="str">
        <f t="shared" si="57"/>
        <v>Shàngyánwān Zhèn [incl. Qīngquán Zhèn]</v>
      </c>
      <c r="D929" t="s">
        <v>2872</v>
      </c>
      <c r="E929" t="s">
        <v>7</v>
      </c>
      <c r="F929" t="str">
        <f>_xlfn.CONCAT(D929,", ",H929,", ",I929,", ","陕西省")</f>
        <v>上盐湾镇, 榆阳区, 榆林市, 陕西省</v>
      </c>
      <c r="G929">
        <v>11499</v>
      </c>
      <c r="H929" t="s">
        <v>3159</v>
      </c>
      <c r="I929" t="s">
        <v>3148</v>
      </c>
      <c r="J929">
        <f>VLOOKUP(F929,[1]!china_towns_second__2[[Column1]:[Y]],3,FALSE)</f>
        <v>37.962442161105898</v>
      </c>
      <c r="K929">
        <f>VLOOKUP(F929,[1]!china_towns_second__2[[Column1]:[Y]],2,FALSE)</f>
        <v>110.02377199999999</v>
      </c>
      <c r="L929" t="s">
        <v>5050</v>
      </c>
      <c r="M929" t="str">
        <f>VLOOKUP(H929,CHOOSE({1,2},Table11[Native],Table11[Name]),2,0)</f>
        <v>Yúyáng Qū</v>
      </c>
      <c r="N929" s="13" t="str">
        <f>VLOOKUP(I929,CHOOSE({1,2},Table11[Native],Table11[Name]),2,0)</f>
        <v>Yúlín Shì</v>
      </c>
      <c r="O929" s="13" t="str">
        <f t="shared" si="58"/>
        <v>Shangyanwan Zhen [incl. Qingquan Zhen] (Yúlín Shì)</v>
      </c>
      <c r="P929" s="13" t="str">
        <f t="shared" si="59"/>
        <v>Shangyanwan Zhen [incl. Qingquan Zhen] (Yúlín Shì)</v>
      </c>
    </row>
    <row r="930" spans="1:16" hidden="1" x14ac:dyDescent="0.25">
      <c r="A930" t="s">
        <v>887</v>
      </c>
      <c r="B930" t="str">
        <f t="shared" si="56"/>
        <v>Shàngyuánguān Zhèn</v>
      </c>
      <c r="C930" t="str">
        <f t="shared" si="57"/>
        <v>Shàngyuánguān Zhèn</v>
      </c>
      <c r="D930" t="s">
        <v>888</v>
      </c>
      <c r="E930" t="s">
        <v>7</v>
      </c>
      <c r="F930" t="str">
        <f>_xlfn.CONCAT(D930,", ",H930,", ",I930,", ","陕西省")</f>
        <v>上元观镇, 城固县, 汉中市, 陕西省</v>
      </c>
      <c r="G930">
        <v>29395</v>
      </c>
      <c r="H930" t="s">
        <v>3060</v>
      </c>
      <c r="I930" t="s">
        <v>3059</v>
      </c>
      <c r="J930">
        <f>VLOOKUP(F930,[1]!china_towns_second__2[[Column1]:[Y]],3,FALSE)</f>
        <v>33.0706404835448</v>
      </c>
      <c r="K930">
        <f>VLOOKUP(F930,[1]!china_towns_second__2[[Column1]:[Y]],2,FALSE)</f>
        <v>107.2127721</v>
      </c>
      <c r="L930" t="s">
        <v>5051</v>
      </c>
      <c r="M930" t="str">
        <f>VLOOKUP(H930,CHOOSE({1,2},Table11[Native],Table11[Name]),2,0)</f>
        <v>Chénggù Xiàn</v>
      </c>
      <c r="N930" s="13" t="str">
        <f>VLOOKUP(I930,CHOOSE({1,2},Table11[Native],Table11[Name]),2,0)</f>
        <v>Hànzhōng Shì</v>
      </c>
      <c r="O930" s="13" t="str">
        <f t="shared" si="58"/>
        <v>Shangyuanguan Zhen (Hànzhōng Shì)</v>
      </c>
      <c r="P930" s="13" t="str">
        <f t="shared" si="59"/>
        <v>Shangyuanguan Zhen (Hànzhōng Shì)</v>
      </c>
    </row>
    <row r="931" spans="1:16" hidden="1" x14ac:dyDescent="0.25">
      <c r="A931" t="s">
        <v>190</v>
      </c>
      <c r="B931" t="str">
        <f t="shared" si="56"/>
        <v>Shàngzhú Zhèn</v>
      </c>
      <c r="C931" t="str">
        <f t="shared" si="57"/>
        <v>Shàngzhú Zhèn</v>
      </c>
      <c r="D931" t="s">
        <v>191</v>
      </c>
      <c r="E931" t="s">
        <v>7</v>
      </c>
      <c r="F931" t="str">
        <f>_xlfn.CONCAT(D931,", ",H931,", ",I931,", ","陕西省")</f>
        <v>上竹镇, 镇坪县, 安康市, 陕西省</v>
      </c>
      <c r="G931">
        <v>3668</v>
      </c>
      <c r="H931" t="s">
        <v>3042</v>
      </c>
      <c r="I931" t="s">
        <v>3031</v>
      </c>
      <c r="J931">
        <f>VLOOKUP(F931,[1]!china_towns_second__2[[Column1]:[Y]],3,FALSE)</f>
        <v>31.9455035897629</v>
      </c>
      <c r="K931">
        <f>VLOOKUP(F931,[1]!china_towns_second__2[[Column1]:[Y]],2,FALSE)</f>
        <v>109.4039556</v>
      </c>
      <c r="L931" t="s">
        <v>5052</v>
      </c>
      <c r="M931" t="str">
        <f>VLOOKUP(H931,CHOOSE({1,2},Table11[Native],Table11[Name]),2,0)</f>
        <v>Zhènpíng Xiàn</v>
      </c>
      <c r="N931" s="13" t="str">
        <f>VLOOKUP(I931,CHOOSE({1,2},Table11[Native],Table11[Name]),2,0)</f>
        <v>Ānkāng Shì</v>
      </c>
      <c r="O931" s="13" t="str">
        <f t="shared" si="58"/>
        <v>Shangzhu Zhen (Ānkāng Shì)</v>
      </c>
      <c r="P931" s="13" t="str">
        <f t="shared" si="59"/>
        <v>Shangzhu Zhen (Ānkāng Shì)</v>
      </c>
    </row>
    <row r="932" spans="1:16" hidden="1" x14ac:dyDescent="0.25">
      <c r="A932" t="s">
        <v>1598</v>
      </c>
      <c r="B932" t="str">
        <f t="shared" si="56"/>
        <v>Shànhuà Xiāng</v>
      </c>
      <c r="C932" t="str">
        <f t="shared" si="57"/>
        <v>Shànhuà Xiāng</v>
      </c>
      <c r="D932" t="s">
        <v>1599</v>
      </c>
      <c r="E932" t="s">
        <v>11</v>
      </c>
      <c r="F932" t="str">
        <f>_xlfn.CONCAT(D932,", ",H932,", ",I932,", ","陕西省")</f>
        <v>善化乡, 澄城县, 渭南市, 陕西省</v>
      </c>
      <c r="G932">
        <v>10004</v>
      </c>
      <c r="H932" t="s">
        <v>3089</v>
      </c>
      <c r="I932" t="s">
        <v>3087</v>
      </c>
      <c r="J932" t="e">
        <f>VLOOKUP(F932,[1]!china_towns_second__2[[Column1]:[Y]],3,FALSE)</f>
        <v>#N/A</v>
      </c>
      <c r="K932" t="e">
        <f>VLOOKUP(F932,[1]!china_towns_second__2[[Column1]:[Y]],2,FALSE)</f>
        <v>#N/A</v>
      </c>
      <c r="L932" t="s">
        <v>5053</v>
      </c>
      <c r="M932" t="str">
        <f>VLOOKUP(H932,CHOOSE({1,2},Table11[Native],Table11[Name]),2,0)</f>
        <v>Chéngchéng Xiàn</v>
      </c>
      <c r="N932" s="13" t="str">
        <f>VLOOKUP(I932,CHOOSE({1,2},Table11[Native],Table11[Name]),2,0)</f>
        <v>Wèinán Shì</v>
      </c>
      <c r="O932" s="13" t="str">
        <f t="shared" si="58"/>
        <v>Shanhua Xiang (Wèinán Shì)</v>
      </c>
      <c r="P932" s="13" t="str">
        <f t="shared" si="59"/>
        <v>Shanhua Xiang (Wèinán Shì)</v>
      </c>
    </row>
    <row r="933" spans="1:16" hidden="1" x14ac:dyDescent="0.25">
      <c r="A933" t="s">
        <v>192</v>
      </c>
      <c r="B933" t="str">
        <f t="shared" si="56"/>
        <v>Shĕnbà Zhèn</v>
      </c>
      <c r="C933" t="str">
        <f t="shared" si="57"/>
        <v>Shĕnbà Zhèn</v>
      </c>
      <c r="D933" t="s">
        <v>193</v>
      </c>
      <c r="E933" t="s">
        <v>7</v>
      </c>
      <c r="F933" t="str">
        <f>_xlfn.CONCAT(D933,", ",H933,", ",I933,", ","陕西省")</f>
        <v>沈坝镇, 汉滨区, 安康市, 陕西省</v>
      </c>
      <c r="G933">
        <v>10413</v>
      </c>
      <c r="H933" t="s">
        <v>3035</v>
      </c>
      <c r="I933" t="s">
        <v>3031</v>
      </c>
      <c r="J933">
        <f>VLOOKUP(F933,[1]!china_towns_second__2[[Column1]:[Y]],3,FALSE)</f>
        <v>32.9843110271824</v>
      </c>
      <c r="K933">
        <f>VLOOKUP(F933,[1]!china_towns_second__2[[Column1]:[Y]],2,FALSE)</f>
        <v>108.67118790000001</v>
      </c>
      <c r="L933" t="s">
        <v>5054</v>
      </c>
      <c r="M933" t="str">
        <f>VLOOKUP(H933,CHOOSE({1,2},Table11[Native],Table11[Name]),2,0)</f>
        <v>Hànbīn Qū</v>
      </c>
      <c r="N933" s="13" t="str">
        <f>VLOOKUP(I933,CHOOSE({1,2},Table11[Native],Table11[Name]),2,0)</f>
        <v>Ānkāng Shì</v>
      </c>
      <c r="O933" s="13" t="str">
        <f t="shared" si="58"/>
        <v>Shenba Zhen (Ānkāng Shì)</v>
      </c>
      <c r="P933" s="13" t="str">
        <f t="shared" si="59"/>
        <v>Shenba Zhen (Ānkāng Shì)</v>
      </c>
    </row>
    <row r="934" spans="1:16" hidden="1" x14ac:dyDescent="0.25">
      <c r="A934" t="s">
        <v>889</v>
      </c>
      <c r="B934" t="str">
        <f t="shared" si="56"/>
        <v>Shèngshuĭ Zhèn</v>
      </c>
      <c r="C934" t="str">
        <f t="shared" si="57"/>
        <v>Shèngshuĭ Zhèn</v>
      </c>
      <c r="D934" t="s">
        <v>890</v>
      </c>
      <c r="E934" t="s">
        <v>7</v>
      </c>
      <c r="F934" t="str">
        <f>_xlfn.CONCAT(D934,", ",H934,", ",I934,", ","陕西省")</f>
        <v>圣水镇, 南郑区, 汉中市, 陕西省</v>
      </c>
      <c r="G934">
        <v>21947</v>
      </c>
      <c r="H934" t="s">
        <v>3066</v>
      </c>
      <c r="I934" t="s">
        <v>3059</v>
      </c>
      <c r="J934">
        <f>VLOOKUP(F934,[1]!china_towns_second__2[[Column1]:[Y]],3,FALSE)</f>
        <v>33.042802067060997</v>
      </c>
      <c r="K934">
        <f>VLOOKUP(F934,[1]!china_towns_second__2[[Column1]:[Y]],2,FALSE)</f>
        <v>107.1394263</v>
      </c>
      <c r="L934" t="s">
        <v>5055</v>
      </c>
      <c r="M934" t="str">
        <f>VLOOKUP(H934,CHOOSE({1,2},Table11[Native],Table11[Name]),2,0)</f>
        <v>Nánzhèng Qū</v>
      </c>
      <c r="N934" s="13" t="str">
        <f>VLOOKUP(I934,CHOOSE({1,2},Table11[Native],Table11[Name]),2,0)</f>
        <v>Hànzhōng Shì</v>
      </c>
      <c r="O934" s="13" t="str">
        <f t="shared" si="58"/>
        <v>Shengshui Zhen (Hànzhōng Shì)</v>
      </c>
      <c r="P934" s="13" t="str">
        <f t="shared" si="59"/>
        <v>Shengshui Zhen (Hànzhōng Shì)</v>
      </c>
    </row>
    <row r="935" spans="1:16" hidden="1" x14ac:dyDescent="0.25">
      <c r="A935" t="s">
        <v>194</v>
      </c>
      <c r="B935" t="str">
        <f t="shared" si="56"/>
        <v>Shénhé Zhèn</v>
      </c>
      <c r="C935" t="str">
        <f t="shared" si="57"/>
        <v>Shénhé Zhèn</v>
      </c>
      <c r="D935" t="s">
        <v>195</v>
      </c>
      <c r="E935" t="s">
        <v>7</v>
      </c>
      <c r="F935" t="str">
        <f>_xlfn.CONCAT(D935,", ",H935,", ",I935,", ","陕西省")</f>
        <v>神河镇, 旬阳县, 安康市, 陕西省</v>
      </c>
      <c r="G935">
        <v>18384</v>
      </c>
      <c r="H935" t="s">
        <v>3041</v>
      </c>
      <c r="I935" t="s">
        <v>3031</v>
      </c>
      <c r="J935">
        <f>VLOOKUP(F935,[1]!china_towns_second__2[[Column1]:[Y]],3,FALSE)</f>
        <v>32.670168491680997</v>
      </c>
      <c r="K935">
        <f>VLOOKUP(F935,[1]!china_towns_second__2[[Column1]:[Y]],2,FALSE)</f>
        <v>109.43701059999999</v>
      </c>
      <c r="L935" t="s">
        <v>5056</v>
      </c>
      <c r="M935" t="str">
        <f>VLOOKUP(H935,CHOOSE({1,2},Table11[Native],Table11[Name]),2,0)</f>
        <v>Xúnyáng Xiàn</v>
      </c>
      <c r="N935" s="13" t="str">
        <f>VLOOKUP(I935,CHOOSE({1,2},Table11[Native],Table11[Name]),2,0)</f>
        <v>Ānkāng Shì</v>
      </c>
      <c r="O935" s="13" t="str">
        <f t="shared" si="58"/>
        <v>Shenhe Zhen (Ānkāng Shì)</v>
      </c>
      <c r="P935" s="13" t="str">
        <f t="shared" si="59"/>
        <v>Shenhe Zhen (Ānkāng Shì)</v>
      </c>
    </row>
    <row r="936" spans="1:16" hidden="1" x14ac:dyDescent="0.25">
      <c r="A936" t="s">
        <v>2873</v>
      </c>
      <c r="B936" t="str">
        <f t="shared" si="56"/>
        <v>Shénmù Zhèn</v>
      </c>
      <c r="C936" t="str">
        <f t="shared" si="57"/>
        <v>Shénmù Zhèn</v>
      </c>
      <c r="D936" t="s">
        <v>2874</v>
      </c>
      <c r="E936" t="s">
        <v>7</v>
      </c>
      <c r="F936" t="str">
        <f>_xlfn.CONCAT(D936,", ",H936,", ",I936,", ","陕西省")</f>
        <v>神木镇, 神木市, 榆林市, 陕西省</v>
      </c>
      <c r="G936">
        <v>204525</v>
      </c>
      <c r="H936" t="s">
        <v>3156</v>
      </c>
      <c r="I936" t="s">
        <v>3148</v>
      </c>
      <c r="J936">
        <f>VLOOKUP(F936,[1]!china_towns_second__2[[Column1]:[Y]],3,FALSE)</f>
        <v>38.834459111728599</v>
      </c>
      <c r="K936">
        <f>VLOOKUP(F936,[1]!china_towns_second__2[[Column1]:[Y]],2,FALSE)</f>
        <v>110.43094000000001</v>
      </c>
      <c r="L936" t="s">
        <v>5057</v>
      </c>
      <c r="M936" t="str">
        <f>VLOOKUP(H936,CHOOSE({1,2},Table11[Native],Table11[Name]),2,0)</f>
        <v>Shénmù Shì</v>
      </c>
      <c r="N936" s="13" t="str">
        <f>VLOOKUP(I936,CHOOSE({1,2},Table11[Native],Table11[Name]),2,0)</f>
        <v>Yúlín Shì</v>
      </c>
      <c r="O936" s="13" t="str">
        <f t="shared" si="58"/>
        <v>Shenmu Zhen (Yúlín Shì)</v>
      </c>
      <c r="P936" s="13" t="str">
        <f t="shared" si="59"/>
        <v>Shenmu Zhen (Yúlín Shì)</v>
      </c>
    </row>
    <row r="937" spans="1:16" hidden="1" x14ac:dyDescent="0.25">
      <c r="A937" t="s">
        <v>527</v>
      </c>
      <c r="B937" t="str">
        <f t="shared" si="56"/>
        <v>Shénnóng Zhèn</v>
      </c>
      <c r="C937" t="str">
        <f t="shared" si="57"/>
        <v>Shénnóng Zhèn</v>
      </c>
      <c r="D937" t="s">
        <v>528</v>
      </c>
      <c r="E937" t="s">
        <v>7</v>
      </c>
      <c r="F937" t="str">
        <f>_xlfn.CONCAT(D937,", ",H937,", ",I937,", ","陕西省")</f>
        <v>神农镇, 渭滨区, 宝鸡市, 陕西省</v>
      </c>
      <c r="G937">
        <v>23277</v>
      </c>
      <c r="H937" t="s">
        <v>3057</v>
      </c>
      <c r="I937" t="s">
        <v>3045</v>
      </c>
      <c r="J937">
        <f>VLOOKUP(F937,[1]!china_towns_second__2[[Column1]:[Y]],3,FALSE)</f>
        <v>34.2388553066829</v>
      </c>
      <c r="K937">
        <f>VLOOKUP(F937,[1]!china_towns_second__2[[Column1]:[Y]],2,FALSE)</f>
        <v>107.0709785</v>
      </c>
      <c r="L937" t="s">
        <v>5058</v>
      </c>
      <c r="M937" t="str">
        <f>VLOOKUP(H937,CHOOSE({1,2},Table11[Native],Table11[Name]),2,0)</f>
        <v>Wèibīn Qū</v>
      </c>
      <c r="N937" s="13" t="str">
        <f>VLOOKUP(I937,CHOOSE({1,2},Table11[Native],Table11[Name]),2,0)</f>
        <v>Băojī Shì</v>
      </c>
      <c r="O937" s="13" t="str">
        <f t="shared" si="58"/>
        <v>Shennong Zhen (Băojī Shì)</v>
      </c>
      <c r="P937" s="13" t="str">
        <f t="shared" si="59"/>
        <v>Shennong Zhen (Băojī Shì)</v>
      </c>
    </row>
    <row r="938" spans="1:16" hidden="1" x14ac:dyDescent="0.25">
      <c r="A938" t="s">
        <v>2505</v>
      </c>
      <c r="B938" t="str">
        <f t="shared" si="56"/>
        <v>Shíbăo Zhèn</v>
      </c>
      <c r="C938" t="str">
        <f t="shared" si="57"/>
        <v>Shíbăo Zhèn</v>
      </c>
      <c r="D938" t="s">
        <v>2506</v>
      </c>
      <c r="E938" t="s">
        <v>7</v>
      </c>
      <c r="F938" t="str">
        <f>_xlfn.CONCAT(D938,", ",H938,", ",I938,", ","陕西省")</f>
        <v>石堡镇, 黄龙县, 延安市, 陕西省</v>
      </c>
      <c r="G938">
        <v>21028</v>
      </c>
      <c r="H938" t="s">
        <v>3139</v>
      </c>
      <c r="I938" t="s">
        <v>3133</v>
      </c>
      <c r="J938">
        <f>VLOOKUP(F938,[1]!china_towns_second__2[[Column1]:[Y]],3,FALSE)</f>
        <v>35.5792512339032</v>
      </c>
      <c r="K938">
        <f>VLOOKUP(F938,[1]!china_towns_second__2[[Column1]:[Y]],2,FALSE)</f>
        <v>109.9244751</v>
      </c>
      <c r="L938" t="s">
        <v>5059</v>
      </c>
      <c r="M938" t="str">
        <f>VLOOKUP(H938,CHOOSE({1,2},Table11[Native],Table11[Name]),2,0)</f>
        <v>Huánglóng Xiàn</v>
      </c>
      <c r="N938" s="13" t="str">
        <f>VLOOKUP(I938,CHOOSE({1,2},Table11[Native],Table11[Name]),2,0)</f>
        <v>Yán'ān Shì</v>
      </c>
      <c r="O938" s="13" t="str">
        <f t="shared" si="58"/>
        <v>Shibao Zhen (Yán'ān Shì)</v>
      </c>
      <c r="P938" s="13" t="str">
        <f t="shared" si="59"/>
        <v>Shibao Zhen (Yán'ān Shì)</v>
      </c>
    </row>
    <row r="939" spans="1:16" hidden="1" x14ac:dyDescent="0.25">
      <c r="A939" t="s">
        <v>1600</v>
      </c>
      <c r="B939" t="str">
        <f t="shared" si="56"/>
        <v>Shícáo Xiāng</v>
      </c>
      <c r="C939" t="str">
        <f t="shared" si="57"/>
        <v>Shícáo Xiāng</v>
      </c>
      <c r="D939" t="s">
        <v>1601</v>
      </c>
      <c r="E939" t="s">
        <v>11</v>
      </c>
      <c r="F939" t="str">
        <f>_xlfn.CONCAT(D939,", ",H939,", ",I939,", ","陕西省")</f>
        <v>石槽乡, 大荔县, 渭南市, 陕西省</v>
      </c>
      <c r="G939">
        <v>31149</v>
      </c>
      <c r="H939" t="s">
        <v>3090</v>
      </c>
      <c r="I939" t="s">
        <v>3087</v>
      </c>
      <c r="J939" t="e">
        <f>VLOOKUP(F939,[1]!china_towns_second__2[[Column1]:[Y]],3,FALSE)</f>
        <v>#N/A</v>
      </c>
      <c r="K939" t="e">
        <f>VLOOKUP(F939,[1]!china_towns_second__2[[Column1]:[Y]],2,FALSE)</f>
        <v>#N/A</v>
      </c>
      <c r="L939" t="s">
        <v>5060</v>
      </c>
      <c r="M939" t="str">
        <f>VLOOKUP(H939,CHOOSE({1,2},Table11[Native],Table11[Name]),2,0)</f>
        <v>Dàlì Xiàn</v>
      </c>
      <c r="N939" s="13" t="str">
        <f>VLOOKUP(I939,CHOOSE({1,2},Table11[Native],Table11[Name]),2,0)</f>
        <v>Wèinán Shì</v>
      </c>
      <c r="O939" s="13" t="str">
        <f t="shared" si="58"/>
        <v>Shicao Xiang (Wèinán Shì)</v>
      </c>
      <c r="P939" s="13" t="str">
        <f t="shared" si="59"/>
        <v>Shicao Xiang (Wèinán Shì)</v>
      </c>
    </row>
    <row r="940" spans="1:16" hidden="1" x14ac:dyDescent="0.25">
      <c r="A940" t="s">
        <v>1855</v>
      </c>
      <c r="B940" t="str">
        <f t="shared" si="56"/>
        <v>Shĭdé Zhèn</v>
      </c>
      <c r="C940" t="str">
        <f t="shared" si="57"/>
        <v>Shĭdé Zhèn</v>
      </c>
      <c r="D940" t="s">
        <v>1856</v>
      </c>
      <c r="E940" t="s">
        <v>7</v>
      </c>
      <c r="F940" t="str">
        <f>_xlfn.CONCAT(D940,", ",H940,", ",I940,", ","陕西省")</f>
        <v>史德镇, 礼泉县, 咸阳市, 陕西省</v>
      </c>
      <c r="G940">
        <v>36633</v>
      </c>
      <c r="H940" t="s">
        <v>3122</v>
      </c>
      <c r="I940" t="s">
        <v>3117</v>
      </c>
      <c r="J940">
        <f>VLOOKUP(F940,[1]!china_towns_second__2[[Column1]:[Y]],3,FALSE)</f>
        <v>34.394352770080097</v>
      </c>
      <c r="K940">
        <f>VLOOKUP(F940,[1]!china_towns_second__2[[Column1]:[Y]],2,FALSE)</f>
        <v>108.42689369999999</v>
      </c>
      <c r="L940" t="s">
        <v>5061</v>
      </c>
      <c r="M940" t="str">
        <f>VLOOKUP(H940,CHOOSE({1,2},Table11[Native],Table11[Name]),2,0)</f>
        <v>Lĭquán Xiàn</v>
      </c>
      <c r="N940" s="13" t="str">
        <f>VLOOKUP(I940,CHOOSE({1,2},Table11[Native],Table11[Name]),2,0)</f>
        <v>Xiányáng Shì</v>
      </c>
      <c r="O940" s="13" t="str">
        <f t="shared" si="58"/>
        <v>Shide Zhen (Xiányáng Shì)</v>
      </c>
      <c r="P940" s="13" t="str">
        <f t="shared" si="59"/>
        <v>Shide Zhen (Xiányáng Shì)</v>
      </c>
    </row>
    <row r="941" spans="1:16" hidden="1" x14ac:dyDescent="0.25">
      <c r="A941" t="s">
        <v>2875</v>
      </c>
      <c r="B941" t="str">
        <f t="shared" si="56"/>
        <v>Shídònggōu Zhèn</v>
      </c>
      <c r="C941" t="str">
        <f t="shared" si="57"/>
        <v>Shídònggōu Zhèn</v>
      </c>
      <c r="D941" t="s">
        <v>2876</v>
      </c>
      <c r="E941" t="s">
        <v>7</v>
      </c>
      <c r="F941" t="str">
        <f>_xlfn.CONCAT(D941,", ",H941,", ",I941,", ","陕西省")</f>
        <v>石洞沟镇, 定边县, 榆林市, 陕西省</v>
      </c>
      <c r="G941">
        <v>11437</v>
      </c>
      <c r="H941" t="s">
        <v>3149</v>
      </c>
      <c r="I941" t="s">
        <v>3148</v>
      </c>
      <c r="J941">
        <f>VLOOKUP(F941,[1]!china_towns_second__2[[Column1]:[Y]],3,FALSE)</f>
        <v>37.557898030714199</v>
      </c>
      <c r="K941">
        <f>VLOOKUP(F941,[1]!china_towns_second__2[[Column1]:[Y]],2,FALSE)</f>
        <v>108.1354376</v>
      </c>
      <c r="L941" t="s">
        <v>5062</v>
      </c>
      <c r="M941" t="str">
        <f>VLOOKUP(H941,CHOOSE({1,2},Table11[Native],Table11[Name]),2,0)</f>
        <v>Dìngbiān Xiàn</v>
      </c>
      <c r="N941" s="13" t="str">
        <f>VLOOKUP(I941,CHOOSE({1,2},Table11[Native],Table11[Name]),2,0)</f>
        <v>Yúlín Shì</v>
      </c>
      <c r="O941" s="13" t="str">
        <f t="shared" si="58"/>
        <v>Shidonggou Zhen (Yúlín Shì)</v>
      </c>
      <c r="P941" s="13" t="str">
        <f t="shared" si="59"/>
        <v>Shidonggou Zhen (Yúlín Shì)</v>
      </c>
    </row>
    <row r="942" spans="1:16" hidden="1" x14ac:dyDescent="0.25">
      <c r="A942" t="s">
        <v>891</v>
      </c>
      <c r="B942" t="str">
        <f t="shared" si="56"/>
        <v>Shídūnhé Zhèn</v>
      </c>
      <c r="C942" t="str">
        <f t="shared" si="57"/>
        <v>Shídūnhé Zhèn</v>
      </c>
      <c r="D942" t="s">
        <v>892</v>
      </c>
      <c r="E942" t="s">
        <v>7</v>
      </c>
      <c r="F942" t="str">
        <f>_xlfn.CONCAT(D942,", ",H942,", ",I942,", ","陕西省")</f>
        <v>石墩河镇, 佛坪县, 汉中市, 陕西省</v>
      </c>
      <c r="G942">
        <v>1658</v>
      </c>
      <c r="H942" t="s">
        <v>3061</v>
      </c>
      <c r="I942" t="s">
        <v>3059</v>
      </c>
      <c r="J942">
        <f>VLOOKUP(F942,[1]!china_towns_second__2[[Column1]:[Y]],3,FALSE)</f>
        <v>33.405798147583297</v>
      </c>
      <c r="K942">
        <f>VLOOKUP(F942,[1]!china_towns_second__2[[Column1]:[Y]],2,FALSE)</f>
        <v>108.0700866</v>
      </c>
      <c r="L942" t="s">
        <v>5063</v>
      </c>
      <c r="M942" t="str">
        <f>VLOOKUP(H942,CHOOSE({1,2},Table11[Native],Table11[Name]),2,0)</f>
        <v>Fópíng Xiàn</v>
      </c>
      <c r="N942" s="13" t="str">
        <f>VLOOKUP(I942,CHOOSE({1,2},Table11[Native],Table11[Name]),2,0)</f>
        <v>Hànzhōng Shì</v>
      </c>
      <c r="O942" s="13" t="str">
        <f t="shared" si="58"/>
        <v>Shidunhe Zhen (Hànzhōng Shì)</v>
      </c>
      <c r="P942" s="13" t="str">
        <f t="shared" si="59"/>
        <v>Shidunhe Zhen (Hànzhōng Shì)</v>
      </c>
    </row>
    <row r="943" spans="1:16" hidden="1" x14ac:dyDescent="0.25">
      <c r="A943" t="s">
        <v>1196</v>
      </c>
      <c r="B943" t="str">
        <f t="shared" si="56"/>
        <v>Shífósì Xiāng [→ Xīzhàochuān Zhèn, Mànchuānguān Zhèn]</v>
      </c>
      <c r="C943" t="str">
        <f t="shared" si="57"/>
        <v>Shífósì Xiāng [→ Xīzhàochuān Zhèn, Mànchuānguān Zhèn]</v>
      </c>
      <c r="D943" t="s">
        <v>1197</v>
      </c>
      <c r="E943" t="s">
        <v>11</v>
      </c>
      <c r="F943" t="str">
        <f>_xlfn.CONCAT(D943,", ",H943,", ",I943,", ","陕西省")</f>
        <v>石佛寺乡, 山阳县, 商洛市, 陕西省</v>
      </c>
      <c r="G943">
        <v>7988</v>
      </c>
      <c r="H943" t="s">
        <v>3077</v>
      </c>
      <c r="I943" t="s">
        <v>3072</v>
      </c>
      <c r="J943" t="e">
        <f>VLOOKUP(F943,[1]!china_towns_second__2[[Column1]:[Y]],3,FALSE)</f>
        <v>#N/A</v>
      </c>
      <c r="K943" t="e">
        <f>VLOOKUP(F943,[1]!china_towns_second__2[[Column1]:[Y]],2,FALSE)</f>
        <v>#N/A</v>
      </c>
      <c r="L943" t="s">
        <v>5064</v>
      </c>
      <c r="M943" t="str">
        <f>VLOOKUP(H943,CHOOSE({1,2},Table11[Native],Table11[Name]),2,0)</f>
        <v>Shānyáng Xiàn</v>
      </c>
      <c r="N943" s="13" t="str">
        <f>VLOOKUP(I943,CHOOSE({1,2},Table11[Native],Table11[Name]),2,0)</f>
        <v>Shāngluò Shì</v>
      </c>
      <c r="O943" s="13" t="str">
        <f t="shared" si="58"/>
        <v>Shifosi Xiang [→ Xizhaochuan Zhen, Manchuanguan Zhen] (Shāngluò Shì)</v>
      </c>
      <c r="P943" s="13" t="str">
        <f t="shared" si="59"/>
        <v>Shifosi Xiang [→ Xizhaochuan Zhen, Manchuanguan Zhen] (Shāngluò Shì)</v>
      </c>
    </row>
    <row r="944" spans="1:16" hidden="1" x14ac:dyDescent="0.25">
      <c r="A944" t="s">
        <v>529</v>
      </c>
      <c r="B944" t="str">
        <f t="shared" si="56"/>
        <v>Shígŭ Zhèn</v>
      </c>
      <c r="C944" t="str">
        <f t="shared" si="57"/>
        <v>Shígŭ Zhèn</v>
      </c>
      <c r="D944" t="s">
        <v>530</v>
      </c>
      <c r="E944" t="s">
        <v>7</v>
      </c>
      <c r="F944" t="str">
        <f>_xlfn.CONCAT(D944,", ",H944,", ",I944,", ","陕西省")</f>
        <v>石鼓镇, 渭滨区, 宝鸡市, 陕西省</v>
      </c>
      <c r="G944">
        <v>23871</v>
      </c>
      <c r="H944" t="s">
        <v>3057</v>
      </c>
      <c r="I944" t="s">
        <v>3045</v>
      </c>
      <c r="J944">
        <f>VLOOKUP(F944,[1]!china_towns_second__2[[Column1]:[Y]],3,FALSE)</f>
        <v>34.292756407879899</v>
      </c>
      <c r="K944">
        <f>VLOOKUP(F944,[1]!china_towns_second__2[[Column1]:[Y]],2,FALSE)</f>
        <v>107.1594994</v>
      </c>
      <c r="L944" t="s">
        <v>5065</v>
      </c>
      <c r="M944" t="str">
        <f>VLOOKUP(H944,CHOOSE({1,2},Table11[Native],Table11[Name]),2,0)</f>
        <v>Wèibīn Qū</v>
      </c>
      <c r="N944" s="13" t="str">
        <f>VLOOKUP(I944,CHOOSE({1,2},Table11[Native],Table11[Name]),2,0)</f>
        <v>Băojī Shì</v>
      </c>
      <c r="O944" s="13" t="str">
        <f t="shared" si="58"/>
        <v>Shigu Zhen (Băojī Shì)</v>
      </c>
      <c r="P944" s="13" t="str">
        <f t="shared" si="59"/>
        <v>Shigu Zhen (Băojī Shì)</v>
      </c>
    </row>
    <row r="945" spans="1:16" hidden="1" x14ac:dyDescent="0.25">
      <c r="A945" t="s">
        <v>893</v>
      </c>
      <c r="B945" t="str">
        <f t="shared" si="56"/>
        <v>Shíguān Xiāng</v>
      </c>
      <c r="C945" t="str">
        <f t="shared" si="57"/>
        <v>Shíguān Xiāng</v>
      </c>
      <c r="D945" t="s">
        <v>894</v>
      </c>
      <c r="E945" t="s">
        <v>11</v>
      </c>
      <c r="F945" t="str">
        <f>_xlfn.CONCAT(D945,", ",H945,", ",I945,", ","陕西省")</f>
        <v>石关乡, 洋县, 汉中市, 陕西省</v>
      </c>
      <c r="G945">
        <v>4628</v>
      </c>
      <c r="H945" t="s">
        <v>3069</v>
      </c>
      <c r="I945" t="s">
        <v>3059</v>
      </c>
      <c r="J945" t="e">
        <f>VLOOKUP(F945,[1]!china_towns_second__2[[Column1]:[Y]],3,FALSE)</f>
        <v>#N/A</v>
      </c>
      <c r="K945" t="e">
        <f>VLOOKUP(F945,[1]!china_towns_second__2[[Column1]:[Y]],2,FALSE)</f>
        <v>#N/A</v>
      </c>
      <c r="L945" t="s">
        <v>5066</v>
      </c>
      <c r="M945" t="str">
        <f>VLOOKUP(H945,CHOOSE({1,2},Table11[Native],Table11[Name]),2,0)</f>
        <v>Yáng Xiàn</v>
      </c>
      <c r="N945" s="13" t="str">
        <f>VLOOKUP(I945,CHOOSE({1,2},Table11[Native],Table11[Name]),2,0)</f>
        <v>Hànzhōng Shì</v>
      </c>
      <c r="O945" s="13" t="str">
        <f t="shared" si="58"/>
        <v>Shiguan Xiang (Hànzhōng Shì)</v>
      </c>
      <c r="P945" s="13" t="str">
        <f t="shared" si="59"/>
        <v>Shiguan Xiang (Hànzhōng Shì)</v>
      </c>
    </row>
    <row r="946" spans="1:16" hidden="1" x14ac:dyDescent="0.25">
      <c r="A946" t="s">
        <v>1602</v>
      </c>
      <c r="B946" t="str">
        <f t="shared" si="56"/>
        <v>Shĭguān Zhèn</v>
      </c>
      <c r="C946" t="str">
        <f t="shared" si="57"/>
        <v>Shĭguān Zhèn</v>
      </c>
      <c r="D946" t="s">
        <v>1603</v>
      </c>
      <c r="E946" t="s">
        <v>7</v>
      </c>
      <c r="F946" t="str">
        <f>_xlfn.CONCAT(D946,", ",H946,", ",I946,", ","陕西省")</f>
        <v>史官镇, 白水县, 渭南市, 陕西省</v>
      </c>
      <c r="G946">
        <v>14674</v>
      </c>
      <c r="H946" t="s">
        <v>3088</v>
      </c>
      <c r="I946" t="s">
        <v>3087</v>
      </c>
      <c r="J946">
        <f>VLOOKUP(F946,[1]!china_towns_second__2[[Column1]:[Y]],3,FALSE)</f>
        <v>35.368054897199002</v>
      </c>
      <c r="K946">
        <f>VLOOKUP(F946,[1]!china_towns_second__2[[Column1]:[Y]],2,FALSE)</f>
        <v>109.6673728</v>
      </c>
      <c r="L946" t="s">
        <v>5067</v>
      </c>
      <c r="M946" t="str">
        <f>VLOOKUP(H946,CHOOSE({1,2},Table11[Native],Table11[Name]),2,0)</f>
        <v>Báishuĭ Xiàn</v>
      </c>
      <c r="N946" s="13" t="str">
        <f>VLOOKUP(I946,CHOOSE({1,2},Table11[Native],Table11[Name]),2,0)</f>
        <v>Wèinán Shì</v>
      </c>
      <c r="O946" s="13" t="str">
        <f t="shared" si="58"/>
        <v>Shiguan Zhen (Wèinán Shì)</v>
      </c>
      <c r="P946" s="13" t="str">
        <f t="shared" si="59"/>
        <v>Shiguan Zhen (Wèinán Shì)</v>
      </c>
    </row>
    <row r="947" spans="1:16" hidden="1" x14ac:dyDescent="0.25">
      <c r="A947" t="s">
        <v>2877</v>
      </c>
      <c r="B947" t="str">
        <f t="shared" si="56"/>
        <v>Shíjiāwān Zhèn</v>
      </c>
      <c r="C947" t="str">
        <f t="shared" si="57"/>
        <v>Shíjiāwān Zhèn</v>
      </c>
      <c r="D947" t="s">
        <v>2878</v>
      </c>
      <c r="E947" t="s">
        <v>7</v>
      </c>
      <c r="F947" t="str">
        <f>_xlfn.CONCAT(D947,", ",H947,", ",I947,", ","陕西省")</f>
        <v>石家湾镇, 绥德县, 榆林市, 陕西省</v>
      </c>
      <c r="G947">
        <v>14214</v>
      </c>
      <c r="H947" t="s">
        <v>3157</v>
      </c>
      <c r="I947" t="s">
        <v>3148</v>
      </c>
      <c r="J947">
        <f>VLOOKUP(F947,[1]!china_towns_second__2[[Column1]:[Y]],3,FALSE)</f>
        <v>37.567067891109403</v>
      </c>
      <c r="K947">
        <f>VLOOKUP(F947,[1]!china_towns_second__2[[Column1]:[Y]],2,FALSE)</f>
        <v>110.1490605</v>
      </c>
      <c r="L947" t="s">
        <v>5068</v>
      </c>
      <c r="M947" t="str">
        <f>VLOOKUP(H947,CHOOSE({1,2},Table11[Native],Table11[Name]),2,0)</f>
        <v>Suídé Xiàn</v>
      </c>
      <c r="N947" s="13" t="str">
        <f>VLOOKUP(I947,CHOOSE({1,2},Table11[Native],Table11[Name]),2,0)</f>
        <v>Yúlín Shì</v>
      </c>
      <c r="O947" s="13" t="str">
        <f t="shared" si="58"/>
        <v>Shijiawan Zhen (Yúlín Shì)</v>
      </c>
      <c r="P947" s="13" t="str">
        <f t="shared" si="59"/>
        <v>Shijiawan Zhen (Yúlín Shì)</v>
      </c>
    </row>
    <row r="948" spans="1:16" hidden="1" x14ac:dyDescent="0.25">
      <c r="A948" t="s">
        <v>895</v>
      </c>
      <c r="B948" t="str">
        <f t="shared" si="56"/>
        <v>Shĭjiāyuàn Xiāng</v>
      </c>
      <c r="C948" t="str">
        <f t="shared" si="57"/>
        <v>Shĭjiāyuàn Xiāng</v>
      </c>
      <c r="D948" t="s">
        <v>896</v>
      </c>
      <c r="E948" t="s">
        <v>11</v>
      </c>
      <c r="F948" t="str">
        <f>_xlfn.CONCAT(D948,", ",H948,", ",I948,", ","陕西省")</f>
        <v>史家院乡, 略阳县, 汉中市, 陕西省</v>
      </c>
      <c r="G948">
        <v>2692</v>
      </c>
      <c r="H948" t="s">
        <v>3064</v>
      </c>
      <c r="I948" t="s">
        <v>3059</v>
      </c>
      <c r="J948" t="e">
        <f>VLOOKUP(F948,[1]!china_towns_second__2[[Column1]:[Y]],3,FALSE)</f>
        <v>#N/A</v>
      </c>
      <c r="K948" t="e">
        <f>VLOOKUP(F948,[1]!china_towns_second__2[[Column1]:[Y]],2,FALSE)</f>
        <v>#N/A</v>
      </c>
      <c r="L948" t="s">
        <v>5069</v>
      </c>
      <c r="M948" t="str">
        <f>VLOOKUP(H948,CHOOSE({1,2},Table11[Native],Table11[Name]),2,0)</f>
        <v>Lüèyáng Xiàn</v>
      </c>
      <c r="N948" s="13" t="str">
        <f>VLOOKUP(I948,CHOOSE({1,2},Table11[Native],Table11[Name]),2,0)</f>
        <v>Hànzhōng Shì</v>
      </c>
      <c r="O948" s="13" t="str">
        <f t="shared" si="58"/>
        <v>Shijiayuan Xiang (Hànzhōng Shì)</v>
      </c>
      <c r="P948" s="13" t="str">
        <f t="shared" si="59"/>
        <v>Shijiayuan Xiang (Hànzhōng Shì)</v>
      </c>
    </row>
    <row r="949" spans="1:16" hidden="1" x14ac:dyDescent="0.25">
      <c r="A949" t="s">
        <v>2186</v>
      </c>
      <c r="B949" t="str">
        <f t="shared" si="56"/>
        <v>Shíjĭng Zhèn</v>
      </c>
      <c r="C949" t="str">
        <f t="shared" si="57"/>
        <v>Shíjĭng Zhèn</v>
      </c>
      <c r="D949" t="s">
        <v>2187</v>
      </c>
      <c r="E949" t="s">
        <v>7</v>
      </c>
      <c r="F949" t="str">
        <f>_xlfn.CONCAT(D949,", ",H949,", ",I949,", ","陕西省")</f>
        <v>石井镇, 鄠邑区, 西安市, 陕西省</v>
      </c>
      <c r="G949">
        <v>25584</v>
      </c>
      <c r="H949" t="s">
        <v>3107</v>
      </c>
      <c r="I949" t="s">
        <v>3102</v>
      </c>
      <c r="J949">
        <f>VLOOKUP(F949,[1]!china_towns_second__2[[Column1]:[Y]],3,FALSE)</f>
        <v>33.895565149258502</v>
      </c>
      <c r="K949">
        <f>VLOOKUP(F949,[1]!china_towns_second__2[[Column1]:[Y]],2,FALSE)</f>
        <v>108.5217109</v>
      </c>
      <c r="L949" t="s">
        <v>5070</v>
      </c>
      <c r="M949" t="str">
        <f>VLOOKUP(H949,CHOOSE({1,2},Table11[Native],Table11[Name]),2,0)</f>
        <v>Hùyì Qū</v>
      </c>
      <c r="N949" s="13" t="str">
        <f>VLOOKUP(I949,CHOOSE({1,2},Table11[Native],Table11[Name]),2,0)</f>
        <v>Xī'ān Shì</v>
      </c>
      <c r="O949" s="13" t="str">
        <f t="shared" si="58"/>
        <v>Shijing Zhen (Xī'ān Shì)</v>
      </c>
      <c r="P949" s="13" t="str">
        <f t="shared" si="59"/>
        <v>Shijing Zhen (Xī'ān Shì)</v>
      </c>
    </row>
    <row r="950" spans="1:16" hidden="1" x14ac:dyDescent="0.25">
      <c r="A950" t="s">
        <v>2879</v>
      </c>
      <c r="B950" t="str">
        <f t="shared" si="56"/>
        <v>Shíjŭyì Zhèn</v>
      </c>
      <c r="C950" t="str">
        <f t="shared" si="57"/>
        <v>Shíjŭyì Zhèn</v>
      </c>
      <c r="D950" t="s">
        <v>2880</v>
      </c>
      <c r="E950" t="s">
        <v>7</v>
      </c>
      <c r="F950" t="str">
        <f>_xlfn.CONCAT(D950,", ",H950,", ",I950,", ","陕西省")</f>
        <v>石咀驿镇, 清涧县, 榆林市, 陕西省</v>
      </c>
      <c r="G950">
        <v>7341</v>
      </c>
      <c r="H950" t="s">
        <v>3155</v>
      </c>
      <c r="I950" t="s">
        <v>3148</v>
      </c>
      <c r="J950">
        <f>VLOOKUP(F950,[1]!china_towns_second__2[[Column1]:[Y]],3,FALSE)</f>
        <v>37.3345285548953</v>
      </c>
      <c r="K950">
        <f>VLOOKUP(F950,[1]!china_towns_second__2[[Column1]:[Y]],2,FALSE)</f>
        <v>110.1781793</v>
      </c>
      <c r="L950" t="s">
        <v>5071</v>
      </c>
      <c r="M950" t="str">
        <f>VLOOKUP(H950,CHOOSE({1,2},Table11[Native],Table11[Name]),2,0)</f>
        <v>Qīngjiàn Xiàn</v>
      </c>
      <c r="N950" s="13" t="str">
        <f>VLOOKUP(I950,CHOOSE({1,2},Table11[Native],Table11[Name]),2,0)</f>
        <v>Yúlín Shì</v>
      </c>
      <c r="O950" s="13" t="str">
        <f t="shared" si="58"/>
        <v>Shijuyi Zhen (Yúlín Shì)</v>
      </c>
      <c r="P950" s="13" t="str">
        <f t="shared" si="59"/>
        <v>Shijuyi Zhen (Yúlín Shì)</v>
      </c>
    </row>
    <row r="951" spans="1:16" hidden="1" x14ac:dyDescent="0.25">
      <c r="A951" t="s">
        <v>1198</v>
      </c>
      <c r="B951" t="str">
        <f t="shared" si="56"/>
        <v>Shílĭpíng Zhèn</v>
      </c>
      <c r="C951" t="str">
        <f t="shared" si="57"/>
        <v>Shílĭpíng Zhèn</v>
      </c>
      <c r="D951" t="s">
        <v>1199</v>
      </c>
      <c r="E951" t="s">
        <v>7</v>
      </c>
      <c r="F951" t="str">
        <f>_xlfn.CONCAT(D951,", ",H951,", ",I951,", ","陕西省")</f>
        <v>十里坪镇, 商南县, 商洛市, 陕西省</v>
      </c>
      <c r="G951">
        <v>11487</v>
      </c>
      <c r="H951" t="s">
        <v>3075</v>
      </c>
      <c r="I951" t="s">
        <v>3072</v>
      </c>
      <c r="J951">
        <f>VLOOKUP(F951,[1]!china_towns_second__2[[Column1]:[Y]],3,FALSE)</f>
        <v>33.2775900742094</v>
      </c>
      <c r="K951">
        <f>VLOOKUP(F951,[1]!china_towns_second__2[[Column1]:[Y]],2,FALSE)</f>
        <v>110.57526180000001</v>
      </c>
      <c r="L951" t="s">
        <v>5072</v>
      </c>
      <c r="M951" t="str">
        <f>VLOOKUP(H951,CHOOSE({1,2},Table11[Native],Table11[Name]),2,0)</f>
        <v>Shāngnán Xiàn</v>
      </c>
      <c r="N951" s="13" t="str">
        <f>VLOOKUP(I951,CHOOSE({1,2},Table11[Native],Table11[Name]),2,0)</f>
        <v>Shāngluò Shì</v>
      </c>
      <c r="O951" s="13" t="str">
        <f t="shared" si="58"/>
        <v>Shiliping Zhen (Shāngluò Shì)</v>
      </c>
      <c r="P951" s="13" t="str">
        <f t="shared" si="59"/>
        <v>Shiliping Zhen (Shāngluò Shì)</v>
      </c>
    </row>
    <row r="952" spans="1:16" hidden="1" x14ac:dyDescent="0.25">
      <c r="A952" t="s">
        <v>531</v>
      </c>
      <c r="B952" t="str">
        <f t="shared" si="56"/>
        <v>Shílĭpū Jiēdào (Băojī Shì)</v>
      </c>
      <c r="C952" t="str">
        <f t="shared" si="57"/>
        <v>Shílĭpū Jiēdào (Băojī Shì)</v>
      </c>
      <c r="D952" t="s">
        <v>532</v>
      </c>
      <c r="E952" t="s">
        <v>113</v>
      </c>
      <c r="F952" t="str">
        <f>_xlfn.CONCAT(D952,", ",H952,", ",I952,", ","陕西省")</f>
        <v>十里铺街道, 金台区, 宝鸡市, 陕西省</v>
      </c>
      <c r="G952">
        <v>49989</v>
      </c>
      <c r="H952" t="s">
        <v>3050</v>
      </c>
      <c r="I952" t="s">
        <v>3045</v>
      </c>
      <c r="J952">
        <f>VLOOKUP(F952,[1]!china_towns_second__2[[Column1]:[Y]],3,FALSE)</f>
        <v>34.367180260291299</v>
      </c>
      <c r="K952">
        <f>VLOOKUP(F952,[1]!china_towns_second__2[[Column1]:[Y]],2,FALSE)</f>
        <v>107.2021654</v>
      </c>
      <c r="L952" t="s">
        <v>5073</v>
      </c>
      <c r="M952" t="str">
        <f>VLOOKUP(H952,CHOOSE({1,2},Table11[Native],Table11[Name]),2,0)</f>
        <v>Jīntái Qū</v>
      </c>
      <c r="N952" s="13" t="str">
        <f>VLOOKUP(I952,CHOOSE({1,2},Table11[Native],Table11[Name]),2,0)</f>
        <v>Băojī Shì</v>
      </c>
      <c r="O952" s="13" t="str">
        <f t="shared" si="58"/>
        <v>Shilipu Jiedao (Baoji Shi) (Băojī Shì)</v>
      </c>
      <c r="P952" s="13" t="str">
        <f t="shared" si="59"/>
        <v>Shilipu Jiedao (Baoji Shi) (Băojī Shì)</v>
      </c>
    </row>
    <row r="953" spans="1:16" hidden="1" x14ac:dyDescent="0.25">
      <c r="A953" t="s">
        <v>531</v>
      </c>
      <c r="B953" t="str">
        <f t="shared" si="56"/>
        <v>Shílĭpū Jiēdào (Shāngluò Shì)</v>
      </c>
      <c r="C953" t="str">
        <f t="shared" si="57"/>
        <v>Shílĭpū Jiēdào (Shāngluò Shì)</v>
      </c>
      <c r="D953" t="s">
        <v>532</v>
      </c>
      <c r="E953" t="s">
        <v>113</v>
      </c>
      <c r="F953" t="str">
        <f>_xlfn.CONCAT(D953,", ",H953,", ",I953,", ","陕西省")</f>
        <v>十里铺街道, 山阳县, 商洛市, 陕西省</v>
      </c>
      <c r="G953">
        <v>21406</v>
      </c>
      <c r="H953" t="s">
        <v>3077</v>
      </c>
      <c r="I953" t="s">
        <v>3072</v>
      </c>
      <c r="J953" t="e">
        <f>VLOOKUP(F953,[1]!china_towns_second__2[[Column1]:[Y]],3,FALSE)</f>
        <v>#N/A</v>
      </c>
      <c r="K953" t="e">
        <f>VLOOKUP(F953,[1]!china_towns_second__2[[Column1]:[Y]],2,FALSE)</f>
        <v>#N/A</v>
      </c>
      <c r="L953" t="s">
        <v>5074</v>
      </c>
      <c r="M953" t="str">
        <f>VLOOKUP(H953,CHOOSE({1,2},Table11[Native],Table11[Name]),2,0)</f>
        <v>Shānyáng Xiàn</v>
      </c>
      <c r="N953" s="13" t="str">
        <f>VLOOKUP(I953,CHOOSE({1,2},Table11[Native],Table11[Name]),2,0)</f>
        <v>Shāngluò Shì</v>
      </c>
      <c r="O953" s="13" t="str">
        <f t="shared" si="58"/>
        <v>Shilipu Jiedao (Shangluo Shi) (Shāngluò Shì)</v>
      </c>
      <c r="P953" s="13" t="str">
        <f t="shared" si="59"/>
        <v>Shilipu Jiedao (Shangluo Shi) (Shāngluò Shì)</v>
      </c>
    </row>
    <row r="954" spans="1:16" hidden="1" x14ac:dyDescent="0.25">
      <c r="A954" t="s">
        <v>531</v>
      </c>
      <c r="B954" t="str">
        <f t="shared" si="56"/>
        <v>Shílĭpū Jiēdào (Xī'ān Shì)</v>
      </c>
      <c r="C954" t="str">
        <f t="shared" si="57"/>
        <v>Shílĭpū Jiēdào (Xī'ān Shì)</v>
      </c>
      <c r="D954" t="s">
        <v>532</v>
      </c>
      <c r="E954" t="s">
        <v>113</v>
      </c>
      <c r="F954" t="str">
        <f>_xlfn.CONCAT(D954,", ",H954,", ",I954,", ","陕西省")</f>
        <v>十里铺街道, 灞桥区, 西安市, 陕西省</v>
      </c>
      <c r="G954">
        <v>100867</v>
      </c>
      <c r="H954" t="s">
        <v>3103</v>
      </c>
      <c r="I954" t="s">
        <v>3102</v>
      </c>
      <c r="J954">
        <f>VLOOKUP(F954,[1]!china_towns_second__2[[Column1]:[Y]],3,FALSE)</f>
        <v>34.2802244012153</v>
      </c>
      <c r="K954">
        <f>VLOOKUP(F954,[1]!china_towns_second__2[[Column1]:[Y]],2,FALSE)</f>
        <v>109.01901789999999</v>
      </c>
      <c r="L954" t="s">
        <v>5075</v>
      </c>
      <c r="M954" t="str">
        <f>VLOOKUP(H954,CHOOSE({1,2},Table11[Native],Table11[Name]),2,0)</f>
        <v>Bàqiáo Qū</v>
      </c>
      <c r="N954" s="13" t="str">
        <f>VLOOKUP(I954,CHOOSE({1,2},Table11[Native],Table11[Name]),2,0)</f>
        <v>Xī'ān Shì</v>
      </c>
      <c r="O954" s="13" t="str">
        <f t="shared" si="58"/>
        <v>Shilipu Jiedao (Xi'an Shi) (Xī'ān Shì)</v>
      </c>
      <c r="P954" s="13" t="str">
        <f t="shared" si="59"/>
        <v>Shilipu Jiedao (Xi'an Shi) (Xī'ān Shì)</v>
      </c>
    </row>
    <row r="955" spans="1:16" hidden="1" x14ac:dyDescent="0.25">
      <c r="A955" t="s">
        <v>1857</v>
      </c>
      <c r="B955" t="str">
        <f t="shared" si="56"/>
        <v>Shílĭyuán Zhèn [incl. Măjiā Zhèn]</v>
      </c>
      <c r="C955" t="str">
        <f t="shared" si="57"/>
        <v>Shílĭyuán Zhèn [incl. Măjiā Zhèn]</v>
      </c>
      <c r="D955" t="s">
        <v>1858</v>
      </c>
      <c r="E955" t="s">
        <v>7</v>
      </c>
      <c r="F955" t="str">
        <f>_xlfn.CONCAT(D955,", ",H955,", ",I955,", ","陕西省")</f>
        <v>十里塬镇, 淳化县, 咸阳市, 陕西省</v>
      </c>
      <c r="G955">
        <v>29592</v>
      </c>
      <c r="H955" t="s">
        <v>3120</v>
      </c>
      <c r="I955" t="s">
        <v>3117</v>
      </c>
      <c r="J955">
        <f>VLOOKUP(F955,[1]!china_towns_second__2[[Column1]:[Y]],3,FALSE)</f>
        <v>34.9490810005505</v>
      </c>
      <c r="K955">
        <f>VLOOKUP(F955,[1]!china_towns_second__2[[Column1]:[Y]],2,FALSE)</f>
        <v>108.4768356</v>
      </c>
      <c r="L955" t="s">
        <v>5076</v>
      </c>
      <c r="M955" t="str">
        <f>VLOOKUP(H955,CHOOSE({1,2},Table11[Native],Table11[Name]),2,0)</f>
        <v>Chúnhuà Xiàn</v>
      </c>
      <c r="N955" s="13" t="str">
        <f>VLOOKUP(I955,CHOOSE({1,2},Table11[Native],Table11[Name]),2,0)</f>
        <v>Xiányáng Shì</v>
      </c>
      <c r="O955" s="13" t="str">
        <f t="shared" si="58"/>
        <v>Shiliyuan Zhen [incl. Majia Zhen] (Xiányáng Shì)</v>
      </c>
      <c r="P955" s="13" t="str">
        <f t="shared" si="59"/>
        <v>Shiliyuan Zhen [incl. Majia Zhen] (Xiányáng Shì)</v>
      </c>
    </row>
    <row r="956" spans="1:16" hidden="1" x14ac:dyDescent="0.25">
      <c r="A956" t="s">
        <v>1200</v>
      </c>
      <c r="B956" t="str">
        <f t="shared" si="56"/>
        <v>Shìmă Zhèn</v>
      </c>
      <c r="C956" t="str">
        <f t="shared" si="57"/>
        <v>Shìmă Zhèn</v>
      </c>
      <c r="D956" t="s">
        <v>1201</v>
      </c>
      <c r="E956" t="s">
        <v>7</v>
      </c>
      <c r="F956" t="str">
        <f>_xlfn.CONCAT(D956,", ",H956,", ",I956,", ","陕西省")</f>
        <v>试马镇, 商南县, 商洛市, 陕西省</v>
      </c>
      <c r="G956">
        <v>15310</v>
      </c>
      <c r="H956" t="s">
        <v>3075</v>
      </c>
      <c r="I956" t="s">
        <v>3072</v>
      </c>
      <c r="J956">
        <f>VLOOKUP(F956,[1]!china_towns_second__2[[Column1]:[Y]],3,FALSE)</f>
        <v>33.539618166744098</v>
      </c>
      <c r="K956">
        <f>VLOOKUP(F956,[1]!china_towns_second__2[[Column1]:[Y]],2,FALSE)</f>
        <v>110.7548984</v>
      </c>
      <c r="L956" t="s">
        <v>5077</v>
      </c>
      <c r="M956" t="str">
        <f>VLOOKUP(H956,CHOOSE({1,2},Table11[Native],Table11[Name]),2,0)</f>
        <v>Shāngnán Xiàn</v>
      </c>
      <c r="N956" s="13" t="str">
        <f>VLOOKUP(I956,CHOOSE({1,2},Table11[Native],Table11[Name]),2,0)</f>
        <v>Shāngluò Shì</v>
      </c>
      <c r="O956" s="13" t="str">
        <f t="shared" si="58"/>
        <v>Shima Zhen (Shāngluò Shì)</v>
      </c>
      <c r="P956" s="13" t="str">
        <f t="shared" si="59"/>
        <v>Shima Zhen (Shāngluò Shì)</v>
      </c>
    </row>
    <row r="957" spans="1:16" hidden="1" x14ac:dyDescent="0.25">
      <c r="A957" t="s">
        <v>198</v>
      </c>
      <c r="B957" t="str">
        <f t="shared" si="56"/>
        <v>Shímén Zhèn (Ānkāng Shì)</v>
      </c>
      <c r="C957" t="str">
        <f t="shared" si="57"/>
        <v>Shímén Zhèn (Ānkāng Shì)</v>
      </c>
      <c r="D957" t="s">
        <v>197</v>
      </c>
      <c r="E957" t="s">
        <v>7</v>
      </c>
      <c r="F957" t="str">
        <f>_xlfn.CONCAT(D957,", ",H957,", ",I957,", ","陕西省")</f>
        <v>石门镇, 旬阳县, 安康市, 陕西省</v>
      </c>
      <c r="G957">
        <v>11553</v>
      </c>
      <c r="H957" t="s">
        <v>3041</v>
      </c>
      <c r="I957" t="s">
        <v>3031</v>
      </c>
      <c r="J957">
        <f>VLOOKUP(F957,[1]!china_towns_second__2[[Column1]:[Y]],3,FALSE)</f>
        <v>32.569241801670501</v>
      </c>
      <c r="K957">
        <f>VLOOKUP(F957,[1]!china_towns_second__2[[Column1]:[Y]],2,FALSE)</f>
        <v>109.4521331</v>
      </c>
      <c r="L957" t="s">
        <v>5078</v>
      </c>
      <c r="M957" t="str">
        <f>VLOOKUP(H957,CHOOSE({1,2},Table11[Native],Table11[Name]),2,0)</f>
        <v>Xúnyáng Xiàn</v>
      </c>
      <c r="N957" s="13" t="str">
        <f>VLOOKUP(I957,CHOOSE({1,2},Table11[Native],Table11[Name]),2,0)</f>
        <v>Ānkāng Shì</v>
      </c>
      <c r="O957" s="13" t="str">
        <f t="shared" si="58"/>
        <v>Shimen Zhen (Ankang Shi) (Ānkāng Shì)</v>
      </c>
      <c r="P957" s="13" t="str">
        <f t="shared" si="59"/>
        <v>Shimen Zhen (Ankang Shi) (Ānkāng Shì)</v>
      </c>
    </row>
    <row r="958" spans="1:16" hidden="1" x14ac:dyDescent="0.25">
      <c r="A958" t="s">
        <v>198</v>
      </c>
      <c r="B958" t="str">
        <f t="shared" si="56"/>
        <v>Shímén Zhèn (Shāngluò Shì)</v>
      </c>
      <c r="C958" t="str">
        <f t="shared" si="57"/>
        <v>Shímén Zhèn (Shāngluò Shì)</v>
      </c>
      <c r="D958" t="s">
        <v>197</v>
      </c>
      <c r="E958" t="s">
        <v>7</v>
      </c>
      <c r="F958" t="str">
        <f>_xlfn.CONCAT(D958,", ",H958,", ",I958,", ","陕西省")</f>
        <v>石门镇, 洛南县, 商洛市, 陕西省</v>
      </c>
      <c r="G958">
        <v>25742</v>
      </c>
      <c r="H958" t="s">
        <v>3074</v>
      </c>
      <c r="I958" t="s">
        <v>3072</v>
      </c>
      <c r="J958">
        <f>VLOOKUP(F958,[1]!china_towns_second__2[[Column1]:[Y]],3,FALSE)</f>
        <v>34.2642589028194</v>
      </c>
      <c r="K958">
        <f>VLOOKUP(F958,[1]!china_towns_second__2[[Column1]:[Y]],2,FALSE)</f>
        <v>110.12482420000001</v>
      </c>
      <c r="L958" t="s">
        <v>5079</v>
      </c>
      <c r="M958" t="str">
        <f>VLOOKUP(H958,CHOOSE({1,2},Table11[Native],Table11[Name]),2,0)</f>
        <v>Luònán Xiàn</v>
      </c>
      <c r="N958" s="13" t="str">
        <f>VLOOKUP(I958,CHOOSE({1,2},Table11[Native],Table11[Name]),2,0)</f>
        <v>Shāngluò Shì</v>
      </c>
      <c r="O958" s="13" t="str">
        <f t="shared" si="58"/>
        <v>Shimen Zhen (Shangluo Shi) (Shāngluò Shì)</v>
      </c>
      <c r="P958" s="13" t="str">
        <f t="shared" si="59"/>
        <v>Shimen Zhen (Shangluo Shi) (Shāngluò Shì)</v>
      </c>
    </row>
    <row r="959" spans="1:16" hidden="1" x14ac:dyDescent="0.25">
      <c r="A959" t="s">
        <v>198</v>
      </c>
      <c r="B959" t="str">
        <f t="shared" si="56"/>
        <v>Shímén Zhèn (Yán'ān Shì)</v>
      </c>
      <c r="C959" t="str">
        <f t="shared" si="57"/>
        <v>Shímén Zhèn (Yán'ān Shì)</v>
      </c>
      <c r="D959" t="s">
        <v>197</v>
      </c>
      <c r="E959" t="s">
        <v>7</v>
      </c>
      <c r="F959" t="str">
        <f>_xlfn.CONCAT(D959,", ",H959,", ",I959,", ","陕西省")</f>
        <v>石门镇, 甘泉县, 延安市, 陕西省</v>
      </c>
      <c r="G959">
        <v>4708</v>
      </c>
      <c r="H959" t="s">
        <v>3137</v>
      </c>
      <c r="I959" t="s">
        <v>3133</v>
      </c>
      <c r="J959">
        <f>VLOOKUP(F959,[1]!china_towns_second__2[[Column1]:[Y]],3,FALSE)</f>
        <v>36.416116120509301</v>
      </c>
      <c r="K959">
        <f>VLOOKUP(F959,[1]!china_towns_second__2[[Column1]:[Y]],2,FALSE)</f>
        <v>109.18180169999999</v>
      </c>
      <c r="L959" t="s">
        <v>5080</v>
      </c>
      <c r="M959" t="str">
        <f>VLOOKUP(H959,CHOOSE({1,2},Table11[Native],Table11[Name]),2,0)</f>
        <v>Gānquán Xiàn</v>
      </c>
      <c r="N959" s="13" t="str">
        <f>VLOOKUP(I959,CHOOSE({1,2},Table11[Native],Table11[Name]),2,0)</f>
        <v>Yán'ān Shì</v>
      </c>
      <c r="O959" s="13" t="str">
        <f t="shared" si="58"/>
        <v>Shimen Zhen (Yan'an Shi) (Yán'ān Shì)</v>
      </c>
      <c r="P959" s="13" t="str">
        <f t="shared" si="59"/>
        <v>Shimen Zhen (Yan'an Shi) (Yán'ān Shì)</v>
      </c>
    </row>
    <row r="960" spans="1:16" hidden="1" x14ac:dyDescent="0.25">
      <c r="A960" t="s">
        <v>196</v>
      </c>
      <c r="B960" t="str">
        <f t="shared" si="56"/>
        <v>Shímén Zhèn [incl. Héngxī Xiāng]</v>
      </c>
      <c r="C960" t="str">
        <f t="shared" si="57"/>
        <v>Shímén Zhèn [incl. Héngxī Xiāng]</v>
      </c>
      <c r="D960" t="s">
        <v>197</v>
      </c>
      <c r="E960" t="s">
        <v>7</v>
      </c>
      <c r="F960" t="str">
        <f>_xlfn.CONCAT(D960,", ",H960,", ",I960,", ","陕西省")</f>
        <v>石门镇, 岚皋县, 安康市, 陕西省</v>
      </c>
      <c r="G960">
        <v>12978</v>
      </c>
      <c r="H960" t="s">
        <v>3037</v>
      </c>
      <c r="I960" t="s">
        <v>3031</v>
      </c>
      <c r="J960">
        <f>VLOOKUP(F960,[1]!china_towns_second__2[[Column1]:[Y]],3,FALSE)</f>
        <v>32.252464822560199</v>
      </c>
      <c r="K960">
        <f>VLOOKUP(F960,[1]!china_towns_second__2[[Column1]:[Y]],2,FALSE)</f>
        <v>108.77494609999999</v>
      </c>
      <c r="L960" t="s">
        <v>5081</v>
      </c>
      <c r="M960" t="str">
        <f>VLOOKUP(H960,CHOOSE({1,2},Table11[Native],Table11[Name]),2,0)</f>
        <v>Lángāo Xiàn</v>
      </c>
      <c r="N960" s="13" t="str">
        <f>VLOOKUP(I960,CHOOSE({1,2},Table11[Native],Table11[Name]),2,0)</f>
        <v>Ānkāng Shì</v>
      </c>
      <c r="O960" s="13" t="str">
        <f t="shared" si="58"/>
        <v>Shimen Zhen [incl. Hengxi Xiang] (Ānkāng Shì)</v>
      </c>
      <c r="P960" s="13" t="str">
        <f t="shared" si="59"/>
        <v>Shimen Zhen [incl. Hengxi Xiang] (Ānkāng Shì)</v>
      </c>
    </row>
    <row r="961" spans="1:16" hidden="1" x14ac:dyDescent="0.25">
      <c r="A961" t="s">
        <v>1202</v>
      </c>
      <c r="B961" t="str">
        <f t="shared" si="56"/>
        <v>Shípō Zhèn</v>
      </c>
      <c r="C961" t="str">
        <f t="shared" si="57"/>
        <v>Shípō Zhèn</v>
      </c>
      <c r="D961" t="s">
        <v>1203</v>
      </c>
      <c r="E961" t="s">
        <v>7</v>
      </c>
      <c r="F961" t="str">
        <f>_xlfn.CONCAT(D961,", ",H961,", ",I961,", ","陕西省")</f>
        <v>石坡镇, 洛南县, 商洛市, 陕西省</v>
      </c>
      <c r="G961">
        <v>25086</v>
      </c>
      <c r="H961" t="s">
        <v>3074</v>
      </c>
      <c r="I961" t="s">
        <v>3072</v>
      </c>
      <c r="J961">
        <f>VLOOKUP(F961,[1]!china_towns_second__2[[Column1]:[Y]],3,FALSE)</f>
        <v>34.2244544589363</v>
      </c>
      <c r="K961">
        <f>VLOOKUP(F961,[1]!china_towns_second__2[[Column1]:[Y]],2,FALSE)</f>
        <v>110.2846631</v>
      </c>
      <c r="L961" t="s">
        <v>5082</v>
      </c>
      <c r="M961" t="str">
        <f>VLOOKUP(H961,CHOOSE({1,2},Table11[Native],Table11[Name]),2,0)</f>
        <v>Luònán Xiàn</v>
      </c>
      <c r="N961" s="13" t="str">
        <f>VLOOKUP(I961,CHOOSE({1,2},Table11[Native],Table11[Name]),2,0)</f>
        <v>Shāngluò Shì</v>
      </c>
      <c r="O961" s="13" t="str">
        <f t="shared" si="58"/>
        <v>Shipo Zhen (Shāngluò Shì)</v>
      </c>
      <c r="P961" s="13" t="str">
        <f t="shared" si="59"/>
        <v>Shipo Zhen (Shāngluò Shì)</v>
      </c>
    </row>
    <row r="962" spans="1:16" hidden="1" x14ac:dyDescent="0.25">
      <c r="A962" t="s">
        <v>1859</v>
      </c>
      <c r="B962" t="str">
        <f t="shared" ref="B962:B1025" si="60">IF(COUNTIF(A:A,A962)&gt;1,_xlfn.CONCAT(A962," (",N962,")"),A962)</f>
        <v>Shíqiáo Zhèn [incl. Qínzhuāng Zhèn]</v>
      </c>
      <c r="C962" t="str">
        <f t="shared" ref="C962:C1025" si="61">IF(COUNTIF(B:B,B962)&gt;1,_xlfn.CONCAT(A962," (",M962,")"),B962)</f>
        <v>Shíqiáo Zhèn [incl. Qínzhuāng Zhèn]</v>
      </c>
      <c r="D962" t="s">
        <v>1860</v>
      </c>
      <c r="E962" t="s">
        <v>7</v>
      </c>
      <c r="F962" t="str">
        <f>_xlfn.CONCAT(D962,", ",H962,", ",I962,", ","陕西省")</f>
        <v>石桥镇, 淳化县, 咸阳市, 陕西省</v>
      </c>
      <c r="G962">
        <v>14503</v>
      </c>
      <c r="H962" t="s">
        <v>3120</v>
      </c>
      <c r="I962" t="s">
        <v>3117</v>
      </c>
      <c r="J962">
        <f>VLOOKUP(F962,[1]!china_towns_second__2[[Column1]:[Y]],3,FALSE)</f>
        <v>34.769663544003002</v>
      </c>
      <c r="K962">
        <f>VLOOKUP(F962,[1]!china_towns_second__2[[Column1]:[Y]],2,FALSE)</f>
        <v>108.6665232</v>
      </c>
      <c r="L962" t="s">
        <v>5083</v>
      </c>
      <c r="M962" t="str">
        <f>VLOOKUP(H962,CHOOSE({1,2},Table11[Native],Table11[Name]),2,0)</f>
        <v>Chúnhuà Xiàn</v>
      </c>
      <c r="N962" s="13" t="str">
        <f>VLOOKUP(I962,CHOOSE({1,2},Table11[Native],Table11[Name]),2,0)</f>
        <v>Xiányáng Shì</v>
      </c>
      <c r="O962" s="13" t="str">
        <f t="shared" ref="O962:O1025" si="62">_xlfn.CONCAT(L962," (",N962,")")</f>
        <v>Shiqiao Zhen [incl. Qinzhuang Zhen] (Xiányáng Shì)</v>
      </c>
      <c r="P962" s="13" t="str">
        <f t="shared" ref="P962:P1025" si="63">IF(COUNTIF(O:O,O962)&gt;1,_xlfn.CONCAT(L962," (",M962,")"),O962)</f>
        <v>Shiqiao Zhen [incl. Qinzhuang Zhen] (Xiányáng Shì)</v>
      </c>
    </row>
    <row r="963" spans="1:16" hidden="1" x14ac:dyDescent="0.25">
      <c r="A963" t="s">
        <v>2507</v>
      </c>
      <c r="B963" t="str">
        <f t="shared" si="60"/>
        <v>Shíquán Xiāng</v>
      </c>
      <c r="C963" t="str">
        <f t="shared" si="61"/>
        <v>Shíquán Xiāng</v>
      </c>
      <c r="D963" t="s">
        <v>2508</v>
      </c>
      <c r="E963" t="s">
        <v>11</v>
      </c>
      <c r="F963" t="str">
        <f>_xlfn.CONCAT(D963,", ",H963,", ",I963,", ","陕西省")</f>
        <v>石泉乡, 洛川县, 延安市, 陕西省</v>
      </c>
      <c r="G963">
        <v>5297</v>
      </c>
      <c r="H963" t="s">
        <v>3140</v>
      </c>
      <c r="I963" t="s">
        <v>3133</v>
      </c>
      <c r="J963" t="e">
        <f>VLOOKUP(F963,[1]!china_towns_second__2[[Column1]:[Y]],3,FALSE)</f>
        <v>#N/A</v>
      </c>
      <c r="K963" t="e">
        <f>VLOOKUP(F963,[1]!china_towns_second__2[[Column1]:[Y]],2,FALSE)</f>
        <v>#N/A</v>
      </c>
      <c r="L963" t="s">
        <v>5084</v>
      </c>
      <c r="M963" t="str">
        <f>VLOOKUP(H963,CHOOSE({1,2},Table11[Native],Table11[Name]),2,0)</f>
        <v>Luòchuān Xiàn</v>
      </c>
      <c r="N963" s="13" t="str">
        <f>VLOOKUP(I963,CHOOSE({1,2},Table11[Native],Table11[Name]),2,0)</f>
        <v>Yán'ān Shì</v>
      </c>
      <c r="O963" s="13" t="str">
        <f t="shared" si="62"/>
        <v>Shiquan Xiang (Yán'ān Shì)</v>
      </c>
      <c r="P963" s="13" t="str">
        <f t="shared" si="63"/>
        <v>Shiquan Xiang (Yán'ān Shì)</v>
      </c>
    </row>
    <row r="964" spans="1:16" hidden="1" x14ac:dyDescent="0.25">
      <c r="A964" t="s">
        <v>1861</v>
      </c>
      <c r="B964" t="str">
        <f t="shared" si="60"/>
        <v>Shítán Zhèn</v>
      </c>
      <c r="C964" t="str">
        <f t="shared" si="61"/>
        <v>Shítán Zhèn</v>
      </c>
      <c r="D964" t="s">
        <v>1862</v>
      </c>
      <c r="E964" t="s">
        <v>7</v>
      </c>
      <c r="F964" t="str">
        <f>_xlfn.CONCAT(D964,", ",H964,", ",I964,", ","陕西省")</f>
        <v>石潭镇, 礼泉县, 咸阳市, 陕西省</v>
      </c>
      <c r="G964">
        <v>24135</v>
      </c>
      <c r="H964" t="s">
        <v>3122</v>
      </c>
      <c r="I964" t="s">
        <v>3117</v>
      </c>
      <c r="J964">
        <f>VLOOKUP(F964,[1]!china_towns_second__2[[Column1]:[Y]],3,FALSE)</f>
        <v>34.5800013190551</v>
      </c>
      <c r="K964">
        <f>VLOOKUP(F964,[1]!china_towns_second__2[[Column1]:[Y]],2,FALSE)</f>
        <v>108.3671373</v>
      </c>
      <c r="L964" t="s">
        <v>5085</v>
      </c>
      <c r="M964" t="str">
        <f>VLOOKUP(H964,CHOOSE({1,2},Table11[Native],Table11[Name]),2,0)</f>
        <v>Lĭquán Xiàn</v>
      </c>
      <c r="N964" s="13" t="str">
        <f>VLOOKUP(I964,CHOOSE({1,2},Table11[Native],Table11[Name]),2,0)</f>
        <v>Xiányáng Shì</v>
      </c>
      <c r="O964" s="13" t="str">
        <f t="shared" si="62"/>
        <v>Shitan Zhen (Xiányáng Shì)</v>
      </c>
      <c r="P964" s="13" t="str">
        <f t="shared" si="63"/>
        <v>Shitan Zhen (Xiányáng Shì)</v>
      </c>
    </row>
    <row r="965" spans="1:16" hidden="1" x14ac:dyDescent="0.25">
      <c r="A965" t="s">
        <v>201</v>
      </c>
      <c r="B965" t="str">
        <f t="shared" si="60"/>
        <v>Shítī Zhèn</v>
      </c>
      <c r="C965" t="str">
        <f t="shared" si="61"/>
        <v>Shítī Zhèn</v>
      </c>
      <c r="D965" t="s">
        <v>202</v>
      </c>
      <c r="E965" t="s">
        <v>7</v>
      </c>
      <c r="F965" t="str">
        <f>_xlfn.CONCAT(D965,", ",H965,", ",I965,", ","陕西省")</f>
        <v>石梯镇, 汉滨区, 安康市, 陕西省</v>
      </c>
      <c r="G965">
        <v>14976</v>
      </c>
      <c r="H965" t="s">
        <v>3035</v>
      </c>
      <c r="I965" t="s">
        <v>3031</v>
      </c>
      <c r="J965">
        <f>VLOOKUP(F965,[1]!china_towns_second__2[[Column1]:[Y]],3,FALSE)</f>
        <v>32.749922684552097</v>
      </c>
      <c r="K965">
        <f>VLOOKUP(F965,[1]!china_towns_second__2[[Column1]:[Y]],2,FALSE)</f>
        <v>109.16386439999999</v>
      </c>
      <c r="L965" t="s">
        <v>5086</v>
      </c>
      <c r="M965" t="str">
        <f>VLOOKUP(H965,CHOOSE({1,2},Table11[Native],Table11[Name]),2,0)</f>
        <v>Hànbīn Qū</v>
      </c>
      <c r="N965" s="13" t="str">
        <f>VLOOKUP(I965,CHOOSE({1,2},Table11[Native],Table11[Name]),2,0)</f>
        <v>Ānkāng Shì</v>
      </c>
      <c r="O965" s="13" t="str">
        <f t="shared" si="62"/>
        <v>Shiti Zhen (Ānkāng Shì)</v>
      </c>
      <c r="P965" s="13" t="str">
        <f t="shared" si="63"/>
        <v>Shiti Zhen (Ānkāng Shì)</v>
      </c>
    </row>
    <row r="966" spans="1:16" hidden="1" x14ac:dyDescent="0.25">
      <c r="A966" t="s">
        <v>199</v>
      </c>
      <c r="B966" t="str">
        <f t="shared" si="60"/>
        <v>Shítiáojiē Xiāng</v>
      </c>
      <c r="C966" t="str">
        <f t="shared" si="61"/>
        <v>Shítiáojiē Xiāng</v>
      </c>
      <c r="D966" t="s">
        <v>200</v>
      </c>
      <c r="E966" t="s">
        <v>11</v>
      </c>
      <c r="F966" t="str">
        <f>_xlfn.CONCAT(D966,", ",H966,", ",I966,", ","陕西省")</f>
        <v>石条街乡, 汉阴县, 安康市, 陕西省</v>
      </c>
      <c r="G966">
        <v>2186</v>
      </c>
      <c r="H966" t="s">
        <v>3036</v>
      </c>
      <c r="I966" t="s">
        <v>3031</v>
      </c>
      <c r="J966" t="e">
        <f>VLOOKUP(F966,[1]!china_towns_second__2[[Column1]:[Y]],3,FALSE)</f>
        <v>#N/A</v>
      </c>
      <c r="K966" t="e">
        <f>VLOOKUP(F966,[1]!china_towns_second__2[[Column1]:[Y]],2,FALSE)</f>
        <v>#N/A</v>
      </c>
      <c r="L966" t="s">
        <v>5087</v>
      </c>
      <c r="M966" t="str">
        <f>VLOOKUP(H966,CHOOSE({1,2},Table11[Native],Table11[Name]),2,0)</f>
        <v>Hànyīn Xiàn</v>
      </c>
      <c r="N966" s="13" t="str">
        <f>VLOOKUP(I966,CHOOSE({1,2},Table11[Native],Table11[Name]),2,0)</f>
        <v>Ānkāng Shì</v>
      </c>
      <c r="O966" s="13" t="str">
        <f t="shared" si="62"/>
        <v>Shitiaojie Xiang (Ānkāng Shì)</v>
      </c>
      <c r="P966" s="13" t="str">
        <f t="shared" si="63"/>
        <v>Shitiaojie Xiang (Ānkāng Shì)</v>
      </c>
    </row>
    <row r="967" spans="1:16" hidden="1" x14ac:dyDescent="0.25">
      <c r="A967" t="s">
        <v>2509</v>
      </c>
      <c r="B967" t="str">
        <f t="shared" si="60"/>
        <v>Shítóu Zhèn [incl. Zhūniú Xiāng]</v>
      </c>
      <c r="C967" t="str">
        <f t="shared" si="61"/>
        <v>Shítóu Zhèn [incl. Zhūniú Xiāng]</v>
      </c>
      <c r="D967" t="s">
        <v>2510</v>
      </c>
      <c r="E967" t="s">
        <v>7</v>
      </c>
      <c r="F967" t="str">
        <f>_xlfn.CONCAT(D967,", ",H967,", ",I967,", ","陕西省")</f>
        <v>石头镇, 洛川县, 延安市, 陕西省</v>
      </c>
      <c r="G967">
        <v>22864</v>
      </c>
      <c r="H967" t="s">
        <v>3140</v>
      </c>
      <c r="I967" t="s">
        <v>3133</v>
      </c>
      <c r="J967">
        <f>VLOOKUP(F967,[1]!china_towns_second__2[[Column1]:[Y]],3,FALSE)</f>
        <v>35.507628030559303</v>
      </c>
      <c r="K967">
        <f>VLOOKUP(F967,[1]!china_towns_second__2[[Column1]:[Y]],2,FALSE)</f>
        <v>109.6357474</v>
      </c>
      <c r="L967" t="s">
        <v>5088</v>
      </c>
      <c r="M967" t="str">
        <f>VLOOKUP(H967,CHOOSE({1,2},Table11[Native],Table11[Name]),2,0)</f>
        <v>Luòchuān Xiàn</v>
      </c>
      <c r="N967" s="13" t="str">
        <f>VLOOKUP(I967,CHOOSE({1,2},Table11[Native],Table11[Name]),2,0)</f>
        <v>Yán'ān Shì</v>
      </c>
      <c r="O967" s="13" t="str">
        <f t="shared" si="62"/>
        <v>Shitou Zhen [incl. Zhuniu Xiang] (Yán'ān Shì)</v>
      </c>
      <c r="P967" s="13" t="str">
        <f t="shared" si="63"/>
        <v>Shitou Zhen [incl. Zhuniu Xiang] (Yán'ān Shì)</v>
      </c>
    </row>
    <row r="968" spans="1:16" hidden="1" x14ac:dyDescent="0.25">
      <c r="A968" t="s">
        <v>2881</v>
      </c>
      <c r="B968" t="str">
        <f t="shared" si="60"/>
        <v>Shíwān Zhèn</v>
      </c>
      <c r="C968" t="str">
        <f t="shared" si="61"/>
        <v>Shíwān Zhèn</v>
      </c>
      <c r="D968" t="s">
        <v>2882</v>
      </c>
      <c r="E968" t="s">
        <v>7</v>
      </c>
      <c r="F968" t="str">
        <f>_xlfn.CONCAT(D968,", ",H968,", ",I968,", ","陕西省")</f>
        <v>石湾镇, 横山区, 榆林市, 陕西省</v>
      </c>
      <c r="G968">
        <v>12942</v>
      </c>
      <c r="H968" t="s">
        <v>3151</v>
      </c>
      <c r="I968" t="s">
        <v>3148</v>
      </c>
      <c r="J968">
        <f>VLOOKUP(F968,[1]!china_towns_second__2[[Column1]:[Y]],3,FALSE)</f>
        <v>37.469503175944297</v>
      </c>
      <c r="K968">
        <f>VLOOKUP(F968,[1]!china_towns_second__2[[Column1]:[Y]],2,FALSE)</f>
        <v>109.3805998</v>
      </c>
      <c r="L968" t="s">
        <v>5089</v>
      </c>
      <c r="M968" t="str">
        <f>VLOOKUP(H968,CHOOSE({1,2},Table11[Native],Table11[Name]),2,0)</f>
        <v>Héngshān Qū</v>
      </c>
      <c r="N968" s="13" t="str">
        <f>VLOOKUP(I968,CHOOSE({1,2},Table11[Native],Table11[Name]),2,0)</f>
        <v>Yúlín Shì</v>
      </c>
      <c r="O968" s="13" t="str">
        <f t="shared" si="62"/>
        <v>Shiwan Zhen (Yúlín Shì)</v>
      </c>
      <c r="P968" s="13" t="str">
        <f t="shared" si="63"/>
        <v>Shiwan Zhen (Yúlín Shì)</v>
      </c>
    </row>
    <row r="969" spans="1:16" hidden="1" x14ac:dyDescent="0.25">
      <c r="A969" t="s">
        <v>2883</v>
      </c>
      <c r="B969" t="str">
        <f t="shared" si="60"/>
        <v>Shíyáogōu Xiāng</v>
      </c>
      <c r="C969" t="str">
        <f t="shared" si="61"/>
        <v>Shíyáogōu Xiāng</v>
      </c>
      <c r="D969" t="s">
        <v>2884</v>
      </c>
      <c r="E969" t="s">
        <v>11</v>
      </c>
      <c r="F969" t="str">
        <f>_xlfn.CONCAT(D969,", ",H969,", ",I969,", ","陕西省")</f>
        <v>石窑沟乡, 横山区, 榆林市, 陕西省</v>
      </c>
      <c r="G969">
        <v>8923</v>
      </c>
      <c r="H969" t="s">
        <v>3151</v>
      </c>
      <c r="I969" t="s">
        <v>3148</v>
      </c>
      <c r="J969" t="e">
        <f>VLOOKUP(F969,[1]!china_towns_second__2[[Column1]:[Y]],3,FALSE)</f>
        <v>#N/A</v>
      </c>
      <c r="K969" t="e">
        <f>VLOOKUP(F969,[1]!china_towns_second__2[[Column1]:[Y]],2,FALSE)</f>
        <v>#N/A</v>
      </c>
      <c r="L969" t="s">
        <v>5090</v>
      </c>
      <c r="M969" t="str">
        <f>VLOOKUP(H969,CHOOSE({1,2},Table11[Native],Table11[Name]),2,0)</f>
        <v>Héngshān Qū</v>
      </c>
      <c r="N969" s="13" t="str">
        <f>VLOOKUP(I969,CHOOSE({1,2},Table11[Native],Table11[Name]),2,0)</f>
        <v>Yúlín Shì</v>
      </c>
      <c r="O969" s="13" t="str">
        <f t="shared" si="62"/>
        <v>Shiyaogou Xiang (Yúlín Shì)</v>
      </c>
      <c r="P969" s="13" t="str">
        <f t="shared" si="63"/>
        <v>Shiyaogou Xiang (Yúlín Shì)</v>
      </c>
    </row>
    <row r="970" spans="1:16" hidden="1" x14ac:dyDescent="0.25">
      <c r="A970" t="s">
        <v>1331</v>
      </c>
      <c r="B970" t="str">
        <f t="shared" si="60"/>
        <v>Shízhù Zhèn [incl. Yănchí Xiāng]</v>
      </c>
      <c r="C970" t="str">
        <f t="shared" si="61"/>
        <v>Shízhù Zhèn [incl. Yănchí Xiāng]</v>
      </c>
      <c r="D970" t="s">
        <v>1332</v>
      </c>
      <c r="E970" t="s">
        <v>7</v>
      </c>
      <c r="F970" t="str">
        <f>_xlfn.CONCAT(D970,", ",H970,", ",I970,", ","陕西省")</f>
        <v>石柱镇, 耀州区, 铜川市, 陕西省</v>
      </c>
      <c r="G970">
        <v>26065</v>
      </c>
      <c r="H970" t="s">
        <v>3083</v>
      </c>
      <c r="I970" t="s">
        <v>3081</v>
      </c>
      <c r="J970">
        <f>VLOOKUP(F970,[1]!china_towns_second__2[[Column1]:[Y]],3,FALSE)</f>
        <v>35.0647712599513</v>
      </c>
      <c r="K970">
        <f>VLOOKUP(F970,[1]!china_towns_second__2[[Column1]:[Y]],2,FALSE)</f>
        <v>108.9223308</v>
      </c>
      <c r="L970" t="s">
        <v>5091</v>
      </c>
      <c r="M970" t="str">
        <f>VLOOKUP(H970,CHOOSE({1,2},Table11[Native],Table11[Name]),2,0)</f>
        <v>Yàozhōu Qū</v>
      </c>
      <c r="N970" s="13" t="str">
        <f>VLOOKUP(I970,CHOOSE({1,2},Table11[Native],Table11[Name]),2,0)</f>
        <v>Tóngchuān Shì</v>
      </c>
      <c r="O970" s="13" t="str">
        <f t="shared" si="62"/>
        <v>Shizhu Zhen [incl. Yanchi Xiang] (Tóngchuān Shì)</v>
      </c>
      <c r="P970" s="13" t="str">
        <f t="shared" si="63"/>
        <v>Shizhu Zhen [incl. Yanchi Xiang] (Tóngchuān Shì)</v>
      </c>
    </row>
    <row r="971" spans="1:16" hidden="1" x14ac:dyDescent="0.25">
      <c r="A971" t="s">
        <v>2511</v>
      </c>
      <c r="B971" t="str">
        <f t="shared" si="60"/>
        <v>Shòufēng Xiāng</v>
      </c>
      <c r="C971" t="str">
        <f t="shared" si="61"/>
        <v>Shòufēng Xiāng</v>
      </c>
      <c r="D971" t="s">
        <v>2512</v>
      </c>
      <c r="E971" t="s">
        <v>11</v>
      </c>
      <c r="F971" t="str">
        <f>_xlfn.CONCAT(D971,", ",H971,", ",I971,", ","陕西省")</f>
        <v>寿峰乡, 宜川县, 延安市, 陕西省</v>
      </c>
      <c r="G971">
        <v>4076</v>
      </c>
      <c r="H971" t="s">
        <v>3144</v>
      </c>
      <c r="I971" t="s">
        <v>3133</v>
      </c>
      <c r="J971" t="e">
        <f>VLOOKUP(F971,[1]!china_towns_second__2[[Column1]:[Y]],3,FALSE)</f>
        <v>#N/A</v>
      </c>
      <c r="K971" t="e">
        <f>VLOOKUP(F971,[1]!china_towns_second__2[[Column1]:[Y]],2,FALSE)</f>
        <v>#N/A</v>
      </c>
      <c r="L971" t="s">
        <v>5092</v>
      </c>
      <c r="M971" t="str">
        <f>VLOOKUP(H971,CHOOSE({1,2},Table11[Native],Table11[Name]),2,0)</f>
        <v>Yíchuān Xiàn</v>
      </c>
      <c r="N971" s="13" t="str">
        <f>VLOOKUP(I971,CHOOSE({1,2},Table11[Native],Table11[Name]),2,0)</f>
        <v>Yán'ān Shì</v>
      </c>
      <c r="O971" s="13" t="str">
        <f t="shared" si="62"/>
        <v>Shoufeng Xiang (Yán'ān Shì)</v>
      </c>
      <c r="P971" s="13" t="str">
        <f t="shared" si="63"/>
        <v>Shoufeng Xiang (Yán'ān Shì)</v>
      </c>
    </row>
    <row r="972" spans="1:16" hidden="1" x14ac:dyDescent="0.25">
      <c r="A972" t="s">
        <v>533</v>
      </c>
      <c r="B972" t="str">
        <f t="shared" si="60"/>
        <v>Shŏushàn Jiēdào</v>
      </c>
      <c r="C972" t="str">
        <f t="shared" si="61"/>
        <v>Shŏushàn Jiēdào</v>
      </c>
      <c r="D972" t="s">
        <v>534</v>
      </c>
      <c r="E972" t="s">
        <v>113</v>
      </c>
      <c r="F972" t="str">
        <f>_xlfn.CONCAT(D972,", ",H972,", ",I972,", ","陕西省")</f>
        <v>首善街道, 眉县, 宝鸡市, 陕西省</v>
      </c>
      <c r="G972">
        <v>65656</v>
      </c>
      <c r="H972" t="s">
        <v>3053</v>
      </c>
      <c r="I972" t="s">
        <v>3045</v>
      </c>
      <c r="J972" t="e">
        <f>VLOOKUP(F972,[1]!china_towns_second__2[[Column1]:[Y]],3,FALSE)</f>
        <v>#N/A</v>
      </c>
      <c r="K972" t="e">
        <f>VLOOKUP(F972,[1]!china_towns_second__2[[Column1]:[Y]],2,FALSE)</f>
        <v>#N/A</v>
      </c>
      <c r="L972" t="s">
        <v>5093</v>
      </c>
      <c r="M972" t="str">
        <f>VLOOKUP(H972,CHOOSE({1,2},Table11[Native],Table11[Name]),2,0)</f>
        <v>Méi Xiàn</v>
      </c>
      <c r="N972" s="13" t="str">
        <f>VLOOKUP(I972,CHOOSE({1,2},Table11[Native],Table11[Name]),2,0)</f>
        <v>Băojī Shì</v>
      </c>
      <c r="O972" s="13" t="str">
        <f t="shared" si="62"/>
        <v>Shoushan Jiedao (Băojī Shì)</v>
      </c>
      <c r="P972" s="13" t="str">
        <f t="shared" si="63"/>
        <v>Shoushan Jiedao (Băojī Shì)</v>
      </c>
    </row>
    <row r="973" spans="1:16" hidden="1" x14ac:dyDescent="0.25">
      <c r="A973" t="s">
        <v>1604</v>
      </c>
      <c r="B973" t="str">
        <f t="shared" si="60"/>
        <v>Shōushuĭ Xiāng</v>
      </c>
      <c r="C973" t="str">
        <f t="shared" si="61"/>
        <v>Shōushuĭ Xiāng</v>
      </c>
      <c r="D973" t="s">
        <v>1605</v>
      </c>
      <c r="E973" t="s">
        <v>11</v>
      </c>
      <c r="F973" t="str">
        <f>_xlfn.CONCAT(D973,", ",H973,", ",I973,", ","陕西省")</f>
        <v>收水乡, 白水县, 渭南市, 陕西省</v>
      </c>
      <c r="G973">
        <v>5813</v>
      </c>
      <c r="H973" t="s">
        <v>3088</v>
      </c>
      <c r="I973" t="s">
        <v>3087</v>
      </c>
      <c r="J973" t="e">
        <f>VLOOKUP(F973,[1]!china_towns_second__2[[Column1]:[Y]],3,FALSE)</f>
        <v>#N/A</v>
      </c>
      <c r="K973" t="e">
        <f>VLOOKUP(F973,[1]!china_towns_second__2[[Column1]:[Y]],2,FALSE)</f>
        <v>#N/A</v>
      </c>
      <c r="L973" t="s">
        <v>5094</v>
      </c>
      <c r="M973" t="str">
        <f>VLOOKUP(H973,CHOOSE({1,2},Table11[Native],Table11[Name]),2,0)</f>
        <v>Báishuĭ Xiàn</v>
      </c>
      <c r="N973" s="13" t="str">
        <f>VLOOKUP(I973,CHOOSE({1,2},Table11[Native],Table11[Name]),2,0)</f>
        <v>Wèinán Shì</v>
      </c>
      <c r="O973" s="13" t="str">
        <f t="shared" si="62"/>
        <v>Shoushui Xiang (Wèinán Shì)</v>
      </c>
      <c r="P973" s="13" t="str">
        <f t="shared" si="63"/>
        <v>Shoushui Xiang (Wèinán Shì)</v>
      </c>
    </row>
    <row r="974" spans="1:16" hidden="1" x14ac:dyDescent="0.25">
      <c r="A974" t="s">
        <v>203</v>
      </c>
      <c r="B974" t="str">
        <f t="shared" si="60"/>
        <v>Shuāng'ān Zhèn</v>
      </c>
      <c r="C974" t="str">
        <f t="shared" si="61"/>
        <v>Shuāng'ān Zhèn</v>
      </c>
      <c r="D974" t="s">
        <v>204</v>
      </c>
      <c r="E974" t="s">
        <v>7</v>
      </c>
      <c r="F974" t="str">
        <f>_xlfn.CONCAT(D974,", ",H974,", ",I974,", ","陕西省")</f>
        <v>双安镇, 紫阳县, 安康市, 陕西省</v>
      </c>
      <c r="G974">
        <v>10823</v>
      </c>
      <c r="H974" t="s">
        <v>3043</v>
      </c>
      <c r="I974" t="s">
        <v>3031</v>
      </c>
      <c r="J974">
        <f>VLOOKUP(F974,[1]!china_towns_second__2[[Column1]:[Y]],3,FALSE)</f>
        <v>32.665157063555299</v>
      </c>
      <c r="K974">
        <f>VLOOKUP(F974,[1]!china_towns_second__2[[Column1]:[Y]],2,FALSE)</f>
        <v>108.50017459999999</v>
      </c>
      <c r="L974" t="s">
        <v>5095</v>
      </c>
      <c r="M974" t="str">
        <f>VLOOKUP(H974,CHOOSE({1,2},Table11[Native],Table11[Name]),2,0)</f>
        <v>Zĭyáng Xiàn</v>
      </c>
      <c r="N974" s="13" t="str">
        <f>VLOOKUP(I974,CHOOSE({1,2},Table11[Native],Table11[Name]),2,0)</f>
        <v>Ānkāng Shì</v>
      </c>
      <c r="O974" s="13" t="str">
        <f t="shared" si="62"/>
        <v>Shuang'an Zhen (Ānkāng Shì)</v>
      </c>
      <c r="P974" s="13" t="str">
        <f t="shared" si="63"/>
        <v>Shuang'an Zhen (Ānkāng Shì)</v>
      </c>
    </row>
    <row r="975" spans="1:16" hidden="1" x14ac:dyDescent="0.25">
      <c r="A975" t="s">
        <v>1204</v>
      </c>
      <c r="B975" t="str">
        <f t="shared" si="60"/>
        <v>Shuāngcáo Xiāng</v>
      </c>
      <c r="C975" t="str">
        <f t="shared" si="61"/>
        <v>Shuāngcáo Xiāng</v>
      </c>
      <c r="D975" t="s">
        <v>1205</v>
      </c>
      <c r="E975" t="s">
        <v>11</v>
      </c>
      <c r="F975" t="str">
        <f>_xlfn.CONCAT(D975,", ",H975,", ",I975,", ","陕西省")</f>
        <v>双槽乡, 丹凤县, 商洛市, 陕西省</v>
      </c>
      <c r="G975">
        <v>7509</v>
      </c>
      <c r="H975" t="s">
        <v>3073</v>
      </c>
      <c r="I975" t="s">
        <v>3072</v>
      </c>
      <c r="J975" t="e">
        <f>VLOOKUP(F975,[1]!china_towns_second__2[[Column1]:[Y]],3,FALSE)</f>
        <v>#N/A</v>
      </c>
      <c r="K975" t="e">
        <f>VLOOKUP(F975,[1]!china_towns_second__2[[Column1]:[Y]],2,FALSE)</f>
        <v>#N/A</v>
      </c>
      <c r="L975" t="s">
        <v>5096</v>
      </c>
      <c r="M975" t="str">
        <f>VLOOKUP(H975,CHOOSE({1,2},Table11[Native],Table11[Name]),2,0)</f>
        <v>Dānfèng Xiàn</v>
      </c>
      <c r="N975" s="13" t="str">
        <f>VLOOKUP(I975,CHOOSE({1,2},Table11[Native],Table11[Name]),2,0)</f>
        <v>Shāngluò Shì</v>
      </c>
      <c r="O975" s="13" t="str">
        <f t="shared" si="62"/>
        <v>Shuangcao Xiang (Shāngluò Shì)</v>
      </c>
      <c r="P975" s="13" t="str">
        <f t="shared" si="63"/>
        <v>Shuangcao Xiang (Shāngluò Shì)</v>
      </c>
    </row>
    <row r="976" spans="1:16" hidden="1" x14ac:dyDescent="0.25">
      <c r="A976" t="s">
        <v>2885</v>
      </c>
      <c r="B976" t="str">
        <f t="shared" si="60"/>
        <v>Shuāngchéng Xiāng</v>
      </c>
      <c r="C976" t="str">
        <f t="shared" si="61"/>
        <v>Shuāngchéng Xiāng</v>
      </c>
      <c r="D976" t="s">
        <v>2886</v>
      </c>
      <c r="E976" t="s">
        <v>11</v>
      </c>
      <c r="F976" t="str">
        <f>_xlfn.CONCAT(D976,", ",H976,", ",I976,", ","陕西省")</f>
        <v>双城乡, 横山区, 榆林市, 陕西省</v>
      </c>
      <c r="G976">
        <v>4335</v>
      </c>
      <c r="H976" t="s">
        <v>3151</v>
      </c>
      <c r="I976" t="s">
        <v>3148</v>
      </c>
      <c r="J976" t="e">
        <f>VLOOKUP(F976,[1]!china_towns_second__2[[Column1]:[Y]],3,FALSE)</f>
        <v>#N/A</v>
      </c>
      <c r="K976" t="e">
        <f>VLOOKUP(F976,[1]!china_towns_second__2[[Column1]:[Y]],2,FALSE)</f>
        <v>#N/A</v>
      </c>
      <c r="L976" t="s">
        <v>5097</v>
      </c>
      <c r="M976" t="str">
        <f>VLOOKUP(H976,CHOOSE({1,2},Table11[Native],Table11[Name]),2,0)</f>
        <v>Héngshān Qū</v>
      </c>
      <c r="N976" s="13" t="str">
        <f>VLOOKUP(I976,CHOOSE({1,2},Table11[Native],Table11[Name]),2,0)</f>
        <v>Yúlín Shì</v>
      </c>
      <c r="O976" s="13" t="str">
        <f t="shared" si="62"/>
        <v>Shuangcheng Xiang (Yúlín Shì)</v>
      </c>
      <c r="P976" s="13" t="str">
        <f t="shared" si="63"/>
        <v>Shuangcheng Xiang (Yúlín Shì)</v>
      </c>
    </row>
    <row r="977" spans="1:16" hidden="1" x14ac:dyDescent="0.25">
      <c r="A977" t="s">
        <v>205</v>
      </c>
      <c r="B977" t="str">
        <f t="shared" si="60"/>
        <v>Shuāngfēng Zhèn [Shuānghé Xiāng]</v>
      </c>
      <c r="C977" t="str">
        <f t="shared" si="61"/>
        <v>Shuāngfēng Zhèn [Shuānghé Xiāng]</v>
      </c>
      <c r="D977" t="s">
        <v>206</v>
      </c>
      <c r="E977" t="s">
        <v>7</v>
      </c>
      <c r="F977" t="str">
        <f>_xlfn.CONCAT(D977,", ",H977,", ",I977,", ","陕西省")</f>
        <v>双丰镇, 白河县, 安康市, 陕西省</v>
      </c>
      <c r="G977">
        <v>6977</v>
      </c>
      <c r="H977" t="s">
        <v>3033</v>
      </c>
      <c r="I977" t="s">
        <v>3031</v>
      </c>
      <c r="J977">
        <f>VLOOKUP(F977,[1]!china_towns_second__2[[Column1]:[Y]],3,FALSE)</f>
        <v>32.674732992373002</v>
      </c>
      <c r="K977">
        <f>VLOOKUP(F977,[1]!china_towns_second__2[[Column1]:[Y]],2,FALSE)</f>
        <v>109.7236487</v>
      </c>
      <c r="L977" t="s">
        <v>5098</v>
      </c>
      <c r="M977" t="str">
        <f>VLOOKUP(H977,CHOOSE({1,2},Table11[Native],Table11[Name]),2,0)</f>
        <v>Báihé Xiàn</v>
      </c>
      <c r="N977" s="13" t="str">
        <f>VLOOKUP(I977,CHOOSE({1,2},Table11[Native],Table11[Name]),2,0)</f>
        <v>Ānkāng Shì</v>
      </c>
      <c r="O977" s="13" t="str">
        <f t="shared" si="62"/>
        <v>Shuangfeng Zhen [Shuanghe Xiang] (Ānkāng Shì)</v>
      </c>
      <c r="P977" s="13" t="str">
        <f t="shared" si="63"/>
        <v>Shuangfeng Zhen [Shuanghe Xiang] (Ānkāng Shì)</v>
      </c>
    </row>
    <row r="978" spans="1:16" hidden="1" x14ac:dyDescent="0.25">
      <c r="A978" t="s">
        <v>2513</v>
      </c>
      <c r="B978" t="str">
        <f t="shared" si="60"/>
        <v>Shuānghé Zhèn</v>
      </c>
      <c r="C978" t="str">
        <f t="shared" si="61"/>
        <v>Shuānghé Zhèn</v>
      </c>
      <c r="D978" t="s">
        <v>210</v>
      </c>
      <c r="E978" t="s">
        <v>7</v>
      </c>
      <c r="F978" t="str">
        <f>_xlfn.CONCAT(D978,", ",H978,", ",I978,", ","陕西省")</f>
        <v>双河镇, 志丹县, 延安市, 陕西省</v>
      </c>
      <c r="G978">
        <v>8384</v>
      </c>
      <c r="H978" t="s">
        <v>3145</v>
      </c>
      <c r="I978" t="s">
        <v>3133</v>
      </c>
      <c r="J978">
        <f>VLOOKUP(F978,[1]!china_towns_second__2[[Column1]:[Y]],3,FALSE)</f>
        <v>36.725550006598503</v>
      </c>
      <c r="K978">
        <f>VLOOKUP(F978,[1]!china_towns_second__2[[Column1]:[Y]],2,FALSE)</f>
        <v>108.7995323</v>
      </c>
      <c r="L978" t="s">
        <v>5099</v>
      </c>
      <c r="M978" t="str">
        <f>VLOOKUP(H978,CHOOSE({1,2},Table11[Native],Table11[Name]),2,0)</f>
        <v>Zhìdān Xiàn</v>
      </c>
      <c r="N978" s="13" t="str">
        <f>VLOOKUP(I978,CHOOSE({1,2},Table11[Native],Table11[Name]),2,0)</f>
        <v>Yán'ān Shì</v>
      </c>
      <c r="O978" s="13" t="str">
        <f t="shared" si="62"/>
        <v>Shuanghe Zhen (Yán'ān Shì)</v>
      </c>
      <c r="P978" s="13" t="str">
        <f t="shared" si="63"/>
        <v>Shuanghe Zhen (Yán'ān Shì)</v>
      </c>
    </row>
    <row r="979" spans="1:16" hidden="1" x14ac:dyDescent="0.25">
      <c r="A979" t="s">
        <v>209</v>
      </c>
      <c r="B979" t="str">
        <f t="shared" si="60"/>
        <v>Shuānghé Zhèn [incl. Miàopíng Xiāng]</v>
      </c>
      <c r="C979" t="str">
        <f t="shared" si="61"/>
        <v>Shuānghé Zhèn [incl. Miàopíng Xiāng]</v>
      </c>
      <c r="D979" t="s">
        <v>210</v>
      </c>
      <c r="E979" t="s">
        <v>7</v>
      </c>
      <c r="F979" t="str">
        <f>_xlfn.CONCAT(D979,", ",H979,", ",I979,", ","陕西省")</f>
        <v>双河镇, 旬阳县, 安康市, 陕西省</v>
      </c>
      <c r="G979">
        <v>26171</v>
      </c>
      <c r="H979" t="s">
        <v>3041</v>
      </c>
      <c r="I979" t="s">
        <v>3031</v>
      </c>
      <c r="J979">
        <f>VLOOKUP(F979,[1]!china_towns_second__2[[Column1]:[Y]],3,FALSE)</f>
        <v>33.038577627226502</v>
      </c>
      <c r="K979">
        <f>VLOOKUP(F979,[1]!china_towns_second__2[[Column1]:[Y]],2,FALSE)</f>
        <v>109.56339199999999</v>
      </c>
      <c r="L979" t="s">
        <v>5100</v>
      </c>
      <c r="M979" t="str">
        <f>VLOOKUP(H979,CHOOSE({1,2},Table11[Native],Table11[Name]),2,0)</f>
        <v>Xúnyáng Xiàn</v>
      </c>
      <c r="N979" s="13" t="str">
        <f>VLOOKUP(I979,CHOOSE({1,2},Table11[Native],Table11[Name]),2,0)</f>
        <v>Ānkāng Shì</v>
      </c>
      <c r="O979" s="13" t="str">
        <f t="shared" si="62"/>
        <v>Shuanghe Zhen [incl. Miaoping Xiang] (Ānkāng Shì)</v>
      </c>
      <c r="P979" s="13" t="str">
        <f t="shared" si="63"/>
        <v>Shuanghe Zhen [incl. Miaoping Xiang] (Ānkāng Shì)</v>
      </c>
    </row>
    <row r="980" spans="1:16" hidden="1" x14ac:dyDescent="0.25">
      <c r="A980" t="s">
        <v>207</v>
      </c>
      <c r="B980" t="str">
        <f t="shared" si="60"/>
        <v>Shuānghékŏu Zhèn [incl. Lóngyā Zhèn]</v>
      </c>
      <c r="C980" t="str">
        <f t="shared" si="61"/>
        <v>Shuānghékŏu Zhèn [incl. Lóngyā Zhèn]</v>
      </c>
      <c r="D980" t="s">
        <v>208</v>
      </c>
      <c r="E980" t="s">
        <v>7</v>
      </c>
      <c r="F980" t="str">
        <f>_xlfn.CONCAT(D980,", ",H980,", ",I980,", ","陕西省")</f>
        <v>双河口镇, 汉阴县, 安康市, 陕西省</v>
      </c>
      <c r="G980">
        <v>12995</v>
      </c>
      <c r="H980" t="s">
        <v>3036</v>
      </c>
      <c r="I980" t="s">
        <v>3031</v>
      </c>
      <c r="J980">
        <f>VLOOKUP(F980,[1]!china_towns_second__2[[Column1]:[Y]],3,FALSE)</f>
        <v>33.103089508810498</v>
      </c>
      <c r="K980">
        <f>VLOOKUP(F980,[1]!china_towns_second__2[[Column1]:[Y]],2,FALSE)</f>
        <v>108.57602869999999</v>
      </c>
      <c r="L980" t="s">
        <v>5101</v>
      </c>
      <c r="M980" t="str">
        <f>VLOOKUP(H980,CHOOSE({1,2},Table11[Native],Table11[Name]),2,0)</f>
        <v>Hànyīn Xiàn</v>
      </c>
      <c r="N980" s="13" t="str">
        <f>VLOOKUP(I980,CHOOSE({1,2},Table11[Native],Table11[Name]),2,0)</f>
        <v>Ānkāng Shì</v>
      </c>
      <c r="O980" s="13" t="str">
        <f t="shared" si="62"/>
        <v>Shuanghekou Zhen [incl. Longya Zhen] (Ānkāng Shì)</v>
      </c>
      <c r="P980" s="13" t="str">
        <f t="shared" si="63"/>
        <v>Shuanghekou Zhen [incl. Longya Zhen] (Ānkāng Shì)</v>
      </c>
    </row>
    <row r="981" spans="1:16" hidden="1" x14ac:dyDescent="0.25">
      <c r="A981" t="s">
        <v>2887</v>
      </c>
      <c r="B981" t="str">
        <f t="shared" si="60"/>
        <v>Shuānghúyù Jiēdào</v>
      </c>
      <c r="C981" t="str">
        <f t="shared" si="61"/>
        <v>Shuānghúyù Jiēdào</v>
      </c>
      <c r="D981" t="s">
        <v>2888</v>
      </c>
      <c r="E981" t="s">
        <v>113</v>
      </c>
      <c r="F981" t="str">
        <f>_xlfn.CONCAT(D981,", ",H981,", ",I981,", ","陕西省")</f>
        <v>双湖峪街道, 子洲县, 榆林市, 陕西省</v>
      </c>
      <c r="G981">
        <v>40027</v>
      </c>
      <c r="H981" t="s">
        <v>3160</v>
      </c>
      <c r="I981" t="s">
        <v>3148</v>
      </c>
      <c r="J981" t="e">
        <f>VLOOKUP(F981,[1]!china_towns_second__2[[Column1]:[Y]],3,FALSE)</f>
        <v>#N/A</v>
      </c>
      <c r="K981" t="e">
        <f>VLOOKUP(F981,[1]!china_towns_second__2[[Column1]:[Y]],2,FALSE)</f>
        <v>#N/A</v>
      </c>
      <c r="L981" t="s">
        <v>5102</v>
      </c>
      <c r="M981" t="str">
        <f>VLOOKUP(H981,CHOOSE({1,2},Table11[Native],Table11[Name]),2,0)</f>
        <v>Zizhōu Xiàn</v>
      </c>
      <c r="N981" s="13" t="str">
        <f>VLOOKUP(I981,CHOOSE({1,2},Table11[Native],Table11[Name]),2,0)</f>
        <v>Yúlín Shì</v>
      </c>
      <c r="O981" s="13" t="str">
        <f t="shared" si="62"/>
        <v>Shuanghuyu Jiedao (Yúlín Shì)</v>
      </c>
      <c r="P981" s="13" t="str">
        <f t="shared" si="63"/>
        <v>Shuanghuyu Jiedao (Yúlín Shì)</v>
      </c>
    </row>
    <row r="982" spans="1:16" hidden="1" x14ac:dyDescent="0.25">
      <c r="A982" t="s">
        <v>211</v>
      </c>
      <c r="B982" t="str">
        <f t="shared" si="60"/>
        <v>Shuānglóng Zhèn (Ānkāng Shì)</v>
      </c>
      <c r="C982" t="str">
        <f t="shared" si="61"/>
        <v>Shuānglóng Zhèn (Ānkāng Shì)</v>
      </c>
      <c r="D982" t="s">
        <v>212</v>
      </c>
      <c r="E982" t="s">
        <v>7</v>
      </c>
      <c r="F982" t="str">
        <f>_xlfn.CONCAT(D982,", ",H982,", ",I982,", ","陕西省")</f>
        <v>双龙镇, 汉滨区, 安康市, 陕西省</v>
      </c>
      <c r="G982">
        <v>14667</v>
      </c>
      <c r="H982" t="s">
        <v>3035</v>
      </c>
      <c r="I982" t="s">
        <v>3031</v>
      </c>
      <c r="J982">
        <f>VLOOKUP(F982,[1]!china_towns_second__2[[Column1]:[Y]],3,FALSE)</f>
        <v>32.447855940652602</v>
      </c>
      <c r="K982">
        <f>VLOOKUP(F982,[1]!china_towns_second__2[[Column1]:[Y]],2,FALSE)</f>
        <v>108.945244</v>
      </c>
      <c r="L982" t="s">
        <v>5103</v>
      </c>
      <c r="M982" t="str">
        <f>VLOOKUP(H982,CHOOSE({1,2},Table11[Native],Table11[Name]),2,0)</f>
        <v>Hànbīn Qū</v>
      </c>
      <c r="N982" s="13" t="str">
        <f>VLOOKUP(I982,CHOOSE({1,2},Table11[Native],Table11[Name]),2,0)</f>
        <v>Ānkāng Shì</v>
      </c>
      <c r="O982" s="13" t="str">
        <f t="shared" si="62"/>
        <v>Shuanglong Zhen (Ankang Shi) (Ānkāng Shì)</v>
      </c>
      <c r="P982" s="13" t="str">
        <f t="shared" si="63"/>
        <v>Shuanglong Zhen (Ankang Shi) (Ānkāng Shì)</v>
      </c>
    </row>
    <row r="983" spans="1:16" hidden="1" x14ac:dyDescent="0.25">
      <c r="A983" t="s">
        <v>211</v>
      </c>
      <c r="B983" t="str">
        <f t="shared" si="60"/>
        <v>Shuānglóng Zhèn (Yán'ān Shì)</v>
      </c>
      <c r="C983" t="str">
        <f t="shared" si="61"/>
        <v>Shuānglóng Zhèn (Yán'ān Shì)</v>
      </c>
      <c r="D983" t="s">
        <v>212</v>
      </c>
      <c r="E983" t="s">
        <v>7</v>
      </c>
      <c r="F983" t="str">
        <f>_xlfn.CONCAT(D983,", ",H983,", ",I983,", ","陕西省")</f>
        <v>双龙镇, 黄陵县, 延安市, 陕西省</v>
      </c>
      <c r="G983">
        <v>6435</v>
      </c>
      <c r="H983" t="s">
        <v>3138</v>
      </c>
      <c r="I983" t="s">
        <v>3133</v>
      </c>
      <c r="J983">
        <f>VLOOKUP(F983,[1]!china_towns_second__2[[Column1]:[Y]],3,FALSE)</f>
        <v>35.656798634803501</v>
      </c>
      <c r="K983">
        <f>VLOOKUP(F983,[1]!china_towns_second__2[[Column1]:[Y]],2,FALSE)</f>
        <v>108.7636641</v>
      </c>
      <c r="L983" t="s">
        <v>5104</v>
      </c>
      <c r="M983" t="str">
        <f>VLOOKUP(H983,CHOOSE({1,2},Table11[Native],Table11[Name]),2,0)</f>
        <v>Huánglíng Xiàn</v>
      </c>
      <c r="N983" s="13" t="str">
        <f>VLOOKUP(I983,CHOOSE({1,2},Table11[Native],Table11[Name]),2,0)</f>
        <v>Yán'ān Shì</v>
      </c>
      <c r="O983" s="13" t="str">
        <f t="shared" si="62"/>
        <v>Shuanglong Zhen (Yan'an Shi) (Yán'ān Shì)</v>
      </c>
      <c r="P983" s="13" t="str">
        <f t="shared" si="63"/>
        <v>Shuanglong Zhen (Yan'an Shi) (Yán'ān Shì)</v>
      </c>
    </row>
    <row r="984" spans="1:16" hidden="1" x14ac:dyDescent="0.25">
      <c r="A984" t="s">
        <v>213</v>
      </c>
      <c r="B984" t="str">
        <f t="shared" si="60"/>
        <v>Shuāngqiáo Zhèn</v>
      </c>
      <c r="C984" t="str">
        <f t="shared" si="61"/>
        <v>Shuāngqiáo Zhèn</v>
      </c>
      <c r="D984" t="s">
        <v>214</v>
      </c>
      <c r="E984" t="s">
        <v>7</v>
      </c>
      <c r="F984" t="str">
        <f>_xlfn.CONCAT(D984,", ",H984,", ",I984,", ","陕西省")</f>
        <v>双桥镇, 紫阳县, 安康市, 陕西省</v>
      </c>
      <c r="G984">
        <v>11275</v>
      </c>
      <c r="H984" t="s">
        <v>3043</v>
      </c>
      <c r="I984" t="s">
        <v>3031</v>
      </c>
      <c r="J984">
        <f>VLOOKUP(F984,[1]!china_towns_second__2[[Column1]:[Y]],3,FALSE)</f>
        <v>32.346463425979898</v>
      </c>
      <c r="K984">
        <f>VLOOKUP(F984,[1]!china_towns_second__2[[Column1]:[Y]],2,FALSE)</f>
        <v>108.5304447</v>
      </c>
      <c r="L984" t="s">
        <v>5105</v>
      </c>
      <c r="M984" t="str">
        <f>VLOOKUP(H984,CHOOSE({1,2},Table11[Native],Table11[Name]),2,0)</f>
        <v>Zĭyáng Xiàn</v>
      </c>
      <c r="N984" s="13" t="str">
        <f>VLOOKUP(I984,CHOOSE({1,2},Table11[Native],Table11[Name]),2,0)</f>
        <v>Ānkāng Shì</v>
      </c>
      <c r="O984" s="13" t="str">
        <f t="shared" si="62"/>
        <v>Shuangqiao Zhen (Ānkāng Shì)</v>
      </c>
      <c r="P984" s="13" t="str">
        <f t="shared" si="63"/>
        <v>Shuangqiao Zhen (Ānkāng Shì)</v>
      </c>
    </row>
    <row r="985" spans="1:16" hidden="1" x14ac:dyDescent="0.25">
      <c r="A985" t="s">
        <v>1606</v>
      </c>
      <c r="B985" t="str">
        <f t="shared" si="60"/>
        <v>Shuāngquán Zhèn</v>
      </c>
      <c r="C985" t="str">
        <f t="shared" si="61"/>
        <v>Shuāngquán Zhèn</v>
      </c>
      <c r="D985" t="s">
        <v>1607</v>
      </c>
      <c r="E985" t="s">
        <v>7</v>
      </c>
      <c r="F985" t="str">
        <f>_xlfn.CONCAT(D985,", ",H985,", ",I985,", ","陕西省")</f>
        <v>双泉镇, 大荔县, 渭南市, 陕西省</v>
      </c>
      <c r="G985">
        <v>26875</v>
      </c>
      <c r="H985" t="s">
        <v>3090</v>
      </c>
      <c r="I985" t="s">
        <v>3087</v>
      </c>
      <c r="J985">
        <f>VLOOKUP(F985,[1]!china_towns_second__2[[Column1]:[Y]],3,FALSE)</f>
        <v>34.928442210143899</v>
      </c>
      <c r="K985">
        <f>VLOOKUP(F985,[1]!china_towns_second__2[[Column1]:[Y]],2,FALSE)</f>
        <v>110.0313779</v>
      </c>
      <c r="L985" t="s">
        <v>5106</v>
      </c>
      <c r="M985" t="str">
        <f>VLOOKUP(H985,CHOOSE({1,2},Table11[Native],Table11[Name]),2,0)</f>
        <v>Dàlì Xiàn</v>
      </c>
      <c r="N985" s="13" t="str">
        <f>VLOOKUP(I985,CHOOSE({1,2},Table11[Native],Table11[Name]),2,0)</f>
        <v>Wèinán Shì</v>
      </c>
      <c r="O985" s="13" t="str">
        <f t="shared" si="62"/>
        <v>Shuangquan Zhen (Wèinán Shì)</v>
      </c>
      <c r="P985" s="13" t="str">
        <f t="shared" si="63"/>
        <v>Shuangquan Zhen (Wèinán Shì)</v>
      </c>
    </row>
    <row r="986" spans="1:16" hidden="1" x14ac:dyDescent="0.25">
      <c r="A986" t="s">
        <v>215</v>
      </c>
      <c r="B986" t="str">
        <f t="shared" si="60"/>
        <v>Shuāngrŭ Zhèn</v>
      </c>
      <c r="C986" t="str">
        <f t="shared" si="61"/>
        <v>Shuāngrŭ Zhèn</v>
      </c>
      <c r="D986" t="s">
        <v>216</v>
      </c>
      <c r="E986" t="s">
        <v>7</v>
      </c>
      <c r="F986" t="str">
        <f>_xlfn.CONCAT(D986,", ",H986,", ",I986,", ","陕西省")</f>
        <v>双乳镇, 汉阴县, 安康市, 陕西省</v>
      </c>
      <c r="G986">
        <v>11950</v>
      </c>
      <c r="H986" t="s">
        <v>3036</v>
      </c>
      <c r="I986" t="s">
        <v>3031</v>
      </c>
      <c r="J986">
        <f>VLOOKUP(F986,[1]!china_towns_second__2[[Column1]:[Y]],3,FALSE)</f>
        <v>32.800466885797697</v>
      </c>
      <c r="K986">
        <f>VLOOKUP(F986,[1]!china_towns_second__2[[Column1]:[Y]],2,FALSE)</f>
        <v>108.6602778</v>
      </c>
      <c r="L986" t="s">
        <v>5107</v>
      </c>
      <c r="M986" t="str">
        <f>VLOOKUP(H986,CHOOSE({1,2},Table11[Native],Table11[Name]),2,0)</f>
        <v>Hànyīn Xiàn</v>
      </c>
      <c r="N986" s="13" t="str">
        <f>VLOOKUP(I986,CHOOSE({1,2},Table11[Native],Table11[Name]),2,0)</f>
        <v>Ānkāng Shì</v>
      </c>
      <c r="O986" s="13" t="str">
        <f t="shared" si="62"/>
        <v>Shuangru Zhen (Ānkāng Shì)</v>
      </c>
      <c r="P986" s="13" t="str">
        <f t="shared" si="63"/>
        <v>Shuangru Zhen (Ānkāng Shì)</v>
      </c>
    </row>
    <row r="987" spans="1:16" hidden="1" x14ac:dyDescent="0.25">
      <c r="A987" t="s">
        <v>535</v>
      </c>
      <c r="B987" t="str">
        <f t="shared" si="60"/>
        <v>Shuāngshípū Zhèn</v>
      </c>
      <c r="C987" t="str">
        <f t="shared" si="61"/>
        <v>Shuāngshípū Zhèn</v>
      </c>
      <c r="D987" t="s">
        <v>536</v>
      </c>
      <c r="E987" t="s">
        <v>7</v>
      </c>
      <c r="F987" t="str">
        <f>_xlfn.CONCAT(D987,", ",H987,", ",I987,", ","陕西省")</f>
        <v>双石铺镇, 凤县, 宝鸡市, 陕西省</v>
      </c>
      <c r="G987">
        <v>36030</v>
      </c>
      <c r="H987" t="s">
        <v>3047</v>
      </c>
      <c r="I987" t="s">
        <v>3045</v>
      </c>
      <c r="J987">
        <f>VLOOKUP(F987,[1]!china_towns_second__2[[Column1]:[Y]],3,FALSE)</f>
        <v>33.924545513951898</v>
      </c>
      <c r="K987">
        <f>VLOOKUP(F987,[1]!china_towns_second__2[[Column1]:[Y]],2,FALSE)</f>
        <v>106.5134207</v>
      </c>
      <c r="L987" t="s">
        <v>5108</v>
      </c>
      <c r="M987" t="str">
        <f>VLOOKUP(H987,CHOOSE({1,2},Table11[Native],Table11[Name]),2,0)</f>
        <v>Fèng Xiàn</v>
      </c>
      <c r="N987" s="13" t="str">
        <f>VLOOKUP(I987,CHOOSE({1,2},Table11[Native],Table11[Name]),2,0)</f>
        <v>Băojī Shì</v>
      </c>
      <c r="O987" s="13" t="str">
        <f t="shared" si="62"/>
        <v>Shuangshipu Zhen (Băojī Shì)</v>
      </c>
      <c r="P987" s="13" t="str">
        <f t="shared" si="63"/>
        <v>Shuangshipu Zhen (Băojī Shì)</v>
      </c>
    </row>
    <row r="988" spans="1:16" hidden="1" x14ac:dyDescent="0.25">
      <c r="A988" t="s">
        <v>1608</v>
      </c>
      <c r="B988" t="str">
        <f t="shared" si="60"/>
        <v>Shuāngwáng Jiēdào</v>
      </c>
      <c r="C988" t="str">
        <f t="shared" si="61"/>
        <v>Shuāngwáng Jiēdào</v>
      </c>
      <c r="D988" t="s">
        <v>1609</v>
      </c>
      <c r="E988" t="s">
        <v>113</v>
      </c>
      <c r="F988" t="str">
        <f>_xlfn.CONCAT(D988,", ",H988,", ",I988,", ","陕西省")</f>
        <v>双王街道, 临渭区, 渭南市, 陕西省</v>
      </c>
      <c r="G988">
        <v>30097</v>
      </c>
      <c r="H988" t="s">
        <v>3097</v>
      </c>
      <c r="I988" t="s">
        <v>3087</v>
      </c>
      <c r="J988">
        <f>VLOOKUP(F988,[1]!china_towns_second__2[[Column1]:[Y]],3,FALSE)</f>
        <v>34.532966648572398</v>
      </c>
      <c r="K988">
        <f>VLOOKUP(F988,[1]!china_towns_second__2[[Column1]:[Y]],2,FALSE)</f>
        <v>109.45708550000001</v>
      </c>
      <c r="L988" t="s">
        <v>5109</v>
      </c>
      <c r="M988" t="str">
        <f>VLOOKUP(H988,CHOOSE({1,2},Table11[Native],Table11[Name]),2,0)</f>
        <v>Línwèi Qū</v>
      </c>
      <c r="N988" s="13" t="str">
        <f>VLOOKUP(I988,CHOOSE({1,2},Table11[Native],Table11[Name]),2,0)</f>
        <v>Wèinán Shì</v>
      </c>
      <c r="O988" s="13" t="str">
        <f t="shared" si="62"/>
        <v>Shuangwang Jiedao (Wèinán Shì)</v>
      </c>
      <c r="P988" s="13" t="str">
        <f t="shared" si="63"/>
        <v>Shuangwang Jiedao (Wèinán Shì)</v>
      </c>
    </row>
    <row r="989" spans="1:16" hidden="1" x14ac:dyDescent="0.25">
      <c r="A989" t="s">
        <v>217</v>
      </c>
      <c r="B989" t="str">
        <f t="shared" si="60"/>
        <v>Shuāngxī Xiāng</v>
      </c>
      <c r="C989" t="str">
        <f t="shared" si="61"/>
        <v>Shuāngxī Xiāng</v>
      </c>
      <c r="D989" t="s">
        <v>218</v>
      </c>
      <c r="E989" t="s">
        <v>11</v>
      </c>
      <c r="F989" t="str">
        <f>_xlfn.CONCAT(D989,", ",H989,", ",I989,", ","陕西省")</f>
        <v>双溪乡, 汉滨区, 安康市, 陕西省</v>
      </c>
      <c r="G989">
        <v>7177</v>
      </c>
      <c r="H989" t="s">
        <v>3035</v>
      </c>
      <c r="I989" t="s">
        <v>3031</v>
      </c>
      <c r="J989" t="e">
        <f>VLOOKUP(F989,[1]!china_towns_second__2[[Column1]:[Y]],3,FALSE)</f>
        <v>#N/A</v>
      </c>
      <c r="K989" t="e">
        <f>VLOOKUP(F989,[1]!china_towns_second__2[[Column1]:[Y]],2,FALSE)</f>
        <v>#N/A</v>
      </c>
      <c r="L989" t="s">
        <v>5110</v>
      </c>
      <c r="M989" t="str">
        <f>VLOOKUP(H989,CHOOSE({1,2},Table11[Native],Table11[Name]),2,0)</f>
        <v>Hànbīn Qū</v>
      </c>
      <c r="N989" s="13" t="str">
        <f>VLOOKUP(I989,CHOOSE({1,2},Table11[Native],Table11[Name]),2,0)</f>
        <v>Ānkāng Shì</v>
      </c>
      <c r="O989" s="13" t="str">
        <f t="shared" si="62"/>
        <v>Shuangxi Xiang (Ānkāng Shì)</v>
      </c>
      <c r="P989" s="13" t="str">
        <f t="shared" si="63"/>
        <v>Shuangxi Xiang (Ānkāng Shì)</v>
      </c>
    </row>
    <row r="990" spans="1:16" hidden="1" x14ac:dyDescent="0.25">
      <c r="A990" t="s">
        <v>897</v>
      </c>
      <c r="B990" t="str">
        <f t="shared" si="60"/>
        <v>Shuāngxī Zhèn</v>
      </c>
      <c r="C990" t="str">
        <f t="shared" si="61"/>
        <v>Shuāngxī Zhèn</v>
      </c>
      <c r="D990" t="s">
        <v>898</v>
      </c>
      <c r="E990" t="s">
        <v>7</v>
      </c>
      <c r="F990" t="str">
        <f>_xlfn.CONCAT(D990,", ",H990,", ",I990,", ","陕西省")</f>
        <v>双溪镇, 城固县, 汉中市, 陕西省</v>
      </c>
      <c r="G990">
        <v>2890</v>
      </c>
      <c r="H990" t="s">
        <v>3060</v>
      </c>
      <c r="I990" t="s">
        <v>3059</v>
      </c>
      <c r="J990">
        <f>VLOOKUP(F990,[1]!china_towns_second__2[[Column1]:[Y]],3,FALSE)</f>
        <v>33.398740100443298</v>
      </c>
      <c r="K990">
        <f>VLOOKUP(F990,[1]!china_towns_second__2[[Column1]:[Y]],2,FALSE)</f>
        <v>107.2009893</v>
      </c>
      <c r="L990" t="s">
        <v>5111</v>
      </c>
      <c r="M990" t="str">
        <f>VLOOKUP(H990,CHOOSE({1,2},Table11[Native],Table11[Name]),2,0)</f>
        <v>Chénggù Xiàn</v>
      </c>
      <c r="N990" s="13" t="str">
        <f>VLOOKUP(I990,CHOOSE({1,2},Table11[Native],Table11[Name]),2,0)</f>
        <v>Hànzhōng Shì</v>
      </c>
      <c r="O990" s="13" t="str">
        <f t="shared" si="62"/>
        <v>Shuangxi Zhen (Hànzhōng Shì)</v>
      </c>
      <c r="P990" s="13" t="str">
        <f t="shared" si="63"/>
        <v>Shuangxi Zhen (Hànzhōng Shì)</v>
      </c>
    </row>
    <row r="991" spans="1:16" hidden="1" x14ac:dyDescent="0.25">
      <c r="A991" t="s">
        <v>2188</v>
      </c>
      <c r="B991" t="str">
        <f t="shared" si="60"/>
        <v>Shuāngzhào Jiēdào</v>
      </c>
      <c r="C991" t="str">
        <f t="shared" si="61"/>
        <v>Shuāngzhào Jiēdào</v>
      </c>
      <c r="D991" t="s">
        <v>2189</v>
      </c>
      <c r="E991" t="s">
        <v>113</v>
      </c>
      <c r="F991" t="str">
        <f>_xlfn.CONCAT(D991,", ",H991,", ",I991,", ","陕西省")</f>
        <v>双照街道, 西咸新区, 西安市, 陕西省</v>
      </c>
      <c r="G991">
        <v>36775</v>
      </c>
      <c r="H991" t="s">
        <v>3167</v>
      </c>
      <c r="I991" t="s">
        <v>3102</v>
      </c>
      <c r="J991" t="e">
        <f>VLOOKUP(F991,[1]!china_towns_second__2[[Column1]:[Y]],3,FALSE)</f>
        <v>#N/A</v>
      </c>
      <c r="K991" t="e">
        <f>VLOOKUP(F991,[1]!china_towns_second__2[[Column1]:[Y]],2,FALSE)</f>
        <v>#N/A</v>
      </c>
      <c r="L991" t="s">
        <v>5112</v>
      </c>
      <c r="M991" t="str">
        <f>VLOOKUP(H991,CHOOSE({1,2},Table11[Native],Table11[Name]),2,0)</f>
        <v>Xīxián Xīnqū</v>
      </c>
      <c r="N991" s="13" t="str">
        <f>VLOOKUP(I991,CHOOSE({1,2},Table11[Native],Table11[Name]),2,0)</f>
        <v>Xī'ān Shì</v>
      </c>
      <c r="O991" s="13" t="str">
        <f t="shared" si="62"/>
        <v>Shuangzhao Jiedao (Xī'ān Shì)</v>
      </c>
      <c r="P991" s="13" t="str">
        <f t="shared" si="63"/>
        <v>Shuangzhao Jiedao (Xī'ān Shì)</v>
      </c>
    </row>
    <row r="992" spans="1:16" hidden="1" x14ac:dyDescent="0.25">
      <c r="A992" t="s">
        <v>219</v>
      </c>
      <c r="B992" t="str">
        <f t="shared" si="60"/>
        <v>Shŭhé Zhèn [incl. Lántān Xiāng]</v>
      </c>
      <c r="C992" t="str">
        <f t="shared" si="61"/>
        <v>Shŭhé Zhèn [incl. Lántān Xiāng]</v>
      </c>
      <c r="D992" t="s">
        <v>220</v>
      </c>
      <c r="E992" t="s">
        <v>7</v>
      </c>
      <c r="F992" t="str">
        <f>_xlfn.CONCAT(D992,", ",H992,", ",I992,", ","陕西省")</f>
        <v>蜀河镇, 旬阳县, 安康市, 陕西省</v>
      </c>
      <c r="G992">
        <v>37059</v>
      </c>
      <c r="H992" t="s">
        <v>3041</v>
      </c>
      <c r="I992" t="s">
        <v>3031</v>
      </c>
      <c r="J992">
        <f>VLOOKUP(F992,[1]!china_towns_second__2[[Column1]:[Y]],3,FALSE)</f>
        <v>32.923654567298101</v>
      </c>
      <c r="K992">
        <f>VLOOKUP(F992,[1]!china_towns_second__2[[Column1]:[Y]],2,FALSE)</f>
        <v>109.69653289999999</v>
      </c>
      <c r="L992" t="s">
        <v>5113</v>
      </c>
      <c r="M992" t="str">
        <f>VLOOKUP(H992,CHOOSE({1,2},Table11[Native],Table11[Name]),2,0)</f>
        <v>Xúnyáng Xiàn</v>
      </c>
      <c r="N992" s="13" t="str">
        <f>VLOOKUP(I992,CHOOSE({1,2},Table11[Native],Table11[Name]),2,0)</f>
        <v>Ānkāng Shì</v>
      </c>
      <c r="O992" s="13" t="str">
        <f t="shared" si="62"/>
        <v>Shuhe Zhen [incl. Lantan Xiang] (Ānkāng Shì)</v>
      </c>
      <c r="P992" s="13" t="str">
        <f t="shared" si="63"/>
        <v>Shuhe Zhen [incl. Lantan Xiang] (Ānkāng Shì)</v>
      </c>
    </row>
    <row r="993" spans="1:16" hidden="1" x14ac:dyDescent="0.25">
      <c r="A993" t="s">
        <v>2889</v>
      </c>
      <c r="B993" t="str">
        <f t="shared" si="60"/>
        <v>Shuĭdìwān Xiāng</v>
      </c>
      <c r="C993" t="str">
        <f t="shared" si="61"/>
        <v>Shuĭdìwān Xiāng</v>
      </c>
      <c r="D993" t="s">
        <v>2890</v>
      </c>
      <c r="E993" t="s">
        <v>11</v>
      </c>
      <c r="F993" t="str">
        <f>_xlfn.CONCAT(D993,", ",H993,", ",I993,", ","陕西省")</f>
        <v>水地湾乡, 子洲县, 榆林市, 陕西省</v>
      </c>
      <c r="G993">
        <v>4681</v>
      </c>
      <c r="H993" t="s">
        <v>3160</v>
      </c>
      <c r="I993" t="s">
        <v>3148</v>
      </c>
      <c r="J993" t="e">
        <f>VLOOKUP(F993,[1]!china_towns_second__2[[Column1]:[Y]],3,FALSE)</f>
        <v>#N/A</v>
      </c>
      <c r="K993" t="e">
        <f>VLOOKUP(F993,[1]!china_towns_second__2[[Column1]:[Y]],2,FALSE)</f>
        <v>#N/A</v>
      </c>
      <c r="L993" t="s">
        <v>5114</v>
      </c>
      <c r="M993" t="str">
        <f>VLOOKUP(H993,CHOOSE({1,2},Table11[Native],Table11[Name]),2,0)</f>
        <v>Zizhōu Xiàn</v>
      </c>
      <c r="N993" s="13" t="str">
        <f>VLOOKUP(I993,CHOOSE({1,2},Table11[Native],Table11[Name]),2,0)</f>
        <v>Yúlín Shì</v>
      </c>
      <c r="O993" s="13" t="str">
        <f t="shared" si="62"/>
        <v>Shuidiwan Xiang (Yúlín Shì)</v>
      </c>
      <c r="P993" s="13" t="str">
        <f t="shared" si="63"/>
        <v>Shuidiwan Xiang (Yúlín Shì)</v>
      </c>
    </row>
    <row r="994" spans="1:16" hidden="1" x14ac:dyDescent="0.25">
      <c r="A994" t="s">
        <v>537</v>
      </c>
      <c r="B994" t="str">
        <f t="shared" si="60"/>
        <v>Shuĭgōu Zhèn [incl. Shìgōu Xiāng]</v>
      </c>
      <c r="C994" t="str">
        <f t="shared" si="61"/>
        <v>Shuĭgōu Zhèn [incl. Shìgōu Xiāng]</v>
      </c>
      <c r="D994" t="s">
        <v>538</v>
      </c>
      <c r="E994" t="s">
        <v>7</v>
      </c>
      <c r="F994" t="str">
        <f>_xlfn.CONCAT(D994,", ",H994,", ",I994,", ","陕西省")</f>
        <v>水沟镇, 千阳县, 宝鸡市, 陕西省</v>
      </c>
      <c r="G994">
        <v>18304</v>
      </c>
      <c r="H994" t="s">
        <v>3054</v>
      </c>
      <c r="I994" t="s">
        <v>3045</v>
      </c>
      <c r="J994">
        <f>VLOOKUP(F994,[1]!china_towns_second__2[[Column1]:[Y]],3,FALSE)</f>
        <v>34.732274372719999</v>
      </c>
      <c r="K994">
        <f>VLOOKUP(F994,[1]!china_towns_second__2[[Column1]:[Y]],2,FALSE)</f>
        <v>106.99304480000001</v>
      </c>
      <c r="L994" t="s">
        <v>5115</v>
      </c>
      <c r="M994" t="str">
        <f>VLOOKUP(H994,CHOOSE({1,2},Table11[Native],Table11[Name]),2,0)</f>
        <v>Qiānyáng Xiàn</v>
      </c>
      <c r="N994" s="13" t="str">
        <f>VLOOKUP(I994,CHOOSE({1,2},Table11[Native],Table11[Name]),2,0)</f>
        <v>Băojī Shì</v>
      </c>
      <c r="O994" s="13" t="str">
        <f t="shared" si="62"/>
        <v>Shuigou Zhen [incl. Shigou Xiang] (Băojī Shì)</v>
      </c>
      <c r="P994" s="13" t="str">
        <f t="shared" si="63"/>
        <v>Shuigou Zhen [incl. Shigou Xiang] (Băojī Shì)</v>
      </c>
    </row>
    <row r="995" spans="1:16" hidden="1" x14ac:dyDescent="0.25">
      <c r="A995" t="s">
        <v>1863</v>
      </c>
      <c r="B995" t="str">
        <f t="shared" si="60"/>
        <v>Shuĭkŏu Zhèn [incl. Dĭdiàn Xiāng]</v>
      </c>
      <c r="C995" t="str">
        <f t="shared" si="61"/>
        <v>Shuĭkŏu Zhèn [incl. Dĭdiàn Xiāng]</v>
      </c>
      <c r="D995" t="s">
        <v>1864</v>
      </c>
      <c r="E995" t="s">
        <v>7</v>
      </c>
      <c r="F995" t="str">
        <f>_xlfn.CONCAT(D995,", ",H995,", ",I995,", ","陕西省")</f>
        <v>水口镇, 彬州市, 咸阳市, 陕西省</v>
      </c>
      <c r="G995">
        <v>25407</v>
      </c>
      <c r="H995" t="s">
        <v>3118</v>
      </c>
      <c r="I995" t="s">
        <v>3117</v>
      </c>
      <c r="J995">
        <f>VLOOKUP(F995,[1]!china_towns_second__2[[Column1]:[Y]],3,FALSE)</f>
        <v>34.981944810772497</v>
      </c>
      <c r="K995">
        <f>VLOOKUP(F995,[1]!china_towns_second__2[[Column1]:[Y]],2,FALSE)</f>
        <v>108.0043585</v>
      </c>
      <c r="L995" t="s">
        <v>5116</v>
      </c>
      <c r="M995" t="str">
        <f>VLOOKUP(H995,CHOOSE({1,2},Table11[Native],Table11[Name]),2,0)</f>
        <v>Bīnzhōu Shì</v>
      </c>
      <c r="N995" s="13" t="str">
        <f>VLOOKUP(I995,CHOOSE({1,2},Table11[Native],Table11[Name]),2,0)</f>
        <v>Xiányáng Shì</v>
      </c>
      <c r="O995" s="13" t="str">
        <f t="shared" si="62"/>
        <v>Shuikou Zhen [incl. Didian Xiang] (Xiányáng Shì)</v>
      </c>
      <c r="P995" s="13" t="str">
        <f t="shared" si="63"/>
        <v>Shuikou Zhen [incl. Didian Xiang] (Xiányáng Shì)</v>
      </c>
    </row>
    <row r="996" spans="1:16" hidden="1" x14ac:dyDescent="0.25">
      <c r="A996" t="s">
        <v>899</v>
      </c>
      <c r="B996" t="str">
        <f t="shared" si="60"/>
        <v>Shuĭmó Zhèn</v>
      </c>
      <c r="C996" t="str">
        <f t="shared" si="61"/>
        <v>Shuĭmó Zhèn</v>
      </c>
      <c r="D996" t="s">
        <v>900</v>
      </c>
      <c r="E996" t="s">
        <v>7</v>
      </c>
      <c r="F996" t="str">
        <f>_xlfn.CONCAT(D996,", ",H996,", ",I996,", ","陕西省")</f>
        <v>水磨镇, 城固县, 汉中市, 陕西省</v>
      </c>
      <c r="G996">
        <v>3875</v>
      </c>
      <c r="H996" t="s">
        <v>3060</v>
      </c>
      <c r="I996" t="s">
        <v>3059</v>
      </c>
      <c r="J996">
        <f>VLOOKUP(F996,[1]!china_towns_second__2[[Column1]:[Y]],3,FALSE)</f>
        <v>33.348300000000002</v>
      </c>
      <c r="K996">
        <f>VLOOKUP(F996,[1]!china_towns_second__2[[Column1]:[Y]],2,FALSE)</f>
        <v>107.194</v>
      </c>
      <c r="L996" t="s">
        <v>5117</v>
      </c>
      <c r="M996" t="str">
        <f>VLOOKUP(H996,CHOOSE({1,2},Table11[Native],Table11[Name]),2,0)</f>
        <v>Chénggù Xiàn</v>
      </c>
      <c r="N996" s="13" t="str">
        <f>VLOOKUP(I996,CHOOSE({1,2},Table11[Native],Table11[Name]),2,0)</f>
        <v>Hànzhōng Shì</v>
      </c>
      <c r="O996" s="13" t="str">
        <f t="shared" si="62"/>
        <v>Shuimo Zhen (Hànzhōng Shì)</v>
      </c>
      <c r="P996" s="13" t="str">
        <f t="shared" si="63"/>
        <v>Shuimo Zhen (Hànzhōng Shì)</v>
      </c>
    </row>
    <row r="997" spans="1:16" hidden="1" x14ac:dyDescent="0.25">
      <c r="A997" t="s">
        <v>901</v>
      </c>
      <c r="B997" t="str">
        <f t="shared" si="60"/>
        <v>Shūjiābà Zhèn</v>
      </c>
      <c r="C997" t="str">
        <f t="shared" si="61"/>
        <v>Shūjiābà Zhèn</v>
      </c>
      <c r="D997" t="s">
        <v>902</v>
      </c>
      <c r="E997" t="s">
        <v>7</v>
      </c>
      <c r="F997" t="str">
        <f>_xlfn.CONCAT(D997,", ",H997,", ",I997,", ","陕西省")</f>
        <v>舒家坝镇, 宁强县, 汉中市, 陕西省</v>
      </c>
      <c r="G997">
        <v>7576</v>
      </c>
      <c r="H997" t="s">
        <v>3067</v>
      </c>
      <c r="I997" t="s">
        <v>3059</v>
      </c>
      <c r="J997">
        <f>VLOOKUP(F997,[1]!china_towns_second__2[[Column1]:[Y]],3,FALSE)</f>
        <v>32.876686716562702</v>
      </c>
      <c r="K997">
        <f>VLOOKUP(F997,[1]!china_towns_second__2[[Column1]:[Y]],2,FALSE)</f>
        <v>106.166043</v>
      </c>
      <c r="L997" t="s">
        <v>5118</v>
      </c>
      <c r="M997" t="str">
        <f>VLOOKUP(H997,CHOOSE({1,2},Table11[Native],Table11[Name]),2,0)</f>
        <v>Níngqiáng Xiàn</v>
      </c>
      <c r="N997" s="13" t="str">
        <f>VLOOKUP(I997,CHOOSE({1,2},Table11[Native],Table11[Name]),2,0)</f>
        <v>Hànzhōng Shì</v>
      </c>
      <c r="O997" s="13" t="str">
        <f t="shared" si="62"/>
        <v>Shujiaba Zhen (Hànzhōng Shì)</v>
      </c>
      <c r="P997" s="13" t="str">
        <f t="shared" si="63"/>
        <v>Shujiaba Zhen (Hànzhōng Shì)</v>
      </c>
    </row>
    <row r="998" spans="1:16" hidden="1" x14ac:dyDescent="0.25">
      <c r="A998" t="s">
        <v>2514</v>
      </c>
      <c r="B998" t="str">
        <f t="shared" si="60"/>
        <v>Shùnníng Zhèn</v>
      </c>
      <c r="C998" t="str">
        <f t="shared" si="61"/>
        <v>Shùnníng Zhèn</v>
      </c>
      <c r="D998" t="s">
        <v>2515</v>
      </c>
      <c r="E998" t="s">
        <v>7</v>
      </c>
      <c r="F998" t="str">
        <f>_xlfn.CONCAT(D998,", ",H998,", ",I998,", ","陕西省")</f>
        <v>顺宁镇, 志丹县, 延安市, 陕西省</v>
      </c>
      <c r="G998">
        <v>8860</v>
      </c>
      <c r="H998" t="s">
        <v>3145</v>
      </c>
      <c r="I998" t="s">
        <v>3133</v>
      </c>
      <c r="J998">
        <f>VLOOKUP(F998,[1]!china_towns_second__2[[Column1]:[Y]],3,FALSE)</f>
        <v>36.909338600924102</v>
      </c>
      <c r="K998">
        <f>VLOOKUP(F998,[1]!china_towns_second__2[[Column1]:[Y]],2,FALSE)</f>
        <v>108.6032515</v>
      </c>
      <c r="L998" t="s">
        <v>5119</v>
      </c>
      <c r="M998" t="str">
        <f>VLOOKUP(H998,CHOOSE({1,2},Table11[Native],Table11[Name]),2,0)</f>
        <v>Zhìdān Xiàn</v>
      </c>
      <c r="N998" s="13" t="str">
        <f>VLOOKUP(I998,CHOOSE({1,2},Table11[Native],Table11[Name]),2,0)</f>
        <v>Yán'ān Shì</v>
      </c>
      <c r="O998" s="13" t="str">
        <f t="shared" si="62"/>
        <v>Shunning Zhen (Yán'ān Shì)</v>
      </c>
      <c r="P998" s="13" t="str">
        <f t="shared" si="63"/>
        <v>Shunning Zhen (Yán'ān Shì)</v>
      </c>
    </row>
    <row r="999" spans="1:16" hidden="1" x14ac:dyDescent="0.25">
      <c r="A999" t="s">
        <v>221</v>
      </c>
      <c r="B999" t="str">
        <f t="shared" si="60"/>
        <v>Shŭpíng Zhèn [incl. Xiăoshŭhé Xiāng]</v>
      </c>
      <c r="C999" t="str">
        <f t="shared" si="61"/>
        <v>Shŭpíng Zhèn [incl. Xiăoshŭhé Xiāng]</v>
      </c>
      <c r="D999" t="s">
        <v>222</v>
      </c>
      <c r="E999" t="s">
        <v>7</v>
      </c>
      <c r="F999" t="str">
        <f>_xlfn.CONCAT(D999,", ",H999,", ",I999,", ","陕西省")</f>
        <v>曙坪镇, 镇坪县, 安康市, 陕西省</v>
      </c>
      <c r="G999">
        <v>7744</v>
      </c>
      <c r="H999" t="s">
        <v>3042</v>
      </c>
      <c r="I999" t="s">
        <v>3031</v>
      </c>
      <c r="J999">
        <f>VLOOKUP(F999,[1]!china_towns_second__2[[Column1]:[Y]],3,FALSE)</f>
        <v>31.8606474013412</v>
      </c>
      <c r="K999">
        <f>VLOOKUP(F999,[1]!china_towns_second__2[[Column1]:[Y]],2,FALSE)</f>
        <v>109.3218364</v>
      </c>
      <c r="L999" t="s">
        <v>5120</v>
      </c>
      <c r="M999" t="str">
        <f>VLOOKUP(H999,CHOOSE({1,2},Table11[Native],Table11[Name]),2,0)</f>
        <v>Zhènpíng Xiàn</v>
      </c>
      <c r="N999" s="13" t="str">
        <f>VLOOKUP(I999,CHOOSE({1,2},Table11[Native],Table11[Name]),2,0)</f>
        <v>Ānkāng Shì</v>
      </c>
      <c r="O999" s="13" t="str">
        <f t="shared" si="62"/>
        <v>Shuping Zhen [incl. Xiaoshuhe Xiang] (Ānkāng Shì)</v>
      </c>
      <c r="P999" s="13" t="str">
        <f t="shared" si="63"/>
        <v>Shuping Zhen [incl. Xiaoshuhe Xiang] (Ānkāng Shì)</v>
      </c>
    </row>
    <row r="1000" spans="1:16" hidden="1" x14ac:dyDescent="0.25">
      <c r="A1000" t="s">
        <v>903</v>
      </c>
      <c r="B1000" t="str">
        <f t="shared" si="60"/>
        <v>Sīdù Zhèn</v>
      </c>
      <c r="C1000" t="str">
        <f t="shared" si="61"/>
        <v>Sīdù Zhèn</v>
      </c>
      <c r="D1000" t="s">
        <v>904</v>
      </c>
      <c r="E1000" t="s">
        <v>7</v>
      </c>
      <c r="F1000" t="str">
        <f>_xlfn.CONCAT(D1000,", ",H1000,", ",I1000,", ","陕西省")</f>
        <v>私渡镇, 西乡县, 汉中市, 陕西省</v>
      </c>
      <c r="G1000">
        <v>8111</v>
      </c>
      <c r="H1000" t="s">
        <v>3068</v>
      </c>
      <c r="I1000" t="s">
        <v>3059</v>
      </c>
      <c r="J1000">
        <f>VLOOKUP(F1000,[1]!china_towns_second__2[[Column1]:[Y]],3,FALSE)</f>
        <v>32.909579023552702</v>
      </c>
      <c r="K1000">
        <f>VLOOKUP(F1000,[1]!china_towns_second__2[[Column1]:[Y]],2,FALSE)</f>
        <v>107.3956917</v>
      </c>
      <c r="L1000" t="s">
        <v>5121</v>
      </c>
      <c r="M1000" t="str">
        <f>VLOOKUP(H1000,CHOOSE({1,2},Table11[Native],Table11[Name]),2,0)</f>
        <v>Xīxiāng Xiàn</v>
      </c>
      <c r="N1000" s="13" t="str">
        <f>VLOOKUP(I1000,CHOOSE({1,2},Table11[Native],Table11[Name]),2,0)</f>
        <v>Hànzhōng Shì</v>
      </c>
      <c r="O1000" s="13" t="str">
        <f t="shared" si="62"/>
        <v>Sidu Zhen (Hànzhōng Shì)</v>
      </c>
      <c r="P1000" s="13" t="str">
        <f t="shared" si="63"/>
        <v>Sidu Zhen (Hànzhōng Shì)</v>
      </c>
    </row>
    <row r="1001" spans="1:16" hidden="1" x14ac:dyDescent="0.25">
      <c r="A1001" t="s">
        <v>1206</v>
      </c>
      <c r="B1001" t="str">
        <f t="shared" si="60"/>
        <v>Sì'ĕr Zhèn</v>
      </c>
      <c r="C1001" t="str">
        <f t="shared" si="61"/>
        <v>Sì'ĕr Zhèn</v>
      </c>
      <c r="D1001" t="s">
        <v>1207</v>
      </c>
      <c r="E1001" t="s">
        <v>7</v>
      </c>
      <c r="F1001" t="str">
        <f>_xlfn.CONCAT(D1001,", ",H1001,", ",I1001,", ","陕西省")</f>
        <v>寺耳镇, 洛南县, 商洛市, 陕西省</v>
      </c>
      <c r="G1001">
        <v>8135</v>
      </c>
      <c r="H1001" t="s">
        <v>3074</v>
      </c>
      <c r="I1001" t="s">
        <v>3072</v>
      </c>
      <c r="J1001">
        <f>VLOOKUP(F1001,[1]!china_towns_second__2[[Column1]:[Y]],3,FALSE)</f>
        <v>34.336040613584402</v>
      </c>
      <c r="K1001">
        <f>VLOOKUP(F1001,[1]!china_towns_second__2[[Column1]:[Y]],2,FALSE)</f>
        <v>110.3862476</v>
      </c>
      <c r="L1001" t="s">
        <v>5122</v>
      </c>
      <c r="M1001" t="str">
        <f>VLOOKUP(H1001,CHOOSE({1,2},Table11[Native],Table11[Name]),2,0)</f>
        <v>Luònán Xiàn</v>
      </c>
      <c r="N1001" s="13" t="str">
        <f>VLOOKUP(I1001,CHOOSE({1,2},Table11[Native],Table11[Name]),2,0)</f>
        <v>Shāngluò Shì</v>
      </c>
      <c r="O1001" s="13" t="str">
        <f t="shared" si="62"/>
        <v>Si'er Zhen (Shāngluò Shì)</v>
      </c>
      <c r="P1001" s="13" t="str">
        <f t="shared" si="63"/>
        <v>Si'er Zhen (Shāngluò Shì)</v>
      </c>
    </row>
    <row r="1002" spans="1:16" hidden="1" x14ac:dyDescent="0.25">
      <c r="A1002" t="s">
        <v>1208</v>
      </c>
      <c r="B1002" t="str">
        <f t="shared" si="60"/>
        <v>Sìhào Jiēdào [incl. Xièwān Xiāng]</v>
      </c>
      <c r="C1002" t="str">
        <f t="shared" si="61"/>
        <v>Sìhào Jiēdào [incl. Xièwān Xiāng]</v>
      </c>
      <c r="D1002" t="s">
        <v>1209</v>
      </c>
      <c r="E1002" t="s">
        <v>113</v>
      </c>
      <c r="F1002" t="str">
        <f>_xlfn.CONCAT(D1002,", ",H1002,", ",I1002,", ","陕西省")</f>
        <v>四皓街道, 洛南县, 商洛市, 陕西省</v>
      </c>
      <c r="G1002">
        <v>26074</v>
      </c>
      <c r="H1002" t="s">
        <v>3074</v>
      </c>
      <c r="I1002" t="s">
        <v>3072</v>
      </c>
      <c r="J1002" t="e">
        <f>VLOOKUP(F1002,[1]!china_towns_second__2[[Column1]:[Y]],3,FALSE)</f>
        <v>#N/A</v>
      </c>
      <c r="K1002" t="e">
        <f>VLOOKUP(F1002,[1]!china_towns_second__2[[Column1]:[Y]],2,FALSE)</f>
        <v>#N/A</v>
      </c>
      <c r="L1002" t="s">
        <v>5123</v>
      </c>
      <c r="M1002" t="str">
        <f>VLOOKUP(H1002,CHOOSE({1,2},Table11[Native],Table11[Name]),2,0)</f>
        <v>Luònán Xiàn</v>
      </c>
      <c r="N1002" s="13" t="str">
        <f>VLOOKUP(I1002,CHOOSE({1,2},Table11[Native],Table11[Name]),2,0)</f>
        <v>Shāngluò Shì</v>
      </c>
      <c r="O1002" s="13" t="str">
        <f t="shared" si="62"/>
        <v>Sihao Jiedao [incl. Xiewan Xiang] (Shāngluò Shì)</v>
      </c>
      <c r="P1002" s="13" t="str">
        <f t="shared" si="63"/>
        <v>Sihao Jiedao [incl. Xiewan Xiang] (Shāngluò Shì)</v>
      </c>
    </row>
    <row r="1003" spans="1:16" hidden="1" x14ac:dyDescent="0.25">
      <c r="A1003" t="s">
        <v>223</v>
      </c>
      <c r="B1003" t="str">
        <f t="shared" si="60"/>
        <v>Sìjì Zhèn</v>
      </c>
      <c r="C1003" t="str">
        <f t="shared" si="61"/>
        <v>Sìjì Zhèn</v>
      </c>
      <c r="D1003" t="s">
        <v>224</v>
      </c>
      <c r="E1003" t="s">
        <v>7</v>
      </c>
      <c r="F1003" t="str">
        <f>_xlfn.CONCAT(D1003,", ",H1003,", ",I1003,", ","陕西省")</f>
        <v>四季镇, 岚皋县, 安康市, 陕西省</v>
      </c>
      <c r="G1003">
        <v>5410</v>
      </c>
      <c r="H1003" t="s">
        <v>3037</v>
      </c>
      <c r="I1003" t="s">
        <v>3031</v>
      </c>
      <c r="J1003">
        <f>VLOOKUP(F1003,[1]!china_towns_second__2[[Column1]:[Y]],3,FALSE)</f>
        <v>32.1875429397397</v>
      </c>
      <c r="K1003">
        <f>VLOOKUP(F1003,[1]!china_towns_second__2[[Column1]:[Y]],2,FALSE)</f>
        <v>108.8663822</v>
      </c>
      <c r="L1003" t="s">
        <v>5124</v>
      </c>
      <c r="M1003" t="str">
        <f>VLOOKUP(H1003,CHOOSE({1,2},Table11[Native],Table11[Name]),2,0)</f>
        <v>Lángāo Xiàn</v>
      </c>
      <c r="N1003" s="13" t="str">
        <f>VLOOKUP(I1003,CHOOSE({1,2},Table11[Native],Table11[Name]),2,0)</f>
        <v>Ānkāng Shì</v>
      </c>
      <c r="O1003" s="13" t="str">
        <f t="shared" si="62"/>
        <v>Siji Zhen (Ānkāng Shì)</v>
      </c>
      <c r="P1003" s="13" t="str">
        <f t="shared" si="63"/>
        <v>Siji Zhen (Ānkāng Shì)</v>
      </c>
    </row>
    <row r="1004" spans="1:16" hidden="1" x14ac:dyDescent="0.25">
      <c r="A1004" t="s">
        <v>225</v>
      </c>
      <c r="B1004" t="str">
        <f t="shared" si="60"/>
        <v>Sìmŭdì Zhèn</v>
      </c>
      <c r="C1004" t="str">
        <f t="shared" si="61"/>
        <v>Sìmŭdì Zhèn</v>
      </c>
      <c r="D1004" t="s">
        <v>226</v>
      </c>
      <c r="E1004" t="s">
        <v>7</v>
      </c>
      <c r="F1004" t="str">
        <f>_xlfn.CONCAT(D1004,", ",H1004,", ",I1004,", ","陕西省")</f>
        <v>四亩地镇, 宁陕县, 安康市, 陕西省</v>
      </c>
      <c r="G1004">
        <v>4070</v>
      </c>
      <c r="H1004" t="s">
        <v>3038</v>
      </c>
      <c r="I1004" t="s">
        <v>3031</v>
      </c>
      <c r="J1004">
        <f>VLOOKUP(F1004,[1]!china_towns_second__2[[Column1]:[Y]],3,FALSE)</f>
        <v>33.606667447541099</v>
      </c>
      <c r="K1004">
        <f>VLOOKUP(F1004,[1]!china_towns_second__2[[Column1]:[Y]],2,FALSE)</f>
        <v>108.132695</v>
      </c>
      <c r="L1004" t="s">
        <v>5125</v>
      </c>
      <c r="M1004" t="str">
        <f>VLOOKUP(H1004,CHOOSE({1,2},Table11[Native],Table11[Name]),2,0)</f>
        <v>Níngshăn Xiàn</v>
      </c>
      <c r="N1004" s="13" t="str">
        <f>VLOOKUP(I1004,CHOOSE({1,2},Table11[Native],Table11[Name]),2,0)</f>
        <v>Ānkāng Shì</v>
      </c>
      <c r="O1004" s="13" t="str">
        <f t="shared" si="62"/>
        <v>Simudi Zhen (Ānkāng Shì)</v>
      </c>
      <c r="P1004" s="13" t="str">
        <f t="shared" si="63"/>
        <v>Simudi Zhen (Ānkāng Shì)</v>
      </c>
    </row>
    <row r="1005" spans="1:16" hidden="1" x14ac:dyDescent="0.25">
      <c r="A1005" t="s">
        <v>1210</v>
      </c>
      <c r="B1005" t="str">
        <f t="shared" si="60"/>
        <v>Sìpíng Zhèn</v>
      </c>
      <c r="C1005" t="str">
        <f t="shared" si="61"/>
        <v>Sìpíng Zhèn</v>
      </c>
      <c r="D1005" t="s">
        <v>1211</v>
      </c>
      <c r="E1005" t="s">
        <v>7</v>
      </c>
      <c r="F1005" t="str">
        <f>_xlfn.CONCAT(D1005,", ",H1005,", ",I1005,", ","陕西省")</f>
        <v>寺坪镇, 丹凤县, 商洛市, 陕西省</v>
      </c>
      <c r="G1005">
        <v>8652</v>
      </c>
      <c r="H1005" t="s">
        <v>3073</v>
      </c>
      <c r="I1005" t="s">
        <v>3072</v>
      </c>
      <c r="J1005">
        <f>VLOOKUP(F1005,[1]!china_towns_second__2[[Column1]:[Y]],3,FALSE)</f>
        <v>33.5626894756738</v>
      </c>
      <c r="K1005">
        <f>VLOOKUP(F1005,[1]!china_towns_second__2[[Column1]:[Y]],2,FALSE)</f>
        <v>110.24719260000001</v>
      </c>
      <c r="L1005" t="s">
        <v>5126</v>
      </c>
      <c r="M1005" t="str">
        <f>VLOOKUP(H1005,CHOOSE({1,2},Table11[Native],Table11[Name]),2,0)</f>
        <v>Dānfèng Xiàn</v>
      </c>
      <c r="N1005" s="13" t="str">
        <f>VLOOKUP(I1005,CHOOSE({1,2},Table11[Native],Table11[Name]),2,0)</f>
        <v>Shāngluò Shì</v>
      </c>
      <c r="O1005" s="13" t="str">
        <f t="shared" si="62"/>
        <v>Siping Zhen (Shāngluò Shì)</v>
      </c>
      <c r="P1005" s="13" t="str">
        <f t="shared" si="63"/>
        <v>Siping Zhen (Shāngluò Shì)</v>
      </c>
    </row>
    <row r="1006" spans="1:16" hidden="1" x14ac:dyDescent="0.25">
      <c r="A1006" t="s">
        <v>1610</v>
      </c>
      <c r="B1006" t="str">
        <f t="shared" si="60"/>
        <v>Sìqián Zhèn</v>
      </c>
      <c r="C1006" t="str">
        <f t="shared" si="61"/>
        <v>Sìqián Zhèn</v>
      </c>
      <c r="D1006" t="s">
        <v>1611</v>
      </c>
      <c r="E1006" t="s">
        <v>7</v>
      </c>
      <c r="F1006" t="str">
        <f>_xlfn.CONCAT(D1006,", ",H1006,", ",I1006,", ","陕西省")</f>
        <v>寺前镇, 澄城县, 渭南市, 陕西省</v>
      </c>
      <c r="G1006">
        <v>31553</v>
      </c>
      <c r="H1006" t="s">
        <v>3089</v>
      </c>
      <c r="I1006" t="s">
        <v>3087</v>
      </c>
      <c r="J1006">
        <f>VLOOKUP(F1006,[1]!china_towns_second__2[[Column1]:[Y]],3,FALSE)</f>
        <v>35.028555676719201</v>
      </c>
      <c r="K1006">
        <f>VLOOKUP(F1006,[1]!china_towns_second__2[[Column1]:[Y]],2,FALSE)</f>
        <v>109.9995971</v>
      </c>
      <c r="L1006" t="s">
        <v>5127</v>
      </c>
      <c r="M1006" t="str">
        <f>VLOOKUP(H1006,CHOOSE({1,2},Table11[Native],Table11[Name]),2,0)</f>
        <v>Chéngchéng Xiàn</v>
      </c>
      <c r="N1006" s="13" t="str">
        <f>VLOOKUP(I1006,CHOOSE({1,2},Table11[Native],Table11[Name]),2,0)</f>
        <v>Wèinán Shì</v>
      </c>
      <c r="O1006" s="13" t="str">
        <f t="shared" si="62"/>
        <v>Siqian Zhen (Wèinán Shì)</v>
      </c>
      <c r="P1006" s="13" t="str">
        <f t="shared" si="63"/>
        <v>Siqian Zhen (Wèinán Shì)</v>
      </c>
    </row>
    <row r="1007" spans="1:16" hidden="1" x14ac:dyDescent="0.25">
      <c r="A1007" t="s">
        <v>905</v>
      </c>
      <c r="B1007" t="str">
        <f t="shared" si="60"/>
        <v>Sīshàng Xiāng</v>
      </c>
      <c r="C1007" t="str">
        <f t="shared" si="61"/>
        <v>Sīshàng Xiāng</v>
      </c>
      <c r="D1007" t="s">
        <v>906</v>
      </c>
      <c r="E1007" t="s">
        <v>11</v>
      </c>
      <c r="F1007" t="str">
        <f>_xlfn.CONCAT(D1007,", ",H1007,", ",I1007,", ","陕西省")</f>
        <v>司上乡, 西乡县, 汉中市, 陕西省</v>
      </c>
      <c r="G1007">
        <v>4289</v>
      </c>
      <c r="H1007" t="s">
        <v>3068</v>
      </c>
      <c r="I1007" t="s">
        <v>3059</v>
      </c>
      <c r="J1007" t="e">
        <f>VLOOKUP(F1007,[1]!china_towns_second__2[[Column1]:[Y]],3,FALSE)</f>
        <v>#N/A</v>
      </c>
      <c r="K1007" t="e">
        <f>VLOOKUP(F1007,[1]!china_towns_second__2[[Column1]:[Y]],2,FALSE)</f>
        <v>#N/A</v>
      </c>
      <c r="L1007" t="s">
        <v>5128</v>
      </c>
      <c r="M1007" t="str">
        <f>VLOOKUP(H1007,CHOOSE({1,2},Table11[Native],Table11[Name]),2,0)</f>
        <v>Xīxiāng Xiàn</v>
      </c>
      <c r="N1007" s="13" t="str">
        <f>VLOOKUP(I1007,CHOOSE({1,2},Table11[Native],Table11[Name]),2,0)</f>
        <v>Hànzhōng Shì</v>
      </c>
      <c r="O1007" s="13" t="str">
        <f t="shared" si="62"/>
        <v>Sishang Xiang (Hànzhōng Shì)</v>
      </c>
      <c r="P1007" s="13" t="str">
        <f t="shared" si="63"/>
        <v>Sishang Xiang (Hànzhōng Shì)</v>
      </c>
    </row>
    <row r="1008" spans="1:16" hidden="1" x14ac:dyDescent="0.25">
      <c r="A1008" t="s">
        <v>2891</v>
      </c>
      <c r="B1008" t="str">
        <f t="shared" si="60"/>
        <v>Sìshílǐpù Zhèn [incl. Sìshípū Zhèn, Zhàojiābiān Xiāng]</v>
      </c>
      <c r="C1008" t="str">
        <f t="shared" si="61"/>
        <v>Sìshílǐpù Zhèn [incl. Sìshípū Zhèn, Zhàojiābiān Xiāng]</v>
      </c>
      <c r="D1008" t="s">
        <v>2892</v>
      </c>
      <c r="E1008" t="s">
        <v>7</v>
      </c>
      <c r="F1008" t="str">
        <f>_xlfn.CONCAT(D1008,", ",H1008,", ",I1008,", ","陕西省")</f>
        <v>四十里铺镇, 绥德县, 榆林市, 陕西省</v>
      </c>
      <c r="G1008">
        <v>28952</v>
      </c>
      <c r="H1008" t="s">
        <v>3157</v>
      </c>
      <c r="I1008" t="s">
        <v>3148</v>
      </c>
      <c r="J1008">
        <f>VLOOKUP(F1008,[1]!china_towns_second__2[[Column1]:[Y]],3,FALSE)</f>
        <v>37.6392321606343</v>
      </c>
      <c r="K1008">
        <f>VLOOKUP(F1008,[1]!china_towns_second__2[[Column1]:[Y]],2,FALSE)</f>
        <v>110.2019774</v>
      </c>
      <c r="L1008" t="s">
        <v>5129</v>
      </c>
      <c r="M1008" t="str">
        <f>VLOOKUP(H1008,CHOOSE({1,2},Table11[Native],Table11[Name]),2,0)</f>
        <v>Suídé Xiàn</v>
      </c>
      <c r="N1008" s="13" t="str">
        <f>VLOOKUP(I1008,CHOOSE({1,2},Table11[Native],Table11[Name]),2,0)</f>
        <v>Yúlín Shì</v>
      </c>
      <c r="O1008" s="13" t="str">
        <f t="shared" si="62"/>
        <v>Sishilipu Zhen [incl. Sishipu Zhen, Zhaojiabian Xiang] (Yúlín Shì)</v>
      </c>
      <c r="P1008" s="13" t="str">
        <f t="shared" si="63"/>
        <v>Sishilipu Zhen [incl. Sishipu Zhen, Zhaojiabian Xiang] (Yúlín Shì)</v>
      </c>
    </row>
    <row r="1009" spans="1:16" hidden="1" x14ac:dyDescent="0.25">
      <c r="A1009" t="s">
        <v>2190</v>
      </c>
      <c r="B1009" t="str">
        <f t="shared" si="60"/>
        <v>Sìtún Zhèn [incl. Hòujiācūn Xiāng]</v>
      </c>
      <c r="C1009" t="str">
        <f t="shared" si="61"/>
        <v>Sìtún Zhèn [incl. Hòujiācūn Xiāng]</v>
      </c>
      <c r="D1009" t="s">
        <v>2191</v>
      </c>
      <c r="E1009" t="s">
        <v>7</v>
      </c>
      <c r="F1009" t="str">
        <f>_xlfn.CONCAT(D1009,", ",H1009,", ",I1009,", ","陕西省")</f>
        <v>四屯镇, 周至县, 西安市, 陕西省</v>
      </c>
      <c r="G1009">
        <v>35757</v>
      </c>
      <c r="H1009" t="s">
        <v>3115</v>
      </c>
      <c r="I1009" t="s">
        <v>3102</v>
      </c>
      <c r="J1009">
        <f>VLOOKUP(F1009,[1]!china_towns_second__2[[Column1]:[Y]],3,FALSE)</f>
        <v>34.189397824680199</v>
      </c>
      <c r="K1009">
        <f>VLOOKUP(F1009,[1]!china_towns_second__2[[Column1]:[Y]],2,FALSE)</f>
        <v>108.1482743</v>
      </c>
      <c r="L1009" t="s">
        <v>5130</v>
      </c>
      <c r="M1009" t="str">
        <f>VLOOKUP(H1009,CHOOSE({1,2},Table11[Native],Table11[Name]),2,0)</f>
        <v>Zhōuzhì Xiàn</v>
      </c>
      <c r="N1009" s="13" t="str">
        <f>VLOOKUP(I1009,CHOOSE({1,2},Table11[Native],Table11[Name]),2,0)</f>
        <v>Xī'ān Shì</v>
      </c>
      <c r="O1009" s="13" t="str">
        <f t="shared" si="62"/>
        <v>Situn Zhen [incl. Houjiacun Xiang] (Xī'ān Shì)</v>
      </c>
      <c r="P1009" s="13" t="str">
        <f t="shared" si="63"/>
        <v>Situn Zhen [incl. Houjiacun Xiang] (Xī'ān Shì)</v>
      </c>
    </row>
    <row r="1010" spans="1:16" hidden="1" x14ac:dyDescent="0.25">
      <c r="A1010" t="s">
        <v>2516</v>
      </c>
      <c r="B1010" t="str">
        <f t="shared" si="60"/>
        <v>Sìwān Xiāng</v>
      </c>
      <c r="C1010" t="str">
        <f t="shared" si="61"/>
        <v>Sìwān Xiāng</v>
      </c>
      <c r="D1010" t="s">
        <v>2517</v>
      </c>
      <c r="E1010" t="s">
        <v>11</v>
      </c>
      <c r="F1010" t="str">
        <f>_xlfn.CONCAT(D1010,", ",H1010,", ",I1010,", ","陕西省")</f>
        <v>寺湾乡, 子长市, 延安市, 陕西省</v>
      </c>
      <c r="G1010">
        <v>6026</v>
      </c>
      <c r="H1010" t="s">
        <v>3146</v>
      </c>
      <c r="I1010" t="s">
        <v>3133</v>
      </c>
      <c r="J1010" t="e">
        <f>VLOOKUP(F1010,[1]!china_towns_second__2[[Column1]:[Y]],3,FALSE)</f>
        <v>#N/A</v>
      </c>
      <c r="K1010" t="e">
        <f>VLOOKUP(F1010,[1]!china_towns_second__2[[Column1]:[Y]],2,FALSE)</f>
        <v>#N/A</v>
      </c>
      <c r="L1010" t="s">
        <v>5131</v>
      </c>
      <c r="M1010" t="str">
        <f>VLOOKUP(H1010,CHOOSE({1,2},Table11[Native],Table11[Name]),2,0)</f>
        <v>Zicháng Shì</v>
      </c>
      <c r="N1010" s="13" t="str">
        <f>VLOOKUP(I1010,CHOOSE({1,2},Table11[Native],Table11[Name]),2,0)</f>
        <v>Yán'ān Shì</v>
      </c>
      <c r="O1010" s="13" t="str">
        <f t="shared" si="62"/>
        <v>Siwan Xiang (Yán'ān Shì)</v>
      </c>
      <c r="P1010" s="13" t="str">
        <f t="shared" si="63"/>
        <v>Siwan Xiang (Yán'ān Shì)</v>
      </c>
    </row>
    <row r="1011" spans="1:16" hidden="1" x14ac:dyDescent="0.25">
      <c r="A1011" t="s">
        <v>2518</v>
      </c>
      <c r="B1011" t="str">
        <f t="shared" si="60"/>
        <v>Sìxiān Zhèn</v>
      </c>
      <c r="C1011" t="str">
        <f t="shared" si="61"/>
        <v>Sìxiān Zhèn</v>
      </c>
      <c r="D1011" t="s">
        <v>2519</v>
      </c>
      <c r="E1011" t="s">
        <v>7</v>
      </c>
      <c r="F1011" t="str">
        <f>_xlfn.CONCAT(D1011,", ",H1011,", ",I1011,", ","陕西省")</f>
        <v>寺仙镇, 富县, 延安市, 陕西省</v>
      </c>
      <c r="G1011">
        <v>4666</v>
      </c>
      <c r="H1011" t="s">
        <v>3136</v>
      </c>
      <c r="I1011" t="s">
        <v>3133</v>
      </c>
      <c r="J1011">
        <f>VLOOKUP(F1011,[1]!china_towns_second__2[[Column1]:[Y]],3,FALSE)</f>
        <v>35.788768395709603</v>
      </c>
      <c r="K1011">
        <f>VLOOKUP(F1011,[1]!china_towns_second__2[[Column1]:[Y]],2,FALSE)</f>
        <v>109.1685039</v>
      </c>
      <c r="L1011" t="s">
        <v>5132</v>
      </c>
      <c r="M1011" t="str">
        <f>VLOOKUP(H1011,CHOOSE({1,2},Table11[Native],Table11[Name]),2,0)</f>
        <v>Fù Xiàn</v>
      </c>
      <c r="N1011" s="13" t="str">
        <f>VLOOKUP(I1011,CHOOSE({1,2},Table11[Native],Table11[Name]),2,0)</f>
        <v>Yán'ān Shì</v>
      </c>
      <c r="O1011" s="13" t="str">
        <f t="shared" si="62"/>
        <v>Sixian Zhen (Yán'ān Shì)</v>
      </c>
      <c r="P1011" s="13" t="str">
        <f t="shared" si="63"/>
        <v>Sixian Zhen (Yán'ān Shì)</v>
      </c>
    </row>
    <row r="1012" spans="1:16" hidden="1" x14ac:dyDescent="0.25">
      <c r="A1012" t="s">
        <v>227</v>
      </c>
      <c r="B1012" t="str">
        <f t="shared" si="60"/>
        <v>Sìxīn Xiāng</v>
      </c>
      <c r="C1012" t="str">
        <f t="shared" si="61"/>
        <v>Sìxīn Xiāng</v>
      </c>
      <c r="D1012" t="s">
        <v>228</v>
      </c>
      <c r="E1012" t="s">
        <v>11</v>
      </c>
      <c r="F1012" t="str">
        <f>_xlfn.CONCAT(D1012,", ",H1012,", ",I1012,", ","陕西省")</f>
        <v>四新乡, 白河县, 安康市, 陕西省</v>
      </c>
      <c r="G1012">
        <v>3669</v>
      </c>
      <c r="H1012" t="s">
        <v>3033</v>
      </c>
      <c r="I1012" t="s">
        <v>3031</v>
      </c>
      <c r="J1012" t="e">
        <f>VLOOKUP(F1012,[1]!china_towns_second__2[[Column1]:[Y]],3,FALSE)</f>
        <v>#N/A</v>
      </c>
      <c r="K1012" t="e">
        <f>VLOOKUP(F1012,[1]!china_towns_second__2[[Column1]:[Y]],2,FALSE)</f>
        <v>#N/A</v>
      </c>
      <c r="L1012" t="s">
        <v>5133</v>
      </c>
      <c r="M1012" t="str">
        <f>VLOOKUP(H1012,CHOOSE({1,2},Table11[Native],Table11[Name]),2,0)</f>
        <v>Báihé Xiàn</v>
      </c>
      <c r="N1012" s="13" t="str">
        <f>VLOOKUP(I1012,CHOOSE({1,2},Table11[Native],Table11[Name]),2,0)</f>
        <v>Ānkāng Shì</v>
      </c>
      <c r="O1012" s="13" t="str">
        <f t="shared" si="62"/>
        <v>Sixin Xiang (Ānkāng Shì)</v>
      </c>
      <c r="P1012" s="13" t="str">
        <f t="shared" si="63"/>
        <v>Sixin Xiang (Ānkāng Shì)</v>
      </c>
    </row>
    <row r="1013" spans="1:16" hidden="1" x14ac:dyDescent="0.25">
      <c r="A1013" t="s">
        <v>2192</v>
      </c>
      <c r="B1013" t="str">
        <f t="shared" si="60"/>
        <v>Sīzhú Zhèn</v>
      </c>
      <c r="C1013" t="str">
        <f t="shared" si="61"/>
        <v>Sīzhú Zhèn</v>
      </c>
      <c r="D1013" t="s">
        <v>2193</v>
      </c>
      <c r="E1013" t="s">
        <v>7</v>
      </c>
      <c r="F1013" t="str">
        <f>_xlfn.CONCAT(D1013,", ",H1013,", ",I1013,", ","陕西省")</f>
        <v>司竹镇, 周至县, 西安市, 陕西省</v>
      </c>
      <c r="G1013">
        <v>21868</v>
      </c>
      <c r="H1013" t="s">
        <v>3115</v>
      </c>
      <c r="I1013" t="s">
        <v>3102</v>
      </c>
      <c r="J1013">
        <f>VLOOKUP(F1013,[1]!china_towns_second__2[[Column1]:[Y]],3,FALSE)</f>
        <v>34.150897350720101</v>
      </c>
      <c r="K1013">
        <f>VLOOKUP(F1013,[1]!china_towns_second__2[[Column1]:[Y]],2,FALSE)</f>
        <v>108.2865966</v>
      </c>
      <c r="L1013" t="s">
        <v>5134</v>
      </c>
      <c r="M1013" t="str">
        <f>VLOOKUP(H1013,CHOOSE({1,2},Table11[Native],Table11[Name]),2,0)</f>
        <v>Zhōuzhì Xiàn</v>
      </c>
      <c r="N1013" s="13" t="str">
        <f>VLOOKUP(I1013,CHOOSE({1,2},Table11[Native],Table11[Name]),2,0)</f>
        <v>Xī'ān Shì</v>
      </c>
      <c r="O1013" s="13" t="str">
        <f t="shared" si="62"/>
        <v>Sizhu Zhen (Xī'ān Shì)</v>
      </c>
      <c r="P1013" s="13" t="str">
        <f t="shared" si="63"/>
        <v>Sizhu Zhen (Xī'ān Shì)</v>
      </c>
    </row>
    <row r="1014" spans="1:16" hidden="1" x14ac:dyDescent="0.25">
      <c r="A1014" t="s">
        <v>229</v>
      </c>
      <c r="B1014" t="str">
        <f t="shared" si="60"/>
        <v>Sòngjiā Zhèn</v>
      </c>
      <c r="C1014" t="str">
        <f t="shared" si="61"/>
        <v>Sòngjiā Zhèn</v>
      </c>
      <c r="D1014" t="s">
        <v>230</v>
      </c>
      <c r="E1014" t="s">
        <v>7</v>
      </c>
      <c r="F1014" t="str">
        <f>_xlfn.CONCAT(D1014,", ",H1014,", ",I1014,", ","陕西省")</f>
        <v>宋家镇, 白河县, 安康市, 陕西省</v>
      </c>
      <c r="G1014">
        <v>13329</v>
      </c>
      <c r="H1014" t="s">
        <v>3033</v>
      </c>
      <c r="I1014" t="s">
        <v>3031</v>
      </c>
      <c r="J1014">
        <f>VLOOKUP(F1014,[1]!china_towns_second__2[[Column1]:[Y]],3,FALSE)</f>
        <v>32.638416835093899</v>
      </c>
      <c r="K1014">
        <f>VLOOKUP(F1014,[1]!china_towns_second__2[[Column1]:[Y]],2,FALSE)</f>
        <v>109.8212975</v>
      </c>
      <c r="L1014" t="s">
        <v>5135</v>
      </c>
      <c r="M1014" t="str">
        <f>VLOOKUP(H1014,CHOOSE({1,2},Table11[Native],Table11[Name]),2,0)</f>
        <v>Báihé Xiàn</v>
      </c>
      <c r="N1014" s="13" t="str">
        <f>VLOOKUP(I1014,CHOOSE({1,2},Table11[Native],Table11[Name]),2,0)</f>
        <v>Ānkāng Shì</v>
      </c>
      <c r="O1014" s="13" t="str">
        <f t="shared" si="62"/>
        <v>Songjia Zhen (Ānkāng Shì)</v>
      </c>
      <c r="P1014" s="13" t="str">
        <f t="shared" si="63"/>
        <v>Songjia Zhen (Ānkāng Shì)</v>
      </c>
    </row>
    <row r="1015" spans="1:16" hidden="1" x14ac:dyDescent="0.25">
      <c r="A1015" t="s">
        <v>2893</v>
      </c>
      <c r="B1015" t="str">
        <f t="shared" si="60"/>
        <v>Sòngjiāchuān Jiēdào</v>
      </c>
      <c r="C1015" t="str">
        <f t="shared" si="61"/>
        <v>Sòngjiāchuān Jiēdào</v>
      </c>
      <c r="D1015" t="s">
        <v>2894</v>
      </c>
      <c r="E1015" t="s">
        <v>113</v>
      </c>
      <c r="F1015" t="str">
        <f>_xlfn.CONCAT(D1015,", ",H1015,", ",I1015,", ","陕西省")</f>
        <v>宋家川街道, 吴堡县, 榆林市, 陕西省</v>
      </c>
      <c r="G1015">
        <v>36427</v>
      </c>
      <c r="H1015" t="s">
        <v>3158</v>
      </c>
      <c r="I1015" t="s">
        <v>3148</v>
      </c>
      <c r="J1015" t="e">
        <f>VLOOKUP(F1015,[1]!china_towns_second__2[[Column1]:[Y]],3,FALSE)</f>
        <v>#N/A</v>
      </c>
      <c r="K1015" t="e">
        <f>VLOOKUP(F1015,[1]!china_towns_second__2[[Column1]:[Y]],2,FALSE)</f>
        <v>#N/A</v>
      </c>
      <c r="L1015" t="s">
        <v>5136</v>
      </c>
      <c r="M1015" t="str">
        <f>VLOOKUP(H1015,CHOOSE({1,2},Table11[Native],Table11[Name]),2,0)</f>
        <v>Wúbǔ Xiàn</v>
      </c>
      <c r="N1015" s="13" t="str">
        <f>VLOOKUP(I1015,CHOOSE({1,2},Table11[Native],Table11[Name]),2,0)</f>
        <v>Yúlín Shì</v>
      </c>
      <c r="O1015" s="13" t="str">
        <f t="shared" si="62"/>
        <v>Songjiachuan Jiedao (Yúlín Shì)</v>
      </c>
      <c r="P1015" s="13" t="str">
        <f t="shared" si="63"/>
        <v>Songjiachuan Jiedao (Yúlín Shì)</v>
      </c>
    </row>
    <row r="1016" spans="1:16" hidden="1" x14ac:dyDescent="0.25">
      <c r="A1016" t="s">
        <v>2520</v>
      </c>
      <c r="B1016" t="str">
        <f t="shared" si="60"/>
        <v>Sōngshùlín Xiāng</v>
      </c>
      <c r="C1016" t="str">
        <f t="shared" si="61"/>
        <v>Sōngshùlín Xiāng</v>
      </c>
      <c r="D1016" t="s">
        <v>2521</v>
      </c>
      <c r="E1016" t="s">
        <v>11</v>
      </c>
      <c r="F1016" t="str">
        <f>_xlfn.CONCAT(D1016,", ",H1016,", ",I1016,", ","陕西省")</f>
        <v>松树林乡, 宝塔区, 延安市, 陕西省</v>
      </c>
      <c r="G1016">
        <v>3138</v>
      </c>
      <c r="H1016" t="s">
        <v>3135</v>
      </c>
      <c r="I1016" t="s">
        <v>3133</v>
      </c>
      <c r="J1016" t="e">
        <f>VLOOKUP(F1016,[1]!china_towns_second__2[[Column1]:[Y]],3,FALSE)</f>
        <v>#N/A</v>
      </c>
      <c r="K1016" t="e">
        <f>VLOOKUP(F1016,[1]!china_towns_second__2[[Column1]:[Y]],2,FALSE)</f>
        <v>#N/A</v>
      </c>
      <c r="L1016" t="s">
        <v>5137</v>
      </c>
      <c r="M1016" t="str">
        <f>VLOOKUP(H1016,CHOOSE({1,2},Table11[Native],Table11[Name]),2,0)</f>
        <v>Băotă Qū</v>
      </c>
      <c r="N1016" s="13" t="str">
        <f>VLOOKUP(I1016,CHOOSE({1,2},Table11[Native],Table11[Name]),2,0)</f>
        <v>Yán'ān Shì</v>
      </c>
      <c r="O1016" s="13" t="str">
        <f t="shared" si="62"/>
        <v>Songshulin Xiang (Yán'ān Shì)</v>
      </c>
      <c r="P1016" s="13" t="str">
        <f t="shared" si="63"/>
        <v>Songshulin Xiang (Yán'ān Shì)</v>
      </c>
    </row>
    <row r="1017" spans="1:16" hidden="1" x14ac:dyDescent="0.25">
      <c r="A1017" t="s">
        <v>1612</v>
      </c>
      <c r="B1017" t="str">
        <f t="shared" si="60"/>
        <v>Sūcūn Zhèn</v>
      </c>
      <c r="C1017" t="str">
        <f t="shared" si="61"/>
        <v>Sūcūn Zhèn</v>
      </c>
      <c r="D1017" t="s">
        <v>1613</v>
      </c>
      <c r="E1017" t="s">
        <v>7</v>
      </c>
      <c r="F1017" t="str">
        <f>_xlfn.CONCAT(D1017,", ",H1017,", ",I1017,", ","陕西省")</f>
        <v>苏村镇, 大荔县, 渭南市, 陕西省</v>
      </c>
      <c r="G1017">
        <v>26916</v>
      </c>
      <c r="H1017" t="s">
        <v>3090</v>
      </c>
      <c r="I1017" t="s">
        <v>3087</v>
      </c>
      <c r="J1017">
        <f>VLOOKUP(F1017,[1]!china_towns_second__2[[Column1]:[Y]],3,FALSE)</f>
        <v>34.637220017184902</v>
      </c>
      <c r="K1017">
        <f>VLOOKUP(F1017,[1]!china_towns_second__2[[Column1]:[Y]],2,FALSE)</f>
        <v>109.86288380000001</v>
      </c>
      <c r="L1017" t="s">
        <v>5138</v>
      </c>
      <c r="M1017" t="str">
        <f>VLOOKUP(H1017,CHOOSE({1,2},Table11[Native],Table11[Name]),2,0)</f>
        <v>Dàlì Xiàn</v>
      </c>
      <c r="N1017" s="13" t="str">
        <f>VLOOKUP(I1017,CHOOSE({1,2},Table11[Native],Table11[Name]),2,0)</f>
        <v>Wèinán Shì</v>
      </c>
      <c r="O1017" s="13" t="str">
        <f t="shared" si="62"/>
        <v>Sucun Zhen (Wèinán Shì)</v>
      </c>
      <c r="P1017" s="13" t="str">
        <f t="shared" si="63"/>
        <v>Sucun Zhen (Wèinán Shì)</v>
      </c>
    </row>
    <row r="1018" spans="1:16" hidden="1" x14ac:dyDescent="0.25">
      <c r="A1018" t="s">
        <v>1614</v>
      </c>
      <c r="B1018" t="str">
        <f t="shared" si="60"/>
        <v>Sūfāng Zhèn (Wèinán Shì)</v>
      </c>
      <c r="C1018" t="str">
        <f t="shared" si="61"/>
        <v>Sūfāng Zhèn (Wèinán Shì)</v>
      </c>
      <c r="D1018" t="s">
        <v>1615</v>
      </c>
      <c r="E1018" t="s">
        <v>7</v>
      </c>
      <c r="F1018" t="str">
        <f>_xlfn.CONCAT(D1018,", ",H1018,", ",I1018,", ","陕西省")</f>
        <v>苏坊镇, 蒲城县, 渭南市, 陕西省</v>
      </c>
      <c r="G1018">
        <v>30659</v>
      </c>
      <c r="H1018" t="s">
        <v>3098</v>
      </c>
      <c r="I1018" t="s">
        <v>3087</v>
      </c>
      <c r="J1018">
        <f>VLOOKUP(F1018,[1]!china_towns_second__2[[Column1]:[Y]],3,FALSE)</f>
        <v>34.877497623372498</v>
      </c>
      <c r="K1018">
        <f>VLOOKUP(F1018,[1]!china_towns_second__2[[Column1]:[Y]],2,FALSE)</f>
        <v>109.38201859999999</v>
      </c>
      <c r="L1018" t="s">
        <v>5139</v>
      </c>
      <c r="M1018" t="str">
        <f>VLOOKUP(H1018,CHOOSE({1,2},Table11[Native],Table11[Name]),2,0)</f>
        <v>Púchéng Xiàn</v>
      </c>
      <c r="N1018" s="13" t="str">
        <f>VLOOKUP(I1018,CHOOSE({1,2},Table11[Native],Table11[Name]),2,0)</f>
        <v>Wèinán Shì</v>
      </c>
      <c r="O1018" s="13" t="str">
        <f t="shared" si="62"/>
        <v>Sufang Zhen (Weinan Shi) (Wèinán Shì)</v>
      </c>
      <c r="P1018" s="13" t="str">
        <f t="shared" si="63"/>
        <v>Sufang Zhen (Weinan Shi) (Wèinán Shì)</v>
      </c>
    </row>
    <row r="1019" spans="1:16" hidden="1" x14ac:dyDescent="0.25">
      <c r="A1019" t="s">
        <v>1614</v>
      </c>
      <c r="B1019" t="str">
        <f t="shared" si="60"/>
        <v>Sūfāng Zhèn (Xiányáng Shì)</v>
      </c>
      <c r="C1019" t="str">
        <f t="shared" si="61"/>
        <v>Sūfāng Zhèn (Xiányáng Shì)</v>
      </c>
      <c r="D1019" t="s">
        <v>1615</v>
      </c>
      <c r="E1019" t="s">
        <v>7</v>
      </c>
      <c r="F1019" t="str">
        <f>_xlfn.CONCAT(D1019,", ",H1019,", ",I1019,", ","陕西省")</f>
        <v>苏坊镇, 武功县, 咸阳市, 陕西省</v>
      </c>
      <c r="G1019">
        <v>26829</v>
      </c>
      <c r="H1019" t="s">
        <v>3127</v>
      </c>
      <c r="I1019" t="s">
        <v>3117</v>
      </c>
      <c r="J1019">
        <f>VLOOKUP(F1019,[1]!china_towns_second__2[[Column1]:[Y]],3,FALSE)</f>
        <v>34.393343650655602</v>
      </c>
      <c r="K1019">
        <f>VLOOKUP(F1019,[1]!china_towns_second__2[[Column1]:[Y]],2,FALSE)</f>
        <v>108.08867909999999</v>
      </c>
      <c r="L1019" t="s">
        <v>5140</v>
      </c>
      <c r="M1019" t="str">
        <f>VLOOKUP(H1019,CHOOSE({1,2},Table11[Native],Table11[Name]),2,0)</f>
        <v>Wŭgōng Xiàn</v>
      </c>
      <c r="N1019" s="13" t="str">
        <f>VLOOKUP(I1019,CHOOSE({1,2},Table11[Native],Table11[Name]),2,0)</f>
        <v>Xiányáng Shì</v>
      </c>
      <c r="O1019" s="13" t="str">
        <f t="shared" si="62"/>
        <v>Sufang Zhen (Xianyang Shi) (Xiányáng Shì)</v>
      </c>
      <c r="P1019" s="13" t="str">
        <f t="shared" si="63"/>
        <v>Sufang Zhen (Xianyang Shi) (Xiányáng Shì)</v>
      </c>
    </row>
    <row r="1020" spans="1:16" hidden="1" x14ac:dyDescent="0.25">
      <c r="A1020" t="s">
        <v>1616</v>
      </c>
      <c r="B1020" t="str">
        <f t="shared" si="60"/>
        <v>Sūn Zhèn [incl. Dōngchén Zhèn]</v>
      </c>
      <c r="C1020" t="str">
        <f t="shared" si="61"/>
        <v>Sūn Zhèn [incl. Dōngchén Zhèn]</v>
      </c>
      <c r="D1020" t="s">
        <v>1617</v>
      </c>
      <c r="E1020" t="s">
        <v>7</v>
      </c>
      <c r="F1020" t="str">
        <f>_xlfn.CONCAT(D1020,", ",H1020,", ",I1020,", ","陕西省")</f>
        <v>孙镇, 蒲城县, 渭南市, 陕西省</v>
      </c>
      <c r="G1020">
        <v>52193</v>
      </c>
      <c r="H1020" t="s">
        <v>3098</v>
      </c>
      <c r="I1020" t="s">
        <v>3087</v>
      </c>
      <c r="J1020">
        <f>VLOOKUP(F1020,[1]!china_towns_second__2[[Column1]:[Y]],3,FALSE)</f>
        <v>34.970408282197297</v>
      </c>
      <c r="K1020">
        <f>VLOOKUP(F1020,[1]!china_towns_second__2[[Column1]:[Y]],2,FALSE)</f>
        <v>109.7701678</v>
      </c>
      <c r="L1020" t="s">
        <v>5141</v>
      </c>
      <c r="M1020" t="str">
        <f>VLOOKUP(H1020,CHOOSE({1,2},Table11[Native],Table11[Name]),2,0)</f>
        <v>Púchéng Xiàn</v>
      </c>
      <c r="N1020" s="13" t="str">
        <f>VLOOKUP(I1020,CHOOSE({1,2},Table11[Native],Table11[Name]),2,0)</f>
        <v>Wèinán Shì</v>
      </c>
      <c r="O1020" s="13" t="str">
        <f t="shared" si="62"/>
        <v>Sun Zhen [incl. Dongchen Zhen] (Wèinán Shì)</v>
      </c>
      <c r="P1020" s="13" t="str">
        <f t="shared" si="63"/>
        <v>Sun Zhen [incl. Dongchen Zhen] (Wèinán Shì)</v>
      </c>
    </row>
    <row r="1021" spans="1:16" hidden="1" x14ac:dyDescent="0.25">
      <c r="A1021" t="s">
        <v>2895</v>
      </c>
      <c r="B1021" t="str">
        <f t="shared" si="60"/>
        <v>Sūnjiāchà Zhèn</v>
      </c>
      <c r="C1021" t="str">
        <f t="shared" si="61"/>
        <v>Sūnjiāchà Zhèn</v>
      </c>
      <c r="D1021" t="s">
        <v>2896</v>
      </c>
      <c r="E1021" t="s">
        <v>7</v>
      </c>
      <c r="F1021" t="str">
        <f>_xlfn.CONCAT(D1021,", ",H1021,", ",I1021,", ","陕西省")</f>
        <v>孙家岔镇, 神木市, 榆林市, 陕西省</v>
      </c>
      <c r="G1021">
        <v>19583</v>
      </c>
      <c r="H1021" t="s">
        <v>3156</v>
      </c>
      <c r="I1021" t="s">
        <v>3148</v>
      </c>
      <c r="J1021">
        <f>VLOOKUP(F1021,[1]!china_towns_second__2[[Column1]:[Y]],3,FALSE)</f>
        <v>39.103685652510201</v>
      </c>
      <c r="K1021">
        <f>VLOOKUP(F1021,[1]!china_towns_second__2[[Column1]:[Y]],2,FALSE)</f>
        <v>110.2638145</v>
      </c>
      <c r="L1021" t="s">
        <v>5142</v>
      </c>
      <c r="M1021" t="str">
        <f>VLOOKUP(H1021,CHOOSE({1,2},Table11[Native],Table11[Name]),2,0)</f>
        <v>Shénmù Shì</v>
      </c>
      <c r="N1021" s="13" t="str">
        <f>VLOOKUP(I1021,CHOOSE({1,2},Table11[Native],Table11[Name]),2,0)</f>
        <v>Yúlín Shì</v>
      </c>
      <c r="O1021" s="13" t="str">
        <f t="shared" si="62"/>
        <v>Sunjiacha Zhen (Yúlín Shì)</v>
      </c>
      <c r="P1021" s="13" t="str">
        <f t="shared" si="63"/>
        <v>Sunjiacha Zhen (Yúlín Shì)</v>
      </c>
    </row>
    <row r="1022" spans="1:16" hidden="1" x14ac:dyDescent="0.25">
      <c r="A1022" t="s">
        <v>907</v>
      </c>
      <c r="B1022" t="str">
        <f t="shared" si="60"/>
        <v>Sūnpíng Zhèn</v>
      </c>
      <c r="C1022" t="str">
        <f t="shared" si="61"/>
        <v>Sūnpíng Zhèn</v>
      </c>
      <c r="D1022" t="s">
        <v>908</v>
      </c>
      <c r="E1022" t="s">
        <v>7</v>
      </c>
      <c r="F1022" t="str">
        <f>_xlfn.CONCAT(D1022,", ",H1022,", ",I1022,", ","陕西省")</f>
        <v>孙坪镇, 城固县, 汉中市, 陕西省</v>
      </c>
      <c r="G1022">
        <v>7574</v>
      </c>
      <c r="H1022" t="s">
        <v>3060</v>
      </c>
      <c r="I1022" t="s">
        <v>3059</v>
      </c>
      <c r="J1022">
        <f>VLOOKUP(F1022,[1]!china_towns_second__2[[Column1]:[Y]],3,FALSE)</f>
        <v>32.972548000000003</v>
      </c>
      <c r="K1022">
        <f>VLOOKUP(F1022,[1]!china_towns_second__2[[Column1]:[Y]],2,FALSE)</f>
        <v>107.422494</v>
      </c>
      <c r="L1022" t="s">
        <v>5143</v>
      </c>
      <c r="M1022" t="str">
        <f>VLOOKUP(H1022,CHOOSE({1,2},Table11[Native],Table11[Name]),2,0)</f>
        <v>Chénggù Xiàn</v>
      </c>
      <c r="N1022" s="13" t="str">
        <f>VLOOKUP(I1022,CHOOSE({1,2},Table11[Native],Table11[Name]),2,0)</f>
        <v>Hànzhōng Shì</v>
      </c>
      <c r="O1022" s="13" t="str">
        <f t="shared" si="62"/>
        <v>Sunping Zhen (Hànzhōng Shì)</v>
      </c>
      <c r="P1022" s="13" t="str">
        <f t="shared" si="63"/>
        <v>Sunping Zhen (Hànzhōng Shì)</v>
      </c>
    </row>
    <row r="1023" spans="1:16" hidden="1" x14ac:dyDescent="0.25">
      <c r="A1023" t="s">
        <v>1333</v>
      </c>
      <c r="B1023" t="str">
        <f t="shared" si="60"/>
        <v>Sūnyuán Zhèn</v>
      </c>
      <c r="C1023" t="str">
        <f t="shared" si="61"/>
        <v>Sūnyuán Zhèn</v>
      </c>
      <c r="D1023" t="s">
        <v>1334</v>
      </c>
      <c r="E1023" t="s">
        <v>7</v>
      </c>
      <c r="F1023" t="str">
        <f>_xlfn.CONCAT(D1023,", ",H1023,", ",I1023,", ","陕西省")</f>
        <v>孙原镇, 耀州区, 铜川市, 陕西省</v>
      </c>
      <c r="G1023">
        <v>18791</v>
      </c>
      <c r="H1023" t="s">
        <v>3083</v>
      </c>
      <c r="I1023" t="s">
        <v>3081</v>
      </c>
      <c r="J1023">
        <f>VLOOKUP(F1023,[1]!china_towns_second__2[[Column1]:[Y]],3,FALSE)</f>
        <v>34.944437000000001</v>
      </c>
      <c r="K1023">
        <f>VLOOKUP(F1023,[1]!china_towns_second__2[[Column1]:[Y]],2,FALSE)</f>
        <v>109.02506</v>
      </c>
      <c r="L1023" t="s">
        <v>5144</v>
      </c>
      <c r="M1023" t="str">
        <f>VLOOKUP(H1023,CHOOSE({1,2},Table11[Native],Table11[Name]),2,0)</f>
        <v>Yàozhōu Qū</v>
      </c>
      <c r="N1023" s="13" t="str">
        <f>VLOOKUP(I1023,CHOOSE({1,2},Table11[Native],Table11[Name]),2,0)</f>
        <v>Tóngchuān Shì</v>
      </c>
      <c r="O1023" s="13" t="str">
        <f t="shared" si="62"/>
        <v>Sunyuan Zhen (Tóngchuān Shì)</v>
      </c>
      <c r="P1023" s="13" t="str">
        <f t="shared" si="63"/>
        <v>Sunyuan Zhen (Tóngchuān Shì)</v>
      </c>
    </row>
    <row r="1024" spans="1:16" hidden="1" x14ac:dyDescent="0.25">
      <c r="A1024" t="s">
        <v>1335</v>
      </c>
      <c r="B1024" t="str">
        <f t="shared" si="60"/>
        <v>Tài'ān Zhèn</v>
      </c>
      <c r="C1024" t="str">
        <f t="shared" si="61"/>
        <v>Tài'ān Zhèn</v>
      </c>
      <c r="D1024" t="s">
        <v>1336</v>
      </c>
      <c r="E1024" t="s">
        <v>7</v>
      </c>
      <c r="F1024" t="str">
        <f>_xlfn.CONCAT(D1024,", ",H1024,", ",I1024,", ","陕西省")</f>
        <v>太安镇, 宜君县, 铜川市, 陕西省</v>
      </c>
      <c r="G1024">
        <v>10201</v>
      </c>
      <c r="H1024" t="s">
        <v>3084</v>
      </c>
      <c r="I1024" t="s">
        <v>3081</v>
      </c>
      <c r="J1024">
        <f>VLOOKUP(F1024,[1]!china_towns_second__2[[Column1]:[Y]],3,FALSE)</f>
        <v>35.352895456383997</v>
      </c>
      <c r="K1024">
        <f>VLOOKUP(F1024,[1]!china_towns_second__2[[Column1]:[Y]],2,FALSE)</f>
        <v>109.0018858</v>
      </c>
      <c r="L1024" t="s">
        <v>5145</v>
      </c>
      <c r="M1024" t="str">
        <f>VLOOKUP(H1024,CHOOSE({1,2},Table11[Native],Table11[Name]),2,0)</f>
        <v>Yíjūn Xiàn</v>
      </c>
      <c r="N1024" s="13" t="str">
        <f>VLOOKUP(I1024,CHOOSE({1,2},Table11[Native],Table11[Name]),2,0)</f>
        <v>Tóngchuān Shì</v>
      </c>
      <c r="O1024" s="13" t="str">
        <f t="shared" si="62"/>
        <v>Tai'an Zhen (Tóngchuān Shì)</v>
      </c>
      <c r="P1024" s="13" t="str">
        <f t="shared" si="63"/>
        <v>Tai'an Zhen (Tóngchuān Shì)</v>
      </c>
    </row>
    <row r="1025" spans="1:16" hidden="1" x14ac:dyDescent="0.25">
      <c r="A1025" t="s">
        <v>541</v>
      </c>
      <c r="B1025" t="str">
        <f t="shared" si="60"/>
        <v>Tàibái Xiāng</v>
      </c>
      <c r="C1025" t="str">
        <f t="shared" si="61"/>
        <v>Tàibái Xiāng</v>
      </c>
      <c r="D1025" t="s">
        <v>542</v>
      </c>
      <c r="E1025" t="s">
        <v>11</v>
      </c>
      <c r="F1025" t="str">
        <f>_xlfn.CONCAT(D1025,", ",H1025,", ",I1025,", ","陕西省")</f>
        <v>太白乡, 扶风县, 宝鸡市, 陕西省</v>
      </c>
      <c r="G1025">
        <v>22037</v>
      </c>
      <c r="H1025" t="s">
        <v>3049</v>
      </c>
      <c r="I1025" t="s">
        <v>3045</v>
      </c>
      <c r="J1025" t="e">
        <f>VLOOKUP(F1025,[1]!china_towns_second__2[[Column1]:[Y]],3,FALSE)</f>
        <v>#N/A</v>
      </c>
      <c r="K1025" t="e">
        <f>VLOOKUP(F1025,[1]!china_towns_second__2[[Column1]:[Y]],2,FALSE)</f>
        <v>#N/A</v>
      </c>
      <c r="L1025" t="s">
        <v>5146</v>
      </c>
      <c r="M1025" t="str">
        <f>VLOOKUP(H1025,CHOOSE({1,2},Table11[Native],Table11[Name]),2,0)</f>
        <v>Fúfēng Xiàn</v>
      </c>
      <c r="N1025" s="13" t="str">
        <f>VLOOKUP(I1025,CHOOSE({1,2},Table11[Native],Table11[Name]),2,0)</f>
        <v>Băojī Shì</v>
      </c>
      <c r="O1025" s="13" t="str">
        <f t="shared" si="62"/>
        <v>Taibai Xiang (Băojī Shì)</v>
      </c>
      <c r="P1025" s="13" t="str">
        <f t="shared" si="63"/>
        <v>Taibai Xiang (Băojī Shì)</v>
      </c>
    </row>
    <row r="1026" spans="1:16" hidden="1" x14ac:dyDescent="0.25">
      <c r="A1026" t="s">
        <v>539</v>
      </c>
      <c r="B1026" t="str">
        <f t="shared" ref="B1026:B1089" si="64">IF(COUNTIF(A:A,A1026)&gt;1,_xlfn.CONCAT(A1026," (",N1026,")"),A1026)</f>
        <v>Tàibáihé Zhèn</v>
      </c>
      <c r="C1026" t="str">
        <f t="shared" ref="C1026:C1089" si="65">IF(COUNTIF(B:B,B1026)&gt;1,_xlfn.CONCAT(A1026," (",M1026,")"),B1026)</f>
        <v>Tàibáihé Zhèn</v>
      </c>
      <c r="D1026" t="s">
        <v>540</v>
      </c>
      <c r="E1026" t="s">
        <v>7</v>
      </c>
      <c r="F1026" t="str">
        <f>_xlfn.CONCAT(D1026,", ",H1026,", ",I1026,", ","陕西省")</f>
        <v>太白河镇, 太白县, 宝鸡市, 陕西省</v>
      </c>
      <c r="G1026">
        <v>2338</v>
      </c>
      <c r="H1026" t="s">
        <v>3056</v>
      </c>
      <c r="I1026" t="s">
        <v>3045</v>
      </c>
      <c r="J1026">
        <f>VLOOKUP(F1026,[1]!china_towns_second__2[[Column1]:[Y]],3,FALSE)</f>
        <v>33.849848966071001</v>
      </c>
      <c r="K1026">
        <f>VLOOKUP(F1026,[1]!china_towns_second__2[[Column1]:[Y]],2,FALSE)</f>
        <v>107.2488894</v>
      </c>
      <c r="L1026" t="s">
        <v>5147</v>
      </c>
      <c r="M1026" t="str">
        <f>VLOOKUP(H1026,CHOOSE({1,2},Table11[Native],Table11[Name]),2,0)</f>
        <v>Tàibái Xiàn</v>
      </c>
      <c r="N1026" s="13" t="str">
        <f>VLOOKUP(I1026,CHOOSE({1,2},Table11[Native],Table11[Name]),2,0)</f>
        <v>Băojī Shì</v>
      </c>
      <c r="O1026" s="13" t="str">
        <f t="shared" ref="O1026:O1089" si="66">_xlfn.CONCAT(L1026," (",N1026,")")</f>
        <v>Taibaihe Zhen (Băojī Shì)</v>
      </c>
      <c r="P1026" s="13" t="str">
        <f t="shared" ref="P1026:P1089" si="67">IF(COUNTIF(O:O,O1026)&gt;1,_xlfn.CONCAT(L1026," (",M1026,")"),O1026)</f>
        <v>Taibaihe Zhen (Băojī Shì)</v>
      </c>
    </row>
    <row r="1027" spans="1:16" hidden="1" x14ac:dyDescent="0.25">
      <c r="A1027" t="s">
        <v>1865</v>
      </c>
      <c r="B1027" t="str">
        <f t="shared" si="64"/>
        <v>Tàicūn Zhèn [incl. Chìdào Xiāng]</v>
      </c>
      <c r="C1027" t="str">
        <f t="shared" si="65"/>
        <v>Tàicūn Zhèn [incl. Chìdào Xiāng]</v>
      </c>
      <c r="D1027" t="s">
        <v>1866</v>
      </c>
      <c r="E1027" t="s">
        <v>7</v>
      </c>
      <c r="F1027" t="str">
        <f>_xlfn.CONCAT(D1027,", ",H1027,", ",I1027,", ","陕西省")</f>
        <v>太村镇, 旬邑县, 咸阳市, 陕西省</v>
      </c>
      <c r="G1027">
        <v>45436</v>
      </c>
      <c r="H1027" t="s">
        <v>3129</v>
      </c>
      <c r="I1027" t="s">
        <v>3117</v>
      </c>
      <c r="J1027">
        <f>VLOOKUP(F1027,[1]!china_towns_second__2[[Column1]:[Y]],3,FALSE)</f>
        <v>35.139160451925001</v>
      </c>
      <c r="K1027">
        <f>VLOOKUP(F1027,[1]!china_towns_second__2[[Column1]:[Y]],2,FALSE)</f>
        <v>108.28454069999999</v>
      </c>
      <c r="L1027" t="s">
        <v>5148</v>
      </c>
      <c r="M1027" t="str">
        <f>VLOOKUP(H1027,CHOOSE({1,2},Table11[Native],Table11[Name]),2,0)</f>
        <v>Xúnyì Xiàn</v>
      </c>
      <c r="N1027" s="13" t="str">
        <f>VLOOKUP(I1027,CHOOSE({1,2},Table11[Native],Table11[Name]),2,0)</f>
        <v>Xiányáng Shì</v>
      </c>
      <c r="O1027" s="13" t="str">
        <f t="shared" si="66"/>
        <v>Taicun Zhen [incl. Chidao Xiang] (Xiányáng Shì)</v>
      </c>
      <c r="P1027" s="13" t="str">
        <f t="shared" si="67"/>
        <v>Taicun Zhen [incl. Chidao Xiang] (Xiányáng Shì)</v>
      </c>
    </row>
    <row r="1028" spans="1:16" hidden="1" x14ac:dyDescent="0.25">
      <c r="A1028" t="s">
        <v>2897</v>
      </c>
      <c r="B1028" t="str">
        <f t="shared" si="64"/>
        <v>Tàihézhài Xiāng</v>
      </c>
      <c r="C1028" t="str">
        <f t="shared" si="65"/>
        <v>Tàihézhài Xiāng</v>
      </c>
      <c r="D1028" t="s">
        <v>2898</v>
      </c>
      <c r="E1028" t="s">
        <v>11</v>
      </c>
      <c r="F1028" t="str">
        <f>_xlfn.CONCAT(D1028,", ",H1028,", ",I1028,", ","陕西省")</f>
        <v>太和寨乡, 神木市, 榆林市, 陕西省</v>
      </c>
      <c r="G1028">
        <v>2022</v>
      </c>
      <c r="H1028" t="s">
        <v>3156</v>
      </c>
      <c r="I1028" t="s">
        <v>3148</v>
      </c>
      <c r="J1028" t="e">
        <f>VLOOKUP(F1028,[1]!china_towns_second__2[[Column1]:[Y]],3,FALSE)</f>
        <v>#N/A</v>
      </c>
      <c r="K1028" t="e">
        <f>VLOOKUP(F1028,[1]!china_towns_second__2[[Column1]:[Y]],2,FALSE)</f>
        <v>#N/A</v>
      </c>
      <c r="L1028" t="s">
        <v>5149</v>
      </c>
      <c r="M1028" t="str">
        <f>VLOOKUP(H1028,CHOOSE({1,2},Table11[Native],Table11[Name]),2,0)</f>
        <v>Shénmù Shì</v>
      </c>
      <c r="N1028" s="13" t="str">
        <f>VLOOKUP(I1028,CHOOSE({1,2},Table11[Native],Table11[Name]),2,0)</f>
        <v>Yúlín Shì</v>
      </c>
      <c r="O1028" s="13" t="str">
        <f t="shared" si="66"/>
        <v>Taihezhai Xiang (Yúlín Shì)</v>
      </c>
      <c r="P1028" s="13" t="str">
        <f t="shared" si="67"/>
        <v>Taihezhai Xiang (Yúlín Shì)</v>
      </c>
    </row>
    <row r="1029" spans="1:16" hidden="1" x14ac:dyDescent="0.25">
      <c r="A1029" t="s">
        <v>1618</v>
      </c>
      <c r="B1029" t="str">
        <f t="shared" si="64"/>
        <v>Tàihuálù Jiēdào (Wèinán Shì)</v>
      </c>
      <c r="C1029" t="str">
        <f t="shared" si="65"/>
        <v>Tàihuálù Jiēdào (Wèinán Shì)</v>
      </c>
      <c r="D1029" t="s">
        <v>1619</v>
      </c>
      <c r="E1029" t="s">
        <v>113</v>
      </c>
      <c r="F1029" t="str">
        <f>_xlfn.CONCAT(D1029,", ",H1029,", ",I1029,", ","陕西省")</f>
        <v>太华路街道, 华阴市, 渭南市, 陕西省</v>
      </c>
      <c r="G1029">
        <v>50591</v>
      </c>
      <c r="H1029" t="s">
        <v>3095</v>
      </c>
      <c r="I1029" t="s">
        <v>3087</v>
      </c>
      <c r="J1029">
        <f>VLOOKUP(F1029,[1]!china_towns_second__2[[Column1]:[Y]],3,FALSE)</f>
        <v>34.572478415841601</v>
      </c>
      <c r="K1029">
        <f>VLOOKUP(F1029,[1]!china_towns_second__2[[Column1]:[Y]],2,FALSE)</f>
        <v>110.06486270000001</v>
      </c>
      <c r="L1029" t="s">
        <v>5150</v>
      </c>
      <c r="M1029" t="str">
        <f>VLOOKUP(H1029,CHOOSE({1,2},Table11[Native],Table11[Name]),2,0)</f>
        <v>Huáyīn Shì</v>
      </c>
      <c r="N1029" s="13" t="str">
        <f>VLOOKUP(I1029,CHOOSE({1,2},Table11[Native],Table11[Name]),2,0)</f>
        <v>Wèinán Shì</v>
      </c>
      <c r="O1029" s="13" t="str">
        <f t="shared" si="66"/>
        <v>Taihualu Jiedao (Weinan Shi) (Wèinán Shì)</v>
      </c>
      <c r="P1029" s="13" t="str">
        <f t="shared" si="67"/>
        <v>Taihualu Jiedao (Weinan Shi) (Wèinán Shì)</v>
      </c>
    </row>
    <row r="1030" spans="1:16" hidden="1" x14ac:dyDescent="0.25">
      <c r="A1030" t="s">
        <v>1618</v>
      </c>
      <c r="B1030" t="str">
        <f t="shared" si="64"/>
        <v>Tàihuálù Jiēdào (Xī'ān Shì)</v>
      </c>
      <c r="C1030" t="str">
        <f t="shared" si="65"/>
        <v>Tàihuálù Jiēdào (Xī'ān Shì)</v>
      </c>
      <c r="D1030" t="s">
        <v>1619</v>
      </c>
      <c r="E1030" t="s">
        <v>113</v>
      </c>
      <c r="F1030" t="str">
        <f>_xlfn.CONCAT(D1030,", ",H1030,", ",I1030,", ","陕西省")</f>
        <v>太华路街道, 新城区, 西安市, 陕西省</v>
      </c>
      <c r="G1030">
        <v>71510</v>
      </c>
      <c r="H1030" t="s">
        <v>3112</v>
      </c>
      <c r="I1030" t="s">
        <v>3102</v>
      </c>
      <c r="J1030">
        <f>VLOOKUP(F1030,[1]!china_towns_second__2[[Column1]:[Y]],3,FALSE)</f>
        <v>34.289407347009202</v>
      </c>
      <c r="K1030">
        <f>VLOOKUP(F1030,[1]!china_towns_second__2[[Column1]:[Y]],2,FALSE)</f>
        <v>108.9751627</v>
      </c>
      <c r="L1030" t="s">
        <v>5151</v>
      </c>
      <c r="M1030" t="str">
        <f>VLOOKUP(H1030,CHOOSE({1,2},Table11[Native],Table11[Name]),2,0)</f>
        <v>Xīnchéng Qū</v>
      </c>
      <c r="N1030" s="13" t="str">
        <f>VLOOKUP(I1030,CHOOSE({1,2},Table11[Native],Table11[Name]),2,0)</f>
        <v>Xī'ān Shì</v>
      </c>
      <c r="O1030" s="13" t="str">
        <f t="shared" si="66"/>
        <v>Taihualu Jiedao (Xi'an Shi) (Xī'ān Shì)</v>
      </c>
      <c r="P1030" s="13" t="str">
        <f t="shared" si="67"/>
        <v>Taihualu Jiedao (Xi'an Shi) (Xī'ān Shì)</v>
      </c>
    </row>
    <row r="1031" spans="1:16" hidden="1" x14ac:dyDescent="0.25">
      <c r="A1031" t="s">
        <v>2194</v>
      </c>
      <c r="B1031" t="str">
        <f t="shared" si="64"/>
        <v>Tàipíng Zhèn</v>
      </c>
      <c r="C1031" t="str">
        <f t="shared" si="65"/>
        <v>Tàipíng Zhèn</v>
      </c>
      <c r="D1031" t="s">
        <v>2195</v>
      </c>
      <c r="E1031" t="s">
        <v>7</v>
      </c>
      <c r="F1031" t="str">
        <f>_xlfn.CONCAT(D1031,", ",H1031,", ",I1031,", ","陕西省")</f>
        <v>太平镇, 西咸新区, 西安市, 陕西省</v>
      </c>
      <c r="G1031">
        <v>27853</v>
      </c>
      <c r="H1031" t="s">
        <v>3167</v>
      </c>
      <c r="I1031" t="s">
        <v>3102</v>
      </c>
      <c r="J1031">
        <f>VLOOKUP(F1031,[1]!china_towns_second__2[[Column1]:[Y]],3,FALSE)</f>
        <v>34.505823819491397</v>
      </c>
      <c r="K1031">
        <f>VLOOKUP(F1031,[1]!china_towns_second__2[[Column1]:[Y]],2,FALSE)</f>
        <v>108.73047680000001</v>
      </c>
      <c r="L1031" t="s">
        <v>5152</v>
      </c>
      <c r="M1031" t="str">
        <f>VLOOKUP(H1031,CHOOSE({1,2},Table11[Native],Table11[Name]),2,0)</f>
        <v>Xīxián Xīnqū</v>
      </c>
      <c r="N1031" s="13" t="str">
        <f>VLOOKUP(I1031,CHOOSE({1,2},Table11[Native],Table11[Name]),2,0)</f>
        <v>Xī'ān Shì</v>
      </c>
      <c r="O1031" s="13" t="str">
        <f t="shared" si="66"/>
        <v>Taiping Zhen (Xī'ān Shì)</v>
      </c>
      <c r="P1031" s="13" t="str">
        <f t="shared" si="67"/>
        <v>Taiping Zhen (Xī'ān Shì)</v>
      </c>
    </row>
    <row r="1032" spans="1:16" hidden="1" x14ac:dyDescent="0.25">
      <c r="A1032" t="s">
        <v>231</v>
      </c>
      <c r="B1032" t="str">
        <f t="shared" si="64"/>
        <v>Tàishānmiào Zhèn</v>
      </c>
      <c r="C1032" t="str">
        <f t="shared" si="65"/>
        <v>Tàishānmiào Zhèn</v>
      </c>
      <c r="D1032" t="s">
        <v>232</v>
      </c>
      <c r="E1032" t="s">
        <v>7</v>
      </c>
      <c r="F1032" t="str">
        <f>_xlfn.CONCAT(D1032,", ",H1032,", ",I1032,", ","陕西省")</f>
        <v>太山庙镇, 宁陕县, 安康市, 陕西省</v>
      </c>
      <c r="G1032">
        <v>5194</v>
      </c>
      <c r="H1032" t="s">
        <v>3038</v>
      </c>
      <c r="I1032" t="s">
        <v>3031</v>
      </c>
      <c r="J1032">
        <f>VLOOKUP(F1032,[1]!china_towns_second__2[[Column1]:[Y]],3,FALSE)</f>
        <v>33.338655068348402</v>
      </c>
      <c r="K1032">
        <f>VLOOKUP(F1032,[1]!china_towns_second__2[[Column1]:[Y]],2,FALSE)</f>
        <v>108.55283729999999</v>
      </c>
      <c r="L1032" t="s">
        <v>5153</v>
      </c>
      <c r="M1032" t="str">
        <f>VLOOKUP(H1032,CHOOSE({1,2},Table11[Native],Table11[Name]),2,0)</f>
        <v>Níngshăn Xiàn</v>
      </c>
      <c r="N1032" s="13" t="str">
        <f>VLOOKUP(I1032,CHOOSE({1,2},Table11[Native],Table11[Name]),2,0)</f>
        <v>Ānkāng Shì</v>
      </c>
      <c r="O1032" s="13" t="str">
        <f t="shared" si="66"/>
        <v>Taishanmiao Zhen (Ānkāng Shì)</v>
      </c>
      <c r="P1032" s="13" t="str">
        <f t="shared" si="67"/>
        <v>Taishanmiao Zhen (Ānkāng Shì)</v>
      </c>
    </row>
    <row r="1033" spans="1:16" hidden="1" x14ac:dyDescent="0.25">
      <c r="A1033" t="s">
        <v>2522</v>
      </c>
      <c r="B1033" t="str">
        <f t="shared" si="64"/>
        <v>Tàixián Xiāng</v>
      </c>
      <c r="C1033" t="str">
        <f t="shared" si="65"/>
        <v>Tàixián Xiāng</v>
      </c>
      <c r="D1033" t="s">
        <v>2523</v>
      </c>
      <c r="E1033" t="s">
        <v>11</v>
      </c>
      <c r="F1033" t="str">
        <f>_xlfn.CONCAT(D1033,", ",H1033,", ",I1033,", ","陕西省")</f>
        <v>太贤乡, 黄陵县, 延安市, 陕西省</v>
      </c>
      <c r="G1033">
        <v>5453</v>
      </c>
      <c r="H1033" t="s">
        <v>3138</v>
      </c>
      <c r="I1033" t="s">
        <v>3133</v>
      </c>
      <c r="J1033" t="e">
        <f>VLOOKUP(F1033,[1]!china_towns_second__2[[Column1]:[Y]],3,FALSE)</f>
        <v>#N/A</v>
      </c>
      <c r="K1033" t="e">
        <f>VLOOKUP(F1033,[1]!china_towns_second__2[[Column1]:[Y]],2,FALSE)</f>
        <v>#N/A</v>
      </c>
      <c r="L1033" t="s">
        <v>5154</v>
      </c>
      <c r="M1033" t="str">
        <f>VLOOKUP(H1033,CHOOSE({1,2},Table11[Native],Table11[Name]),2,0)</f>
        <v>Huánglíng Xiàn</v>
      </c>
      <c r="N1033" s="13" t="str">
        <f>VLOOKUP(I1033,CHOOSE({1,2},Table11[Native],Table11[Name]),2,0)</f>
        <v>Yán'ān Shì</v>
      </c>
      <c r="O1033" s="13" t="str">
        <f t="shared" si="66"/>
        <v>Taixian Xiang (Yán'ān Shì)</v>
      </c>
      <c r="P1033" s="13" t="str">
        <f t="shared" si="67"/>
        <v>Taixian Xiang (Yán'ān Shì)</v>
      </c>
    </row>
    <row r="1034" spans="1:16" hidden="1" x14ac:dyDescent="0.25">
      <c r="A1034" t="s">
        <v>909</v>
      </c>
      <c r="B1034" t="str">
        <f t="shared" si="64"/>
        <v>Tàiyánglĭng Zhèn [incl. Cāngshè Xiāng]</v>
      </c>
      <c r="C1034" t="str">
        <f t="shared" si="65"/>
        <v>Tàiyánglĭng Zhèn [incl. Cāngshè Xiāng]</v>
      </c>
      <c r="D1034" t="s">
        <v>910</v>
      </c>
      <c r="E1034" t="s">
        <v>7</v>
      </c>
      <c r="F1034" t="str">
        <f>_xlfn.CONCAT(D1034,", ",H1034,", ",I1034,", ","陕西省")</f>
        <v>太阳岭镇, 宁强县, 汉中市, 陕西省</v>
      </c>
      <c r="G1034">
        <v>9920</v>
      </c>
      <c r="H1034" t="s">
        <v>3067</v>
      </c>
      <c r="I1034" t="s">
        <v>3059</v>
      </c>
      <c r="J1034">
        <f>VLOOKUP(F1034,[1]!china_towns_second__2[[Column1]:[Y]],3,FALSE)</f>
        <v>33.030752641684202</v>
      </c>
      <c r="K1034">
        <f>VLOOKUP(F1034,[1]!china_towns_second__2[[Column1]:[Y]],2,FALSE)</f>
        <v>105.98832229999999</v>
      </c>
      <c r="L1034" t="s">
        <v>5155</v>
      </c>
      <c r="M1034" t="str">
        <f>VLOOKUP(H1034,CHOOSE({1,2},Table11[Native],Table11[Name]),2,0)</f>
        <v>Níngqiáng Xiàn</v>
      </c>
      <c r="N1034" s="13" t="str">
        <f>VLOOKUP(I1034,CHOOSE({1,2},Table11[Native],Table11[Name]),2,0)</f>
        <v>Hànzhōng Shì</v>
      </c>
      <c r="O1034" s="13" t="str">
        <f t="shared" si="66"/>
        <v>Taiyangling Zhen [incl. Cangshe Xiang] (Hànzhōng Shì)</v>
      </c>
      <c r="P1034" s="13" t="str">
        <f t="shared" si="67"/>
        <v>Taiyangling Zhen [incl. Cangshe Xiang] (Hànzhōng Shì)</v>
      </c>
    </row>
    <row r="1035" spans="1:16" hidden="1" x14ac:dyDescent="0.25">
      <c r="A1035" t="s">
        <v>1620</v>
      </c>
      <c r="B1035" t="str">
        <f t="shared" si="64"/>
        <v>Tàiyào Zhèn</v>
      </c>
      <c r="C1035" t="str">
        <f t="shared" si="65"/>
        <v>Tàiyào Zhèn</v>
      </c>
      <c r="D1035" t="s">
        <v>1621</v>
      </c>
      <c r="E1035" t="s">
        <v>7</v>
      </c>
      <c r="F1035" t="str">
        <f>_xlfn.CONCAT(D1035,", ",H1035,", ",I1035,", ","陕西省")</f>
        <v>太要镇, 潼关县, 渭南市, 陕西省</v>
      </c>
      <c r="G1035">
        <v>25632</v>
      </c>
      <c r="H1035" t="s">
        <v>3099</v>
      </c>
      <c r="I1035" t="s">
        <v>3087</v>
      </c>
      <c r="J1035">
        <f>VLOOKUP(F1035,[1]!china_towns_second__2[[Column1]:[Y]],3,FALSE)</f>
        <v>34.463110538705699</v>
      </c>
      <c r="K1035">
        <f>VLOOKUP(F1035,[1]!china_towns_second__2[[Column1]:[Y]],2,FALSE)</f>
        <v>110.2879013</v>
      </c>
      <c r="L1035" t="s">
        <v>5156</v>
      </c>
      <c r="M1035" t="str">
        <f>VLOOKUP(H1035,CHOOSE({1,2},Table11[Native],Table11[Name]),2,0)</f>
        <v>Tóngguān Xiàn</v>
      </c>
      <c r="N1035" s="13" t="str">
        <f>VLOOKUP(I1035,CHOOSE({1,2},Table11[Native],Table11[Name]),2,0)</f>
        <v>Wèinán Shì</v>
      </c>
      <c r="O1035" s="13" t="str">
        <f t="shared" si="66"/>
        <v>Taiyao Zhen (Wèinán Shì)</v>
      </c>
      <c r="P1035" s="13" t="str">
        <f t="shared" si="67"/>
        <v>Taiyao Zhen (Wèinán Shì)</v>
      </c>
    </row>
    <row r="1036" spans="1:16" hidden="1" x14ac:dyDescent="0.25">
      <c r="A1036" t="s">
        <v>2196</v>
      </c>
      <c r="B1036" t="str">
        <f t="shared" si="64"/>
        <v>Tàiyĭgōng Jiēdào</v>
      </c>
      <c r="C1036" t="str">
        <f t="shared" si="65"/>
        <v>Tàiyĭgōng Jiēdào</v>
      </c>
      <c r="D1036" t="s">
        <v>2197</v>
      </c>
      <c r="E1036" t="s">
        <v>113</v>
      </c>
      <c r="F1036" t="str">
        <f>_xlfn.CONCAT(D1036,", ",H1036,", ",I1036,", ","陕西省")</f>
        <v>太乙宫街道, 长安区, 西安市, 陕西省</v>
      </c>
      <c r="G1036">
        <v>32976</v>
      </c>
      <c r="H1036" t="s">
        <v>3105</v>
      </c>
      <c r="I1036" t="s">
        <v>3102</v>
      </c>
      <c r="J1036">
        <f>VLOOKUP(F1036,[1]!china_towns_second__2[[Column1]:[Y]],3,FALSE)</f>
        <v>33.998277674971497</v>
      </c>
      <c r="K1036">
        <f>VLOOKUP(F1036,[1]!china_towns_second__2[[Column1]:[Y]],2,FALSE)</f>
        <v>109.0107314</v>
      </c>
      <c r="L1036" t="s">
        <v>5157</v>
      </c>
      <c r="M1036" t="str">
        <f>VLOOKUP(H1036,CHOOSE({1,2},Table11[Native],Table11[Name]),2,0)</f>
        <v>Cháng'ān Qū</v>
      </c>
      <c r="N1036" s="13" t="str">
        <f>VLOOKUP(I1036,CHOOSE({1,2},Table11[Native],Table11[Name]),2,0)</f>
        <v>Xī'ān Shì</v>
      </c>
      <c r="O1036" s="13" t="str">
        <f t="shared" si="66"/>
        <v>Taiyigong Jiedao (Xī'ān Shì)</v>
      </c>
      <c r="P1036" s="13" t="str">
        <f t="shared" si="67"/>
        <v>Taiyigong Jiedao (Xī'ān Shì)</v>
      </c>
    </row>
    <row r="1037" spans="1:16" hidden="1" x14ac:dyDescent="0.25">
      <c r="A1037" t="s">
        <v>2198</v>
      </c>
      <c r="B1037" t="str">
        <f t="shared" si="64"/>
        <v>Tàiyĭlù Jiēdào</v>
      </c>
      <c r="C1037" t="str">
        <f t="shared" si="65"/>
        <v>Tàiyĭlù Jiēdào</v>
      </c>
      <c r="D1037" t="s">
        <v>2199</v>
      </c>
      <c r="E1037" t="s">
        <v>113</v>
      </c>
      <c r="F1037" t="str">
        <f>_xlfn.CONCAT(D1037,", ",H1037,", ",I1037,", ","陕西省")</f>
        <v>太乙路街道, 碑林区, 西安市, 陕西省</v>
      </c>
      <c r="G1037">
        <v>121465</v>
      </c>
      <c r="H1037" t="s">
        <v>3104</v>
      </c>
      <c r="I1037" t="s">
        <v>3102</v>
      </c>
      <c r="J1037">
        <f>VLOOKUP(F1037,[1]!china_towns_second__2[[Column1]:[Y]],3,FALSE)</f>
        <v>34.244949908143603</v>
      </c>
      <c r="K1037">
        <f>VLOOKUP(F1037,[1]!china_towns_second__2[[Column1]:[Y]],2,FALSE)</f>
        <v>108.9774977</v>
      </c>
      <c r="L1037" t="s">
        <v>5158</v>
      </c>
      <c r="M1037" t="str">
        <f>VLOOKUP(H1037,CHOOSE({1,2},Table11[Native],Table11[Name]),2,0)</f>
        <v>Bēilín Qū</v>
      </c>
      <c r="N1037" s="13" t="str">
        <f>VLOOKUP(I1037,CHOOSE({1,2},Table11[Native],Table11[Name]),2,0)</f>
        <v>Xī'ān Shì</v>
      </c>
      <c r="O1037" s="13" t="str">
        <f t="shared" si="66"/>
        <v>Taiyilu Jiedao (Xī'ān Shì)</v>
      </c>
      <c r="P1037" s="13" t="str">
        <f t="shared" si="67"/>
        <v>Taiyilu Jiedao (Xī'ān Shì)</v>
      </c>
    </row>
    <row r="1038" spans="1:16" hidden="1" x14ac:dyDescent="0.25">
      <c r="A1038" t="s">
        <v>1867</v>
      </c>
      <c r="B1038" t="str">
        <f t="shared" si="64"/>
        <v>Tàiyù Zhèn</v>
      </c>
      <c r="C1038" t="str">
        <f t="shared" si="65"/>
        <v>Tàiyù Zhèn</v>
      </c>
      <c r="D1038" t="s">
        <v>1868</v>
      </c>
      <c r="E1038" t="s">
        <v>7</v>
      </c>
      <c r="F1038" t="str">
        <f>_xlfn.CONCAT(D1038,", ",H1038,", ",I1038,", ","陕西省")</f>
        <v>太峪镇, 彬州市, 咸阳市, 陕西省</v>
      </c>
      <c r="G1038">
        <v>11513</v>
      </c>
      <c r="H1038" t="s">
        <v>3118</v>
      </c>
      <c r="I1038" t="s">
        <v>3117</v>
      </c>
      <c r="J1038">
        <f>VLOOKUP(F1038,[1]!china_towns_second__2[[Column1]:[Y]],3,FALSE)</f>
        <v>34.956658587682298</v>
      </c>
      <c r="K1038">
        <f>VLOOKUP(F1038,[1]!china_towns_second__2[[Column1]:[Y]],2,FALSE)</f>
        <v>108.0852873</v>
      </c>
      <c r="L1038" t="s">
        <v>5159</v>
      </c>
      <c r="M1038" t="str">
        <f>VLOOKUP(H1038,CHOOSE({1,2},Table11[Native],Table11[Name]),2,0)</f>
        <v>Bīnzhōu Shì</v>
      </c>
      <c r="N1038" s="13" t="str">
        <f>VLOOKUP(I1038,CHOOSE({1,2},Table11[Native],Table11[Name]),2,0)</f>
        <v>Xiányáng Shì</v>
      </c>
      <c r="O1038" s="13" t="str">
        <f t="shared" si="66"/>
        <v>Taiyu Zhen (Xiányáng Shì)</v>
      </c>
      <c r="P1038" s="13" t="str">
        <f t="shared" si="67"/>
        <v>Taiyu Zhen (Xiányáng Shì)</v>
      </c>
    </row>
    <row r="1039" spans="1:16" hidden="1" x14ac:dyDescent="0.25">
      <c r="A1039" t="s">
        <v>233</v>
      </c>
      <c r="B1039" t="str">
        <f t="shared" si="64"/>
        <v>Tánbà Zhèn</v>
      </c>
      <c r="C1039" t="str">
        <f t="shared" si="65"/>
        <v>Tánbà Zhèn</v>
      </c>
      <c r="D1039" t="s">
        <v>234</v>
      </c>
      <c r="E1039" t="s">
        <v>7</v>
      </c>
      <c r="F1039" t="str">
        <f>_xlfn.CONCAT(D1039,", ",H1039,", ",I1039,", ","陕西省")</f>
        <v>谭坝镇, 汉滨区, 安康市, 陕西省</v>
      </c>
      <c r="G1039">
        <v>10962</v>
      </c>
      <c r="H1039" t="s">
        <v>3035</v>
      </c>
      <c r="I1039" t="s">
        <v>3031</v>
      </c>
      <c r="J1039">
        <f>VLOOKUP(F1039,[1]!china_towns_second__2[[Column1]:[Y]],3,FALSE)</f>
        <v>32.883432982318602</v>
      </c>
      <c r="K1039">
        <f>VLOOKUP(F1039,[1]!china_towns_second__2[[Column1]:[Y]],2,FALSE)</f>
        <v>108.9367645</v>
      </c>
      <c r="L1039" t="s">
        <v>5160</v>
      </c>
      <c r="M1039" t="str">
        <f>VLOOKUP(H1039,CHOOSE({1,2},Table11[Native],Table11[Name]),2,0)</f>
        <v>Hànbīn Qū</v>
      </c>
      <c r="N1039" s="13" t="str">
        <f>VLOOKUP(I1039,CHOOSE({1,2},Table11[Native],Table11[Name]),2,0)</f>
        <v>Ānkāng Shì</v>
      </c>
      <c r="O1039" s="13" t="str">
        <f t="shared" si="66"/>
        <v>Tanba Zhen (Ānkāng Shì)</v>
      </c>
      <c r="P1039" s="13" t="str">
        <f t="shared" si="67"/>
        <v>Tanba Zhen (Ānkāng Shì)</v>
      </c>
    </row>
    <row r="1040" spans="1:16" hidden="1" x14ac:dyDescent="0.25">
      <c r="A1040" t="s">
        <v>543</v>
      </c>
      <c r="B1040" t="str">
        <f t="shared" si="64"/>
        <v>Tángcūn Xiāng</v>
      </c>
      <c r="C1040" t="str">
        <f t="shared" si="65"/>
        <v>Tángcūn Xiāng</v>
      </c>
      <c r="D1040" t="s">
        <v>544</v>
      </c>
      <c r="E1040" t="s">
        <v>11</v>
      </c>
      <c r="F1040" t="str">
        <f>_xlfn.CONCAT(D1040,", ",H1040,", ",I1040,", ","陕西省")</f>
        <v>唐村乡, 凤翔区, 宝鸡市, 陕西省</v>
      </c>
      <c r="G1040">
        <v>24182</v>
      </c>
      <c r="H1040" t="s">
        <v>3048</v>
      </c>
      <c r="I1040" t="s">
        <v>3045</v>
      </c>
      <c r="J1040" t="e">
        <f>VLOOKUP(F1040,[1]!china_towns_second__2[[Column1]:[Y]],3,FALSE)</f>
        <v>#N/A</v>
      </c>
      <c r="K1040" t="e">
        <f>VLOOKUP(F1040,[1]!china_towns_second__2[[Column1]:[Y]],2,FALSE)</f>
        <v>#N/A</v>
      </c>
      <c r="L1040" t="s">
        <v>5161</v>
      </c>
      <c r="M1040" t="str">
        <f>VLOOKUP(H1040,CHOOSE({1,2},Table11[Native],Table11[Name]),2,0)</f>
        <v>Fèngxiáng Qū</v>
      </c>
      <c r="N1040" s="13" t="str">
        <f>VLOOKUP(I1040,CHOOSE({1,2},Table11[Native],Table11[Name]),2,0)</f>
        <v>Băojī Shì</v>
      </c>
      <c r="O1040" s="13" t="str">
        <f t="shared" si="66"/>
        <v>Tangcun Xiang (Băojī Shì)</v>
      </c>
      <c r="P1040" s="13" t="str">
        <f t="shared" si="67"/>
        <v>Tangcun Xiang (Băojī Shì)</v>
      </c>
    </row>
    <row r="1041" spans="1:16" hidden="1" x14ac:dyDescent="0.25">
      <c r="A1041" t="s">
        <v>1869</v>
      </c>
      <c r="B1041" t="str">
        <f t="shared" si="64"/>
        <v>Tāngfāng Zhèn</v>
      </c>
      <c r="C1041" t="str">
        <f t="shared" si="65"/>
        <v>Tāngfāng Zhèn</v>
      </c>
      <c r="D1041" t="s">
        <v>1870</v>
      </c>
      <c r="E1041" t="s">
        <v>7</v>
      </c>
      <c r="F1041" t="str">
        <f>_xlfn.CONCAT(D1041,", ",H1041,", ",I1041,", ","陕西省")</f>
        <v>汤坊镇, 兴平市, 咸阳市, 陕西省</v>
      </c>
      <c r="G1041">
        <v>26739</v>
      </c>
      <c r="H1041" t="s">
        <v>3128</v>
      </c>
      <c r="I1041" t="s">
        <v>3117</v>
      </c>
      <c r="J1041">
        <f>VLOOKUP(F1041,[1]!china_towns_second__2[[Column1]:[Y]],3,FALSE)</f>
        <v>34.234872719769001</v>
      </c>
      <c r="K1041">
        <f>VLOOKUP(F1041,[1]!china_towns_second__2[[Column1]:[Y]],2,FALSE)</f>
        <v>108.3686458</v>
      </c>
      <c r="L1041" t="s">
        <v>5162</v>
      </c>
      <c r="M1041" t="str">
        <f>VLOOKUP(H1041,CHOOSE({1,2},Table11[Native],Table11[Name]),2,0)</f>
        <v>Xīngpíng Shì</v>
      </c>
      <c r="N1041" s="13" t="str">
        <f>VLOOKUP(I1041,CHOOSE({1,2},Table11[Native],Table11[Name]),2,0)</f>
        <v>Xiányáng Shì</v>
      </c>
      <c r="O1041" s="13" t="str">
        <f t="shared" si="66"/>
        <v>Tangfang Zhen (Xiányáng Shì)</v>
      </c>
      <c r="P1041" s="13" t="str">
        <f t="shared" si="67"/>
        <v>Tangfang Zhen (Xiányáng Shì)</v>
      </c>
    </row>
    <row r="1042" spans="1:16" hidden="1" x14ac:dyDescent="0.25">
      <c r="A1042" t="s">
        <v>235</v>
      </c>
      <c r="B1042" t="str">
        <f t="shared" si="64"/>
        <v>Tāngpíng Zhèn</v>
      </c>
      <c r="C1042" t="str">
        <f t="shared" si="65"/>
        <v>Tāngpíng Zhèn</v>
      </c>
      <c r="D1042" t="s">
        <v>236</v>
      </c>
      <c r="E1042" t="s">
        <v>7</v>
      </c>
      <c r="F1042" t="str">
        <f>_xlfn.CONCAT(D1042,", ",H1042,", ",I1042,", ","陕西省")</f>
        <v>汤坪镇, 宁陕县, 安康市, 陕西省</v>
      </c>
      <c r="G1042">
        <v>5516</v>
      </c>
      <c r="H1042" t="s">
        <v>3038</v>
      </c>
      <c r="I1042" t="s">
        <v>3031</v>
      </c>
      <c r="J1042">
        <f>VLOOKUP(F1042,[1]!china_towns_second__2[[Column1]:[Y]],3,FALSE)</f>
        <v>33.319883500000003</v>
      </c>
      <c r="K1042">
        <f>VLOOKUP(F1042,[1]!china_towns_second__2[[Column1]:[Y]],2,FALSE)</f>
        <v>108.2411005</v>
      </c>
      <c r="L1042" t="s">
        <v>5163</v>
      </c>
      <c r="M1042" t="str">
        <f>VLOOKUP(H1042,CHOOSE({1,2},Table11[Native],Table11[Name]),2,0)</f>
        <v>Níngshăn Xiàn</v>
      </c>
      <c r="N1042" s="13" t="str">
        <f>VLOOKUP(I1042,CHOOSE({1,2},Table11[Native],Table11[Name]),2,0)</f>
        <v>Ānkāng Shì</v>
      </c>
      <c r="O1042" s="13" t="str">
        <f t="shared" si="66"/>
        <v>Tangping Zhen (Ānkāng Shì)</v>
      </c>
      <c r="P1042" s="13" t="str">
        <f t="shared" si="67"/>
        <v>Tangping Zhen (Ānkāng Shì)</v>
      </c>
    </row>
    <row r="1043" spans="1:16" hidden="1" x14ac:dyDescent="0.25">
      <c r="A1043" t="s">
        <v>545</v>
      </c>
      <c r="B1043" t="str">
        <f t="shared" si="64"/>
        <v>Tāngyù Zhèn</v>
      </c>
      <c r="C1043" t="str">
        <f t="shared" si="65"/>
        <v>Tāngyù Zhèn</v>
      </c>
      <c r="D1043" t="s">
        <v>546</v>
      </c>
      <c r="E1043" t="s">
        <v>7</v>
      </c>
      <c r="F1043" t="str">
        <f>_xlfn.CONCAT(D1043,", ",H1043,", ",I1043,", ","陕西省")</f>
        <v>汤峪镇, 眉县, 宝鸡市, 陕西省</v>
      </c>
      <c r="G1043">
        <v>36604</v>
      </c>
      <c r="H1043" t="s">
        <v>3053</v>
      </c>
      <c r="I1043" t="s">
        <v>3045</v>
      </c>
      <c r="J1043">
        <f>VLOOKUP(F1043,[1]!china_towns_second__2[[Column1]:[Y]],3,FALSE)</f>
        <v>34.087589382823097</v>
      </c>
      <c r="K1043">
        <f>VLOOKUP(F1043,[1]!china_towns_second__2[[Column1]:[Y]],2,FALSE)</f>
        <v>107.8485606</v>
      </c>
      <c r="L1043" t="s">
        <v>5164</v>
      </c>
      <c r="M1043" t="str">
        <f>VLOOKUP(H1043,CHOOSE({1,2},Table11[Native],Table11[Name]),2,0)</f>
        <v>Méi Xiàn</v>
      </c>
      <c r="N1043" s="13" t="str">
        <f>VLOOKUP(I1043,CHOOSE({1,2},Table11[Native],Table11[Name]),2,0)</f>
        <v>Băojī Shì</v>
      </c>
      <c r="O1043" s="13" t="str">
        <f t="shared" si="66"/>
        <v>Tangyu Zhen (Băojī Shì)</v>
      </c>
      <c r="P1043" s="13" t="str">
        <f t="shared" si="67"/>
        <v>Tangyu Zhen (Băojī Shì)</v>
      </c>
    </row>
    <row r="1044" spans="1:16" hidden="1" x14ac:dyDescent="0.25">
      <c r="A1044" t="s">
        <v>2200</v>
      </c>
      <c r="B1044" t="str">
        <f t="shared" si="64"/>
        <v>Tāngyù Zhèn [incl. Shĭjiāzhài Xiāng]</v>
      </c>
      <c r="C1044" t="str">
        <f t="shared" si="65"/>
        <v>Tāngyù Zhèn [incl. Shĭjiāzhài Xiāng]</v>
      </c>
      <c r="D1044" t="s">
        <v>546</v>
      </c>
      <c r="E1044" t="s">
        <v>7</v>
      </c>
      <c r="F1044" t="str">
        <f>_xlfn.CONCAT(D1044,", ",H1044,", ",I1044,", ","陕西省")</f>
        <v>汤峪镇, 蓝田县, 西安市, 陕西省</v>
      </c>
      <c r="G1044">
        <v>39919</v>
      </c>
      <c r="H1044" t="s">
        <v>3108</v>
      </c>
      <c r="I1044" t="s">
        <v>3102</v>
      </c>
      <c r="J1044">
        <f>VLOOKUP(F1044,[1]!china_towns_second__2[[Column1]:[Y]],3,FALSE)</f>
        <v>33.967273862921999</v>
      </c>
      <c r="K1044">
        <f>VLOOKUP(F1044,[1]!china_towns_second__2[[Column1]:[Y]],2,FALSE)</f>
        <v>109.23001379999999</v>
      </c>
      <c r="L1044" t="s">
        <v>5165</v>
      </c>
      <c r="M1044" t="str">
        <f>VLOOKUP(H1044,CHOOSE({1,2},Table11[Native],Table11[Name]),2,0)</f>
        <v>Lántián Xiàn</v>
      </c>
      <c r="N1044" s="13" t="str">
        <f>VLOOKUP(I1044,CHOOSE({1,2},Table11[Native],Table11[Name]),2,0)</f>
        <v>Xī'ān Shì</v>
      </c>
      <c r="O1044" s="13" t="str">
        <f t="shared" si="66"/>
        <v>Tangyu Zhen [incl. Shijiazhai Xiang] (Xī'ān Shì)</v>
      </c>
      <c r="P1044" s="13" t="str">
        <f t="shared" si="67"/>
        <v>Tangyu Zhen [incl. Shijiazhai Xiang] (Xī'ān Shì)</v>
      </c>
    </row>
    <row r="1045" spans="1:16" hidden="1" x14ac:dyDescent="0.25">
      <c r="A1045" t="s">
        <v>547</v>
      </c>
      <c r="B1045" t="str">
        <f t="shared" si="64"/>
        <v>Tángzàng Zhèn</v>
      </c>
      <c r="C1045" t="str">
        <f t="shared" si="65"/>
        <v>Tángzàng Zhèn</v>
      </c>
      <c r="D1045" t="s">
        <v>548</v>
      </c>
      <c r="E1045" t="s">
        <v>7</v>
      </c>
      <c r="F1045" t="str">
        <f>_xlfn.CONCAT(D1045,", ",H1045,", ",I1045,", ","陕西省")</f>
        <v>唐藏镇, 凤县, 宝鸡市, 陕西省</v>
      </c>
      <c r="G1045">
        <v>4720</v>
      </c>
      <c r="H1045" t="s">
        <v>3047</v>
      </c>
      <c r="I1045" t="s">
        <v>3045</v>
      </c>
      <c r="J1045">
        <f>VLOOKUP(F1045,[1]!china_towns_second__2[[Column1]:[Y]],3,FALSE)</f>
        <v>34.126848669932301</v>
      </c>
      <c r="K1045">
        <f>VLOOKUP(F1045,[1]!china_towns_second__2[[Column1]:[Y]],2,FALSE)</f>
        <v>106.60840779999999</v>
      </c>
      <c r="L1045" t="s">
        <v>5166</v>
      </c>
      <c r="M1045" t="str">
        <f>VLOOKUP(H1045,CHOOSE({1,2},Table11[Native],Table11[Name]),2,0)</f>
        <v>Fèng Xiàn</v>
      </c>
      <c r="N1045" s="13" t="str">
        <f>VLOOKUP(I1045,CHOOSE({1,2},Table11[Native],Table11[Name]),2,0)</f>
        <v>Băojī Shì</v>
      </c>
      <c r="O1045" s="13" t="str">
        <f t="shared" si="66"/>
        <v>Tangzang Zhen (Băojī Shì)</v>
      </c>
      <c r="P1045" s="13" t="str">
        <f t="shared" si="67"/>
        <v>Tangzang Zhen (Băojī Shì)</v>
      </c>
    </row>
    <row r="1046" spans="1:16" hidden="1" x14ac:dyDescent="0.25">
      <c r="A1046" t="s">
        <v>2201</v>
      </c>
      <c r="B1046" t="str">
        <f t="shared" si="64"/>
        <v>Tánjiā Jiēdào</v>
      </c>
      <c r="C1046" t="str">
        <f t="shared" si="65"/>
        <v>Tánjiā Jiēdào</v>
      </c>
      <c r="D1046" t="s">
        <v>2202</v>
      </c>
      <c r="E1046" t="s">
        <v>113</v>
      </c>
      <c r="F1046" t="str">
        <f>_xlfn.CONCAT(D1046,", ",H1046,", ",I1046,", ","陕西省")</f>
        <v>谭家街道, 未央区, 西安市, 陕西省</v>
      </c>
      <c r="G1046">
        <v>62690</v>
      </c>
      <c r="H1046" t="s">
        <v>3111</v>
      </c>
      <c r="I1046" t="s">
        <v>3102</v>
      </c>
      <c r="J1046">
        <f>VLOOKUP(F1046,[1]!china_towns_second__2[[Column1]:[Y]],3,FALSE)</f>
        <v>34.338358807362802</v>
      </c>
      <c r="K1046">
        <f>VLOOKUP(F1046,[1]!china_towns_second__2[[Column1]:[Y]],2,FALSE)</f>
        <v>108.98569430000001</v>
      </c>
      <c r="L1046" t="s">
        <v>5167</v>
      </c>
      <c r="M1046" t="str">
        <f>VLOOKUP(H1046,CHOOSE({1,2},Table11[Native],Table11[Name]),2,0)</f>
        <v>Wèiyāng Qū</v>
      </c>
      <c r="N1046" s="13" t="str">
        <f>VLOOKUP(I1046,CHOOSE({1,2},Table11[Native],Table11[Name]),2,0)</f>
        <v>Xī'ān Shì</v>
      </c>
      <c r="O1046" s="13" t="str">
        <f t="shared" si="66"/>
        <v>Tanjia Jiedao (Xī'ān Shì)</v>
      </c>
      <c r="P1046" s="13" t="str">
        <f t="shared" si="67"/>
        <v>Tanjia Jiedao (Xī'ān Shì)</v>
      </c>
    </row>
    <row r="1047" spans="1:16" hidden="1" x14ac:dyDescent="0.25">
      <c r="A1047" t="s">
        <v>2899</v>
      </c>
      <c r="B1047" t="str">
        <f t="shared" si="64"/>
        <v>Táo Zhèn</v>
      </c>
      <c r="C1047" t="str">
        <f t="shared" si="65"/>
        <v>Táo Zhèn</v>
      </c>
      <c r="D1047" t="s">
        <v>2900</v>
      </c>
      <c r="E1047" t="s">
        <v>7</v>
      </c>
      <c r="F1047" t="str">
        <f>_xlfn.CONCAT(D1047,", ",H1047,", ",I1047,", ","陕西省")</f>
        <v>桃镇, 米脂县, 榆林市, 陕西省</v>
      </c>
      <c r="G1047">
        <v>6698</v>
      </c>
      <c r="H1047" t="s">
        <v>3154</v>
      </c>
      <c r="I1047" t="s">
        <v>3148</v>
      </c>
      <c r="J1047">
        <f>VLOOKUP(F1047,[1]!china_towns_second__2[[Column1]:[Y]],3,FALSE)</f>
        <v>37.804845133873599</v>
      </c>
      <c r="K1047">
        <f>VLOOKUP(F1047,[1]!china_towns_second__2[[Column1]:[Y]],2,FALSE)</f>
        <v>110.39802349999999</v>
      </c>
      <c r="L1047" t="s">
        <v>5168</v>
      </c>
      <c r="M1047" t="str">
        <f>VLOOKUP(H1047,CHOOSE({1,2},Table11[Native],Table11[Name]),2,0)</f>
        <v>Mĭzhī Xiàn</v>
      </c>
      <c r="N1047" s="13" t="str">
        <f>VLOOKUP(I1047,CHOOSE({1,2},Table11[Native],Table11[Name]),2,0)</f>
        <v>Yúlín Shì</v>
      </c>
      <c r="O1047" s="13" t="str">
        <f t="shared" si="66"/>
        <v>Tao Zhen (Yúlín Shì)</v>
      </c>
      <c r="P1047" s="13" t="str">
        <f t="shared" si="67"/>
        <v>Tao Zhen (Yúlín Shì)</v>
      </c>
    </row>
    <row r="1048" spans="1:16" hidden="1" x14ac:dyDescent="0.25">
      <c r="A1048" t="s">
        <v>549</v>
      </c>
      <c r="B1048" t="str">
        <f t="shared" si="64"/>
        <v>Táochuān Zhèn</v>
      </c>
      <c r="C1048" t="str">
        <f t="shared" si="65"/>
        <v>Táochuān Zhèn</v>
      </c>
      <c r="D1048" t="s">
        <v>550</v>
      </c>
      <c r="E1048" t="s">
        <v>7</v>
      </c>
      <c r="F1048" t="str">
        <f>_xlfn.CONCAT(D1048,", ",H1048,", ",I1048,", ","陕西省")</f>
        <v>桃川镇, 太白县, 宝鸡市, 陕西省</v>
      </c>
      <c r="G1048">
        <v>6106</v>
      </c>
      <c r="H1048" t="s">
        <v>3056</v>
      </c>
      <c r="I1048" t="s">
        <v>3045</v>
      </c>
      <c r="J1048">
        <f>VLOOKUP(F1048,[1]!china_towns_second__2[[Column1]:[Y]],3,FALSE)</f>
        <v>34.0086810412852</v>
      </c>
      <c r="K1048">
        <f>VLOOKUP(F1048,[1]!china_towns_second__2[[Column1]:[Y]],2,FALSE)</f>
        <v>107.52592199999999</v>
      </c>
      <c r="L1048" t="s">
        <v>5169</v>
      </c>
      <c r="M1048" t="str">
        <f>VLOOKUP(H1048,CHOOSE({1,2},Table11[Native],Table11[Name]),2,0)</f>
        <v>Tàibái Xiàn</v>
      </c>
      <c r="N1048" s="13" t="str">
        <f>VLOOKUP(I1048,CHOOSE({1,2},Table11[Native],Table11[Name]),2,0)</f>
        <v>Băojī Shì</v>
      </c>
      <c r="O1048" s="13" t="str">
        <f t="shared" si="66"/>
        <v>Taochuan Zhen (Băojī Shì)</v>
      </c>
      <c r="P1048" s="13" t="str">
        <f t="shared" si="67"/>
        <v>Taochuan Zhen (Băojī Shì)</v>
      </c>
    </row>
    <row r="1049" spans="1:16" hidden="1" x14ac:dyDescent="0.25">
      <c r="A1049" t="s">
        <v>237</v>
      </c>
      <c r="B1049" t="str">
        <f t="shared" si="64"/>
        <v>Tāohé Zhèn</v>
      </c>
      <c r="C1049" t="str">
        <f t="shared" si="65"/>
        <v>Tāohé Zhèn</v>
      </c>
      <c r="D1049" t="s">
        <v>238</v>
      </c>
      <c r="E1049" t="s">
        <v>7</v>
      </c>
      <c r="F1049" t="str">
        <f>_xlfn.CONCAT(D1049,", ",H1049,", ",I1049,", ","陕西省")</f>
        <v>滔河镇, 岚皋县, 安康市, 陕西省</v>
      </c>
      <c r="G1049">
        <v>5902</v>
      </c>
      <c r="H1049" t="s">
        <v>3037</v>
      </c>
      <c r="I1049" t="s">
        <v>3031</v>
      </c>
      <c r="J1049">
        <f>VLOOKUP(F1049,[1]!china_towns_second__2[[Column1]:[Y]],3,FALSE)</f>
        <v>32.074916413048797</v>
      </c>
      <c r="K1049">
        <f>VLOOKUP(F1049,[1]!china_towns_second__2[[Column1]:[Y]],2,FALSE)</f>
        <v>108.9594721</v>
      </c>
      <c r="L1049" t="s">
        <v>5170</v>
      </c>
      <c r="M1049" t="str">
        <f>VLOOKUP(H1049,CHOOSE({1,2},Table11[Native],Table11[Name]),2,0)</f>
        <v>Lángāo Xiàn</v>
      </c>
      <c r="N1049" s="13" t="str">
        <f>VLOOKUP(I1049,CHOOSE({1,2},Table11[Native],Table11[Name]),2,0)</f>
        <v>Ānkāng Shì</v>
      </c>
      <c r="O1049" s="13" t="str">
        <f t="shared" si="66"/>
        <v>Taohe Zhen (Ānkāng Shì)</v>
      </c>
      <c r="P1049" s="13" t="str">
        <f t="shared" si="67"/>
        <v>Taohe Zhen (Ānkāng Shì)</v>
      </c>
    </row>
    <row r="1050" spans="1:16" hidden="1" x14ac:dyDescent="0.25">
      <c r="A1050" t="s">
        <v>1622</v>
      </c>
      <c r="B1050" t="str">
        <f t="shared" si="64"/>
        <v>Táoxià Zhèn</v>
      </c>
      <c r="C1050" t="str">
        <f t="shared" si="65"/>
        <v>Táoxià Zhèn</v>
      </c>
      <c r="D1050" t="s">
        <v>1623</v>
      </c>
      <c r="E1050" t="s">
        <v>7</v>
      </c>
      <c r="F1050" t="str">
        <f>_xlfn.CONCAT(D1050,", ",H1050,", ",I1050,", ","陕西省")</f>
        <v>桃下镇, 华阴市, 渭南市, 陕西省</v>
      </c>
      <c r="G1050">
        <v>26011</v>
      </c>
      <c r="H1050" t="s">
        <v>3095</v>
      </c>
      <c r="I1050" t="s">
        <v>3087</v>
      </c>
      <c r="J1050">
        <f>VLOOKUP(F1050,[1]!china_towns_second__2[[Column1]:[Y]],3,FALSE)</f>
        <v>34.543370000000003</v>
      </c>
      <c r="K1050">
        <f>VLOOKUP(F1050,[1]!china_towns_second__2[[Column1]:[Y]],2,FALSE)</f>
        <v>109.978387</v>
      </c>
      <c r="L1050" t="s">
        <v>5171</v>
      </c>
      <c r="M1050" t="str">
        <f>VLOOKUP(H1050,CHOOSE({1,2},Table11[Native],Table11[Name]),2,0)</f>
        <v>Huáyīn Shì</v>
      </c>
      <c r="N1050" s="13" t="str">
        <f>VLOOKUP(I1050,CHOOSE({1,2},Table11[Native],Table11[Name]),2,0)</f>
        <v>Wèinán Shì</v>
      </c>
      <c r="O1050" s="13" t="str">
        <f t="shared" si="66"/>
        <v>Taoxia Zhen (Wèinán Shì)</v>
      </c>
      <c r="P1050" s="13" t="str">
        <f t="shared" si="67"/>
        <v>Taoxia Zhen (Wèinán Shì)</v>
      </c>
    </row>
    <row r="1051" spans="1:16" hidden="1" x14ac:dyDescent="0.25">
      <c r="A1051" t="s">
        <v>1337</v>
      </c>
      <c r="B1051" t="str">
        <f t="shared" si="64"/>
        <v>Táoyuán Jiēdào</v>
      </c>
      <c r="C1051" t="str">
        <f t="shared" si="65"/>
        <v>Táoyuán Jiēdào</v>
      </c>
      <c r="D1051" t="s">
        <v>1338</v>
      </c>
      <c r="E1051" t="s">
        <v>113</v>
      </c>
      <c r="F1051" t="str">
        <f>_xlfn.CONCAT(D1051,", ",H1051,", ",I1051,", ","陕西省")</f>
        <v>桃园街道, 王益区, 铜川市, 陕西省</v>
      </c>
      <c r="G1051">
        <v>27529</v>
      </c>
      <c r="H1051" t="s">
        <v>3082</v>
      </c>
      <c r="I1051" t="s">
        <v>3081</v>
      </c>
      <c r="J1051">
        <f>VLOOKUP(F1051,[1]!china_towns_second__2[[Column1]:[Y]],3,FALSE)</f>
        <v>35.056783739351197</v>
      </c>
      <c r="K1051">
        <f>VLOOKUP(F1051,[1]!china_towns_second__2[[Column1]:[Y]],2,FALSE)</f>
        <v>109.0618451</v>
      </c>
      <c r="L1051" t="s">
        <v>5172</v>
      </c>
      <c r="M1051" t="str">
        <f>VLOOKUP(H1051,CHOOSE({1,2},Table11[Native],Table11[Name]),2,0)</f>
        <v>Wángyì Qū</v>
      </c>
      <c r="N1051" s="13" t="str">
        <f>VLOOKUP(I1051,CHOOSE({1,2},Table11[Native],Table11[Name]),2,0)</f>
        <v>Tóngchuān Shì</v>
      </c>
      <c r="O1051" s="13" t="str">
        <f t="shared" si="66"/>
        <v>Taoyuan Jiedao (Tóngchuān Shì)</v>
      </c>
      <c r="P1051" s="13" t="str">
        <f t="shared" si="67"/>
        <v>Taoyuan Jiedao (Tóngchuān Shì)</v>
      </c>
    </row>
    <row r="1052" spans="1:16" hidden="1" x14ac:dyDescent="0.25">
      <c r="A1052" t="s">
        <v>239</v>
      </c>
      <c r="B1052" t="str">
        <f t="shared" si="64"/>
        <v>Táoyuán Xiāng</v>
      </c>
      <c r="C1052" t="str">
        <f t="shared" si="65"/>
        <v>Táoyuán Xiāng</v>
      </c>
      <c r="D1052" t="s">
        <v>240</v>
      </c>
      <c r="E1052" t="s">
        <v>11</v>
      </c>
      <c r="F1052" t="str">
        <f>_xlfn.CONCAT(D1052,", ",H1052,", ",I1052,", ","陕西省")</f>
        <v>桃元乡, 白河县, 安康市, 陕西省</v>
      </c>
      <c r="G1052">
        <v>5396</v>
      </c>
      <c r="H1052" t="s">
        <v>3033</v>
      </c>
      <c r="I1052" t="s">
        <v>3031</v>
      </c>
      <c r="J1052" t="e">
        <f>VLOOKUP(F1052,[1]!china_towns_second__2[[Column1]:[Y]],3,FALSE)</f>
        <v>#N/A</v>
      </c>
      <c r="K1052" t="e">
        <f>VLOOKUP(F1052,[1]!china_towns_second__2[[Column1]:[Y]],2,FALSE)</f>
        <v>#N/A</v>
      </c>
      <c r="L1052" t="s">
        <v>5173</v>
      </c>
      <c r="M1052" t="str">
        <f>VLOOKUP(H1052,CHOOSE({1,2},Table11[Native],Table11[Name]),2,0)</f>
        <v>Báihé Xiàn</v>
      </c>
      <c r="N1052" s="13" t="str">
        <f>VLOOKUP(I1052,CHOOSE({1,2},Table11[Native],Table11[Name]),2,0)</f>
        <v>Ānkāng Shì</v>
      </c>
      <c r="O1052" s="13" t="str">
        <f t="shared" si="66"/>
        <v>Taoyuan Xiang (Ānkāng Shì)</v>
      </c>
      <c r="P1052" s="13" t="str">
        <f t="shared" si="67"/>
        <v>Taoyuan Xiang (Ānkāng Shì)</v>
      </c>
    </row>
    <row r="1053" spans="1:16" hidden="1" x14ac:dyDescent="0.25">
      <c r="A1053" t="s">
        <v>2203</v>
      </c>
      <c r="B1053" t="str">
        <f t="shared" si="64"/>
        <v>Táoyuánlù Jiēdào</v>
      </c>
      <c r="C1053" t="str">
        <f t="shared" si="65"/>
        <v>Táoyuánlù Jiēdào</v>
      </c>
      <c r="D1053" t="s">
        <v>2204</v>
      </c>
      <c r="E1053" t="s">
        <v>113</v>
      </c>
      <c r="F1053" t="str">
        <f>_xlfn.CONCAT(D1053,", ",H1053,", ",I1053,", ","陕西省")</f>
        <v>桃园路街道, 莲湖区, 西安市, 陕西省</v>
      </c>
      <c r="G1053">
        <v>106450</v>
      </c>
      <c r="H1053" t="s">
        <v>3109</v>
      </c>
      <c r="I1053" t="s">
        <v>3102</v>
      </c>
      <c r="J1053">
        <f>VLOOKUP(F1053,[1]!china_towns_second__2[[Column1]:[Y]],3,FALSE)</f>
        <v>34.272309765515601</v>
      </c>
      <c r="K1053">
        <f>VLOOKUP(F1053,[1]!china_towns_second__2[[Column1]:[Y]],2,FALSE)</f>
        <v>108.888244</v>
      </c>
      <c r="L1053" t="s">
        <v>5174</v>
      </c>
      <c r="M1053" t="str">
        <f>VLOOKUP(H1053,CHOOSE({1,2},Table11[Native],Table11[Name]),2,0)</f>
        <v>Liánhú Qū</v>
      </c>
      <c r="N1053" s="13" t="str">
        <f>VLOOKUP(I1053,CHOOSE({1,2},Table11[Native],Table11[Name]),2,0)</f>
        <v>Xī'ān Shì</v>
      </c>
      <c r="O1053" s="13" t="str">
        <f t="shared" si="66"/>
        <v>Taoyuanlu Jiedao (Xī'ān Shì)</v>
      </c>
      <c r="P1053" s="13" t="str">
        <f t="shared" si="67"/>
        <v>Taoyuanlu Jiedao (Xī'ān Shì)</v>
      </c>
    </row>
    <row r="1054" spans="1:16" hidden="1" x14ac:dyDescent="0.25">
      <c r="A1054" t="s">
        <v>2901</v>
      </c>
      <c r="B1054" t="str">
        <f t="shared" si="64"/>
        <v>Tăwān Zhèn</v>
      </c>
      <c r="C1054" t="str">
        <f t="shared" si="65"/>
        <v>Tăwān Zhèn</v>
      </c>
      <c r="D1054" t="s">
        <v>2902</v>
      </c>
      <c r="E1054" t="s">
        <v>7</v>
      </c>
      <c r="F1054" t="str">
        <f>_xlfn.CONCAT(D1054,", ",H1054,", ",I1054,", ","陕西省")</f>
        <v>塔湾镇, 横山区, 榆林市, 陕西省</v>
      </c>
      <c r="G1054">
        <v>8634</v>
      </c>
      <c r="H1054" t="s">
        <v>3151</v>
      </c>
      <c r="I1054" t="s">
        <v>3148</v>
      </c>
      <c r="J1054">
        <f>VLOOKUP(F1054,[1]!china_towns_second__2[[Column1]:[Y]],3,FALSE)</f>
        <v>37.6953013811166</v>
      </c>
      <c r="K1054">
        <f>VLOOKUP(F1054,[1]!china_towns_second__2[[Column1]:[Y]],2,FALSE)</f>
        <v>109.18239869999999</v>
      </c>
      <c r="L1054" t="s">
        <v>5175</v>
      </c>
      <c r="M1054" t="str">
        <f>VLOOKUP(H1054,CHOOSE({1,2},Table11[Native],Table11[Name]),2,0)</f>
        <v>Héngshān Qū</v>
      </c>
      <c r="N1054" s="13" t="str">
        <f>VLOOKUP(I1054,CHOOSE({1,2},Table11[Native],Table11[Name]),2,0)</f>
        <v>Yúlín Shì</v>
      </c>
      <c r="O1054" s="13" t="str">
        <f t="shared" si="66"/>
        <v>Tawan Zhen (Yúlín Shì)</v>
      </c>
      <c r="P1054" s="13" t="str">
        <f t="shared" si="67"/>
        <v>Tawan Zhen (Yúlín Shì)</v>
      </c>
    </row>
    <row r="1055" spans="1:16" hidden="1" x14ac:dyDescent="0.25">
      <c r="A1055" t="s">
        <v>911</v>
      </c>
      <c r="B1055" t="str">
        <f t="shared" si="64"/>
        <v>Tiánbà Xiāng</v>
      </c>
      <c r="C1055" t="str">
        <f t="shared" si="65"/>
        <v>Tiánbà Xiāng</v>
      </c>
      <c r="D1055" t="s">
        <v>242</v>
      </c>
      <c r="E1055" t="s">
        <v>11</v>
      </c>
      <c r="F1055" t="str">
        <f>_xlfn.CONCAT(D1055,", ",H1055,", ",I1055,", ","陕西省")</f>
        <v>田坝乡, 镇巴县, 汉中市, 陕西省</v>
      </c>
      <c r="G1055">
        <v>7227</v>
      </c>
      <c r="H1055" t="s">
        <v>3070</v>
      </c>
      <c r="I1055" t="s">
        <v>3059</v>
      </c>
      <c r="J1055" t="e">
        <f>VLOOKUP(F1055,[1]!china_towns_second__2[[Column1]:[Y]],3,FALSE)</f>
        <v>#N/A</v>
      </c>
      <c r="K1055" t="e">
        <f>VLOOKUP(F1055,[1]!china_towns_second__2[[Column1]:[Y]],2,FALSE)</f>
        <v>#N/A</v>
      </c>
      <c r="L1055" t="s">
        <v>5176</v>
      </c>
      <c r="M1055" t="str">
        <f>VLOOKUP(H1055,CHOOSE({1,2},Table11[Native],Table11[Name]),2,0)</f>
        <v>Zhènbā Xiàn</v>
      </c>
      <c r="N1055" s="13" t="str">
        <f>VLOOKUP(I1055,CHOOSE({1,2},Table11[Native],Table11[Name]),2,0)</f>
        <v>Hànzhōng Shì</v>
      </c>
      <c r="O1055" s="13" t="str">
        <f t="shared" si="66"/>
        <v>Tianba Xiang (Hànzhōng Shì)</v>
      </c>
      <c r="P1055" s="13" t="str">
        <f t="shared" si="67"/>
        <v>Tianba Xiang (Hànzhōng Shì)</v>
      </c>
    </row>
    <row r="1056" spans="1:16" hidden="1" x14ac:dyDescent="0.25">
      <c r="A1056" t="s">
        <v>241</v>
      </c>
      <c r="B1056" t="str">
        <f t="shared" si="64"/>
        <v>Tiánbà Xiāng [→ Jíhé Zhèn, Yànbà Zhèn]</v>
      </c>
      <c r="C1056" t="str">
        <f t="shared" si="65"/>
        <v>Tiánbà Xiāng [→ Jíhé Zhèn, Yànbà Zhèn]</v>
      </c>
      <c r="D1056" t="s">
        <v>242</v>
      </c>
      <c r="E1056" t="s">
        <v>11</v>
      </c>
      <c r="F1056" t="str">
        <f>_xlfn.CONCAT(D1056,", ",H1056,", ",I1056,", ","陕西省")</f>
        <v>田坝乡, 汉滨区, 安康市, 陕西省</v>
      </c>
      <c r="G1056">
        <v>9453</v>
      </c>
      <c r="H1056" t="s">
        <v>3035</v>
      </c>
      <c r="I1056" t="s">
        <v>3031</v>
      </c>
      <c r="J1056" t="e">
        <f>VLOOKUP(F1056,[1]!china_towns_second__2[[Column1]:[Y]],3,FALSE)</f>
        <v>#N/A</v>
      </c>
      <c r="K1056" t="e">
        <f>VLOOKUP(F1056,[1]!china_towns_second__2[[Column1]:[Y]],2,FALSE)</f>
        <v>#N/A</v>
      </c>
      <c r="L1056" t="s">
        <v>5177</v>
      </c>
      <c r="M1056" t="str">
        <f>VLOOKUP(H1056,CHOOSE({1,2},Table11[Native],Table11[Name]),2,0)</f>
        <v>Hànbīn Qū</v>
      </c>
      <c r="N1056" s="13" t="str">
        <f>VLOOKUP(I1056,CHOOSE({1,2},Table11[Native],Table11[Name]),2,0)</f>
        <v>Ānkāng Shì</v>
      </c>
      <c r="O1056" s="13" t="str">
        <f t="shared" si="66"/>
        <v>Tianba Xiang [→ Jihe Zhen, Yanba Zhen] (Ānkāng Shì)</v>
      </c>
      <c r="P1056" s="13" t="str">
        <f t="shared" si="67"/>
        <v>Tianba Xiang [→ Jihe Zhen, Yanba Zhen] (Ānkāng Shì)</v>
      </c>
    </row>
    <row r="1057" spans="1:16" hidden="1" x14ac:dyDescent="0.25">
      <c r="A1057" t="s">
        <v>1339</v>
      </c>
      <c r="B1057" t="str">
        <f t="shared" si="64"/>
        <v>Tiānbăolù Jiēdào</v>
      </c>
      <c r="C1057" t="str">
        <f t="shared" si="65"/>
        <v>Tiānbăolù Jiēdào</v>
      </c>
      <c r="D1057" t="s">
        <v>1340</v>
      </c>
      <c r="E1057" t="s">
        <v>113</v>
      </c>
      <c r="F1057" t="str">
        <f>_xlfn.CONCAT(D1057,", ",H1057,", ",I1057,", ","陕西省")</f>
        <v>天宝路街道, 耀州区, 铜川市, 陕西省</v>
      </c>
      <c r="G1057">
        <v>21642</v>
      </c>
      <c r="H1057" t="s">
        <v>3083</v>
      </c>
      <c r="I1057" t="s">
        <v>3081</v>
      </c>
      <c r="J1057">
        <f>VLOOKUP(F1057,[1]!china_towns_second__2[[Column1]:[Y]],3,FALSE)</f>
        <v>34.926661566007702</v>
      </c>
      <c r="K1057">
        <f>VLOOKUP(F1057,[1]!china_towns_second__2[[Column1]:[Y]],2,FALSE)</f>
        <v>108.9752651</v>
      </c>
      <c r="L1057" t="s">
        <v>5178</v>
      </c>
      <c r="M1057" t="str">
        <f>VLOOKUP(H1057,CHOOSE({1,2},Table11[Native],Table11[Name]),2,0)</f>
        <v>Yàozhōu Qū</v>
      </c>
      <c r="N1057" s="13" t="str">
        <f>VLOOKUP(I1057,CHOOSE({1,2},Table11[Native],Table11[Name]),2,0)</f>
        <v>Tóngchuān Shì</v>
      </c>
      <c r="O1057" s="13" t="str">
        <f t="shared" si="66"/>
        <v>Tianbaolu Jiedao (Tóngchuān Shì)</v>
      </c>
      <c r="P1057" s="13" t="str">
        <f t="shared" si="67"/>
        <v>Tianbaolu Jiedao (Tóngchuān Shì)</v>
      </c>
    </row>
    <row r="1058" spans="1:16" hidden="1" x14ac:dyDescent="0.25">
      <c r="A1058" t="s">
        <v>551</v>
      </c>
      <c r="B1058" t="str">
        <f t="shared" si="64"/>
        <v>Tiānchéng Zhèn</v>
      </c>
      <c r="C1058" t="str">
        <f t="shared" si="65"/>
        <v>Tiānchéng Zhèn</v>
      </c>
      <c r="D1058" t="s">
        <v>552</v>
      </c>
      <c r="E1058" t="s">
        <v>7</v>
      </c>
      <c r="F1058" t="str">
        <f>_xlfn.CONCAT(D1058,", ",H1058,", ",I1058,", ","陕西省")</f>
        <v>天成镇, 陇县, 宝鸡市, 陕西省</v>
      </c>
      <c r="G1058">
        <v>12641</v>
      </c>
      <c r="H1058" t="s">
        <v>3052</v>
      </c>
      <c r="I1058" t="s">
        <v>3045</v>
      </c>
      <c r="J1058">
        <f>VLOOKUP(F1058,[1]!china_towns_second__2[[Column1]:[Y]],3,FALSE)</f>
        <v>34.727828453830597</v>
      </c>
      <c r="K1058">
        <f>VLOOKUP(F1058,[1]!china_towns_second__2[[Column1]:[Y]],2,FALSE)</f>
        <v>106.6207994</v>
      </c>
      <c r="L1058" t="s">
        <v>5179</v>
      </c>
      <c r="M1058" t="str">
        <f>VLOOKUP(H1058,CHOOSE({1,2},Table11[Native],Table11[Name]),2,0)</f>
        <v>Lŏng Xiàn</v>
      </c>
      <c r="N1058" s="13" t="str">
        <f>VLOOKUP(I1058,CHOOSE({1,2},Table11[Native],Table11[Name]),2,0)</f>
        <v>Băojī Shì</v>
      </c>
      <c r="O1058" s="13" t="str">
        <f t="shared" si="66"/>
        <v>Tiancheng Zhen (Băojī Shì)</v>
      </c>
      <c r="P1058" s="13" t="str">
        <f t="shared" si="67"/>
        <v>Tiancheng Zhen (Băojī Shì)</v>
      </c>
    </row>
    <row r="1059" spans="1:16" hidden="1" x14ac:dyDescent="0.25">
      <c r="A1059" t="s">
        <v>2903</v>
      </c>
      <c r="B1059" t="str">
        <f t="shared" si="64"/>
        <v>Tiāncìwān Zhèn [incl. Qiáogōuwān Xiāng]</v>
      </c>
      <c r="C1059" t="str">
        <f t="shared" si="65"/>
        <v>Tiāncìwān Zhèn [incl. Qiáogōuwān Xiāng]</v>
      </c>
      <c r="D1059" t="s">
        <v>2904</v>
      </c>
      <c r="E1059" t="s">
        <v>7</v>
      </c>
      <c r="F1059" t="str">
        <f>_xlfn.CONCAT(D1059,", ",H1059,", ",I1059,", ","陕西省")</f>
        <v>天赐湾镇, 靖边县, 榆林市, 陕西省</v>
      </c>
      <c r="G1059">
        <v>6198</v>
      </c>
      <c r="H1059" t="s">
        <v>3153</v>
      </c>
      <c r="I1059" t="s">
        <v>3148</v>
      </c>
      <c r="J1059">
        <f>VLOOKUP(F1059,[1]!china_towns_second__2[[Column1]:[Y]],3,FALSE)</f>
        <v>37.384313486421298</v>
      </c>
      <c r="K1059">
        <f>VLOOKUP(F1059,[1]!china_towns_second__2[[Column1]:[Y]],2,FALSE)</f>
        <v>108.9044748</v>
      </c>
      <c r="L1059" t="s">
        <v>5180</v>
      </c>
      <c r="M1059" t="str">
        <f>VLOOKUP(H1059,CHOOSE({1,2},Table11[Native],Table11[Name]),2,0)</f>
        <v>Jìngbiān Xiàn</v>
      </c>
      <c r="N1059" s="13" t="str">
        <f>VLOOKUP(I1059,CHOOSE({1,2},Table11[Native],Table11[Name]),2,0)</f>
        <v>Yúlín Shì</v>
      </c>
      <c r="O1059" s="13" t="str">
        <f t="shared" si="66"/>
        <v>Tianciwan Zhen [incl. Qiaogouwan Xiang] (Yúlín Shì)</v>
      </c>
      <c r="P1059" s="13" t="str">
        <f t="shared" si="67"/>
        <v>Tianciwan Zhen [incl. Qiaogouwan Xiang] (Yúlín Shì)</v>
      </c>
    </row>
    <row r="1060" spans="1:16" hidden="1" x14ac:dyDescent="0.25">
      <c r="A1060" t="s">
        <v>553</v>
      </c>
      <c r="B1060" t="str">
        <f t="shared" si="64"/>
        <v>Tiāndù Zhèn</v>
      </c>
      <c r="C1060" t="str">
        <f t="shared" si="65"/>
        <v>Tiāndù Zhèn</v>
      </c>
      <c r="D1060" t="s">
        <v>554</v>
      </c>
      <c r="E1060" t="s">
        <v>7</v>
      </c>
      <c r="F1060" t="str">
        <f>_xlfn.CONCAT(D1060,", ",H1060,", ",I1060,", ","陕西省")</f>
        <v>天度镇, 扶风县, 宝鸡市, 陕西省</v>
      </c>
      <c r="G1060">
        <v>20948</v>
      </c>
      <c r="H1060" t="s">
        <v>3049</v>
      </c>
      <c r="I1060" t="s">
        <v>3045</v>
      </c>
      <c r="J1060">
        <f>VLOOKUP(F1060,[1]!china_towns_second__2[[Column1]:[Y]],3,FALSE)</f>
        <v>34.543829321247799</v>
      </c>
      <c r="K1060">
        <f>VLOOKUP(F1060,[1]!china_towns_second__2[[Column1]:[Y]],2,FALSE)</f>
        <v>107.935976</v>
      </c>
      <c r="L1060" t="s">
        <v>5181</v>
      </c>
      <c r="M1060" t="str">
        <f>VLOOKUP(H1060,CHOOSE({1,2},Table11[Native],Table11[Name]),2,0)</f>
        <v>Fúfēng Xiàn</v>
      </c>
      <c r="N1060" s="13" t="str">
        <f>VLOOKUP(I1060,CHOOSE({1,2},Table11[Native],Table11[Name]),2,0)</f>
        <v>Băojī Shì</v>
      </c>
      <c r="O1060" s="13" t="str">
        <f t="shared" si="66"/>
        <v>Tiandu Zhen (Băojī Shì)</v>
      </c>
      <c r="P1060" s="13" t="str">
        <f t="shared" si="67"/>
        <v>Tiandu Zhen (Băojī Shì)</v>
      </c>
    </row>
    <row r="1061" spans="1:16" hidden="1" x14ac:dyDescent="0.25">
      <c r="A1061" t="s">
        <v>243</v>
      </c>
      <c r="B1061" t="str">
        <f t="shared" si="64"/>
        <v>Tiánhé Xiāng</v>
      </c>
      <c r="C1061" t="str">
        <f t="shared" si="65"/>
        <v>Tiánhé Xiāng</v>
      </c>
      <c r="D1061" t="s">
        <v>244</v>
      </c>
      <c r="E1061" t="s">
        <v>11</v>
      </c>
      <c r="F1061" t="str">
        <f>_xlfn.CONCAT(D1061,", ",H1061,", ",I1061,", ","陕西省")</f>
        <v>田禾乡, 汉阴县, 安康市, 陕西省</v>
      </c>
      <c r="G1061">
        <v>4232</v>
      </c>
      <c r="H1061" t="s">
        <v>3036</v>
      </c>
      <c r="I1061" t="s">
        <v>3031</v>
      </c>
      <c r="J1061" t="e">
        <f>VLOOKUP(F1061,[1]!china_towns_second__2[[Column1]:[Y]],3,FALSE)</f>
        <v>#N/A</v>
      </c>
      <c r="K1061" t="e">
        <f>VLOOKUP(F1061,[1]!china_towns_second__2[[Column1]:[Y]],2,FALSE)</f>
        <v>#N/A</v>
      </c>
      <c r="L1061" t="s">
        <v>5182</v>
      </c>
      <c r="M1061" t="str">
        <f>VLOOKUP(H1061,CHOOSE({1,2},Table11[Native],Table11[Name]),2,0)</f>
        <v>Hànyīn Xiàn</v>
      </c>
      <c r="N1061" s="13" t="str">
        <f>VLOOKUP(I1061,CHOOSE({1,2},Table11[Native],Table11[Name]),2,0)</f>
        <v>Ānkāng Shì</v>
      </c>
      <c r="O1061" s="13" t="str">
        <f t="shared" si="66"/>
        <v>Tianhe Xiang (Ānkāng Shì)</v>
      </c>
      <c r="P1061" s="13" t="str">
        <f t="shared" si="67"/>
        <v>Tianhe Xiang (Ānkāng Shì)</v>
      </c>
    </row>
    <row r="1062" spans="1:16" hidden="1" x14ac:dyDescent="0.25">
      <c r="A1062" t="s">
        <v>2905</v>
      </c>
      <c r="B1062" t="str">
        <f t="shared" si="64"/>
        <v>Tiánjiāzhài Zhèn</v>
      </c>
      <c r="C1062" t="str">
        <f t="shared" si="65"/>
        <v>Tiánjiāzhài Zhèn</v>
      </c>
      <c r="D1062" t="s">
        <v>2906</v>
      </c>
      <c r="E1062" t="s">
        <v>7</v>
      </c>
      <c r="F1062" t="str">
        <f>_xlfn.CONCAT(D1062,", ",H1062,", ",I1062,", ","陕西省")</f>
        <v>田家寨镇, 府谷县, 榆林市, 陕西省</v>
      </c>
      <c r="G1062">
        <v>8861</v>
      </c>
      <c r="H1062" t="s">
        <v>3150</v>
      </c>
      <c r="I1062" t="s">
        <v>3148</v>
      </c>
      <c r="J1062">
        <f>VLOOKUP(F1062,[1]!china_towns_second__2[[Column1]:[Y]],3,FALSE)</f>
        <v>38.972733184242102</v>
      </c>
      <c r="K1062">
        <f>VLOOKUP(F1062,[1]!china_towns_second__2[[Column1]:[Y]],2,FALSE)</f>
        <v>110.7638068</v>
      </c>
      <c r="L1062" t="s">
        <v>5183</v>
      </c>
      <c r="M1062" t="str">
        <f>VLOOKUP(H1062,CHOOSE({1,2},Table11[Native],Table11[Name]),2,0)</f>
        <v>Fŭgŭ Xiàn</v>
      </c>
      <c r="N1062" s="13" t="str">
        <f>VLOOKUP(I1062,CHOOSE({1,2},Table11[Native],Table11[Name]),2,0)</f>
        <v>Yúlín Shì</v>
      </c>
      <c r="O1062" s="13" t="str">
        <f t="shared" si="66"/>
        <v>Tianjiazhai Zhen (Yúlín Shì)</v>
      </c>
      <c r="P1062" s="13" t="str">
        <f t="shared" si="67"/>
        <v>Tianjiazhai Zhen (Yúlín Shì)</v>
      </c>
    </row>
    <row r="1063" spans="1:16" hidden="1" x14ac:dyDescent="0.25">
      <c r="A1063" t="s">
        <v>555</v>
      </c>
      <c r="B1063" t="str">
        <f t="shared" si="64"/>
        <v>Tiánjiāzhuāng Zhèn</v>
      </c>
      <c r="C1063" t="str">
        <f t="shared" si="65"/>
        <v>Tiánjiāzhuāng Zhèn</v>
      </c>
      <c r="D1063" t="s">
        <v>556</v>
      </c>
      <c r="E1063" t="s">
        <v>7</v>
      </c>
      <c r="F1063" t="str">
        <f>_xlfn.CONCAT(D1063,", ",H1063,", ",I1063,", ","陕西省")</f>
        <v>田家庄镇, 凤翔区, 宝鸡市, 陕西省</v>
      </c>
      <c r="G1063">
        <v>22193</v>
      </c>
      <c r="H1063" t="s">
        <v>3048</v>
      </c>
      <c r="I1063" t="s">
        <v>3045</v>
      </c>
      <c r="J1063">
        <f>VLOOKUP(F1063,[1]!china_towns_second__2[[Column1]:[Y]],3,FALSE)</f>
        <v>34.513462453353</v>
      </c>
      <c r="K1063">
        <f>VLOOKUP(F1063,[1]!china_towns_second__2[[Column1]:[Y]],2,FALSE)</f>
        <v>107.4971539</v>
      </c>
      <c r="L1063" t="s">
        <v>5184</v>
      </c>
      <c r="M1063" t="str">
        <f>VLOOKUP(H1063,CHOOSE({1,2},Table11[Native],Table11[Name]),2,0)</f>
        <v>Fèngxiáng Qū</v>
      </c>
      <c r="N1063" s="13" t="str">
        <f>VLOOKUP(I1063,CHOOSE({1,2},Table11[Native],Table11[Name]),2,0)</f>
        <v>Băojī Shì</v>
      </c>
      <c r="O1063" s="13" t="str">
        <f t="shared" si="66"/>
        <v>Tianjiazhuang Zhen (Băojī Shì)</v>
      </c>
      <c r="P1063" s="13" t="str">
        <f t="shared" si="67"/>
        <v>Tianjiazhuang Zhen (Băojī Shì)</v>
      </c>
    </row>
    <row r="1064" spans="1:16" hidden="1" x14ac:dyDescent="0.25">
      <c r="A1064" t="s">
        <v>912</v>
      </c>
      <c r="B1064" t="str">
        <f t="shared" si="64"/>
        <v>Tiānmíng Zhèn</v>
      </c>
      <c r="C1064" t="str">
        <f t="shared" si="65"/>
        <v>Tiānmíng Zhèn</v>
      </c>
      <c r="D1064" t="s">
        <v>913</v>
      </c>
      <c r="E1064" t="s">
        <v>7</v>
      </c>
      <c r="F1064" t="str">
        <f>_xlfn.CONCAT(D1064,", ",H1064,", ",I1064,", ","陕西省")</f>
        <v>天明镇, 城固县, 汉中市, 陕西省</v>
      </c>
      <c r="G1064">
        <v>18434</v>
      </c>
      <c r="H1064" t="s">
        <v>3060</v>
      </c>
      <c r="I1064" t="s">
        <v>3059</v>
      </c>
      <c r="J1064">
        <f>VLOOKUP(F1064,[1]!china_towns_second__2[[Column1]:[Y]],3,FALSE)</f>
        <v>32.972663114436699</v>
      </c>
      <c r="K1064">
        <f>VLOOKUP(F1064,[1]!china_towns_second__2[[Column1]:[Y]],2,FALSE)</f>
        <v>107.2966431</v>
      </c>
      <c r="L1064" t="s">
        <v>5185</v>
      </c>
      <c r="M1064" t="str">
        <f>VLOOKUP(H1064,CHOOSE({1,2},Table11[Native],Table11[Name]),2,0)</f>
        <v>Chénggù Xiàn</v>
      </c>
      <c r="N1064" s="13" t="str">
        <f>VLOOKUP(I1064,CHOOSE({1,2},Table11[Native],Table11[Name]),2,0)</f>
        <v>Hànzhōng Shì</v>
      </c>
      <c r="O1064" s="13" t="str">
        <f t="shared" si="66"/>
        <v>Tianming Zhen (Hànzhōng Shì)</v>
      </c>
      <c r="P1064" s="13" t="str">
        <f t="shared" si="67"/>
        <v>Tianming Zhen (Hànzhōng Shì)</v>
      </c>
    </row>
    <row r="1065" spans="1:16" hidden="1" x14ac:dyDescent="0.25">
      <c r="A1065" t="s">
        <v>1624</v>
      </c>
      <c r="B1065" t="str">
        <f t="shared" si="64"/>
        <v>Tiánshì Zhèn</v>
      </c>
      <c r="C1065" t="str">
        <f t="shared" si="65"/>
        <v>Tiánshì Zhèn</v>
      </c>
      <c r="D1065" t="s">
        <v>1625</v>
      </c>
      <c r="E1065" t="s">
        <v>7</v>
      </c>
      <c r="F1065" t="str">
        <f>_xlfn.CONCAT(D1065,", ",H1065,", ",I1065,", ","陕西省")</f>
        <v>田市镇, 临渭区, 渭南市, 陕西省</v>
      </c>
      <c r="G1065">
        <v>21795</v>
      </c>
      <c r="H1065" t="s">
        <v>3097</v>
      </c>
      <c r="I1065" t="s">
        <v>3087</v>
      </c>
      <c r="J1065">
        <f>VLOOKUP(F1065,[1]!china_towns_second__2[[Column1]:[Y]],3,FALSE)</f>
        <v>34.619994300000002</v>
      </c>
      <c r="K1065">
        <f>VLOOKUP(F1065,[1]!china_towns_second__2[[Column1]:[Y]],2,FALSE)</f>
        <v>109.4309299</v>
      </c>
      <c r="L1065" t="s">
        <v>5186</v>
      </c>
      <c r="M1065" t="str">
        <f>VLOOKUP(H1065,CHOOSE({1,2},Table11[Native],Table11[Name]),2,0)</f>
        <v>Línwèi Qū</v>
      </c>
      <c r="N1065" s="13" t="str">
        <f>VLOOKUP(I1065,CHOOSE({1,2},Table11[Native],Table11[Name]),2,0)</f>
        <v>Wèinán Shì</v>
      </c>
      <c r="O1065" s="13" t="str">
        <f t="shared" si="66"/>
        <v>Tianshi Zhen (Wèinán Shì)</v>
      </c>
      <c r="P1065" s="13" t="str">
        <f t="shared" si="67"/>
        <v>Tianshi Zhen (Wèinán Shì)</v>
      </c>
    </row>
    <row r="1066" spans="1:16" hidden="1" x14ac:dyDescent="0.25">
      <c r="A1066" t="s">
        <v>557</v>
      </c>
      <c r="B1066" t="str">
        <f t="shared" si="64"/>
        <v>Tiāntáng Zhèn</v>
      </c>
      <c r="C1066" t="str">
        <f t="shared" si="65"/>
        <v>Tiāntáng Zhèn</v>
      </c>
      <c r="D1066" t="s">
        <v>558</v>
      </c>
      <c r="E1066" t="s">
        <v>7</v>
      </c>
      <c r="F1066" t="str">
        <f>_xlfn.CONCAT(D1066,", ",H1066,", ",I1066,", ","陕西省")</f>
        <v>天堂镇, 麟游县, 宝鸡市, 陕西省</v>
      </c>
      <c r="G1066">
        <v>5908</v>
      </c>
      <c r="H1066" t="s">
        <v>3051</v>
      </c>
      <c r="I1066" t="s">
        <v>3045</v>
      </c>
      <c r="J1066">
        <f>VLOOKUP(F1066,[1]!china_towns_second__2[[Column1]:[Y]],3,FALSE)</f>
        <v>34.921764899999999</v>
      </c>
      <c r="K1066">
        <f>VLOOKUP(F1066,[1]!china_towns_second__2[[Column1]:[Y]],2,FALSE)</f>
        <v>107.5515151</v>
      </c>
      <c r="L1066" t="s">
        <v>5187</v>
      </c>
      <c r="M1066" t="str">
        <f>VLOOKUP(H1066,CHOOSE({1,2},Table11[Native],Table11[Name]),2,0)</f>
        <v>Línyóu Xiàn</v>
      </c>
      <c r="N1066" s="13" t="str">
        <f>VLOOKUP(I1066,CHOOSE({1,2},Table11[Native],Table11[Name]),2,0)</f>
        <v>Băojī Shì</v>
      </c>
      <c r="O1066" s="13" t="str">
        <f t="shared" si="66"/>
        <v>Tiantang Zhen (Băojī Shì)</v>
      </c>
      <c r="P1066" s="13" t="str">
        <f t="shared" si="67"/>
        <v>Tiantang Zhen (Băojī Shì)</v>
      </c>
    </row>
    <row r="1067" spans="1:16" hidden="1" x14ac:dyDescent="0.25">
      <c r="A1067" t="s">
        <v>559</v>
      </c>
      <c r="B1067" t="str">
        <f t="shared" si="64"/>
        <v>Tiānwáng Zhèn</v>
      </c>
      <c r="C1067" t="str">
        <f t="shared" si="65"/>
        <v>Tiānwáng Zhèn</v>
      </c>
      <c r="D1067" t="s">
        <v>560</v>
      </c>
      <c r="E1067" t="s">
        <v>7</v>
      </c>
      <c r="F1067" t="str">
        <f>_xlfn.CONCAT(D1067,", ",H1067,", ",I1067,", ","陕西省")</f>
        <v>天王镇, 陈仓区, 宝鸡市, 陕西省</v>
      </c>
      <c r="G1067">
        <v>31365</v>
      </c>
      <c r="H1067" t="s">
        <v>3046</v>
      </c>
      <c r="I1067" t="s">
        <v>3045</v>
      </c>
      <c r="J1067">
        <f>VLOOKUP(F1067,[1]!china_towns_second__2[[Column1]:[Y]],3,FALSE)</f>
        <v>34.230786768747997</v>
      </c>
      <c r="K1067">
        <f>VLOOKUP(F1067,[1]!china_towns_second__2[[Column1]:[Y]],2,FALSE)</f>
        <v>107.4448893</v>
      </c>
      <c r="L1067" t="s">
        <v>5188</v>
      </c>
      <c r="M1067" t="str">
        <f>VLOOKUP(H1067,CHOOSE({1,2},Table11[Native],Table11[Name]),2,0)</f>
        <v>Chéncāng Qū</v>
      </c>
      <c r="N1067" s="13" t="str">
        <f>VLOOKUP(I1067,CHOOSE({1,2},Table11[Native],Table11[Name]),2,0)</f>
        <v>Băojī Shì</v>
      </c>
      <c r="O1067" s="13" t="str">
        <f t="shared" si="66"/>
        <v>Tianwang Zhen (Băojī Shì)</v>
      </c>
      <c r="P1067" s="13" t="str">
        <f t="shared" si="67"/>
        <v>Tianwang Zhen (Băojī Shì)</v>
      </c>
    </row>
    <row r="1068" spans="1:16" hidden="1" x14ac:dyDescent="0.25">
      <c r="A1068" t="s">
        <v>2907</v>
      </c>
      <c r="B1068" t="str">
        <f t="shared" si="64"/>
        <v>Tiánzhuāng Zhèn</v>
      </c>
      <c r="C1068" t="str">
        <f t="shared" si="65"/>
        <v>Tiánzhuāng Zhèn</v>
      </c>
      <c r="D1068" t="s">
        <v>2525</v>
      </c>
      <c r="E1068" t="s">
        <v>7</v>
      </c>
      <c r="F1068" t="str">
        <f>_xlfn.CONCAT(D1068,", ",H1068,", ",I1068,", ","陕西省")</f>
        <v>田庄镇, 绥德县, 榆林市, 陕西省</v>
      </c>
      <c r="G1068">
        <v>10331</v>
      </c>
      <c r="H1068" t="s">
        <v>3157</v>
      </c>
      <c r="I1068" t="s">
        <v>3148</v>
      </c>
      <c r="J1068">
        <f>VLOOKUP(F1068,[1]!china_towns_second__2[[Column1]:[Y]],3,FALSE)</f>
        <v>37.433546143837901</v>
      </c>
      <c r="K1068">
        <f>VLOOKUP(F1068,[1]!china_towns_second__2[[Column1]:[Y]],2,FALSE)</f>
        <v>110.18284180000001</v>
      </c>
      <c r="L1068" t="s">
        <v>5189</v>
      </c>
      <c r="M1068" t="str">
        <f>VLOOKUP(H1068,CHOOSE({1,2},Table11[Native],Table11[Name]),2,0)</f>
        <v>Suídé Xiàn</v>
      </c>
      <c r="N1068" s="13" t="str">
        <f>VLOOKUP(I1068,CHOOSE({1,2},Table11[Native],Table11[Name]),2,0)</f>
        <v>Yúlín Shì</v>
      </c>
      <c r="O1068" s="13" t="str">
        <f t="shared" si="66"/>
        <v>Tianzhuang Zhen (Yúlín Shì)</v>
      </c>
      <c r="P1068" s="13" t="str">
        <f t="shared" si="67"/>
        <v>Tianzhuang Zhen (Yúlín Shì)</v>
      </c>
    </row>
    <row r="1069" spans="1:16" hidden="1" x14ac:dyDescent="0.25">
      <c r="A1069" t="s">
        <v>2524</v>
      </c>
      <c r="B1069" t="str">
        <f t="shared" si="64"/>
        <v>Tiánzhuāng Zhèn [incl. Hòuzhuāng Xiāng]</v>
      </c>
      <c r="C1069" t="str">
        <f t="shared" si="65"/>
        <v>Tiánzhuāng Zhèn [incl. Hòuzhuāng Xiāng]</v>
      </c>
      <c r="D1069" t="s">
        <v>2525</v>
      </c>
      <c r="E1069" t="s">
        <v>7</v>
      </c>
      <c r="F1069" t="str">
        <f>_xlfn.CONCAT(D1069,", ",H1069,", ",I1069,", ","陕西省")</f>
        <v>田庄镇, 黄陵县, 延安市, 陕西省</v>
      </c>
      <c r="G1069">
        <v>10592</v>
      </c>
      <c r="H1069" t="s">
        <v>3138</v>
      </c>
      <c r="I1069" t="s">
        <v>3133</v>
      </c>
      <c r="J1069">
        <f>VLOOKUP(F1069,[1]!china_towns_second__2[[Column1]:[Y]],3,FALSE)</f>
        <v>35.543443262314803</v>
      </c>
      <c r="K1069">
        <f>VLOOKUP(F1069,[1]!china_towns_second__2[[Column1]:[Y]],2,FALSE)</f>
        <v>109.3382737</v>
      </c>
      <c r="L1069" t="s">
        <v>5190</v>
      </c>
      <c r="M1069" t="str">
        <f>VLOOKUP(H1069,CHOOSE({1,2},Table11[Native],Table11[Name]),2,0)</f>
        <v>Huánglíng Xiàn</v>
      </c>
      <c r="N1069" s="13" t="str">
        <f>VLOOKUP(I1069,CHOOSE({1,2},Table11[Native],Table11[Name]),2,0)</f>
        <v>Yán'ān Shì</v>
      </c>
      <c r="O1069" s="13" t="str">
        <f t="shared" si="66"/>
        <v>Tianzhuang Zhen [incl. Houzhuang Xiang] (Yán'ān Shì)</v>
      </c>
      <c r="P1069" s="13" t="str">
        <f t="shared" si="67"/>
        <v>Tianzhuang Zhen [incl. Houzhuang Xiang] (Yán'ān Shì)</v>
      </c>
    </row>
    <row r="1070" spans="1:16" hidden="1" x14ac:dyDescent="0.25">
      <c r="A1070" t="s">
        <v>1212</v>
      </c>
      <c r="B1070" t="str">
        <f t="shared" si="64"/>
        <v>Tiānzhúshān Zhèn [Chánggōu Zhèn]</v>
      </c>
      <c r="C1070" t="str">
        <f t="shared" si="65"/>
        <v>Tiānzhúshān Zhèn [Chánggōu Zhèn]</v>
      </c>
      <c r="D1070" t="s">
        <v>1213</v>
      </c>
      <c r="E1070" t="s">
        <v>7</v>
      </c>
      <c r="F1070" t="str">
        <f>_xlfn.CONCAT(D1070,", ",H1070,", ",I1070,", ","陕西省")</f>
        <v>天竺山镇, 山阳县, 商洛市, 陕西省</v>
      </c>
      <c r="G1070">
        <v>11770</v>
      </c>
      <c r="H1070" t="s">
        <v>3077</v>
      </c>
      <c r="I1070" t="s">
        <v>3072</v>
      </c>
      <c r="J1070">
        <f>VLOOKUP(F1070,[1]!china_towns_second__2[[Column1]:[Y]],3,FALSE)</f>
        <v>33.417741746199802</v>
      </c>
      <c r="K1070">
        <f>VLOOKUP(F1070,[1]!china_towns_second__2[[Column1]:[Y]],2,FALSE)</f>
        <v>109.9612456</v>
      </c>
      <c r="L1070" t="s">
        <v>5191</v>
      </c>
      <c r="M1070" t="str">
        <f>VLOOKUP(H1070,CHOOSE({1,2},Table11[Native],Table11[Name]),2,0)</f>
        <v>Shānyáng Xiàn</v>
      </c>
      <c r="N1070" s="13" t="str">
        <f>VLOOKUP(I1070,CHOOSE({1,2},Table11[Native],Table11[Name]),2,0)</f>
        <v>Shāngluò Shì</v>
      </c>
      <c r="O1070" s="13" t="str">
        <f t="shared" si="66"/>
        <v>Tianzhushan Zhen [Changgou Zhen] (Shāngluò Shì)</v>
      </c>
      <c r="P1070" s="13" t="str">
        <f t="shared" si="67"/>
        <v>Tianzhushan Zhen [Changgou Zhen] (Shāngluò Shì)</v>
      </c>
    </row>
    <row r="1071" spans="1:16" hidden="1" x14ac:dyDescent="0.25">
      <c r="A1071" t="s">
        <v>2526</v>
      </c>
      <c r="B1071" t="str">
        <f t="shared" si="64"/>
        <v>Tiĕbiānchéng Zhèn</v>
      </c>
      <c r="C1071" t="str">
        <f t="shared" si="65"/>
        <v>Tiĕbiānchéng Zhèn</v>
      </c>
      <c r="D1071" t="s">
        <v>2527</v>
      </c>
      <c r="E1071" t="s">
        <v>7</v>
      </c>
      <c r="F1071" t="str">
        <f>_xlfn.CONCAT(D1071,", ",H1071,", ",I1071,", ","陕西省")</f>
        <v>铁边城镇, 吴起县, 延安市, 陕西省</v>
      </c>
      <c r="G1071">
        <v>5879</v>
      </c>
      <c r="H1071" t="s">
        <v>3141</v>
      </c>
      <c r="I1071" t="s">
        <v>3133</v>
      </c>
      <c r="J1071">
        <f>VLOOKUP(F1071,[1]!china_towns_second__2[[Column1]:[Y]],3,FALSE)</f>
        <v>37.047975298724701</v>
      </c>
      <c r="K1071">
        <f>VLOOKUP(F1071,[1]!china_towns_second__2[[Column1]:[Y]],2,FALSE)</f>
        <v>107.80091590000001</v>
      </c>
      <c r="L1071" t="s">
        <v>5192</v>
      </c>
      <c r="M1071" t="str">
        <f>VLOOKUP(H1071,CHOOSE({1,2},Table11[Native],Table11[Name]),2,0)</f>
        <v>Wúqĭ Xiàn</v>
      </c>
      <c r="N1071" s="13" t="str">
        <f>VLOOKUP(I1071,CHOOSE({1,2},Table11[Native],Table11[Name]),2,0)</f>
        <v>Yán'ān Shì</v>
      </c>
      <c r="O1071" s="13" t="str">
        <f t="shared" si="66"/>
        <v>Tiebiancheng Zhen (Yán'ān Shì)</v>
      </c>
      <c r="P1071" s="13" t="str">
        <f t="shared" si="67"/>
        <v>Tiebiancheng Zhen (Yán'ān Shì)</v>
      </c>
    </row>
    <row r="1072" spans="1:16" hidden="1" x14ac:dyDescent="0.25">
      <c r="A1072" t="s">
        <v>1214</v>
      </c>
      <c r="B1072" t="str">
        <f t="shared" si="64"/>
        <v>Tiĕchăng Zhèn</v>
      </c>
      <c r="C1072" t="str">
        <f t="shared" si="65"/>
        <v>Tiĕchăng Zhèn</v>
      </c>
      <c r="D1072" t="s">
        <v>1215</v>
      </c>
      <c r="E1072" t="s">
        <v>7</v>
      </c>
      <c r="F1072" t="str">
        <f>_xlfn.CONCAT(D1072,", ",H1072,", ",I1072,", ","陕西省")</f>
        <v>铁厂镇, 镇安县, 商洛市, 陕西省</v>
      </c>
      <c r="G1072">
        <v>12368</v>
      </c>
      <c r="H1072" t="s">
        <v>3079</v>
      </c>
      <c r="I1072" t="s">
        <v>3072</v>
      </c>
      <c r="J1072">
        <f>VLOOKUP(F1072,[1]!china_towns_second__2[[Column1]:[Y]],3,FALSE)</f>
        <v>33.405404659932202</v>
      </c>
      <c r="K1072">
        <f>VLOOKUP(F1072,[1]!china_towns_second__2[[Column1]:[Y]],2,FALSE)</f>
        <v>109.3016473</v>
      </c>
      <c r="L1072" t="s">
        <v>5193</v>
      </c>
      <c r="M1072" t="str">
        <f>VLOOKUP(H1072,CHOOSE({1,2},Table11[Native],Table11[Name]),2,0)</f>
        <v>Zhèn'ān Xiàn</v>
      </c>
      <c r="N1072" s="13" t="str">
        <f>VLOOKUP(I1072,CHOOSE({1,2},Table11[Native],Table11[Name]),2,0)</f>
        <v>Shāngluò Shì</v>
      </c>
      <c r="O1072" s="13" t="str">
        <f t="shared" si="66"/>
        <v>Tiechang Zhen (Shāngluò Shì)</v>
      </c>
      <c r="P1072" s="13" t="str">
        <f t="shared" si="67"/>
        <v>Tiechang Zhen (Shāngluò Shì)</v>
      </c>
    </row>
    <row r="1073" spans="1:16" hidden="1" x14ac:dyDescent="0.25">
      <c r="A1073" t="s">
        <v>245</v>
      </c>
      <c r="B1073" t="str">
        <f t="shared" si="64"/>
        <v>Tiĕfósì Zhèn</v>
      </c>
      <c r="C1073" t="str">
        <f t="shared" si="65"/>
        <v>Tiĕfósì Zhèn</v>
      </c>
      <c r="D1073" t="s">
        <v>246</v>
      </c>
      <c r="E1073" t="s">
        <v>7</v>
      </c>
      <c r="F1073" t="str">
        <f>_xlfn.CONCAT(D1073,", ",H1073,", ",I1073,", ","陕西省")</f>
        <v>铁佛寺镇, 汉阴县, 安康市, 陕西省</v>
      </c>
      <c r="G1073">
        <v>9097</v>
      </c>
      <c r="H1073" t="s">
        <v>3036</v>
      </c>
      <c r="I1073" t="s">
        <v>3031</v>
      </c>
      <c r="J1073">
        <f>VLOOKUP(F1073,[1]!china_towns_second__2[[Column1]:[Y]],3,FALSE)</f>
        <v>33.051472899767099</v>
      </c>
      <c r="K1073">
        <f>VLOOKUP(F1073,[1]!china_towns_second__2[[Column1]:[Y]],2,FALSE)</f>
        <v>108.6307814</v>
      </c>
      <c r="L1073" t="s">
        <v>5194</v>
      </c>
      <c r="M1073" t="str">
        <f>VLOOKUP(H1073,CHOOSE({1,2},Table11[Native],Table11[Name]),2,0)</f>
        <v>Hànyīn Xiàn</v>
      </c>
      <c r="N1073" s="13" t="str">
        <f>VLOOKUP(I1073,CHOOSE({1,2},Table11[Native],Table11[Name]),2,0)</f>
        <v>Ānkāng Shì</v>
      </c>
      <c r="O1073" s="13" t="str">
        <f t="shared" si="66"/>
        <v>Tiefosi Zhen (Ānkāng Shì)</v>
      </c>
      <c r="P1073" s="13" t="str">
        <f t="shared" si="67"/>
        <v>Tiefosi Zhen (Ānkāng Shì)</v>
      </c>
    </row>
    <row r="1074" spans="1:16" hidden="1" x14ac:dyDescent="0.25">
      <c r="A1074" t="s">
        <v>2205</v>
      </c>
      <c r="B1074" t="str">
        <f t="shared" si="64"/>
        <v>Tiĕlú Jiēdào</v>
      </c>
      <c r="C1074" t="str">
        <f t="shared" si="65"/>
        <v>Tiĕlú Jiēdào</v>
      </c>
      <c r="D1074" t="s">
        <v>2206</v>
      </c>
      <c r="E1074" t="s">
        <v>113</v>
      </c>
      <c r="F1074" t="str">
        <f>_xlfn.CONCAT(D1074,", ",H1074,", ",I1074,", ","陕西省")</f>
        <v>铁炉街道, 临潼区, 西安市, 陕西省</v>
      </c>
      <c r="G1074">
        <v>15995</v>
      </c>
      <c r="H1074" t="s">
        <v>3110</v>
      </c>
      <c r="I1074" t="s">
        <v>3102</v>
      </c>
      <c r="J1074">
        <f>VLOOKUP(F1074,[1]!china_towns_second__2[[Column1]:[Y]],3,FALSE)</f>
        <v>34.393112982619698</v>
      </c>
      <c r="K1074">
        <f>VLOOKUP(F1074,[1]!china_towns_second__2[[Column1]:[Y]],2,FALSE)</f>
        <v>109.42760730000001</v>
      </c>
      <c r="L1074" t="s">
        <v>5195</v>
      </c>
      <c r="M1074" t="str">
        <f>VLOOKUP(H1074,CHOOSE({1,2},Table11[Native],Table11[Name]),2,0)</f>
        <v>Líntóng Qū</v>
      </c>
      <c r="N1074" s="13" t="str">
        <f>VLOOKUP(I1074,CHOOSE({1,2},Table11[Native],Table11[Name]),2,0)</f>
        <v>Xī'ān Shì</v>
      </c>
      <c r="O1074" s="13" t="str">
        <f t="shared" si="66"/>
        <v>Tielu Jiedao (Xī'ān Shì)</v>
      </c>
      <c r="P1074" s="13" t="str">
        <f t="shared" si="67"/>
        <v>Tielu Jiedao (Xī'ān Shì)</v>
      </c>
    </row>
    <row r="1075" spans="1:16" hidden="1" x14ac:dyDescent="0.25">
      <c r="A1075" t="s">
        <v>914</v>
      </c>
      <c r="B1075" t="str">
        <f t="shared" si="64"/>
        <v>Tiĕsuŏguān Zhèn</v>
      </c>
      <c r="C1075" t="str">
        <f t="shared" si="65"/>
        <v>Tiĕsuŏguān Zhèn</v>
      </c>
      <c r="D1075" t="s">
        <v>915</v>
      </c>
      <c r="E1075" t="s">
        <v>7</v>
      </c>
      <c r="F1075" t="str">
        <f>_xlfn.CONCAT(D1075,", ",H1075,", ",I1075,", ","陕西省")</f>
        <v>铁锁关镇, 宁强县, 汉中市, 陕西省</v>
      </c>
      <c r="G1075">
        <v>14818</v>
      </c>
      <c r="H1075" t="s">
        <v>3067</v>
      </c>
      <c r="I1075" t="s">
        <v>3059</v>
      </c>
      <c r="J1075">
        <f>VLOOKUP(F1075,[1]!china_towns_second__2[[Column1]:[Y]],3,FALSE)</f>
        <v>32.905164503444901</v>
      </c>
      <c r="K1075">
        <f>VLOOKUP(F1075,[1]!china_towns_second__2[[Column1]:[Y]],2,FALSE)</f>
        <v>106.4166257</v>
      </c>
      <c r="L1075" t="s">
        <v>5196</v>
      </c>
      <c r="M1075" t="str">
        <f>VLOOKUP(H1075,CHOOSE({1,2},Table11[Native],Table11[Name]),2,0)</f>
        <v>Níngqiáng Xiàn</v>
      </c>
      <c r="N1075" s="13" t="str">
        <f>VLOOKUP(I1075,CHOOSE({1,2},Table11[Native],Table11[Name]),2,0)</f>
        <v>Hànzhōng Shì</v>
      </c>
      <c r="O1075" s="13" t="str">
        <f t="shared" si="66"/>
        <v>Tiesuoguan Zhen (Hànzhōng Shì)</v>
      </c>
      <c r="P1075" s="13" t="str">
        <f t="shared" si="67"/>
        <v>Tiesuoguan Zhen (Hànzhōng Shì)</v>
      </c>
    </row>
    <row r="1076" spans="1:16" hidden="1" x14ac:dyDescent="0.25">
      <c r="A1076" t="s">
        <v>1871</v>
      </c>
      <c r="B1076" t="str">
        <f t="shared" si="64"/>
        <v>Tiĕwáng Zhèn [incl. Qínhé Xiāng]</v>
      </c>
      <c r="C1076" t="str">
        <f t="shared" si="65"/>
        <v>Tiĕwáng Zhèn [incl. Qínhé Xiāng]</v>
      </c>
      <c r="D1076" t="s">
        <v>1872</v>
      </c>
      <c r="E1076" t="s">
        <v>7</v>
      </c>
      <c r="F1076" t="str">
        <f>_xlfn.CONCAT(D1076,", ",H1076,", ",I1076,", ","陕西省")</f>
        <v>铁王镇, 淳化县, 咸阳市, 陕西省</v>
      </c>
      <c r="G1076">
        <v>15202</v>
      </c>
      <c r="H1076" t="s">
        <v>3120</v>
      </c>
      <c r="I1076" t="s">
        <v>3117</v>
      </c>
      <c r="J1076">
        <f>VLOOKUP(F1076,[1]!china_towns_second__2[[Column1]:[Y]],3,FALSE)</f>
        <v>34.951187143719203</v>
      </c>
      <c r="K1076">
        <f>VLOOKUP(F1076,[1]!china_towns_second__2[[Column1]:[Y]],2,FALSE)</f>
        <v>108.5869689</v>
      </c>
      <c r="L1076" t="s">
        <v>5197</v>
      </c>
      <c r="M1076" t="str">
        <f>VLOOKUP(H1076,CHOOSE({1,2},Table11[Native],Table11[Name]),2,0)</f>
        <v>Chúnhuà Xiàn</v>
      </c>
      <c r="N1076" s="13" t="str">
        <f>VLOOKUP(I1076,CHOOSE({1,2},Table11[Native],Table11[Name]),2,0)</f>
        <v>Xiányáng Shì</v>
      </c>
      <c r="O1076" s="13" t="str">
        <f t="shared" si="66"/>
        <v>Tiewang Zhen [incl. Qinhe Xiang] (Xiányáng Shì)</v>
      </c>
      <c r="P1076" s="13" t="str">
        <f t="shared" si="67"/>
        <v>Tiewang Zhen [incl. Qinhe Xiang] (Xiányáng Shì)</v>
      </c>
    </row>
    <row r="1077" spans="1:16" hidden="1" x14ac:dyDescent="0.25">
      <c r="A1077" t="s">
        <v>1216</v>
      </c>
      <c r="B1077" t="str">
        <f t="shared" si="64"/>
        <v>Tiĕyùpū Zhèn</v>
      </c>
      <c r="C1077" t="str">
        <f t="shared" si="65"/>
        <v>Tiĕyùpū Zhèn</v>
      </c>
      <c r="D1077" t="s">
        <v>1217</v>
      </c>
      <c r="E1077" t="s">
        <v>7</v>
      </c>
      <c r="F1077" t="str">
        <f>_xlfn.CONCAT(D1077,", ",H1077,", ",I1077,", ","陕西省")</f>
        <v>铁峪铺镇, 丹凤县, 商洛市, 陕西省</v>
      </c>
      <c r="G1077">
        <v>16116</v>
      </c>
      <c r="H1077" t="s">
        <v>3073</v>
      </c>
      <c r="I1077" t="s">
        <v>3072</v>
      </c>
      <c r="J1077">
        <f>VLOOKUP(F1077,[1]!china_towns_second__2[[Column1]:[Y]],3,FALSE)</f>
        <v>33.633373663131898</v>
      </c>
      <c r="K1077">
        <f>VLOOKUP(F1077,[1]!china_towns_second__2[[Column1]:[Y]],2,FALSE)</f>
        <v>110.4945927</v>
      </c>
      <c r="L1077" t="s">
        <v>5198</v>
      </c>
      <c r="M1077" t="str">
        <f>VLOOKUP(H1077,CHOOSE({1,2},Table11[Native],Table11[Name]),2,0)</f>
        <v>Dānfèng Xiàn</v>
      </c>
      <c r="N1077" s="13" t="str">
        <f>VLOOKUP(I1077,CHOOSE({1,2},Table11[Native],Table11[Name]),2,0)</f>
        <v>Shāngluò Shì</v>
      </c>
      <c r="O1077" s="13" t="str">
        <f t="shared" si="66"/>
        <v>Tieyupu Zhen (Shāngluò Shì)</v>
      </c>
      <c r="P1077" s="13" t="str">
        <f t="shared" si="67"/>
        <v>Tieyupu Zhen (Shāngluò Shì)</v>
      </c>
    </row>
    <row r="1078" spans="1:16" hidden="1" x14ac:dyDescent="0.25">
      <c r="A1078" t="s">
        <v>1873</v>
      </c>
      <c r="B1078" t="str">
        <f t="shared" si="64"/>
        <v>Tíngkŏu Zhèn [incl. Răndiàn Xiāng]</v>
      </c>
      <c r="C1078" t="str">
        <f t="shared" si="65"/>
        <v>Tíngkŏu Zhèn [incl. Răndiàn Xiāng]</v>
      </c>
      <c r="D1078" t="s">
        <v>1874</v>
      </c>
      <c r="E1078" t="s">
        <v>7</v>
      </c>
      <c r="F1078" t="str">
        <f>_xlfn.CONCAT(D1078,", ",H1078,", ",I1078,", ","陕西省")</f>
        <v>亭口镇, 长武县, 咸阳市, 陕西省</v>
      </c>
      <c r="G1078">
        <v>31110</v>
      </c>
      <c r="H1078" t="s">
        <v>3119</v>
      </c>
      <c r="I1078" t="s">
        <v>3117</v>
      </c>
      <c r="J1078">
        <f>VLOOKUP(F1078,[1]!china_towns_second__2[[Column1]:[Y]],3,FALSE)</f>
        <v>35.093738659224996</v>
      </c>
      <c r="K1078">
        <f>VLOOKUP(F1078,[1]!china_towns_second__2[[Column1]:[Y]],2,FALSE)</f>
        <v>107.88998410000001</v>
      </c>
      <c r="L1078" t="s">
        <v>5199</v>
      </c>
      <c r="M1078" t="str">
        <f>VLOOKUP(H1078,CHOOSE({1,2},Table11[Native],Table11[Name]),2,0)</f>
        <v>Chángwŭ Xiàn</v>
      </c>
      <c r="N1078" s="13" t="str">
        <f>VLOOKUP(I1078,CHOOSE({1,2},Table11[Native],Table11[Name]),2,0)</f>
        <v>Xiányáng Shì</v>
      </c>
      <c r="O1078" s="13" t="str">
        <f t="shared" si="66"/>
        <v>Tingkou Zhen [incl. Randian Xiang] (Xiányáng Shì)</v>
      </c>
      <c r="P1078" s="13" t="str">
        <f t="shared" si="67"/>
        <v>Tingkou Zhen [incl. Randian Xiang] (Xiányáng Shì)</v>
      </c>
    </row>
    <row r="1079" spans="1:16" hidden="1" x14ac:dyDescent="0.25">
      <c r="A1079" t="s">
        <v>2908</v>
      </c>
      <c r="B1079" t="str">
        <f t="shared" si="64"/>
        <v>Tōng Zhèn</v>
      </c>
      <c r="C1079" t="str">
        <f t="shared" si="65"/>
        <v>Tōng Zhèn</v>
      </c>
      <c r="D1079" t="s">
        <v>2909</v>
      </c>
      <c r="E1079" t="s">
        <v>7</v>
      </c>
      <c r="F1079" t="str">
        <f>_xlfn.CONCAT(D1079,", ",H1079,", ",I1079,", ","陕西省")</f>
        <v>通镇, 佳县, 榆林市, 陕西省</v>
      </c>
      <c r="G1079">
        <v>20247</v>
      </c>
      <c r="H1079" t="s">
        <v>3152</v>
      </c>
      <c r="I1079" t="s">
        <v>3148</v>
      </c>
      <c r="J1079">
        <f>VLOOKUP(F1079,[1]!china_towns_second__2[[Column1]:[Y]],3,FALSE)</f>
        <v>38.127898538343601</v>
      </c>
      <c r="K1079">
        <f>VLOOKUP(F1079,[1]!china_towns_second__2[[Column1]:[Y]],2,FALSE)</f>
        <v>110.3975152</v>
      </c>
      <c r="L1079" t="s">
        <v>5200</v>
      </c>
      <c r="M1079" t="str">
        <f>VLOOKUP(H1079,CHOOSE({1,2},Table11[Native],Table11[Name]),2,0)</f>
        <v>Jiā Xiàn</v>
      </c>
      <c r="N1079" s="13" t="str">
        <f>VLOOKUP(I1079,CHOOSE({1,2},Table11[Native],Table11[Name]),2,0)</f>
        <v>Yúlín Shì</v>
      </c>
      <c r="O1079" s="13" t="str">
        <f t="shared" si="66"/>
        <v>Tong Zhen (Yúlín Shì)</v>
      </c>
      <c r="P1079" s="13" t="str">
        <f t="shared" si="67"/>
        <v>Tong Zhen (Yúlín Shì)</v>
      </c>
    </row>
    <row r="1080" spans="1:16" hidden="1" x14ac:dyDescent="0.25">
      <c r="A1080" t="s">
        <v>247</v>
      </c>
      <c r="B1080" t="str">
        <f t="shared" si="64"/>
        <v>Tŏngchēwān Zhèn</v>
      </c>
      <c r="C1080" t="str">
        <f t="shared" si="65"/>
        <v>Tŏngchēwān Zhèn</v>
      </c>
      <c r="D1080" t="s">
        <v>248</v>
      </c>
      <c r="E1080" t="s">
        <v>7</v>
      </c>
      <c r="F1080" t="str">
        <f>_xlfn.CONCAT(D1080,", ",H1080,", ",I1080,", ","陕西省")</f>
        <v>筒车湾镇, 宁陕县, 安康市, 陕西省</v>
      </c>
      <c r="G1080">
        <v>5355</v>
      </c>
      <c r="H1080" t="s">
        <v>3038</v>
      </c>
      <c r="I1080" t="s">
        <v>3031</v>
      </c>
      <c r="J1080">
        <f>VLOOKUP(F1080,[1]!china_towns_second__2[[Column1]:[Y]],3,FALSE)</f>
        <v>33.423849792476602</v>
      </c>
      <c r="K1080">
        <f>VLOOKUP(F1080,[1]!china_towns_second__2[[Column1]:[Y]],2,FALSE)</f>
        <v>108.2080593</v>
      </c>
      <c r="L1080" t="s">
        <v>5201</v>
      </c>
      <c r="M1080" t="str">
        <f>VLOOKUP(H1080,CHOOSE({1,2},Table11[Native],Table11[Name]),2,0)</f>
        <v>Níngshăn Xiàn</v>
      </c>
      <c r="N1080" s="13" t="str">
        <f>VLOOKUP(I1080,CHOOSE({1,2},Table11[Native],Table11[Name]),2,0)</f>
        <v>Ānkāng Shì</v>
      </c>
      <c r="O1080" s="13" t="str">
        <f t="shared" si="66"/>
        <v>Tongchewan Zhen (Ānkāng Shì)</v>
      </c>
      <c r="P1080" s="13" t="str">
        <f t="shared" si="67"/>
        <v>Tongchewan Zhen (Ānkāng Shì)</v>
      </c>
    </row>
    <row r="1081" spans="1:16" hidden="1" x14ac:dyDescent="0.25">
      <c r="A1081" t="s">
        <v>916</v>
      </c>
      <c r="B1081" t="str">
        <f t="shared" si="64"/>
        <v>Tónggōusì Zhèn</v>
      </c>
      <c r="C1081" t="str">
        <f t="shared" si="65"/>
        <v>Tónggōusì Zhèn</v>
      </c>
      <c r="D1081" t="s">
        <v>917</v>
      </c>
      <c r="E1081" t="s">
        <v>7</v>
      </c>
      <c r="F1081" t="str">
        <f>_xlfn.CONCAT(D1081,", ",H1081,", ",I1081,", ","陕西省")</f>
        <v>同沟寺镇, 勉县, 汉中市, 陕西省</v>
      </c>
      <c r="G1081">
        <v>16649</v>
      </c>
      <c r="H1081" t="s">
        <v>3065</v>
      </c>
      <c r="I1081" t="s">
        <v>3059</v>
      </c>
      <c r="J1081">
        <f>VLOOKUP(F1081,[1]!china_towns_second__2[[Column1]:[Y]],3,FALSE)</f>
        <v>33.307109862060798</v>
      </c>
      <c r="K1081">
        <f>VLOOKUP(F1081,[1]!china_towns_second__2[[Column1]:[Y]],2,FALSE)</f>
        <v>106.7661835</v>
      </c>
      <c r="L1081" t="s">
        <v>5202</v>
      </c>
      <c r="M1081" t="str">
        <f>VLOOKUP(H1081,CHOOSE({1,2},Table11[Native],Table11[Name]),2,0)</f>
        <v>Miăn Xiàn</v>
      </c>
      <c r="N1081" s="13" t="str">
        <f>VLOOKUP(I1081,CHOOSE({1,2},Table11[Native],Table11[Name]),2,0)</f>
        <v>Hànzhōng Shì</v>
      </c>
      <c r="O1081" s="13" t="str">
        <f t="shared" si="66"/>
        <v>Tonggousi Zhen (Hànzhōng Shì)</v>
      </c>
      <c r="P1081" s="13" t="str">
        <f t="shared" si="67"/>
        <v>Tonggousi Zhen (Hànzhōng Shì)</v>
      </c>
    </row>
    <row r="1082" spans="1:16" hidden="1" x14ac:dyDescent="0.25">
      <c r="A1082" t="s">
        <v>1626</v>
      </c>
      <c r="B1082" t="str">
        <f t="shared" si="64"/>
        <v>Tóngjiāzhuāng Zhèn</v>
      </c>
      <c r="C1082" t="str">
        <f t="shared" si="65"/>
        <v>Tóngjiāzhuāng Zhèn</v>
      </c>
      <c r="D1082" t="s">
        <v>1627</v>
      </c>
      <c r="E1082" t="s">
        <v>7</v>
      </c>
      <c r="F1082" t="str">
        <f>_xlfn.CONCAT(D1082,", ",H1082,", ",I1082,", ","陕西省")</f>
        <v>同家庄镇, 合阳县, 渭南市, 陕西省</v>
      </c>
      <c r="G1082">
        <v>20102</v>
      </c>
      <c r="H1082" t="s">
        <v>3094</v>
      </c>
      <c r="I1082" t="s">
        <v>3087</v>
      </c>
      <c r="J1082">
        <f>VLOOKUP(F1082,[1]!china_towns_second__2[[Column1]:[Y]],3,FALSE)</f>
        <v>35.338173699275998</v>
      </c>
      <c r="K1082">
        <f>VLOOKUP(F1082,[1]!china_towns_second__2[[Column1]:[Y]],2,FALSE)</f>
        <v>110.200203</v>
      </c>
      <c r="L1082" t="s">
        <v>5203</v>
      </c>
      <c r="M1082" t="str">
        <f>VLOOKUP(H1082,CHOOSE({1,2},Table11[Native],Table11[Name]),2,0)</f>
        <v>Héyáng Xiàn</v>
      </c>
      <c r="N1082" s="13" t="str">
        <f>VLOOKUP(I1082,CHOOSE({1,2},Table11[Native],Table11[Name]),2,0)</f>
        <v>Wèinán Shì</v>
      </c>
      <c r="O1082" s="13" t="str">
        <f t="shared" si="66"/>
        <v>Tongjiazhuang Zhen (Wèinán Shì)</v>
      </c>
      <c r="P1082" s="13" t="str">
        <f t="shared" si="67"/>
        <v>Tongjiazhuang Zhen (Wèinán Shì)</v>
      </c>
    </row>
    <row r="1083" spans="1:16" hidden="1" x14ac:dyDescent="0.25">
      <c r="A1083" t="s">
        <v>249</v>
      </c>
      <c r="B1083" t="str">
        <f t="shared" si="64"/>
        <v>Tóngmù Zhèn</v>
      </c>
      <c r="C1083" t="str">
        <f t="shared" si="65"/>
        <v>Tóngmù Zhèn</v>
      </c>
      <c r="D1083" t="s">
        <v>250</v>
      </c>
      <c r="E1083" t="s">
        <v>7</v>
      </c>
      <c r="F1083" t="str">
        <f>_xlfn.CONCAT(D1083,", ",H1083,", ",I1083,", ","陕西省")</f>
        <v>桐木镇, 旬阳县, 安康市, 陕西省</v>
      </c>
      <c r="G1083">
        <v>12676</v>
      </c>
      <c r="H1083" t="s">
        <v>3041</v>
      </c>
      <c r="I1083" t="s">
        <v>3031</v>
      </c>
      <c r="J1083">
        <f>VLOOKUP(F1083,[1]!china_towns_second__2[[Column1]:[Y]],3,FALSE)</f>
        <v>33.0810903722383</v>
      </c>
      <c r="K1083">
        <f>VLOOKUP(F1083,[1]!china_towns_second__2[[Column1]:[Y]],2,FALSE)</f>
        <v>109.05776539999999</v>
      </c>
      <c r="L1083" t="s">
        <v>5204</v>
      </c>
      <c r="M1083" t="str">
        <f>VLOOKUP(H1083,CHOOSE({1,2},Table11[Native],Table11[Name]),2,0)</f>
        <v>Xúnyáng Xiàn</v>
      </c>
      <c r="N1083" s="13" t="str">
        <f>VLOOKUP(I1083,CHOOSE({1,2},Table11[Native],Table11[Name]),2,0)</f>
        <v>Ānkāng Shì</v>
      </c>
      <c r="O1083" s="13" t="str">
        <f t="shared" si="66"/>
        <v>Tongmu Zhen (Ānkāng Shì)</v>
      </c>
      <c r="P1083" s="13" t="str">
        <f t="shared" si="67"/>
        <v>Tongmu Zhen (Ānkāng Shì)</v>
      </c>
    </row>
    <row r="1084" spans="1:16" hidden="1" x14ac:dyDescent="0.25">
      <c r="A1084" t="s">
        <v>253</v>
      </c>
      <c r="B1084" t="str">
        <f t="shared" si="64"/>
        <v>Tóngqián Xiāng</v>
      </c>
      <c r="C1084" t="str">
        <f t="shared" si="65"/>
        <v>Tóngqián Xiāng</v>
      </c>
      <c r="D1084" t="s">
        <v>254</v>
      </c>
      <c r="E1084" t="s">
        <v>11</v>
      </c>
      <c r="F1084" t="str">
        <f>_xlfn.CONCAT(D1084,", ",H1084,", ",I1084,", ","陕西省")</f>
        <v>铜钱乡, 汉阴县, 安康市, 陕西省</v>
      </c>
      <c r="G1084">
        <v>1299</v>
      </c>
      <c r="H1084" t="s">
        <v>3036</v>
      </c>
      <c r="I1084" t="s">
        <v>3031</v>
      </c>
      <c r="J1084" t="e">
        <f>VLOOKUP(F1084,[1]!china_towns_second__2[[Column1]:[Y]],3,FALSE)</f>
        <v>#N/A</v>
      </c>
      <c r="K1084" t="e">
        <f>VLOOKUP(F1084,[1]!china_towns_second__2[[Column1]:[Y]],2,FALSE)</f>
        <v>#N/A</v>
      </c>
      <c r="L1084" t="s">
        <v>5205</v>
      </c>
      <c r="M1084" t="str">
        <f>VLOOKUP(H1084,CHOOSE({1,2},Table11[Native],Table11[Name]),2,0)</f>
        <v>Hànyīn Xiàn</v>
      </c>
      <c r="N1084" s="13" t="str">
        <f>VLOOKUP(I1084,CHOOSE({1,2},Table11[Native],Table11[Name]),2,0)</f>
        <v>Ānkāng Shì</v>
      </c>
      <c r="O1084" s="13" t="str">
        <f t="shared" si="66"/>
        <v>Tongqian Xiang (Ānkāng Shì)</v>
      </c>
      <c r="P1084" s="13" t="str">
        <f t="shared" si="67"/>
        <v>Tongqian Xiang (Ānkāng Shì)</v>
      </c>
    </row>
    <row r="1085" spans="1:16" hidden="1" x14ac:dyDescent="0.25">
      <c r="A1085" t="s">
        <v>251</v>
      </c>
      <c r="B1085" t="str">
        <f t="shared" si="64"/>
        <v>Tóngqiánguān Zhèn [incl. Chìyán Zhèn, Shāyáng Xiāng]</v>
      </c>
      <c r="C1085" t="str">
        <f t="shared" si="65"/>
        <v>Tóngqiánguān Zhèn [incl. Chìyán Zhèn, Shāyáng Xiāng]</v>
      </c>
      <c r="D1085" t="s">
        <v>252</v>
      </c>
      <c r="E1085" t="s">
        <v>7</v>
      </c>
      <c r="F1085" t="str">
        <f>_xlfn.CONCAT(D1085,", ",H1085,", ",I1085,", ","陕西省")</f>
        <v>铜钱关镇, 旬阳县, 安康市, 陕西省</v>
      </c>
      <c r="G1085">
        <v>24042</v>
      </c>
      <c r="H1085" t="s">
        <v>3041</v>
      </c>
      <c r="I1085" t="s">
        <v>3031</v>
      </c>
      <c r="J1085">
        <f>VLOOKUP(F1085,[1]!china_towns_second__2[[Column1]:[Y]],3,FALSE)</f>
        <v>32.554174760018199</v>
      </c>
      <c r="K1085">
        <f>VLOOKUP(F1085,[1]!china_towns_second__2[[Column1]:[Y]],2,FALSE)</f>
        <v>109.57716000000001</v>
      </c>
      <c r="L1085" t="s">
        <v>5206</v>
      </c>
      <c r="M1085" t="str">
        <f>VLOOKUP(H1085,CHOOSE({1,2},Table11[Native],Table11[Name]),2,0)</f>
        <v>Xúnyáng Xiàn</v>
      </c>
      <c r="N1085" s="13" t="str">
        <f>VLOOKUP(I1085,CHOOSE({1,2},Table11[Native],Table11[Name]),2,0)</f>
        <v>Ānkāng Shì</v>
      </c>
      <c r="O1085" s="13" t="str">
        <f t="shared" si="66"/>
        <v>Tongqianguan Zhen [incl. Chiyan Zhen, Shayang Xiang] (Ānkāng Shì)</v>
      </c>
      <c r="P1085" s="13" t="str">
        <f t="shared" si="67"/>
        <v>Tongqianguan Zhen [incl. Chiyan Zhen, Shayang Xiang] (Ānkāng Shì)</v>
      </c>
    </row>
    <row r="1086" spans="1:16" hidden="1" x14ac:dyDescent="0.25">
      <c r="A1086" t="s">
        <v>1628</v>
      </c>
      <c r="B1086" t="str">
        <f t="shared" si="64"/>
        <v>Tóngyù Zhèn</v>
      </c>
      <c r="C1086" t="str">
        <f t="shared" si="65"/>
        <v>Tóngyù Zhèn</v>
      </c>
      <c r="D1086" t="s">
        <v>1629</v>
      </c>
      <c r="E1086" t="s">
        <v>7</v>
      </c>
      <c r="F1086" t="str">
        <f>_xlfn.CONCAT(D1086,", ",H1086,", ",I1086,", ","陕西省")</f>
        <v>桐峪镇, 潼关县, 渭南市, 陕西省</v>
      </c>
      <c r="G1086">
        <v>12628</v>
      </c>
      <c r="H1086" t="s">
        <v>3099</v>
      </c>
      <c r="I1086" t="s">
        <v>3087</v>
      </c>
      <c r="J1086">
        <f>VLOOKUP(F1086,[1]!china_towns_second__2[[Column1]:[Y]],3,FALSE)</f>
        <v>34.445126589738102</v>
      </c>
      <c r="K1086">
        <f>VLOOKUP(F1086,[1]!china_towns_second__2[[Column1]:[Y]],2,FALSE)</f>
        <v>110.34927089999999</v>
      </c>
      <c r="L1086" t="s">
        <v>5207</v>
      </c>
      <c r="M1086" t="str">
        <f>VLOOKUP(H1086,CHOOSE({1,2},Table11[Native],Table11[Name]),2,0)</f>
        <v>Tóngguān Xiàn</v>
      </c>
      <c r="N1086" s="13" t="str">
        <f>VLOOKUP(I1086,CHOOSE({1,2},Table11[Native],Table11[Name]),2,0)</f>
        <v>Wèinán Shì</v>
      </c>
      <c r="O1086" s="13" t="str">
        <f t="shared" si="66"/>
        <v>Tongyu Zhen (Wèinán Shì)</v>
      </c>
      <c r="P1086" s="13" t="str">
        <f t="shared" si="67"/>
        <v>Tongyu Zhen (Wèinán Shì)</v>
      </c>
    </row>
    <row r="1087" spans="1:16" hidden="1" x14ac:dyDescent="0.25">
      <c r="A1087" t="s">
        <v>2207</v>
      </c>
      <c r="B1087" t="str">
        <f t="shared" si="64"/>
        <v>Tōngyuăn Jiēdào [incl. Wānzi Xiāng]</v>
      </c>
      <c r="C1087" t="str">
        <f t="shared" si="65"/>
        <v>Tōngyuăn Jiēdào [incl. Wānzi Xiāng]</v>
      </c>
      <c r="D1087" t="s">
        <v>2208</v>
      </c>
      <c r="E1087" t="s">
        <v>113</v>
      </c>
      <c r="F1087" t="str">
        <f>_xlfn.CONCAT(D1087,", ",H1087,", ",I1087,", ","陕西省")</f>
        <v>通远街道, 高陵区, 西安市, 陕西省</v>
      </c>
      <c r="G1087">
        <v>41246</v>
      </c>
      <c r="H1087" t="s">
        <v>3106</v>
      </c>
      <c r="I1087" t="s">
        <v>3102</v>
      </c>
      <c r="J1087" t="e">
        <f>VLOOKUP(F1087,[1]!china_towns_second__2[[Column1]:[Y]],3,FALSE)</f>
        <v>#N/A</v>
      </c>
      <c r="K1087" t="e">
        <f>VLOOKUP(F1087,[1]!china_towns_second__2[[Column1]:[Y]],2,FALSE)</f>
        <v>#N/A</v>
      </c>
      <c r="L1087" t="s">
        <v>5208</v>
      </c>
      <c r="M1087" t="str">
        <f>VLOOKUP(H1087,CHOOSE({1,2},Table11[Native],Table11[Name]),2,0)</f>
        <v>Gāolíng Qū</v>
      </c>
      <c r="N1087" s="13" t="str">
        <f>VLOOKUP(I1087,CHOOSE({1,2},Table11[Native],Table11[Name]),2,0)</f>
        <v>Xī'ān Shì</v>
      </c>
      <c r="O1087" s="13" t="str">
        <f t="shared" si="66"/>
        <v>Tongyuan Jiedao [incl. Wanzi Xiang] (Xī'ān Shì)</v>
      </c>
      <c r="P1087" s="13" t="str">
        <f t="shared" si="67"/>
        <v>Tongyuan Jiedao [incl. Wanzi Xiang] (Xī'ān Shì)</v>
      </c>
    </row>
    <row r="1088" spans="1:16" hidden="1" x14ac:dyDescent="0.25">
      <c r="A1088" t="s">
        <v>918</v>
      </c>
      <c r="B1088" t="str">
        <f t="shared" si="64"/>
        <v>Tŭguānpū Xiāng</v>
      </c>
      <c r="C1088" t="str">
        <f t="shared" si="65"/>
        <v>Tŭguānpū Xiāng</v>
      </c>
      <c r="D1088" t="s">
        <v>919</v>
      </c>
      <c r="E1088" t="s">
        <v>11</v>
      </c>
      <c r="F1088" t="str">
        <f>_xlfn.CONCAT(D1088,", ",H1088,", ",I1088,", ","陕西省")</f>
        <v>土关铺乡, 勉县, 汉中市, 陕西省</v>
      </c>
      <c r="G1088">
        <v>7101</v>
      </c>
      <c r="H1088" t="s">
        <v>3065</v>
      </c>
      <c r="I1088" t="s">
        <v>3059</v>
      </c>
      <c r="J1088" t="e">
        <f>VLOOKUP(F1088,[1]!china_towns_second__2[[Column1]:[Y]],3,FALSE)</f>
        <v>#N/A</v>
      </c>
      <c r="K1088" t="e">
        <f>VLOOKUP(F1088,[1]!china_towns_second__2[[Column1]:[Y]],2,FALSE)</f>
        <v>#N/A</v>
      </c>
      <c r="L1088" t="s">
        <v>5209</v>
      </c>
      <c r="M1088" t="str">
        <f>VLOOKUP(H1088,CHOOSE({1,2},Table11[Native],Table11[Name]),2,0)</f>
        <v>Miăn Xiàn</v>
      </c>
      <c r="N1088" s="13" t="str">
        <f>VLOOKUP(I1088,CHOOSE({1,2},Table11[Native],Table11[Name]),2,0)</f>
        <v>Hànzhōng Shì</v>
      </c>
      <c r="O1088" s="13" t="str">
        <f t="shared" si="66"/>
        <v>Tuguanpu Xiang (Hànzhōng Shì)</v>
      </c>
      <c r="P1088" s="13" t="str">
        <f t="shared" si="67"/>
        <v>Tuguanpu Xiang (Hànzhōng Shì)</v>
      </c>
    </row>
    <row r="1089" spans="1:16" hidden="1" x14ac:dyDescent="0.25">
      <c r="A1089" t="s">
        <v>2528</v>
      </c>
      <c r="B1089" t="str">
        <f t="shared" si="64"/>
        <v>Tŭjī Zhèn</v>
      </c>
      <c r="C1089" t="str">
        <f t="shared" si="65"/>
        <v>Tŭjī Zhèn</v>
      </c>
      <c r="D1089" t="s">
        <v>2529</v>
      </c>
      <c r="E1089" t="s">
        <v>7</v>
      </c>
      <c r="F1089" t="str">
        <f>_xlfn.CONCAT(D1089,", ",H1089,", ",I1089,", ","陕西省")</f>
        <v>土基镇, 洛川县, 延安市, 陕西省</v>
      </c>
      <c r="G1089">
        <v>10042</v>
      </c>
      <c r="H1089" t="s">
        <v>3140</v>
      </c>
      <c r="I1089" t="s">
        <v>3133</v>
      </c>
      <c r="J1089">
        <f>VLOOKUP(F1089,[1]!china_towns_second__2[[Column1]:[Y]],3,FALSE)</f>
        <v>35.579887361506998</v>
      </c>
      <c r="K1089">
        <f>VLOOKUP(F1089,[1]!china_towns_second__2[[Column1]:[Y]],2,FALSE)</f>
        <v>109.57291549999999</v>
      </c>
      <c r="L1089" t="s">
        <v>5210</v>
      </c>
      <c r="M1089" t="str">
        <f>VLOOKUP(H1089,CHOOSE({1,2},Table11[Native],Table11[Name]),2,0)</f>
        <v>Luòchuān Xiàn</v>
      </c>
      <c r="N1089" s="13" t="str">
        <f>VLOOKUP(I1089,CHOOSE({1,2},Table11[Native],Table11[Name]),2,0)</f>
        <v>Yán'ān Shì</v>
      </c>
      <c r="O1089" s="13" t="str">
        <f t="shared" si="66"/>
        <v>Tuji Zhen (Yán'ān Shì)</v>
      </c>
      <c r="P1089" s="13" t="str">
        <f t="shared" si="67"/>
        <v>Tuji Zhen (Yán'ān Shì)</v>
      </c>
    </row>
    <row r="1090" spans="1:16" hidden="1" x14ac:dyDescent="0.25">
      <c r="A1090" t="s">
        <v>2209</v>
      </c>
      <c r="B1090" t="str">
        <f t="shared" ref="B1090:B1153" si="68">IF(COUNTIF(A:A,A1090)&gt;1,_xlfn.CONCAT(A1090," (",N1090,")"),A1090)</f>
        <v>Tŭmén Jiēdào</v>
      </c>
      <c r="C1090" t="str">
        <f t="shared" ref="C1090:C1153" si="69">IF(COUNTIF(B:B,B1090)&gt;1,_xlfn.CONCAT(A1090," (",M1090,")"),B1090)</f>
        <v>Tŭmén Jiēdào</v>
      </c>
      <c r="D1090" t="s">
        <v>2210</v>
      </c>
      <c r="E1090" t="s">
        <v>113</v>
      </c>
      <c r="F1090" t="str">
        <f>_xlfn.CONCAT(D1090,", ",H1090,", ",I1090,", ","陕西省")</f>
        <v>土门街道, 莲湖区, 西安市, 陕西省</v>
      </c>
      <c r="G1090">
        <v>79860</v>
      </c>
      <c r="H1090" t="s">
        <v>3109</v>
      </c>
      <c r="I1090" t="s">
        <v>3102</v>
      </c>
      <c r="J1090">
        <f>VLOOKUP(F1090,[1]!china_towns_second__2[[Column1]:[Y]],3,FALSE)</f>
        <v>34.236639390739001</v>
      </c>
      <c r="K1090">
        <f>VLOOKUP(F1090,[1]!china_towns_second__2[[Column1]:[Y]],2,FALSE)</f>
        <v>108.8426791</v>
      </c>
      <c r="L1090" t="s">
        <v>5211</v>
      </c>
      <c r="M1090" t="str">
        <f>VLOOKUP(H1090,CHOOSE({1,2},Table11[Native],Table11[Name]),2,0)</f>
        <v>Liánhú Qū</v>
      </c>
      <c r="N1090" s="13" t="str">
        <f>VLOOKUP(I1090,CHOOSE({1,2},Table11[Native],Table11[Name]),2,0)</f>
        <v>Xī'ān Shì</v>
      </c>
      <c r="O1090" s="13" t="str">
        <f t="shared" ref="O1090:O1153" si="70">_xlfn.CONCAT(L1090," (",N1090,")")</f>
        <v>Tumen Jiedao (Xī'ān Shì)</v>
      </c>
      <c r="P1090" s="13" t="str">
        <f t="shared" ref="P1090:P1153" si="71">IF(COUNTIF(O:O,O1090)&gt;1,_xlfn.CONCAT(L1090," (",M1090,")"),O1090)</f>
        <v>Tumen Jiedao (Xī'ān Shì)</v>
      </c>
    </row>
    <row r="1091" spans="1:16" hidden="1" x14ac:dyDescent="0.25">
      <c r="A1091" t="s">
        <v>1218</v>
      </c>
      <c r="B1091" t="str">
        <f t="shared" si="68"/>
        <v>Tŭmén Zhèn</v>
      </c>
      <c r="C1091" t="str">
        <f t="shared" si="69"/>
        <v>Tŭmén Zhèn</v>
      </c>
      <c r="D1091" t="s">
        <v>1219</v>
      </c>
      <c r="E1091" t="s">
        <v>7</v>
      </c>
      <c r="F1091" t="str">
        <f>_xlfn.CONCAT(D1091,", ",H1091,", ",I1091,", ","陕西省")</f>
        <v>土门镇, 丹凤县, 商洛市, 陕西省</v>
      </c>
      <c r="G1091">
        <v>13293</v>
      </c>
      <c r="H1091" t="s">
        <v>3073</v>
      </c>
      <c r="I1091" t="s">
        <v>3072</v>
      </c>
      <c r="J1091">
        <f>VLOOKUP(F1091,[1]!china_towns_second__2[[Column1]:[Y]],3,FALSE)</f>
        <v>33.448892549662098</v>
      </c>
      <c r="K1091">
        <f>VLOOKUP(F1091,[1]!china_towns_second__2[[Column1]:[Y]],2,FALSE)</f>
        <v>110.33581890000001</v>
      </c>
      <c r="L1091" t="s">
        <v>5212</v>
      </c>
      <c r="M1091" t="str">
        <f>VLOOKUP(H1091,CHOOSE({1,2},Table11[Native],Table11[Name]),2,0)</f>
        <v>Dānfèng Xiàn</v>
      </c>
      <c r="N1091" s="13" t="str">
        <f>VLOOKUP(I1091,CHOOSE({1,2},Table11[Native],Table11[Name]),2,0)</f>
        <v>Shāngluò Shì</v>
      </c>
      <c r="O1091" s="13" t="str">
        <f t="shared" si="70"/>
        <v>Tumen Zhen (Shāngluò Shì)</v>
      </c>
      <c r="P1091" s="13" t="str">
        <f t="shared" si="71"/>
        <v>Tumen Zhen (Shāngluò Shì)</v>
      </c>
    </row>
    <row r="1092" spans="1:16" hidden="1" x14ac:dyDescent="0.25">
      <c r="A1092" t="s">
        <v>2910</v>
      </c>
      <c r="B1092" t="str">
        <f t="shared" si="68"/>
        <v>Tuó'ĕrxiàng Xiāng</v>
      </c>
      <c r="C1092" t="str">
        <f t="shared" si="69"/>
        <v>Tuó'ĕrxiàng Xiāng</v>
      </c>
      <c r="D1092" t="s">
        <v>2911</v>
      </c>
      <c r="E1092" t="s">
        <v>11</v>
      </c>
      <c r="F1092" t="str">
        <f>_xlfn.CONCAT(D1092,", ",H1092,", ",I1092,", ","陕西省")</f>
        <v>驼耳巷乡, 子洲县, 榆林市, 陕西省</v>
      </c>
      <c r="G1092">
        <v>5458</v>
      </c>
      <c r="H1092" t="s">
        <v>3160</v>
      </c>
      <c r="I1092" t="s">
        <v>3148</v>
      </c>
      <c r="J1092" t="e">
        <f>VLOOKUP(F1092,[1]!china_towns_second__2[[Column1]:[Y]],3,FALSE)</f>
        <v>#N/A</v>
      </c>
      <c r="K1092" t="e">
        <f>VLOOKUP(F1092,[1]!china_towns_second__2[[Column1]:[Y]],2,FALSE)</f>
        <v>#N/A</v>
      </c>
      <c r="L1092" t="s">
        <v>5213</v>
      </c>
      <c r="M1092" t="str">
        <f>VLOOKUP(H1092,CHOOSE({1,2},Table11[Native],Table11[Name]),2,0)</f>
        <v>Zizhōu Xiàn</v>
      </c>
      <c r="N1092" s="13" t="str">
        <f>VLOOKUP(I1092,CHOOSE({1,2},Table11[Native],Table11[Name]),2,0)</f>
        <v>Yúlín Shì</v>
      </c>
      <c r="O1092" s="13" t="str">
        <f t="shared" si="70"/>
        <v>Tuo'erxiang Xiang (Yúlín Shì)</v>
      </c>
      <c r="P1092" s="13" t="str">
        <f t="shared" si="71"/>
        <v>Tuo'erxiang Xiang (Yúlín Shì)</v>
      </c>
    </row>
    <row r="1093" spans="1:16" hidden="1" x14ac:dyDescent="0.25">
      <c r="A1093" t="s">
        <v>2912</v>
      </c>
      <c r="B1093" t="str">
        <f t="shared" si="68"/>
        <v>Tuófēnglù Jiēdào</v>
      </c>
      <c r="C1093" t="str">
        <f t="shared" si="69"/>
        <v>Tuófēnglù Jiēdào</v>
      </c>
      <c r="D1093" t="s">
        <v>2913</v>
      </c>
      <c r="E1093" t="s">
        <v>113</v>
      </c>
      <c r="F1093" t="str">
        <f>_xlfn.CONCAT(D1093,", ",H1093,", ",I1093,", ","陕西省")</f>
        <v>驼峰路街道, 榆阳区, 榆林市, 陕西省</v>
      </c>
      <c r="G1093">
        <v>60124</v>
      </c>
      <c r="H1093" t="s">
        <v>3159</v>
      </c>
      <c r="I1093" t="s">
        <v>3148</v>
      </c>
      <c r="J1093">
        <f>VLOOKUP(F1093,[1]!china_towns_second__2[[Column1]:[Y]],3,FALSE)</f>
        <v>38.313072994843097</v>
      </c>
      <c r="K1093">
        <f>VLOOKUP(F1093,[1]!china_towns_second__2[[Column1]:[Y]],2,FALSE)</f>
        <v>109.7663335</v>
      </c>
      <c r="L1093" t="s">
        <v>5214</v>
      </c>
      <c r="M1093" t="str">
        <f>VLOOKUP(H1093,CHOOSE({1,2},Table11[Native],Table11[Name]),2,0)</f>
        <v>Yúyáng Qū</v>
      </c>
      <c r="N1093" s="13" t="str">
        <f>VLOOKUP(I1093,CHOOSE({1,2},Table11[Native],Table11[Name]),2,0)</f>
        <v>Yúlín Shì</v>
      </c>
      <c r="O1093" s="13" t="str">
        <f t="shared" si="70"/>
        <v>Tuofenglu Jiedao (Yúlín Shì)</v>
      </c>
      <c r="P1093" s="13" t="str">
        <f t="shared" si="71"/>
        <v>Tuofenglu Jiedao (Yúlín Shì)</v>
      </c>
    </row>
    <row r="1094" spans="1:16" hidden="1" x14ac:dyDescent="0.25">
      <c r="A1094" t="s">
        <v>561</v>
      </c>
      <c r="B1094" t="str">
        <f t="shared" si="68"/>
        <v>Tuòshí Zhèn</v>
      </c>
      <c r="C1094" t="str">
        <f t="shared" si="69"/>
        <v>Tuòshí Zhèn</v>
      </c>
      <c r="D1094" t="s">
        <v>562</v>
      </c>
      <c r="E1094" t="s">
        <v>7</v>
      </c>
      <c r="F1094" t="str">
        <f>_xlfn.CONCAT(D1094,", ",H1094,", ",I1094,", ","陕西省")</f>
        <v>拓石镇, 陈仓区, 宝鸡市, 陕西省</v>
      </c>
      <c r="G1094">
        <v>12904</v>
      </c>
      <c r="H1094" t="s">
        <v>3046</v>
      </c>
      <c r="I1094" t="s">
        <v>3045</v>
      </c>
      <c r="J1094">
        <f>VLOOKUP(F1094,[1]!china_towns_second__2[[Column1]:[Y]],3,FALSE)</f>
        <v>34.5093760744601</v>
      </c>
      <c r="K1094">
        <f>VLOOKUP(F1094,[1]!china_towns_second__2[[Column1]:[Y]],2,FALSE)</f>
        <v>106.6046406</v>
      </c>
      <c r="L1094" t="s">
        <v>5215</v>
      </c>
      <c r="M1094" t="str">
        <f>VLOOKUP(H1094,CHOOSE({1,2},Table11[Native],Table11[Name]),2,0)</f>
        <v>Chéncāng Qū</v>
      </c>
      <c r="N1094" s="13" t="str">
        <f>VLOOKUP(I1094,CHOOSE({1,2},Table11[Native],Table11[Name]),2,0)</f>
        <v>Băojī Shì</v>
      </c>
      <c r="O1094" s="13" t="str">
        <f t="shared" si="70"/>
        <v>Tuoshi Zhen (Băojī Shì)</v>
      </c>
      <c r="P1094" s="13" t="str">
        <f t="shared" si="71"/>
        <v>Tuoshi Zhen (Băojī Shì)</v>
      </c>
    </row>
    <row r="1095" spans="1:16" hidden="1" x14ac:dyDescent="0.25">
      <c r="A1095" t="s">
        <v>1875</v>
      </c>
      <c r="B1095" t="str">
        <f t="shared" si="68"/>
        <v>Tŭqiáo Zhèn [incl. Zhàngbāsì Zhèn, Páixià Xiāng]</v>
      </c>
      <c r="C1095" t="str">
        <f t="shared" si="69"/>
        <v>Tŭqiáo Zhèn [incl. Zhàngbāsì Zhèn, Páixià Xiāng]</v>
      </c>
      <c r="D1095" t="s">
        <v>1876</v>
      </c>
      <c r="E1095" t="s">
        <v>7</v>
      </c>
      <c r="F1095" t="str">
        <f>_xlfn.CONCAT(D1095,", ",H1095,", ",I1095,", ","陕西省")</f>
        <v>土桥镇, 旬邑县, 咸阳市, 陕西省</v>
      </c>
      <c r="G1095">
        <v>44575</v>
      </c>
      <c r="H1095" t="s">
        <v>3129</v>
      </c>
      <c r="I1095" t="s">
        <v>3117</v>
      </c>
      <c r="J1095">
        <f>VLOOKUP(F1095,[1]!china_towns_second__2[[Column1]:[Y]],3,FALSE)</f>
        <v>35.028878570283702</v>
      </c>
      <c r="K1095">
        <f>VLOOKUP(F1095,[1]!china_towns_second__2[[Column1]:[Y]],2,FALSE)</f>
        <v>108.4165349</v>
      </c>
      <c r="L1095" t="s">
        <v>5216</v>
      </c>
      <c r="M1095" t="str">
        <f>VLOOKUP(H1095,CHOOSE({1,2},Table11[Native],Table11[Name]),2,0)</f>
        <v>Xúnyì Xiàn</v>
      </c>
      <c r="N1095" s="13" t="str">
        <f>VLOOKUP(I1095,CHOOSE({1,2},Table11[Native],Table11[Name]),2,0)</f>
        <v>Xiányáng Shì</v>
      </c>
      <c r="O1095" s="13" t="str">
        <f t="shared" si="70"/>
        <v>Tuqiao Zhen [incl. Zhangbasi Zhen, Paixia Xiang] (Xiányáng Shì)</v>
      </c>
      <c r="P1095" s="13" t="str">
        <f t="shared" si="71"/>
        <v>Tuqiao Zhen [incl. Zhangbasi Zhen, Paixia Xiang] (Xiányáng Shì)</v>
      </c>
    </row>
    <row r="1096" spans="1:16" hidden="1" x14ac:dyDescent="0.25">
      <c r="A1096" t="s">
        <v>1220</v>
      </c>
      <c r="B1096" t="str">
        <f t="shared" si="68"/>
        <v>Wăfángkŏu Zhèn</v>
      </c>
      <c r="C1096" t="str">
        <f t="shared" si="69"/>
        <v>Wăfángkŏu Zhèn</v>
      </c>
      <c r="D1096" t="s">
        <v>1221</v>
      </c>
      <c r="E1096" t="s">
        <v>7</v>
      </c>
      <c r="F1096" t="str">
        <f>_xlfn.CONCAT(D1096,", ",H1096,", ",I1096,", ","陕西省")</f>
        <v>瓦房口镇, 柞水县, 商洛市, 陕西省</v>
      </c>
      <c r="G1096">
        <v>7361</v>
      </c>
      <c r="H1096" t="s">
        <v>3078</v>
      </c>
      <c r="I1096" t="s">
        <v>3072</v>
      </c>
      <c r="J1096">
        <f>VLOOKUP(F1096,[1]!china_towns_second__2[[Column1]:[Y]],3,FALSE)</f>
        <v>33.660783780480898</v>
      </c>
      <c r="K1096">
        <f>VLOOKUP(F1096,[1]!china_towns_second__2[[Column1]:[Y]],2,FALSE)</f>
        <v>109.4353229</v>
      </c>
      <c r="L1096" t="s">
        <v>5217</v>
      </c>
      <c r="M1096" t="str">
        <f>VLOOKUP(H1096,CHOOSE({1,2},Table11[Native],Table11[Name]),2,0)</f>
        <v>Zhàshuĭ Xiàn</v>
      </c>
      <c r="N1096" s="13" t="str">
        <f>VLOOKUP(I1096,CHOOSE({1,2},Table11[Native],Table11[Name]),2,0)</f>
        <v>Shāngluò Shì</v>
      </c>
      <c r="O1096" s="13" t="str">
        <f t="shared" si="70"/>
        <v>Wafangkou Zhen (Shāngluò Shì)</v>
      </c>
      <c r="P1096" s="13" t="str">
        <f t="shared" si="71"/>
        <v>Wafangkou Zhen (Shāngluò Shì)</v>
      </c>
    </row>
    <row r="1097" spans="1:16" hidden="1" x14ac:dyDescent="0.25">
      <c r="A1097" t="s">
        <v>255</v>
      </c>
      <c r="B1097" t="str">
        <f t="shared" si="68"/>
        <v>Wămiào Zhèn</v>
      </c>
      <c r="C1097" t="str">
        <f t="shared" si="69"/>
        <v>Wămiào Zhèn</v>
      </c>
      <c r="D1097" t="s">
        <v>256</v>
      </c>
      <c r="E1097" t="s">
        <v>7</v>
      </c>
      <c r="F1097" t="str">
        <f>_xlfn.CONCAT(D1097,", ",H1097,", ",I1097,", ","陕西省")</f>
        <v>瓦庙镇, 紫阳县, 安康市, 陕西省</v>
      </c>
      <c r="G1097">
        <v>11814</v>
      </c>
      <c r="H1097" t="s">
        <v>3043</v>
      </c>
      <c r="I1097" t="s">
        <v>3031</v>
      </c>
      <c r="J1097">
        <f>VLOOKUP(F1097,[1]!china_towns_second__2[[Column1]:[Y]],3,FALSE)</f>
        <v>32.383843834532698</v>
      </c>
      <c r="K1097">
        <f>VLOOKUP(F1097,[1]!china_towns_second__2[[Column1]:[Y]],2,FALSE)</f>
        <v>108.16123829999999</v>
      </c>
      <c r="L1097" t="s">
        <v>5218</v>
      </c>
      <c r="M1097" t="str">
        <f>VLOOKUP(H1097,CHOOSE({1,2},Table11[Native],Table11[Name]),2,0)</f>
        <v>Zĭyáng Xiàn</v>
      </c>
      <c r="N1097" s="13" t="str">
        <f>VLOOKUP(I1097,CHOOSE({1,2},Table11[Native],Table11[Name]),2,0)</f>
        <v>Ānkāng Shì</v>
      </c>
      <c r="O1097" s="13" t="str">
        <f t="shared" si="70"/>
        <v>Wamiao Zhen (Ānkāng Shì)</v>
      </c>
      <c r="P1097" s="13" t="str">
        <f t="shared" si="71"/>
        <v>Wamiao Zhen (Ānkāng Shì)</v>
      </c>
    </row>
    <row r="1098" spans="1:16" hidden="1" x14ac:dyDescent="0.25">
      <c r="A1098" t="s">
        <v>2922</v>
      </c>
      <c r="B1098" t="str">
        <f t="shared" si="68"/>
        <v>Wàn Zhèn</v>
      </c>
      <c r="C1098" t="str">
        <f t="shared" si="69"/>
        <v>Wàn Zhèn</v>
      </c>
      <c r="D1098" t="s">
        <v>2923</v>
      </c>
      <c r="E1098" t="s">
        <v>7</v>
      </c>
      <c r="F1098" t="str">
        <f>_xlfn.CONCAT(D1098,", ",H1098,", ",I1098,", ","陕西省")</f>
        <v>万镇, 神木市, 榆林市, 陕西省</v>
      </c>
      <c r="G1098">
        <v>4144</v>
      </c>
      <c r="H1098" t="s">
        <v>3156</v>
      </c>
      <c r="I1098" t="s">
        <v>3148</v>
      </c>
      <c r="J1098">
        <f>VLOOKUP(F1098,[1]!china_towns_second__2[[Column1]:[Y]],3,FALSE)</f>
        <v>38.314526755312798</v>
      </c>
      <c r="K1098">
        <f>VLOOKUP(F1098,[1]!china_towns_second__2[[Column1]:[Y]],2,FALSE)</f>
        <v>110.54839680000001</v>
      </c>
      <c r="L1098" t="s">
        <v>5219</v>
      </c>
      <c r="M1098" t="str">
        <f>VLOOKUP(H1098,CHOOSE({1,2},Table11[Native],Table11[Name]),2,0)</f>
        <v>Shénmù Shì</v>
      </c>
      <c r="N1098" s="13" t="str">
        <f>VLOOKUP(I1098,CHOOSE({1,2},Table11[Native],Table11[Name]),2,0)</f>
        <v>Yúlín Shì</v>
      </c>
      <c r="O1098" s="13" t="str">
        <f t="shared" si="70"/>
        <v>Wan Zhen (Yúlín Shì)</v>
      </c>
      <c r="P1098" s="13" t="str">
        <f t="shared" si="71"/>
        <v>Wan Zhen (Yúlín Shì)</v>
      </c>
    </row>
    <row r="1099" spans="1:16" hidden="1" x14ac:dyDescent="0.25">
      <c r="A1099" t="s">
        <v>2211</v>
      </c>
      <c r="B1099" t="str">
        <f t="shared" si="68"/>
        <v>Wăngchuān Zhèn [incl. Yùchuān Xiāng]</v>
      </c>
      <c r="C1099" t="str">
        <f t="shared" si="69"/>
        <v>Wăngchuān Zhèn [incl. Yùchuān Xiāng]</v>
      </c>
      <c r="D1099" t="s">
        <v>2212</v>
      </c>
      <c r="E1099" t="s">
        <v>7</v>
      </c>
      <c r="F1099" t="str">
        <f>_xlfn.CONCAT(D1099,", ",H1099,", ",I1099,", ","陕西省")</f>
        <v>辋川镇, 蓝田县, 西安市, 陕西省</v>
      </c>
      <c r="G1099">
        <v>17185</v>
      </c>
      <c r="H1099" t="s">
        <v>3108</v>
      </c>
      <c r="I1099" t="s">
        <v>3102</v>
      </c>
      <c r="J1099">
        <f>VLOOKUP(F1099,[1]!china_towns_second__2[[Column1]:[Y]],3,FALSE)</f>
        <v>34.055081767700798</v>
      </c>
      <c r="K1099">
        <f>VLOOKUP(F1099,[1]!china_towns_second__2[[Column1]:[Y]],2,FALSE)</f>
        <v>109.38389220000001</v>
      </c>
      <c r="L1099" t="s">
        <v>5220</v>
      </c>
      <c r="M1099" t="str">
        <f>VLOOKUP(H1099,CHOOSE({1,2},Table11[Native],Table11[Name]),2,0)</f>
        <v>Lántián Xiàn</v>
      </c>
      <c r="N1099" s="13" t="str">
        <f>VLOOKUP(I1099,CHOOSE({1,2},Table11[Native],Table11[Name]),2,0)</f>
        <v>Xī'ān Shì</v>
      </c>
      <c r="O1099" s="13" t="str">
        <f t="shared" si="70"/>
        <v>Wangchuan Zhen [incl. Yuchuan Xiang] (Xī'ān Shì)</v>
      </c>
      <c r="P1099" s="13" t="str">
        <f t="shared" si="71"/>
        <v>Wangchuan Zhen [incl. Yuchuan Xiang] (Xī'ān Shì)</v>
      </c>
    </row>
    <row r="1100" spans="1:16" hidden="1" x14ac:dyDescent="0.25">
      <c r="A1100" t="s">
        <v>1630</v>
      </c>
      <c r="B1100" t="str">
        <f t="shared" si="68"/>
        <v>Wángcūn Zhèn (Wèinán Shì)</v>
      </c>
      <c r="C1100" t="str">
        <f t="shared" si="69"/>
        <v>Wángcūn Zhèn (Wèinán Shì)</v>
      </c>
      <c r="D1100" t="s">
        <v>1631</v>
      </c>
      <c r="E1100" t="s">
        <v>7</v>
      </c>
      <c r="F1100" t="str">
        <f>_xlfn.CONCAT(D1100,", ",H1100,", ",I1100,", ","陕西省")</f>
        <v>王村镇, 合阳县, 渭南市, 陕西省</v>
      </c>
      <c r="G1100">
        <v>28029</v>
      </c>
      <c r="H1100" t="s">
        <v>3094</v>
      </c>
      <c r="I1100" t="s">
        <v>3087</v>
      </c>
      <c r="J1100">
        <f>VLOOKUP(F1100,[1]!china_towns_second__2[[Column1]:[Y]],3,FALSE)</f>
        <v>35.2129751598859</v>
      </c>
      <c r="K1100">
        <f>VLOOKUP(F1100,[1]!china_towns_second__2[[Column1]:[Y]],2,FALSE)</f>
        <v>110.0615358</v>
      </c>
      <c r="L1100" t="s">
        <v>5221</v>
      </c>
      <c r="M1100" t="str">
        <f>VLOOKUP(H1100,CHOOSE({1,2},Table11[Native],Table11[Name]),2,0)</f>
        <v>Héyáng Xiàn</v>
      </c>
      <c r="N1100" s="13" t="str">
        <f>VLOOKUP(I1100,CHOOSE({1,2},Table11[Native],Table11[Name]),2,0)</f>
        <v>Wèinán Shì</v>
      </c>
      <c r="O1100" s="13" t="str">
        <f t="shared" si="70"/>
        <v>Wangcun Zhen (Weinan Shi) (Wèinán Shì)</v>
      </c>
      <c r="P1100" s="13" t="str">
        <f t="shared" si="71"/>
        <v>Wangcun Zhen (Weinan Shi) (Wèinán Shì)</v>
      </c>
    </row>
    <row r="1101" spans="1:16" hidden="1" x14ac:dyDescent="0.25">
      <c r="A1101" t="s">
        <v>1630</v>
      </c>
      <c r="B1101" t="str">
        <f t="shared" si="68"/>
        <v>Wángcūn Zhèn (Xiányáng Shì)</v>
      </c>
      <c r="C1101" t="str">
        <f t="shared" si="69"/>
        <v>Wángcūn Zhèn (Xiányáng Shì)</v>
      </c>
      <c r="D1101" t="s">
        <v>1631</v>
      </c>
      <c r="E1101" t="s">
        <v>7</v>
      </c>
      <c r="F1101" t="str">
        <f>_xlfn.CONCAT(D1101,", ",H1101,", ",I1101,", ","陕西省")</f>
        <v>王村镇, 乾县, 咸阳市, 陕西省</v>
      </c>
      <c r="G1101">
        <v>28173</v>
      </c>
      <c r="H1101" t="s">
        <v>3123</v>
      </c>
      <c r="I1101" t="s">
        <v>3117</v>
      </c>
      <c r="J1101">
        <f>VLOOKUP(F1101,[1]!china_towns_second__2[[Column1]:[Y]],3,FALSE)</f>
        <v>34.383974847729199</v>
      </c>
      <c r="K1101">
        <f>VLOOKUP(F1101,[1]!china_towns_second__2[[Column1]:[Y]],2,FALSE)</f>
        <v>108.1895219</v>
      </c>
      <c r="L1101" t="s">
        <v>5222</v>
      </c>
      <c r="M1101" t="str">
        <f>VLOOKUP(H1101,CHOOSE({1,2},Table11[Native],Table11[Name]),2,0)</f>
        <v>Qián Xiàn</v>
      </c>
      <c r="N1101" s="13" t="str">
        <f>VLOOKUP(I1101,CHOOSE({1,2},Table11[Native],Table11[Name]),2,0)</f>
        <v>Xiányáng Shì</v>
      </c>
      <c r="O1101" s="13" t="str">
        <f t="shared" si="70"/>
        <v>Wangcun Zhen (Xianyang Shi) (Xiányáng Shì)</v>
      </c>
      <c r="P1101" s="13" t="str">
        <f t="shared" si="71"/>
        <v>Wangcun Zhen (Xianyang Shi) (Xiányáng Shì)</v>
      </c>
    </row>
    <row r="1102" spans="1:16" hidden="1" x14ac:dyDescent="0.25">
      <c r="A1102" t="s">
        <v>2914</v>
      </c>
      <c r="B1102" t="str">
        <f t="shared" si="68"/>
        <v>Wángjiābiān Zhèn</v>
      </c>
      <c r="C1102" t="str">
        <f t="shared" si="69"/>
        <v>Wángjiābiān Zhèn</v>
      </c>
      <c r="D1102" t="s">
        <v>2915</v>
      </c>
      <c r="E1102" t="s">
        <v>7</v>
      </c>
      <c r="F1102" t="str">
        <f>_xlfn.CONCAT(D1102,", ",H1102,", ",I1102,", ","陕西省")</f>
        <v>王家砭镇, 佳县, 榆林市, 陕西省</v>
      </c>
      <c r="G1102">
        <v>11050</v>
      </c>
      <c r="H1102" t="s">
        <v>3152</v>
      </c>
      <c r="I1102" t="s">
        <v>3148</v>
      </c>
      <c r="J1102">
        <f>VLOOKUP(F1102,[1]!china_towns_second__2[[Column1]:[Y]],3,FALSE)</f>
        <v>38.232606644580102</v>
      </c>
      <c r="K1102">
        <f>VLOOKUP(F1102,[1]!china_towns_second__2[[Column1]:[Y]],2,FALSE)</f>
        <v>110.2279777</v>
      </c>
      <c r="L1102" t="s">
        <v>5223</v>
      </c>
      <c r="M1102" t="str">
        <f>VLOOKUP(H1102,CHOOSE({1,2},Table11[Native],Table11[Name]),2,0)</f>
        <v>Jiā Xiàn</v>
      </c>
      <c r="N1102" s="13" t="str">
        <f>VLOOKUP(I1102,CHOOSE({1,2},Table11[Native],Table11[Name]),2,0)</f>
        <v>Yúlín Shì</v>
      </c>
      <c r="O1102" s="13" t="str">
        <f t="shared" si="70"/>
        <v>Wangjiabian Zhen (Yúlín Shì)</v>
      </c>
      <c r="P1102" s="13" t="str">
        <f t="shared" si="71"/>
        <v>Wangjiabian Zhen (Yúlín Shì)</v>
      </c>
    </row>
    <row r="1103" spans="1:16" hidden="1" x14ac:dyDescent="0.25">
      <c r="A1103" t="s">
        <v>2916</v>
      </c>
      <c r="B1103" t="str">
        <f t="shared" si="68"/>
        <v>Wángjiādūn Xiāng</v>
      </c>
      <c r="C1103" t="str">
        <f t="shared" si="69"/>
        <v>Wángjiādūn Xiāng</v>
      </c>
      <c r="D1103" t="s">
        <v>2917</v>
      </c>
      <c r="E1103" t="s">
        <v>11</v>
      </c>
      <c r="F1103" t="str">
        <f>_xlfn.CONCAT(D1103,", ",H1103,", ",I1103,", ","陕西省")</f>
        <v>王家墩乡, 府谷县, 榆林市, 陕西省</v>
      </c>
      <c r="G1103">
        <v>2747</v>
      </c>
      <c r="H1103" t="s">
        <v>3150</v>
      </c>
      <c r="I1103" t="s">
        <v>3148</v>
      </c>
      <c r="J1103" t="e">
        <f>VLOOKUP(F1103,[1]!china_towns_second__2[[Column1]:[Y]],3,FALSE)</f>
        <v>#N/A</v>
      </c>
      <c r="K1103" t="e">
        <f>VLOOKUP(F1103,[1]!china_towns_second__2[[Column1]:[Y]],2,FALSE)</f>
        <v>#N/A</v>
      </c>
      <c r="L1103" t="s">
        <v>5224</v>
      </c>
      <c r="M1103" t="str">
        <f>VLOOKUP(H1103,CHOOSE({1,2},Table11[Native],Table11[Name]),2,0)</f>
        <v>Fŭgŭ Xiàn</v>
      </c>
      <c r="N1103" s="13" t="str">
        <f>VLOOKUP(I1103,CHOOSE({1,2},Table11[Native],Table11[Name]),2,0)</f>
        <v>Yúlín Shì</v>
      </c>
      <c r="O1103" s="13" t="str">
        <f t="shared" si="70"/>
        <v>Wangjiadun Xiang (Yúlín Shì)</v>
      </c>
      <c r="P1103" s="13" t="str">
        <f t="shared" si="71"/>
        <v>Wangjiadun Xiang (Yúlín Shì)</v>
      </c>
    </row>
    <row r="1104" spans="1:16" hidden="1" x14ac:dyDescent="0.25">
      <c r="A1104" t="s">
        <v>1341</v>
      </c>
      <c r="B1104" t="str">
        <f t="shared" si="68"/>
        <v>Wángjiāhé Jiēdào</v>
      </c>
      <c r="C1104" t="str">
        <f t="shared" si="69"/>
        <v>Wángjiāhé Jiēdào</v>
      </c>
      <c r="D1104" t="s">
        <v>1342</v>
      </c>
      <c r="E1104" t="s">
        <v>113</v>
      </c>
      <c r="F1104" t="str">
        <f>_xlfn.CONCAT(D1104,", ",H1104,", ",I1104,", ","陕西省")</f>
        <v>王家河街道, 王益区, 铜川市, 陕西省</v>
      </c>
      <c r="G1104">
        <v>21760</v>
      </c>
      <c r="H1104" t="s">
        <v>3082</v>
      </c>
      <c r="I1104" t="s">
        <v>3081</v>
      </c>
      <c r="J1104">
        <f>VLOOKUP(F1104,[1]!china_towns_second__2[[Column1]:[Y]],3,FALSE)</f>
        <v>35.131642767142601</v>
      </c>
      <c r="K1104">
        <f>VLOOKUP(F1104,[1]!china_towns_second__2[[Column1]:[Y]],2,FALSE)</f>
        <v>109.0236105</v>
      </c>
      <c r="L1104" t="s">
        <v>5225</v>
      </c>
      <c r="M1104" t="str">
        <f>VLOOKUP(H1104,CHOOSE({1,2},Table11[Native],Table11[Name]),2,0)</f>
        <v>Wángyì Qū</v>
      </c>
      <c r="N1104" s="13" t="str">
        <f>VLOOKUP(I1104,CHOOSE({1,2},Table11[Native],Table11[Name]),2,0)</f>
        <v>Tóngchuān Shì</v>
      </c>
      <c r="O1104" s="13" t="str">
        <f t="shared" si="70"/>
        <v>Wangjiahe Jiedao (Tóngchuān Shì)</v>
      </c>
      <c r="P1104" s="13" t="str">
        <f t="shared" si="71"/>
        <v>Wangjiahe Jiedao (Tóngchuān Shì)</v>
      </c>
    </row>
    <row r="1105" spans="1:16" hidden="1" x14ac:dyDescent="0.25">
      <c r="A1105" t="s">
        <v>2213</v>
      </c>
      <c r="B1105" t="str">
        <f t="shared" si="68"/>
        <v>Wángjiāhé Zhèn</v>
      </c>
      <c r="C1105" t="str">
        <f t="shared" si="69"/>
        <v>Wángjiāhé Zhèn</v>
      </c>
      <c r="D1105" t="s">
        <v>2214</v>
      </c>
      <c r="E1105" t="s">
        <v>7</v>
      </c>
      <c r="F1105" t="str">
        <f>_xlfn.CONCAT(D1105,", ",H1105,", ",I1105,", ","陕西省")</f>
        <v>王家河镇, 周至县, 西安市, 陕西省</v>
      </c>
      <c r="G1105">
        <v>2313</v>
      </c>
      <c r="H1105" t="s">
        <v>3115</v>
      </c>
      <c r="I1105" t="s">
        <v>3102</v>
      </c>
      <c r="J1105">
        <f>VLOOKUP(F1105,[1]!china_towns_second__2[[Column1]:[Y]],3,FALSE)</f>
        <v>33.832291123836796</v>
      </c>
      <c r="K1105">
        <f>VLOOKUP(F1105,[1]!china_towns_second__2[[Column1]:[Y]],2,FALSE)</f>
        <v>108.2235807</v>
      </c>
      <c r="L1105" t="s">
        <v>5226</v>
      </c>
      <c r="M1105" t="str">
        <f>VLOOKUP(H1105,CHOOSE({1,2},Table11[Native],Table11[Name]),2,0)</f>
        <v>Zhōuzhì Xiàn</v>
      </c>
      <c r="N1105" s="13" t="str">
        <f>VLOOKUP(I1105,CHOOSE({1,2},Table11[Native],Table11[Name]),2,0)</f>
        <v>Xī'ān Shì</v>
      </c>
      <c r="O1105" s="13" t="str">
        <f t="shared" si="70"/>
        <v>Wangjiahe Zhen (Xī'ān Shì)</v>
      </c>
      <c r="P1105" s="13" t="str">
        <f t="shared" si="71"/>
        <v>Wangjiahe Zhen (Xī'ān Shì)</v>
      </c>
    </row>
    <row r="1106" spans="1:16" hidden="1" x14ac:dyDescent="0.25">
      <c r="A1106" t="s">
        <v>563</v>
      </c>
      <c r="B1106" t="str">
        <f t="shared" si="68"/>
        <v>Wángjiāléng Zhèn</v>
      </c>
      <c r="C1106" t="str">
        <f t="shared" si="69"/>
        <v>Wángjiāléng Zhèn</v>
      </c>
      <c r="D1106" t="s">
        <v>564</v>
      </c>
      <c r="E1106" t="s">
        <v>7</v>
      </c>
      <c r="F1106" t="str">
        <f>_xlfn.CONCAT(D1106,", ",H1106,", ",I1106,", ","陕西省")</f>
        <v>王家堎镇, 太白县, 宝鸡市, 陕西省</v>
      </c>
      <c r="G1106">
        <v>1460</v>
      </c>
      <c r="H1106" t="s">
        <v>3056</v>
      </c>
      <c r="I1106" t="s">
        <v>3045</v>
      </c>
      <c r="J1106">
        <f>VLOOKUP(F1106,[1]!china_towns_second__2[[Column1]:[Y]],3,FALSE)</f>
        <v>33.885180654964699</v>
      </c>
      <c r="K1106">
        <f>VLOOKUP(F1106,[1]!china_towns_second__2[[Column1]:[Y]],2,FALSE)</f>
        <v>107.11810250000001</v>
      </c>
      <c r="L1106" t="s">
        <v>5227</v>
      </c>
      <c r="M1106" t="str">
        <f>VLOOKUP(H1106,CHOOSE({1,2},Table11[Native],Table11[Name]),2,0)</f>
        <v>Tàibái Xiàn</v>
      </c>
      <c r="N1106" s="13" t="str">
        <f>VLOOKUP(I1106,CHOOSE({1,2},Table11[Native],Table11[Name]),2,0)</f>
        <v>Băojī Shì</v>
      </c>
      <c r="O1106" s="13" t="str">
        <f t="shared" si="70"/>
        <v>Wangjialeng Zhen (Băojī Shì)</v>
      </c>
      <c r="P1106" s="13" t="str">
        <f t="shared" si="71"/>
        <v>Wangjialeng Zhen (Băojī Shì)</v>
      </c>
    </row>
    <row r="1107" spans="1:16" hidden="1" x14ac:dyDescent="0.25">
      <c r="A1107" t="s">
        <v>2530</v>
      </c>
      <c r="B1107" t="str">
        <f t="shared" si="68"/>
        <v>Wángjiāwān Xiāng</v>
      </c>
      <c r="C1107" t="str">
        <f t="shared" si="69"/>
        <v>Wángjiāwān Xiāng</v>
      </c>
      <c r="D1107" t="s">
        <v>2531</v>
      </c>
      <c r="E1107" t="s">
        <v>11</v>
      </c>
      <c r="F1107" t="str">
        <f>_xlfn.CONCAT(D1107,", ",H1107,", ",I1107,", ","陕西省")</f>
        <v>王家湾乡, 安塞区, 延安市, 陕西省</v>
      </c>
      <c r="G1107">
        <v>4038</v>
      </c>
      <c r="H1107" t="s">
        <v>3134</v>
      </c>
      <c r="I1107" t="s">
        <v>3133</v>
      </c>
      <c r="J1107" t="e">
        <f>VLOOKUP(F1107,[1]!china_towns_second__2[[Column1]:[Y]],3,FALSE)</f>
        <v>#N/A</v>
      </c>
      <c r="K1107" t="e">
        <f>VLOOKUP(F1107,[1]!china_towns_second__2[[Column1]:[Y]],2,FALSE)</f>
        <v>#N/A</v>
      </c>
      <c r="L1107" t="s">
        <v>5228</v>
      </c>
      <c r="M1107" t="str">
        <f>VLOOKUP(H1107,CHOOSE({1,2},Table11[Native],Table11[Name]),2,0)</f>
        <v>Ānsài Qū</v>
      </c>
      <c r="N1107" s="13" t="str">
        <f>VLOOKUP(I1107,CHOOSE({1,2},Table11[Native],Table11[Name]),2,0)</f>
        <v>Yán'ān Shì</v>
      </c>
      <c r="O1107" s="13" t="str">
        <f t="shared" si="70"/>
        <v>Wangjiawan Xiang (Yán'ān Shì)</v>
      </c>
      <c r="P1107" s="13" t="str">
        <f t="shared" si="71"/>
        <v>Wangjiawan Xiang (Yán'ān Shì)</v>
      </c>
    </row>
    <row r="1108" spans="1:16" hidden="1" x14ac:dyDescent="0.25">
      <c r="A1108" t="s">
        <v>1222</v>
      </c>
      <c r="B1108" t="str">
        <f t="shared" si="68"/>
        <v>Wánglĭng Xiāng</v>
      </c>
      <c r="C1108" t="str">
        <f t="shared" si="69"/>
        <v>Wánglĭng Xiāng</v>
      </c>
      <c r="D1108" t="s">
        <v>1223</v>
      </c>
      <c r="E1108" t="s">
        <v>11</v>
      </c>
      <c r="F1108" t="str">
        <f>_xlfn.CONCAT(D1108,", ",H1108,", ",I1108,", ","陕西省")</f>
        <v>王岭乡, 洛南县, 商洛市, 陕西省</v>
      </c>
      <c r="G1108">
        <v>6353</v>
      </c>
      <c r="H1108" t="s">
        <v>3074</v>
      </c>
      <c r="I1108" t="s">
        <v>3072</v>
      </c>
      <c r="J1108" t="e">
        <f>VLOOKUP(F1108,[1]!china_towns_second__2[[Column1]:[Y]],3,FALSE)</f>
        <v>#N/A</v>
      </c>
      <c r="K1108" t="e">
        <f>VLOOKUP(F1108,[1]!china_towns_second__2[[Column1]:[Y]],2,FALSE)</f>
        <v>#N/A</v>
      </c>
      <c r="L1108" t="s">
        <v>5229</v>
      </c>
      <c r="M1108" t="str">
        <f>VLOOKUP(H1108,CHOOSE({1,2},Table11[Native],Table11[Name]),2,0)</f>
        <v>Luònán Xiàn</v>
      </c>
      <c r="N1108" s="13" t="str">
        <f>VLOOKUP(I1108,CHOOSE({1,2},Table11[Native],Table11[Name]),2,0)</f>
        <v>Shāngluò Shì</v>
      </c>
      <c r="O1108" s="13" t="str">
        <f t="shared" si="70"/>
        <v>Wangling Xiang (Shāngluò Shì)</v>
      </c>
      <c r="P1108" s="13" t="str">
        <f t="shared" si="71"/>
        <v>Wangling Xiang (Shāngluò Shì)</v>
      </c>
    </row>
    <row r="1109" spans="1:16" hidden="1" x14ac:dyDescent="0.25">
      <c r="A1109" t="s">
        <v>2215</v>
      </c>
      <c r="B1109" t="str">
        <f t="shared" si="68"/>
        <v>Wángmăng Jiēdào</v>
      </c>
      <c r="C1109" t="str">
        <f t="shared" si="69"/>
        <v>Wángmăng Jiēdào</v>
      </c>
      <c r="D1109" t="s">
        <v>2216</v>
      </c>
      <c r="E1109" t="s">
        <v>113</v>
      </c>
      <c r="F1109" t="str">
        <f>_xlfn.CONCAT(D1109,", ",H1109,", ",I1109,", ","陕西省")</f>
        <v>王莽街道, 长安区, 西安市, 陕西省</v>
      </c>
      <c r="G1109">
        <v>30394</v>
      </c>
      <c r="H1109" t="s">
        <v>3105</v>
      </c>
      <c r="I1109" t="s">
        <v>3102</v>
      </c>
      <c r="J1109">
        <f>VLOOKUP(F1109,[1]!china_towns_second__2[[Column1]:[Y]],3,FALSE)</f>
        <v>34.000704417014603</v>
      </c>
      <c r="K1109">
        <f>VLOOKUP(F1109,[1]!china_towns_second__2[[Column1]:[Y]],2,FALSE)</f>
        <v>109.0601956</v>
      </c>
      <c r="L1109" t="s">
        <v>5230</v>
      </c>
      <c r="M1109" t="str">
        <f>VLOOKUP(H1109,CHOOSE({1,2},Table11[Native],Table11[Name]),2,0)</f>
        <v>Cháng'ān Qū</v>
      </c>
      <c r="N1109" s="13" t="str">
        <f>VLOOKUP(I1109,CHOOSE({1,2},Table11[Native],Table11[Name]),2,0)</f>
        <v>Xī'ān Shì</v>
      </c>
      <c r="O1109" s="13" t="str">
        <f t="shared" si="70"/>
        <v>Wangmang Jiedao (Xī'ān Shì)</v>
      </c>
      <c r="P1109" s="13" t="str">
        <f t="shared" si="71"/>
        <v>Wangmang Jiedao (Xī'ān Shì)</v>
      </c>
    </row>
    <row r="1110" spans="1:16" hidden="1" x14ac:dyDescent="0.25">
      <c r="A1110" t="s">
        <v>2918</v>
      </c>
      <c r="B1110" t="str">
        <f t="shared" si="68"/>
        <v>Wángpánshān Xiāng</v>
      </c>
      <c r="C1110" t="str">
        <f t="shared" si="69"/>
        <v>Wángpánshān Xiāng</v>
      </c>
      <c r="D1110" t="s">
        <v>2919</v>
      </c>
      <c r="E1110" t="s">
        <v>11</v>
      </c>
      <c r="F1110" t="str">
        <f>_xlfn.CONCAT(D1110,", ",H1110,", ",I1110,", ","陕西省")</f>
        <v>王盘山乡, 定边县, 榆林市, 陕西省</v>
      </c>
      <c r="G1110">
        <v>4433</v>
      </c>
      <c r="H1110" t="s">
        <v>3149</v>
      </c>
      <c r="I1110" t="s">
        <v>3148</v>
      </c>
      <c r="J1110" t="e">
        <f>VLOOKUP(F1110,[1]!china_towns_second__2[[Column1]:[Y]],3,FALSE)</f>
        <v>#N/A</v>
      </c>
      <c r="K1110" t="e">
        <f>VLOOKUP(F1110,[1]!china_towns_second__2[[Column1]:[Y]],2,FALSE)</f>
        <v>#N/A</v>
      </c>
      <c r="L1110" t="s">
        <v>5231</v>
      </c>
      <c r="M1110" t="str">
        <f>VLOOKUP(H1110,CHOOSE({1,2},Table11[Native],Table11[Name]),2,0)</f>
        <v>Dìngbiān Xiàn</v>
      </c>
      <c r="N1110" s="13" t="str">
        <f>VLOOKUP(I1110,CHOOSE({1,2},Table11[Native],Table11[Name]),2,0)</f>
        <v>Yúlín Shì</v>
      </c>
      <c r="O1110" s="13" t="str">
        <f t="shared" si="70"/>
        <v>Wangpanshan Xiang (Yúlín Shì)</v>
      </c>
      <c r="P1110" s="13" t="str">
        <f t="shared" si="71"/>
        <v>Wangpanshan Xiang (Yúlín Shì)</v>
      </c>
    </row>
    <row r="1111" spans="1:16" hidden="1" x14ac:dyDescent="0.25">
      <c r="A1111" t="s">
        <v>1877</v>
      </c>
      <c r="B1111" t="str">
        <f t="shared" si="68"/>
        <v>Wángqiáo Zhèn</v>
      </c>
      <c r="C1111" t="str">
        <f t="shared" si="69"/>
        <v>Wángqiáo Zhèn</v>
      </c>
      <c r="D1111" t="s">
        <v>1878</v>
      </c>
      <c r="E1111" t="s">
        <v>7</v>
      </c>
      <c r="F1111" t="str">
        <f>_xlfn.CONCAT(D1111,", ",H1111,", ",I1111,", ","陕西省")</f>
        <v>王桥镇, 泾阳县, 咸阳市, 陕西省</v>
      </c>
      <c r="G1111">
        <v>24982</v>
      </c>
      <c r="H1111" t="s">
        <v>3121</v>
      </c>
      <c r="I1111" t="s">
        <v>3117</v>
      </c>
      <c r="J1111">
        <f>VLOOKUP(F1111,[1]!china_towns_second__2[[Column1]:[Y]],3,FALSE)</f>
        <v>34.617015908206099</v>
      </c>
      <c r="K1111">
        <f>VLOOKUP(F1111,[1]!china_towns_second__2[[Column1]:[Y]],2,FALSE)</f>
        <v>108.6400498</v>
      </c>
      <c r="L1111" t="s">
        <v>5232</v>
      </c>
      <c r="M1111" t="str">
        <f>VLOOKUP(H1111,CHOOSE({1,2},Table11[Native],Table11[Name]),2,0)</f>
        <v>Jīngyáng Xiàn</v>
      </c>
      <c r="N1111" s="13" t="str">
        <f>VLOOKUP(I1111,CHOOSE({1,2},Table11[Native],Table11[Name]),2,0)</f>
        <v>Xiányáng Shì</v>
      </c>
      <c r="O1111" s="13" t="str">
        <f t="shared" si="70"/>
        <v>Wangqiao Zhen (Xiányáng Shì)</v>
      </c>
      <c r="P1111" s="13" t="str">
        <f t="shared" si="71"/>
        <v>Wangqiao Zhen (Xiányáng Shì)</v>
      </c>
    </row>
    <row r="1112" spans="1:16" hidden="1" x14ac:dyDescent="0.25">
      <c r="A1112" t="s">
        <v>2217</v>
      </c>
      <c r="B1112" t="str">
        <f t="shared" si="68"/>
        <v>Wángqŭ Jiēdào</v>
      </c>
      <c r="C1112" t="str">
        <f t="shared" si="69"/>
        <v>Wángqŭ Jiēdào</v>
      </c>
      <c r="D1112" t="s">
        <v>2218</v>
      </c>
      <c r="E1112" t="s">
        <v>113</v>
      </c>
      <c r="F1112" t="str">
        <f>_xlfn.CONCAT(D1112,", ",H1112,", ",I1112,", ","陕西省")</f>
        <v>王曲街道, 长安区, 西安市, 陕西省</v>
      </c>
      <c r="G1112">
        <v>51477</v>
      </c>
      <c r="H1112" t="s">
        <v>3105</v>
      </c>
      <c r="I1112" t="s">
        <v>3102</v>
      </c>
      <c r="J1112">
        <f>VLOOKUP(F1112,[1]!china_towns_second__2[[Column1]:[Y]],3,FALSE)</f>
        <v>34.084158475401303</v>
      </c>
      <c r="K1112">
        <f>VLOOKUP(F1112,[1]!china_towns_second__2[[Column1]:[Y]],2,FALSE)</f>
        <v>108.9529813</v>
      </c>
      <c r="L1112" t="s">
        <v>5233</v>
      </c>
      <c r="M1112" t="str">
        <f>VLOOKUP(H1112,CHOOSE({1,2},Table11[Native],Table11[Name]),2,0)</f>
        <v>Cháng'ān Qū</v>
      </c>
      <c r="N1112" s="13" t="str">
        <f>VLOOKUP(I1112,CHOOSE({1,2},Table11[Native],Table11[Name]),2,0)</f>
        <v>Xī'ān Shì</v>
      </c>
      <c r="O1112" s="13" t="str">
        <f t="shared" si="70"/>
        <v>Wangqu Jiedao (Xī'ān Shì)</v>
      </c>
      <c r="P1112" s="13" t="str">
        <f t="shared" si="71"/>
        <v>Wangqu Jiedao (Xī'ān Shì)</v>
      </c>
    </row>
    <row r="1113" spans="1:16" hidden="1" x14ac:dyDescent="0.25">
      <c r="A1113" t="s">
        <v>2920</v>
      </c>
      <c r="B1113" t="str">
        <f t="shared" si="68"/>
        <v>Wángqúzé Zhèn</v>
      </c>
      <c r="C1113" t="str">
        <f t="shared" si="69"/>
        <v>Wángqúzé Zhèn</v>
      </c>
      <c r="D1113" t="s">
        <v>2921</v>
      </c>
      <c r="E1113" t="s">
        <v>7</v>
      </c>
      <c r="F1113" t="str">
        <f>_xlfn.CONCAT(D1113,", ",H1113,", ",I1113,", ","陕西省")</f>
        <v>王渠则镇, 靖边县, 榆林市, 陕西省</v>
      </c>
      <c r="G1113">
        <v>6937</v>
      </c>
      <c r="H1113" t="s">
        <v>3153</v>
      </c>
      <c r="I1113" t="s">
        <v>3148</v>
      </c>
      <c r="J1113">
        <f>VLOOKUP(F1113,[1]!china_towns_second__2[[Column1]:[Y]],3,FALSE)</f>
        <v>37.306628862247798</v>
      </c>
      <c r="K1113">
        <f>VLOOKUP(F1113,[1]!china_towns_second__2[[Column1]:[Y]],2,FALSE)</f>
        <v>108.64173409999999</v>
      </c>
      <c r="L1113" t="s">
        <v>5234</v>
      </c>
      <c r="M1113" t="str">
        <f>VLOOKUP(H1113,CHOOSE({1,2},Table11[Native],Table11[Name]),2,0)</f>
        <v>Jìngbiān Xiàn</v>
      </c>
      <c r="N1113" s="13" t="str">
        <f>VLOOKUP(I1113,CHOOSE({1,2},Table11[Native],Table11[Name]),2,0)</f>
        <v>Yúlín Shì</v>
      </c>
      <c r="O1113" s="13" t="str">
        <f t="shared" si="70"/>
        <v>Wangquze Zhen (Yúlín Shì)</v>
      </c>
      <c r="P1113" s="13" t="str">
        <f t="shared" si="71"/>
        <v>Wangquze Zhen (Yúlín Shì)</v>
      </c>
    </row>
    <row r="1114" spans="1:16" hidden="1" x14ac:dyDescent="0.25">
      <c r="A1114" t="s">
        <v>1343</v>
      </c>
      <c r="B1114" t="str">
        <f t="shared" si="68"/>
        <v>Wángshí'āo Jiēdào</v>
      </c>
      <c r="C1114" t="str">
        <f t="shared" si="69"/>
        <v>Wángshí'āo Jiēdào</v>
      </c>
      <c r="D1114" t="s">
        <v>1344</v>
      </c>
      <c r="E1114" t="s">
        <v>113</v>
      </c>
      <c r="F1114" t="str">
        <f>_xlfn.CONCAT(D1114,", ",H1114,", ",I1114,", ","陕西省")</f>
        <v>王石凹街道, 印台区, 铜川市, 陕西省</v>
      </c>
      <c r="G1114">
        <v>19734</v>
      </c>
      <c r="H1114" t="s">
        <v>3085</v>
      </c>
      <c r="I1114" t="s">
        <v>3081</v>
      </c>
      <c r="J1114">
        <f>VLOOKUP(F1114,[1]!china_towns_second__2[[Column1]:[Y]],3,FALSE)</f>
        <v>35.096388253217803</v>
      </c>
      <c r="K1114">
        <f>VLOOKUP(F1114,[1]!china_towns_second__2[[Column1]:[Y]],2,FALSE)</f>
        <v>109.20864659999999</v>
      </c>
      <c r="L1114" t="s">
        <v>5235</v>
      </c>
      <c r="M1114" t="str">
        <f>VLOOKUP(H1114,CHOOSE({1,2},Table11[Native],Table11[Name]),2,0)</f>
        <v>Yìntái Qū</v>
      </c>
      <c r="N1114" s="13" t="str">
        <f>VLOOKUP(I1114,CHOOSE({1,2},Table11[Native],Table11[Name]),2,0)</f>
        <v>Tóngchuān Shì</v>
      </c>
      <c r="O1114" s="13" t="str">
        <f t="shared" si="70"/>
        <v>Wangshi'ao Jiedao (Tóngchuān Shì)</v>
      </c>
      <c r="P1114" s="13" t="str">
        <f t="shared" si="71"/>
        <v>Wangshi'ao Jiedao (Tóngchuān Shì)</v>
      </c>
    </row>
    <row r="1115" spans="1:16" hidden="1" x14ac:dyDescent="0.25">
      <c r="A1115" t="s">
        <v>2219</v>
      </c>
      <c r="B1115" t="str">
        <f t="shared" si="68"/>
        <v>Wángsì Jiēdào</v>
      </c>
      <c r="C1115" t="str">
        <f t="shared" si="69"/>
        <v>Wángsì Jiēdào</v>
      </c>
      <c r="D1115" t="s">
        <v>2220</v>
      </c>
      <c r="E1115" t="s">
        <v>113</v>
      </c>
      <c r="F1115" t="str">
        <f>_xlfn.CONCAT(D1115,", ",H1115,", ",I1115,", ","陕西省")</f>
        <v>王寺街道, 西咸新区, 西安市, 陕西省</v>
      </c>
      <c r="G1115">
        <v>32940</v>
      </c>
      <c r="H1115" t="s">
        <v>3167</v>
      </c>
      <c r="I1115" t="s">
        <v>3102</v>
      </c>
      <c r="J1115" t="e">
        <f>VLOOKUP(F1115,[1]!china_towns_second__2[[Column1]:[Y]],3,FALSE)</f>
        <v>#N/A</v>
      </c>
      <c r="K1115" t="e">
        <f>VLOOKUP(F1115,[1]!china_towns_second__2[[Column1]:[Y]],2,FALSE)</f>
        <v>#N/A</v>
      </c>
      <c r="L1115" t="s">
        <v>5236</v>
      </c>
      <c r="M1115" t="str">
        <f>VLOOKUP(H1115,CHOOSE({1,2},Table11[Native],Table11[Name]),2,0)</f>
        <v>Xīxián Xīnqū</v>
      </c>
      <c r="N1115" s="13" t="str">
        <f>VLOOKUP(I1115,CHOOSE({1,2},Table11[Native],Table11[Name]),2,0)</f>
        <v>Xī'ān Shì</v>
      </c>
      <c r="O1115" s="13" t="str">
        <f t="shared" si="70"/>
        <v>Wangsi Jiedao (Xī'ān Shì)</v>
      </c>
      <c r="P1115" s="13" t="str">
        <f t="shared" si="71"/>
        <v>Wangsi Jiedao (Xī'ān Shì)</v>
      </c>
    </row>
    <row r="1116" spans="1:16" hidden="1" x14ac:dyDescent="0.25">
      <c r="A1116" t="s">
        <v>2532</v>
      </c>
      <c r="B1116" t="str">
        <f t="shared" si="68"/>
        <v>Wángwāzi Xiāng</v>
      </c>
      <c r="C1116" t="str">
        <f t="shared" si="69"/>
        <v>Wángwāzi Xiāng</v>
      </c>
      <c r="D1116" t="s">
        <v>2533</v>
      </c>
      <c r="E1116" t="s">
        <v>11</v>
      </c>
      <c r="F1116" t="str">
        <f>_xlfn.CONCAT(D1116,", ",H1116,", ",I1116,", ","陕西省")</f>
        <v>王洼子乡, 吴起县, 延安市, 陕西省</v>
      </c>
      <c r="G1116">
        <v>3871</v>
      </c>
      <c r="H1116" t="s">
        <v>3141</v>
      </c>
      <c r="I1116" t="s">
        <v>3133</v>
      </c>
      <c r="J1116" t="e">
        <f>VLOOKUP(F1116,[1]!china_towns_second__2[[Column1]:[Y]],3,FALSE)</f>
        <v>#N/A</v>
      </c>
      <c r="K1116" t="e">
        <f>VLOOKUP(F1116,[1]!china_towns_second__2[[Column1]:[Y]],2,FALSE)</f>
        <v>#N/A</v>
      </c>
      <c r="L1116" t="s">
        <v>5237</v>
      </c>
      <c r="M1116" t="str">
        <f>VLOOKUP(H1116,CHOOSE({1,2},Table11[Native],Table11[Name]),2,0)</f>
        <v>Wúqĭ Xiàn</v>
      </c>
      <c r="N1116" s="13" t="str">
        <f>VLOOKUP(I1116,CHOOSE({1,2},Table11[Native],Table11[Name]),2,0)</f>
        <v>Yán'ān Shì</v>
      </c>
      <c r="O1116" s="13" t="str">
        <f t="shared" si="70"/>
        <v>Wangwazi Xiang (Yán'ān Shì)</v>
      </c>
      <c r="P1116" s="13" t="str">
        <f t="shared" si="71"/>
        <v>Wangwazi Xiang (Yán'ān Shì)</v>
      </c>
    </row>
    <row r="1117" spans="1:16" hidden="1" x14ac:dyDescent="0.25">
      <c r="A1117" t="s">
        <v>1224</v>
      </c>
      <c r="B1117" t="str">
        <f t="shared" si="68"/>
        <v>Wángyán Zhèn [incl. Tiānqiáo Xiāng]</v>
      </c>
      <c r="C1117" t="str">
        <f t="shared" si="69"/>
        <v>Wángyán Zhèn [incl. Tiānqiáo Xiāng]</v>
      </c>
      <c r="D1117" t="s">
        <v>1225</v>
      </c>
      <c r="E1117" t="s">
        <v>7</v>
      </c>
      <c r="F1117" t="str">
        <f>_xlfn.CONCAT(D1117,", ",H1117,", ",I1117,", ","陕西省")</f>
        <v>王阎镇, 山阳县, 商洛市, 陕西省</v>
      </c>
      <c r="G1117">
        <v>11330</v>
      </c>
      <c r="H1117" t="s">
        <v>3077</v>
      </c>
      <c r="I1117" t="s">
        <v>3072</v>
      </c>
      <c r="J1117">
        <f>VLOOKUP(F1117,[1]!china_towns_second__2[[Column1]:[Y]],3,FALSE)</f>
        <v>33.330369395532699</v>
      </c>
      <c r="K1117">
        <f>VLOOKUP(F1117,[1]!china_towns_second__2[[Column1]:[Y]],2,FALSE)</f>
        <v>110.39354830000001</v>
      </c>
      <c r="L1117" t="s">
        <v>5238</v>
      </c>
      <c r="M1117" t="str">
        <f>VLOOKUP(H1117,CHOOSE({1,2},Table11[Native],Table11[Name]),2,0)</f>
        <v>Shānyáng Xiàn</v>
      </c>
      <c r="N1117" s="13" t="str">
        <f>VLOOKUP(I1117,CHOOSE({1,2},Table11[Native],Table11[Name]),2,0)</f>
        <v>Shāngluò Shì</v>
      </c>
      <c r="O1117" s="13" t="str">
        <f t="shared" si="70"/>
        <v>Wangyan Zhen [incl. Tianqiao Xiang] (Shāngluò Shì)</v>
      </c>
      <c r="P1117" s="13" t="str">
        <f t="shared" si="71"/>
        <v>Wangyan Zhen [incl. Tianqiao Xiang] (Shāngluò Shì)</v>
      </c>
    </row>
    <row r="1118" spans="1:16" hidden="1" x14ac:dyDescent="0.25">
      <c r="A1118" t="s">
        <v>2534</v>
      </c>
      <c r="B1118" t="str">
        <f t="shared" si="68"/>
        <v>Wángyáo Xiāng</v>
      </c>
      <c r="C1118" t="str">
        <f t="shared" si="69"/>
        <v>Wángyáo Xiāng</v>
      </c>
      <c r="D1118" t="s">
        <v>2535</v>
      </c>
      <c r="E1118" t="s">
        <v>11</v>
      </c>
      <c r="F1118" t="str">
        <f>_xlfn.CONCAT(D1118,", ",H1118,", ",I1118,", ","陕西省")</f>
        <v>王窑乡, 安塞区, 延安市, 陕西省</v>
      </c>
      <c r="G1118">
        <v>11453</v>
      </c>
      <c r="H1118" t="s">
        <v>3134</v>
      </c>
      <c r="I1118" t="s">
        <v>3133</v>
      </c>
      <c r="J1118" t="e">
        <f>VLOOKUP(F1118,[1]!china_towns_second__2[[Column1]:[Y]],3,FALSE)</f>
        <v>#N/A</v>
      </c>
      <c r="K1118" t="e">
        <f>VLOOKUP(F1118,[1]!china_towns_second__2[[Column1]:[Y]],2,FALSE)</f>
        <v>#N/A</v>
      </c>
      <c r="L1118" t="s">
        <v>5239</v>
      </c>
      <c r="M1118" t="str">
        <f>VLOOKUP(H1118,CHOOSE({1,2},Table11[Native],Table11[Name]),2,0)</f>
        <v>Ānsài Qū</v>
      </c>
      <c r="N1118" s="13" t="str">
        <f>VLOOKUP(I1118,CHOOSE({1,2},Table11[Native],Table11[Name]),2,0)</f>
        <v>Yán'ān Shì</v>
      </c>
      <c r="O1118" s="13" t="str">
        <f t="shared" si="70"/>
        <v>Wangyao Xiang (Yán'ān Shì)</v>
      </c>
      <c r="P1118" s="13" t="str">
        <f t="shared" si="71"/>
        <v>Wangyao Xiang (Yán'ān Shì)</v>
      </c>
    </row>
    <row r="1119" spans="1:16" hidden="1" x14ac:dyDescent="0.25">
      <c r="A1119" t="s">
        <v>1345</v>
      </c>
      <c r="B1119" t="str">
        <f t="shared" si="68"/>
        <v>Wángyì Jiēdào</v>
      </c>
      <c r="C1119" t="str">
        <f t="shared" si="69"/>
        <v>Wángyì Jiēdào</v>
      </c>
      <c r="D1119" t="s">
        <v>1346</v>
      </c>
      <c r="E1119" t="s">
        <v>113</v>
      </c>
      <c r="F1119" t="str">
        <f>_xlfn.CONCAT(D1119,", ",H1119,", ",I1119,", ","陕西省")</f>
        <v>王益街道, 王益区, 铜川市, 陕西省</v>
      </c>
      <c r="G1119">
        <v>11280</v>
      </c>
      <c r="H1119" t="s">
        <v>3082</v>
      </c>
      <c r="I1119" t="s">
        <v>3081</v>
      </c>
      <c r="J1119" t="e">
        <f>VLOOKUP(F1119,[1]!china_towns_second__2[[Column1]:[Y]],3,FALSE)</f>
        <v>#N/A</v>
      </c>
      <c r="K1119" t="e">
        <f>VLOOKUP(F1119,[1]!china_towns_second__2[[Column1]:[Y]],2,FALSE)</f>
        <v>#N/A</v>
      </c>
      <c r="L1119" t="s">
        <v>5240</v>
      </c>
      <c r="M1119" t="str">
        <f>VLOOKUP(H1119,CHOOSE({1,2},Table11[Native],Table11[Name]),2,0)</f>
        <v>Wángyì Qū</v>
      </c>
      <c r="N1119" s="13" t="str">
        <f>VLOOKUP(I1119,CHOOSE({1,2},Table11[Native],Table11[Name]),2,0)</f>
        <v>Tóngchuān Shì</v>
      </c>
      <c r="O1119" s="13" t="str">
        <f t="shared" si="70"/>
        <v>Wangyi Jiedao (Tóngchuān Shì)</v>
      </c>
      <c r="P1119" s="13" t="str">
        <f t="shared" si="71"/>
        <v>Wangyi Jiedao (Tóngchuān Shì)</v>
      </c>
    </row>
    <row r="1120" spans="1:16" hidden="1" x14ac:dyDescent="0.25">
      <c r="A1120" t="s">
        <v>1226</v>
      </c>
      <c r="B1120" t="str">
        <f t="shared" si="68"/>
        <v>Wángzhuāng Xiāng</v>
      </c>
      <c r="C1120" t="str">
        <f t="shared" si="69"/>
        <v>Wángzhuāng Xiāng</v>
      </c>
      <c r="D1120" t="s">
        <v>1227</v>
      </c>
      <c r="E1120" t="s">
        <v>11</v>
      </c>
      <c r="F1120" t="str">
        <f>_xlfn.CONCAT(D1120,", ",H1120,", ",I1120,", ","陕西省")</f>
        <v>王庄乡, 山阳县, 商洛市, 陕西省</v>
      </c>
      <c r="G1120">
        <v>4413</v>
      </c>
      <c r="H1120" t="s">
        <v>3077</v>
      </c>
      <c r="I1120" t="s">
        <v>3072</v>
      </c>
      <c r="J1120" t="e">
        <f>VLOOKUP(F1120,[1]!china_towns_second__2[[Column1]:[Y]],3,FALSE)</f>
        <v>#N/A</v>
      </c>
      <c r="K1120" t="e">
        <f>VLOOKUP(F1120,[1]!china_towns_second__2[[Column1]:[Y]],2,FALSE)</f>
        <v>#N/A</v>
      </c>
      <c r="L1120" t="s">
        <v>5241</v>
      </c>
      <c r="M1120" t="str">
        <f>VLOOKUP(H1120,CHOOSE({1,2},Table11[Native],Table11[Name]),2,0)</f>
        <v>Shānyáng Xiàn</v>
      </c>
      <c r="N1120" s="13" t="str">
        <f>VLOOKUP(I1120,CHOOSE({1,2},Table11[Native],Table11[Name]),2,0)</f>
        <v>Shāngluò Shì</v>
      </c>
      <c r="O1120" s="13" t="str">
        <f t="shared" si="70"/>
        <v>Wangzhuang Xiang (Shāngluò Shì)</v>
      </c>
      <c r="P1120" s="13" t="str">
        <f t="shared" si="71"/>
        <v>Wangzhuang Xiang (Shāngluò Shì)</v>
      </c>
    </row>
    <row r="1121" spans="1:16" hidden="1" x14ac:dyDescent="0.25">
      <c r="A1121" t="s">
        <v>1632</v>
      </c>
      <c r="B1121" t="str">
        <f t="shared" si="68"/>
        <v>Wángzhuāng Zhèn [incl. Liújiāwā Xiāng]</v>
      </c>
      <c r="C1121" t="str">
        <f t="shared" si="69"/>
        <v>Wángzhuāng Zhèn [incl. Liújiāwā Xiāng]</v>
      </c>
      <c r="D1121" t="s">
        <v>1633</v>
      </c>
      <c r="E1121" t="s">
        <v>7</v>
      </c>
      <c r="F1121" t="str">
        <f>_xlfn.CONCAT(D1121,", ",H1121,", ",I1121,", ","陕西省")</f>
        <v>王庄镇, 澄城县, 渭南市, 陕西省</v>
      </c>
      <c r="G1121">
        <v>42554</v>
      </c>
      <c r="H1121" t="s">
        <v>3089</v>
      </c>
      <c r="I1121" t="s">
        <v>3087</v>
      </c>
      <c r="J1121">
        <f>VLOOKUP(F1121,[1]!china_towns_second__2[[Column1]:[Y]],3,FALSE)</f>
        <v>35.319617336759499</v>
      </c>
      <c r="K1121">
        <f>VLOOKUP(F1121,[1]!china_towns_second__2[[Column1]:[Y]],2,FALSE)</f>
        <v>109.8634938</v>
      </c>
      <c r="L1121" t="s">
        <v>5242</v>
      </c>
      <c r="M1121" t="str">
        <f>VLOOKUP(H1121,CHOOSE({1,2},Table11[Native],Table11[Name]),2,0)</f>
        <v>Chéngchéng Xiàn</v>
      </c>
      <c r="N1121" s="13" t="str">
        <f>VLOOKUP(I1121,CHOOSE({1,2},Table11[Native],Table11[Name]),2,0)</f>
        <v>Wèinán Shì</v>
      </c>
      <c r="O1121" s="13" t="str">
        <f t="shared" si="70"/>
        <v>Wangzhuang Zhen [incl. Liujiawa Xiang] (Wèinán Shì)</v>
      </c>
      <c r="P1121" s="13" t="str">
        <f t="shared" si="71"/>
        <v>Wangzhuang Zhen [incl. Liujiawa Xiang] (Wèinán Shì)</v>
      </c>
    </row>
    <row r="1122" spans="1:16" hidden="1" x14ac:dyDescent="0.25">
      <c r="A1122" t="s">
        <v>2536</v>
      </c>
      <c r="B1122" t="str">
        <f t="shared" si="68"/>
        <v>Wànhuāshān Zhèn</v>
      </c>
      <c r="C1122" t="str">
        <f t="shared" si="69"/>
        <v>Wànhuāshān Zhèn</v>
      </c>
      <c r="D1122" t="s">
        <v>2537</v>
      </c>
      <c r="E1122" t="s">
        <v>7</v>
      </c>
      <c r="F1122" t="str">
        <f>_xlfn.CONCAT(D1122,", ",H1122,", ",I1122,", ","陕西省")</f>
        <v>万花山镇, 宝塔区, 延安市, 陕西省</v>
      </c>
      <c r="G1122">
        <v>26425</v>
      </c>
      <c r="H1122" t="s">
        <v>3135</v>
      </c>
      <c r="I1122" t="s">
        <v>3133</v>
      </c>
      <c r="J1122">
        <f>VLOOKUP(F1122,[1]!china_towns_second__2[[Column1]:[Y]],3,FALSE)</f>
        <v>36.5307845080658</v>
      </c>
      <c r="K1122">
        <f>VLOOKUP(F1122,[1]!china_towns_second__2[[Column1]:[Y]],2,FALSE)</f>
        <v>109.341674</v>
      </c>
      <c r="L1122" t="s">
        <v>5243</v>
      </c>
      <c r="M1122" t="str">
        <f>VLOOKUP(H1122,CHOOSE({1,2},Table11[Native],Table11[Name]),2,0)</f>
        <v>Băotă Qū</v>
      </c>
      <c r="N1122" s="13" t="str">
        <f>VLOOKUP(I1122,CHOOSE({1,2},Table11[Native],Table11[Name]),2,0)</f>
        <v>Yán'ān Shì</v>
      </c>
      <c r="O1122" s="13" t="str">
        <f t="shared" si="70"/>
        <v>Wanhuashan Zhen (Yán'ān Shì)</v>
      </c>
      <c r="P1122" s="13" t="str">
        <f t="shared" si="71"/>
        <v>Wanhuashan Zhen (Yán'ān Shì)</v>
      </c>
    </row>
    <row r="1123" spans="1:16" hidden="1" x14ac:dyDescent="0.25">
      <c r="A1123" t="s">
        <v>2538</v>
      </c>
      <c r="B1123" t="str">
        <f t="shared" si="68"/>
        <v>Wăyáobăo Jiēdào</v>
      </c>
      <c r="C1123" t="str">
        <f t="shared" si="69"/>
        <v>Wăyáobăo Jiēdào</v>
      </c>
      <c r="D1123" t="s">
        <v>2539</v>
      </c>
      <c r="E1123" t="s">
        <v>113</v>
      </c>
      <c r="F1123" t="str">
        <f>_xlfn.CONCAT(D1123,", ",H1123,", ",I1123,", ","陕西省")</f>
        <v>瓦窑堡街道, 子长市, 延安市, 陕西省</v>
      </c>
      <c r="G1123">
        <v>113698</v>
      </c>
      <c r="H1123" t="s">
        <v>3146</v>
      </c>
      <c r="I1123" t="s">
        <v>3133</v>
      </c>
      <c r="J1123" t="e">
        <f>VLOOKUP(F1123,[1]!china_towns_second__2[[Column1]:[Y]],3,FALSE)</f>
        <v>#N/A</v>
      </c>
      <c r="K1123" t="e">
        <f>VLOOKUP(F1123,[1]!china_towns_second__2[[Column1]:[Y]],2,FALSE)</f>
        <v>#N/A</v>
      </c>
      <c r="L1123" t="s">
        <v>5244</v>
      </c>
      <c r="M1123" t="str">
        <f>VLOOKUP(H1123,CHOOSE({1,2},Table11[Native],Table11[Name]),2,0)</f>
        <v>Zicháng Shì</v>
      </c>
      <c r="N1123" s="13" t="str">
        <f>VLOOKUP(I1123,CHOOSE({1,2},Table11[Native],Table11[Name]),2,0)</f>
        <v>Yán'ān Shì</v>
      </c>
      <c r="O1123" s="13" t="str">
        <f t="shared" si="70"/>
        <v>Wayaobao Jiedao (Yán'ān Shì)</v>
      </c>
      <c r="P1123" s="13" t="str">
        <f t="shared" si="71"/>
        <v>Wayaobao Jiedao (Yán'ān Shì)</v>
      </c>
    </row>
    <row r="1124" spans="1:16" hidden="1" x14ac:dyDescent="0.25">
      <c r="A1124" t="s">
        <v>2540</v>
      </c>
      <c r="B1124" t="str">
        <f t="shared" si="68"/>
        <v>Wăzijiē Zhèn</v>
      </c>
      <c r="C1124" t="str">
        <f t="shared" si="69"/>
        <v>Wăzijiē Zhèn</v>
      </c>
      <c r="D1124" t="s">
        <v>2541</v>
      </c>
      <c r="E1124" t="s">
        <v>7</v>
      </c>
      <c r="F1124" t="str">
        <f>_xlfn.CONCAT(D1124,", ",H1124,", ",I1124,", ","陕西省")</f>
        <v>瓦子街镇, 黄龙县, 延安市, 陕西省</v>
      </c>
      <c r="G1124">
        <v>1700</v>
      </c>
      <c r="H1124" t="s">
        <v>3139</v>
      </c>
      <c r="I1124" t="s">
        <v>3133</v>
      </c>
      <c r="J1124">
        <f>VLOOKUP(F1124,[1]!china_towns_second__2[[Column1]:[Y]],3,FALSE)</f>
        <v>35.942874773637797</v>
      </c>
      <c r="K1124">
        <f>VLOOKUP(F1124,[1]!china_towns_second__2[[Column1]:[Y]],2,FALSE)</f>
        <v>109.89643479999999</v>
      </c>
      <c r="L1124" t="s">
        <v>5245</v>
      </c>
      <c r="M1124" t="str">
        <f>VLOOKUP(H1124,CHOOSE({1,2},Table11[Native],Table11[Name]),2,0)</f>
        <v>Huánglóng Xiàn</v>
      </c>
      <c r="N1124" s="13" t="str">
        <f>VLOOKUP(I1124,CHOOSE({1,2},Table11[Native],Table11[Name]),2,0)</f>
        <v>Yán'ān Shì</v>
      </c>
      <c r="O1124" s="13" t="str">
        <f t="shared" si="70"/>
        <v>Wazijie Zhen (Yán'ān Shì)</v>
      </c>
      <c r="P1124" s="13" t="str">
        <f t="shared" si="71"/>
        <v>Wazijie Zhen (Yán'ān Shì)</v>
      </c>
    </row>
    <row r="1125" spans="1:16" hidden="1" x14ac:dyDescent="0.25">
      <c r="A1125" t="s">
        <v>1879</v>
      </c>
      <c r="B1125" t="str">
        <f t="shared" si="68"/>
        <v>Wèibīn Jiēdào</v>
      </c>
      <c r="C1125" t="str">
        <f t="shared" si="69"/>
        <v>Wèibīn Jiēdào</v>
      </c>
      <c r="D1125" t="s">
        <v>1880</v>
      </c>
      <c r="E1125" t="s">
        <v>113</v>
      </c>
      <c r="F1125" t="str">
        <f>_xlfn.CONCAT(D1125,", ",H1125,", ",I1125,", ","陕西省")</f>
        <v>渭滨街道, 秦都区, 咸阳市, 陕西省</v>
      </c>
      <c r="G1125">
        <v>49837</v>
      </c>
      <c r="H1125" t="s">
        <v>3124</v>
      </c>
      <c r="I1125" t="s">
        <v>3117</v>
      </c>
      <c r="J1125">
        <f>VLOOKUP(F1125,[1]!china_towns_second__2[[Column1]:[Y]],3,FALSE)</f>
        <v>34.295239586419399</v>
      </c>
      <c r="K1125">
        <f>VLOOKUP(F1125,[1]!china_towns_second__2[[Column1]:[Y]],2,FALSE)</f>
        <v>108.6389684</v>
      </c>
      <c r="L1125" t="s">
        <v>5246</v>
      </c>
      <c r="M1125" t="str">
        <f>VLOOKUP(H1125,CHOOSE({1,2},Table11[Native],Table11[Name]),2,0)</f>
        <v>Qíndū Qū</v>
      </c>
      <c r="N1125" s="13" t="str">
        <f>VLOOKUP(I1125,CHOOSE({1,2},Table11[Native],Table11[Name]),2,0)</f>
        <v>Xiányáng Shì</v>
      </c>
      <c r="O1125" s="13" t="str">
        <f t="shared" si="70"/>
        <v>Weibin Jiedao (Xiányáng Shì)</v>
      </c>
      <c r="P1125" s="13" t="str">
        <f t="shared" si="71"/>
        <v>Weibin Jiedao (Xiányáng Shì)</v>
      </c>
    </row>
    <row r="1126" spans="1:16" hidden="1" x14ac:dyDescent="0.25">
      <c r="A1126" t="s">
        <v>2221</v>
      </c>
      <c r="B1126" t="str">
        <f t="shared" si="68"/>
        <v>Wèichéng Jiēdào</v>
      </c>
      <c r="C1126" t="str">
        <f t="shared" si="69"/>
        <v>Wèichéng Jiēdào</v>
      </c>
      <c r="D1126" t="s">
        <v>2222</v>
      </c>
      <c r="E1126" t="s">
        <v>113</v>
      </c>
      <c r="F1126" t="str">
        <f>_xlfn.CONCAT(D1126,", ",H1126,", ",I1126,", ","陕西省")</f>
        <v>渭城街道, 西咸新区, 西安市, 陕西省</v>
      </c>
      <c r="G1126">
        <v>23229</v>
      </c>
      <c r="H1126" t="s">
        <v>3167</v>
      </c>
      <c r="I1126" t="s">
        <v>3102</v>
      </c>
      <c r="J1126" t="e">
        <f>VLOOKUP(F1126,[1]!china_towns_second__2[[Column1]:[Y]],3,FALSE)</f>
        <v>#N/A</v>
      </c>
      <c r="K1126" t="e">
        <f>VLOOKUP(F1126,[1]!china_towns_second__2[[Column1]:[Y]],2,FALSE)</f>
        <v>#N/A</v>
      </c>
      <c r="L1126" t="s">
        <v>5247</v>
      </c>
      <c r="M1126" t="str">
        <f>VLOOKUP(H1126,CHOOSE({1,2},Table11[Native],Table11[Name]),2,0)</f>
        <v>Xīxián Xīnqū</v>
      </c>
      <c r="N1126" s="13" t="str">
        <f>VLOOKUP(I1126,CHOOSE({1,2},Table11[Native],Table11[Name]),2,0)</f>
        <v>Xī'ān Shì</v>
      </c>
      <c r="O1126" s="13" t="str">
        <f t="shared" si="70"/>
        <v>Weicheng Jiedao (Xī'ān Shì)</v>
      </c>
      <c r="P1126" s="13" t="str">
        <f t="shared" si="71"/>
        <v>Weicheng Jiedao (Xī'ān Shì)</v>
      </c>
    </row>
    <row r="1127" spans="1:16" hidden="1" x14ac:dyDescent="0.25">
      <c r="A1127" t="s">
        <v>2223</v>
      </c>
      <c r="B1127" t="str">
        <f t="shared" si="68"/>
        <v>Wèifēng Zhèn</v>
      </c>
      <c r="C1127" t="str">
        <f t="shared" si="69"/>
        <v>Wèifēng Zhèn</v>
      </c>
      <c r="D1127" t="s">
        <v>2224</v>
      </c>
      <c r="E1127" t="s">
        <v>7</v>
      </c>
      <c r="F1127" t="str">
        <f>_xlfn.CONCAT(D1127,", ",H1127,", ",I1127,", ","陕西省")</f>
        <v>渭丰镇, 鄠邑区, 西安市, 陕西省</v>
      </c>
      <c r="G1127">
        <v>25157</v>
      </c>
      <c r="H1127" t="s">
        <v>3107</v>
      </c>
      <c r="I1127" t="s">
        <v>3102</v>
      </c>
      <c r="J1127">
        <f>VLOOKUP(F1127,[1]!china_towns_second__2[[Column1]:[Y]],3,FALSE)</f>
        <v>34.217787866164002</v>
      </c>
      <c r="K1127">
        <f>VLOOKUP(F1127,[1]!china_towns_second__2[[Column1]:[Y]],2,FALSE)</f>
        <v>108.6024714</v>
      </c>
      <c r="L1127" t="s">
        <v>5248</v>
      </c>
      <c r="M1127" t="str">
        <f>VLOOKUP(H1127,CHOOSE({1,2},Table11[Native],Table11[Name]),2,0)</f>
        <v>Hùyì Qū</v>
      </c>
      <c r="N1127" s="13" t="str">
        <f>VLOOKUP(I1127,CHOOSE({1,2},Table11[Native],Table11[Name]),2,0)</f>
        <v>Xī'ān Shì</v>
      </c>
      <c r="O1127" s="13" t="str">
        <f t="shared" si="70"/>
        <v>Weifeng Zhen (Xī'ān Shì)</v>
      </c>
      <c r="P1127" s="13" t="str">
        <f t="shared" si="71"/>
        <v>Weifeng Zhen (Xī'ān Shì)</v>
      </c>
    </row>
    <row r="1128" spans="1:16" hidden="1" x14ac:dyDescent="0.25">
      <c r="A1128" t="s">
        <v>2924</v>
      </c>
      <c r="B1128" t="str">
        <f t="shared" si="68"/>
        <v>Wèijiālóu Zhèn</v>
      </c>
      <c r="C1128" t="str">
        <f t="shared" si="69"/>
        <v>Wèijiālóu Zhèn</v>
      </c>
      <c r="D1128" t="s">
        <v>2925</v>
      </c>
      <c r="E1128" t="s">
        <v>7</v>
      </c>
      <c r="F1128" t="str">
        <f>_xlfn.CONCAT(D1128,", ",H1128,", ",I1128,", ","陕西省")</f>
        <v>魏家楼镇, 横山区, 榆林市, 陕西省</v>
      </c>
      <c r="G1128">
        <v>7798</v>
      </c>
      <c r="H1128" t="s">
        <v>3151</v>
      </c>
      <c r="I1128" t="s">
        <v>3148</v>
      </c>
      <c r="J1128">
        <f>VLOOKUP(F1128,[1]!china_towns_second__2[[Column1]:[Y]],3,FALSE)</f>
        <v>37.555509540131901</v>
      </c>
      <c r="K1128">
        <f>VLOOKUP(F1128,[1]!china_towns_second__2[[Column1]:[Y]],2,FALSE)</f>
        <v>109.3952682</v>
      </c>
      <c r="L1128" t="s">
        <v>5249</v>
      </c>
      <c r="M1128" t="str">
        <f>VLOOKUP(H1128,CHOOSE({1,2},Table11[Native],Table11[Name]),2,0)</f>
        <v>Héngshān Qū</v>
      </c>
      <c r="N1128" s="13" t="str">
        <f>VLOOKUP(I1128,CHOOSE({1,2},Table11[Native],Table11[Name]),2,0)</f>
        <v>Yúlín Shì</v>
      </c>
      <c r="O1128" s="13" t="str">
        <f t="shared" si="70"/>
        <v>Weijialou Zhen (Yúlín Shì)</v>
      </c>
      <c r="P1128" s="13" t="str">
        <f t="shared" si="71"/>
        <v>Weijialou Zhen (Yúlín Shì)</v>
      </c>
    </row>
    <row r="1129" spans="1:16" hidden="1" x14ac:dyDescent="0.25">
      <c r="A1129" t="s">
        <v>920</v>
      </c>
      <c r="B1129" t="str">
        <f t="shared" si="68"/>
        <v>Wèijiāqiáo Xiāng</v>
      </c>
      <c r="C1129" t="str">
        <f t="shared" si="69"/>
        <v>Wèijiāqiáo Xiāng</v>
      </c>
      <c r="D1129" t="s">
        <v>921</v>
      </c>
      <c r="E1129" t="s">
        <v>11</v>
      </c>
      <c r="F1129" t="str">
        <f>_xlfn.CONCAT(D1129,", ",H1129,", ",I1129,", ","陕西省")</f>
        <v>魏家桥乡, 南郑区, 汉中市, 陕西省</v>
      </c>
      <c r="G1129">
        <v>2175</v>
      </c>
      <c r="H1129" t="s">
        <v>3066</v>
      </c>
      <c r="I1129" t="s">
        <v>3059</v>
      </c>
      <c r="J1129" t="e">
        <f>VLOOKUP(F1129,[1]!china_towns_second__2[[Column1]:[Y]],3,FALSE)</f>
        <v>#N/A</v>
      </c>
      <c r="K1129" t="e">
        <f>VLOOKUP(F1129,[1]!china_towns_second__2[[Column1]:[Y]],2,FALSE)</f>
        <v>#N/A</v>
      </c>
      <c r="L1129" t="s">
        <v>5250</v>
      </c>
      <c r="M1129" t="str">
        <f>VLOOKUP(H1129,CHOOSE({1,2},Table11[Native],Table11[Name]),2,0)</f>
        <v>Nánzhèng Qū</v>
      </c>
      <c r="N1129" s="13" t="str">
        <f>VLOOKUP(I1129,CHOOSE({1,2},Table11[Native],Table11[Name]),2,0)</f>
        <v>Hànzhōng Shì</v>
      </c>
      <c r="O1129" s="13" t="str">
        <f t="shared" si="70"/>
        <v>Weijiaqiao Xiang (Hànzhōng Shì)</v>
      </c>
      <c r="P1129" s="13" t="str">
        <f t="shared" si="71"/>
        <v>Weijiaqiao Xiang (Hànzhōng Shì)</v>
      </c>
    </row>
    <row r="1130" spans="1:16" hidden="1" x14ac:dyDescent="0.25">
      <c r="A1130" t="s">
        <v>1634</v>
      </c>
      <c r="B1130" t="str">
        <f t="shared" si="68"/>
        <v>Wéilín Zhèn</v>
      </c>
      <c r="C1130" t="str">
        <f t="shared" si="69"/>
        <v>Wéilín Zhèn</v>
      </c>
      <c r="D1130" t="s">
        <v>1635</v>
      </c>
      <c r="E1130" t="s">
        <v>7</v>
      </c>
      <c r="F1130" t="str">
        <f>_xlfn.CONCAT(D1130,", ",H1130,", ",I1130,", ","陕西省")</f>
        <v>韦林镇, 大荔县, 渭南市, 陕西省</v>
      </c>
      <c r="G1130">
        <v>22028</v>
      </c>
      <c r="H1130" t="s">
        <v>3090</v>
      </c>
      <c r="I1130" t="s">
        <v>3087</v>
      </c>
      <c r="J1130">
        <f>VLOOKUP(F1130,[1]!china_towns_second__2[[Column1]:[Y]],3,FALSE)</f>
        <v>34.685864637465997</v>
      </c>
      <c r="K1130">
        <f>VLOOKUP(F1130,[1]!china_towns_second__2[[Column1]:[Y]],2,FALSE)</f>
        <v>110.0433276</v>
      </c>
      <c r="L1130" t="s">
        <v>5251</v>
      </c>
      <c r="M1130" t="str">
        <f>VLOOKUP(H1130,CHOOSE({1,2},Table11[Native],Table11[Name]),2,0)</f>
        <v>Dàlì Xiàn</v>
      </c>
      <c r="N1130" s="13" t="str">
        <f>VLOOKUP(I1130,CHOOSE({1,2},Table11[Native],Table11[Name]),2,0)</f>
        <v>Wèinán Shì</v>
      </c>
      <c r="O1130" s="13" t="str">
        <f t="shared" si="70"/>
        <v>Weilin Zhen (Wèinán Shì)</v>
      </c>
      <c r="P1130" s="13" t="str">
        <f t="shared" si="71"/>
        <v>Weilin Zhen (Wèinán Shì)</v>
      </c>
    </row>
    <row r="1131" spans="1:16" hidden="1" x14ac:dyDescent="0.25">
      <c r="A1131" t="s">
        <v>2225</v>
      </c>
      <c r="B1131" t="str">
        <f t="shared" si="68"/>
        <v>Wéiqŭ Jiēdào</v>
      </c>
      <c r="C1131" t="str">
        <f t="shared" si="69"/>
        <v>Wéiqŭ Jiēdào</v>
      </c>
      <c r="D1131" t="s">
        <v>2226</v>
      </c>
      <c r="E1131" t="s">
        <v>113</v>
      </c>
      <c r="F1131" t="str">
        <f>_xlfn.CONCAT(D1131,", ",H1131,", ",I1131,", ","陕西省")</f>
        <v>韦曲街道, 长安区, 西安市, 陕西省</v>
      </c>
      <c r="G1131">
        <v>223840</v>
      </c>
      <c r="H1131" t="s">
        <v>3105</v>
      </c>
      <c r="I1131" t="s">
        <v>3102</v>
      </c>
      <c r="J1131">
        <f>VLOOKUP(F1131,[1]!china_towns_second__2[[Column1]:[Y]],3,FALSE)</f>
        <v>34.153008588544303</v>
      </c>
      <c r="K1131">
        <f>VLOOKUP(F1131,[1]!china_towns_second__2[[Column1]:[Y]],2,FALSE)</f>
        <v>108.9579715</v>
      </c>
      <c r="L1131" t="s">
        <v>5252</v>
      </c>
      <c r="M1131" t="str">
        <f>VLOOKUP(H1131,CHOOSE({1,2},Table11[Native],Table11[Name]),2,0)</f>
        <v>Cháng'ān Qū</v>
      </c>
      <c r="N1131" s="13" t="str">
        <f>VLOOKUP(I1131,CHOOSE({1,2},Table11[Native],Table11[Name]),2,0)</f>
        <v>Xī'ān Shì</v>
      </c>
      <c r="O1131" s="13" t="str">
        <f t="shared" si="70"/>
        <v>Weiqu Jiedao (Xī'ān Shì)</v>
      </c>
      <c r="P1131" s="13" t="str">
        <f t="shared" si="71"/>
        <v>Weiqu Jiedao (Xī'ān Shì)</v>
      </c>
    </row>
    <row r="1132" spans="1:16" hidden="1" x14ac:dyDescent="0.25">
      <c r="A1132" t="s">
        <v>1881</v>
      </c>
      <c r="B1132" t="str">
        <f t="shared" si="68"/>
        <v>Wèiyáng Jiēdào</v>
      </c>
      <c r="C1132" t="str">
        <f t="shared" si="69"/>
        <v>Wèiyáng Jiēdào</v>
      </c>
      <c r="D1132" t="s">
        <v>1882</v>
      </c>
      <c r="E1132" t="s">
        <v>113</v>
      </c>
      <c r="F1132" t="str">
        <f>_xlfn.CONCAT(D1132,", ",H1132,", ",I1132,", ","陕西省")</f>
        <v>渭阳街道, 渭城区, 咸阳市, 陕西省</v>
      </c>
      <c r="G1132">
        <v>105830</v>
      </c>
      <c r="H1132" t="s">
        <v>3126</v>
      </c>
      <c r="I1132" t="s">
        <v>3117</v>
      </c>
      <c r="J1132">
        <f>VLOOKUP(F1132,[1]!china_towns_second__2[[Column1]:[Y]],3,FALSE)</f>
        <v>34.358901119269198</v>
      </c>
      <c r="K1132">
        <f>VLOOKUP(F1132,[1]!china_towns_second__2[[Column1]:[Y]],2,FALSE)</f>
        <v>108.740701</v>
      </c>
      <c r="L1132" t="s">
        <v>5253</v>
      </c>
      <c r="M1132" t="str">
        <f>VLOOKUP(H1132,CHOOSE({1,2},Table11[Native],Table11[Name]),2,0)</f>
        <v>Wèichéng Qū</v>
      </c>
      <c r="N1132" s="13" t="str">
        <f>VLOOKUP(I1132,CHOOSE({1,2},Table11[Native],Table11[Name]),2,0)</f>
        <v>Xiányáng Shì</v>
      </c>
      <c r="O1132" s="13" t="str">
        <f t="shared" si="70"/>
        <v>Weiyang Jiedao (Xiányáng Shì)</v>
      </c>
      <c r="P1132" s="13" t="str">
        <f t="shared" si="71"/>
        <v>Weiyang Jiedao (Xiányáng Shì)</v>
      </c>
    </row>
    <row r="1133" spans="1:16" hidden="1" x14ac:dyDescent="0.25">
      <c r="A1133" t="s">
        <v>2227</v>
      </c>
      <c r="B1133" t="str">
        <f t="shared" si="68"/>
        <v>Wèiyānggōng Jiēdào</v>
      </c>
      <c r="C1133" t="str">
        <f t="shared" si="69"/>
        <v>Wèiyānggōng Jiēdào</v>
      </c>
      <c r="D1133" t="s">
        <v>2228</v>
      </c>
      <c r="E1133" t="s">
        <v>113</v>
      </c>
      <c r="F1133" t="str">
        <f>_xlfn.CONCAT(D1133,", ",H1133,", ",I1133,", ","陕西省")</f>
        <v>未央宫街道, 未央区, 西安市, 陕西省</v>
      </c>
      <c r="G1133">
        <v>76364</v>
      </c>
      <c r="H1133" t="s">
        <v>3111</v>
      </c>
      <c r="I1133" t="s">
        <v>3102</v>
      </c>
      <c r="J1133">
        <f>VLOOKUP(F1133,[1]!china_towns_second__2[[Column1]:[Y]],3,FALSE)</f>
        <v>34.299917380654598</v>
      </c>
      <c r="K1133">
        <f>VLOOKUP(F1133,[1]!china_towns_second__2[[Column1]:[Y]],2,FALSE)</f>
        <v>108.8940435</v>
      </c>
      <c r="L1133" t="s">
        <v>5254</v>
      </c>
      <c r="M1133" t="str">
        <f>VLOOKUP(H1133,CHOOSE({1,2},Table11[Native],Table11[Name]),2,0)</f>
        <v>Wèiyāng Qū</v>
      </c>
      <c r="N1133" s="13" t="str">
        <f>VLOOKUP(I1133,CHOOSE({1,2},Table11[Native],Table11[Name]),2,0)</f>
        <v>Xī'ān Shì</v>
      </c>
      <c r="O1133" s="13" t="str">
        <f t="shared" si="70"/>
        <v>Weiyanggong Jiedao (Xī'ān Shì)</v>
      </c>
      <c r="P1133" s="13" t="str">
        <f t="shared" si="71"/>
        <v>Weiyanggong Jiedao (Xī'ān Shì)</v>
      </c>
    </row>
    <row r="1134" spans="1:16" hidden="1" x14ac:dyDescent="0.25">
      <c r="A1134" t="s">
        <v>1884</v>
      </c>
      <c r="B1134" t="str">
        <f t="shared" si="68"/>
        <v>Wèiyángxīlù Jiēdào</v>
      </c>
      <c r="C1134" t="str">
        <f t="shared" si="69"/>
        <v>Wèiyángxīlù Jiēdào</v>
      </c>
      <c r="D1134" t="s">
        <v>1885</v>
      </c>
      <c r="E1134" t="s">
        <v>113</v>
      </c>
      <c r="F1134" t="str">
        <f>_xlfn.CONCAT(D1134,", ",H1134,", ",I1134,", ","陕西省")</f>
        <v>渭阳西路街道, 秦都区, 咸阳市, 陕西省</v>
      </c>
      <c r="G1134">
        <v>75832</v>
      </c>
      <c r="H1134" t="s">
        <v>3124</v>
      </c>
      <c r="I1134" t="s">
        <v>3117</v>
      </c>
      <c r="J1134">
        <f>VLOOKUP(F1134,[1]!china_towns_second__2[[Column1]:[Y]],3,FALSE)</f>
        <v>34.323715320764897</v>
      </c>
      <c r="K1134">
        <f>VLOOKUP(F1134,[1]!china_towns_second__2[[Column1]:[Y]],2,FALSE)</f>
        <v>108.67554699999999</v>
      </c>
      <c r="L1134" t="s">
        <v>5255</v>
      </c>
      <c r="M1134" t="str">
        <f>VLOOKUP(H1134,CHOOSE({1,2},Table11[Native],Table11[Name]),2,0)</f>
        <v>Qíndū Qū</v>
      </c>
      <c r="N1134" s="13" t="str">
        <f>VLOOKUP(I1134,CHOOSE({1,2},Table11[Native],Table11[Name]),2,0)</f>
        <v>Xiányáng Shì</v>
      </c>
      <c r="O1134" s="13" t="str">
        <f t="shared" si="70"/>
        <v>Weiyangxilu Jiedao (Xiányáng Shì)</v>
      </c>
      <c r="P1134" s="13" t="str">
        <f t="shared" si="71"/>
        <v>Weiyangxilu Jiedao (Xiányáng Shì)</v>
      </c>
    </row>
    <row r="1135" spans="1:16" hidden="1" x14ac:dyDescent="0.25">
      <c r="A1135" t="s">
        <v>1636</v>
      </c>
      <c r="B1135" t="str">
        <f t="shared" si="68"/>
        <v>Wèiyù Xiāng</v>
      </c>
      <c r="C1135" t="str">
        <f t="shared" si="69"/>
        <v>Wèiyù Xiāng</v>
      </c>
      <c r="D1135" t="s">
        <v>1637</v>
      </c>
      <c r="E1135" t="s">
        <v>11</v>
      </c>
      <c r="F1135" t="str">
        <f>_xlfn.CONCAT(D1135,", ",H1135,", ",I1135,", ","陕西省")</f>
        <v>卫峪乡, 华阴市, 渭南市, 陕西省</v>
      </c>
      <c r="G1135">
        <v>10041</v>
      </c>
      <c r="H1135" t="s">
        <v>3095</v>
      </c>
      <c r="I1135" t="s">
        <v>3087</v>
      </c>
      <c r="J1135" t="e">
        <f>VLOOKUP(F1135,[1]!china_towns_second__2[[Column1]:[Y]],3,FALSE)</f>
        <v>#N/A</v>
      </c>
      <c r="K1135" t="e">
        <f>VLOOKUP(F1135,[1]!china_towns_second__2[[Column1]:[Y]],2,FALSE)</f>
        <v>#N/A</v>
      </c>
      <c r="L1135" t="s">
        <v>5256</v>
      </c>
      <c r="M1135" t="str">
        <f>VLOOKUP(H1135,CHOOSE({1,2},Table11[Native],Table11[Name]),2,0)</f>
        <v>Huáyīn Shì</v>
      </c>
      <c r="N1135" s="13" t="str">
        <f>VLOOKUP(I1135,CHOOSE({1,2},Table11[Native],Table11[Name]),2,0)</f>
        <v>Wèinán Shì</v>
      </c>
      <c r="O1135" s="13" t="str">
        <f t="shared" si="70"/>
        <v>Weiyu Xiang (Wèinán Shì)</v>
      </c>
      <c r="P1135" s="13" t="str">
        <f t="shared" si="71"/>
        <v>Weiyu Xiang (Wèinán Shì)</v>
      </c>
    </row>
    <row r="1136" spans="1:16" hidden="1" x14ac:dyDescent="0.25">
      <c r="A1136" t="s">
        <v>2229</v>
      </c>
      <c r="B1136" t="str">
        <f t="shared" si="68"/>
        <v>Wèizhài Jiēdào</v>
      </c>
      <c r="C1136" t="str">
        <f t="shared" si="69"/>
        <v>Wèizhài Jiēdào</v>
      </c>
      <c r="D1136" t="s">
        <v>2230</v>
      </c>
      <c r="E1136" t="s">
        <v>113</v>
      </c>
      <c r="F1136" t="str">
        <f>_xlfn.CONCAT(D1136,", ",H1136,", ",I1136,", ","陕西省")</f>
        <v>魏寨街道, 长安区, 西安市, 陕西省</v>
      </c>
      <c r="G1136">
        <v>11210</v>
      </c>
      <c r="H1136" t="s">
        <v>3105</v>
      </c>
      <c r="I1136" t="s">
        <v>3102</v>
      </c>
      <c r="J1136">
        <f>VLOOKUP(F1136,[1]!china_towns_second__2[[Column1]:[Y]],3,FALSE)</f>
        <v>34.110420865459503</v>
      </c>
      <c r="K1136">
        <f>VLOOKUP(F1136,[1]!china_towns_second__2[[Column1]:[Y]],2,FALSE)</f>
        <v>109.17029479999999</v>
      </c>
      <c r="L1136" t="s">
        <v>5257</v>
      </c>
      <c r="M1136" t="str">
        <f>VLOOKUP(H1136,CHOOSE({1,2},Table11[Native],Table11[Name]),2,0)</f>
        <v>Cháng'ān Qū</v>
      </c>
      <c r="N1136" s="13" t="str">
        <f>VLOOKUP(I1136,CHOOSE({1,2},Table11[Native],Table11[Name]),2,0)</f>
        <v>Xī'ān Shì</v>
      </c>
      <c r="O1136" s="13" t="str">
        <f t="shared" si="70"/>
        <v>Weizhai Jiedao (Xī'ān Shì)</v>
      </c>
      <c r="P1136" s="13" t="str">
        <f t="shared" si="71"/>
        <v>Weizhai Jiedao (Xī'ān Shì)</v>
      </c>
    </row>
    <row r="1137" spans="1:16" hidden="1" x14ac:dyDescent="0.25">
      <c r="A1137" t="s">
        <v>1638</v>
      </c>
      <c r="B1137" t="str">
        <f t="shared" si="68"/>
        <v>Wéizhuāng Zhèn</v>
      </c>
      <c r="C1137" t="str">
        <f t="shared" si="69"/>
        <v>Wéizhuāng Zhèn</v>
      </c>
      <c r="D1137" t="s">
        <v>1639</v>
      </c>
      <c r="E1137" t="s">
        <v>7</v>
      </c>
      <c r="F1137" t="str">
        <f>_xlfn.CONCAT(D1137,", ",H1137,", ",I1137,", ","陕西省")</f>
        <v>韦庄镇, 澄城县, 渭南市, 陕西省</v>
      </c>
      <c r="G1137">
        <v>35479</v>
      </c>
      <c r="H1137" t="s">
        <v>3089</v>
      </c>
      <c r="I1137" t="s">
        <v>3087</v>
      </c>
      <c r="J1137">
        <f>VLOOKUP(F1137,[1]!china_towns_second__2[[Column1]:[Y]],3,FALSE)</f>
        <v>34.973122255315197</v>
      </c>
      <c r="K1137">
        <f>VLOOKUP(F1137,[1]!china_towns_second__2[[Column1]:[Y]],2,FALSE)</f>
        <v>109.9541625</v>
      </c>
      <c r="L1137" t="s">
        <v>5258</v>
      </c>
      <c r="M1137" t="str">
        <f>VLOOKUP(H1137,CHOOSE({1,2},Table11[Native],Table11[Name]),2,0)</f>
        <v>Chéngchéng Xiàn</v>
      </c>
      <c r="N1137" s="13" t="str">
        <f>VLOOKUP(I1137,CHOOSE({1,2},Table11[Native],Table11[Name]),2,0)</f>
        <v>Wèinán Shì</v>
      </c>
      <c r="O1137" s="13" t="str">
        <f t="shared" si="70"/>
        <v>Weizhuang Zhen (Wèinán Shì)</v>
      </c>
      <c r="P1137" s="13" t="str">
        <f t="shared" si="71"/>
        <v>Weizhuang Zhen (Wèinán Shì)</v>
      </c>
    </row>
    <row r="1138" spans="1:16" hidden="1" x14ac:dyDescent="0.25">
      <c r="A1138" t="s">
        <v>2542</v>
      </c>
      <c r="B1138" t="str">
        <f t="shared" si="68"/>
        <v>Wén'ānyì Zhèn [incl. Yŭjū Zhèn]</v>
      </c>
      <c r="C1138" t="str">
        <f t="shared" si="69"/>
        <v>Wén'ānyì Zhèn [incl. Yŭjū Zhèn]</v>
      </c>
      <c r="D1138" t="s">
        <v>2543</v>
      </c>
      <c r="E1138" t="s">
        <v>7</v>
      </c>
      <c r="F1138" t="str">
        <f>_xlfn.CONCAT(D1138,", ",H1138,", ",I1138,", ","陕西省")</f>
        <v>文安驿镇, 延川县, 延安市, 陕西省</v>
      </c>
      <c r="G1138">
        <v>11075</v>
      </c>
      <c r="H1138" t="s">
        <v>3143</v>
      </c>
      <c r="I1138" t="s">
        <v>3133</v>
      </c>
      <c r="J1138">
        <f>VLOOKUP(F1138,[1]!china_towns_second__2[[Column1]:[Y]],3,FALSE)</f>
        <v>36.843853106857999</v>
      </c>
      <c r="K1138">
        <f>VLOOKUP(F1138,[1]!china_towns_second__2[[Column1]:[Y]],2,FALSE)</f>
        <v>110.06165470000001</v>
      </c>
      <c r="L1138" t="s">
        <v>5259</v>
      </c>
      <c r="M1138" t="str">
        <f>VLOOKUP(H1138,CHOOSE({1,2},Table11[Native],Table11[Name]),2,0)</f>
        <v>Yánchuān Xiàn</v>
      </c>
      <c r="N1138" s="13" t="str">
        <f>VLOOKUP(I1138,CHOOSE({1,2},Table11[Native],Table11[Name]),2,0)</f>
        <v>Yán'ān Shì</v>
      </c>
      <c r="O1138" s="13" t="str">
        <f t="shared" si="70"/>
        <v>Wen'anyi Zhen [incl. Yuju Zhen] (Yán'ān Shì)</v>
      </c>
      <c r="P1138" s="13" t="str">
        <f t="shared" si="71"/>
        <v>Wen'anyi Zhen [incl. Yuju Zhen] (Yán'ān Shì)</v>
      </c>
    </row>
    <row r="1139" spans="1:16" hidden="1" x14ac:dyDescent="0.25">
      <c r="A1139" t="s">
        <v>922</v>
      </c>
      <c r="B1139" t="str">
        <f t="shared" si="68"/>
        <v>Wénchuān Zhèn</v>
      </c>
      <c r="C1139" t="str">
        <f t="shared" si="69"/>
        <v>Wénchuān Zhèn</v>
      </c>
      <c r="D1139" t="s">
        <v>923</v>
      </c>
      <c r="E1139" t="s">
        <v>7</v>
      </c>
      <c r="F1139" t="str">
        <f>_xlfn.CONCAT(D1139,", ",H1139,", ",I1139,", ","陕西省")</f>
        <v>文川镇, 城固县, 汉中市, 陕西省</v>
      </c>
      <c r="G1139">
        <v>14660</v>
      </c>
      <c r="H1139" t="s">
        <v>3060</v>
      </c>
      <c r="I1139" t="s">
        <v>3059</v>
      </c>
      <c r="J1139">
        <f>VLOOKUP(F1139,[1]!china_towns_second__2[[Column1]:[Y]],3,FALSE)</f>
        <v>33.192573365304902</v>
      </c>
      <c r="K1139">
        <f>VLOOKUP(F1139,[1]!china_towns_second__2[[Column1]:[Y]],2,FALSE)</f>
        <v>107.15701009999999</v>
      </c>
      <c r="L1139" t="s">
        <v>5260</v>
      </c>
      <c r="M1139" t="str">
        <f>VLOOKUP(H1139,CHOOSE({1,2},Table11[Native],Table11[Name]),2,0)</f>
        <v>Chénggù Xiàn</v>
      </c>
      <c r="N1139" s="13" t="str">
        <f>VLOOKUP(I1139,CHOOSE({1,2},Table11[Native],Table11[Name]),2,0)</f>
        <v>Hànzhōng Shì</v>
      </c>
      <c r="O1139" s="13" t="str">
        <f t="shared" si="70"/>
        <v>Wenchuan Zhen (Hànzhōng Shì)</v>
      </c>
      <c r="P1139" s="13" t="str">
        <f t="shared" si="71"/>
        <v>Wenchuan Zhen (Hànzhōng Shì)</v>
      </c>
    </row>
    <row r="1140" spans="1:16" hidden="1" x14ac:dyDescent="0.25">
      <c r="A1140" t="s">
        <v>1886</v>
      </c>
      <c r="B1140" t="str">
        <f t="shared" si="68"/>
        <v>Wénhuì Jiēdào [Wénhuìlù Jiēdào]</v>
      </c>
      <c r="C1140" t="str">
        <f t="shared" si="69"/>
        <v>Wénhuì Jiēdào [Wénhuìlù Jiēdào]</v>
      </c>
      <c r="D1140" t="s">
        <v>1887</v>
      </c>
      <c r="E1140" t="s">
        <v>113</v>
      </c>
      <c r="F1140" t="str">
        <f>_xlfn.CONCAT(D1140,", ",H1140,", ",I1140,", ","陕西省")</f>
        <v>文汇街道, 渭城区, 咸阳市, 陕西省</v>
      </c>
      <c r="G1140">
        <v>76473</v>
      </c>
      <c r="H1140" t="s">
        <v>3126</v>
      </c>
      <c r="I1140" t="s">
        <v>3117</v>
      </c>
      <c r="J1140" t="e">
        <f>VLOOKUP(F1140,[1]!china_towns_second__2[[Column1]:[Y]],3,FALSE)</f>
        <v>#N/A</v>
      </c>
      <c r="K1140" t="e">
        <f>VLOOKUP(F1140,[1]!china_towns_second__2[[Column1]:[Y]],2,FALSE)</f>
        <v>#N/A</v>
      </c>
      <c r="L1140" t="s">
        <v>5261</v>
      </c>
      <c r="M1140" t="str">
        <f>VLOOKUP(H1140,CHOOSE({1,2},Table11[Native],Table11[Name]),2,0)</f>
        <v>Wèichéng Qū</v>
      </c>
      <c r="N1140" s="13" t="str">
        <f>VLOOKUP(I1140,CHOOSE({1,2},Table11[Native],Table11[Name]),2,0)</f>
        <v>Xiányáng Shì</v>
      </c>
      <c r="O1140" s="13" t="str">
        <f t="shared" si="70"/>
        <v>Wenhui Jiedao [Wenhuilu Jiedao] (Xiányáng Shì)</v>
      </c>
      <c r="P1140" s="13" t="str">
        <f t="shared" si="71"/>
        <v>Wenhui Jiedao [Wenhuilu Jiedao] (Xiányáng Shì)</v>
      </c>
    </row>
    <row r="1141" spans="1:16" hidden="1" x14ac:dyDescent="0.25">
      <c r="A1141" t="s">
        <v>565</v>
      </c>
      <c r="B1141" t="str">
        <f t="shared" si="68"/>
        <v>Wénjiāpō Xiāng</v>
      </c>
      <c r="C1141" t="str">
        <f t="shared" si="69"/>
        <v>Wénjiāpō Xiāng</v>
      </c>
      <c r="D1141" t="s">
        <v>566</v>
      </c>
      <c r="E1141" t="s">
        <v>11</v>
      </c>
      <c r="F1141" t="str">
        <f>_xlfn.CONCAT(D1141,", ",H1141,", ",I1141,", ","陕西省")</f>
        <v>文家坡乡, 千阳县, 宝鸡市, 陕西省</v>
      </c>
      <c r="G1141">
        <v>8190</v>
      </c>
      <c r="H1141" t="s">
        <v>3054</v>
      </c>
      <c r="I1141" t="s">
        <v>3045</v>
      </c>
      <c r="J1141" t="e">
        <f>VLOOKUP(F1141,[1]!china_towns_second__2[[Column1]:[Y]],3,FALSE)</f>
        <v>#N/A</v>
      </c>
      <c r="K1141" t="e">
        <f>VLOOKUP(F1141,[1]!china_towns_second__2[[Column1]:[Y]],2,FALSE)</f>
        <v>#N/A</v>
      </c>
      <c r="L1141" t="s">
        <v>5262</v>
      </c>
      <c r="M1141" t="str">
        <f>VLOOKUP(H1141,CHOOSE({1,2},Table11[Native],Table11[Name]),2,0)</f>
        <v>Qiānyáng Xiàn</v>
      </c>
      <c r="N1141" s="13" t="str">
        <f>VLOOKUP(I1141,CHOOSE({1,2},Table11[Native],Table11[Name]),2,0)</f>
        <v>Băojī Shì</v>
      </c>
      <c r="O1141" s="13" t="str">
        <f t="shared" si="70"/>
        <v>Wenjiapo Xiang (Băojī Shì)</v>
      </c>
      <c r="P1141" s="13" t="str">
        <f t="shared" si="71"/>
        <v>Wenjiapo Xiang (Băojī Shì)</v>
      </c>
    </row>
    <row r="1142" spans="1:16" hidden="1" x14ac:dyDescent="0.25">
      <c r="A1142" t="s">
        <v>924</v>
      </c>
      <c r="B1142" t="str">
        <f t="shared" si="68"/>
        <v>Wēnquán Zhèn</v>
      </c>
      <c r="C1142" t="str">
        <f t="shared" si="69"/>
        <v>Wēnquán Zhèn</v>
      </c>
      <c r="D1142" t="s">
        <v>925</v>
      </c>
      <c r="E1142" t="s">
        <v>7</v>
      </c>
      <c r="F1142" t="str">
        <f>_xlfn.CONCAT(D1142,", ",H1142,", ",I1142,", ","陕西省")</f>
        <v>温泉镇, 勉县, 汉中市, 陕西省</v>
      </c>
      <c r="G1142">
        <v>16128</v>
      </c>
      <c r="H1142" t="s">
        <v>3065</v>
      </c>
      <c r="I1142" t="s">
        <v>3059</v>
      </c>
      <c r="J1142">
        <f>VLOOKUP(F1142,[1]!china_towns_second__2[[Column1]:[Y]],3,FALSE)</f>
        <v>33.116154377784397</v>
      </c>
      <c r="K1142">
        <f>VLOOKUP(F1142,[1]!china_towns_second__2[[Column1]:[Y]],2,FALSE)</f>
        <v>106.7232547</v>
      </c>
      <c r="L1142" t="s">
        <v>5263</v>
      </c>
      <c r="M1142" t="str">
        <f>VLOOKUP(H1142,CHOOSE({1,2},Table11[Native],Table11[Name]),2,0)</f>
        <v>Miăn Xiàn</v>
      </c>
      <c r="N1142" s="13" t="str">
        <f>VLOOKUP(I1142,CHOOSE({1,2},Table11[Native],Table11[Name]),2,0)</f>
        <v>Hànzhōng Shì</v>
      </c>
      <c r="O1142" s="13" t="str">
        <f t="shared" si="70"/>
        <v>Wenquan Zhen (Hànzhōng Shì)</v>
      </c>
      <c r="P1142" s="13" t="str">
        <f t="shared" si="71"/>
        <v>Wenquan Zhen (Hànzhōng Shì)</v>
      </c>
    </row>
    <row r="1143" spans="1:16" hidden="1" x14ac:dyDescent="0.25">
      <c r="A1143" t="s">
        <v>567</v>
      </c>
      <c r="B1143" t="str">
        <f t="shared" si="68"/>
        <v>Wēnshuĭ Zhèn [incl. Huŏshāozhài Zhèn, Lĭjiāhé Xiāng]</v>
      </c>
      <c r="C1143" t="str">
        <f t="shared" si="69"/>
        <v>Wēnshuĭ Zhèn [incl. Huŏshāozhài Zhèn, Lĭjiāhé Xiāng]</v>
      </c>
      <c r="D1143" t="s">
        <v>568</v>
      </c>
      <c r="E1143" t="s">
        <v>7</v>
      </c>
      <c r="F1143" t="str">
        <f>_xlfn.CONCAT(D1143,", ",H1143,", ",I1143,", ","陕西省")</f>
        <v>温水镇, 陇县, 宝鸡市, 陕西省</v>
      </c>
      <c r="G1143">
        <v>36153</v>
      </c>
      <c r="H1143" t="s">
        <v>3052</v>
      </c>
      <c r="I1143" t="s">
        <v>3045</v>
      </c>
      <c r="J1143">
        <f>VLOOKUP(F1143,[1]!china_towns_second__2[[Column1]:[Y]],3,FALSE)</f>
        <v>34.977562844257797</v>
      </c>
      <c r="K1143">
        <f>VLOOKUP(F1143,[1]!china_towns_second__2[[Column1]:[Y]],2,FALSE)</f>
        <v>106.77489679999999</v>
      </c>
      <c r="L1143" t="s">
        <v>5264</v>
      </c>
      <c r="M1143" t="str">
        <f>VLOOKUP(H1143,CHOOSE({1,2},Table11[Native],Table11[Name]),2,0)</f>
        <v>Lŏng Xiàn</v>
      </c>
      <c r="N1143" s="13" t="str">
        <f>VLOOKUP(I1143,CHOOSE({1,2},Table11[Native],Table11[Name]),2,0)</f>
        <v>Băojī Shì</v>
      </c>
      <c r="O1143" s="13" t="str">
        <f t="shared" si="70"/>
        <v>Wenshui Zhen [incl. Huoshaozhai Zhen, Lijiahe Xiang] (Băojī Shì)</v>
      </c>
      <c r="P1143" s="13" t="str">
        <f t="shared" si="71"/>
        <v>Wenshui Zhen [incl. Huoshaozhai Zhen, Lijiahe Xiang] (Băojī Shì)</v>
      </c>
    </row>
    <row r="1144" spans="1:16" hidden="1" x14ac:dyDescent="0.25">
      <c r="A1144" t="s">
        <v>2231</v>
      </c>
      <c r="B1144" t="str">
        <f t="shared" si="68"/>
        <v>Wényìlù Jiēdào</v>
      </c>
      <c r="C1144" t="str">
        <f t="shared" si="69"/>
        <v>Wényìlù Jiēdào</v>
      </c>
      <c r="D1144" t="s">
        <v>2232</v>
      </c>
      <c r="E1144" t="s">
        <v>113</v>
      </c>
      <c r="F1144" t="str">
        <f>_xlfn.CONCAT(D1144,", ",H1144,", ",I1144,", ","陕西省")</f>
        <v>文艺路街道, 碑林区, 西安市, 陕西省</v>
      </c>
      <c r="G1144">
        <v>81817</v>
      </c>
      <c r="H1144" t="s">
        <v>3104</v>
      </c>
      <c r="I1144" t="s">
        <v>3102</v>
      </c>
      <c r="J1144">
        <f>VLOOKUP(F1144,[1]!china_towns_second__2[[Column1]:[Y]],3,FALSE)</f>
        <v>34.242265907348099</v>
      </c>
      <c r="K1144">
        <f>VLOOKUP(F1144,[1]!china_towns_second__2[[Column1]:[Y]],2,FALSE)</f>
        <v>108.95575289999999</v>
      </c>
      <c r="L1144" t="s">
        <v>5265</v>
      </c>
      <c r="M1144" t="str">
        <f>VLOOKUP(H1144,CHOOSE({1,2},Table11[Native],Table11[Name]),2,0)</f>
        <v>Bēilín Qū</v>
      </c>
      <c r="N1144" s="13" t="str">
        <f>VLOOKUP(I1144,CHOOSE({1,2},Table11[Native],Table11[Name]),2,0)</f>
        <v>Xī'ān Shì</v>
      </c>
      <c r="O1144" s="13" t="str">
        <f t="shared" si="70"/>
        <v>Wenyilu Jiedao (Xī'ān Shì)</v>
      </c>
      <c r="P1144" s="13" t="str">
        <f t="shared" si="71"/>
        <v>Wenyilu Jiedao (Xī'ān Shì)</v>
      </c>
    </row>
    <row r="1145" spans="1:16" hidden="1" x14ac:dyDescent="0.25">
      <c r="A1145" t="s">
        <v>569</v>
      </c>
      <c r="B1145" t="str">
        <f t="shared" si="68"/>
        <v>Wòlóngsì Jiēdào</v>
      </c>
      <c r="C1145" t="str">
        <f t="shared" si="69"/>
        <v>Wòlóngsì Jiēdào</v>
      </c>
      <c r="D1145" t="s">
        <v>570</v>
      </c>
      <c r="E1145" t="s">
        <v>113</v>
      </c>
      <c r="F1145" t="str">
        <f>_xlfn.CONCAT(D1145,", ",H1145,", ",I1145,", ","陕西省")</f>
        <v>卧龙寺街道, 金台区, 宝鸡市, 陕西省</v>
      </c>
      <c r="G1145">
        <v>23718</v>
      </c>
      <c r="H1145" t="s">
        <v>3050</v>
      </c>
      <c r="I1145" t="s">
        <v>3045</v>
      </c>
      <c r="J1145">
        <f>VLOOKUP(F1145,[1]!china_towns_second__2[[Column1]:[Y]],3,FALSE)</f>
        <v>34.365413443423698</v>
      </c>
      <c r="K1145">
        <f>VLOOKUP(F1145,[1]!china_towns_second__2[[Column1]:[Y]],2,FALSE)</f>
        <v>107.25324329999999</v>
      </c>
      <c r="L1145" t="s">
        <v>5266</v>
      </c>
      <c r="M1145" t="str">
        <f>VLOOKUP(H1145,CHOOSE({1,2},Table11[Native],Table11[Name]),2,0)</f>
        <v>Jīntái Qū</v>
      </c>
      <c r="N1145" s="13" t="str">
        <f>VLOOKUP(I1145,CHOOSE({1,2},Table11[Native],Table11[Name]),2,0)</f>
        <v>Băojī Shì</v>
      </c>
      <c r="O1145" s="13" t="str">
        <f t="shared" si="70"/>
        <v>Wolongsi Jiedao (Băojī Shì)</v>
      </c>
      <c r="P1145" s="13" t="str">
        <f t="shared" si="71"/>
        <v>Wolongsi Jiedao (Băojī Shì)</v>
      </c>
    </row>
    <row r="1146" spans="1:16" hidden="1" x14ac:dyDescent="0.25">
      <c r="A1146" t="s">
        <v>2930</v>
      </c>
      <c r="B1146" t="str">
        <f t="shared" si="68"/>
        <v>Wŭ Zhèn</v>
      </c>
      <c r="C1146" t="str">
        <f t="shared" si="69"/>
        <v>Wŭ Zhèn</v>
      </c>
      <c r="D1146" t="s">
        <v>2931</v>
      </c>
      <c r="E1146" t="s">
        <v>7</v>
      </c>
      <c r="F1146" t="str">
        <f>_xlfn.CONCAT(D1146,", ",H1146,", ",I1146,", ","陕西省")</f>
        <v>武镇, 横山区, 榆林市, 陕西省</v>
      </c>
      <c r="G1146">
        <v>14367</v>
      </c>
      <c r="H1146" t="s">
        <v>3151</v>
      </c>
      <c r="I1146" t="s">
        <v>3148</v>
      </c>
      <c r="J1146">
        <f>VLOOKUP(F1146,[1]!china_towns_second__2[[Column1]:[Y]],3,FALSE)</f>
        <v>37.849230905050099</v>
      </c>
      <c r="K1146">
        <f>VLOOKUP(F1146,[1]!china_towns_second__2[[Column1]:[Y]],2,FALSE)</f>
        <v>109.793526</v>
      </c>
      <c r="L1146" t="s">
        <v>5267</v>
      </c>
      <c r="M1146" t="str">
        <f>VLOOKUP(H1146,CHOOSE({1,2},Table11[Native],Table11[Name]),2,0)</f>
        <v>Héngshān Qū</v>
      </c>
      <c r="N1146" s="13" t="str">
        <f>VLOOKUP(I1146,CHOOSE({1,2},Table11[Native],Table11[Name]),2,0)</f>
        <v>Yúlín Shì</v>
      </c>
      <c r="O1146" s="13" t="str">
        <f t="shared" si="70"/>
        <v>Wu Zhen (Yúlín Shì)</v>
      </c>
      <c r="P1146" s="13" t="str">
        <f t="shared" si="71"/>
        <v>Wu Zhen (Yúlín Shì)</v>
      </c>
    </row>
    <row r="1147" spans="1:16" hidden="1" x14ac:dyDescent="0.25">
      <c r="A1147" t="s">
        <v>2932</v>
      </c>
      <c r="B1147" t="str">
        <f t="shared" si="68"/>
        <v>Wū Zhèn [incl. Liújiāshān Xiāng]</v>
      </c>
      <c r="C1147" t="str">
        <f t="shared" si="69"/>
        <v>Wū Zhèn [incl. Liújiāshān Xiāng]</v>
      </c>
      <c r="D1147" t="s">
        <v>2933</v>
      </c>
      <c r="E1147" t="s">
        <v>7</v>
      </c>
      <c r="F1147" t="str">
        <f>_xlfn.CONCAT(D1147,", ",H1147,", ",I1147,", ","陕西省")</f>
        <v>乌镇, 佳县, 榆林市, 陕西省</v>
      </c>
      <c r="G1147">
        <v>22910</v>
      </c>
      <c r="H1147" t="s">
        <v>3152</v>
      </c>
      <c r="I1147" t="s">
        <v>3148</v>
      </c>
      <c r="J1147">
        <f>VLOOKUP(F1147,[1]!china_towns_second__2[[Column1]:[Y]],3,FALSE)</f>
        <v>37.954983656845599</v>
      </c>
      <c r="K1147">
        <f>VLOOKUP(F1147,[1]!china_towns_second__2[[Column1]:[Y]],2,FALSE)</f>
        <v>110.36215799999999</v>
      </c>
      <c r="L1147" t="s">
        <v>5268</v>
      </c>
      <c r="M1147" t="str">
        <f>VLOOKUP(H1147,CHOOSE({1,2},Table11[Native],Table11[Name]),2,0)</f>
        <v>Jiā Xiàn</v>
      </c>
      <c r="N1147" s="13" t="str">
        <f>VLOOKUP(I1147,CHOOSE({1,2},Table11[Native],Table11[Name]),2,0)</f>
        <v>Yúlín Shì</v>
      </c>
      <c r="O1147" s="13" t="str">
        <f t="shared" si="70"/>
        <v>Wu Zhen [incl. Liujiashan Xiang] (Yúlín Shì)</v>
      </c>
      <c r="P1147" s="13" t="str">
        <f t="shared" si="71"/>
        <v>Wu Zhen [incl. Liujiashan Xiang] (Yúlín Shì)</v>
      </c>
    </row>
    <row r="1148" spans="1:16" hidden="1" x14ac:dyDescent="0.25">
      <c r="A1148" t="s">
        <v>2544</v>
      </c>
      <c r="B1148" t="str">
        <f t="shared" si="68"/>
        <v>Wúbăo Xiāng</v>
      </c>
      <c r="C1148" t="str">
        <f t="shared" si="69"/>
        <v>Wúbăo Xiāng</v>
      </c>
      <c r="D1148" t="s">
        <v>2545</v>
      </c>
      <c r="E1148" t="s">
        <v>11</v>
      </c>
      <c r="F1148" t="str">
        <f>_xlfn.CONCAT(D1148,", ",H1148,", ",I1148,", ","陕西省")</f>
        <v>吴堡乡, 志丹县, 延安市, 陕西省</v>
      </c>
      <c r="G1148">
        <v>3679</v>
      </c>
      <c r="H1148" t="s">
        <v>3145</v>
      </c>
      <c r="I1148" t="s">
        <v>3133</v>
      </c>
      <c r="J1148" t="e">
        <f>VLOOKUP(F1148,[1]!china_towns_second__2[[Column1]:[Y]],3,FALSE)</f>
        <v>#N/A</v>
      </c>
      <c r="K1148" t="e">
        <f>VLOOKUP(F1148,[1]!china_towns_second__2[[Column1]:[Y]],2,FALSE)</f>
        <v>#N/A</v>
      </c>
      <c r="L1148" t="s">
        <v>5269</v>
      </c>
      <c r="M1148" t="str">
        <f>VLOOKUP(H1148,CHOOSE({1,2},Table11[Native],Table11[Name]),2,0)</f>
        <v>Zhìdān Xiàn</v>
      </c>
      <c r="N1148" s="13" t="str">
        <f>VLOOKUP(I1148,CHOOSE({1,2},Table11[Native],Table11[Name]),2,0)</f>
        <v>Yán'ān Shì</v>
      </c>
      <c r="O1148" s="13" t="str">
        <f t="shared" si="70"/>
        <v>Wubao Xiang (Yán'ān Shì)</v>
      </c>
      <c r="P1148" s="13" t="str">
        <f t="shared" si="71"/>
        <v>Wubao Xiang (Yán'ān Shì)</v>
      </c>
    </row>
    <row r="1149" spans="1:16" hidden="1" x14ac:dyDescent="0.25">
      <c r="A1149" t="s">
        <v>2546</v>
      </c>
      <c r="B1149" t="str">
        <f t="shared" si="68"/>
        <v>Wúcāngbăo Zhèn</v>
      </c>
      <c r="C1149" t="str">
        <f t="shared" si="69"/>
        <v>Wúcāngbăo Zhèn</v>
      </c>
      <c r="D1149" t="s">
        <v>2547</v>
      </c>
      <c r="E1149" t="s">
        <v>7</v>
      </c>
      <c r="F1149" t="str">
        <f>_xlfn.CONCAT(D1149,", ",H1149,", ",I1149,", ","陕西省")</f>
        <v>吴仓堡镇, 吴起县, 延安市, 陕西省</v>
      </c>
      <c r="G1149">
        <v>7831</v>
      </c>
      <c r="H1149" t="s">
        <v>3141</v>
      </c>
      <c r="I1149" t="s">
        <v>3133</v>
      </c>
      <c r="J1149">
        <f>VLOOKUP(F1149,[1]!china_towns_second__2[[Column1]:[Y]],3,FALSE)</f>
        <v>37.082041564406403</v>
      </c>
      <c r="K1149">
        <f>VLOOKUP(F1149,[1]!china_towns_second__2[[Column1]:[Y]],2,FALSE)</f>
        <v>108.1434509</v>
      </c>
      <c r="L1149" t="s">
        <v>5270</v>
      </c>
      <c r="M1149" t="str">
        <f>VLOOKUP(H1149,CHOOSE({1,2},Table11[Native],Table11[Name]),2,0)</f>
        <v>Wúqĭ Xiàn</v>
      </c>
      <c r="N1149" s="13" t="str">
        <f>VLOOKUP(I1149,CHOOSE({1,2},Table11[Native],Table11[Name]),2,0)</f>
        <v>Yán'ān Shì</v>
      </c>
      <c r="O1149" s="13" t="str">
        <f t="shared" si="70"/>
        <v>Wucangbao Zhen (Yán'ān Shì)</v>
      </c>
      <c r="P1149" s="13" t="str">
        <f t="shared" si="71"/>
        <v>Wucangbao Zhen (Yán'ān Shì)</v>
      </c>
    </row>
    <row r="1150" spans="1:16" hidden="1" x14ac:dyDescent="0.25">
      <c r="A1150" t="s">
        <v>926</v>
      </c>
      <c r="B1150" t="str">
        <f t="shared" si="68"/>
        <v>Wŭdŭ Zhèn</v>
      </c>
      <c r="C1150" t="str">
        <f t="shared" si="69"/>
        <v>Wŭdŭ Zhèn</v>
      </c>
      <c r="D1150" t="s">
        <v>927</v>
      </c>
      <c r="E1150" t="s">
        <v>7</v>
      </c>
      <c r="F1150" t="str">
        <f>_xlfn.CONCAT(D1150,", ",H1150,", ",I1150,", ","陕西省")</f>
        <v>五堵镇, 城固县, 汉中市, 陕西省</v>
      </c>
      <c r="G1150">
        <v>10596</v>
      </c>
      <c r="H1150" t="s">
        <v>3060</v>
      </c>
      <c r="I1150" t="s">
        <v>3059</v>
      </c>
      <c r="J1150">
        <f>VLOOKUP(F1150,[1]!china_towns_second__2[[Column1]:[Y]],3,FALSE)</f>
        <v>33.016792141630297</v>
      </c>
      <c r="K1150">
        <f>VLOOKUP(F1150,[1]!china_towns_second__2[[Column1]:[Y]],2,FALSE)</f>
        <v>107.41923559999999</v>
      </c>
      <c r="L1150" t="s">
        <v>5271</v>
      </c>
      <c r="M1150" t="str">
        <f>VLOOKUP(H1150,CHOOSE({1,2},Table11[Native],Table11[Name]),2,0)</f>
        <v>Chénggù Xiàn</v>
      </c>
      <c r="N1150" s="13" t="str">
        <f>VLOOKUP(I1150,CHOOSE({1,2},Table11[Native],Table11[Name]),2,0)</f>
        <v>Hànzhōng Shì</v>
      </c>
      <c r="O1150" s="13" t="str">
        <f t="shared" si="70"/>
        <v>Wudu Zhen (Hànzhōng Shì)</v>
      </c>
      <c r="P1150" s="13" t="str">
        <f t="shared" si="71"/>
        <v>Wudu Zhen (Hànzhōng Shì)</v>
      </c>
    </row>
    <row r="1151" spans="1:16" hidden="1" x14ac:dyDescent="0.25">
      <c r="A1151" t="s">
        <v>1888</v>
      </c>
      <c r="B1151" t="str">
        <f t="shared" si="68"/>
        <v>Wŭgōng Zhèn</v>
      </c>
      <c r="C1151" t="str">
        <f t="shared" si="69"/>
        <v>Wŭgōng Zhèn</v>
      </c>
      <c r="D1151" t="s">
        <v>1889</v>
      </c>
      <c r="E1151" t="s">
        <v>7</v>
      </c>
      <c r="F1151" t="str">
        <f>_xlfn.CONCAT(D1151,", ",H1151,", ",I1151,", ","陕西省")</f>
        <v>武功镇, 武功县, 咸阳市, 陕西省</v>
      </c>
      <c r="G1151">
        <v>43512</v>
      </c>
      <c r="H1151" t="s">
        <v>3127</v>
      </c>
      <c r="I1151" t="s">
        <v>3117</v>
      </c>
      <c r="J1151">
        <f>VLOOKUP(F1151,[1]!china_towns_second__2[[Column1]:[Y]],3,FALSE)</f>
        <v>34.334163776425697</v>
      </c>
      <c r="K1151">
        <f>VLOOKUP(F1151,[1]!china_towns_second__2[[Column1]:[Y]],2,FALSE)</f>
        <v>108.09052490000001</v>
      </c>
      <c r="L1151" t="s">
        <v>5272</v>
      </c>
      <c r="M1151" t="str">
        <f>VLOOKUP(H1151,CHOOSE({1,2},Table11[Native],Table11[Name]),2,0)</f>
        <v>Wŭgōng Xiàn</v>
      </c>
      <c r="N1151" s="13" t="str">
        <f>VLOOKUP(I1151,CHOOSE({1,2},Table11[Native],Table11[Name]),2,0)</f>
        <v>Xiányáng Shì</v>
      </c>
      <c r="O1151" s="13" t="str">
        <f t="shared" si="70"/>
        <v>Wugong Zhen (Xiányáng Shì)</v>
      </c>
      <c r="P1151" s="13" t="str">
        <f t="shared" si="71"/>
        <v>Wugong Zhen (Xiányáng Shì)</v>
      </c>
    </row>
    <row r="1152" spans="1:16" hidden="1" x14ac:dyDescent="0.25">
      <c r="A1152" t="s">
        <v>1228</v>
      </c>
      <c r="B1152" t="str">
        <f t="shared" si="68"/>
        <v>Wŭguān Zhèn [incl. Bĕizhàochuān Xiāng]</v>
      </c>
      <c r="C1152" t="str">
        <f t="shared" si="69"/>
        <v>Wŭguān Zhèn [incl. Bĕizhàochuān Xiāng]</v>
      </c>
      <c r="D1152" t="s">
        <v>1229</v>
      </c>
      <c r="E1152" t="s">
        <v>7</v>
      </c>
      <c r="F1152" t="str">
        <f>_xlfn.CONCAT(D1152,", ",H1152,", ",I1152,", ","陕西省")</f>
        <v>武关镇, 丹凤县, 商洛市, 陕西省</v>
      </c>
      <c r="G1152">
        <v>20942</v>
      </c>
      <c r="H1152" t="s">
        <v>3073</v>
      </c>
      <c r="I1152" t="s">
        <v>3072</v>
      </c>
      <c r="J1152">
        <f>VLOOKUP(F1152,[1]!china_towns_second__2[[Column1]:[Y]],3,FALSE)</f>
        <v>33.5690482315092</v>
      </c>
      <c r="K1152">
        <f>VLOOKUP(F1152,[1]!china_towns_second__2[[Column1]:[Y]],2,FALSE)</f>
        <v>110.6210866</v>
      </c>
      <c r="L1152" t="s">
        <v>5273</v>
      </c>
      <c r="M1152" t="str">
        <f>VLOOKUP(H1152,CHOOSE({1,2},Table11[Native],Table11[Name]),2,0)</f>
        <v>Dānfèng Xiàn</v>
      </c>
      <c r="N1152" s="13" t="str">
        <f>VLOOKUP(I1152,CHOOSE({1,2},Table11[Native],Table11[Name]),2,0)</f>
        <v>Shāngluò Shì</v>
      </c>
      <c r="O1152" s="13" t="str">
        <f t="shared" si="70"/>
        <v>Wuguan Zhen [incl. Beizhaochuan Xiang] (Shāngluò Shì)</v>
      </c>
      <c r="P1152" s="13" t="str">
        <f t="shared" si="71"/>
        <v>Wuguan Zhen [incl. Beizhaochuan Xiang] (Shāngluò Shì)</v>
      </c>
    </row>
    <row r="1153" spans="1:16" hidden="1" x14ac:dyDescent="0.25">
      <c r="A1153" t="s">
        <v>928</v>
      </c>
      <c r="B1153" t="str">
        <f t="shared" si="68"/>
        <v>Wŭguānyì Zhèn</v>
      </c>
      <c r="C1153" t="str">
        <f t="shared" si="69"/>
        <v>Wŭguānyì Zhèn</v>
      </c>
      <c r="D1153" t="s">
        <v>929</v>
      </c>
      <c r="E1153" t="s">
        <v>7</v>
      </c>
      <c r="F1153" t="str">
        <f>_xlfn.CONCAT(D1153,", ",H1153,", ",I1153,", ","陕西省")</f>
        <v>武关驿镇, 留坝县, 汉中市, 陕西省</v>
      </c>
      <c r="G1153">
        <v>5145</v>
      </c>
      <c r="H1153" t="s">
        <v>3063</v>
      </c>
      <c r="I1153" t="s">
        <v>3059</v>
      </c>
      <c r="J1153">
        <f>VLOOKUP(F1153,[1]!china_towns_second__2[[Column1]:[Y]],3,FALSE)</f>
        <v>33.549734479646901</v>
      </c>
      <c r="K1153">
        <f>VLOOKUP(F1153,[1]!china_towns_second__2[[Column1]:[Y]],2,FALSE)</f>
        <v>107.00550490000001</v>
      </c>
      <c r="L1153" t="s">
        <v>5274</v>
      </c>
      <c r="M1153" t="str">
        <f>VLOOKUP(H1153,CHOOSE({1,2},Table11[Native],Table11[Name]),2,0)</f>
        <v>Liúbà Xiàn</v>
      </c>
      <c r="N1153" s="13" t="str">
        <f>VLOOKUP(I1153,CHOOSE({1,2},Table11[Native],Table11[Name]),2,0)</f>
        <v>Hànzhōng Shì</v>
      </c>
      <c r="O1153" s="13" t="str">
        <f t="shared" si="70"/>
        <v>Wuguanyi Zhen (Hànzhōng Shì)</v>
      </c>
      <c r="P1153" s="13" t="str">
        <f t="shared" si="71"/>
        <v>Wuguanyi Zhen (Hànzhōng Shì)</v>
      </c>
    </row>
    <row r="1154" spans="1:16" hidden="1" x14ac:dyDescent="0.25">
      <c r="A1154" t="s">
        <v>2548</v>
      </c>
      <c r="B1154" t="str">
        <f t="shared" ref="B1154:B1217" si="72">IF(COUNTIF(A:A,A1154)&gt;1,_xlfn.CONCAT(A1154," (",N1154,")"),A1154)</f>
        <v>Wŭgŭchéng Zhèn</v>
      </c>
      <c r="C1154" t="str">
        <f t="shared" ref="C1154:C1217" si="73">IF(COUNTIF(B:B,B1154)&gt;1,_xlfn.CONCAT(A1154," (",M1154,")"),B1154)</f>
        <v>Wŭgŭchéng Zhèn</v>
      </c>
      <c r="D1154" t="s">
        <v>2549</v>
      </c>
      <c r="E1154" t="s">
        <v>7</v>
      </c>
      <c r="F1154" t="str">
        <f>_xlfn.CONCAT(D1154,", ",H1154,", ",I1154,", ","陕西省")</f>
        <v>五谷城镇, 吴起县, 延安市, 陕西省</v>
      </c>
      <c r="G1154">
        <v>8281</v>
      </c>
      <c r="H1154" t="s">
        <v>3141</v>
      </c>
      <c r="I1154" t="s">
        <v>3133</v>
      </c>
      <c r="J1154">
        <f>VLOOKUP(F1154,[1]!china_towns_second__2[[Column1]:[Y]],3,FALSE)</f>
        <v>37.110500142883502</v>
      </c>
      <c r="K1154">
        <f>VLOOKUP(F1154,[1]!china_towns_second__2[[Column1]:[Y]],2,FALSE)</f>
        <v>108.3831168</v>
      </c>
      <c r="L1154" t="s">
        <v>5275</v>
      </c>
      <c r="M1154" t="str">
        <f>VLOOKUP(H1154,CHOOSE({1,2},Table11[Native],Table11[Name]),2,0)</f>
        <v>Wúqĭ Xiàn</v>
      </c>
      <c r="N1154" s="13" t="str">
        <f>VLOOKUP(I1154,CHOOSE({1,2},Table11[Native],Table11[Name]),2,0)</f>
        <v>Yán'ān Shì</v>
      </c>
      <c r="O1154" s="13" t="str">
        <f t="shared" ref="O1154:O1217" si="74">_xlfn.CONCAT(L1154," (",N1154,")")</f>
        <v>Wugucheng Zhen (Yán'ān Shì)</v>
      </c>
      <c r="P1154" s="13" t="str">
        <f t="shared" ref="P1154:P1217" si="75">IF(COUNTIF(O:O,O1154)&gt;1,_xlfn.CONCAT(L1154," (",M1154,")"),O1154)</f>
        <v>Wugucheng Zhen (Yán'ān Shì)</v>
      </c>
    </row>
    <row r="1155" spans="1:16" hidden="1" x14ac:dyDescent="0.25">
      <c r="A1155" t="s">
        <v>930</v>
      </c>
      <c r="B1155" t="str">
        <f t="shared" si="72"/>
        <v>Wŭhòu Zhèn</v>
      </c>
      <c r="C1155" t="str">
        <f t="shared" si="73"/>
        <v>Wŭhòu Zhèn</v>
      </c>
      <c r="D1155" t="s">
        <v>931</v>
      </c>
      <c r="E1155" t="s">
        <v>7</v>
      </c>
      <c r="F1155" t="str">
        <f>_xlfn.CONCAT(D1155,", ",H1155,", ",I1155,", ","陕西省")</f>
        <v>武侯镇, 勉县, 汉中市, 陕西省</v>
      </c>
      <c r="G1155">
        <v>18640</v>
      </c>
      <c r="H1155" t="s">
        <v>3065</v>
      </c>
      <c r="I1155" t="s">
        <v>3059</v>
      </c>
      <c r="J1155">
        <f>VLOOKUP(F1155,[1]!china_towns_second__2[[Column1]:[Y]],3,FALSE)</f>
        <v>33.164002098802499</v>
      </c>
      <c r="K1155">
        <f>VLOOKUP(F1155,[1]!china_towns_second__2[[Column1]:[Y]],2,FALSE)</f>
        <v>106.569153</v>
      </c>
      <c r="L1155" t="s">
        <v>5276</v>
      </c>
      <c r="M1155" t="str">
        <f>VLOOKUP(H1155,CHOOSE({1,2},Table11[Native],Table11[Name]),2,0)</f>
        <v>Miăn Xiàn</v>
      </c>
      <c r="N1155" s="13" t="str">
        <f>VLOOKUP(I1155,CHOOSE({1,2},Table11[Native],Table11[Name]),2,0)</f>
        <v>Hànzhōng Shì</v>
      </c>
      <c r="O1155" s="13" t="str">
        <f t="shared" si="74"/>
        <v>Wuhou Zhen (Hànzhōng Shì)</v>
      </c>
      <c r="P1155" s="13" t="str">
        <f t="shared" si="75"/>
        <v>Wuhou Zhen (Hànzhōng Shì)</v>
      </c>
    </row>
    <row r="1156" spans="1:16" hidden="1" x14ac:dyDescent="0.25">
      <c r="A1156" t="s">
        <v>1890</v>
      </c>
      <c r="B1156" t="str">
        <f t="shared" si="72"/>
        <v>Wújiābăo Jiēdào</v>
      </c>
      <c r="C1156" t="str">
        <f t="shared" si="73"/>
        <v>Wújiābăo Jiēdào</v>
      </c>
      <c r="D1156" t="s">
        <v>1891</v>
      </c>
      <c r="E1156" t="s">
        <v>113</v>
      </c>
      <c r="F1156" t="str">
        <f>_xlfn.CONCAT(D1156,", ",H1156,", ",I1156,", ","陕西省")</f>
        <v>吴家堡街道, 秦都区, 咸阳市, 陕西省</v>
      </c>
      <c r="G1156">
        <v>32340</v>
      </c>
      <c r="H1156" t="s">
        <v>3124</v>
      </c>
      <c r="I1156" t="s">
        <v>3117</v>
      </c>
      <c r="J1156">
        <f>VLOOKUP(F1156,[1]!china_towns_second__2[[Column1]:[Y]],3,FALSE)</f>
        <v>34.350161737002097</v>
      </c>
      <c r="K1156">
        <f>VLOOKUP(F1156,[1]!china_towns_second__2[[Column1]:[Y]],2,FALSE)</f>
        <v>108.69880139999999</v>
      </c>
      <c r="L1156" t="s">
        <v>5277</v>
      </c>
      <c r="M1156" t="str">
        <f>VLOOKUP(H1156,CHOOSE({1,2},Table11[Native],Table11[Name]),2,0)</f>
        <v>Qíndū Qū</v>
      </c>
      <c r="N1156" s="13" t="str">
        <f>VLOOKUP(I1156,CHOOSE({1,2},Table11[Native],Table11[Name]),2,0)</f>
        <v>Xiányáng Shì</v>
      </c>
      <c r="O1156" s="13" t="str">
        <f t="shared" si="74"/>
        <v>Wujiabao Jiedao (Xiányáng Shì)</v>
      </c>
      <c r="P1156" s="13" t="str">
        <f t="shared" si="75"/>
        <v>Wujiabao Jiedao (Xiányáng Shì)</v>
      </c>
    </row>
    <row r="1157" spans="1:16" hidden="1" x14ac:dyDescent="0.25">
      <c r="A1157" t="s">
        <v>2926</v>
      </c>
      <c r="B1157" t="str">
        <f t="shared" si="72"/>
        <v>Wŭjiāzhuāng Zhèn</v>
      </c>
      <c r="C1157" t="str">
        <f t="shared" si="73"/>
        <v>Wŭjiāzhuāng Zhèn</v>
      </c>
      <c r="D1157" t="s">
        <v>2927</v>
      </c>
      <c r="E1157" t="s">
        <v>7</v>
      </c>
      <c r="F1157" t="str">
        <f>_xlfn.CONCAT(D1157,", ",H1157,", ",I1157,", ","陕西省")</f>
        <v>武家庄镇, 府谷县, 榆林市, 陕西省</v>
      </c>
      <c r="G1157">
        <v>3018</v>
      </c>
      <c r="H1157" t="s">
        <v>3150</v>
      </c>
      <c r="I1157" t="s">
        <v>3148</v>
      </c>
      <c r="J1157">
        <f>VLOOKUP(F1157,[1]!china_towns_second__2[[Column1]:[Y]],3,FALSE)</f>
        <v>38.8281046491092</v>
      </c>
      <c r="K1157">
        <f>VLOOKUP(F1157,[1]!china_towns_second__2[[Column1]:[Y]],2,FALSE)</f>
        <v>110.8966248</v>
      </c>
      <c r="L1157" t="s">
        <v>5278</v>
      </c>
      <c r="M1157" t="str">
        <f>VLOOKUP(H1157,CHOOSE({1,2},Table11[Native],Table11[Name]),2,0)</f>
        <v>Fŭgŭ Xiàn</v>
      </c>
      <c r="N1157" s="13" t="str">
        <f>VLOOKUP(I1157,CHOOSE({1,2},Table11[Native],Table11[Name]),2,0)</f>
        <v>Yúlín Shì</v>
      </c>
      <c r="O1157" s="13" t="str">
        <f t="shared" si="74"/>
        <v>Wujiazhuang Zhen (Yúlín Shì)</v>
      </c>
      <c r="P1157" s="13" t="str">
        <f t="shared" si="75"/>
        <v>Wujiazhuang Zhen (Yúlín Shì)</v>
      </c>
    </row>
    <row r="1158" spans="1:16" hidden="1" x14ac:dyDescent="0.25">
      <c r="A1158" t="s">
        <v>571</v>
      </c>
      <c r="B1158" t="str">
        <f t="shared" si="72"/>
        <v>Wŭjĭng Zhèn</v>
      </c>
      <c r="C1158" t="str">
        <f t="shared" si="73"/>
        <v>Wŭjĭng Zhèn</v>
      </c>
      <c r="D1158" t="s">
        <v>572</v>
      </c>
      <c r="E1158" t="s">
        <v>7</v>
      </c>
      <c r="F1158" t="str">
        <f>_xlfn.CONCAT(D1158,", ",H1158,", ",I1158,", ","陕西省")</f>
        <v>午井镇, 扶风县, 宝鸡市, 陕西省</v>
      </c>
      <c r="G1158">
        <v>35697</v>
      </c>
      <c r="H1158" t="s">
        <v>3049</v>
      </c>
      <c r="I1158" t="s">
        <v>3045</v>
      </c>
      <c r="J1158">
        <f>VLOOKUP(F1158,[1]!china_towns_second__2[[Column1]:[Y]],3,FALSE)</f>
        <v>34.320331265352699</v>
      </c>
      <c r="K1158">
        <f>VLOOKUP(F1158,[1]!china_towns_second__2[[Column1]:[Y]],2,FALSE)</f>
        <v>107.8166253</v>
      </c>
      <c r="L1158" t="s">
        <v>5279</v>
      </c>
      <c r="M1158" t="str">
        <f>VLOOKUP(H1158,CHOOSE({1,2},Table11[Native],Table11[Name]),2,0)</f>
        <v>Fúfēng Xiàn</v>
      </c>
      <c r="N1158" s="13" t="str">
        <f>VLOOKUP(I1158,CHOOSE({1,2},Table11[Native],Table11[Name]),2,0)</f>
        <v>Băojī Shì</v>
      </c>
      <c r="O1158" s="13" t="str">
        <f t="shared" si="74"/>
        <v>Wujing Zhen (Băojī Shì)</v>
      </c>
      <c r="P1158" s="13" t="str">
        <f t="shared" si="75"/>
        <v>Wujing Zhen (Băojī Shì)</v>
      </c>
    </row>
    <row r="1159" spans="1:16" hidden="1" x14ac:dyDescent="0.25">
      <c r="A1159" t="s">
        <v>257</v>
      </c>
      <c r="B1159" t="str">
        <f t="shared" si="72"/>
        <v>Wŭlĭ Zhèn [incl. Huāyuán Xiāng, Fùqiáng Xiāng]</v>
      </c>
      <c r="C1159" t="str">
        <f t="shared" si="73"/>
        <v>Wŭlĭ Zhèn [incl. Huāyuán Xiāng, Fùqiáng Xiāng]</v>
      </c>
      <c r="D1159" t="s">
        <v>258</v>
      </c>
      <c r="E1159" t="s">
        <v>7</v>
      </c>
      <c r="F1159" t="str">
        <f>_xlfn.CONCAT(D1159,", ",H1159,", ",I1159,", ","陕西省")</f>
        <v>五里镇, 汉滨区, 安康市, 陕西省</v>
      </c>
      <c r="G1159">
        <v>57083</v>
      </c>
      <c r="H1159" t="s">
        <v>3035</v>
      </c>
      <c r="I1159" t="s">
        <v>3031</v>
      </c>
      <c r="J1159">
        <f>VLOOKUP(F1159,[1]!china_towns_second__2[[Column1]:[Y]],3,FALSE)</f>
        <v>32.752110588220397</v>
      </c>
      <c r="K1159">
        <f>VLOOKUP(F1159,[1]!china_towns_second__2[[Column1]:[Y]],2,FALSE)</f>
        <v>108.8925928</v>
      </c>
      <c r="L1159" t="s">
        <v>5280</v>
      </c>
      <c r="M1159" t="str">
        <f>VLOOKUP(H1159,CHOOSE({1,2},Table11[Native],Table11[Name]),2,0)</f>
        <v>Hànbīn Qū</v>
      </c>
      <c r="N1159" s="13" t="str">
        <f>VLOOKUP(I1159,CHOOSE({1,2},Table11[Native],Table11[Name]),2,0)</f>
        <v>Ānkāng Shì</v>
      </c>
      <c r="O1159" s="13" t="str">
        <f t="shared" si="74"/>
        <v>Wuli Zhen [incl. Huayuan Xiang, Fuqiang Xiang] (Ānkāng Shì)</v>
      </c>
      <c r="P1159" s="13" t="str">
        <f t="shared" si="75"/>
        <v>Wuli Zhen [incl. Huayuan Xiang, Fuqiang Xiang] (Ānkāng Shì)</v>
      </c>
    </row>
    <row r="1160" spans="1:16" hidden="1" x14ac:dyDescent="0.25">
      <c r="A1160" t="s">
        <v>1347</v>
      </c>
      <c r="B1160" t="str">
        <f t="shared" si="72"/>
        <v>Wŭlĭ Zhèn [incl. Xīcūn Xiāng]</v>
      </c>
      <c r="C1160" t="str">
        <f t="shared" si="73"/>
        <v>Wŭlĭ Zhèn [incl. Xīcūn Xiāng]</v>
      </c>
      <c r="D1160" t="s">
        <v>258</v>
      </c>
      <c r="E1160" t="s">
        <v>7</v>
      </c>
      <c r="F1160" t="str">
        <f>_xlfn.CONCAT(D1160,", ",H1160,", ",I1160,", ","陕西省")</f>
        <v>五里镇, 宜君县, 铜川市, 陕西省</v>
      </c>
      <c r="G1160">
        <v>13147</v>
      </c>
      <c r="H1160" t="s">
        <v>3084</v>
      </c>
      <c r="I1160" t="s">
        <v>3081</v>
      </c>
      <c r="J1160">
        <f>VLOOKUP(F1160,[1]!china_towns_second__2[[Column1]:[Y]],3,FALSE)</f>
        <v>35.433824838862897</v>
      </c>
      <c r="K1160">
        <f>VLOOKUP(F1160,[1]!china_towns_second__2[[Column1]:[Y]],2,FALSE)</f>
        <v>109.2741813</v>
      </c>
      <c r="L1160" t="s">
        <v>5281</v>
      </c>
      <c r="M1160" t="str">
        <f>VLOOKUP(H1160,CHOOSE({1,2},Table11[Native],Table11[Name]),2,0)</f>
        <v>Yíjūn Xiàn</v>
      </c>
      <c r="N1160" s="13" t="str">
        <f>VLOOKUP(I1160,CHOOSE({1,2},Table11[Native],Table11[Name]),2,0)</f>
        <v>Tóngchuān Shì</v>
      </c>
      <c r="O1160" s="13" t="str">
        <f t="shared" si="74"/>
        <v>Wuli Zhen [incl. Xicun Xiang] (Tóngchuān Shì)</v>
      </c>
      <c r="P1160" s="13" t="str">
        <f t="shared" si="75"/>
        <v>Wuli Zhen [incl. Xicun Xiang] (Tóngchuān Shì)</v>
      </c>
    </row>
    <row r="1161" spans="1:16" hidden="1" x14ac:dyDescent="0.25">
      <c r="A1161" t="s">
        <v>932</v>
      </c>
      <c r="B1161" t="str">
        <f t="shared" si="72"/>
        <v>Wǔlóngdòng Zhèn [Jiŭzhōngjīn Xiāng]</v>
      </c>
      <c r="C1161" t="str">
        <f t="shared" si="73"/>
        <v>Wǔlóngdòng Zhèn [Jiŭzhōngjīn Xiāng]</v>
      </c>
      <c r="D1161" t="s">
        <v>933</v>
      </c>
      <c r="E1161" t="s">
        <v>7</v>
      </c>
      <c r="F1161" t="str">
        <f>_xlfn.CONCAT(D1161,", ",H1161,", ",I1161,", ","陕西省")</f>
        <v>五龙洞镇, 略阳县, 汉中市, 陕西省</v>
      </c>
      <c r="G1161">
        <v>4589</v>
      </c>
      <c r="H1161" t="s">
        <v>3064</v>
      </c>
      <c r="I1161" t="s">
        <v>3059</v>
      </c>
      <c r="J1161">
        <f>VLOOKUP(F1161,[1]!china_towns_second__2[[Column1]:[Y]],3,FALSE)</f>
        <v>33.515380529397703</v>
      </c>
      <c r="K1161">
        <f>VLOOKUP(F1161,[1]!china_towns_second__2[[Column1]:[Y]],2,FALSE)</f>
        <v>106.239014</v>
      </c>
      <c r="L1161" t="s">
        <v>5282</v>
      </c>
      <c r="M1161" t="str">
        <f>VLOOKUP(H1161,CHOOSE({1,2},Table11[Native],Table11[Name]),2,0)</f>
        <v>Lüèyáng Xiàn</v>
      </c>
      <c r="N1161" s="13" t="str">
        <f>VLOOKUP(I1161,CHOOSE({1,2},Table11[Native],Table11[Name]),2,0)</f>
        <v>Hànzhōng Shì</v>
      </c>
      <c r="O1161" s="13" t="str">
        <f t="shared" si="74"/>
        <v>Wulongdong Zhen [Jiuzhongjin Xiang] (Hànzhōng Shì)</v>
      </c>
      <c r="P1161" s="13" t="str">
        <f t="shared" si="75"/>
        <v>Wulongdong Zhen [Jiuzhongjin Xiang] (Hànzhōng Shì)</v>
      </c>
    </row>
    <row r="1162" spans="1:16" hidden="1" x14ac:dyDescent="0.25">
      <c r="A1162" t="s">
        <v>2928</v>
      </c>
      <c r="B1162" t="str">
        <f t="shared" si="72"/>
        <v>Wŭmăozi Xiāng</v>
      </c>
      <c r="C1162" t="str">
        <f t="shared" si="73"/>
        <v>Wŭmăozi Xiāng</v>
      </c>
      <c r="D1162" t="s">
        <v>2929</v>
      </c>
      <c r="E1162" t="s">
        <v>11</v>
      </c>
      <c r="F1162" t="str">
        <f>_xlfn.CONCAT(D1162,", ",H1162,", ",I1162,", ","陕西省")</f>
        <v>武峁子乡, 定边县, 榆林市, 陕西省</v>
      </c>
      <c r="G1162">
        <v>5403</v>
      </c>
      <c r="H1162" t="s">
        <v>3149</v>
      </c>
      <c r="I1162" t="s">
        <v>3148</v>
      </c>
      <c r="J1162" t="e">
        <f>VLOOKUP(F1162,[1]!china_towns_second__2[[Column1]:[Y]],3,FALSE)</f>
        <v>#N/A</v>
      </c>
      <c r="K1162" t="e">
        <f>VLOOKUP(F1162,[1]!china_towns_second__2[[Column1]:[Y]],2,FALSE)</f>
        <v>#N/A</v>
      </c>
      <c r="L1162" t="s">
        <v>5283</v>
      </c>
      <c r="M1162" t="str">
        <f>VLOOKUP(H1162,CHOOSE({1,2},Table11[Native],Table11[Name]),2,0)</f>
        <v>Dìngbiān Xiàn</v>
      </c>
      <c r="N1162" s="13" t="str">
        <f>VLOOKUP(I1162,CHOOSE({1,2},Table11[Native],Table11[Name]),2,0)</f>
        <v>Yúlín Shì</v>
      </c>
      <c r="O1162" s="13" t="str">
        <f t="shared" si="74"/>
        <v>Wumaozi Xiang (Yúlín Shì)</v>
      </c>
      <c r="P1162" s="13" t="str">
        <f t="shared" si="75"/>
        <v>Wumaozi Xiang (Yúlín Shì)</v>
      </c>
    </row>
    <row r="1163" spans="1:16" hidden="1" x14ac:dyDescent="0.25">
      <c r="A1163" t="s">
        <v>2550</v>
      </c>
      <c r="B1163" t="str">
        <f t="shared" si="72"/>
        <v>Wúqí Jiēdào</v>
      </c>
      <c r="C1163" t="str">
        <f t="shared" si="73"/>
        <v>Wúqí Jiēdào</v>
      </c>
      <c r="D1163" t="s">
        <v>2551</v>
      </c>
      <c r="E1163" t="s">
        <v>113</v>
      </c>
      <c r="F1163" t="str">
        <f>_xlfn.CONCAT(D1163,", ",H1163,", ",I1163,", ","陕西省")</f>
        <v>吴起街道, 吴起县, 延安市, 陕西省</v>
      </c>
      <c r="G1163">
        <v>71042</v>
      </c>
      <c r="H1163" t="s">
        <v>3141</v>
      </c>
      <c r="I1163" t="s">
        <v>3133</v>
      </c>
      <c r="J1163" t="e">
        <f>VLOOKUP(F1163,[1]!china_towns_second__2[[Column1]:[Y]],3,FALSE)</f>
        <v>#N/A</v>
      </c>
      <c r="K1163" t="e">
        <f>VLOOKUP(F1163,[1]!china_towns_second__2[[Column1]:[Y]],2,FALSE)</f>
        <v>#N/A</v>
      </c>
      <c r="L1163" t="s">
        <v>5284</v>
      </c>
      <c r="M1163" t="str">
        <f>VLOOKUP(H1163,CHOOSE({1,2},Table11[Native],Table11[Name]),2,0)</f>
        <v>Wúqĭ Xiàn</v>
      </c>
      <c r="N1163" s="13" t="str">
        <f>VLOOKUP(I1163,CHOOSE({1,2},Table11[Native],Table11[Name]),2,0)</f>
        <v>Yán'ān Shì</v>
      </c>
      <c r="O1163" s="13" t="str">
        <f t="shared" si="74"/>
        <v>Wuqi Jiedao (Yán'ān Shì)</v>
      </c>
      <c r="P1163" s="13" t="str">
        <f t="shared" si="75"/>
        <v>Wuqi Jiedao (Yán'ān Shì)</v>
      </c>
    </row>
    <row r="1164" spans="1:16" hidden="1" x14ac:dyDescent="0.25">
      <c r="A1164" t="s">
        <v>1892</v>
      </c>
      <c r="B1164" t="str">
        <f t="shared" si="72"/>
        <v>Wŭquán Zhèn</v>
      </c>
      <c r="C1164" t="str">
        <f t="shared" si="73"/>
        <v>Wŭquán Zhèn</v>
      </c>
      <c r="D1164" t="s">
        <v>1893</v>
      </c>
      <c r="E1164" t="s">
        <v>7</v>
      </c>
      <c r="F1164" t="str">
        <f>_xlfn.CONCAT(D1164,", ",H1164,", ",I1164,", ","陕西省")</f>
        <v>五泉镇, 杨陵区, 咸阳市, 陕西省</v>
      </c>
      <c r="G1164">
        <v>19010</v>
      </c>
      <c r="H1164" t="s">
        <v>3130</v>
      </c>
      <c r="I1164" t="s">
        <v>3117</v>
      </c>
      <c r="J1164">
        <f>VLOOKUP(F1164,[1]!china_towns_second__2[[Column1]:[Y]],3,FALSE)</f>
        <v>34.302716445039898</v>
      </c>
      <c r="K1164">
        <f>VLOOKUP(F1164,[1]!china_towns_second__2[[Column1]:[Y]],2,FALSE)</f>
        <v>107.9832625</v>
      </c>
      <c r="L1164" t="s">
        <v>5285</v>
      </c>
      <c r="M1164" t="str">
        <f>VLOOKUP(H1164,CHOOSE({1,2},Table11[Native],Table11[Name]),2,0)</f>
        <v>Yánglíng Qū</v>
      </c>
      <c r="N1164" s="13" t="str">
        <f>VLOOKUP(I1164,CHOOSE({1,2},Table11[Native],Table11[Name]),2,0)</f>
        <v>Xiányáng Shì</v>
      </c>
      <c r="O1164" s="13" t="str">
        <f t="shared" si="74"/>
        <v>Wuquan Zhen (Xiányáng Shì)</v>
      </c>
      <c r="P1164" s="13" t="str">
        <f t="shared" si="75"/>
        <v>Wuquan Zhen (Xiányáng Shì)</v>
      </c>
    </row>
    <row r="1165" spans="1:16" hidden="1" x14ac:dyDescent="0.25">
      <c r="A1165" t="s">
        <v>2233</v>
      </c>
      <c r="B1165" t="str">
        <f t="shared" si="72"/>
        <v>Wŭtái Jiēdào</v>
      </c>
      <c r="C1165" t="str">
        <f t="shared" si="73"/>
        <v>Wŭtái Jiēdào</v>
      </c>
      <c r="D1165" t="s">
        <v>2234</v>
      </c>
      <c r="E1165" t="s">
        <v>113</v>
      </c>
      <c r="F1165" t="str">
        <f>_xlfn.CONCAT(D1165,", ",H1165,", ",I1165,", ","陕西省")</f>
        <v>五台街道, 长安区, 西安市, 陕西省</v>
      </c>
      <c r="G1165">
        <v>11002</v>
      </c>
      <c r="H1165" t="s">
        <v>3105</v>
      </c>
      <c r="I1165" t="s">
        <v>3102</v>
      </c>
      <c r="J1165">
        <f>VLOOKUP(F1165,[1]!china_towns_second__2[[Column1]:[Y]],3,FALSE)</f>
        <v>33.943959320328801</v>
      </c>
      <c r="K1165">
        <f>VLOOKUP(F1165,[1]!china_towns_second__2[[Column1]:[Y]],2,FALSE)</f>
        <v>108.9521001</v>
      </c>
      <c r="L1165" t="s">
        <v>5286</v>
      </c>
      <c r="M1165" t="str">
        <f>VLOOKUP(H1165,CHOOSE({1,2},Table11[Native],Table11[Name]),2,0)</f>
        <v>Cháng'ān Qū</v>
      </c>
      <c r="N1165" s="13" t="str">
        <f>VLOOKUP(I1165,CHOOSE({1,2},Table11[Native],Table11[Name]),2,0)</f>
        <v>Xī'ān Shì</v>
      </c>
      <c r="O1165" s="13" t="str">
        <f t="shared" si="74"/>
        <v>Wutai Jiedao (Xī'ān Shì)</v>
      </c>
      <c r="P1165" s="13" t="str">
        <f t="shared" si="75"/>
        <v>Wutai Jiedao (Xī'ān Shì)</v>
      </c>
    </row>
    <row r="1166" spans="1:16" hidden="1" x14ac:dyDescent="0.25">
      <c r="A1166" t="s">
        <v>2235</v>
      </c>
      <c r="B1166" t="str">
        <f t="shared" si="72"/>
        <v>Wŭtún Jiēdào</v>
      </c>
      <c r="C1166" t="str">
        <f t="shared" si="73"/>
        <v>Wŭtún Jiēdào</v>
      </c>
      <c r="D1166" t="s">
        <v>2236</v>
      </c>
      <c r="E1166" t="s">
        <v>113</v>
      </c>
      <c r="F1166" t="str">
        <f>_xlfn.CONCAT(D1166,", ",H1166,", ",I1166,", ","陕西省")</f>
        <v>武屯街道, 阎良区, 西安市, 陕西省</v>
      </c>
      <c r="G1166">
        <v>35767</v>
      </c>
      <c r="H1166" t="s">
        <v>3113</v>
      </c>
      <c r="I1166" t="s">
        <v>3102</v>
      </c>
      <c r="J1166" t="e">
        <f>VLOOKUP(F1166,[1]!china_towns_second__2[[Column1]:[Y]],3,FALSE)</f>
        <v>#N/A</v>
      </c>
      <c r="K1166" t="e">
        <f>VLOOKUP(F1166,[1]!china_towns_second__2[[Column1]:[Y]],2,FALSE)</f>
        <v>#N/A</v>
      </c>
      <c r="L1166" t="s">
        <v>5287</v>
      </c>
      <c r="M1166" t="str">
        <f>VLOOKUP(H1166,CHOOSE({1,2},Table11[Native],Table11[Name]),2,0)</f>
        <v>Yánliáng Qū</v>
      </c>
      <c r="N1166" s="13" t="str">
        <f>VLOOKUP(I1166,CHOOSE({1,2},Table11[Native],Table11[Name]),2,0)</f>
        <v>Xī'ān Shì</v>
      </c>
      <c r="O1166" s="13" t="str">
        <f t="shared" si="74"/>
        <v>Wutun Jiedao (Xī'ān Shì)</v>
      </c>
      <c r="P1166" s="13" t="str">
        <f t="shared" si="75"/>
        <v>Wutun Jiedao (Xī'ān Shì)</v>
      </c>
    </row>
    <row r="1167" spans="1:16" hidden="1" x14ac:dyDescent="0.25">
      <c r="A1167" t="s">
        <v>934</v>
      </c>
      <c r="B1167" t="str">
        <f t="shared" si="72"/>
        <v>Wŭxiāng Zhèn</v>
      </c>
      <c r="C1167" t="str">
        <f t="shared" si="73"/>
        <v>Wŭxiāng Zhèn</v>
      </c>
      <c r="D1167" t="s">
        <v>935</v>
      </c>
      <c r="E1167" t="s">
        <v>7</v>
      </c>
      <c r="F1167" t="str">
        <f>_xlfn.CONCAT(D1167,", ",H1167,", ",I1167,", ","陕西省")</f>
        <v>武乡镇, 汉台区, 汉中市, 陕西省</v>
      </c>
      <c r="G1167">
        <v>24861</v>
      </c>
      <c r="H1167" t="s">
        <v>3062</v>
      </c>
      <c r="I1167" t="s">
        <v>3059</v>
      </c>
      <c r="J1167">
        <f>VLOOKUP(F1167,[1]!china_towns_second__2[[Column1]:[Y]],3,FALSE)</f>
        <v>33.226952301096603</v>
      </c>
      <c r="K1167">
        <f>VLOOKUP(F1167,[1]!china_towns_second__2[[Column1]:[Y]],2,FALSE)</f>
        <v>107.05028</v>
      </c>
      <c r="L1167" t="s">
        <v>5288</v>
      </c>
      <c r="M1167" t="str">
        <f>VLOOKUP(H1167,CHOOSE({1,2},Table11[Native],Table11[Name]),2,0)</f>
        <v>Hàntái Qū</v>
      </c>
      <c r="N1167" s="13" t="str">
        <f>VLOOKUP(I1167,CHOOSE({1,2},Table11[Native],Table11[Name]),2,0)</f>
        <v>Hànzhōng Shì</v>
      </c>
      <c r="O1167" s="13" t="str">
        <f t="shared" si="74"/>
        <v>Wuxiang Zhen (Hànzhōng Shì)</v>
      </c>
      <c r="P1167" s="13" t="str">
        <f t="shared" si="75"/>
        <v>Wuxiang Zhen (Hànzhōng Shì)</v>
      </c>
    </row>
    <row r="1168" spans="1:16" hidden="1" x14ac:dyDescent="0.25">
      <c r="A1168" t="s">
        <v>2237</v>
      </c>
      <c r="B1168" t="str">
        <f t="shared" si="72"/>
        <v>Wŭxīng Jiēdào</v>
      </c>
      <c r="C1168" t="str">
        <f t="shared" si="73"/>
        <v>Wŭxīng Jiēdào</v>
      </c>
      <c r="D1168" t="s">
        <v>2238</v>
      </c>
      <c r="E1168" t="s">
        <v>113</v>
      </c>
      <c r="F1168" t="str">
        <f>_xlfn.CONCAT(D1168,", ",H1168,", ",I1168,", ","陕西省")</f>
        <v>五星街道, 长安区, 西安市, 陕西省</v>
      </c>
      <c r="G1168">
        <v>28171</v>
      </c>
      <c r="H1168" t="s">
        <v>3105</v>
      </c>
      <c r="I1168" t="s">
        <v>3102</v>
      </c>
      <c r="J1168">
        <f>VLOOKUP(F1168,[1]!china_towns_second__2[[Column1]:[Y]],3,FALSE)</f>
        <v>34.0870025042367</v>
      </c>
      <c r="K1168">
        <f>VLOOKUP(F1168,[1]!china_towns_second__2[[Column1]:[Y]],2,FALSE)</f>
        <v>108.787547</v>
      </c>
      <c r="L1168" t="s">
        <v>5289</v>
      </c>
      <c r="M1168" t="str">
        <f>VLOOKUP(H1168,CHOOSE({1,2},Table11[Native],Table11[Name]),2,0)</f>
        <v>Cháng'ān Qū</v>
      </c>
      <c r="N1168" s="13" t="str">
        <f>VLOOKUP(I1168,CHOOSE({1,2},Table11[Native],Table11[Name]),2,0)</f>
        <v>Xī'ān Shì</v>
      </c>
      <c r="O1168" s="13" t="str">
        <f t="shared" si="74"/>
        <v>Wuxing Jiedao (Xī'ān Shì)</v>
      </c>
      <c r="P1168" s="13" t="str">
        <f t="shared" si="75"/>
        <v>Wuxing Jiedao (Xī'ān Shì)</v>
      </c>
    </row>
    <row r="1169" spans="1:16" hidden="1" x14ac:dyDescent="0.25">
      <c r="A1169" t="s">
        <v>573</v>
      </c>
      <c r="B1169" t="str">
        <f t="shared" si="72"/>
        <v>Wŭzhàngyuán Zhèn</v>
      </c>
      <c r="C1169" t="str">
        <f t="shared" si="73"/>
        <v>Wŭzhàngyuán Zhèn</v>
      </c>
      <c r="D1169" t="s">
        <v>574</v>
      </c>
      <c r="E1169" t="s">
        <v>7</v>
      </c>
      <c r="F1169" t="str">
        <f>_xlfn.CONCAT(D1169,", ",H1169,", ",I1169,", ","陕西省")</f>
        <v>五丈原镇, 岐山县, 宝鸡市, 陕西省</v>
      </c>
      <c r="G1169">
        <v>28328</v>
      </c>
      <c r="H1169" t="s">
        <v>3055</v>
      </c>
      <c r="I1169" t="s">
        <v>3045</v>
      </c>
      <c r="J1169">
        <f>VLOOKUP(F1169,[1]!china_towns_second__2[[Column1]:[Y]],3,FALSE)</f>
        <v>34.285136799999997</v>
      </c>
      <c r="K1169">
        <f>VLOOKUP(F1169,[1]!china_towns_second__2[[Column1]:[Y]],2,FALSE)</f>
        <v>107.6124607</v>
      </c>
      <c r="L1169" t="s">
        <v>5290</v>
      </c>
      <c r="M1169" t="str">
        <f>VLOOKUP(H1169,CHOOSE({1,2},Table11[Native],Table11[Name]),2,0)</f>
        <v>Qíshān Xiàn</v>
      </c>
      <c r="N1169" s="13" t="str">
        <f>VLOOKUP(I1169,CHOOSE({1,2},Table11[Native],Table11[Name]),2,0)</f>
        <v>Băojī Shì</v>
      </c>
      <c r="O1169" s="13" t="str">
        <f t="shared" si="74"/>
        <v>Wuzhangyuan Zhen (Băojī Shì)</v>
      </c>
      <c r="P1169" s="13" t="str">
        <f t="shared" si="75"/>
        <v>Wuzhangyuan Zhen (Băojī Shì)</v>
      </c>
    </row>
    <row r="1170" spans="1:16" hidden="1" x14ac:dyDescent="0.25">
      <c r="A1170" t="s">
        <v>2239</v>
      </c>
      <c r="B1170" t="str">
        <f t="shared" si="72"/>
        <v>Wŭzhú Jiēdào [incl. Cāngyóu Xiāng]</v>
      </c>
      <c r="C1170" t="str">
        <f t="shared" si="73"/>
        <v>Wŭzhú Jiēdào [incl. Cāngyóu Xiāng]</v>
      </c>
      <c r="D1170" t="s">
        <v>2240</v>
      </c>
      <c r="E1170" t="s">
        <v>113</v>
      </c>
      <c r="F1170" t="str">
        <f>_xlfn.CONCAT(D1170,", ",H1170,", ",I1170,", ","陕西省")</f>
        <v>五竹街道, 鄠邑区, 西安市, 陕西省</v>
      </c>
      <c r="G1170">
        <v>44573</v>
      </c>
      <c r="H1170" t="s">
        <v>3107</v>
      </c>
      <c r="I1170" t="s">
        <v>3102</v>
      </c>
      <c r="J1170" t="e">
        <f>VLOOKUP(F1170,[1]!china_towns_second__2[[Column1]:[Y]],3,FALSE)</f>
        <v>#N/A</v>
      </c>
      <c r="K1170" t="e">
        <f>VLOOKUP(F1170,[1]!china_towns_second__2[[Column1]:[Y]],2,FALSE)</f>
        <v>#N/A</v>
      </c>
      <c r="L1170" t="s">
        <v>5291</v>
      </c>
      <c r="M1170" t="str">
        <f>VLOOKUP(H1170,CHOOSE({1,2},Table11[Native],Table11[Name]),2,0)</f>
        <v>Hùyì Qū</v>
      </c>
      <c r="N1170" s="13" t="str">
        <f>VLOOKUP(I1170,CHOOSE({1,2},Table11[Native],Table11[Name]),2,0)</f>
        <v>Xī'ān Shì</v>
      </c>
      <c r="O1170" s="13" t="str">
        <f t="shared" si="74"/>
        <v>Wuzhu Jiedao [incl. Cangyou Xiang] (Xī'ān Shì)</v>
      </c>
      <c r="P1170" s="13" t="str">
        <f t="shared" si="75"/>
        <v>Wuzhu Jiedao [incl. Cangyou Xiang] (Xī'ān Shì)</v>
      </c>
    </row>
    <row r="1171" spans="1:16" hidden="1" x14ac:dyDescent="0.25">
      <c r="A1171" t="s">
        <v>1230</v>
      </c>
      <c r="B1171" t="str">
        <f t="shared" si="72"/>
        <v>Wŭzhú Xiāng</v>
      </c>
      <c r="C1171" t="str">
        <f t="shared" si="73"/>
        <v>Wŭzhú Xiāng</v>
      </c>
      <c r="D1171" t="s">
        <v>1231</v>
      </c>
      <c r="E1171" t="s">
        <v>11</v>
      </c>
      <c r="F1171" t="str">
        <f>_xlfn.CONCAT(D1171,", ",H1171,", ",I1171,", ","陕西省")</f>
        <v>伍竹乡, 山阳县, 商洛市, 陕西省</v>
      </c>
      <c r="G1171">
        <v>4662</v>
      </c>
      <c r="H1171" t="s">
        <v>3077</v>
      </c>
      <c r="I1171" t="s">
        <v>3072</v>
      </c>
      <c r="J1171" t="e">
        <f>VLOOKUP(F1171,[1]!china_towns_second__2[[Column1]:[Y]],3,FALSE)</f>
        <v>#N/A</v>
      </c>
      <c r="K1171" t="e">
        <f>VLOOKUP(F1171,[1]!china_towns_second__2[[Column1]:[Y]],2,FALSE)</f>
        <v>#N/A</v>
      </c>
      <c r="L1171" t="s">
        <v>5292</v>
      </c>
      <c r="M1171" t="str">
        <f>VLOOKUP(H1171,CHOOSE({1,2},Table11[Native],Table11[Name]),2,0)</f>
        <v>Shānyáng Xiàn</v>
      </c>
      <c r="N1171" s="13" t="str">
        <f>VLOOKUP(I1171,CHOOSE({1,2},Table11[Native],Table11[Name]),2,0)</f>
        <v>Shāngluò Shì</v>
      </c>
      <c r="O1171" s="13" t="str">
        <f t="shared" si="74"/>
        <v>Wuzhu Xiang (Shāngluò Shì)</v>
      </c>
      <c r="P1171" s="13" t="str">
        <f t="shared" si="75"/>
        <v>Wuzhu Xiang (Shāngluò Shì)</v>
      </c>
    </row>
    <row r="1172" spans="1:16" hidden="1" x14ac:dyDescent="0.25">
      <c r="A1172" t="s">
        <v>2955</v>
      </c>
      <c r="B1172" t="str">
        <f t="shared" si="72"/>
        <v>Xī Zhèn [incl. Kāngjiāgăng Xiāng]</v>
      </c>
      <c r="C1172" t="str">
        <f t="shared" si="73"/>
        <v>Xī Zhèn [incl. Kāngjiāgăng Xiāng]</v>
      </c>
      <c r="D1172" t="s">
        <v>2956</v>
      </c>
      <c r="E1172" t="s">
        <v>7</v>
      </c>
      <c r="F1172" t="str">
        <f>_xlfn.CONCAT(D1172,", ",H1172,", ",I1172,", ","陕西省")</f>
        <v>螅镇, 佳县, 榆林市, 陕西省</v>
      </c>
      <c r="G1172">
        <v>17565</v>
      </c>
      <c r="H1172" t="s">
        <v>3152</v>
      </c>
      <c r="I1172" t="s">
        <v>3148</v>
      </c>
      <c r="J1172">
        <f>VLOOKUP(F1172,[1]!china_towns_second__2[[Column1]:[Y]],3,FALSE)</f>
        <v>37.7496910831725</v>
      </c>
      <c r="K1172">
        <f>VLOOKUP(F1172,[1]!china_towns_second__2[[Column1]:[Y]],2,FALSE)</f>
        <v>110.6811247</v>
      </c>
      <c r="L1172" t="s">
        <v>5293</v>
      </c>
      <c r="M1172" t="str">
        <f>VLOOKUP(H1172,CHOOSE({1,2},Table11[Native],Table11[Name]),2,0)</f>
        <v>Jiā Xiàn</v>
      </c>
      <c r="N1172" s="13" t="str">
        <f>VLOOKUP(I1172,CHOOSE({1,2},Table11[Native],Table11[Name]),2,0)</f>
        <v>Yúlín Shì</v>
      </c>
      <c r="O1172" s="13" t="str">
        <f t="shared" si="74"/>
        <v>Xi Zhen [incl. Kangjiagang Xiang] (Yúlín Shì)</v>
      </c>
      <c r="P1172" s="13" t="str">
        <f t="shared" si="75"/>
        <v>Xi Zhen [incl. Kangjiagang Xiang] (Yúlín Shì)</v>
      </c>
    </row>
    <row r="1173" spans="1:16" hidden="1" x14ac:dyDescent="0.25">
      <c r="A1173" t="s">
        <v>1640</v>
      </c>
      <c r="B1173" t="str">
        <f t="shared" si="72"/>
        <v>Xiàguī Zhèn [Xiàjí Zhèn]</v>
      </c>
      <c r="C1173" t="str">
        <f t="shared" si="73"/>
        <v>Xiàguī Zhèn [Xiàjí Zhèn]</v>
      </c>
      <c r="D1173" t="s">
        <v>1641</v>
      </c>
      <c r="E1173" t="s">
        <v>7</v>
      </c>
      <c r="F1173" t="str">
        <f>_xlfn.CONCAT(D1173,", ",H1173,", ",I1173,", ","陕西省")</f>
        <v>下邽镇, 临渭区, 渭南市, 陕西省</v>
      </c>
      <c r="G1173">
        <v>43222</v>
      </c>
      <c r="H1173" t="s">
        <v>3097</v>
      </c>
      <c r="I1173" t="s">
        <v>3087</v>
      </c>
      <c r="J1173">
        <f>VLOOKUP(F1173,[1]!china_towns_second__2[[Column1]:[Y]],3,FALSE)</f>
        <v>34.720702425625603</v>
      </c>
      <c r="K1173">
        <f>VLOOKUP(F1173,[1]!china_towns_second__2[[Column1]:[Y]],2,FALSE)</f>
        <v>109.51191799999999</v>
      </c>
      <c r="L1173" t="s">
        <v>5294</v>
      </c>
      <c r="M1173" t="str">
        <f>VLOOKUP(H1173,CHOOSE({1,2},Table11[Native],Table11[Name]),2,0)</f>
        <v>Línwèi Qū</v>
      </c>
      <c r="N1173" s="13" t="str">
        <f>VLOOKUP(I1173,CHOOSE({1,2},Table11[Native],Table11[Name]),2,0)</f>
        <v>Wèinán Shì</v>
      </c>
      <c r="O1173" s="13" t="str">
        <f t="shared" si="74"/>
        <v>Xiagui Zhen [Xiaji Zhen] (Wèinán Shì)</v>
      </c>
      <c r="P1173" s="13" t="str">
        <f t="shared" si="75"/>
        <v>Xiagui Zhen [Xiaji Zhen] (Wèinán Shì)</v>
      </c>
    </row>
    <row r="1174" spans="1:16" hidden="1" x14ac:dyDescent="0.25">
      <c r="A1174" t="s">
        <v>938</v>
      </c>
      <c r="B1174" t="str">
        <f t="shared" si="72"/>
        <v>Xiákŏu Zhèn</v>
      </c>
      <c r="C1174" t="str">
        <f t="shared" si="73"/>
        <v>Xiákŏu Zhèn</v>
      </c>
      <c r="D1174" t="s">
        <v>939</v>
      </c>
      <c r="E1174" t="s">
        <v>7</v>
      </c>
      <c r="F1174" t="str">
        <f>_xlfn.CONCAT(D1174,", ",H1174,", ",I1174,", ","陕西省")</f>
        <v>峡口镇, 西乡县, 汉中市, 陕西省</v>
      </c>
      <c r="G1174">
        <v>12479</v>
      </c>
      <c r="H1174" t="s">
        <v>3068</v>
      </c>
      <c r="I1174" t="s">
        <v>3059</v>
      </c>
      <c r="J1174">
        <f>VLOOKUP(F1174,[1]!china_towns_second__2[[Column1]:[Y]],3,FALSE)</f>
        <v>32.802790391323498</v>
      </c>
      <c r="K1174">
        <f>VLOOKUP(F1174,[1]!china_towns_second__2[[Column1]:[Y]],2,FALSE)</f>
        <v>107.58471969999999</v>
      </c>
      <c r="L1174" t="s">
        <v>5295</v>
      </c>
      <c r="M1174" t="str">
        <f>VLOOKUP(H1174,CHOOSE({1,2},Table11[Native],Table11[Name]),2,0)</f>
        <v>Xīxiāng Xiàn</v>
      </c>
      <c r="N1174" s="13" t="str">
        <f>VLOOKUP(I1174,CHOOSE({1,2},Table11[Native],Table11[Name]),2,0)</f>
        <v>Hànzhōng Shì</v>
      </c>
      <c r="O1174" s="13" t="str">
        <f t="shared" si="74"/>
        <v>Xiakou Zhen (Hànzhōng Shì)</v>
      </c>
      <c r="P1174" s="13" t="str">
        <f t="shared" si="75"/>
        <v>Xiakou Zhen (Hànzhōng Shì)</v>
      </c>
    </row>
    <row r="1175" spans="1:16" hidden="1" x14ac:dyDescent="0.25">
      <c r="A1175" t="s">
        <v>936</v>
      </c>
      <c r="B1175" t="str">
        <f t="shared" si="72"/>
        <v>Xiákŏuyì Zhèn</v>
      </c>
      <c r="C1175" t="str">
        <f t="shared" si="73"/>
        <v>Xiákŏuyì Zhèn</v>
      </c>
      <c r="D1175" t="s">
        <v>937</v>
      </c>
      <c r="E1175" t="s">
        <v>7</v>
      </c>
      <c r="F1175" t="str">
        <f>_xlfn.CONCAT(D1175,", ",H1175,", ",I1175,", ","陕西省")</f>
        <v>硖口驿镇, 略阳县, 汉中市, 陕西省</v>
      </c>
      <c r="G1175">
        <v>10587</v>
      </c>
      <c r="H1175" t="s">
        <v>3064</v>
      </c>
      <c r="I1175" t="s">
        <v>3059</v>
      </c>
      <c r="J1175">
        <f>VLOOKUP(F1175,[1]!china_towns_second__2[[Column1]:[Y]],3,FALSE)</f>
        <v>33.1980242271745</v>
      </c>
      <c r="K1175">
        <f>VLOOKUP(F1175,[1]!china_towns_second__2[[Column1]:[Y]],2,FALSE)</f>
        <v>106.38353960000001</v>
      </c>
      <c r="L1175" t="s">
        <v>5296</v>
      </c>
      <c r="M1175" t="str">
        <f>VLOOKUP(H1175,CHOOSE({1,2},Table11[Native],Table11[Name]),2,0)</f>
        <v>Lüèyáng Xiàn</v>
      </c>
      <c r="N1175" s="13" t="str">
        <f>VLOOKUP(I1175,CHOOSE({1,2},Table11[Native],Table11[Name]),2,0)</f>
        <v>Hànzhōng Shì</v>
      </c>
      <c r="O1175" s="13" t="str">
        <f t="shared" si="74"/>
        <v>Xiakouyi Zhen (Hànzhōng Shì)</v>
      </c>
      <c r="P1175" s="13" t="str">
        <f t="shared" si="75"/>
        <v>Xiakouyi Zhen (Hànzhōng Shì)</v>
      </c>
    </row>
    <row r="1176" spans="1:16" hidden="1" x14ac:dyDescent="0.25">
      <c r="A1176" t="s">
        <v>1232</v>
      </c>
      <c r="B1176" t="str">
        <f t="shared" si="72"/>
        <v>Xiàliáng Zhèn [incl. Shíwèng Zhèn]</v>
      </c>
      <c r="C1176" t="str">
        <f t="shared" si="73"/>
        <v>Xiàliáng Zhèn [incl. Shíwèng Zhèn]</v>
      </c>
      <c r="D1176" t="s">
        <v>1233</v>
      </c>
      <c r="E1176" t="s">
        <v>7</v>
      </c>
      <c r="F1176" t="str">
        <f>_xlfn.CONCAT(D1176,", ",H1176,", ",I1176,", ","陕西省")</f>
        <v>下梁镇, 柞水县, 商洛市, 陕西省</v>
      </c>
      <c r="G1176">
        <v>20273</v>
      </c>
      <c r="H1176" t="s">
        <v>3078</v>
      </c>
      <c r="I1176" t="s">
        <v>3072</v>
      </c>
      <c r="J1176">
        <f>VLOOKUP(F1176,[1]!china_towns_second__2[[Column1]:[Y]],3,FALSE)</f>
        <v>33.703318676516602</v>
      </c>
      <c r="K1176">
        <f>VLOOKUP(F1176,[1]!china_towns_second__2[[Column1]:[Y]],2,FALSE)</f>
        <v>109.17053970000001</v>
      </c>
      <c r="L1176" t="s">
        <v>5297</v>
      </c>
      <c r="M1176" t="str">
        <f>VLOOKUP(H1176,CHOOSE({1,2},Table11[Native],Table11[Name]),2,0)</f>
        <v>Zhàshuĭ Xiàn</v>
      </c>
      <c r="N1176" s="13" t="str">
        <f>VLOOKUP(I1176,CHOOSE({1,2},Table11[Native],Table11[Name]),2,0)</f>
        <v>Shāngluò Shì</v>
      </c>
      <c r="O1176" s="13" t="str">
        <f t="shared" si="74"/>
        <v>Xialiang Zhen [incl. Shiweng Zhen] (Shāngluò Shì)</v>
      </c>
      <c r="P1176" s="13" t="str">
        <f t="shared" si="75"/>
        <v>Xialiang Zhen [incl. Shiweng Zhen] (Shāngluò Shì)</v>
      </c>
    </row>
    <row r="1177" spans="1:16" hidden="1" x14ac:dyDescent="0.25">
      <c r="A1177" t="s">
        <v>1642</v>
      </c>
      <c r="B1177" t="str">
        <f t="shared" si="72"/>
        <v>Xiàmiào Zhèn</v>
      </c>
      <c r="C1177" t="str">
        <f t="shared" si="73"/>
        <v>Xiàmiào Zhèn</v>
      </c>
      <c r="D1177" t="s">
        <v>1643</v>
      </c>
      <c r="E1177" t="s">
        <v>7</v>
      </c>
      <c r="F1177" t="str">
        <f>_xlfn.CONCAT(D1177,", ",H1177,", ",I1177,", ","陕西省")</f>
        <v>下庙镇, 华州区, 渭南市, 陕西省</v>
      </c>
      <c r="G1177">
        <v>21895</v>
      </c>
      <c r="H1177" t="s">
        <v>3096</v>
      </c>
      <c r="I1177" t="s">
        <v>3087</v>
      </c>
      <c r="J1177">
        <f>VLOOKUP(F1177,[1]!china_towns_second__2[[Column1]:[Y]],3,FALSE)</f>
        <v>34.574885527033899</v>
      </c>
      <c r="K1177">
        <f>VLOOKUP(F1177,[1]!china_towns_second__2[[Column1]:[Y]],2,FALSE)</f>
        <v>109.7802465</v>
      </c>
      <c r="L1177" t="s">
        <v>5298</v>
      </c>
      <c r="M1177" t="str">
        <f>VLOOKUP(H1177,CHOOSE({1,2},Table11[Native],Table11[Name]),2,0)</f>
        <v>Huázhōu Qū</v>
      </c>
      <c r="N1177" s="13" t="str">
        <f>VLOOKUP(I1177,CHOOSE({1,2},Table11[Native],Table11[Name]),2,0)</f>
        <v>Wèinán Shì</v>
      </c>
      <c r="O1177" s="13" t="str">
        <f t="shared" si="74"/>
        <v>Xiamiao Zhen (Wèinán Shì)</v>
      </c>
      <c r="P1177" s="13" t="str">
        <f t="shared" si="75"/>
        <v>Xiamiao Zhen (Wèinán Shì)</v>
      </c>
    </row>
    <row r="1178" spans="1:16" hidden="1" x14ac:dyDescent="0.25">
      <c r="A1178" t="s">
        <v>1348</v>
      </c>
      <c r="B1178" t="str">
        <f t="shared" si="72"/>
        <v>Xiánfēnglù Jiēdào</v>
      </c>
      <c r="C1178" t="str">
        <f t="shared" si="73"/>
        <v>Xiánfēnglù Jiēdào</v>
      </c>
      <c r="D1178" t="s">
        <v>1349</v>
      </c>
      <c r="E1178" t="s">
        <v>113</v>
      </c>
      <c r="F1178" t="str">
        <f>_xlfn.CONCAT(D1178,", ",H1178,", ",I1178,", ","陕西省")</f>
        <v>咸丰路街道, 耀州区, 铜川市, 陕西省</v>
      </c>
      <c r="G1178">
        <v>30063</v>
      </c>
      <c r="H1178" t="s">
        <v>3083</v>
      </c>
      <c r="I1178" t="s">
        <v>3081</v>
      </c>
      <c r="J1178">
        <f>VLOOKUP(F1178,[1]!china_towns_second__2[[Column1]:[Y]],3,FALSE)</f>
        <v>34.902061726363698</v>
      </c>
      <c r="K1178">
        <f>VLOOKUP(F1178,[1]!china_towns_second__2[[Column1]:[Y]],2,FALSE)</f>
        <v>108.9080278</v>
      </c>
      <c r="L1178" t="s">
        <v>5299</v>
      </c>
      <c r="M1178" t="str">
        <f>VLOOKUP(H1178,CHOOSE({1,2},Table11[Native],Table11[Name]),2,0)</f>
        <v>Yàozhōu Qū</v>
      </c>
      <c r="N1178" s="13" t="str">
        <f>VLOOKUP(I1178,CHOOSE({1,2},Table11[Native],Table11[Name]),2,0)</f>
        <v>Tóngchuān Shì</v>
      </c>
      <c r="O1178" s="13" t="str">
        <f t="shared" si="74"/>
        <v>Xianfenglu Jiedao (Tóngchuān Shì)</v>
      </c>
      <c r="P1178" s="13" t="str">
        <f t="shared" si="75"/>
        <v>Xianfenglu Jiedao (Tóngchuān Shì)</v>
      </c>
    </row>
    <row r="1179" spans="1:16" hidden="1" x14ac:dyDescent="0.25">
      <c r="A1179" t="s">
        <v>1894</v>
      </c>
      <c r="B1179" t="str">
        <f t="shared" si="72"/>
        <v>Xiānggōng Zhèn</v>
      </c>
      <c r="C1179" t="str">
        <f t="shared" si="73"/>
        <v>Xiānggōng Zhèn</v>
      </c>
      <c r="D1179" t="s">
        <v>1895</v>
      </c>
      <c r="E1179" t="s">
        <v>7</v>
      </c>
      <c r="F1179" t="str">
        <f>_xlfn.CONCAT(D1179,", ",H1179,", ",I1179,", ","陕西省")</f>
        <v>相公镇, 长武县, 咸阳市, 陕西省</v>
      </c>
      <c r="G1179">
        <v>12399</v>
      </c>
      <c r="H1179" t="s">
        <v>3119</v>
      </c>
      <c r="I1179" t="s">
        <v>3117</v>
      </c>
      <c r="J1179">
        <f>VLOOKUP(F1179,[1]!china_towns_second__2[[Column1]:[Y]],3,FALSE)</f>
        <v>35.218898327388303</v>
      </c>
      <c r="K1179">
        <f>VLOOKUP(F1179,[1]!china_towns_second__2[[Column1]:[Y]],2,FALSE)</f>
        <v>107.91260490000001</v>
      </c>
      <c r="L1179" t="s">
        <v>5300</v>
      </c>
      <c r="M1179" t="str">
        <f>VLOOKUP(H1179,CHOOSE({1,2},Table11[Native],Table11[Name]),2,0)</f>
        <v>Chángwŭ Xiàn</v>
      </c>
      <c r="N1179" s="13" t="str">
        <f>VLOOKUP(I1179,CHOOSE({1,2},Table11[Native],Table11[Name]),2,0)</f>
        <v>Xiányáng Shì</v>
      </c>
      <c r="O1179" s="13" t="str">
        <f t="shared" si="74"/>
        <v>Xianggong Zhen (Xiányáng Shì)</v>
      </c>
      <c r="P1179" s="13" t="str">
        <f t="shared" si="75"/>
        <v>Xianggong Zhen (Xiányáng Shì)</v>
      </c>
    </row>
    <row r="1180" spans="1:16" hidden="1" x14ac:dyDescent="0.25">
      <c r="A1180" t="s">
        <v>1234</v>
      </c>
      <c r="B1180" t="str">
        <f t="shared" si="72"/>
        <v>Xiānghé Zhèn [incl. Báilàng Zhèn]</v>
      </c>
      <c r="C1180" t="str">
        <f t="shared" si="73"/>
        <v>Xiānghé Zhèn [incl. Báilàng Zhèn]</v>
      </c>
      <c r="D1180" t="s">
        <v>1235</v>
      </c>
      <c r="E1180" t="s">
        <v>7</v>
      </c>
      <c r="F1180" t="str">
        <f>_xlfn.CONCAT(D1180,", ",H1180,", ",I1180,", ","陕西省")</f>
        <v>湘河镇, 商南县, 商洛市, 陕西省</v>
      </c>
      <c r="G1180">
        <v>17393</v>
      </c>
      <c r="H1180" t="s">
        <v>3075</v>
      </c>
      <c r="I1180" t="s">
        <v>3072</v>
      </c>
      <c r="J1180">
        <f>VLOOKUP(F1180,[1]!china_towns_second__2[[Column1]:[Y]],3,FALSE)</f>
        <v>33.323387660010198</v>
      </c>
      <c r="K1180">
        <f>VLOOKUP(F1180,[1]!china_towns_second__2[[Column1]:[Y]],2,FALSE)</f>
        <v>110.9191928</v>
      </c>
      <c r="L1180" t="s">
        <v>5301</v>
      </c>
      <c r="M1180" t="str">
        <f>VLOOKUP(H1180,CHOOSE({1,2},Table11[Native],Table11[Name]),2,0)</f>
        <v>Shāngnán Xiàn</v>
      </c>
      <c r="N1180" s="13" t="str">
        <f>VLOOKUP(I1180,CHOOSE({1,2},Table11[Native],Table11[Name]),2,0)</f>
        <v>Shāngluò Shì</v>
      </c>
      <c r="O1180" s="13" t="str">
        <f t="shared" si="74"/>
        <v>Xianghe Zhen [incl. Bailang Zhen] (Shāngluò Shì)</v>
      </c>
      <c r="P1180" s="13" t="str">
        <f t="shared" si="75"/>
        <v>Xianghe Zhen [incl. Bailang Zhen] (Shāngluò Shì)</v>
      </c>
    </row>
    <row r="1181" spans="1:16" hidden="1" x14ac:dyDescent="0.25">
      <c r="A1181" t="s">
        <v>575</v>
      </c>
      <c r="B1181" t="str">
        <f t="shared" si="72"/>
        <v>Xiàngōng Zhèn</v>
      </c>
      <c r="C1181" t="str">
        <f t="shared" si="73"/>
        <v>Xiàngōng Zhèn</v>
      </c>
      <c r="D1181" t="s">
        <v>576</v>
      </c>
      <c r="E1181" t="s">
        <v>7</v>
      </c>
      <c r="F1181" t="str">
        <f>_xlfn.CONCAT(D1181,", ",H1181,", ",I1181,", ","陕西省")</f>
        <v>县功镇, 陈仓区, 宝鸡市, 陕西省</v>
      </c>
      <c r="G1181">
        <v>49189</v>
      </c>
      <c r="H1181" t="s">
        <v>3046</v>
      </c>
      <c r="I1181" t="s">
        <v>3045</v>
      </c>
      <c r="J1181">
        <f>VLOOKUP(F1181,[1]!china_towns_second__2[[Column1]:[Y]],3,FALSE)</f>
        <v>34.558031171607603</v>
      </c>
      <c r="K1181">
        <f>VLOOKUP(F1181,[1]!china_towns_second__2[[Column1]:[Y]],2,FALSE)</f>
        <v>106.99439750000001</v>
      </c>
      <c r="L1181" t="s">
        <v>5302</v>
      </c>
      <c r="M1181" t="str">
        <f>VLOOKUP(H1181,CHOOSE({1,2},Table11[Native],Table11[Name]),2,0)</f>
        <v>Chéncāng Qū</v>
      </c>
      <c r="N1181" s="13" t="str">
        <f>VLOOKUP(I1181,CHOOSE({1,2},Table11[Native],Table11[Name]),2,0)</f>
        <v>Băojī Shì</v>
      </c>
      <c r="O1181" s="13" t="str">
        <f t="shared" si="74"/>
        <v>Xiangong Zhen (Băojī Shì)</v>
      </c>
      <c r="P1181" s="13" t="str">
        <f t="shared" si="75"/>
        <v>Xiangong Zhen (Băojī Shì)</v>
      </c>
    </row>
    <row r="1182" spans="1:16" hidden="1" x14ac:dyDescent="0.25">
      <c r="A1182" t="s">
        <v>2241</v>
      </c>
      <c r="B1182" t="str">
        <f t="shared" si="72"/>
        <v>Xiāngqiáo Jiēdào</v>
      </c>
      <c r="C1182" t="str">
        <f t="shared" si="73"/>
        <v>Xiāngqiáo Jiēdào</v>
      </c>
      <c r="D1182" t="s">
        <v>2242</v>
      </c>
      <c r="E1182" t="s">
        <v>113</v>
      </c>
      <c r="F1182" t="str">
        <f>_xlfn.CONCAT(D1182,", ",H1182,", ",I1182,", ","陕西省")</f>
        <v>相桥街道, 临潼区, 西安市, 陕西省</v>
      </c>
      <c r="G1182">
        <v>31701</v>
      </c>
      <c r="H1182" t="s">
        <v>3110</v>
      </c>
      <c r="I1182" t="s">
        <v>3102</v>
      </c>
      <c r="J1182">
        <f>VLOOKUP(F1182,[1]!china_towns_second__2[[Column1]:[Y]],3,FALSE)</f>
        <v>34.609282039231601</v>
      </c>
      <c r="K1182">
        <f>VLOOKUP(F1182,[1]!china_towns_second__2[[Column1]:[Y]],2,FALSE)</f>
        <v>109.3893104</v>
      </c>
      <c r="L1182" t="s">
        <v>5303</v>
      </c>
      <c r="M1182" t="str">
        <f>VLOOKUP(H1182,CHOOSE({1,2},Table11[Native],Table11[Name]),2,0)</f>
        <v>Líntóng Qū</v>
      </c>
      <c r="N1182" s="13" t="str">
        <f>VLOOKUP(I1182,CHOOSE({1,2},Table11[Native],Table11[Name]),2,0)</f>
        <v>Xī'ān Shì</v>
      </c>
      <c r="O1182" s="13" t="str">
        <f t="shared" si="74"/>
        <v>Xiangqiao Jiedao (Xī'ān Shì)</v>
      </c>
      <c r="P1182" s="13" t="str">
        <f t="shared" si="75"/>
        <v>Xiangqiao Jiedao (Xī'ān Shì)</v>
      </c>
    </row>
    <row r="1183" spans="1:16" hidden="1" x14ac:dyDescent="0.25">
      <c r="A1183" t="s">
        <v>577</v>
      </c>
      <c r="B1183" t="str">
        <f t="shared" si="72"/>
        <v>Xiāngquán Zhèn</v>
      </c>
      <c r="C1183" t="str">
        <f t="shared" si="73"/>
        <v>Xiāngquán Zhèn</v>
      </c>
      <c r="D1183" t="s">
        <v>578</v>
      </c>
      <c r="E1183" t="s">
        <v>7</v>
      </c>
      <c r="F1183" t="str">
        <f>_xlfn.CONCAT(D1183,", ",H1183,", ",I1183,", ","陕西省")</f>
        <v>香泉镇, 陈仓区, 宝鸡市, 陕西省</v>
      </c>
      <c r="G1183">
        <v>12244</v>
      </c>
      <c r="H1183" t="s">
        <v>3046</v>
      </c>
      <c r="I1183" t="s">
        <v>3045</v>
      </c>
      <c r="J1183">
        <f>VLOOKUP(F1183,[1]!china_towns_second__2[[Column1]:[Y]],3,FALSE)</f>
        <v>34.545613782579302</v>
      </c>
      <c r="K1183">
        <f>VLOOKUP(F1183,[1]!china_towns_second__2[[Column1]:[Y]],2,FALSE)</f>
        <v>106.7679273</v>
      </c>
      <c r="L1183" t="s">
        <v>5304</v>
      </c>
      <c r="M1183" t="str">
        <f>VLOOKUP(H1183,CHOOSE({1,2},Table11[Native],Table11[Name]),2,0)</f>
        <v>Chéncāng Qū</v>
      </c>
      <c r="N1183" s="13" t="str">
        <f>VLOOKUP(I1183,CHOOSE({1,2},Table11[Native],Table11[Name]),2,0)</f>
        <v>Băojī Shì</v>
      </c>
      <c r="O1183" s="13" t="str">
        <f t="shared" si="74"/>
        <v>Xiangquan Zhen (Băojī Shì)</v>
      </c>
      <c r="P1183" s="13" t="str">
        <f t="shared" si="75"/>
        <v>Xiangquan Zhen (Băojī Shì)</v>
      </c>
    </row>
    <row r="1184" spans="1:16" hidden="1" x14ac:dyDescent="0.25">
      <c r="A1184" t="s">
        <v>259</v>
      </c>
      <c r="B1184" t="str">
        <f t="shared" si="72"/>
        <v>Xiāngshān Xiāng [→ Dàtóng Zhèn, Liúshuĭ Zhèn]</v>
      </c>
      <c r="C1184" t="str">
        <f t="shared" si="73"/>
        <v>Xiāngshān Xiāng [→ Dàtóng Zhèn, Liúshuĭ Zhèn]</v>
      </c>
      <c r="D1184" t="s">
        <v>260</v>
      </c>
      <c r="E1184" t="s">
        <v>11</v>
      </c>
      <c r="F1184" t="str">
        <f>_xlfn.CONCAT(D1184,", ",H1184,", ",I1184,", ","陕西省")</f>
        <v>香山乡, 汉滨区, 安康市, 陕西省</v>
      </c>
      <c r="G1184">
        <v>4196</v>
      </c>
      <c r="H1184" t="s">
        <v>3035</v>
      </c>
      <c r="I1184" t="s">
        <v>3031</v>
      </c>
      <c r="J1184" t="e">
        <f>VLOOKUP(F1184,[1]!china_towns_second__2[[Column1]:[Y]],3,FALSE)</f>
        <v>#N/A</v>
      </c>
      <c r="K1184" t="e">
        <f>VLOOKUP(F1184,[1]!china_towns_second__2[[Column1]:[Y]],2,FALSE)</f>
        <v>#N/A</v>
      </c>
      <c r="L1184" t="s">
        <v>5305</v>
      </c>
      <c r="M1184" t="str">
        <f>VLOOKUP(H1184,CHOOSE({1,2},Table11[Native],Table11[Name]),2,0)</f>
        <v>Hànbīn Qū</v>
      </c>
      <c r="N1184" s="13" t="str">
        <f>VLOOKUP(I1184,CHOOSE({1,2},Table11[Native],Table11[Name]),2,0)</f>
        <v>Ānkāng Shì</v>
      </c>
      <c r="O1184" s="13" t="str">
        <f t="shared" si="74"/>
        <v>Xiangshan Xiang [→ Datong Zhen, Liushui Zhen] (Ānkāng Shì)</v>
      </c>
      <c r="P1184" s="13" t="str">
        <f t="shared" si="75"/>
        <v>Xiangshan Xiang [→ Datong Zhen, Liushui Zhen] (Ānkāng Shì)</v>
      </c>
    </row>
    <row r="1185" spans="1:16" x14ac:dyDescent="0.25">
      <c r="A1185" t="s">
        <v>2934</v>
      </c>
      <c r="B1185" t="str">
        <f t="shared" si="72"/>
        <v>Xiăngshuĭ Zhèn</v>
      </c>
      <c r="C1185" t="str">
        <f t="shared" si="73"/>
        <v>Xiăngshuĭ Zhèn</v>
      </c>
      <c r="D1185" t="s">
        <v>2935</v>
      </c>
      <c r="E1185" t="s">
        <v>7</v>
      </c>
      <c r="F1185" t="str">
        <f>_xlfn.CONCAT(D1185,", ",H1185,", ",I1185,", ","陕西省")</f>
        <v>响水镇, 横山区, 榆林市, 陕西省</v>
      </c>
      <c r="G1185">
        <v>10319</v>
      </c>
      <c r="H1185" t="s">
        <v>3151</v>
      </c>
      <c r="I1185" t="s">
        <v>3148</v>
      </c>
      <c r="J1185">
        <f>VLOOKUP(F1185,[1]!china_towns_second__2[[Column1]:[Y]],3,FALSE)</f>
        <v>37.958975903164898</v>
      </c>
      <c r="K1185">
        <f>VLOOKUP(F1185,[1]!china_towns_second__2[[Column1]:[Y]],2,FALSE)</f>
        <v>109.66257760000001</v>
      </c>
      <c r="L1185" t="s">
        <v>5306</v>
      </c>
      <c r="M1185" t="str">
        <f>VLOOKUP(H1185,CHOOSE({1,2},Table11[Native],Table11[Name]),2,0)</f>
        <v>Héngshān Qū</v>
      </c>
      <c r="N1185" s="13" t="str">
        <f>VLOOKUP(I1185,CHOOSE({1,2},Table11[Native],Table11[Name]),2,0)</f>
        <v>Yúlín Shì</v>
      </c>
      <c r="O1185" s="13" t="str">
        <f t="shared" si="74"/>
        <v>Xiangshui Zhen (Yúlín Shì)</v>
      </c>
      <c r="P1185" s="13" t="str">
        <f t="shared" si="75"/>
        <v>Xiangshui Zhen (Yúlín Shì)</v>
      </c>
    </row>
    <row r="1186" spans="1:16" x14ac:dyDescent="0.25">
      <c r="A1186" t="s">
        <v>940</v>
      </c>
      <c r="B1186" t="str">
        <f t="shared" si="72"/>
        <v>Xiāngshuĭ Zhèn</v>
      </c>
      <c r="C1186" t="str">
        <f t="shared" si="73"/>
        <v>Xiāngshuĭ Zhèn</v>
      </c>
      <c r="D1186" t="s">
        <v>941</v>
      </c>
      <c r="E1186" t="s">
        <v>7</v>
      </c>
      <c r="F1186" t="str">
        <f>_xlfn.CONCAT(D1186,", ",H1186,", ",I1186,", ","陕西省")</f>
        <v>湘水镇, 南郑区, 汉中市, 陕西省</v>
      </c>
      <c r="G1186">
        <v>11389</v>
      </c>
      <c r="H1186" t="s">
        <v>3066</v>
      </c>
      <c r="I1186" t="s">
        <v>3059</v>
      </c>
      <c r="J1186">
        <f>VLOOKUP(F1186,[1]!china_towns_second__2[[Column1]:[Y]],3,FALSE)</f>
        <v>32.946455099076204</v>
      </c>
      <c r="K1186">
        <f>VLOOKUP(F1186,[1]!china_towns_second__2[[Column1]:[Y]],2,FALSE)</f>
        <v>107.10737810000001</v>
      </c>
      <c r="L1186" t="s">
        <v>5306</v>
      </c>
      <c r="M1186" t="str">
        <f>VLOOKUP(H1186,CHOOSE({1,2},Table11[Native],Table11[Name]),2,0)</f>
        <v>Nánzhèng Qū</v>
      </c>
      <c r="N1186" s="13" t="str">
        <f>VLOOKUP(I1186,CHOOSE({1,2},Table11[Native],Table11[Name]),2,0)</f>
        <v>Hànzhōng Shì</v>
      </c>
      <c r="O1186" s="13" t="str">
        <f t="shared" si="74"/>
        <v>Xiangshui Zhen (Hànzhōng Shì)</v>
      </c>
      <c r="P1186" s="13" t="str">
        <f t="shared" si="75"/>
        <v>Xiangshui Zhen (Hànzhōng Shì)</v>
      </c>
    </row>
    <row r="1187" spans="1:16" hidden="1" x14ac:dyDescent="0.25">
      <c r="A1187" t="s">
        <v>1644</v>
      </c>
      <c r="B1187" t="str">
        <f t="shared" si="72"/>
        <v>Xiàngyáng Jiēdào</v>
      </c>
      <c r="C1187" t="str">
        <f t="shared" si="73"/>
        <v>Xiàngyáng Jiēdào</v>
      </c>
      <c r="D1187" t="s">
        <v>1645</v>
      </c>
      <c r="E1187" t="s">
        <v>113</v>
      </c>
      <c r="F1187" t="str">
        <f>_xlfn.CONCAT(D1187,", ",H1187,", ",I1187,", ","陕西省")</f>
        <v>向阳街道, 临渭区, 渭南市, 陕西省</v>
      </c>
      <c r="G1187">
        <v>43049</v>
      </c>
      <c r="H1187" t="s">
        <v>3097</v>
      </c>
      <c r="I1187" t="s">
        <v>3087</v>
      </c>
      <c r="J1187">
        <f>VLOOKUP(F1187,[1]!china_towns_second__2[[Column1]:[Y]],3,FALSE)</f>
        <v>34.497167692158698</v>
      </c>
      <c r="K1187">
        <f>VLOOKUP(F1187,[1]!china_towns_second__2[[Column1]:[Y]],2,FALSE)</f>
        <v>109.5778864</v>
      </c>
      <c r="L1187" t="s">
        <v>5307</v>
      </c>
      <c r="M1187" t="str">
        <f>VLOOKUP(H1187,CHOOSE({1,2},Table11[Native],Table11[Name]),2,0)</f>
        <v>Línwèi Qū</v>
      </c>
      <c r="N1187" s="13" t="str">
        <f>VLOOKUP(I1187,CHOOSE({1,2},Table11[Native],Table11[Name]),2,0)</f>
        <v>Wèinán Shì</v>
      </c>
      <c r="O1187" s="13" t="str">
        <f t="shared" si="74"/>
        <v>Xiangyang Jiedao (Wèinán Shì)</v>
      </c>
      <c r="P1187" s="13" t="str">
        <f t="shared" si="75"/>
        <v>Xiangyang Jiedao (Wèinán Shì)</v>
      </c>
    </row>
    <row r="1188" spans="1:16" hidden="1" x14ac:dyDescent="0.25">
      <c r="A1188" t="s">
        <v>261</v>
      </c>
      <c r="B1188" t="str">
        <f t="shared" si="72"/>
        <v>Xiàngyáng Zhèn</v>
      </c>
      <c r="C1188" t="str">
        <f t="shared" si="73"/>
        <v>Xiàngyáng Zhèn</v>
      </c>
      <c r="D1188" t="s">
        <v>262</v>
      </c>
      <c r="E1188" t="s">
        <v>7</v>
      </c>
      <c r="F1188" t="str">
        <f>_xlfn.CONCAT(D1188,", ",H1188,", ",I1188,", ","陕西省")</f>
        <v>向阳镇, 紫阳县, 安康市, 陕西省</v>
      </c>
      <c r="G1188">
        <v>12708</v>
      </c>
      <c r="H1188" t="s">
        <v>3043</v>
      </c>
      <c r="I1188" t="s">
        <v>3031</v>
      </c>
      <c r="J1188">
        <f>VLOOKUP(F1188,[1]!china_towns_second__2[[Column1]:[Y]],3,FALSE)</f>
        <v>32.479284594213098</v>
      </c>
      <c r="K1188">
        <f>VLOOKUP(F1188,[1]!china_towns_second__2[[Column1]:[Y]],2,FALSE)</f>
        <v>108.443078</v>
      </c>
      <c r="L1188" t="s">
        <v>5308</v>
      </c>
      <c r="M1188" t="str">
        <f>VLOOKUP(H1188,CHOOSE({1,2},Table11[Native],Table11[Name]),2,0)</f>
        <v>Zĭyáng Xiàn</v>
      </c>
      <c r="N1188" s="13" t="str">
        <f>VLOOKUP(I1188,CHOOSE({1,2},Table11[Native],Table11[Name]),2,0)</f>
        <v>Ānkāng Shì</v>
      </c>
      <c r="O1188" s="13" t="str">
        <f t="shared" si="74"/>
        <v>Xiangyang Zhen (Ānkāng Shì)</v>
      </c>
      <c r="P1188" s="13" t="str">
        <f t="shared" si="75"/>
        <v>Xiangyang Zhen (Ānkāng Shì)</v>
      </c>
    </row>
    <row r="1189" spans="1:16" x14ac:dyDescent="0.25">
      <c r="A1189" t="s">
        <v>263</v>
      </c>
      <c r="B1189" t="str">
        <f t="shared" si="72"/>
        <v>Xiànhé Zhèn</v>
      </c>
      <c r="C1189" t="str">
        <f t="shared" si="73"/>
        <v>Xiànhé Zhèn</v>
      </c>
      <c r="D1189" t="s">
        <v>264</v>
      </c>
      <c r="E1189" t="s">
        <v>7</v>
      </c>
      <c r="F1189" t="str">
        <f>_xlfn.CONCAT(D1189,", ",H1189,", ",I1189,", ","陕西省")</f>
        <v>县河镇, 汉滨区, 安康市, 陕西省</v>
      </c>
      <c r="G1189">
        <v>12451</v>
      </c>
      <c r="H1189" t="s">
        <v>3035</v>
      </c>
      <c r="I1189" t="s">
        <v>3031</v>
      </c>
      <c r="J1189">
        <f>VLOOKUP(F1189,[1]!china_towns_second__2[[Column1]:[Y]],3,FALSE)</f>
        <v>32.597936980045802</v>
      </c>
      <c r="K1189">
        <f>VLOOKUP(F1189,[1]!china_towns_second__2[[Column1]:[Y]],2,FALSE)</f>
        <v>109.08890700000001</v>
      </c>
      <c r="L1189" t="s">
        <v>5309</v>
      </c>
      <c r="M1189" t="str">
        <f>VLOOKUP(H1189,CHOOSE({1,2},Table11[Native],Table11[Name]),2,0)</f>
        <v>Hànbīn Qū</v>
      </c>
      <c r="N1189" s="13" t="str">
        <f>VLOOKUP(I1189,CHOOSE({1,2},Table11[Native],Table11[Name]),2,0)</f>
        <v>Ānkāng Shì</v>
      </c>
      <c r="O1189" s="13" t="str">
        <f t="shared" si="74"/>
        <v>Xianhe Zhen (Ānkāng Shì)</v>
      </c>
      <c r="P1189" s="13" t="str">
        <f t="shared" si="75"/>
        <v>Xianhe Zhen (Hànbīn Qū)</v>
      </c>
    </row>
    <row r="1190" spans="1:16" x14ac:dyDescent="0.25">
      <c r="A1190" t="s">
        <v>265</v>
      </c>
      <c r="B1190" t="str">
        <f t="shared" si="72"/>
        <v>Xiānhé Zhèn</v>
      </c>
      <c r="C1190" t="str">
        <f t="shared" si="73"/>
        <v>Xiānhé Zhèn</v>
      </c>
      <c r="D1190" t="s">
        <v>266</v>
      </c>
      <c r="E1190" t="s">
        <v>7</v>
      </c>
      <c r="F1190" t="str">
        <f>_xlfn.CONCAT(D1190,", ",H1190,", ",I1190,", ","陕西省")</f>
        <v>仙河镇, 旬阳县, 安康市, 陕西省</v>
      </c>
      <c r="G1190">
        <v>21619</v>
      </c>
      <c r="H1190" t="s">
        <v>3041</v>
      </c>
      <c r="I1190" t="s">
        <v>3031</v>
      </c>
      <c r="J1190">
        <f>VLOOKUP(F1190,[1]!china_towns_second__2[[Column1]:[Y]],3,FALSE)</f>
        <v>33.012970329474001</v>
      </c>
      <c r="K1190">
        <f>VLOOKUP(F1190,[1]!china_towns_second__2[[Column1]:[Y]],2,FALSE)</f>
        <v>109.74562</v>
      </c>
      <c r="L1190" t="s">
        <v>5309</v>
      </c>
      <c r="M1190" t="str">
        <f>VLOOKUP(H1190,CHOOSE({1,2},Table11[Native],Table11[Name]),2,0)</f>
        <v>Xúnyáng Xiàn</v>
      </c>
      <c r="N1190" s="13" t="str">
        <f>VLOOKUP(I1190,CHOOSE({1,2},Table11[Native],Table11[Name]),2,0)</f>
        <v>Ānkāng Shì</v>
      </c>
      <c r="O1190" s="13" t="str">
        <f t="shared" si="74"/>
        <v>Xianhe Zhen (Ānkāng Shì)</v>
      </c>
      <c r="P1190" s="13" t="str">
        <f t="shared" si="75"/>
        <v>Xianhe Zhen (Xúnyáng Xiàn)</v>
      </c>
    </row>
    <row r="1191" spans="1:16" hidden="1" x14ac:dyDescent="0.25">
      <c r="A1191" t="s">
        <v>2936</v>
      </c>
      <c r="B1191" t="str">
        <f t="shared" si="72"/>
        <v>Xiàniànlĭpū Zhèn [incl. Shuāngmiàohé Xiāng]</v>
      </c>
      <c r="C1191" t="str">
        <f t="shared" si="73"/>
        <v>Xiàniànlĭpū Zhèn [incl. Shuāngmiàohé Xiāng]</v>
      </c>
      <c r="D1191" t="s">
        <v>2937</v>
      </c>
      <c r="E1191" t="s">
        <v>7</v>
      </c>
      <c r="F1191" t="str">
        <f>_xlfn.CONCAT(D1191,", ",H1191,", ",I1191,", ","陕西省")</f>
        <v>下廿里铺镇, 清涧县, 榆林市, 陕西省</v>
      </c>
      <c r="G1191">
        <v>10686</v>
      </c>
      <c r="H1191" t="s">
        <v>3155</v>
      </c>
      <c r="I1191" t="s">
        <v>3148</v>
      </c>
      <c r="J1191">
        <f>VLOOKUP(F1191,[1]!china_towns_second__2[[Column1]:[Y]],3,FALSE)</f>
        <v>37.030670414586297</v>
      </c>
      <c r="K1191">
        <f>VLOOKUP(F1191,[1]!china_towns_second__2[[Column1]:[Y]],2,FALSE)</f>
        <v>110.1480847</v>
      </c>
      <c r="L1191" t="s">
        <v>5310</v>
      </c>
      <c r="M1191" t="str">
        <f>VLOOKUP(H1191,CHOOSE({1,2},Table11[Native],Table11[Name]),2,0)</f>
        <v>Qīngjiàn Xiàn</v>
      </c>
      <c r="N1191" s="13" t="str">
        <f>VLOOKUP(I1191,CHOOSE({1,2},Table11[Native],Table11[Name]),2,0)</f>
        <v>Yúlín Shì</v>
      </c>
      <c r="O1191" s="13" t="str">
        <f t="shared" si="74"/>
        <v>Xianianlipu Zhen [incl. Shuangmiaohe Xiang] (Yúlín Shì)</v>
      </c>
      <c r="P1191" s="13" t="str">
        <f t="shared" si="75"/>
        <v>Xianianlipu Zhen [incl. Shuangmiaohe Xiang] (Yúlín Shì)</v>
      </c>
    </row>
    <row r="1192" spans="1:16" hidden="1" x14ac:dyDescent="0.25">
      <c r="A1192" t="s">
        <v>942</v>
      </c>
      <c r="B1192" t="str">
        <f t="shared" si="72"/>
        <v>Xiāntáibà Zhèn</v>
      </c>
      <c r="C1192" t="str">
        <f t="shared" si="73"/>
        <v>Xiāntáibà Zhèn</v>
      </c>
      <c r="D1192" t="s">
        <v>943</v>
      </c>
      <c r="E1192" t="s">
        <v>7</v>
      </c>
      <c r="F1192" t="str">
        <f>_xlfn.CONCAT(D1192,", ",H1192,", ",I1192,", ","陕西省")</f>
        <v>仙台坝镇, 略阳县, 汉中市, 陕西省</v>
      </c>
      <c r="G1192">
        <v>3484</v>
      </c>
      <c r="H1192" t="s">
        <v>3064</v>
      </c>
      <c r="I1192" t="s">
        <v>3059</v>
      </c>
      <c r="J1192">
        <f>VLOOKUP(F1192,[1]!china_towns_second__2[[Column1]:[Y]],3,FALSE)</f>
        <v>33.469770627690103</v>
      </c>
      <c r="K1192">
        <f>VLOOKUP(F1192,[1]!china_towns_second__2[[Column1]:[Y]],2,FALSE)</f>
        <v>106.41500310000001</v>
      </c>
      <c r="L1192" t="s">
        <v>5311</v>
      </c>
      <c r="M1192" t="str">
        <f>VLOOKUP(H1192,CHOOSE({1,2},Table11[Native],Table11[Name]),2,0)</f>
        <v>Lüèyáng Xiàn</v>
      </c>
      <c r="N1192" s="13" t="str">
        <f>VLOOKUP(I1192,CHOOSE({1,2},Table11[Native],Table11[Name]),2,0)</f>
        <v>Hànzhōng Shì</v>
      </c>
      <c r="O1192" s="13" t="str">
        <f t="shared" si="74"/>
        <v>Xiantaiba Zhen (Hànzhōng Shì)</v>
      </c>
      <c r="P1192" s="13" t="str">
        <f t="shared" si="75"/>
        <v>Xiantaiba Zhen (Hànzhōng Shì)</v>
      </c>
    </row>
    <row r="1193" spans="1:16" hidden="1" x14ac:dyDescent="0.25">
      <c r="A1193" t="s">
        <v>944</v>
      </c>
      <c r="B1193" t="str">
        <f t="shared" si="72"/>
        <v>Xiăobiānhé Xiāng</v>
      </c>
      <c r="C1193" t="str">
        <f t="shared" si="73"/>
        <v>Xiăobiānhé Xiāng</v>
      </c>
      <c r="D1193" t="s">
        <v>945</v>
      </c>
      <c r="E1193" t="s">
        <v>11</v>
      </c>
      <c r="F1193" t="str">
        <f>_xlfn.CONCAT(D1193,", ",H1193,", ",I1193,", ","陕西省")</f>
        <v>小砭河乡, 勉县, 汉中市, 陕西省</v>
      </c>
      <c r="G1193">
        <v>4951</v>
      </c>
      <c r="H1193" t="s">
        <v>3065</v>
      </c>
      <c r="I1193" t="s">
        <v>3059</v>
      </c>
      <c r="J1193" t="e">
        <f>VLOOKUP(F1193,[1]!china_towns_second__2[[Column1]:[Y]],3,FALSE)</f>
        <v>#N/A</v>
      </c>
      <c r="K1193" t="e">
        <f>VLOOKUP(F1193,[1]!china_towns_second__2[[Column1]:[Y]],2,FALSE)</f>
        <v>#N/A</v>
      </c>
      <c r="L1193" t="s">
        <v>5312</v>
      </c>
      <c r="M1193" t="str">
        <f>VLOOKUP(H1193,CHOOSE({1,2},Table11[Native],Table11[Name]),2,0)</f>
        <v>Miăn Xiàn</v>
      </c>
      <c r="N1193" s="13" t="str">
        <f>VLOOKUP(I1193,CHOOSE({1,2},Table11[Native],Table11[Name]),2,0)</f>
        <v>Hànzhōng Shì</v>
      </c>
      <c r="O1193" s="13" t="str">
        <f t="shared" si="74"/>
        <v>Xiaobianhe Xiang (Hànzhōng Shì)</v>
      </c>
      <c r="P1193" s="13" t="str">
        <f t="shared" si="75"/>
        <v>Xiaobianhe Xiang (Hànzhōng Shì)</v>
      </c>
    </row>
    <row r="1194" spans="1:16" hidden="1" x14ac:dyDescent="0.25">
      <c r="A1194" t="s">
        <v>1896</v>
      </c>
      <c r="B1194" t="str">
        <f t="shared" si="72"/>
        <v>Xiăocūn Zhèn [incl. Pŭjíjiē Xiāng]</v>
      </c>
      <c r="C1194" t="str">
        <f t="shared" si="73"/>
        <v>Xiăocūn Zhèn [incl. Pŭjíjiē Xiāng]</v>
      </c>
      <c r="D1194" t="s">
        <v>1897</v>
      </c>
      <c r="E1194" t="s">
        <v>7</v>
      </c>
      <c r="F1194" t="str">
        <f>_xlfn.CONCAT(D1194,", ",H1194,", ",I1194,", ","陕西省")</f>
        <v>小村镇, 武功县, 咸阳市, 陕西省</v>
      </c>
      <c r="G1194">
        <v>71665</v>
      </c>
      <c r="H1194" t="s">
        <v>3127</v>
      </c>
      <c r="I1194" t="s">
        <v>3117</v>
      </c>
      <c r="J1194">
        <f>VLOOKUP(F1194,[1]!china_towns_second__2[[Column1]:[Y]],3,FALSE)</f>
        <v>34.236738900734203</v>
      </c>
      <c r="K1194">
        <f>VLOOKUP(F1194,[1]!china_towns_second__2[[Column1]:[Y]],2,FALSE)</f>
        <v>108.2662127</v>
      </c>
      <c r="L1194" t="s">
        <v>5313</v>
      </c>
      <c r="M1194" t="str">
        <f>VLOOKUP(H1194,CHOOSE({1,2},Table11[Native],Table11[Name]),2,0)</f>
        <v>Wŭgōng Xiàn</v>
      </c>
      <c r="N1194" s="13" t="str">
        <f>VLOOKUP(I1194,CHOOSE({1,2},Table11[Native],Table11[Name]),2,0)</f>
        <v>Xiányáng Shì</v>
      </c>
      <c r="O1194" s="13" t="str">
        <f t="shared" si="74"/>
        <v>Xiaocun Zhen [incl. Pujijie Xiang] (Xiányáng Shì)</v>
      </c>
      <c r="P1194" s="13" t="str">
        <f t="shared" si="75"/>
        <v>Xiaocun Zhen [incl. Pujijie Xiang] (Xiányáng Shì)</v>
      </c>
    </row>
    <row r="1195" spans="1:16" hidden="1" x14ac:dyDescent="0.25">
      <c r="A1195" t="s">
        <v>267</v>
      </c>
      <c r="B1195" t="str">
        <f t="shared" si="72"/>
        <v>Xiăodào Xiāng</v>
      </c>
      <c r="C1195" t="str">
        <f t="shared" si="73"/>
        <v>Xiăodào Xiāng</v>
      </c>
      <c r="D1195" t="s">
        <v>268</v>
      </c>
      <c r="E1195" t="s">
        <v>11</v>
      </c>
      <c r="F1195" t="str">
        <f>_xlfn.CONCAT(D1195,", ",H1195,", ",I1195,", ","陕西省")</f>
        <v>晓道乡, 岚皋县, 安康市, 陕西省</v>
      </c>
      <c r="G1195">
        <v>4336</v>
      </c>
      <c r="H1195" t="s">
        <v>3037</v>
      </c>
      <c r="I1195" t="s">
        <v>3031</v>
      </c>
      <c r="J1195" t="e">
        <f>VLOOKUP(F1195,[1]!china_towns_second__2[[Column1]:[Y]],3,FALSE)</f>
        <v>#N/A</v>
      </c>
      <c r="K1195" t="e">
        <f>VLOOKUP(F1195,[1]!china_towns_second__2[[Column1]:[Y]],2,FALSE)</f>
        <v>#N/A</v>
      </c>
      <c r="L1195" t="s">
        <v>5314</v>
      </c>
      <c r="M1195" t="str">
        <f>VLOOKUP(H1195,CHOOSE({1,2},Table11[Native],Table11[Name]),2,0)</f>
        <v>Lángāo Xiàn</v>
      </c>
      <c r="N1195" s="13" t="str">
        <f>VLOOKUP(I1195,CHOOSE({1,2},Table11[Native],Table11[Name]),2,0)</f>
        <v>Ānkāng Shì</v>
      </c>
      <c r="O1195" s="13" t="str">
        <f t="shared" si="74"/>
        <v>Xiaodao Xiang (Ānkāng Shì)</v>
      </c>
      <c r="P1195" s="13" t="str">
        <f t="shared" si="75"/>
        <v>Xiaodao Xiang (Ānkāng Shì)</v>
      </c>
    </row>
    <row r="1196" spans="1:16" hidden="1" x14ac:dyDescent="0.25">
      <c r="A1196" t="s">
        <v>2938</v>
      </c>
      <c r="B1196" t="str">
        <f t="shared" si="72"/>
        <v>Xiăoháotù Xiāng</v>
      </c>
      <c r="C1196" t="str">
        <f t="shared" si="73"/>
        <v>Xiăoháotù Xiāng</v>
      </c>
      <c r="D1196" t="s">
        <v>2939</v>
      </c>
      <c r="E1196" t="s">
        <v>11</v>
      </c>
      <c r="F1196" t="str">
        <f>_xlfn.CONCAT(D1196,", ",H1196,", ",I1196,", ","陕西省")</f>
        <v>小壕兔乡, 榆阳区, 榆林市, 陕西省</v>
      </c>
      <c r="G1196">
        <v>8546</v>
      </c>
      <c r="H1196" t="s">
        <v>3159</v>
      </c>
      <c r="I1196" t="s">
        <v>3148</v>
      </c>
      <c r="J1196" t="e">
        <f>VLOOKUP(F1196,[1]!china_towns_second__2[[Column1]:[Y]],3,FALSE)</f>
        <v>#N/A</v>
      </c>
      <c r="K1196" t="e">
        <f>VLOOKUP(F1196,[1]!china_towns_second__2[[Column1]:[Y]],2,FALSE)</f>
        <v>#N/A</v>
      </c>
      <c r="L1196" t="s">
        <v>5315</v>
      </c>
      <c r="M1196" t="str">
        <f>VLOOKUP(H1196,CHOOSE({1,2},Table11[Native],Table11[Name]),2,0)</f>
        <v>Yúyáng Qū</v>
      </c>
      <c r="N1196" s="13" t="str">
        <f>VLOOKUP(I1196,CHOOSE({1,2},Table11[Native],Table11[Name]),2,0)</f>
        <v>Yúlín Shì</v>
      </c>
      <c r="O1196" s="13" t="str">
        <f t="shared" si="74"/>
        <v>Xiaohaotu Xiang (Yúlín Shì)</v>
      </c>
      <c r="P1196" s="13" t="str">
        <f t="shared" si="75"/>
        <v>Xiaohaotu Xiang (Yúlín Shì)</v>
      </c>
    </row>
    <row r="1197" spans="1:16" hidden="1" x14ac:dyDescent="0.25">
      <c r="A1197" t="s">
        <v>948</v>
      </c>
      <c r="B1197" t="str">
        <f t="shared" si="72"/>
        <v>Xiăohé Zhèn (Hànzhōng Shì)</v>
      </c>
      <c r="C1197" t="str">
        <f t="shared" si="73"/>
        <v>Xiăohé Zhèn (Hànzhōng Shì)</v>
      </c>
      <c r="D1197" t="s">
        <v>270</v>
      </c>
      <c r="E1197" t="s">
        <v>7</v>
      </c>
      <c r="F1197" t="str">
        <f>_xlfn.CONCAT(D1197,", ",H1197,", ",I1197,", ","陕西省")</f>
        <v>小河镇, 城固县, 汉中市, 陕西省</v>
      </c>
      <c r="G1197">
        <v>4215</v>
      </c>
      <c r="H1197" t="s">
        <v>3060</v>
      </c>
      <c r="I1197" t="s">
        <v>3059</v>
      </c>
      <c r="J1197">
        <f>VLOOKUP(F1197,[1]!china_towns_second__2[[Column1]:[Y]],3,FALSE)</f>
        <v>33.540005332092598</v>
      </c>
      <c r="K1197">
        <f>VLOOKUP(F1197,[1]!china_towns_second__2[[Column1]:[Y]],2,FALSE)</f>
        <v>107.21498320000001</v>
      </c>
      <c r="L1197" t="s">
        <v>5316</v>
      </c>
      <c r="M1197" t="str">
        <f>VLOOKUP(H1197,CHOOSE({1,2},Table11[Native],Table11[Name]),2,0)</f>
        <v>Chénggù Xiàn</v>
      </c>
      <c r="N1197" s="13" t="str">
        <f>VLOOKUP(I1197,CHOOSE({1,2},Table11[Native],Table11[Name]),2,0)</f>
        <v>Hànzhōng Shì</v>
      </c>
      <c r="O1197" s="13" t="str">
        <f t="shared" si="74"/>
        <v>Xiaohe Zhen (Hanzhong Shi) (Hànzhōng Shì)</v>
      </c>
      <c r="P1197" s="13" t="str">
        <f t="shared" si="75"/>
        <v>Xiaohe Zhen (Hanzhong Shi) (Hànzhōng Shì)</v>
      </c>
    </row>
    <row r="1198" spans="1:16" hidden="1" x14ac:dyDescent="0.25">
      <c r="A1198" t="s">
        <v>948</v>
      </c>
      <c r="B1198" t="str">
        <f t="shared" si="72"/>
        <v>Xiăohé Zhèn (Yúlín Shì)</v>
      </c>
      <c r="C1198" t="str">
        <f t="shared" si="73"/>
        <v>Xiăohé Zhèn (Yúlín Shì)</v>
      </c>
      <c r="D1198" t="s">
        <v>270</v>
      </c>
      <c r="E1198" t="s">
        <v>7</v>
      </c>
      <c r="F1198" t="str">
        <f>_xlfn.CONCAT(D1198,", ",H1198,", ",I1198,", ","陕西省")</f>
        <v>小河镇, 靖边县, 榆林市, 陕西省</v>
      </c>
      <c r="G1198">
        <v>5905</v>
      </c>
      <c r="H1198" t="s">
        <v>3153</v>
      </c>
      <c r="I1198" t="s">
        <v>3148</v>
      </c>
      <c r="J1198">
        <f>VLOOKUP(F1198,[1]!china_towns_second__2[[Column1]:[Y]],3,FALSE)</f>
        <v>37.353068302822301</v>
      </c>
      <c r="K1198">
        <f>VLOOKUP(F1198,[1]!china_towns_second__2[[Column1]:[Y]],2,FALSE)</f>
        <v>109.0288245</v>
      </c>
      <c r="L1198" t="s">
        <v>5317</v>
      </c>
      <c r="M1198" t="str">
        <f>VLOOKUP(H1198,CHOOSE({1,2},Table11[Native],Table11[Name]),2,0)</f>
        <v>Jìngbiān Xiàn</v>
      </c>
      <c r="N1198" s="13" t="str">
        <f>VLOOKUP(I1198,CHOOSE({1,2},Table11[Native],Table11[Name]),2,0)</f>
        <v>Yúlín Shì</v>
      </c>
      <c r="O1198" s="13" t="str">
        <f t="shared" si="74"/>
        <v>Xiaohe Zhen (Yulin Shi) (Yúlín Shì)</v>
      </c>
      <c r="P1198" s="13" t="str">
        <f t="shared" si="75"/>
        <v>Xiaohe Zhen (Yulin Shi) (Yúlín Shì)</v>
      </c>
    </row>
    <row r="1199" spans="1:16" hidden="1" x14ac:dyDescent="0.25">
      <c r="A1199" t="s">
        <v>269</v>
      </c>
      <c r="B1199" t="str">
        <f t="shared" si="72"/>
        <v>Xiăohé Zhèn [incl. Gōngguăn Xiāng]</v>
      </c>
      <c r="C1199" t="str">
        <f t="shared" si="73"/>
        <v>Xiăohé Zhèn [incl. Gōngguăn Xiāng]</v>
      </c>
      <c r="D1199" t="s">
        <v>270</v>
      </c>
      <c r="E1199" t="s">
        <v>7</v>
      </c>
      <c r="F1199" t="str">
        <f>_xlfn.CONCAT(D1199,", ",H1199,", ",I1199,", ","陕西省")</f>
        <v>小河镇, 旬阳县, 安康市, 陕西省</v>
      </c>
      <c r="G1199">
        <v>24306</v>
      </c>
      <c r="H1199" t="s">
        <v>3041</v>
      </c>
      <c r="I1199" t="s">
        <v>3031</v>
      </c>
      <c r="J1199">
        <f>VLOOKUP(F1199,[1]!china_towns_second__2[[Column1]:[Y]],3,FALSE)</f>
        <v>33.115652093903698</v>
      </c>
      <c r="K1199">
        <f>VLOOKUP(F1199,[1]!china_towns_second__2[[Column1]:[Y]],2,FALSE)</f>
        <v>109.2491151</v>
      </c>
      <c r="L1199" t="s">
        <v>5318</v>
      </c>
      <c r="M1199" t="str">
        <f>VLOOKUP(H1199,CHOOSE({1,2},Table11[Native],Table11[Name]),2,0)</f>
        <v>Xúnyáng Xiàn</v>
      </c>
      <c r="N1199" s="13" t="str">
        <f>VLOOKUP(I1199,CHOOSE({1,2},Table11[Native],Table11[Name]),2,0)</f>
        <v>Ānkāng Shì</v>
      </c>
      <c r="O1199" s="13" t="str">
        <f t="shared" si="74"/>
        <v>Xiaohe Zhen [incl. Gongguan Xiang] (Ānkāng Shì)</v>
      </c>
      <c r="P1199" s="13" t="str">
        <f t="shared" si="75"/>
        <v>Xiaohe Zhen [incl. Gongguan Xiang] (Ānkāng Shì)</v>
      </c>
    </row>
    <row r="1200" spans="1:16" hidden="1" x14ac:dyDescent="0.25">
      <c r="A1200" t="s">
        <v>1236</v>
      </c>
      <c r="B1200" t="str">
        <f t="shared" si="72"/>
        <v>Xiăohékŏu Zhèn [incl. Èryùhé Xiāng]</v>
      </c>
      <c r="C1200" t="str">
        <f t="shared" si="73"/>
        <v>Xiăohékŏu Zhèn [incl. Èryùhé Xiāng]</v>
      </c>
      <c r="D1200" t="s">
        <v>1237</v>
      </c>
      <c r="E1200" t="s">
        <v>7</v>
      </c>
      <c r="F1200" t="str">
        <f>_xlfn.CONCAT(D1200,", ",H1200,", ",I1200,", ","陕西省")</f>
        <v>小河口镇, 山阳县, 商洛市, 陕西省</v>
      </c>
      <c r="G1200">
        <v>20020</v>
      </c>
      <c r="H1200" t="s">
        <v>3077</v>
      </c>
      <c r="I1200" t="s">
        <v>3072</v>
      </c>
      <c r="J1200">
        <f>VLOOKUP(F1200,[1]!china_towns_second__2[[Column1]:[Y]],3,FALSE)</f>
        <v>33.614057841066199</v>
      </c>
      <c r="K1200">
        <f>VLOOKUP(F1200,[1]!china_towns_second__2[[Column1]:[Y]],2,FALSE)</f>
        <v>109.66146209999999</v>
      </c>
      <c r="L1200" t="s">
        <v>5319</v>
      </c>
      <c r="M1200" t="str">
        <f>VLOOKUP(H1200,CHOOSE({1,2},Table11[Native],Table11[Name]),2,0)</f>
        <v>Shānyáng Xiàn</v>
      </c>
      <c r="N1200" s="13" t="str">
        <f>VLOOKUP(I1200,CHOOSE({1,2},Table11[Native],Table11[Name]),2,0)</f>
        <v>Shāngluò Shì</v>
      </c>
      <c r="O1200" s="13" t="str">
        <f t="shared" si="74"/>
        <v>Xiaohekou Zhen [incl. Eryuhe Xiang] (Shāngluò Shì)</v>
      </c>
      <c r="P1200" s="13" t="str">
        <f t="shared" si="75"/>
        <v>Xiaohekou Zhen [incl. Eryuhe Xiang] (Shāngluò Shì)</v>
      </c>
    </row>
    <row r="1201" spans="1:16" hidden="1" x14ac:dyDescent="0.25">
      <c r="A1201" t="s">
        <v>946</v>
      </c>
      <c r="B1201" t="str">
        <f t="shared" si="72"/>
        <v>Xiăohémiào Xiāng</v>
      </c>
      <c r="C1201" t="str">
        <f t="shared" si="73"/>
        <v>Xiăohémiào Xiāng</v>
      </c>
      <c r="D1201" t="s">
        <v>947</v>
      </c>
      <c r="E1201" t="s">
        <v>11</v>
      </c>
      <c r="F1201" t="str">
        <f>_xlfn.CONCAT(D1201,", ",H1201,", ",I1201,", ","陕西省")</f>
        <v>小河庙乡, 勉县, 汉中市, 陕西省</v>
      </c>
      <c r="G1201">
        <v>5858</v>
      </c>
      <c r="H1201" t="s">
        <v>3065</v>
      </c>
      <c r="I1201" t="s">
        <v>3059</v>
      </c>
      <c r="J1201" t="e">
        <f>VLOOKUP(F1201,[1]!china_towns_second__2[[Column1]:[Y]],3,FALSE)</f>
        <v>#N/A</v>
      </c>
      <c r="K1201" t="e">
        <f>VLOOKUP(F1201,[1]!china_towns_second__2[[Column1]:[Y]],2,FALSE)</f>
        <v>#N/A</v>
      </c>
      <c r="L1201" t="s">
        <v>5320</v>
      </c>
      <c r="M1201" t="str">
        <f>VLOOKUP(H1201,CHOOSE({1,2},Table11[Native],Table11[Name]),2,0)</f>
        <v>Miăn Xiàn</v>
      </c>
      <c r="N1201" s="13" t="str">
        <f>VLOOKUP(I1201,CHOOSE({1,2},Table11[Native],Table11[Name]),2,0)</f>
        <v>Hànzhōng Shì</v>
      </c>
      <c r="O1201" s="13" t="str">
        <f t="shared" si="74"/>
        <v>Xiaohemiao Xiang (Hànzhōng Shì)</v>
      </c>
      <c r="P1201" s="13" t="str">
        <f t="shared" si="75"/>
        <v>Xiaohemiao Xiang (Hànzhōng Shì)</v>
      </c>
    </row>
    <row r="1202" spans="1:16" hidden="1" x14ac:dyDescent="0.25">
      <c r="A1202" t="s">
        <v>2940</v>
      </c>
      <c r="B1202" t="str">
        <f t="shared" si="72"/>
        <v>Xiăojìhàn Zhèn</v>
      </c>
      <c r="C1202" t="str">
        <f t="shared" si="73"/>
        <v>Xiăojìhàn Zhèn</v>
      </c>
      <c r="D1202" t="s">
        <v>2941</v>
      </c>
      <c r="E1202" t="s">
        <v>7</v>
      </c>
      <c r="F1202" t="str">
        <f>_xlfn.CONCAT(D1202,", ",H1202,", ",I1202,", ","陕西省")</f>
        <v>小纪汗镇, 榆阳区, 榆林市, 陕西省</v>
      </c>
      <c r="G1202">
        <v>11232</v>
      </c>
      <c r="H1202" t="s">
        <v>3159</v>
      </c>
      <c r="I1202" t="s">
        <v>3148</v>
      </c>
      <c r="J1202">
        <f>VLOOKUP(F1202,[1]!china_towns_second__2[[Column1]:[Y]],3,FALSE)</f>
        <v>38.415869621755398</v>
      </c>
      <c r="K1202">
        <f>VLOOKUP(F1202,[1]!china_towns_second__2[[Column1]:[Y]],2,FALSE)</f>
        <v>109.4457178</v>
      </c>
      <c r="L1202" t="s">
        <v>5321</v>
      </c>
      <c r="M1202" t="str">
        <f>VLOOKUP(H1202,CHOOSE({1,2},Table11[Native],Table11[Name]),2,0)</f>
        <v>Yúyáng Qū</v>
      </c>
      <c r="N1202" s="13" t="str">
        <f>VLOOKUP(I1202,CHOOSE({1,2},Table11[Native],Table11[Name]),2,0)</f>
        <v>Yúlín Shì</v>
      </c>
      <c r="O1202" s="13" t="str">
        <f t="shared" si="74"/>
        <v>Xiaojihan Zhen (Yúlín Shì)</v>
      </c>
      <c r="P1202" s="13" t="str">
        <f t="shared" si="75"/>
        <v>Xiaojihan Zhen (Yúlín Shì)</v>
      </c>
    </row>
    <row r="1203" spans="1:16" hidden="1" x14ac:dyDescent="0.25">
      <c r="A1203" t="s">
        <v>2243</v>
      </c>
      <c r="B1203" t="str">
        <f t="shared" si="72"/>
        <v>Xiăojīn Jiēdào</v>
      </c>
      <c r="C1203" t="str">
        <f t="shared" si="73"/>
        <v>Xiăojīn Jiēdào</v>
      </c>
      <c r="D1203" t="s">
        <v>2244</v>
      </c>
      <c r="E1203" t="s">
        <v>113</v>
      </c>
      <c r="F1203" t="str">
        <f>_xlfn.CONCAT(D1203,", ",H1203,", ",I1203,", ","陕西省")</f>
        <v>小金街道, 临潼区, 西安市, 陕西省</v>
      </c>
      <c r="G1203">
        <v>6288</v>
      </c>
      <c r="H1203" t="s">
        <v>3110</v>
      </c>
      <c r="I1203" t="s">
        <v>3102</v>
      </c>
      <c r="J1203">
        <f>VLOOKUP(F1203,[1]!china_towns_second__2[[Column1]:[Y]],3,FALSE)</f>
        <v>34.346722483344998</v>
      </c>
      <c r="K1203">
        <f>VLOOKUP(F1203,[1]!china_towns_second__2[[Column1]:[Y]],2,FALSE)</f>
        <v>109.4199199</v>
      </c>
      <c r="L1203" t="s">
        <v>5322</v>
      </c>
      <c r="M1203" t="str">
        <f>VLOOKUP(H1203,CHOOSE({1,2},Table11[Native],Table11[Name]),2,0)</f>
        <v>Líntóng Qū</v>
      </c>
      <c r="N1203" s="13" t="str">
        <f>VLOOKUP(I1203,CHOOSE({1,2},Table11[Native],Table11[Name]),2,0)</f>
        <v>Xī'ān Shì</v>
      </c>
      <c r="O1203" s="13" t="str">
        <f t="shared" si="74"/>
        <v>Xiaojin Jiedao (Xī'ān Shì)</v>
      </c>
      <c r="P1203" s="13" t="str">
        <f t="shared" si="75"/>
        <v>Xiaojin Jiedao (Xī'ān Shì)</v>
      </c>
    </row>
    <row r="1204" spans="1:16" hidden="1" x14ac:dyDescent="0.25">
      <c r="A1204" t="s">
        <v>1238</v>
      </c>
      <c r="B1204" t="str">
        <f t="shared" si="72"/>
        <v>Xiăolĭng Zhèn</v>
      </c>
      <c r="C1204" t="str">
        <f t="shared" si="73"/>
        <v>Xiăolĭng Zhèn</v>
      </c>
      <c r="D1204" t="s">
        <v>1239</v>
      </c>
      <c r="E1204" t="s">
        <v>7</v>
      </c>
      <c r="F1204" t="str">
        <f>_xlfn.CONCAT(D1204,", ",H1204,", ",I1204,", ","陕西省")</f>
        <v>小岭镇, 柞水县, 商洛市, 陕西省</v>
      </c>
      <c r="G1204">
        <v>11412</v>
      </c>
      <c r="H1204" t="s">
        <v>3078</v>
      </c>
      <c r="I1204" t="s">
        <v>3072</v>
      </c>
      <c r="J1204">
        <f>VLOOKUP(F1204,[1]!china_towns_second__2[[Column1]:[Y]],3,FALSE)</f>
        <v>33.574653247147701</v>
      </c>
      <c r="K1204">
        <f>VLOOKUP(F1204,[1]!china_towns_second__2[[Column1]:[Y]],2,FALSE)</f>
        <v>109.2857425</v>
      </c>
      <c r="L1204" t="s">
        <v>5323</v>
      </c>
      <c r="M1204" t="str">
        <f>VLOOKUP(H1204,CHOOSE({1,2},Table11[Native],Table11[Name]),2,0)</f>
        <v>Zhàshuĭ Xiàn</v>
      </c>
      <c r="N1204" s="13" t="str">
        <f>VLOOKUP(I1204,CHOOSE({1,2},Table11[Native],Table11[Name]),2,0)</f>
        <v>Shāngluò Shì</v>
      </c>
      <c r="O1204" s="13" t="str">
        <f t="shared" si="74"/>
        <v>Xiaoling Zhen (Shāngluò Shì)</v>
      </c>
      <c r="P1204" s="13" t="str">
        <f t="shared" si="75"/>
        <v>Xiaoling Zhen (Shāngluò Shì)</v>
      </c>
    </row>
    <row r="1205" spans="1:16" hidden="1" x14ac:dyDescent="0.25">
      <c r="A1205" t="s">
        <v>949</v>
      </c>
      <c r="B1205" t="str">
        <f t="shared" si="72"/>
        <v>Xiăonánhăi Zhèn</v>
      </c>
      <c r="C1205" t="str">
        <f t="shared" si="73"/>
        <v>Xiăonánhăi Zhèn</v>
      </c>
      <c r="D1205" t="s">
        <v>950</v>
      </c>
      <c r="E1205" t="s">
        <v>7</v>
      </c>
      <c r="F1205" t="str">
        <f>_xlfn.CONCAT(D1205,", ",H1205,", ",I1205,", ","陕西省")</f>
        <v>小南海镇, 南郑区, 汉中市, 陕西省</v>
      </c>
      <c r="G1205">
        <v>10297</v>
      </c>
      <c r="H1205" t="s">
        <v>3066</v>
      </c>
      <c r="I1205" t="s">
        <v>3059</v>
      </c>
      <c r="J1205">
        <f>VLOOKUP(F1205,[1]!china_towns_second__2[[Column1]:[Y]],3,FALSE)</f>
        <v>32.7740384821807</v>
      </c>
      <c r="K1205">
        <f>VLOOKUP(F1205,[1]!china_towns_second__2[[Column1]:[Y]],2,FALSE)</f>
        <v>107.0112412</v>
      </c>
      <c r="L1205" t="s">
        <v>5324</v>
      </c>
      <c r="M1205" t="str">
        <f>VLOOKUP(H1205,CHOOSE({1,2},Table11[Native],Table11[Name]),2,0)</f>
        <v>Nánzhèng Qū</v>
      </c>
      <c r="N1205" s="13" t="str">
        <f>VLOOKUP(I1205,CHOOSE({1,2},Table11[Native],Table11[Name]),2,0)</f>
        <v>Hànzhōng Shì</v>
      </c>
      <c r="O1205" s="13" t="str">
        <f t="shared" si="74"/>
        <v>Xiaonanhai Zhen (Hànzhōng Shì)</v>
      </c>
      <c r="P1205" s="13" t="str">
        <f t="shared" si="75"/>
        <v>Xiaonanhai Zhen (Hànzhōng Shì)</v>
      </c>
    </row>
    <row r="1206" spans="1:16" hidden="1" x14ac:dyDescent="0.25">
      <c r="A1206" t="s">
        <v>1350</v>
      </c>
      <c r="B1206" t="str">
        <f t="shared" si="72"/>
        <v>Xiăoqiū Zhèn</v>
      </c>
      <c r="C1206" t="str">
        <f t="shared" si="73"/>
        <v>Xiăoqiū Zhèn</v>
      </c>
      <c r="D1206" t="s">
        <v>1351</v>
      </c>
      <c r="E1206" t="s">
        <v>7</v>
      </c>
      <c r="F1206" t="str">
        <f>_xlfn.CONCAT(D1206,", ",H1206,", ",I1206,", ","陕西省")</f>
        <v>小丘镇, 耀州区, 铜川市, 陕西省</v>
      </c>
      <c r="G1206">
        <v>27467</v>
      </c>
      <c r="H1206" t="s">
        <v>3083</v>
      </c>
      <c r="I1206" t="s">
        <v>3081</v>
      </c>
      <c r="J1206">
        <f>VLOOKUP(F1206,[1]!china_towns_second__2[[Column1]:[Y]],3,FALSE)</f>
        <v>34.9059061811029</v>
      </c>
      <c r="K1206">
        <f>VLOOKUP(F1206,[1]!china_towns_second__2[[Column1]:[Y]],2,FALSE)</f>
        <v>108.7566271</v>
      </c>
      <c r="L1206" t="s">
        <v>5325</v>
      </c>
      <c r="M1206" t="str">
        <f>VLOOKUP(H1206,CHOOSE({1,2},Table11[Native],Table11[Name]),2,0)</f>
        <v>Yàozhōu Qū</v>
      </c>
      <c r="N1206" s="13" t="str">
        <f>VLOOKUP(I1206,CHOOSE({1,2},Table11[Native],Table11[Name]),2,0)</f>
        <v>Tóngchuān Shì</v>
      </c>
      <c r="O1206" s="13" t="str">
        <f t="shared" si="74"/>
        <v>Xiaoqiu Zhen (Tóngchuān Shì)</v>
      </c>
      <c r="P1206" s="13" t="str">
        <f t="shared" si="75"/>
        <v>Xiaoqiu Zhen (Tóngchuān Shì)</v>
      </c>
    </row>
    <row r="1207" spans="1:16" hidden="1" x14ac:dyDescent="0.25">
      <c r="A1207" t="s">
        <v>951</v>
      </c>
      <c r="B1207" t="str">
        <f t="shared" si="72"/>
        <v>Xiăoyáng Zhèn</v>
      </c>
      <c r="C1207" t="str">
        <f t="shared" si="73"/>
        <v>Xiăoyáng Zhèn</v>
      </c>
      <c r="D1207" t="s">
        <v>952</v>
      </c>
      <c r="E1207" t="s">
        <v>7</v>
      </c>
      <c r="F1207" t="str">
        <f>_xlfn.CONCAT(D1207,", ",H1207,", ",I1207,", ","陕西省")</f>
        <v>小洋镇, 镇巴县, 汉中市, 陕西省</v>
      </c>
      <c r="G1207">
        <v>9231</v>
      </c>
      <c r="H1207" t="s">
        <v>3070</v>
      </c>
      <c r="I1207" t="s">
        <v>3059</v>
      </c>
      <c r="J1207">
        <f>VLOOKUP(F1207,[1]!china_towns_second__2[[Column1]:[Y]],3,FALSE)</f>
        <v>32.446664961353399</v>
      </c>
      <c r="K1207">
        <f>VLOOKUP(F1207,[1]!china_towns_second__2[[Column1]:[Y]],2,FALSE)</f>
        <v>107.9984649</v>
      </c>
      <c r="L1207" t="s">
        <v>5326</v>
      </c>
      <c r="M1207" t="str">
        <f>VLOOKUP(H1207,CHOOSE({1,2},Table11[Native],Table11[Name]),2,0)</f>
        <v>Zhènbā Xiàn</v>
      </c>
      <c r="N1207" s="13" t="str">
        <f>VLOOKUP(I1207,CHOOSE({1,2},Table11[Native],Table11[Name]),2,0)</f>
        <v>Hànzhōng Shì</v>
      </c>
      <c r="O1207" s="13" t="str">
        <f t="shared" si="74"/>
        <v>Xiaoyang Zhen (Hànzhōng Shì)</v>
      </c>
      <c r="P1207" s="13" t="str">
        <f t="shared" si="75"/>
        <v>Xiaoyang Zhen (Hànzhōng Shì)</v>
      </c>
    </row>
    <row r="1208" spans="1:16" hidden="1" x14ac:dyDescent="0.25">
      <c r="A1208" t="s">
        <v>1240</v>
      </c>
      <c r="B1208" t="str">
        <f t="shared" si="72"/>
        <v>Xiàoyì Zhèn (Shāngluò Shì)</v>
      </c>
      <c r="C1208" t="str">
        <f t="shared" si="73"/>
        <v>Xiàoyì Zhèn (Shāngluò Shì)</v>
      </c>
      <c r="D1208" t="s">
        <v>1241</v>
      </c>
      <c r="E1208" t="s">
        <v>7</v>
      </c>
      <c r="F1208" t="str">
        <f>_xlfn.CONCAT(D1208,", ",H1208,", ",I1208,", ","陕西省")</f>
        <v>孝义镇, 商州区, 商洛市, 陕西省</v>
      </c>
      <c r="G1208">
        <v>13754</v>
      </c>
      <c r="H1208" t="s">
        <v>3076</v>
      </c>
      <c r="I1208" t="s">
        <v>3072</v>
      </c>
      <c r="J1208">
        <f>VLOOKUP(F1208,[1]!china_towns_second__2[[Column1]:[Y]],3,FALSE)</f>
        <v>33.738888500000002</v>
      </c>
      <c r="K1208">
        <f>VLOOKUP(F1208,[1]!china_towns_second__2[[Column1]:[Y]],2,FALSE)</f>
        <v>110.1540806</v>
      </c>
      <c r="L1208" t="s">
        <v>5327</v>
      </c>
      <c r="M1208" t="str">
        <f>VLOOKUP(H1208,CHOOSE({1,2},Table11[Native],Table11[Name]),2,0)</f>
        <v>Shāngzhōu Qū</v>
      </c>
      <c r="N1208" s="13" t="str">
        <f>VLOOKUP(I1208,CHOOSE({1,2},Table11[Native],Table11[Name]),2,0)</f>
        <v>Shāngluò Shì</v>
      </c>
      <c r="O1208" s="13" t="str">
        <f t="shared" si="74"/>
        <v>Xiaoyi Zhen (Shangluo Shi) (Shāngluò Shì)</v>
      </c>
      <c r="P1208" s="13" t="str">
        <f t="shared" si="75"/>
        <v>Xiaoyi Zhen (Shangluo Shi) (Shāngluò Shì)</v>
      </c>
    </row>
    <row r="1209" spans="1:16" hidden="1" x14ac:dyDescent="0.25">
      <c r="A1209" t="s">
        <v>1240</v>
      </c>
      <c r="B1209" t="str">
        <f t="shared" si="72"/>
        <v>Xiàoyì Zhèn (Wèinán Shì)</v>
      </c>
      <c r="C1209" t="str">
        <f t="shared" si="73"/>
        <v>Xiàoyì Zhèn (Wèinán Shì)</v>
      </c>
      <c r="D1209" t="s">
        <v>1241</v>
      </c>
      <c r="E1209" t="s">
        <v>7</v>
      </c>
      <c r="F1209" t="str">
        <f>_xlfn.CONCAT(D1209,", ",H1209,", ",I1209,", ","陕西省")</f>
        <v>孝义镇, 临渭区, 渭南市, 陕西省</v>
      </c>
      <c r="G1209">
        <v>21423</v>
      </c>
      <c r="H1209" t="s">
        <v>3097</v>
      </c>
      <c r="I1209" t="s">
        <v>3087</v>
      </c>
      <c r="J1209">
        <f>VLOOKUP(F1209,[1]!china_towns_second__2[[Column1]:[Y]],3,FALSE)</f>
        <v>34.611374942281998</v>
      </c>
      <c r="K1209">
        <f>VLOOKUP(F1209,[1]!china_towns_second__2[[Column1]:[Y]],2,FALSE)</f>
        <v>109.6732794</v>
      </c>
      <c r="L1209" t="s">
        <v>5328</v>
      </c>
      <c r="M1209" t="str">
        <f>VLOOKUP(H1209,CHOOSE({1,2},Table11[Native],Table11[Name]),2,0)</f>
        <v>Línwèi Qū</v>
      </c>
      <c r="N1209" s="13" t="str">
        <f>VLOOKUP(I1209,CHOOSE({1,2},Table11[Native],Table11[Name]),2,0)</f>
        <v>Wèinán Shì</v>
      </c>
      <c r="O1209" s="13" t="str">
        <f t="shared" si="74"/>
        <v>Xiaoyi Zhen (Weinan Shi) (Wèinán Shì)</v>
      </c>
      <c r="P1209" s="13" t="str">
        <f t="shared" si="75"/>
        <v>Xiaoyi Zhen (Weinan Shi) (Wèinán Shì)</v>
      </c>
    </row>
    <row r="1210" spans="1:16" hidden="1" x14ac:dyDescent="0.25">
      <c r="A1210" t="s">
        <v>2247</v>
      </c>
      <c r="B1210" t="str">
        <f t="shared" si="72"/>
        <v>Xiăozhài Zhèn</v>
      </c>
      <c r="C1210" t="str">
        <f t="shared" si="73"/>
        <v>Xiăozhài Zhèn</v>
      </c>
      <c r="D1210" t="s">
        <v>2248</v>
      </c>
      <c r="E1210" t="s">
        <v>7</v>
      </c>
      <c r="F1210" t="str">
        <f>_xlfn.CONCAT(D1210,", ",H1210,", ",I1210,", ","陕西省")</f>
        <v>小寨镇, 蓝田县, 西安市, 陕西省</v>
      </c>
      <c r="G1210">
        <v>18249</v>
      </c>
      <c r="H1210" t="s">
        <v>3108</v>
      </c>
      <c r="I1210" t="s">
        <v>3102</v>
      </c>
      <c r="J1210">
        <f>VLOOKUP(F1210,[1]!china_towns_second__2[[Column1]:[Y]],3,FALSE)</f>
        <v>34.001145020683197</v>
      </c>
      <c r="K1210">
        <f>VLOOKUP(F1210,[1]!china_towns_second__2[[Column1]:[Y]],2,FALSE)</f>
        <v>109.2994992</v>
      </c>
      <c r="L1210" t="s">
        <v>5329</v>
      </c>
      <c r="M1210" t="str">
        <f>VLOOKUP(H1210,CHOOSE({1,2},Table11[Native],Table11[Name]),2,0)</f>
        <v>Lántián Xiàn</v>
      </c>
      <c r="N1210" s="13" t="str">
        <f>VLOOKUP(I1210,CHOOSE({1,2},Table11[Native],Table11[Name]),2,0)</f>
        <v>Xī'ān Shì</v>
      </c>
      <c r="O1210" s="13" t="str">
        <f t="shared" si="74"/>
        <v>Xiaozhai Zhen (Xī'ān Shì)</v>
      </c>
      <c r="P1210" s="13" t="str">
        <f t="shared" si="75"/>
        <v>Xiaozhai Zhen (Xī'ān Shì)</v>
      </c>
    </row>
    <row r="1211" spans="1:16" hidden="1" x14ac:dyDescent="0.25">
      <c r="A1211" t="s">
        <v>2245</v>
      </c>
      <c r="B1211" t="str">
        <f t="shared" si="72"/>
        <v>Xiăozhàilù Jiēdào</v>
      </c>
      <c r="C1211" t="str">
        <f t="shared" si="73"/>
        <v>Xiăozhàilù Jiēdào</v>
      </c>
      <c r="D1211" t="s">
        <v>2246</v>
      </c>
      <c r="E1211" t="s">
        <v>113</v>
      </c>
      <c r="F1211" t="str">
        <f>_xlfn.CONCAT(D1211,", ",H1211,", ",I1211,", ","陕西省")</f>
        <v>小寨路街道, 雁塔区, 西安市, 陕西省</v>
      </c>
      <c r="G1211">
        <v>162675</v>
      </c>
      <c r="H1211" t="s">
        <v>3114</v>
      </c>
      <c r="I1211" t="s">
        <v>3102</v>
      </c>
      <c r="J1211">
        <f>VLOOKUP(F1211,[1]!china_towns_second__2[[Column1]:[Y]],3,FALSE)</f>
        <v>34.223754177615902</v>
      </c>
      <c r="K1211">
        <f>VLOOKUP(F1211,[1]!china_towns_second__2[[Column1]:[Y]],2,FALSE)</f>
        <v>108.9356602</v>
      </c>
      <c r="L1211" t="s">
        <v>5330</v>
      </c>
      <c r="M1211" t="str">
        <f>VLOOKUP(H1211,CHOOSE({1,2},Table11[Native],Table11[Name]),2,0)</f>
        <v>Yàntă Qū</v>
      </c>
      <c r="N1211" s="13" t="str">
        <f>VLOOKUP(I1211,CHOOSE({1,2},Table11[Native],Table11[Name]),2,0)</f>
        <v>Xī'ān Shì</v>
      </c>
      <c r="O1211" s="13" t="str">
        <f t="shared" si="74"/>
        <v>Xiaozhailu Jiedao (Xī'ān Shì)</v>
      </c>
      <c r="P1211" s="13" t="str">
        <f t="shared" si="75"/>
        <v>Xiaozhailu Jiedao (Xī'ān Shì)</v>
      </c>
    </row>
    <row r="1212" spans="1:16" hidden="1" x14ac:dyDescent="0.25">
      <c r="A1212" t="s">
        <v>579</v>
      </c>
      <c r="B1212" t="str">
        <f t="shared" si="72"/>
        <v>Xiáshí Zhèn</v>
      </c>
      <c r="C1212" t="str">
        <f t="shared" si="73"/>
        <v>Xiáshí Zhèn</v>
      </c>
      <c r="D1212" t="s">
        <v>580</v>
      </c>
      <c r="E1212" t="s">
        <v>7</v>
      </c>
      <c r="F1212" t="str">
        <f>_xlfn.CONCAT(D1212,", ",H1212,", ",I1212,", ","陕西省")</f>
        <v>硖石镇, 金台区, 宝鸡市, 陕西省</v>
      </c>
      <c r="G1212">
        <v>16745</v>
      </c>
      <c r="H1212" t="s">
        <v>3050</v>
      </c>
      <c r="I1212" t="s">
        <v>3045</v>
      </c>
      <c r="J1212">
        <f>VLOOKUP(F1212,[1]!china_towns_second__2[[Column1]:[Y]],3,FALSE)</f>
        <v>34.465760309929799</v>
      </c>
      <c r="K1212">
        <f>VLOOKUP(F1212,[1]!china_towns_second__2[[Column1]:[Y]],2,FALSE)</f>
        <v>107.00632640000001</v>
      </c>
      <c r="L1212" t="s">
        <v>5331</v>
      </c>
      <c r="M1212" t="str">
        <f>VLOOKUP(H1212,CHOOSE({1,2},Table11[Native],Table11[Name]),2,0)</f>
        <v>Jīntái Qū</v>
      </c>
      <c r="N1212" s="13" t="str">
        <f>VLOOKUP(I1212,CHOOSE({1,2},Table11[Native],Table11[Name]),2,0)</f>
        <v>Băojī Shì</v>
      </c>
      <c r="O1212" s="13" t="str">
        <f t="shared" si="74"/>
        <v>Xiashi Zhen (Băojī Shì)</v>
      </c>
      <c r="P1212" s="13" t="str">
        <f t="shared" si="75"/>
        <v>Xiashi Zhen (Băojī Shì)</v>
      </c>
    </row>
    <row r="1213" spans="1:16" hidden="1" x14ac:dyDescent="0.25">
      <c r="A1213" t="s">
        <v>2552</v>
      </c>
      <c r="B1213" t="str">
        <f t="shared" si="72"/>
        <v>Xiàsìwān Zhèn</v>
      </c>
      <c r="C1213" t="str">
        <f t="shared" si="73"/>
        <v>Xiàsìwān Zhèn</v>
      </c>
      <c r="D1213" t="s">
        <v>2553</v>
      </c>
      <c r="E1213" t="s">
        <v>7</v>
      </c>
      <c r="F1213" t="str">
        <f>_xlfn.CONCAT(D1213,", ",H1213,", ",I1213,", ","陕西省")</f>
        <v>下寺湾镇, 甘泉县, 延安市, 陕西省</v>
      </c>
      <c r="G1213">
        <v>10751</v>
      </c>
      <c r="H1213" t="s">
        <v>3137</v>
      </c>
      <c r="I1213" t="s">
        <v>3133</v>
      </c>
      <c r="J1213">
        <f>VLOOKUP(F1213,[1]!china_towns_second__2[[Column1]:[Y]],3,FALSE)</f>
        <v>36.465553251508801</v>
      </c>
      <c r="K1213">
        <f>VLOOKUP(F1213,[1]!china_towns_second__2[[Column1]:[Y]],2,FALSE)</f>
        <v>109.0320177</v>
      </c>
      <c r="L1213" t="s">
        <v>5332</v>
      </c>
      <c r="M1213" t="str">
        <f>VLOOKUP(H1213,CHOOSE({1,2},Table11[Native],Table11[Name]),2,0)</f>
        <v>Gānquán Xiàn</v>
      </c>
      <c r="N1213" s="13" t="str">
        <f>VLOOKUP(I1213,CHOOSE({1,2},Table11[Native],Table11[Name]),2,0)</f>
        <v>Yán'ān Shì</v>
      </c>
      <c r="O1213" s="13" t="str">
        <f t="shared" si="74"/>
        <v>Xiasiwan Zhen (Yán'ān Shì)</v>
      </c>
      <c r="P1213" s="13" t="str">
        <f t="shared" si="75"/>
        <v>Xiasiwan Zhen (Yán'ān Shì)</v>
      </c>
    </row>
    <row r="1214" spans="1:16" hidden="1" x14ac:dyDescent="0.25">
      <c r="A1214" t="s">
        <v>1646</v>
      </c>
      <c r="B1214" t="str">
        <f t="shared" si="72"/>
        <v>Xiàzhài Zhèn</v>
      </c>
      <c r="C1214" t="str">
        <f t="shared" si="73"/>
        <v>Xiàzhài Zhèn</v>
      </c>
      <c r="D1214" t="s">
        <v>1647</v>
      </c>
      <c r="E1214" t="s">
        <v>7</v>
      </c>
      <c r="F1214" t="str">
        <f>_xlfn.CONCAT(D1214,", ",H1214,", ",I1214,", ","陕西省")</f>
        <v>下寨镇, 大荔县, 渭南市, 陕西省</v>
      </c>
      <c r="G1214">
        <v>17231</v>
      </c>
      <c r="H1214" t="s">
        <v>3090</v>
      </c>
      <c r="I1214" t="s">
        <v>3087</v>
      </c>
      <c r="J1214">
        <f>VLOOKUP(F1214,[1]!china_towns_second__2[[Column1]:[Y]],3,FALSE)</f>
        <v>34.655828666346103</v>
      </c>
      <c r="K1214">
        <f>VLOOKUP(F1214,[1]!china_towns_second__2[[Column1]:[Y]],2,FALSE)</f>
        <v>109.75888430000001</v>
      </c>
      <c r="L1214" t="s">
        <v>5333</v>
      </c>
      <c r="M1214" t="str">
        <f>VLOOKUP(H1214,CHOOSE({1,2},Table11[Native],Table11[Name]),2,0)</f>
        <v>Dàlì Xiàn</v>
      </c>
      <c r="N1214" s="13" t="str">
        <f>VLOOKUP(I1214,CHOOSE({1,2},Table11[Native],Table11[Name]),2,0)</f>
        <v>Wèinán Shì</v>
      </c>
      <c r="O1214" s="13" t="str">
        <f t="shared" si="74"/>
        <v>Xiazhai Zhen (Wèinán Shì)</v>
      </c>
      <c r="P1214" s="13" t="str">
        <f t="shared" si="75"/>
        <v>Xiazhai Zhen (Wèinán Shì)</v>
      </c>
    </row>
    <row r="1215" spans="1:16" hidden="1" x14ac:dyDescent="0.25">
      <c r="A1215" t="s">
        <v>953</v>
      </c>
      <c r="B1215" t="str">
        <f t="shared" si="72"/>
        <v>Xīchàhé Zhèn</v>
      </c>
      <c r="C1215" t="str">
        <f t="shared" si="73"/>
        <v>Xīchàhé Zhèn</v>
      </c>
      <c r="D1215" t="s">
        <v>954</v>
      </c>
      <c r="E1215" t="s">
        <v>7</v>
      </c>
      <c r="F1215" t="str">
        <f>_xlfn.CONCAT(D1215,", ",H1215,", ",I1215,", ","陕西省")</f>
        <v>西岔河镇, 佛坪县, 汉中市, 陕西省</v>
      </c>
      <c r="G1215">
        <v>3266</v>
      </c>
      <c r="H1215" t="s">
        <v>3061</v>
      </c>
      <c r="I1215" t="s">
        <v>3059</v>
      </c>
      <c r="J1215">
        <f>VLOOKUP(F1215,[1]!china_towns_second__2[[Column1]:[Y]],3,FALSE)</f>
        <v>33.436025726982599</v>
      </c>
      <c r="K1215">
        <f>VLOOKUP(F1215,[1]!china_towns_second__2[[Column1]:[Y]],2,FALSE)</f>
        <v>107.96506429999999</v>
      </c>
      <c r="L1215" t="s">
        <v>5334</v>
      </c>
      <c r="M1215" t="str">
        <f>VLOOKUP(H1215,CHOOSE({1,2},Table11[Native],Table11[Name]),2,0)</f>
        <v>Fópíng Xiàn</v>
      </c>
      <c r="N1215" s="13" t="str">
        <f>VLOOKUP(I1215,CHOOSE({1,2},Table11[Native],Table11[Name]),2,0)</f>
        <v>Hànzhōng Shì</v>
      </c>
      <c r="O1215" s="13" t="str">
        <f t="shared" si="74"/>
        <v>Xichahe Zhen (Hànzhōng Shì)</v>
      </c>
      <c r="P1215" s="13" t="str">
        <f t="shared" si="75"/>
        <v>Xichahe Zhen (Hànzhōng Shì)</v>
      </c>
    </row>
    <row r="1216" spans="1:16" hidden="1" x14ac:dyDescent="0.25">
      <c r="A1216" t="s">
        <v>1898</v>
      </c>
      <c r="B1216" t="str">
        <f t="shared" si="72"/>
        <v>Xīchéng Jiēdào</v>
      </c>
      <c r="C1216" t="str">
        <f t="shared" si="73"/>
        <v>Xīchéng Jiēdào</v>
      </c>
      <c r="D1216" t="s">
        <v>1661</v>
      </c>
      <c r="E1216" t="s">
        <v>113</v>
      </c>
      <c r="F1216" t="str">
        <f>_xlfn.CONCAT(D1216,", ",H1216,", ",I1216,", ","陕西省")</f>
        <v>西城街道, 兴平市, 咸阳市, 陕西省</v>
      </c>
      <c r="G1216">
        <v>91816</v>
      </c>
      <c r="H1216" t="s">
        <v>3128</v>
      </c>
      <c r="I1216" t="s">
        <v>3117</v>
      </c>
      <c r="J1216">
        <f>VLOOKUP(F1216,[1]!china_towns_second__2[[Column1]:[Y]],3,FALSE)</f>
        <v>34.3011269141507</v>
      </c>
      <c r="K1216">
        <f>VLOOKUP(F1216,[1]!china_towns_second__2[[Column1]:[Y]],2,FALSE)</f>
        <v>108.435378</v>
      </c>
      <c r="L1216" t="s">
        <v>5335</v>
      </c>
      <c r="M1216" t="str">
        <f>VLOOKUP(H1216,CHOOSE({1,2},Table11[Native],Table11[Name]),2,0)</f>
        <v>Xīngpíng Shì</v>
      </c>
      <c r="N1216" s="13" t="str">
        <f>VLOOKUP(I1216,CHOOSE({1,2},Table11[Native],Table11[Name]),2,0)</f>
        <v>Xiányáng Shì</v>
      </c>
      <c r="O1216" s="13" t="str">
        <f t="shared" si="74"/>
        <v>Xicheng Jiedao (Xiányáng Shì)</v>
      </c>
      <c r="P1216" s="13" t="str">
        <f t="shared" si="75"/>
        <v>Xicheng Jiedao (Xiányáng Shì)</v>
      </c>
    </row>
    <row r="1217" spans="1:16" hidden="1" x14ac:dyDescent="0.25">
      <c r="A1217" t="s">
        <v>955</v>
      </c>
      <c r="B1217" t="str">
        <f t="shared" si="72"/>
        <v>Xiècūn Zhèn</v>
      </c>
      <c r="C1217" t="str">
        <f t="shared" si="73"/>
        <v>Xiècūn Zhèn</v>
      </c>
      <c r="D1217" t="s">
        <v>956</v>
      </c>
      <c r="E1217" t="s">
        <v>7</v>
      </c>
      <c r="F1217" t="str">
        <f>_xlfn.CONCAT(D1217,", ",H1217,", ",I1217,", ","陕西省")</f>
        <v>谢村镇, 洋县, 汉中市, 陕西省</v>
      </c>
      <c r="G1217">
        <v>38466</v>
      </c>
      <c r="H1217" t="s">
        <v>3069</v>
      </c>
      <c r="I1217" t="s">
        <v>3059</v>
      </c>
      <c r="J1217">
        <f>VLOOKUP(F1217,[1]!china_towns_second__2[[Column1]:[Y]],3,FALSE)</f>
        <v>33.201887785022002</v>
      </c>
      <c r="K1217">
        <f>VLOOKUP(F1217,[1]!china_towns_second__2[[Column1]:[Y]],2,FALSE)</f>
        <v>107.4201619</v>
      </c>
      <c r="L1217" t="s">
        <v>5336</v>
      </c>
      <c r="M1217" t="str">
        <f>VLOOKUP(H1217,CHOOSE({1,2},Table11[Native],Table11[Name]),2,0)</f>
        <v>Yáng Xiàn</v>
      </c>
      <c r="N1217" s="13" t="str">
        <f>VLOOKUP(I1217,CHOOSE({1,2},Table11[Native],Table11[Name]),2,0)</f>
        <v>Hànzhōng Shì</v>
      </c>
      <c r="O1217" s="13" t="str">
        <f t="shared" si="74"/>
        <v>Xiecun Zhen (Hànzhōng Shì)</v>
      </c>
      <c r="P1217" s="13" t="str">
        <f t="shared" si="75"/>
        <v>Xiecun Zhen (Hànzhōng Shì)</v>
      </c>
    </row>
    <row r="1218" spans="1:16" hidden="1" x14ac:dyDescent="0.25">
      <c r="A1218" t="s">
        <v>2249</v>
      </c>
      <c r="B1218" t="str">
        <f t="shared" ref="B1218:B1281" si="76">IF(COUNTIF(A:A,A1218)&gt;1,_xlfn.CONCAT(A1218," (",N1218,")"),A1218)</f>
        <v>Xièhú Zhèn</v>
      </c>
      <c r="C1218" t="str">
        <f t="shared" ref="C1218:C1281" si="77">IF(COUNTIF(B:B,B1218)&gt;1,_xlfn.CONCAT(A1218," (",M1218,")"),B1218)</f>
        <v>Xièhú Zhèn</v>
      </c>
      <c r="D1218" t="s">
        <v>2250</v>
      </c>
      <c r="E1218" t="s">
        <v>7</v>
      </c>
      <c r="F1218" t="str">
        <f>_xlfn.CONCAT(D1218,", ",H1218,", ",I1218,", ","陕西省")</f>
        <v>泄湖镇, 蓝田县, 西安市, 陕西省</v>
      </c>
      <c r="G1218">
        <v>33681</v>
      </c>
      <c r="H1218" t="s">
        <v>3108</v>
      </c>
      <c r="I1218" t="s">
        <v>3102</v>
      </c>
      <c r="J1218">
        <f>VLOOKUP(F1218,[1]!china_towns_second__2[[Column1]:[Y]],3,FALSE)</f>
        <v>34.204174999999999</v>
      </c>
      <c r="K1218">
        <f>VLOOKUP(F1218,[1]!china_towns_second__2[[Column1]:[Y]],2,FALSE)</f>
        <v>109.245608</v>
      </c>
      <c r="L1218" t="s">
        <v>5337</v>
      </c>
      <c r="M1218" t="str">
        <f>VLOOKUP(H1218,CHOOSE({1,2},Table11[Native],Table11[Name]),2,0)</f>
        <v>Lántián Xiàn</v>
      </c>
      <c r="N1218" s="13" t="str">
        <f>VLOOKUP(I1218,CHOOSE({1,2},Table11[Native],Table11[Name]),2,0)</f>
        <v>Xī'ān Shì</v>
      </c>
      <c r="O1218" s="13" t="str">
        <f t="shared" ref="O1218:O1281" si="78">_xlfn.CONCAT(L1218," (",N1218,")")</f>
        <v>Xiehu Zhen (Xī'ān Shì)</v>
      </c>
      <c r="P1218" s="13" t="str">
        <f t="shared" ref="P1218:P1281" si="79">IF(COUNTIF(O:O,O1218)&gt;1,_xlfn.CONCAT(L1218," (",M1218,")"),O1218)</f>
        <v>Xiehu Zhen (Xī'ān Shì)</v>
      </c>
    </row>
    <row r="1219" spans="1:16" hidden="1" x14ac:dyDescent="0.25">
      <c r="A1219" t="s">
        <v>2251</v>
      </c>
      <c r="B1219" t="str">
        <f t="shared" si="76"/>
        <v>Xiékŏu Jiēdào</v>
      </c>
      <c r="C1219" t="str">
        <f t="shared" si="77"/>
        <v>Xiékŏu Jiēdào</v>
      </c>
      <c r="D1219" t="s">
        <v>2252</v>
      </c>
      <c r="E1219" t="s">
        <v>113</v>
      </c>
      <c r="F1219" t="str">
        <f>_xlfn.CONCAT(D1219,", ",H1219,", ",I1219,", ","陕西省")</f>
        <v>斜口街道, 临潼区, 西安市, 陕西省</v>
      </c>
      <c r="G1219">
        <v>64266</v>
      </c>
      <c r="H1219" t="s">
        <v>3110</v>
      </c>
      <c r="I1219" t="s">
        <v>3102</v>
      </c>
      <c r="J1219">
        <f>VLOOKUP(F1219,[1]!china_towns_second__2[[Column1]:[Y]],3,FALSE)</f>
        <v>34.344178387594397</v>
      </c>
      <c r="K1219">
        <f>VLOOKUP(F1219,[1]!china_towns_second__2[[Column1]:[Y]],2,FALSE)</f>
        <v>109.1609538</v>
      </c>
      <c r="L1219" t="s">
        <v>5338</v>
      </c>
      <c r="M1219" t="str">
        <f>VLOOKUP(H1219,CHOOSE({1,2},Table11[Native],Table11[Name]),2,0)</f>
        <v>Líntóng Qū</v>
      </c>
      <c r="N1219" s="13" t="str">
        <f>VLOOKUP(I1219,CHOOSE({1,2},Table11[Native],Table11[Name]),2,0)</f>
        <v>Xī'ān Shì</v>
      </c>
      <c r="O1219" s="13" t="str">
        <f t="shared" si="78"/>
        <v>Xiekou Jiedao (Xī'ān Shì)</v>
      </c>
      <c r="P1219" s="13" t="str">
        <f t="shared" si="79"/>
        <v>Xiekou Jiedao (Xī'ān Shì)</v>
      </c>
    </row>
    <row r="1220" spans="1:16" hidden="1" x14ac:dyDescent="0.25">
      <c r="A1220" t="s">
        <v>957</v>
      </c>
      <c r="B1220" t="str">
        <f t="shared" si="76"/>
        <v>Xiēmă Xiāng</v>
      </c>
      <c r="C1220" t="str">
        <f t="shared" si="77"/>
        <v>Xiēmă Xiāng</v>
      </c>
      <c r="D1220" t="s">
        <v>958</v>
      </c>
      <c r="E1220" t="s">
        <v>11</v>
      </c>
      <c r="F1220" t="str">
        <f>_xlfn.CONCAT(D1220,", ",H1220,", ",I1220,", ","陕西省")</f>
        <v>歇马乡, 南郑区, 汉中市, 陕西省</v>
      </c>
      <c r="G1220">
        <v>6654</v>
      </c>
      <c r="H1220" t="s">
        <v>3066</v>
      </c>
      <c r="I1220" t="s">
        <v>3059</v>
      </c>
      <c r="J1220" t="e">
        <f>VLOOKUP(F1220,[1]!china_towns_second__2[[Column1]:[Y]],3,FALSE)</f>
        <v>#N/A</v>
      </c>
      <c r="K1220" t="e">
        <f>VLOOKUP(F1220,[1]!china_towns_second__2[[Column1]:[Y]],2,FALSE)</f>
        <v>#N/A</v>
      </c>
      <c r="L1220" t="s">
        <v>5339</v>
      </c>
      <c r="M1220" t="str">
        <f>VLOOKUP(H1220,CHOOSE({1,2},Table11[Native],Table11[Name]),2,0)</f>
        <v>Nánzhèng Qū</v>
      </c>
      <c r="N1220" s="13" t="str">
        <f>VLOOKUP(I1220,CHOOSE({1,2},Table11[Native],Table11[Name]),2,0)</f>
        <v>Hànzhōng Shì</v>
      </c>
      <c r="O1220" s="13" t="str">
        <f t="shared" si="78"/>
        <v>Xiema Xiang (Hànzhōng Shì)</v>
      </c>
      <c r="P1220" s="13" t="str">
        <f t="shared" si="79"/>
        <v>Xiema Xiang (Hànzhōng Shì)</v>
      </c>
    </row>
    <row r="1221" spans="1:16" hidden="1" x14ac:dyDescent="0.25">
      <c r="A1221" t="s">
        <v>959</v>
      </c>
      <c r="B1221" t="str">
        <f t="shared" si="76"/>
        <v>Xiéshuì Zhèn</v>
      </c>
      <c r="C1221" t="str">
        <f t="shared" si="77"/>
        <v>Xiéshuì Zhèn</v>
      </c>
      <c r="D1221" t="s">
        <v>960</v>
      </c>
      <c r="E1221" t="s">
        <v>7</v>
      </c>
      <c r="F1221" t="str">
        <f>_xlfn.CONCAT(D1221,", ",H1221,", ",I1221,", ","陕西省")</f>
        <v>协税镇, 南郑区, 汉中市, 陕西省</v>
      </c>
      <c r="G1221">
        <v>16676</v>
      </c>
      <c r="H1221" t="s">
        <v>3066</v>
      </c>
      <c r="I1221" t="s">
        <v>3059</v>
      </c>
      <c r="J1221">
        <f>VLOOKUP(F1221,[1]!china_towns_second__2[[Column1]:[Y]],3,FALSE)</f>
        <v>32.992310409603597</v>
      </c>
      <c r="K1221">
        <f>VLOOKUP(F1221,[1]!china_towns_second__2[[Column1]:[Y]],2,FALSE)</f>
        <v>106.88484440000001</v>
      </c>
      <c r="L1221" t="s">
        <v>5340</v>
      </c>
      <c r="M1221" t="str">
        <f>VLOOKUP(H1221,CHOOSE({1,2},Table11[Native],Table11[Name]),2,0)</f>
        <v>Nánzhèng Qū</v>
      </c>
      <c r="N1221" s="13" t="str">
        <f>VLOOKUP(I1221,CHOOSE({1,2},Table11[Native],Table11[Name]),2,0)</f>
        <v>Hànzhōng Shì</v>
      </c>
      <c r="O1221" s="13" t="str">
        <f t="shared" si="78"/>
        <v>Xieshui Zhen (Hànzhōng Shì)</v>
      </c>
      <c r="P1221" s="13" t="str">
        <f t="shared" si="79"/>
        <v>Xieshui Zhen (Hànzhōng Shì)</v>
      </c>
    </row>
    <row r="1222" spans="1:16" hidden="1" x14ac:dyDescent="0.25">
      <c r="A1222" t="s">
        <v>1242</v>
      </c>
      <c r="B1222" t="str">
        <f t="shared" si="76"/>
        <v>Xīgōu Xiāng</v>
      </c>
      <c r="C1222" t="str">
        <f t="shared" si="77"/>
        <v>Xīgōu Xiāng</v>
      </c>
      <c r="D1222" t="s">
        <v>1243</v>
      </c>
      <c r="E1222" t="s">
        <v>11</v>
      </c>
      <c r="F1222" t="str">
        <f>_xlfn.CONCAT(D1222,", ",H1222,", ",I1222,", ","陕西省")</f>
        <v>西沟乡, 镇安县, 商洛市, 陕西省</v>
      </c>
      <c r="G1222">
        <v>2446</v>
      </c>
      <c r="H1222" t="s">
        <v>3079</v>
      </c>
      <c r="I1222" t="s">
        <v>3072</v>
      </c>
      <c r="J1222" t="e">
        <f>VLOOKUP(F1222,[1]!china_towns_second__2[[Column1]:[Y]],3,FALSE)</f>
        <v>#N/A</v>
      </c>
      <c r="K1222" t="e">
        <f>VLOOKUP(F1222,[1]!china_towns_second__2[[Column1]:[Y]],2,FALSE)</f>
        <v>#N/A</v>
      </c>
      <c r="L1222" t="s">
        <v>5341</v>
      </c>
      <c r="M1222" t="str">
        <f>VLOOKUP(H1222,CHOOSE({1,2},Table11[Native],Table11[Name]),2,0)</f>
        <v>Zhèn'ān Xiàn</v>
      </c>
      <c r="N1222" s="13" t="str">
        <f>VLOOKUP(I1222,CHOOSE({1,2},Table11[Native],Table11[Name]),2,0)</f>
        <v>Shāngluò Shì</v>
      </c>
      <c r="O1222" s="13" t="str">
        <f t="shared" si="78"/>
        <v>Xigou Xiang (Shāngluò Shì)</v>
      </c>
      <c r="P1222" s="13" t="str">
        <f t="shared" si="79"/>
        <v>Xigou Xiang (Shāngluò Shì)</v>
      </c>
    </row>
    <row r="1223" spans="1:16" hidden="1" x14ac:dyDescent="0.25">
      <c r="A1223" t="s">
        <v>1648</v>
      </c>
      <c r="B1223" t="str">
        <f t="shared" si="76"/>
        <v>Xīgù Zhèn</v>
      </c>
      <c r="C1223" t="str">
        <f t="shared" si="77"/>
        <v>Xīgù Zhèn</v>
      </c>
      <c r="D1223" t="s">
        <v>1649</v>
      </c>
      <c r="E1223" t="s">
        <v>7</v>
      </c>
      <c r="F1223" t="str">
        <f>_xlfn.CONCAT(D1223,", ",H1223,", ",I1223,", ","陕西省")</f>
        <v>西固镇, 白水县, 渭南市, 陕西省</v>
      </c>
      <c r="G1223">
        <v>16725</v>
      </c>
      <c r="H1223" t="s">
        <v>3088</v>
      </c>
      <c r="I1223" t="s">
        <v>3087</v>
      </c>
      <c r="J1223">
        <f>VLOOKUP(F1223,[1]!china_towns_second__2[[Column1]:[Y]],3,FALSE)</f>
        <v>35.152627681338799</v>
      </c>
      <c r="K1223">
        <f>VLOOKUP(F1223,[1]!china_towns_second__2[[Column1]:[Y]],2,FALSE)</f>
        <v>109.71535780000001</v>
      </c>
      <c r="L1223" t="s">
        <v>5342</v>
      </c>
      <c r="M1223" t="str">
        <f>VLOOKUP(H1223,CHOOSE({1,2},Table11[Native],Table11[Name]),2,0)</f>
        <v>Báishuĭ Xiàn</v>
      </c>
      <c r="N1223" s="13" t="str">
        <f>VLOOKUP(I1223,CHOOSE({1,2},Table11[Native],Table11[Name]),2,0)</f>
        <v>Wèinán Shì</v>
      </c>
      <c r="O1223" s="13" t="str">
        <f t="shared" si="78"/>
        <v>Xigu Zhen (Wèinán Shì)</v>
      </c>
      <c r="P1223" s="13" t="str">
        <f t="shared" si="79"/>
        <v>Xigu Zhen (Wèinán Shì)</v>
      </c>
    </row>
    <row r="1224" spans="1:16" hidden="1" x14ac:dyDescent="0.25">
      <c r="A1224" t="s">
        <v>581</v>
      </c>
      <c r="B1224" t="str">
        <f t="shared" si="76"/>
        <v>Xīguān Jiēdào (Băojī Shì)</v>
      </c>
      <c r="C1224" t="str">
        <f t="shared" si="77"/>
        <v>Xīguān Jiēdào (Băojī Shì)</v>
      </c>
      <c r="D1224" t="s">
        <v>582</v>
      </c>
      <c r="E1224" t="s">
        <v>113</v>
      </c>
      <c r="F1224" t="str">
        <f>_xlfn.CONCAT(D1224,", ",H1224,", ",I1224,", ","陕西省")</f>
        <v>西关街道, 金台区, 宝鸡市, 陕西省</v>
      </c>
      <c r="G1224">
        <v>49682</v>
      </c>
      <c r="H1224" t="s">
        <v>3050</v>
      </c>
      <c r="I1224" t="s">
        <v>3045</v>
      </c>
      <c r="J1224">
        <f>VLOOKUP(F1224,[1]!china_towns_second__2[[Column1]:[Y]],3,FALSE)</f>
        <v>34.381314947870102</v>
      </c>
      <c r="K1224">
        <f>VLOOKUP(F1224,[1]!china_towns_second__2[[Column1]:[Y]],2,FALSE)</f>
        <v>107.1005069</v>
      </c>
      <c r="L1224" t="s">
        <v>5343</v>
      </c>
      <c r="M1224" t="str">
        <f>VLOOKUP(H1224,CHOOSE({1,2},Table11[Native],Table11[Name]),2,0)</f>
        <v>Jīntái Qū</v>
      </c>
      <c r="N1224" s="13" t="str">
        <f>VLOOKUP(I1224,CHOOSE({1,2},Table11[Native],Table11[Name]),2,0)</f>
        <v>Băojī Shì</v>
      </c>
      <c r="O1224" s="13" t="str">
        <f t="shared" si="78"/>
        <v>Xiguan Jiedao (Baoji Shi) (Băojī Shì)</v>
      </c>
      <c r="P1224" s="13" t="str">
        <f t="shared" si="79"/>
        <v>Xiguan Jiedao (Baoji Shi) (Băojī Shì)</v>
      </c>
    </row>
    <row r="1225" spans="1:16" hidden="1" x14ac:dyDescent="0.25">
      <c r="A1225" t="s">
        <v>581</v>
      </c>
      <c r="B1225" t="str">
        <f t="shared" si="76"/>
        <v>Xīguān Jiēdào (Xī'ān Shì)</v>
      </c>
      <c r="C1225" t="str">
        <f t="shared" si="77"/>
        <v>Xīguān Jiēdào (Xī'ān Shì)</v>
      </c>
      <c r="D1225" t="s">
        <v>582</v>
      </c>
      <c r="E1225" t="s">
        <v>113</v>
      </c>
      <c r="F1225" t="str">
        <f>_xlfn.CONCAT(D1225,", ",H1225,", ",I1225,", ","陕西省")</f>
        <v>西关街道, 莲湖区, 西安市, 陕西省</v>
      </c>
      <c r="G1225">
        <v>85231</v>
      </c>
      <c r="H1225" t="s">
        <v>3109</v>
      </c>
      <c r="I1225" t="s">
        <v>3102</v>
      </c>
      <c r="J1225">
        <f>VLOOKUP(F1225,[1]!china_towns_second__2[[Column1]:[Y]],3,FALSE)</f>
        <v>34.251220806659198</v>
      </c>
      <c r="K1225">
        <f>VLOOKUP(F1225,[1]!china_towns_second__2[[Column1]:[Y]],2,FALSE)</f>
        <v>108.9025242</v>
      </c>
      <c r="L1225" t="s">
        <v>5344</v>
      </c>
      <c r="M1225" t="str">
        <f>VLOOKUP(H1225,CHOOSE({1,2},Table11[Native],Table11[Name]),2,0)</f>
        <v>Liánhú Qū</v>
      </c>
      <c r="N1225" s="13" t="str">
        <f>VLOOKUP(I1225,CHOOSE({1,2},Table11[Native],Table11[Name]),2,0)</f>
        <v>Xī'ān Shì</v>
      </c>
      <c r="O1225" s="13" t="str">
        <f t="shared" si="78"/>
        <v>Xiguan Jiedao (Xi'an Shi) (Xī'ān Shì)</v>
      </c>
      <c r="P1225" s="13" t="str">
        <f t="shared" si="79"/>
        <v>Xiguan Jiedao (Xi'an Shi) (Xī'ān Shì)</v>
      </c>
    </row>
    <row r="1226" spans="1:16" x14ac:dyDescent="0.25">
      <c r="A1226" t="s">
        <v>271</v>
      </c>
      <c r="B1226" t="str">
        <f t="shared" si="76"/>
        <v>Xĭhé Zhèn</v>
      </c>
      <c r="C1226" t="str">
        <f t="shared" si="77"/>
        <v>Xĭhé Zhèn</v>
      </c>
      <c r="D1226" t="s">
        <v>272</v>
      </c>
      <c r="E1226" t="s">
        <v>7</v>
      </c>
      <c r="F1226" t="str">
        <f>_xlfn.CONCAT(D1226,", ",H1226,", ",I1226,", ","陕西省")</f>
        <v>喜河镇, 石泉县, 安康市, 陕西省</v>
      </c>
      <c r="G1226">
        <v>8010</v>
      </c>
      <c r="H1226" t="s">
        <v>3040</v>
      </c>
      <c r="I1226" t="s">
        <v>3031</v>
      </c>
      <c r="J1226">
        <f>VLOOKUP(F1226,[1]!china_towns_second__2[[Column1]:[Y]],3,FALSE)</f>
        <v>32.857926140092097</v>
      </c>
      <c r="K1226">
        <f>VLOOKUP(F1226,[1]!china_towns_second__2[[Column1]:[Y]],2,FALSE)</f>
        <v>108.2481658</v>
      </c>
      <c r="L1226" t="s">
        <v>5345</v>
      </c>
      <c r="M1226" t="str">
        <f>VLOOKUP(H1226,CHOOSE({1,2},Table11[Native],Table11[Name]),2,0)</f>
        <v>Shíquán Xiàn</v>
      </c>
      <c r="N1226" s="13" t="str">
        <f>VLOOKUP(I1226,CHOOSE({1,2},Table11[Native],Table11[Name]),2,0)</f>
        <v>Ānkāng Shì</v>
      </c>
      <c r="O1226" s="13" t="str">
        <f t="shared" si="78"/>
        <v>Xihe Zhen (Ānkāng Shì)</v>
      </c>
      <c r="P1226" s="13" t="str">
        <f t="shared" si="79"/>
        <v>Xihe Zhen (Shíquán Xiàn)</v>
      </c>
    </row>
    <row r="1227" spans="1:16" x14ac:dyDescent="0.25">
      <c r="A1227" t="s">
        <v>273</v>
      </c>
      <c r="B1227" t="str">
        <f t="shared" si="76"/>
        <v>Xīhé Zhèn</v>
      </c>
      <c r="C1227" t="str">
        <f t="shared" si="77"/>
        <v>Xīhé Zhèn</v>
      </c>
      <c r="D1227" t="s">
        <v>274</v>
      </c>
      <c r="E1227" t="s">
        <v>7</v>
      </c>
      <c r="F1227" t="str">
        <f>_xlfn.CONCAT(D1227,", ",H1227,", ",I1227,", ","陕西省")</f>
        <v>西河镇, 平利县, 安康市, 陕西省</v>
      </c>
      <c r="G1227">
        <v>8386</v>
      </c>
      <c r="H1227" t="s">
        <v>3039</v>
      </c>
      <c r="I1227" t="s">
        <v>3031</v>
      </c>
      <c r="J1227">
        <f>VLOOKUP(F1227,[1]!china_towns_second__2[[Column1]:[Y]],3,FALSE)</f>
        <v>32.563634734010002</v>
      </c>
      <c r="K1227">
        <f>VLOOKUP(F1227,[1]!china_towns_second__2[[Column1]:[Y]],2,FALSE)</f>
        <v>109.2835766</v>
      </c>
      <c r="L1227" t="s">
        <v>5345</v>
      </c>
      <c r="M1227" t="str">
        <f>VLOOKUP(H1227,CHOOSE({1,2},Table11[Native],Table11[Name]),2,0)</f>
        <v>Pínglì Xiàn</v>
      </c>
      <c r="N1227" s="13" t="str">
        <f>VLOOKUP(I1227,CHOOSE({1,2},Table11[Native],Table11[Name]),2,0)</f>
        <v>Ānkāng Shì</v>
      </c>
      <c r="O1227" s="13" t="str">
        <f t="shared" si="78"/>
        <v>Xihe Zhen (Ānkāng Shì)</v>
      </c>
      <c r="P1227" s="13" t="str">
        <f t="shared" si="79"/>
        <v>Xihe Zhen (Pínglì Xiàn)</v>
      </c>
    </row>
    <row r="1228" spans="1:16" hidden="1" x14ac:dyDescent="0.25">
      <c r="A1228" t="s">
        <v>961</v>
      </c>
      <c r="B1228" t="str">
        <f t="shared" si="76"/>
        <v>Xīhuáibà Zhèn</v>
      </c>
      <c r="C1228" t="str">
        <f t="shared" si="77"/>
        <v>Xīhuáibà Zhèn</v>
      </c>
      <c r="D1228" t="s">
        <v>962</v>
      </c>
      <c r="E1228" t="s">
        <v>7</v>
      </c>
      <c r="F1228" t="str">
        <f>_xlfn.CONCAT(D1228,", ",H1228,", ",I1228,", ","陕西省")</f>
        <v>西淮坝镇, 略阳县, 汉中市, 陕西省</v>
      </c>
      <c r="G1228">
        <v>3388</v>
      </c>
      <c r="H1228" t="s">
        <v>3064</v>
      </c>
      <c r="I1228" t="s">
        <v>3059</v>
      </c>
      <c r="J1228">
        <f>VLOOKUP(F1228,[1]!china_towns_second__2[[Column1]:[Y]],3,FALSE)</f>
        <v>33.496921811259099</v>
      </c>
      <c r="K1228">
        <f>VLOOKUP(F1228,[1]!china_towns_second__2[[Column1]:[Y]],2,FALSE)</f>
        <v>105.9077817</v>
      </c>
      <c r="L1228" t="s">
        <v>5346</v>
      </c>
      <c r="M1228" t="str">
        <f>VLOOKUP(H1228,CHOOSE({1,2},Table11[Native],Table11[Name]),2,0)</f>
        <v>Lüèyáng Xiàn</v>
      </c>
      <c r="N1228" s="13" t="str">
        <f>VLOOKUP(I1228,CHOOSE({1,2},Table11[Native],Table11[Name]),2,0)</f>
        <v>Hànzhōng Shì</v>
      </c>
      <c r="O1228" s="13" t="str">
        <f t="shared" si="78"/>
        <v>Xihuaiba Zhen (Hànzhōng Shì)</v>
      </c>
      <c r="P1228" s="13" t="str">
        <f t="shared" si="79"/>
        <v>Xihuaiba Zhen (Hànzhōng Shì)</v>
      </c>
    </row>
    <row r="1229" spans="1:16" hidden="1" x14ac:dyDescent="0.25">
      <c r="A1229" t="s">
        <v>1244</v>
      </c>
      <c r="B1229" t="str">
        <f t="shared" si="76"/>
        <v>Xīkŏu Huízú Zhèn</v>
      </c>
      <c r="C1229" t="str">
        <f t="shared" si="77"/>
        <v>Xīkŏu Huízú Zhèn</v>
      </c>
      <c r="D1229" t="s">
        <v>1245</v>
      </c>
      <c r="E1229" t="s">
        <v>7</v>
      </c>
      <c r="F1229" t="str">
        <f>_xlfn.CONCAT(D1229,", ",H1229,", ",I1229,", ","陕西省")</f>
        <v>西口回族镇, 镇安县, 商洛市, 陕西省</v>
      </c>
      <c r="G1229">
        <v>10842</v>
      </c>
      <c r="H1229" t="s">
        <v>3079</v>
      </c>
      <c r="I1229" t="s">
        <v>3072</v>
      </c>
      <c r="J1229">
        <f>VLOOKUP(F1229,[1]!china_towns_second__2[[Column1]:[Y]],3,FALSE)</f>
        <v>33.234601502147903</v>
      </c>
      <c r="K1229">
        <f>VLOOKUP(F1229,[1]!china_towns_second__2[[Column1]:[Y]],2,FALSE)</f>
        <v>109.3431339</v>
      </c>
      <c r="L1229" t="s">
        <v>5347</v>
      </c>
      <c r="M1229" t="str">
        <f>VLOOKUP(H1229,CHOOSE({1,2},Table11[Native],Table11[Name]),2,0)</f>
        <v>Zhèn'ān Xiàn</v>
      </c>
      <c r="N1229" s="13" t="str">
        <f>VLOOKUP(I1229,CHOOSE({1,2},Table11[Native],Table11[Name]),2,0)</f>
        <v>Shāngluò Shì</v>
      </c>
      <c r="O1229" s="13" t="str">
        <f t="shared" si="78"/>
        <v>Xikou Huizu Zhen (Shāngluò Shì)</v>
      </c>
      <c r="P1229" s="13" t="str">
        <f t="shared" si="79"/>
        <v>Xikou Huizu Zhen (Shāngluò Shì)</v>
      </c>
    </row>
    <row r="1230" spans="1:16" hidden="1" x14ac:dyDescent="0.25">
      <c r="A1230" t="s">
        <v>1899</v>
      </c>
      <c r="B1230" t="str">
        <f t="shared" si="76"/>
        <v>Xīlánlù Jiēdào</v>
      </c>
      <c r="C1230" t="str">
        <f t="shared" si="77"/>
        <v>Xīlánlù Jiēdào</v>
      </c>
      <c r="D1230" t="s">
        <v>1900</v>
      </c>
      <c r="E1230" t="s">
        <v>113</v>
      </c>
      <c r="F1230" t="str">
        <f>_xlfn.CONCAT(D1230,", ",H1230,", ",I1230,", ","陕西省")</f>
        <v>西兰路街道, 秦都区, 咸阳市, 陕西省</v>
      </c>
      <c r="G1230">
        <v>52384</v>
      </c>
      <c r="H1230" t="s">
        <v>3124</v>
      </c>
      <c r="I1230" t="s">
        <v>3117</v>
      </c>
      <c r="J1230">
        <f>VLOOKUP(F1230,[1]!china_towns_second__2[[Column1]:[Y]],3,FALSE)</f>
        <v>34.331707441075103</v>
      </c>
      <c r="K1230">
        <f>VLOOKUP(F1230,[1]!china_towns_second__2[[Column1]:[Y]],2,FALSE)</f>
        <v>108.69242060000001</v>
      </c>
      <c r="L1230" t="s">
        <v>5348</v>
      </c>
      <c r="M1230" t="str">
        <f>VLOOKUP(H1230,CHOOSE({1,2},Table11[Native],Table11[Name]),2,0)</f>
        <v>Qíndū Qū</v>
      </c>
      <c r="N1230" s="13" t="str">
        <f>VLOOKUP(I1230,CHOOSE({1,2},Table11[Native],Table11[Name]),2,0)</f>
        <v>Xiányáng Shì</v>
      </c>
      <c r="O1230" s="13" t="str">
        <f t="shared" si="78"/>
        <v>Xilanlu Jiedao (Xiányáng Shì)</v>
      </c>
      <c r="P1230" s="13" t="str">
        <f t="shared" si="79"/>
        <v>Xilanlu Jiedao (Xiányáng Shì)</v>
      </c>
    </row>
    <row r="1231" spans="1:16" hidden="1" x14ac:dyDescent="0.25">
      <c r="A1231" t="s">
        <v>2253</v>
      </c>
      <c r="B1231" t="str">
        <f t="shared" si="76"/>
        <v>Xìliŭ Jiēdào</v>
      </c>
      <c r="C1231" t="str">
        <f t="shared" si="77"/>
        <v>Xìliŭ Jiēdào</v>
      </c>
      <c r="D1231" t="s">
        <v>2254</v>
      </c>
      <c r="E1231" t="s">
        <v>113</v>
      </c>
      <c r="F1231" t="str">
        <f>_xlfn.CONCAT(D1231,", ",H1231,", ",I1231,", ","陕西省")</f>
        <v>细柳街道, 长安区, 西安市, 陕西省</v>
      </c>
      <c r="G1231">
        <v>33108</v>
      </c>
      <c r="H1231" t="s">
        <v>3105</v>
      </c>
      <c r="I1231" t="s">
        <v>3102</v>
      </c>
      <c r="J1231">
        <f>VLOOKUP(F1231,[1]!china_towns_second__2[[Column1]:[Y]],3,FALSE)</f>
        <v>34.166422125185299</v>
      </c>
      <c r="K1231">
        <f>VLOOKUP(F1231,[1]!china_towns_second__2[[Column1]:[Y]],2,FALSE)</f>
        <v>108.7779979</v>
      </c>
      <c r="L1231" t="s">
        <v>5349</v>
      </c>
      <c r="M1231" t="str">
        <f>VLOOKUP(H1231,CHOOSE({1,2},Table11[Native],Table11[Name]),2,0)</f>
        <v>Cháng'ān Qū</v>
      </c>
      <c r="N1231" s="13" t="str">
        <f>VLOOKUP(I1231,CHOOSE({1,2},Table11[Native],Table11[Name]),2,0)</f>
        <v>Xī'ān Shì</v>
      </c>
      <c r="O1231" s="13" t="str">
        <f t="shared" si="78"/>
        <v>Xiliu Jiedao (Xī'ān Shì)</v>
      </c>
      <c r="P1231" s="13" t="str">
        <f t="shared" si="79"/>
        <v>Xiliu Jiedao (Xī'ān Shì)</v>
      </c>
    </row>
    <row r="1232" spans="1:16" hidden="1" x14ac:dyDescent="0.25">
      <c r="A1232" t="s">
        <v>2942</v>
      </c>
      <c r="B1232" t="str">
        <f t="shared" si="76"/>
        <v>Xímáwān Zhèn</v>
      </c>
      <c r="C1232" t="str">
        <f t="shared" si="77"/>
        <v>Xímáwān Zhèn</v>
      </c>
      <c r="D1232" t="s">
        <v>2943</v>
      </c>
      <c r="E1232" t="s">
        <v>7</v>
      </c>
      <c r="F1232" t="str">
        <f>_xlfn.CONCAT(D1232,", ",H1232,", ",I1232,", ","陕西省")</f>
        <v>席麻湾镇, 靖边县, 榆林市, 陕西省</v>
      </c>
      <c r="G1232">
        <v>10177</v>
      </c>
      <c r="H1232" t="s">
        <v>3153</v>
      </c>
      <c r="I1232" t="s">
        <v>3148</v>
      </c>
      <c r="J1232">
        <f>VLOOKUP(F1232,[1]!china_towns_second__2[[Column1]:[Y]],3,FALSE)</f>
        <v>37.464115833143097</v>
      </c>
      <c r="K1232">
        <f>VLOOKUP(F1232,[1]!china_towns_second__2[[Column1]:[Y]],2,FALSE)</f>
        <v>108.671808</v>
      </c>
      <c r="L1232" t="s">
        <v>5350</v>
      </c>
      <c r="M1232" t="str">
        <f>VLOOKUP(H1232,CHOOSE({1,2},Table11[Native],Table11[Name]),2,0)</f>
        <v>Jìngbiān Xiàn</v>
      </c>
      <c r="N1232" s="13" t="str">
        <f>VLOOKUP(I1232,CHOOSE({1,2},Table11[Native],Table11[Name]),2,0)</f>
        <v>Yúlín Shì</v>
      </c>
      <c r="O1232" s="13" t="str">
        <f t="shared" si="78"/>
        <v>Ximawan Zhen (Yúlín Shì)</v>
      </c>
      <c r="P1232" s="13" t="str">
        <f t="shared" si="79"/>
        <v>Ximawan Zhen (Yúlín Shì)</v>
      </c>
    </row>
    <row r="1233" spans="1:16" hidden="1" x14ac:dyDescent="0.25">
      <c r="A1233" t="s">
        <v>2944</v>
      </c>
      <c r="B1233" t="str">
        <f t="shared" si="76"/>
        <v>Xīn'ānbiān Zhèn</v>
      </c>
      <c r="C1233" t="str">
        <f t="shared" si="77"/>
        <v>Xīn'ānbiān Zhèn</v>
      </c>
      <c r="D1233" t="s">
        <v>2945</v>
      </c>
      <c r="E1233" t="s">
        <v>7</v>
      </c>
      <c r="F1233" t="str">
        <f>_xlfn.CONCAT(D1233,", ",H1233,", ",I1233,", ","陕西省")</f>
        <v>新安边镇, 定边县, 榆林市, 陕西省</v>
      </c>
      <c r="G1233">
        <v>6283</v>
      </c>
      <c r="H1233" t="s">
        <v>3149</v>
      </c>
      <c r="I1233" t="s">
        <v>3148</v>
      </c>
      <c r="J1233">
        <f>VLOOKUP(F1233,[1]!china_towns_second__2[[Column1]:[Y]],3,FALSE)</f>
        <v>37.172750325140697</v>
      </c>
      <c r="K1233">
        <f>VLOOKUP(F1233,[1]!china_towns_second__2[[Column1]:[Y]],2,FALSE)</f>
        <v>107.98268419999999</v>
      </c>
      <c r="L1233" t="s">
        <v>5351</v>
      </c>
      <c r="M1233" t="str">
        <f>VLOOKUP(H1233,CHOOSE({1,2},Table11[Native],Table11[Name]),2,0)</f>
        <v>Dìngbiān Xiàn</v>
      </c>
      <c r="N1233" s="13" t="str">
        <f>VLOOKUP(I1233,CHOOSE({1,2},Table11[Native],Table11[Name]),2,0)</f>
        <v>Yúlín Shì</v>
      </c>
      <c r="O1233" s="13" t="str">
        <f t="shared" si="78"/>
        <v>Xin'anbian Zhen (Yúlín Shì)</v>
      </c>
      <c r="P1233" s="13" t="str">
        <f t="shared" si="79"/>
        <v>Xin'anbian Zhen (Yúlín Shì)</v>
      </c>
    </row>
    <row r="1234" spans="1:16" hidden="1" x14ac:dyDescent="0.25">
      <c r="A1234" t="s">
        <v>275</v>
      </c>
      <c r="B1234" t="str">
        <f t="shared" si="76"/>
        <v>Xīnbà Xiāng</v>
      </c>
      <c r="C1234" t="str">
        <f t="shared" si="77"/>
        <v>Xīnbà Xiāng</v>
      </c>
      <c r="D1234" t="s">
        <v>276</v>
      </c>
      <c r="E1234" t="s">
        <v>11</v>
      </c>
      <c r="F1234" t="str">
        <f>_xlfn.CONCAT(D1234,", ",H1234,", ",I1234,", ","陕西省")</f>
        <v>新坝乡, 汉滨区, 安康市, 陕西省</v>
      </c>
      <c r="G1234">
        <v>8209</v>
      </c>
      <c r="H1234" t="s">
        <v>3035</v>
      </c>
      <c r="I1234" t="s">
        <v>3031</v>
      </c>
      <c r="J1234" t="e">
        <f>VLOOKUP(F1234,[1]!china_towns_second__2[[Column1]:[Y]],3,FALSE)</f>
        <v>#N/A</v>
      </c>
      <c r="K1234" t="e">
        <f>VLOOKUP(F1234,[1]!china_towns_second__2[[Column1]:[Y]],2,FALSE)</f>
        <v>#N/A</v>
      </c>
      <c r="L1234" t="s">
        <v>5352</v>
      </c>
      <c r="M1234" t="str">
        <f>VLOOKUP(H1234,CHOOSE({1,2},Table11[Native],Table11[Name]),2,0)</f>
        <v>Hànbīn Qū</v>
      </c>
      <c r="N1234" s="13" t="str">
        <f>VLOOKUP(I1234,CHOOSE({1,2},Table11[Native],Table11[Name]),2,0)</f>
        <v>Ānkāng Shì</v>
      </c>
      <c r="O1234" s="13" t="str">
        <f t="shared" si="78"/>
        <v>Xinba Xiang (Ānkāng Shì)</v>
      </c>
      <c r="P1234" s="13" t="str">
        <f t="shared" si="79"/>
        <v>Xinba Xiang (Ānkāng Shì)</v>
      </c>
    </row>
    <row r="1235" spans="1:16" hidden="1" x14ac:dyDescent="0.25">
      <c r="A1235" t="s">
        <v>1901</v>
      </c>
      <c r="B1235" t="str">
        <f t="shared" si="76"/>
        <v>Xīnbăozi Xiāng</v>
      </c>
      <c r="C1235" t="str">
        <f t="shared" si="77"/>
        <v>Xīnbăozi Xiāng</v>
      </c>
      <c r="D1235" t="s">
        <v>1902</v>
      </c>
      <c r="E1235" t="s">
        <v>11</v>
      </c>
      <c r="F1235" t="str">
        <f>_xlfn.CONCAT(D1235,", ",H1235,", ",I1235,", ","陕西省")</f>
        <v>新堡子乡, 彬州市, 咸阳市, 陕西省</v>
      </c>
      <c r="G1235">
        <v>11391</v>
      </c>
      <c r="H1235" t="s">
        <v>3118</v>
      </c>
      <c r="I1235" t="s">
        <v>3117</v>
      </c>
      <c r="J1235" t="e">
        <f>VLOOKUP(F1235,[1]!china_towns_second__2[[Column1]:[Y]],3,FALSE)</f>
        <v>#N/A</v>
      </c>
      <c r="K1235" t="e">
        <f>VLOOKUP(F1235,[1]!china_towns_second__2[[Column1]:[Y]],2,FALSE)</f>
        <v>#N/A</v>
      </c>
      <c r="L1235" t="s">
        <v>5353</v>
      </c>
      <c r="M1235" t="str">
        <f>VLOOKUP(H1235,CHOOSE({1,2},Table11[Native],Table11[Name]),2,0)</f>
        <v>Bīnzhōu Shì</v>
      </c>
      <c r="N1235" s="13" t="str">
        <f>VLOOKUP(I1235,CHOOSE({1,2},Table11[Native],Table11[Name]),2,0)</f>
        <v>Xiányáng Shì</v>
      </c>
      <c r="O1235" s="13" t="str">
        <f t="shared" si="78"/>
        <v>Xinbaozi Xiang (Xiányáng Shì)</v>
      </c>
      <c r="P1235" s="13" t="str">
        <f t="shared" si="79"/>
        <v>Xinbaozi Xiang (Xiányáng Shì)</v>
      </c>
    </row>
    <row r="1236" spans="1:16" hidden="1" x14ac:dyDescent="0.25">
      <c r="A1236" t="s">
        <v>277</v>
      </c>
      <c r="B1236" t="str">
        <f t="shared" si="76"/>
        <v>Xīnchăng Zhèn</v>
      </c>
      <c r="C1236" t="str">
        <f t="shared" si="77"/>
        <v>Xīnchăng Zhèn</v>
      </c>
      <c r="D1236" t="s">
        <v>278</v>
      </c>
      <c r="E1236" t="s">
        <v>7</v>
      </c>
      <c r="F1236" t="str">
        <f>_xlfn.CONCAT(D1236,", ",H1236,", ",I1236,", ","陕西省")</f>
        <v>新场镇, 宁陕县, 安康市, 陕西省</v>
      </c>
      <c r="G1236">
        <v>865</v>
      </c>
      <c r="H1236" t="s">
        <v>3038</v>
      </c>
      <c r="I1236" t="s">
        <v>3031</v>
      </c>
      <c r="J1236">
        <f>VLOOKUP(F1236,[1]!china_towns_second__2[[Column1]:[Y]],3,FALSE)</f>
        <v>33.651067498663501</v>
      </c>
      <c r="K1236">
        <f>VLOOKUP(F1236,[1]!china_towns_second__2[[Column1]:[Y]],2,FALSE)</f>
        <v>108.285053</v>
      </c>
      <c r="L1236" t="s">
        <v>5354</v>
      </c>
      <c r="M1236" t="str">
        <f>VLOOKUP(H1236,CHOOSE({1,2},Table11[Native],Table11[Name]),2,0)</f>
        <v>Níngshăn Xiàn</v>
      </c>
      <c r="N1236" s="13" t="str">
        <f>VLOOKUP(I1236,CHOOSE({1,2},Table11[Native],Table11[Name]),2,0)</f>
        <v>Ānkāng Shì</v>
      </c>
      <c r="O1236" s="13" t="str">
        <f t="shared" si="78"/>
        <v>Xinchang Zhen (Ānkāng Shì)</v>
      </c>
      <c r="P1236" s="13" t="str">
        <f t="shared" si="79"/>
        <v>Xinchang Zhen (Ānkāng Shì)</v>
      </c>
    </row>
    <row r="1237" spans="1:16" hidden="1" x14ac:dyDescent="0.25">
      <c r="A1237" t="s">
        <v>279</v>
      </c>
      <c r="B1237" t="str">
        <f t="shared" si="76"/>
        <v>Xīnchéng Jiēdào (Ānkāng Shì)</v>
      </c>
      <c r="C1237" t="str">
        <f t="shared" si="77"/>
        <v>Xīnchéng Jiēdào (Ānkāng Shì)</v>
      </c>
      <c r="D1237" t="s">
        <v>280</v>
      </c>
      <c r="E1237" t="s">
        <v>113</v>
      </c>
      <c r="F1237" t="str">
        <f>_xlfn.CONCAT(D1237,", ",H1237,", ",I1237,", ","陕西省")</f>
        <v>新城街道, 汉滨区, 安康市, 陕西省</v>
      </c>
      <c r="G1237">
        <v>145454</v>
      </c>
      <c r="H1237" t="s">
        <v>3035</v>
      </c>
      <c r="I1237" t="s">
        <v>3031</v>
      </c>
      <c r="J1237">
        <f>VLOOKUP(F1237,[1]!china_towns_second__2[[Column1]:[Y]],3,FALSE)</f>
        <v>32.676762508880898</v>
      </c>
      <c r="K1237">
        <f>VLOOKUP(F1237,[1]!china_towns_second__2[[Column1]:[Y]],2,FALSE)</f>
        <v>109.0476846</v>
      </c>
      <c r="L1237" t="s">
        <v>5355</v>
      </c>
      <c r="M1237" t="str">
        <f>VLOOKUP(H1237,CHOOSE({1,2},Table11[Native],Table11[Name]),2,0)</f>
        <v>Hànbīn Qū</v>
      </c>
      <c r="N1237" s="13" t="str">
        <f>VLOOKUP(I1237,CHOOSE({1,2},Table11[Native],Table11[Name]),2,0)</f>
        <v>Ānkāng Shì</v>
      </c>
      <c r="O1237" s="13" t="str">
        <f t="shared" si="78"/>
        <v>Xincheng Jiedao (Ankang Shi) (Ānkāng Shì)</v>
      </c>
      <c r="P1237" s="13" t="str">
        <f t="shared" si="79"/>
        <v>Xincheng Jiedao (Ankang Shi) (Ānkāng Shì)</v>
      </c>
    </row>
    <row r="1238" spans="1:16" hidden="1" x14ac:dyDescent="0.25">
      <c r="A1238" t="s">
        <v>279</v>
      </c>
      <c r="B1238" t="str">
        <f t="shared" si="76"/>
        <v>Xīnchéng Jiēdào (Wèinán Shì)</v>
      </c>
      <c r="C1238" t="str">
        <f t="shared" si="77"/>
        <v>Xīnchéng Jiēdào (Wèinán Shì)</v>
      </c>
      <c r="D1238" t="s">
        <v>280</v>
      </c>
      <c r="E1238" t="s">
        <v>113</v>
      </c>
      <c r="F1238" t="str">
        <f>_xlfn.CONCAT(D1238,", ",H1238,", ",I1238,", ","陕西省")</f>
        <v>新城街道, 韩城市, 渭南市, 陕西省</v>
      </c>
      <c r="G1238">
        <v>112936</v>
      </c>
      <c r="H1238" t="s">
        <v>3093</v>
      </c>
      <c r="I1238" t="s">
        <v>3087</v>
      </c>
      <c r="J1238">
        <f>VLOOKUP(F1238,[1]!china_towns_second__2[[Column1]:[Y]],3,FALSE)</f>
        <v>35.464840840501601</v>
      </c>
      <c r="K1238">
        <f>VLOOKUP(F1238,[1]!china_towns_second__2[[Column1]:[Y]],2,FALSE)</f>
        <v>110.4734392</v>
      </c>
      <c r="L1238" t="s">
        <v>5356</v>
      </c>
      <c r="M1238" t="str">
        <f>VLOOKUP(H1238,CHOOSE({1,2},Table11[Native],Table11[Name]),2,0)</f>
        <v>Hánchéng Shì</v>
      </c>
      <c r="N1238" s="13" t="str">
        <f>VLOOKUP(I1238,CHOOSE({1,2},Table11[Native],Table11[Name]),2,0)</f>
        <v>Wèinán Shì</v>
      </c>
      <c r="O1238" s="13" t="str">
        <f t="shared" si="78"/>
        <v>Xincheng Jiedao (Weinan Shi) (Wèinán Shì)</v>
      </c>
      <c r="P1238" s="13" t="str">
        <f t="shared" si="79"/>
        <v>Xincheng Jiedao (Weinan Shi) (Wèinán Shì)</v>
      </c>
    </row>
    <row r="1239" spans="1:16" hidden="1" x14ac:dyDescent="0.25">
      <c r="A1239" t="s">
        <v>2946</v>
      </c>
      <c r="B1239" t="str">
        <f t="shared" si="76"/>
        <v>Xīnchéng Xiāng</v>
      </c>
      <c r="C1239" t="str">
        <f t="shared" si="77"/>
        <v>Xīnchéng Xiāng</v>
      </c>
      <c r="D1239" t="s">
        <v>2947</v>
      </c>
      <c r="E1239" t="s">
        <v>11</v>
      </c>
      <c r="F1239" t="str">
        <f>_xlfn.CONCAT(D1239,", ",H1239,", ",I1239,", ","陕西省")</f>
        <v>新城乡, 靖边县, 榆林市, 陕西省</v>
      </c>
      <c r="G1239">
        <v>3825</v>
      </c>
      <c r="H1239" t="s">
        <v>3153</v>
      </c>
      <c r="I1239" t="s">
        <v>3148</v>
      </c>
      <c r="J1239" t="e">
        <f>VLOOKUP(F1239,[1]!china_towns_second__2[[Column1]:[Y]],3,FALSE)</f>
        <v>#N/A</v>
      </c>
      <c r="K1239" t="e">
        <f>VLOOKUP(F1239,[1]!china_towns_second__2[[Column1]:[Y]],2,FALSE)</f>
        <v>#N/A</v>
      </c>
      <c r="L1239" t="s">
        <v>5357</v>
      </c>
      <c r="M1239" t="str">
        <f>VLOOKUP(H1239,CHOOSE({1,2},Table11[Native],Table11[Name]),2,0)</f>
        <v>Jìngbiān Xiàn</v>
      </c>
      <c r="N1239" s="13" t="str">
        <f>VLOOKUP(I1239,CHOOSE({1,2},Table11[Native],Table11[Name]),2,0)</f>
        <v>Yúlín Shì</v>
      </c>
      <c r="O1239" s="13" t="str">
        <f t="shared" si="78"/>
        <v>Xincheng Xiang (Yúlín Shì)</v>
      </c>
      <c r="P1239" s="13" t="str">
        <f t="shared" si="79"/>
        <v>Xincheng Xiang (Yúlín Shì)</v>
      </c>
    </row>
    <row r="1240" spans="1:16" hidden="1" x14ac:dyDescent="0.25">
      <c r="A1240" t="s">
        <v>1650</v>
      </c>
      <c r="B1240" t="str">
        <f t="shared" si="76"/>
        <v>Xīnchí Zhèn</v>
      </c>
      <c r="C1240" t="str">
        <f t="shared" si="77"/>
        <v>Xīnchí Zhèn</v>
      </c>
      <c r="D1240" t="s">
        <v>1651</v>
      </c>
      <c r="E1240" t="s">
        <v>7</v>
      </c>
      <c r="F1240" t="str">
        <f>_xlfn.CONCAT(D1240,", ",H1240,", ",I1240,", ","陕西省")</f>
        <v>新池镇, 合阳县, 渭南市, 陕西省</v>
      </c>
      <c r="G1240">
        <v>27855</v>
      </c>
      <c r="H1240" t="s">
        <v>3094</v>
      </c>
      <c r="I1240" t="s">
        <v>3087</v>
      </c>
      <c r="J1240">
        <f>VLOOKUP(F1240,[1]!china_towns_second__2[[Column1]:[Y]],3,FALSE)</f>
        <v>35.138695879534303</v>
      </c>
      <c r="K1240">
        <f>VLOOKUP(F1240,[1]!china_towns_second__2[[Column1]:[Y]],2,FALSE)</f>
        <v>110.2328746</v>
      </c>
      <c r="L1240" t="s">
        <v>5358</v>
      </c>
      <c r="M1240" t="str">
        <f>VLOOKUP(H1240,CHOOSE({1,2},Table11[Native],Table11[Name]),2,0)</f>
        <v>Héyáng Xiàn</v>
      </c>
      <c r="N1240" s="13" t="str">
        <f>VLOOKUP(I1240,CHOOSE({1,2},Table11[Native],Table11[Name]),2,0)</f>
        <v>Wèinán Shì</v>
      </c>
      <c r="O1240" s="13" t="str">
        <f t="shared" si="78"/>
        <v>Xinchi Zhen (Wèinán Shì)</v>
      </c>
      <c r="P1240" s="13" t="str">
        <f t="shared" si="79"/>
        <v>Xinchi Zhen (Wèinán Shì)</v>
      </c>
    </row>
    <row r="1241" spans="1:16" hidden="1" x14ac:dyDescent="0.25">
      <c r="A1241" t="s">
        <v>2948</v>
      </c>
      <c r="B1241" t="str">
        <f t="shared" si="76"/>
        <v>Xīndiàn Xiāng</v>
      </c>
      <c r="C1241" t="str">
        <f t="shared" si="77"/>
        <v>Xīndiàn Xiāng</v>
      </c>
      <c r="D1241" t="s">
        <v>2949</v>
      </c>
      <c r="E1241" t="s">
        <v>11</v>
      </c>
      <c r="F1241" t="str">
        <f>_xlfn.CONCAT(D1241,", ",H1241,", ",I1241,", ","陕西省")</f>
        <v>辛店乡, 绥德县, 榆林市, 陕西省</v>
      </c>
      <c r="G1241">
        <v>29186</v>
      </c>
      <c r="H1241" t="s">
        <v>3157</v>
      </c>
      <c r="I1241" t="s">
        <v>3148</v>
      </c>
      <c r="J1241" t="e">
        <f>VLOOKUP(F1241,[1]!china_towns_second__2[[Column1]:[Y]],3,FALSE)</f>
        <v>#N/A</v>
      </c>
      <c r="K1241" t="e">
        <f>VLOOKUP(F1241,[1]!china_towns_second__2[[Column1]:[Y]],2,FALSE)</f>
        <v>#N/A</v>
      </c>
      <c r="L1241" t="s">
        <v>5359</v>
      </c>
      <c r="M1241" t="str">
        <f>VLOOKUP(H1241,CHOOSE({1,2},Table11[Native],Table11[Name]),2,0)</f>
        <v>Suídé Xiàn</v>
      </c>
      <c r="N1241" s="13" t="str">
        <f>VLOOKUP(I1241,CHOOSE({1,2},Table11[Native],Table11[Name]),2,0)</f>
        <v>Yúlín Shì</v>
      </c>
      <c r="O1241" s="13" t="str">
        <f t="shared" si="78"/>
        <v>Xindian Xiang (Yúlín Shì)</v>
      </c>
      <c r="P1241" s="13" t="str">
        <f t="shared" si="79"/>
        <v>Xindian Xiang (Yúlín Shì)</v>
      </c>
    </row>
    <row r="1242" spans="1:16" hidden="1" x14ac:dyDescent="0.25">
      <c r="A1242" t="s">
        <v>2255</v>
      </c>
      <c r="B1242" t="str">
        <f t="shared" si="76"/>
        <v>Xīnfēng Jiēdào</v>
      </c>
      <c r="C1242" t="str">
        <f t="shared" si="77"/>
        <v>Xīnfēng Jiēdào</v>
      </c>
      <c r="D1242" t="s">
        <v>2256</v>
      </c>
      <c r="E1242" t="s">
        <v>113</v>
      </c>
      <c r="F1242" t="str">
        <f>_xlfn.CONCAT(D1242,", ",H1242,", ",I1242,", ","陕西省")</f>
        <v>新丰街道, 临潼区, 西安市, 陕西省</v>
      </c>
      <c r="G1242">
        <v>38022</v>
      </c>
      <c r="H1242" t="s">
        <v>3110</v>
      </c>
      <c r="I1242" t="s">
        <v>3102</v>
      </c>
      <c r="J1242">
        <f>VLOOKUP(F1242,[1]!china_towns_second__2[[Column1]:[Y]],3,FALSE)</f>
        <v>34.446685847534198</v>
      </c>
      <c r="K1242">
        <f>VLOOKUP(F1242,[1]!china_towns_second__2[[Column1]:[Y]],2,FALSE)</f>
        <v>109.2698228</v>
      </c>
      <c r="L1242" t="s">
        <v>5360</v>
      </c>
      <c r="M1242" t="str">
        <f>VLOOKUP(H1242,CHOOSE({1,2},Table11[Native],Table11[Name]),2,0)</f>
        <v>Líntóng Qū</v>
      </c>
      <c r="N1242" s="13" t="str">
        <f>VLOOKUP(I1242,CHOOSE({1,2},Table11[Native],Table11[Name]),2,0)</f>
        <v>Xī'ān Shì</v>
      </c>
      <c r="O1242" s="13" t="str">
        <f t="shared" si="78"/>
        <v>Xinfeng Jiedao (Xī'ān Shì)</v>
      </c>
      <c r="P1242" s="13" t="str">
        <f t="shared" si="79"/>
        <v>Xinfeng Jiedao (Xī'ān Shì)</v>
      </c>
    </row>
    <row r="1243" spans="1:16" hidden="1" x14ac:dyDescent="0.25">
      <c r="A1243" t="s">
        <v>1652</v>
      </c>
      <c r="B1243" t="str">
        <f t="shared" si="76"/>
        <v>Xīng Zhèn</v>
      </c>
      <c r="C1243" t="str">
        <f t="shared" si="77"/>
        <v>Xīng Zhèn</v>
      </c>
      <c r="D1243" t="s">
        <v>1653</v>
      </c>
      <c r="E1243" t="s">
        <v>7</v>
      </c>
      <c r="F1243" t="str">
        <f>_xlfn.CONCAT(D1243,", ",H1243,", ",I1243,", ","陕西省")</f>
        <v>兴镇, 蒲城县, 渭南市, 陕西省</v>
      </c>
      <c r="G1243">
        <v>28835</v>
      </c>
      <c r="H1243" t="s">
        <v>3098</v>
      </c>
      <c r="I1243" t="s">
        <v>3087</v>
      </c>
      <c r="J1243">
        <f>VLOOKUP(F1243,[1]!china_towns_second__2[[Column1]:[Y]],3,FALSE)</f>
        <v>34.917825170643802</v>
      </c>
      <c r="K1243">
        <f>VLOOKUP(F1243,[1]!china_towns_second__2[[Column1]:[Y]],2,FALSE)</f>
        <v>109.45301980000001</v>
      </c>
      <c r="L1243" t="s">
        <v>5361</v>
      </c>
      <c r="M1243" t="str">
        <f>VLOOKUP(H1243,CHOOSE({1,2},Table11[Native],Table11[Name]),2,0)</f>
        <v>Púchéng Xiàn</v>
      </c>
      <c r="N1243" s="13" t="str">
        <f>VLOOKUP(I1243,CHOOSE({1,2},Table11[Native],Table11[Name]),2,0)</f>
        <v>Wèinán Shì</v>
      </c>
      <c r="O1243" s="13" t="str">
        <f t="shared" si="78"/>
        <v>Xing Zhen (Wèinán Shì)</v>
      </c>
      <c r="P1243" s="13" t="str">
        <f t="shared" si="79"/>
        <v>Xing Zhen (Wèinán Shì)</v>
      </c>
    </row>
    <row r="1244" spans="1:16" hidden="1" x14ac:dyDescent="0.25">
      <c r="A1244" t="s">
        <v>2554</v>
      </c>
      <c r="B1244" t="str">
        <f t="shared" si="76"/>
        <v>Xìnghé Zhèn</v>
      </c>
      <c r="C1244" t="str">
        <f t="shared" si="77"/>
        <v>Xìnghé Zhèn</v>
      </c>
      <c r="D1244" t="s">
        <v>2555</v>
      </c>
      <c r="E1244" t="s">
        <v>7</v>
      </c>
      <c r="F1244" t="str">
        <f>_xlfn.CONCAT(D1244,", ",H1244,", ",I1244,", ","陕西省")</f>
        <v>杏河镇, 志丹县, 延安市, 陕西省</v>
      </c>
      <c r="G1244">
        <v>13213</v>
      </c>
      <c r="H1244" t="s">
        <v>3145</v>
      </c>
      <c r="I1244" t="s">
        <v>3133</v>
      </c>
      <c r="J1244">
        <f>VLOOKUP(F1244,[1]!china_towns_second__2[[Column1]:[Y]],3,FALSE)</f>
        <v>36.980496789565798</v>
      </c>
      <c r="K1244">
        <f>VLOOKUP(F1244,[1]!china_towns_second__2[[Column1]:[Y]],2,FALSE)</f>
        <v>108.8995999</v>
      </c>
      <c r="L1244" t="s">
        <v>5362</v>
      </c>
      <c r="M1244" t="str">
        <f>VLOOKUP(H1244,CHOOSE({1,2},Table11[Native],Table11[Name]),2,0)</f>
        <v>Zhìdān Xiàn</v>
      </c>
      <c r="N1244" s="13" t="str">
        <f>VLOOKUP(I1244,CHOOSE({1,2},Table11[Native],Table11[Name]),2,0)</f>
        <v>Yán'ān Shì</v>
      </c>
      <c r="O1244" s="13" t="str">
        <f t="shared" si="78"/>
        <v>Xinghe Zhen (Yán'ān Shì)</v>
      </c>
      <c r="P1244" s="13" t="str">
        <f t="shared" si="79"/>
        <v>Xinghe Zhen (Yán'ān Shì)</v>
      </c>
    </row>
    <row r="1245" spans="1:16" hidden="1" x14ac:dyDescent="0.25">
      <c r="A1245" t="s">
        <v>583</v>
      </c>
      <c r="B1245" t="str">
        <f t="shared" si="76"/>
        <v>Xìnglín Zhèn (Băojī Shì)</v>
      </c>
      <c r="C1245" t="str">
        <f t="shared" si="77"/>
        <v>Xìnglín Zhèn (Băojī Shì)</v>
      </c>
      <c r="D1245" t="s">
        <v>584</v>
      </c>
      <c r="E1245" t="s">
        <v>7</v>
      </c>
      <c r="F1245" t="str">
        <f>_xlfn.CONCAT(D1245,", ",H1245,", ",I1245,", ","陕西省")</f>
        <v>杏林镇, 扶风县, 宝鸡市, 陕西省</v>
      </c>
      <c r="G1245">
        <v>24866</v>
      </c>
      <c r="H1245" t="s">
        <v>3049</v>
      </c>
      <c r="I1245" t="s">
        <v>3045</v>
      </c>
      <c r="J1245">
        <f>VLOOKUP(F1245,[1]!china_towns_second__2[[Column1]:[Y]],3,FALSE)</f>
        <v>34.350844605515803</v>
      </c>
      <c r="K1245">
        <f>VLOOKUP(F1245,[1]!china_towns_second__2[[Column1]:[Y]],2,FALSE)</f>
        <v>107.98250299999999</v>
      </c>
      <c r="L1245" t="s">
        <v>5363</v>
      </c>
      <c r="M1245" t="str">
        <f>VLOOKUP(H1245,CHOOSE({1,2},Table11[Native],Table11[Name]),2,0)</f>
        <v>Fúfēng Xiàn</v>
      </c>
      <c r="N1245" s="13" t="str">
        <f>VLOOKUP(I1245,CHOOSE({1,2},Table11[Native],Table11[Name]),2,0)</f>
        <v>Băojī Shì</v>
      </c>
      <c r="O1245" s="13" t="str">
        <f t="shared" si="78"/>
        <v>Xinglin Zhen (Baoji Shi) (Băojī Shì)</v>
      </c>
      <c r="P1245" s="13" t="str">
        <f t="shared" si="79"/>
        <v>Xinglin Zhen (Baoji Shi) (Băojī Shì)</v>
      </c>
    </row>
    <row r="1246" spans="1:16" hidden="1" x14ac:dyDescent="0.25">
      <c r="A1246" t="s">
        <v>583</v>
      </c>
      <c r="B1246" t="str">
        <f t="shared" si="76"/>
        <v>Xìnglín Zhèn (Wèinán Shì)</v>
      </c>
      <c r="C1246" t="str">
        <f t="shared" si="77"/>
        <v>Xìnglín Zhèn (Wèinán Shì)</v>
      </c>
      <c r="D1246" t="s">
        <v>584</v>
      </c>
      <c r="E1246" t="s">
        <v>7</v>
      </c>
      <c r="F1246" t="str">
        <f>_xlfn.CONCAT(D1246,", ",H1246,", ",I1246,", ","陕西省")</f>
        <v>杏林镇, 华州区, 渭南市, 陕西省</v>
      </c>
      <c r="G1246">
        <v>26356</v>
      </c>
      <c r="H1246" t="s">
        <v>3096</v>
      </c>
      <c r="I1246" t="s">
        <v>3087</v>
      </c>
      <c r="J1246">
        <f>VLOOKUP(F1246,[1]!china_towns_second__2[[Column1]:[Y]],3,FALSE)</f>
        <v>34.418084335401197</v>
      </c>
      <c r="K1246">
        <f>VLOOKUP(F1246,[1]!china_towns_second__2[[Column1]:[Y]],2,FALSE)</f>
        <v>109.8073042</v>
      </c>
      <c r="L1246" t="s">
        <v>5364</v>
      </c>
      <c r="M1246" t="str">
        <f>VLOOKUP(H1246,CHOOSE({1,2},Table11[Native],Table11[Name]),2,0)</f>
        <v>Huázhōu Qū</v>
      </c>
      <c r="N1246" s="13" t="str">
        <f>VLOOKUP(I1246,CHOOSE({1,2},Table11[Native],Table11[Name]),2,0)</f>
        <v>Wèinán Shì</v>
      </c>
      <c r="O1246" s="13" t="str">
        <f t="shared" si="78"/>
        <v>Xinglin Zhen (Weinan Shi) (Wèinán Shì)</v>
      </c>
      <c r="P1246" s="13" t="str">
        <f t="shared" si="79"/>
        <v>Xinglin Zhen (Weinan Shi) (Wèinán Shì)</v>
      </c>
    </row>
    <row r="1247" spans="1:16" hidden="1" x14ac:dyDescent="0.25">
      <c r="A1247" t="s">
        <v>2257</v>
      </c>
      <c r="B1247" t="str">
        <f t="shared" si="76"/>
        <v>Xīnglóng Jiēdào</v>
      </c>
      <c r="C1247" t="str">
        <f t="shared" si="77"/>
        <v>Xīnglóng Jiēdào</v>
      </c>
      <c r="D1247" t="s">
        <v>2258</v>
      </c>
      <c r="E1247" t="s">
        <v>113</v>
      </c>
      <c r="F1247" t="str">
        <f>_xlfn.CONCAT(D1247,", ",H1247,", ",I1247,", ","陕西省")</f>
        <v>兴隆街道, 长安区, 西安市, 陕西省</v>
      </c>
      <c r="G1247">
        <v>45727</v>
      </c>
      <c r="H1247" t="s">
        <v>3105</v>
      </c>
      <c r="I1247" t="s">
        <v>3102</v>
      </c>
      <c r="J1247">
        <f>VLOOKUP(F1247,[1]!china_towns_second__2[[Column1]:[Y]],3,FALSE)</f>
        <v>34.120418732012297</v>
      </c>
      <c r="K1247">
        <f>VLOOKUP(F1247,[1]!china_towns_second__2[[Column1]:[Y]],2,FALSE)</f>
        <v>108.8019978</v>
      </c>
      <c r="L1247" t="s">
        <v>5365</v>
      </c>
      <c r="M1247" t="str">
        <f>VLOOKUP(H1247,CHOOSE({1,2},Table11[Native],Table11[Name]),2,0)</f>
        <v>Cháng'ān Qū</v>
      </c>
      <c r="N1247" s="13" t="str">
        <f>VLOOKUP(I1247,CHOOSE({1,2},Table11[Native],Table11[Name]),2,0)</f>
        <v>Xī'ān Shì</v>
      </c>
      <c r="O1247" s="13" t="str">
        <f t="shared" si="78"/>
        <v>Xinglong Jiedao (Xī'ān Shì)</v>
      </c>
      <c r="P1247" s="13" t="str">
        <f t="shared" si="79"/>
        <v>Xinglong Jiedao (Xī'ān Shì)</v>
      </c>
    </row>
    <row r="1248" spans="1:16" hidden="1" x14ac:dyDescent="0.25">
      <c r="A1248" t="s">
        <v>281</v>
      </c>
      <c r="B1248" t="str">
        <f t="shared" si="76"/>
        <v>Xīnglóng Zhèn (Ānkāng Shì)</v>
      </c>
      <c r="C1248" t="str">
        <f t="shared" si="77"/>
        <v>Xīnglóng Zhèn (Ānkāng Shì)</v>
      </c>
      <c r="D1248" t="s">
        <v>282</v>
      </c>
      <c r="E1248" t="s">
        <v>7</v>
      </c>
      <c r="F1248" t="str">
        <f>_xlfn.CONCAT(D1248,", ",H1248,", ",I1248,", ","陕西省")</f>
        <v>兴隆镇, 平利县, 安康市, 陕西省</v>
      </c>
      <c r="G1248">
        <v>11017</v>
      </c>
      <c r="H1248" t="s">
        <v>3039</v>
      </c>
      <c r="I1248" t="s">
        <v>3031</v>
      </c>
      <c r="J1248">
        <f>VLOOKUP(F1248,[1]!china_towns_second__2[[Column1]:[Y]],3,FALSE)</f>
        <v>32.502307183304602</v>
      </c>
      <c r="K1248">
        <f>VLOOKUP(F1248,[1]!china_towns_second__2[[Column1]:[Y]],2,FALSE)</f>
        <v>109.39144400000001</v>
      </c>
      <c r="L1248" t="s">
        <v>5366</v>
      </c>
      <c r="M1248" t="str">
        <f>VLOOKUP(H1248,CHOOSE({1,2},Table11[Native],Table11[Name]),2,0)</f>
        <v>Pínglì Xiàn</v>
      </c>
      <c r="N1248" s="13" t="str">
        <f>VLOOKUP(I1248,CHOOSE({1,2},Table11[Native],Table11[Name]),2,0)</f>
        <v>Ānkāng Shì</v>
      </c>
      <c r="O1248" s="13" t="str">
        <f t="shared" si="78"/>
        <v>Xinglong Zhen (Ankang Shi) (Ānkāng Shì)</v>
      </c>
      <c r="P1248" s="13" t="str">
        <f t="shared" si="79"/>
        <v>Xinglong Zhen (Ankang Shi) (Ānkāng Shì)</v>
      </c>
    </row>
    <row r="1249" spans="1:16" hidden="1" x14ac:dyDescent="0.25">
      <c r="A1249" t="s">
        <v>281</v>
      </c>
      <c r="B1249" t="str">
        <f t="shared" si="76"/>
        <v>Xīnglóng Zhèn (Hànzhōng Shì)</v>
      </c>
      <c r="C1249" t="str">
        <f t="shared" si="77"/>
        <v>Xīnglóng Zhèn (Hànzhōng Shì)</v>
      </c>
      <c r="D1249" t="s">
        <v>282</v>
      </c>
      <c r="E1249" t="s">
        <v>7</v>
      </c>
      <c r="F1249" t="str">
        <f>_xlfn.CONCAT(D1249,", ",H1249,", ",I1249,", ","陕西省")</f>
        <v>兴隆镇, 镇巴县, 汉中市, 陕西省</v>
      </c>
      <c r="G1249">
        <v>11840</v>
      </c>
      <c r="H1249" t="s">
        <v>3070</v>
      </c>
      <c r="I1249" t="s">
        <v>3059</v>
      </c>
      <c r="J1249">
        <f>VLOOKUP(F1249,[1]!china_towns_second__2[[Column1]:[Y]],3,FALSE)</f>
        <v>32.610056855948301</v>
      </c>
      <c r="K1249">
        <f>VLOOKUP(F1249,[1]!china_towns_second__2[[Column1]:[Y]],2,FALSE)</f>
        <v>108.01728300000001</v>
      </c>
      <c r="L1249" t="s">
        <v>5367</v>
      </c>
      <c r="M1249" t="str">
        <f>VLOOKUP(H1249,CHOOSE({1,2},Table11[Native],Table11[Name]),2,0)</f>
        <v>Zhènbā Xiàn</v>
      </c>
      <c r="N1249" s="13" t="str">
        <f>VLOOKUP(I1249,CHOOSE({1,2},Table11[Native],Table11[Name]),2,0)</f>
        <v>Hànzhōng Shì</v>
      </c>
      <c r="O1249" s="13" t="str">
        <f t="shared" si="78"/>
        <v>Xinglong Zhen (Hanzhong Shi) (Hànzhōng Shì)</v>
      </c>
      <c r="P1249" s="13" t="str">
        <f t="shared" si="79"/>
        <v>Xinglong Zhen (Hanzhong Shi) (Hànzhōng Shì)</v>
      </c>
    </row>
    <row r="1250" spans="1:16" hidden="1" x14ac:dyDescent="0.25">
      <c r="A1250" t="s">
        <v>1903</v>
      </c>
      <c r="B1250" t="str">
        <f t="shared" si="76"/>
        <v>Xīnglóng Zhèn [incl. Báiwáng Zhèn]</v>
      </c>
      <c r="C1250" t="str">
        <f t="shared" si="77"/>
        <v>Xīnglóng Zhèn [incl. Báiwáng Zhèn]</v>
      </c>
      <c r="D1250" t="s">
        <v>282</v>
      </c>
      <c r="E1250" t="s">
        <v>7</v>
      </c>
      <c r="F1250" t="str">
        <f>_xlfn.CONCAT(D1250,", ",H1250,", ",I1250,", ","陕西省")</f>
        <v>兴隆镇, 泾阳县, 咸阳市, 陕西省</v>
      </c>
      <c r="G1250">
        <v>35102</v>
      </c>
      <c r="H1250" t="s">
        <v>3121</v>
      </c>
      <c r="I1250" t="s">
        <v>3117</v>
      </c>
      <c r="J1250">
        <f>VLOOKUP(F1250,[1]!china_towns_second__2[[Column1]:[Y]],3,FALSE)</f>
        <v>34.6821440374435</v>
      </c>
      <c r="K1250">
        <f>VLOOKUP(F1250,[1]!china_towns_second__2[[Column1]:[Y]],2,FALSE)</f>
        <v>108.6243358</v>
      </c>
      <c r="L1250" t="s">
        <v>5368</v>
      </c>
      <c r="M1250" t="str">
        <f>VLOOKUP(H1250,CHOOSE({1,2},Table11[Native],Table11[Name]),2,0)</f>
        <v>Jīngyáng Xiàn</v>
      </c>
      <c r="N1250" s="13" t="str">
        <f>VLOOKUP(I1250,CHOOSE({1,2},Table11[Native],Table11[Name]),2,0)</f>
        <v>Xiányáng Shì</v>
      </c>
      <c r="O1250" s="13" t="str">
        <f t="shared" si="78"/>
        <v>Xinglong Zhen [incl. Baiwang Zhen] (Xiányáng Shì)</v>
      </c>
      <c r="P1250" s="13" t="str">
        <f t="shared" si="79"/>
        <v>Xinglong Zhen [incl. Baiwang Zhen] (Xiányáng Shì)</v>
      </c>
    </row>
    <row r="1251" spans="1:16" hidden="1" x14ac:dyDescent="0.25">
      <c r="A1251" t="s">
        <v>1246</v>
      </c>
      <c r="B1251" t="str">
        <f t="shared" si="76"/>
        <v>Xìngpíng Zhèn [incl. Cháizhuāng Xiāng]</v>
      </c>
      <c r="C1251" t="str">
        <f t="shared" si="77"/>
        <v>Xìngpíng Zhèn [incl. Cháizhuāng Xiāng]</v>
      </c>
      <c r="D1251" t="s">
        <v>1247</v>
      </c>
      <c r="E1251" t="s">
        <v>7</v>
      </c>
      <c r="F1251" t="str">
        <f>_xlfn.CONCAT(D1251,", ",H1251,", ",I1251,", ","陕西省")</f>
        <v>杏坪镇, 柞水县, 商洛市, 陕西省</v>
      </c>
      <c r="G1251">
        <v>22977</v>
      </c>
      <c r="H1251" t="s">
        <v>3078</v>
      </c>
      <c r="I1251" t="s">
        <v>3072</v>
      </c>
      <c r="J1251">
        <f>VLOOKUP(F1251,[1]!china_towns_second__2[[Column1]:[Y]],3,FALSE)</f>
        <v>33.514443816390603</v>
      </c>
      <c r="K1251">
        <f>VLOOKUP(F1251,[1]!china_towns_second__2[[Column1]:[Y]],2,FALSE)</f>
        <v>109.4814186</v>
      </c>
      <c r="L1251" t="s">
        <v>5369</v>
      </c>
      <c r="M1251" t="str">
        <f>VLOOKUP(H1251,CHOOSE({1,2},Table11[Native],Table11[Name]),2,0)</f>
        <v>Zhàshuĭ Xiàn</v>
      </c>
      <c r="N1251" s="13" t="str">
        <f>VLOOKUP(I1251,CHOOSE({1,2},Table11[Native],Table11[Name]),2,0)</f>
        <v>Shāngluò Shì</v>
      </c>
      <c r="O1251" s="13" t="str">
        <f t="shared" si="78"/>
        <v>Xingping Zhen [incl. Chaizhuang Xiang] (Shāngluò Shì)</v>
      </c>
      <c r="P1251" s="13" t="str">
        <f t="shared" si="79"/>
        <v>Xingping Zhen [incl. Chaizhuang Xiang] (Shāngluò Shì)</v>
      </c>
    </row>
    <row r="1252" spans="1:16" hidden="1" x14ac:dyDescent="0.25">
      <c r="A1252" t="s">
        <v>2259</v>
      </c>
      <c r="B1252" t="str">
        <f t="shared" si="76"/>
        <v>Xíngzhĕ Jiēdào</v>
      </c>
      <c r="C1252" t="str">
        <f t="shared" si="77"/>
        <v>Xíngzhĕ Jiēdào</v>
      </c>
      <c r="D1252" t="s">
        <v>2260</v>
      </c>
      <c r="E1252" t="s">
        <v>113</v>
      </c>
      <c r="F1252" t="str">
        <f>_xlfn.CONCAT(D1252,", ",H1252,", ",I1252,", ","陕西省")</f>
        <v>行者街道, 临潼区, 西安市, 陕西省</v>
      </c>
      <c r="G1252">
        <v>25821</v>
      </c>
      <c r="H1252" t="s">
        <v>3110</v>
      </c>
      <c r="I1252" t="s">
        <v>3102</v>
      </c>
      <c r="J1252">
        <f>VLOOKUP(F1252,[1]!china_towns_second__2[[Column1]:[Y]],3,FALSE)</f>
        <v>34.4047179268089</v>
      </c>
      <c r="K1252">
        <f>VLOOKUP(F1252,[1]!china_towns_second__2[[Column1]:[Y]],2,FALSE)</f>
        <v>109.191901</v>
      </c>
      <c r="L1252" t="s">
        <v>5370</v>
      </c>
      <c r="M1252" t="str">
        <f>VLOOKUP(H1252,CHOOSE({1,2},Table11[Native],Table11[Name]),2,0)</f>
        <v>Líntóng Qū</v>
      </c>
      <c r="N1252" s="13" t="str">
        <f>VLOOKUP(I1252,CHOOSE({1,2},Table11[Native],Table11[Name]),2,0)</f>
        <v>Xī'ān Shì</v>
      </c>
      <c r="O1252" s="13" t="str">
        <f t="shared" si="78"/>
        <v>Xingzhe Jiedao (Xī'ān Shì)</v>
      </c>
      <c r="P1252" s="13" t="str">
        <f t="shared" si="79"/>
        <v>Xingzhe Jiedao (Xī'ān Shì)</v>
      </c>
    </row>
    <row r="1253" spans="1:16" hidden="1" x14ac:dyDescent="0.25">
      <c r="A1253" t="s">
        <v>963</v>
      </c>
      <c r="B1253" t="str">
        <f t="shared" si="76"/>
        <v>Xìngzhōu Jiēdào [Chéngguān Zhèn]</v>
      </c>
      <c r="C1253" t="str">
        <f t="shared" si="77"/>
        <v>Xìngzhōu Jiēdào [Chéngguān Zhèn]</v>
      </c>
      <c r="D1253" t="s">
        <v>964</v>
      </c>
      <c r="E1253" t="s">
        <v>113</v>
      </c>
      <c r="F1253" t="str">
        <f>_xlfn.CONCAT(D1253,", ",H1253,", ",I1253,", ","陕西省")</f>
        <v>兴州街道, 略阳县, 汉中市, 陕西省</v>
      </c>
      <c r="G1253">
        <v>67496</v>
      </c>
      <c r="H1253" t="s">
        <v>3064</v>
      </c>
      <c r="I1253" t="s">
        <v>3059</v>
      </c>
      <c r="J1253" t="e">
        <f>VLOOKUP(F1253,[1]!china_towns_second__2[[Column1]:[Y]],3,FALSE)</f>
        <v>#N/A</v>
      </c>
      <c r="K1253" t="e">
        <f>VLOOKUP(F1253,[1]!china_towns_second__2[[Column1]:[Y]],2,FALSE)</f>
        <v>#N/A</v>
      </c>
      <c r="L1253" t="s">
        <v>5371</v>
      </c>
      <c r="M1253" t="str">
        <f>VLOOKUP(H1253,CHOOSE({1,2},Table11[Native],Table11[Name]),2,0)</f>
        <v>Lüèyáng Xiàn</v>
      </c>
      <c r="N1253" s="13" t="str">
        <f>VLOOKUP(I1253,CHOOSE({1,2},Table11[Native],Table11[Name]),2,0)</f>
        <v>Hànzhōng Shì</v>
      </c>
      <c r="O1253" s="13" t="str">
        <f t="shared" si="78"/>
        <v>Xingzhou Jiedao [Chengguan Zhen] (Hànzhōng Shì)</v>
      </c>
      <c r="P1253" s="13" t="str">
        <f t="shared" si="79"/>
        <v>Xingzhou Jiedao [Chengguan Zhen] (Hànzhōng Shì)</v>
      </c>
    </row>
    <row r="1254" spans="1:16" hidden="1" x14ac:dyDescent="0.25">
      <c r="A1254" t="s">
        <v>2261</v>
      </c>
      <c r="B1254" t="str">
        <f t="shared" si="76"/>
        <v>Xīnhé Jiēdào</v>
      </c>
      <c r="C1254" t="str">
        <f t="shared" si="77"/>
        <v>Xīnhé Jiēdào</v>
      </c>
      <c r="D1254" t="s">
        <v>2262</v>
      </c>
      <c r="E1254" t="s">
        <v>113</v>
      </c>
      <c r="F1254" t="str">
        <f>_xlfn.CONCAT(D1254,", ",H1254,", ",I1254,", ","陕西省")</f>
        <v>新合街道, 灞桥区, 西安市, 陕西省</v>
      </c>
      <c r="G1254">
        <v>42896</v>
      </c>
      <c r="H1254" t="s">
        <v>3103</v>
      </c>
      <c r="I1254" t="s">
        <v>3102</v>
      </c>
      <c r="J1254">
        <f>VLOOKUP(F1254,[1]!china_towns_second__2[[Column1]:[Y]],3,FALSE)</f>
        <v>34.418530655164403</v>
      </c>
      <c r="K1254">
        <f>VLOOKUP(F1254,[1]!china_towns_second__2[[Column1]:[Y]],2,FALSE)</f>
        <v>109.06684540000001</v>
      </c>
      <c r="L1254" t="s">
        <v>5372</v>
      </c>
      <c r="M1254" t="str">
        <f>VLOOKUP(H1254,CHOOSE({1,2},Table11[Native],Table11[Name]),2,0)</f>
        <v>Bàqiáo Qū</v>
      </c>
      <c r="N1254" s="13" t="str">
        <f>VLOOKUP(I1254,CHOOSE({1,2},Table11[Native],Table11[Name]),2,0)</f>
        <v>Xī'ān Shì</v>
      </c>
      <c r="O1254" s="13" t="str">
        <f t="shared" si="78"/>
        <v>Xinhe Jiedao (Xī'ān Shì)</v>
      </c>
      <c r="P1254" s="13" t="str">
        <f t="shared" si="79"/>
        <v>Xinhe Jiedao (Xī'ān Shì)</v>
      </c>
    </row>
    <row r="1255" spans="1:16" hidden="1" x14ac:dyDescent="0.25">
      <c r="A1255" t="s">
        <v>2263</v>
      </c>
      <c r="B1255" t="str">
        <f t="shared" si="76"/>
        <v>Xīnhuálù Jiēdào</v>
      </c>
      <c r="C1255" t="str">
        <f t="shared" si="77"/>
        <v>Xīnhuálù Jiēdào</v>
      </c>
      <c r="D1255" t="s">
        <v>2264</v>
      </c>
      <c r="E1255" t="s">
        <v>113</v>
      </c>
      <c r="F1255" t="str">
        <f>_xlfn.CONCAT(D1255,", ",H1255,", ",I1255,", ","陕西省")</f>
        <v>新华路街道, 阎良区, 西安市, 陕西省</v>
      </c>
      <c r="G1255">
        <v>67827</v>
      </c>
      <c r="H1255" t="s">
        <v>3113</v>
      </c>
      <c r="I1255" t="s">
        <v>3102</v>
      </c>
      <c r="J1255">
        <f>VLOOKUP(F1255,[1]!china_towns_second__2[[Column1]:[Y]],3,FALSE)</f>
        <v>34.6523718599597</v>
      </c>
      <c r="K1255">
        <f>VLOOKUP(F1255,[1]!china_towns_second__2[[Column1]:[Y]],2,FALSE)</f>
        <v>109.2411997</v>
      </c>
      <c r="L1255" t="s">
        <v>5373</v>
      </c>
      <c r="M1255" t="str">
        <f>VLOOKUP(H1255,CHOOSE({1,2},Table11[Native],Table11[Name]),2,0)</f>
        <v>Yánliáng Qū</v>
      </c>
      <c r="N1255" s="13" t="str">
        <f>VLOOKUP(I1255,CHOOSE({1,2},Table11[Native],Table11[Name]),2,0)</f>
        <v>Xī'ān Shì</v>
      </c>
      <c r="O1255" s="13" t="str">
        <f t="shared" si="78"/>
        <v>Xinhualu Jiedao (Xī'ān Shì)</v>
      </c>
      <c r="P1255" s="13" t="str">
        <f t="shared" si="79"/>
        <v>Xinhualu Jiedao (Xī'ān Shì)</v>
      </c>
    </row>
    <row r="1256" spans="1:16" hidden="1" x14ac:dyDescent="0.25">
      <c r="A1256" t="s">
        <v>967</v>
      </c>
      <c r="B1256" t="str">
        <f t="shared" si="76"/>
        <v>Xīnjí Zhèn [incl. Rĕnshuĭ Xiāng]</v>
      </c>
      <c r="C1256" t="str">
        <f t="shared" si="77"/>
        <v>Xīnjí Zhèn [incl. Rĕnshuĭ Xiāng]</v>
      </c>
      <c r="D1256" t="s">
        <v>968</v>
      </c>
      <c r="E1256" t="s">
        <v>7</v>
      </c>
      <c r="F1256" t="str">
        <f>_xlfn.CONCAT(D1256,", ",H1256,", ",I1256,", ","陕西省")</f>
        <v>新集镇, 南郑区, 汉中市, 陕西省</v>
      </c>
      <c r="G1256">
        <v>39286</v>
      </c>
      <c r="H1256" t="s">
        <v>3066</v>
      </c>
      <c r="I1256" t="s">
        <v>3059</v>
      </c>
      <c r="J1256">
        <f>VLOOKUP(F1256,[1]!china_towns_second__2[[Column1]:[Y]],3,FALSE)</f>
        <v>32.989999078267097</v>
      </c>
      <c r="K1256">
        <f>VLOOKUP(F1256,[1]!china_towns_second__2[[Column1]:[Y]],2,FALSE)</f>
        <v>106.78021099999999</v>
      </c>
      <c r="L1256" t="s">
        <v>5374</v>
      </c>
      <c r="M1256" t="str">
        <f>VLOOKUP(H1256,CHOOSE({1,2},Table11[Native],Table11[Name]),2,0)</f>
        <v>Nánzhèng Qū</v>
      </c>
      <c r="N1256" s="13" t="str">
        <f>VLOOKUP(I1256,CHOOSE({1,2},Table11[Native],Table11[Name]),2,0)</f>
        <v>Hànzhōng Shì</v>
      </c>
      <c r="O1256" s="13" t="str">
        <f t="shared" si="78"/>
        <v>Xinji Zhen [incl. Renshui Xiang] (Hànzhōng Shì)</v>
      </c>
      <c r="P1256" s="13" t="str">
        <f t="shared" si="79"/>
        <v>Xinji Zhen [incl. Renshui Xiang] (Hànzhōng Shì)</v>
      </c>
    </row>
    <row r="1257" spans="1:16" hidden="1" x14ac:dyDescent="0.25">
      <c r="A1257" t="s">
        <v>2950</v>
      </c>
      <c r="B1257" t="str">
        <f t="shared" si="76"/>
        <v>Xīnjiāgōu Zhèn</v>
      </c>
      <c r="C1257" t="str">
        <f t="shared" si="77"/>
        <v>Xīnjiāgōu Zhèn</v>
      </c>
      <c r="D1257" t="s">
        <v>2951</v>
      </c>
      <c r="E1257" t="s">
        <v>7</v>
      </c>
      <c r="F1257" t="str">
        <f>_xlfn.CONCAT(D1257,", ",H1257,", ",I1257,", ","陕西省")</f>
        <v>辛家沟镇, 吴堡县, 榆林市, 陕西省</v>
      </c>
      <c r="G1257">
        <v>5671</v>
      </c>
      <c r="H1257" t="s">
        <v>3158</v>
      </c>
      <c r="I1257" t="s">
        <v>3148</v>
      </c>
      <c r="J1257">
        <f>VLOOKUP(F1257,[1]!china_towns_second__2[[Column1]:[Y]],3,FALSE)</f>
        <v>37.5806272976725</v>
      </c>
      <c r="K1257">
        <f>VLOOKUP(F1257,[1]!china_towns_second__2[[Column1]:[Y]],2,FALSE)</f>
        <v>110.6319383</v>
      </c>
      <c r="L1257" t="s">
        <v>5375</v>
      </c>
      <c r="M1257" t="str">
        <f>VLOOKUP(H1257,CHOOSE({1,2},Table11[Native],Table11[Name]),2,0)</f>
        <v>Wúbǔ Xiàn</v>
      </c>
      <c r="N1257" s="13" t="str">
        <f>VLOOKUP(I1257,CHOOSE({1,2},Table11[Native],Table11[Name]),2,0)</f>
        <v>Yúlín Shì</v>
      </c>
      <c r="O1257" s="13" t="str">
        <f t="shared" si="78"/>
        <v>Xinjiagou Zhen (Yúlín Shì)</v>
      </c>
      <c r="P1257" s="13" t="str">
        <f t="shared" si="79"/>
        <v>Xinjiagou Zhen (Yúlín Shì)</v>
      </c>
    </row>
    <row r="1258" spans="1:16" hidden="1" x14ac:dyDescent="0.25">
      <c r="A1258" t="s">
        <v>2265</v>
      </c>
      <c r="B1258" t="str">
        <f t="shared" si="76"/>
        <v>Xīnjiāmiào Jiēdào</v>
      </c>
      <c r="C1258" t="str">
        <f t="shared" si="77"/>
        <v>Xīnjiāmiào Jiēdào</v>
      </c>
      <c r="D1258" t="s">
        <v>2266</v>
      </c>
      <c r="E1258" t="s">
        <v>113</v>
      </c>
      <c r="F1258" t="str">
        <f>_xlfn.CONCAT(D1258,", ",H1258,", ",I1258,", ","陕西省")</f>
        <v>辛家庙街道, 未央区, 西安市, 陕西省</v>
      </c>
      <c r="G1258">
        <v>50173</v>
      </c>
      <c r="H1258" t="s">
        <v>3111</v>
      </c>
      <c r="I1258" t="s">
        <v>3102</v>
      </c>
      <c r="J1258">
        <f>VLOOKUP(F1258,[1]!china_towns_second__2[[Column1]:[Y]],3,FALSE)</f>
        <v>34.315465272034899</v>
      </c>
      <c r="K1258">
        <f>VLOOKUP(F1258,[1]!china_towns_second__2[[Column1]:[Y]],2,FALSE)</f>
        <v>109.00891009999999</v>
      </c>
      <c r="L1258" t="s">
        <v>5376</v>
      </c>
      <c r="M1258" t="str">
        <f>VLOOKUP(H1258,CHOOSE({1,2},Table11[Native],Table11[Name]),2,0)</f>
        <v>Wèiyāng Qū</v>
      </c>
      <c r="N1258" s="13" t="str">
        <f>VLOOKUP(I1258,CHOOSE({1,2},Table11[Native],Table11[Name]),2,0)</f>
        <v>Xī'ān Shì</v>
      </c>
      <c r="O1258" s="13" t="str">
        <f t="shared" si="78"/>
        <v>Xinjiamiao Jiedao (Xī'ān Shì)</v>
      </c>
      <c r="P1258" s="13" t="str">
        <f t="shared" si="79"/>
        <v>Xinjiamiao Jiedao (Xī'ān Shì)</v>
      </c>
    </row>
    <row r="1259" spans="1:16" hidden="1" x14ac:dyDescent="0.25">
      <c r="A1259" t="s">
        <v>585</v>
      </c>
      <c r="B1259" t="str">
        <f t="shared" si="76"/>
        <v>Xīnjíchuān Zhèn</v>
      </c>
      <c r="C1259" t="str">
        <f t="shared" si="77"/>
        <v>Xīnjíchuān Zhèn</v>
      </c>
      <c r="D1259" t="s">
        <v>586</v>
      </c>
      <c r="E1259" t="s">
        <v>7</v>
      </c>
      <c r="F1259" t="str">
        <f>_xlfn.CONCAT(D1259,", ",H1259,", ",I1259,", ","陕西省")</f>
        <v>新集川镇, 陇县, 宝鸡市, 陕西省</v>
      </c>
      <c r="G1259">
        <v>5538</v>
      </c>
      <c r="H1259" t="s">
        <v>3052</v>
      </c>
      <c r="I1259" t="s">
        <v>3045</v>
      </c>
      <c r="J1259">
        <f>VLOOKUP(F1259,[1]!china_towns_second__2[[Column1]:[Y]],3,FALSE)</f>
        <v>35.049790987026903</v>
      </c>
      <c r="K1259">
        <f>VLOOKUP(F1259,[1]!china_towns_second__2[[Column1]:[Y]],2,FALSE)</f>
        <v>106.6381607</v>
      </c>
      <c r="L1259" t="s">
        <v>5377</v>
      </c>
      <c r="M1259" t="str">
        <f>VLOOKUP(H1259,CHOOSE({1,2},Table11[Native],Table11[Name]),2,0)</f>
        <v>Lŏng Xiàn</v>
      </c>
      <c r="N1259" s="13" t="str">
        <f>VLOOKUP(I1259,CHOOSE({1,2},Table11[Native],Table11[Name]),2,0)</f>
        <v>Băojī Shì</v>
      </c>
      <c r="O1259" s="13" t="str">
        <f t="shared" si="78"/>
        <v>Xinjichuan Zhen (Băojī Shì)</v>
      </c>
      <c r="P1259" s="13" t="str">
        <f t="shared" si="79"/>
        <v>Xinjichuan Zhen (Băojī Shì)</v>
      </c>
    </row>
    <row r="1260" spans="1:16" hidden="1" x14ac:dyDescent="0.25">
      <c r="A1260" t="s">
        <v>587</v>
      </c>
      <c r="B1260" t="str">
        <f t="shared" si="76"/>
        <v>Xīnjiē Zhèn</v>
      </c>
      <c r="C1260" t="str">
        <f t="shared" si="77"/>
        <v>Xīnjiē Zhèn</v>
      </c>
      <c r="D1260" t="s">
        <v>588</v>
      </c>
      <c r="E1260" t="s">
        <v>7</v>
      </c>
      <c r="F1260" t="str">
        <f>_xlfn.CONCAT(D1260,", ",H1260,", ",I1260,", ","陕西省")</f>
        <v>新街镇, 陈仓区, 宝鸡市, 陕西省</v>
      </c>
      <c r="G1260">
        <v>15679</v>
      </c>
      <c r="H1260" t="s">
        <v>3046</v>
      </c>
      <c r="I1260" t="s">
        <v>3045</v>
      </c>
      <c r="J1260">
        <f>VLOOKUP(F1260,[1]!china_towns_second__2[[Column1]:[Y]],3,FALSE)</f>
        <v>34.658021821393497</v>
      </c>
      <c r="K1260">
        <f>VLOOKUP(F1260,[1]!china_towns_second__2[[Column1]:[Y]],2,FALSE)</f>
        <v>106.9123378</v>
      </c>
      <c r="L1260" t="s">
        <v>5378</v>
      </c>
      <c r="M1260" t="str">
        <f>VLOOKUP(H1260,CHOOSE({1,2},Table11[Native],Table11[Name]),2,0)</f>
        <v>Chéncāng Qū</v>
      </c>
      <c r="N1260" s="13" t="str">
        <f>VLOOKUP(I1260,CHOOSE({1,2},Table11[Native],Table11[Name]),2,0)</f>
        <v>Băojī Shì</v>
      </c>
      <c r="O1260" s="13" t="str">
        <f t="shared" si="78"/>
        <v>Xinjie Zhen (Băojī Shì)</v>
      </c>
      <c r="P1260" s="13" t="str">
        <f t="shared" si="79"/>
        <v>Xinjie Zhen (Băojī Shì)</v>
      </c>
    </row>
    <row r="1261" spans="1:16" hidden="1" x14ac:dyDescent="0.25">
      <c r="A1261" t="s">
        <v>965</v>
      </c>
      <c r="B1261" t="str">
        <f t="shared" si="76"/>
        <v>Xīnjiēzi Zhèn</v>
      </c>
      <c r="C1261" t="str">
        <f t="shared" si="77"/>
        <v>Xīnjiēzi Zhèn</v>
      </c>
      <c r="D1261" t="s">
        <v>966</v>
      </c>
      <c r="E1261" t="s">
        <v>7</v>
      </c>
      <c r="F1261" t="str">
        <f>_xlfn.CONCAT(D1261,", ",H1261,", ",I1261,", ","陕西省")</f>
        <v>新街子镇, 勉县, 汉中市, 陕西省</v>
      </c>
      <c r="G1261">
        <v>21531</v>
      </c>
      <c r="H1261" t="s">
        <v>3065</v>
      </c>
      <c r="I1261" t="s">
        <v>3059</v>
      </c>
      <c r="J1261">
        <f>VLOOKUP(F1261,[1]!china_towns_second__2[[Column1]:[Y]],3,FALSE)</f>
        <v>33.287675528046798</v>
      </c>
      <c r="K1261">
        <f>VLOOKUP(F1261,[1]!china_towns_second__2[[Column1]:[Y]],2,FALSE)</f>
        <v>106.8265619</v>
      </c>
      <c r="L1261" t="s">
        <v>5379</v>
      </c>
      <c r="M1261" t="str">
        <f>VLOOKUP(H1261,CHOOSE({1,2},Table11[Native],Table11[Name]),2,0)</f>
        <v>Miăn Xiàn</v>
      </c>
      <c r="N1261" s="13" t="str">
        <f>VLOOKUP(I1261,CHOOSE({1,2},Table11[Native],Table11[Name]),2,0)</f>
        <v>Hànzhōng Shì</v>
      </c>
      <c r="O1261" s="13" t="str">
        <f t="shared" si="78"/>
        <v>Xinjiezi Zhen (Hànzhōng Shì)</v>
      </c>
      <c r="P1261" s="13" t="str">
        <f t="shared" si="79"/>
        <v>Xinjiezi Zhen (Hànzhōng Shì)</v>
      </c>
    </row>
    <row r="1262" spans="1:16" hidden="1" x14ac:dyDescent="0.25">
      <c r="A1262" t="s">
        <v>2954</v>
      </c>
      <c r="B1262" t="str">
        <f t="shared" si="76"/>
        <v>Xīnmín Zhèn</v>
      </c>
      <c r="C1262" t="str">
        <f t="shared" si="77"/>
        <v>Xīnmín Zhèn</v>
      </c>
      <c r="D1262" t="s">
        <v>1905</v>
      </c>
      <c r="E1262" t="s">
        <v>7</v>
      </c>
      <c r="F1262" t="str">
        <f>_xlfn.CONCAT(D1262,", ",H1262,", ",I1262,", ","陕西省")</f>
        <v>新民镇, 府谷县, 榆林市, 陕西省</v>
      </c>
      <c r="G1262">
        <v>18371</v>
      </c>
      <c r="H1262" t="s">
        <v>3150</v>
      </c>
      <c r="I1262" t="s">
        <v>3148</v>
      </c>
      <c r="J1262">
        <f>VLOOKUP(F1262,[1]!china_towns_second__2[[Column1]:[Y]],3,FALSE)</f>
        <v>39.0761735674185</v>
      </c>
      <c r="K1262">
        <f>VLOOKUP(F1262,[1]!china_towns_second__2[[Column1]:[Y]],2,FALSE)</f>
        <v>110.7223906</v>
      </c>
      <c r="L1262" t="s">
        <v>5380</v>
      </c>
      <c r="M1262" t="str">
        <f>VLOOKUP(H1262,CHOOSE({1,2},Table11[Native],Table11[Name]),2,0)</f>
        <v>Fŭgŭ Xiàn</v>
      </c>
      <c r="N1262" s="13" t="str">
        <f>VLOOKUP(I1262,CHOOSE({1,2},Table11[Native],Table11[Name]),2,0)</f>
        <v>Yúlín Shì</v>
      </c>
      <c r="O1262" s="13" t="str">
        <f t="shared" si="78"/>
        <v>Xinmin Zhen (Yúlín Shì)</v>
      </c>
      <c r="P1262" s="13" t="str">
        <f t="shared" si="79"/>
        <v>Xinmin Zhen (Yúlín Shì)</v>
      </c>
    </row>
    <row r="1263" spans="1:16" hidden="1" x14ac:dyDescent="0.25">
      <c r="A1263" t="s">
        <v>1904</v>
      </c>
      <c r="B1263" t="str">
        <f t="shared" si="76"/>
        <v>Xīnmín Zhèn [incl. Xiăozhāng Zhèn, Tàndiàn Xiāng]</v>
      </c>
      <c r="C1263" t="str">
        <f t="shared" si="77"/>
        <v>Xīnmín Zhèn [incl. Xiăozhāng Zhèn, Tàndiàn Xiāng]</v>
      </c>
      <c r="D1263" t="s">
        <v>1905</v>
      </c>
      <c r="E1263" t="s">
        <v>7</v>
      </c>
      <c r="F1263" t="str">
        <f>_xlfn.CONCAT(D1263,", ",H1263,", ",I1263,", ","陕西省")</f>
        <v>新民镇, 彬州市, 咸阳市, 陕西省</v>
      </c>
      <c r="G1263">
        <v>61441</v>
      </c>
      <c r="H1263" t="s">
        <v>3118</v>
      </c>
      <c r="I1263" t="s">
        <v>3117</v>
      </c>
      <c r="J1263">
        <f>VLOOKUP(F1263,[1]!china_towns_second__2[[Column1]:[Y]],3,FALSE)</f>
        <v>35.149985329972601</v>
      </c>
      <c r="K1263">
        <f>VLOOKUP(F1263,[1]!china_towns_second__2[[Column1]:[Y]],2,FALSE)</f>
        <v>108.1632173</v>
      </c>
      <c r="L1263" t="s">
        <v>5381</v>
      </c>
      <c r="M1263" t="str">
        <f>VLOOKUP(H1263,CHOOSE({1,2},Table11[Native],Table11[Name]),2,0)</f>
        <v>Bīnzhōu Shì</v>
      </c>
      <c r="N1263" s="13" t="str">
        <f>VLOOKUP(I1263,CHOOSE({1,2},Table11[Native],Table11[Name]),2,0)</f>
        <v>Xiányáng Shì</v>
      </c>
      <c r="O1263" s="13" t="str">
        <f t="shared" si="78"/>
        <v>Xinmin Zhen [incl. Xiaozhang Zhen, Tandian Xiang] (Xiányáng Shì)</v>
      </c>
      <c r="P1263" s="13" t="str">
        <f t="shared" si="79"/>
        <v>Xinmin Zhen [incl. Xiaozhang Zhen, Tandian Xiang] (Xiányáng Shì)</v>
      </c>
    </row>
    <row r="1264" spans="1:16" hidden="1" x14ac:dyDescent="0.25">
      <c r="A1264" t="s">
        <v>2952</v>
      </c>
      <c r="B1264" t="str">
        <f t="shared" si="76"/>
        <v>Xīnmínglóu Jiēdào</v>
      </c>
      <c r="C1264" t="str">
        <f t="shared" si="77"/>
        <v>Xīnmínglóu Jiēdào</v>
      </c>
      <c r="D1264" t="s">
        <v>2953</v>
      </c>
      <c r="E1264" t="s">
        <v>113</v>
      </c>
      <c r="F1264" t="str">
        <f>_xlfn.CONCAT(D1264,", ",H1264,", ",I1264,", ","陕西省")</f>
        <v>新明楼街道, 榆阳区, 榆林市, 陕西省</v>
      </c>
      <c r="G1264">
        <v>27416</v>
      </c>
      <c r="H1264" t="s">
        <v>3159</v>
      </c>
      <c r="I1264" t="s">
        <v>3148</v>
      </c>
      <c r="J1264">
        <f>VLOOKUP(F1264,[1]!china_towns_second__2[[Column1]:[Y]],3,FALSE)</f>
        <v>38.285811311643201</v>
      </c>
      <c r="K1264">
        <f>VLOOKUP(F1264,[1]!china_towns_second__2[[Column1]:[Y]],2,FALSE)</f>
        <v>109.7510856</v>
      </c>
      <c r="L1264" t="s">
        <v>5382</v>
      </c>
      <c r="M1264" t="str">
        <f>VLOOKUP(H1264,CHOOSE({1,2},Table11[Native],Table11[Name]),2,0)</f>
        <v>Yúyáng Qū</v>
      </c>
      <c r="N1264" s="13" t="str">
        <f>VLOOKUP(I1264,CHOOSE({1,2},Table11[Native],Table11[Name]),2,0)</f>
        <v>Yúlín Shì</v>
      </c>
      <c r="O1264" s="13" t="str">
        <f t="shared" si="78"/>
        <v>Xinminglou Jiedao (Yúlín Shì)</v>
      </c>
      <c r="P1264" s="13" t="str">
        <f t="shared" si="79"/>
        <v>Xinminglou Jiedao (Yúlín Shì)</v>
      </c>
    </row>
    <row r="1265" spans="1:16" hidden="1" x14ac:dyDescent="0.25">
      <c r="A1265" t="s">
        <v>969</v>
      </c>
      <c r="B1265" t="str">
        <f t="shared" si="76"/>
        <v>Xīnpū Zhèn [incl. Qīngyángyì Zhèn]</v>
      </c>
      <c r="C1265" t="str">
        <f t="shared" si="77"/>
        <v>Xīnpū Zhèn [incl. Qīngyángyì Zhèn]</v>
      </c>
      <c r="D1265" t="s">
        <v>970</v>
      </c>
      <c r="E1265" t="s">
        <v>7</v>
      </c>
      <c r="F1265" t="str">
        <f>_xlfn.CONCAT(D1265,", ",H1265,", ",I1265,", ","陕西省")</f>
        <v>新铺镇, 勉县, 汉中市, 陕西省</v>
      </c>
      <c r="G1265">
        <v>23481</v>
      </c>
      <c r="H1265" t="s">
        <v>3065</v>
      </c>
      <c r="I1265" t="s">
        <v>3059</v>
      </c>
      <c r="J1265">
        <f>VLOOKUP(F1265,[1]!china_towns_second__2[[Column1]:[Y]],3,FALSE)</f>
        <v>33.100070626738599</v>
      </c>
      <c r="K1265">
        <f>VLOOKUP(F1265,[1]!china_towns_second__2[[Column1]:[Y]],2,FALSE)</f>
        <v>106.46121840000001</v>
      </c>
      <c r="L1265" t="s">
        <v>5383</v>
      </c>
      <c r="M1265" t="str">
        <f>VLOOKUP(H1265,CHOOSE({1,2},Table11[Native],Table11[Name]),2,0)</f>
        <v>Miăn Xiàn</v>
      </c>
      <c r="N1265" s="13" t="str">
        <f>VLOOKUP(I1265,CHOOSE({1,2},Table11[Native],Table11[Name]),2,0)</f>
        <v>Hànzhōng Shì</v>
      </c>
      <c r="O1265" s="13" t="str">
        <f t="shared" si="78"/>
        <v>Xinpu Zhen [incl. Qingyangyi Zhen] (Hànzhōng Shì)</v>
      </c>
      <c r="P1265" s="13" t="str">
        <f t="shared" si="79"/>
        <v>Xinpu Zhen [incl. Qingyangyi Zhen] (Hànzhōng Shì)</v>
      </c>
    </row>
    <row r="1266" spans="1:16" hidden="1" x14ac:dyDescent="0.25">
      <c r="A1266" t="s">
        <v>1654</v>
      </c>
      <c r="B1266" t="str">
        <f t="shared" si="76"/>
        <v>Xīnshì Jiēdào (Wèinán Shì)</v>
      </c>
      <c r="C1266" t="str">
        <f t="shared" si="77"/>
        <v>Xīnshì Jiēdào (Wèinán Shì)</v>
      </c>
      <c r="D1266" t="s">
        <v>1655</v>
      </c>
      <c r="E1266" t="s">
        <v>113</v>
      </c>
      <c r="F1266" t="str">
        <f>_xlfn.CONCAT(D1266,", ",H1266,", ",I1266,", ","陕西省")</f>
        <v>辛市街道, 临渭区, 渭南市, 陕西省</v>
      </c>
      <c r="G1266">
        <v>29179</v>
      </c>
      <c r="H1266" t="s">
        <v>3097</v>
      </c>
      <c r="I1266" t="s">
        <v>3087</v>
      </c>
      <c r="J1266" t="e">
        <f>VLOOKUP(F1266,[1]!china_towns_second__2[[Column1]:[Y]],3,FALSE)</f>
        <v>#N/A</v>
      </c>
      <c r="K1266" t="e">
        <f>VLOOKUP(F1266,[1]!china_towns_second__2[[Column1]:[Y]],2,FALSE)</f>
        <v>#N/A</v>
      </c>
      <c r="L1266" t="s">
        <v>5384</v>
      </c>
      <c r="M1266" t="str">
        <f>VLOOKUP(H1266,CHOOSE({1,2},Table11[Native],Table11[Name]),2,0)</f>
        <v>Línwèi Qū</v>
      </c>
      <c r="N1266" s="13" t="str">
        <f>VLOOKUP(I1266,CHOOSE({1,2},Table11[Native],Table11[Name]),2,0)</f>
        <v>Wèinán Shì</v>
      </c>
      <c r="O1266" s="13" t="str">
        <f t="shared" si="78"/>
        <v>Xinshi Jiedao (Weinan Shi) (Wèinán Shì)</v>
      </c>
      <c r="P1266" s="13" t="str">
        <f t="shared" si="79"/>
        <v>Xinshi Jiedao (Weinan Shi) (Wèinán Shì)</v>
      </c>
    </row>
    <row r="1267" spans="1:16" hidden="1" x14ac:dyDescent="0.25">
      <c r="A1267" t="s">
        <v>1654</v>
      </c>
      <c r="B1267" t="str">
        <f t="shared" si="76"/>
        <v>Xīnshì Jiēdào (Xī'ān Shì)</v>
      </c>
      <c r="C1267" t="str">
        <f t="shared" si="77"/>
        <v>Xīnshì Jiēdào (Xī'ān Shì)</v>
      </c>
      <c r="D1267" t="s">
        <v>2267</v>
      </c>
      <c r="E1267" t="s">
        <v>113</v>
      </c>
      <c r="F1267" t="str">
        <f>_xlfn.CONCAT(D1267,", ",H1267,", ",I1267,", ","陕西省")</f>
        <v>新市街道, 临潼区, 西安市, 陕西省</v>
      </c>
      <c r="G1267">
        <v>28153</v>
      </c>
      <c r="H1267" t="s">
        <v>3110</v>
      </c>
      <c r="I1267" t="s">
        <v>3102</v>
      </c>
      <c r="J1267">
        <f>VLOOKUP(F1267,[1]!china_towns_second__2[[Column1]:[Y]],3,FALSE)</f>
        <v>34.534019071384598</v>
      </c>
      <c r="K1267">
        <f>VLOOKUP(F1267,[1]!china_towns_second__2[[Column1]:[Y]],2,FALSE)</f>
        <v>109.17819540000001</v>
      </c>
      <c r="L1267" t="s">
        <v>5385</v>
      </c>
      <c r="M1267" t="str">
        <f>VLOOKUP(H1267,CHOOSE({1,2},Table11[Native],Table11[Name]),2,0)</f>
        <v>Líntóng Qū</v>
      </c>
      <c r="N1267" s="13" t="str">
        <f>VLOOKUP(I1267,CHOOSE({1,2},Table11[Native],Table11[Name]),2,0)</f>
        <v>Xī'ān Shì</v>
      </c>
      <c r="O1267" s="13" t="str">
        <f t="shared" si="78"/>
        <v>Xinshi Jiedao (Xi'an Shi) (Xī'ān Shì)</v>
      </c>
      <c r="P1267" s="13" t="str">
        <f t="shared" si="79"/>
        <v>Xinshi Jiedao (Xi'an Shi) (Xī'ān Shì)</v>
      </c>
    </row>
    <row r="1268" spans="1:16" hidden="1" x14ac:dyDescent="0.25">
      <c r="A1268" t="s">
        <v>2556</v>
      </c>
      <c r="B1268" t="str">
        <f t="shared" si="76"/>
        <v>Xīnshìhé Xiāng</v>
      </c>
      <c r="C1268" t="str">
        <f t="shared" si="77"/>
        <v>Xīnshìhé Xiāng</v>
      </c>
      <c r="D1268" t="s">
        <v>2557</v>
      </c>
      <c r="E1268" t="s">
        <v>11</v>
      </c>
      <c r="F1268" t="str">
        <f>_xlfn.CONCAT(D1268,", ",H1268,", ",I1268,", ","陕西省")</f>
        <v>新市河乡, 宜川县, 延安市, 陕西省</v>
      </c>
      <c r="G1268">
        <v>5371</v>
      </c>
      <c r="H1268" t="s">
        <v>3144</v>
      </c>
      <c r="I1268" t="s">
        <v>3133</v>
      </c>
      <c r="J1268" t="e">
        <f>VLOOKUP(F1268,[1]!china_towns_second__2[[Column1]:[Y]],3,FALSE)</f>
        <v>#N/A</v>
      </c>
      <c r="K1268" t="e">
        <f>VLOOKUP(F1268,[1]!china_towns_second__2[[Column1]:[Y]],2,FALSE)</f>
        <v>#N/A</v>
      </c>
      <c r="L1268" t="s">
        <v>5386</v>
      </c>
      <c r="M1268" t="str">
        <f>VLOOKUP(H1268,CHOOSE({1,2},Table11[Native],Table11[Name]),2,0)</f>
        <v>Yíchuān Xiàn</v>
      </c>
      <c r="N1268" s="13" t="str">
        <f>VLOOKUP(I1268,CHOOSE({1,2},Table11[Native],Table11[Name]),2,0)</f>
        <v>Yán'ān Shì</v>
      </c>
      <c r="O1268" s="13" t="str">
        <f t="shared" si="78"/>
        <v>Xinshihe Xiang (Yán'ān Shì)</v>
      </c>
      <c r="P1268" s="13" t="str">
        <f t="shared" si="79"/>
        <v>Xinshihe Xiang (Yán'ān Shì)</v>
      </c>
    </row>
    <row r="1269" spans="1:16" hidden="1" x14ac:dyDescent="0.25">
      <c r="A1269" t="s">
        <v>1906</v>
      </c>
      <c r="B1269" t="str">
        <f t="shared" si="76"/>
        <v>Xīnxīng Jiēdào (Xiányáng Shì)</v>
      </c>
      <c r="C1269" t="str">
        <f t="shared" si="77"/>
        <v>Xīnxīng Jiēdào (Xiányáng Shì)</v>
      </c>
      <c r="D1269" t="s">
        <v>1907</v>
      </c>
      <c r="E1269" t="s">
        <v>113</v>
      </c>
      <c r="F1269" t="str">
        <f>_xlfn.CONCAT(D1269,", ",H1269,", ",I1269,", ","陕西省")</f>
        <v>新兴街道, 渭城区, 咸阳市, 陕西省</v>
      </c>
      <c r="G1269">
        <v>58778</v>
      </c>
      <c r="H1269" t="s">
        <v>3126</v>
      </c>
      <c r="I1269" t="s">
        <v>3117</v>
      </c>
      <c r="J1269">
        <f>VLOOKUP(F1269,[1]!china_towns_second__2[[Column1]:[Y]],3,FALSE)</f>
        <v>34.342998050102501</v>
      </c>
      <c r="K1269">
        <f>VLOOKUP(F1269,[1]!china_towns_second__2[[Column1]:[Y]],2,FALSE)</f>
        <v>108.7236511</v>
      </c>
      <c r="L1269" t="s">
        <v>5387</v>
      </c>
      <c r="M1269" t="str">
        <f>VLOOKUP(H1269,CHOOSE({1,2},Table11[Native],Table11[Name]),2,0)</f>
        <v>Wèichéng Qū</v>
      </c>
      <c r="N1269" s="13" t="str">
        <f>VLOOKUP(I1269,CHOOSE({1,2},Table11[Native],Table11[Name]),2,0)</f>
        <v>Xiányáng Shì</v>
      </c>
      <c r="O1269" s="13" t="str">
        <f t="shared" si="78"/>
        <v>Xinxing Jiedao (Xianyang Shi) (Xiányáng Shì)</v>
      </c>
      <c r="P1269" s="13" t="str">
        <f t="shared" si="79"/>
        <v>Xinxing Jiedao (Xianyang Shi) (Xiányáng Shì)</v>
      </c>
    </row>
    <row r="1270" spans="1:16" hidden="1" x14ac:dyDescent="0.25">
      <c r="A1270" t="s">
        <v>1906</v>
      </c>
      <c r="B1270" t="str">
        <f t="shared" si="76"/>
        <v>Xīnxīng Jiēdào (Xī'ān Shì)</v>
      </c>
      <c r="C1270" t="str">
        <f t="shared" si="77"/>
        <v>Xīnxīng Jiēdào (Xī'ān Shì)</v>
      </c>
      <c r="D1270" t="s">
        <v>1907</v>
      </c>
      <c r="E1270" t="s">
        <v>113</v>
      </c>
      <c r="F1270" t="str">
        <f>_xlfn.CONCAT(D1270,", ",H1270,", ",I1270,", ","陕西省")</f>
        <v>新兴街道, 阎良区, 西安市, 陕西省</v>
      </c>
      <c r="G1270">
        <v>14343</v>
      </c>
      <c r="H1270" t="s">
        <v>3113</v>
      </c>
      <c r="I1270" t="s">
        <v>3102</v>
      </c>
      <c r="J1270">
        <f>VLOOKUP(F1270,[1]!china_towns_second__2[[Column1]:[Y]],3,FALSE)</f>
        <v>34.668470782961599</v>
      </c>
      <c r="K1270">
        <f>VLOOKUP(F1270,[1]!china_towns_second__2[[Column1]:[Y]],2,FALSE)</f>
        <v>109.27105450000001</v>
      </c>
      <c r="L1270" t="s">
        <v>5388</v>
      </c>
      <c r="M1270" t="str">
        <f>VLOOKUP(H1270,CHOOSE({1,2},Table11[Native],Table11[Name]),2,0)</f>
        <v>Yánliáng Qū</v>
      </c>
      <c r="N1270" s="13" t="str">
        <f>VLOOKUP(I1270,CHOOSE({1,2},Table11[Native],Table11[Name]),2,0)</f>
        <v>Xī'ān Shì</v>
      </c>
      <c r="O1270" s="13" t="str">
        <f t="shared" si="78"/>
        <v>Xinxing Jiedao (Xi'an Shi) (Xī'ān Shì)</v>
      </c>
      <c r="P1270" s="13" t="str">
        <f t="shared" si="79"/>
        <v>Xinxing Jiedao (Xi'an Shi) (Xī'ān Shì)</v>
      </c>
    </row>
    <row r="1271" spans="1:16" hidden="1" x14ac:dyDescent="0.25">
      <c r="A1271" t="s">
        <v>1908</v>
      </c>
      <c r="B1271" t="str">
        <f t="shared" si="76"/>
        <v>Xīnxīng Zhèn</v>
      </c>
      <c r="C1271" t="str">
        <f t="shared" si="77"/>
        <v>Xīnxīng Zhèn</v>
      </c>
      <c r="D1271" t="s">
        <v>1909</v>
      </c>
      <c r="E1271" t="s">
        <v>7</v>
      </c>
      <c r="F1271" t="str">
        <f>_xlfn.CONCAT(D1271,", ",H1271,", ",I1271,", ","陕西省")</f>
        <v>新兴镇, 三原县, 咸阳市, 陕西省</v>
      </c>
      <c r="G1271">
        <v>27865</v>
      </c>
      <c r="H1271" t="s">
        <v>3125</v>
      </c>
      <c r="I1271" t="s">
        <v>3117</v>
      </c>
      <c r="J1271">
        <f>VLOOKUP(F1271,[1]!china_towns_second__2[[Column1]:[Y]],3,FALSE)</f>
        <v>34.764157113783099</v>
      </c>
      <c r="K1271">
        <f>VLOOKUP(F1271,[1]!china_towns_second__2[[Column1]:[Y]],2,FALSE)</f>
        <v>108.89674050000001</v>
      </c>
      <c r="L1271" t="s">
        <v>5389</v>
      </c>
      <c r="M1271" t="str">
        <f>VLOOKUP(H1271,CHOOSE({1,2},Table11[Native],Table11[Name]),2,0)</f>
        <v>Sānyuán Xiàn</v>
      </c>
      <c r="N1271" s="13" t="str">
        <f>VLOOKUP(I1271,CHOOSE({1,2},Table11[Native],Table11[Name]),2,0)</f>
        <v>Xiányáng Shì</v>
      </c>
      <c r="O1271" s="13" t="str">
        <f t="shared" si="78"/>
        <v>Xinxing Zhen (Xiányáng Shì)</v>
      </c>
      <c r="P1271" s="13" t="str">
        <f t="shared" si="79"/>
        <v>Xinxing Zhen (Xiányáng Shì)</v>
      </c>
    </row>
    <row r="1272" spans="1:16" hidden="1" x14ac:dyDescent="0.25">
      <c r="A1272" t="s">
        <v>1910</v>
      </c>
      <c r="B1272" t="str">
        <f t="shared" si="76"/>
        <v>Xīnyáng Zhèn</v>
      </c>
      <c r="C1272" t="str">
        <f t="shared" si="77"/>
        <v>Xīnyáng Zhèn</v>
      </c>
      <c r="D1272" t="s">
        <v>1911</v>
      </c>
      <c r="E1272" t="s">
        <v>7</v>
      </c>
      <c r="F1272" t="str">
        <f>_xlfn.CONCAT(D1272,", ",H1272,", ",I1272,", ","陕西省")</f>
        <v>新阳镇, 乾县, 咸阳市, 陕西省</v>
      </c>
      <c r="G1272">
        <v>22406</v>
      </c>
      <c r="H1272" t="s">
        <v>3123</v>
      </c>
      <c r="I1272" t="s">
        <v>3117</v>
      </c>
      <c r="J1272">
        <f>VLOOKUP(F1272,[1]!china_towns_second__2[[Column1]:[Y]],3,FALSE)</f>
        <v>34.496454062140202</v>
      </c>
      <c r="K1272">
        <f>VLOOKUP(F1272,[1]!china_towns_second__2[[Column1]:[Y]],2,FALSE)</f>
        <v>108.14074119999999</v>
      </c>
      <c r="L1272" t="s">
        <v>5390</v>
      </c>
      <c r="M1272" t="str">
        <f>VLOOKUP(H1272,CHOOSE({1,2},Table11[Native],Table11[Name]),2,0)</f>
        <v>Qián Xiàn</v>
      </c>
      <c r="N1272" s="13" t="str">
        <f>VLOOKUP(I1272,CHOOSE({1,2},Table11[Native],Table11[Name]),2,0)</f>
        <v>Xiányáng Shì</v>
      </c>
      <c r="O1272" s="13" t="str">
        <f t="shared" si="78"/>
        <v>Xinyang Zhen (Xiányáng Shì)</v>
      </c>
      <c r="P1272" s="13" t="str">
        <f t="shared" si="79"/>
        <v>Xinyang Zhen (Xiányáng Shì)</v>
      </c>
    </row>
    <row r="1273" spans="1:16" hidden="1" x14ac:dyDescent="0.25">
      <c r="A1273" t="s">
        <v>1656</v>
      </c>
      <c r="B1273" t="str">
        <f t="shared" si="76"/>
        <v>Xìnyì Jiēdào</v>
      </c>
      <c r="C1273" t="str">
        <f t="shared" si="77"/>
        <v>Xìnyì Jiēdào</v>
      </c>
      <c r="D1273" t="s">
        <v>1657</v>
      </c>
      <c r="E1273" t="s">
        <v>113</v>
      </c>
      <c r="F1273" t="str">
        <f>_xlfn.CONCAT(D1273,", ",H1273,", ",I1273,", ","陕西省")</f>
        <v>信义街道, 临渭区, 渭南市, 陕西省</v>
      </c>
      <c r="G1273">
        <v>21389</v>
      </c>
      <c r="H1273" t="s">
        <v>3097</v>
      </c>
      <c r="I1273" t="s">
        <v>3087</v>
      </c>
      <c r="J1273" t="e">
        <f>VLOOKUP(F1273,[1]!china_towns_second__2[[Column1]:[Y]],3,FALSE)</f>
        <v>#N/A</v>
      </c>
      <c r="K1273" t="e">
        <f>VLOOKUP(F1273,[1]!china_towns_second__2[[Column1]:[Y]],2,FALSE)</f>
        <v>#N/A</v>
      </c>
      <c r="L1273" t="s">
        <v>5391</v>
      </c>
      <c r="M1273" t="str">
        <f>VLOOKUP(H1273,CHOOSE({1,2},Table11[Native],Table11[Name]),2,0)</f>
        <v>Línwèi Qū</v>
      </c>
      <c r="N1273" s="13" t="str">
        <f>VLOOKUP(I1273,CHOOSE({1,2},Table11[Native],Table11[Name]),2,0)</f>
        <v>Wèinán Shì</v>
      </c>
      <c r="O1273" s="13" t="str">
        <f t="shared" si="78"/>
        <v>Xinyi Jiedao (Wèinán Shì)</v>
      </c>
      <c r="P1273" s="13" t="str">
        <f t="shared" si="79"/>
        <v>Xinyi Jiedao (Wèinán Shì)</v>
      </c>
    </row>
    <row r="1274" spans="1:16" hidden="1" x14ac:dyDescent="0.25">
      <c r="A1274" t="s">
        <v>971</v>
      </c>
      <c r="B1274" t="str">
        <f t="shared" si="76"/>
        <v>Xīnyuán Jiēdào</v>
      </c>
      <c r="C1274" t="str">
        <f t="shared" si="77"/>
        <v>Xīnyuán Jiēdào</v>
      </c>
      <c r="D1274" t="s">
        <v>972</v>
      </c>
      <c r="E1274" t="s">
        <v>113</v>
      </c>
      <c r="F1274" t="str">
        <f>_xlfn.CONCAT(D1274,", ",H1274,", ",I1274,", ","陕西省")</f>
        <v>鑫源街道, 汉台区, 汉中市, 陕西省</v>
      </c>
      <c r="G1274">
        <v>15554</v>
      </c>
      <c r="H1274" t="s">
        <v>3062</v>
      </c>
      <c r="I1274" t="s">
        <v>3059</v>
      </c>
      <c r="J1274">
        <f>VLOOKUP(F1274,[1]!china_towns_second__2[[Column1]:[Y]],3,FALSE)</f>
        <v>33.121819353429203</v>
      </c>
      <c r="K1274">
        <f>VLOOKUP(F1274,[1]!china_towns_second__2[[Column1]:[Y]],2,FALSE)</f>
        <v>106.9941901</v>
      </c>
      <c r="L1274" t="s">
        <v>5392</v>
      </c>
      <c r="M1274" t="str">
        <f>VLOOKUP(H1274,CHOOSE({1,2},Table11[Native],Table11[Name]),2,0)</f>
        <v>Hàntái Qū</v>
      </c>
      <c r="N1274" s="13" t="str">
        <f>VLOOKUP(I1274,CHOOSE({1,2},Table11[Native],Table11[Name]),2,0)</f>
        <v>Hànzhōng Shì</v>
      </c>
      <c r="O1274" s="13" t="str">
        <f t="shared" si="78"/>
        <v>Xinyuan Jiedao (Hànzhōng Shì)</v>
      </c>
      <c r="P1274" s="13" t="str">
        <f t="shared" si="79"/>
        <v>Xinyuan Jiedao (Hànzhōng Shì)</v>
      </c>
    </row>
    <row r="1275" spans="1:16" hidden="1" x14ac:dyDescent="0.25">
      <c r="A1275" t="s">
        <v>2558</v>
      </c>
      <c r="B1275" t="str">
        <f t="shared" si="76"/>
        <v>Xīnzhài Xiāng</v>
      </c>
      <c r="C1275" t="str">
        <f t="shared" si="77"/>
        <v>Xīnzhài Xiāng</v>
      </c>
      <c r="D1275" t="s">
        <v>2559</v>
      </c>
      <c r="E1275" t="s">
        <v>11</v>
      </c>
      <c r="F1275" t="str">
        <f>_xlfn.CONCAT(D1275,", ",H1275,", ",I1275,", ","陕西省")</f>
        <v>新寨乡, 吴起县, 延安市, 陕西省</v>
      </c>
      <c r="G1275">
        <v>5933</v>
      </c>
      <c r="H1275" t="s">
        <v>3141</v>
      </c>
      <c r="I1275" t="s">
        <v>3133</v>
      </c>
      <c r="J1275" t="e">
        <f>VLOOKUP(F1275,[1]!china_towns_second__2[[Column1]:[Y]],3,FALSE)</f>
        <v>#N/A</v>
      </c>
      <c r="K1275" t="e">
        <f>VLOOKUP(F1275,[1]!china_towns_second__2[[Column1]:[Y]],2,FALSE)</f>
        <v>#N/A</v>
      </c>
      <c r="L1275" t="s">
        <v>5393</v>
      </c>
      <c r="M1275" t="str">
        <f>VLOOKUP(H1275,CHOOSE({1,2},Table11[Native],Table11[Name]),2,0)</f>
        <v>Wúqĭ Xiàn</v>
      </c>
      <c r="N1275" s="13" t="str">
        <f>VLOOKUP(I1275,CHOOSE({1,2},Table11[Native],Table11[Name]),2,0)</f>
        <v>Yán'ān Shì</v>
      </c>
      <c r="O1275" s="13" t="str">
        <f t="shared" si="78"/>
        <v>Xinzhai Xiang (Yán'ān Shì)</v>
      </c>
      <c r="P1275" s="13" t="str">
        <f t="shared" si="79"/>
        <v>Xinzhai Xiang (Yán'ān Shì)</v>
      </c>
    </row>
    <row r="1276" spans="1:16" hidden="1" x14ac:dyDescent="0.25">
      <c r="A1276" t="s">
        <v>2268</v>
      </c>
      <c r="B1276" t="str">
        <f t="shared" si="76"/>
        <v>Xīnzhù Jiēdào</v>
      </c>
      <c r="C1276" t="str">
        <f t="shared" si="77"/>
        <v>Xīnzhù Jiēdào</v>
      </c>
      <c r="D1276" t="s">
        <v>2269</v>
      </c>
      <c r="E1276" t="s">
        <v>113</v>
      </c>
      <c r="F1276" t="str">
        <f>_xlfn.CONCAT(D1276,", ",H1276,", ",I1276,", ","陕西省")</f>
        <v>新筑街道, 灞桥区, 西安市, 陕西省</v>
      </c>
      <c r="G1276">
        <v>54191</v>
      </c>
      <c r="H1276" t="s">
        <v>3103</v>
      </c>
      <c r="I1276" t="s">
        <v>3102</v>
      </c>
      <c r="J1276">
        <f>VLOOKUP(F1276,[1]!china_towns_second__2[[Column1]:[Y]],3,FALSE)</f>
        <v>34.376927280378801</v>
      </c>
      <c r="K1276">
        <f>VLOOKUP(F1276,[1]!china_towns_second__2[[Column1]:[Y]],2,FALSE)</f>
        <v>109.0516272</v>
      </c>
      <c r="L1276" t="s">
        <v>5394</v>
      </c>
      <c r="M1276" t="str">
        <f>VLOOKUP(H1276,CHOOSE({1,2},Table11[Native],Table11[Name]),2,0)</f>
        <v>Bàqiáo Qū</v>
      </c>
      <c r="N1276" s="13" t="str">
        <f>VLOOKUP(I1276,CHOOSE({1,2},Table11[Native],Table11[Name]),2,0)</f>
        <v>Xī'ān Shì</v>
      </c>
      <c r="O1276" s="13" t="str">
        <f t="shared" si="78"/>
        <v>Xinzhu Jiedao (Xī'ān Shì)</v>
      </c>
      <c r="P1276" s="13" t="str">
        <f t="shared" si="79"/>
        <v>Xinzhu Jiedao (Xī'ān Shì)</v>
      </c>
    </row>
    <row r="1277" spans="1:16" hidden="1" x14ac:dyDescent="0.25">
      <c r="A1277" t="s">
        <v>1658</v>
      </c>
      <c r="B1277" t="str">
        <f t="shared" si="76"/>
        <v>Xīnzhuāng Xiāng</v>
      </c>
      <c r="C1277" t="str">
        <f t="shared" si="77"/>
        <v>Xīnzhuāng Xiāng</v>
      </c>
      <c r="D1277" t="s">
        <v>1659</v>
      </c>
      <c r="E1277" t="s">
        <v>11</v>
      </c>
      <c r="F1277" t="str">
        <f>_xlfn.CONCAT(D1277,", ",H1277,", ",I1277,", ","陕西省")</f>
        <v>辛庄乡, 华州区, 渭南市, 陕西省</v>
      </c>
      <c r="G1277">
        <v>22053</v>
      </c>
      <c r="H1277" t="s">
        <v>3096</v>
      </c>
      <c r="I1277" t="s">
        <v>3087</v>
      </c>
      <c r="J1277" t="e">
        <f>VLOOKUP(F1277,[1]!china_towns_second__2[[Column1]:[Y]],3,FALSE)</f>
        <v>#N/A</v>
      </c>
      <c r="K1277" t="e">
        <f>VLOOKUP(F1277,[1]!china_towns_second__2[[Column1]:[Y]],2,FALSE)</f>
        <v>#N/A</v>
      </c>
      <c r="L1277" t="s">
        <v>5395</v>
      </c>
      <c r="M1277" t="str">
        <f>VLOOKUP(H1277,CHOOSE({1,2},Table11[Native],Table11[Name]),2,0)</f>
        <v>Huázhōu Qū</v>
      </c>
      <c r="N1277" s="13" t="str">
        <f>VLOOKUP(I1277,CHOOSE({1,2},Table11[Native],Table11[Name]),2,0)</f>
        <v>Wèinán Shì</v>
      </c>
      <c r="O1277" s="13" t="str">
        <f t="shared" si="78"/>
        <v>Xinzhuang Xiang (Wèinán Shì)</v>
      </c>
      <c r="P1277" s="13" t="str">
        <f t="shared" si="79"/>
        <v>Xinzhuang Xiang (Wèinán Shì)</v>
      </c>
    </row>
    <row r="1278" spans="1:16" hidden="1" x14ac:dyDescent="0.25">
      <c r="A1278" t="s">
        <v>1912</v>
      </c>
      <c r="B1278" t="str">
        <f t="shared" si="76"/>
        <v>Xīpō Xiāng</v>
      </c>
      <c r="C1278" t="str">
        <f t="shared" si="77"/>
        <v>Xīpō Xiāng</v>
      </c>
      <c r="D1278" t="s">
        <v>1913</v>
      </c>
      <c r="E1278" t="s">
        <v>11</v>
      </c>
      <c r="F1278" t="str">
        <f>_xlfn.CONCAT(D1278,", ",H1278,", ",I1278,", ","陕西省")</f>
        <v>西坡乡, 彬州市, 咸阳市, 陕西省</v>
      </c>
      <c r="G1278">
        <v>14566</v>
      </c>
      <c r="H1278" t="s">
        <v>3118</v>
      </c>
      <c r="I1278" t="s">
        <v>3117</v>
      </c>
      <c r="J1278" t="e">
        <f>VLOOKUP(F1278,[1]!china_towns_second__2[[Column1]:[Y]],3,FALSE)</f>
        <v>#N/A</v>
      </c>
      <c r="K1278" t="e">
        <f>VLOOKUP(F1278,[1]!china_towns_second__2[[Column1]:[Y]],2,FALSE)</f>
        <v>#N/A</v>
      </c>
      <c r="L1278" t="s">
        <v>5396</v>
      </c>
      <c r="M1278" t="str">
        <f>VLOOKUP(H1278,CHOOSE({1,2},Table11[Native],Table11[Name]),2,0)</f>
        <v>Bīnzhōu Shì</v>
      </c>
      <c r="N1278" s="13" t="str">
        <f>VLOOKUP(I1278,CHOOSE({1,2},Table11[Native],Table11[Name]),2,0)</f>
        <v>Xiányáng Shì</v>
      </c>
      <c r="O1278" s="13" t="str">
        <f t="shared" si="78"/>
        <v>Xipo Xiang (Xiányáng Shì)</v>
      </c>
      <c r="P1278" s="13" t="str">
        <f t="shared" si="79"/>
        <v>Xipo Xiang (Xiányáng Shì)</v>
      </c>
    </row>
    <row r="1279" spans="1:16" hidden="1" x14ac:dyDescent="0.25">
      <c r="A1279" t="s">
        <v>2270</v>
      </c>
      <c r="B1279" t="str">
        <f t="shared" si="76"/>
        <v>Xīquán Jiēdào</v>
      </c>
      <c r="C1279" t="str">
        <f t="shared" si="77"/>
        <v>Xīquán Jiēdào</v>
      </c>
      <c r="D1279" t="s">
        <v>2271</v>
      </c>
      <c r="E1279" t="s">
        <v>113</v>
      </c>
      <c r="F1279" t="str">
        <f>_xlfn.CONCAT(D1279,", ",H1279,", ",I1279,", ","陕西省")</f>
        <v>西泉街道, 临潼区, 西安市, 陕西省</v>
      </c>
      <c r="G1279">
        <v>22259</v>
      </c>
      <c r="H1279" t="s">
        <v>3110</v>
      </c>
      <c r="I1279" t="s">
        <v>3102</v>
      </c>
      <c r="J1279">
        <f>VLOOKUP(F1279,[1]!china_towns_second__2[[Column1]:[Y]],3,FALSE)</f>
        <v>34.406762173593101</v>
      </c>
      <c r="K1279">
        <f>VLOOKUP(F1279,[1]!china_towns_second__2[[Column1]:[Y]],2,FALSE)</f>
        <v>109.1396118</v>
      </c>
      <c r="L1279" t="s">
        <v>5397</v>
      </c>
      <c r="M1279" t="str">
        <f>VLOOKUP(H1279,CHOOSE({1,2},Table11[Native],Table11[Name]),2,0)</f>
        <v>Líntóng Qū</v>
      </c>
      <c r="N1279" s="13" t="str">
        <f>VLOOKUP(I1279,CHOOSE({1,2},Table11[Native],Table11[Name]),2,0)</f>
        <v>Xī'ān Shì</v>
      </c>
      <c r="O1279" s="13" t="str">
        <f t="shared" si="78"/>
        <v>Xiquan Jiedao (Xī'ān Shì)</v>
      </c>
      <c r="P1279" s="13" t="str">
        <f t="shared" si="79"/>
        <v>Xiquan Jiedao (Xī'ān Shì)</v>
      </c>
    </row>
    <row r="1280" spans="1:16" hidden="1" x14ac:dyDescent="0.25">
      <c r="A1280" t="s">
        <v>1248</v>
      </c>
      <c r="B1280" t="str">
        <f t="shared" si="76"/>
        <v>Xīquán Xiāng</v>
      </c>
      <c r="C1280" t="str">
        <f t="shared" si="77"/>
        <v>Xīquán Xiāng</v>
      </c>
      <c r="D1280" t="s">
        <v>1249</v>
      </c>
      <c r="E1280" t="s">
        <v>11</v>
      </c>
      <c r="F1280" t="str">
        <f>_xlfn.CONCAT(D1280,", ",H1280,", ",I1280,", ","陕西省")</f>
        <v>西泉乡, 山阳县, 商洛市, 陕西省</v>
      </c>
      <c r="G1280">
        <v>5576</v>
      </c>
      <c r="H1280" t="s">
        <v>3077</v>
      </c>
      <c r="I1280" t="s">
        <v>3072</v>
      </c>
      <c r="J1280" t="e">
        <f>VLOOKUP(F1280,[1]!china_towns_second__2[[Column1]:[Y]],3,FALSE)</f>
        <v>#N/A</v>
      </c>
      <c r="K1280" t="e">
        <f>VLOOKUP(F1280,[1]!china_towns_second__2[[Column1]:[Y]],2,FALSE)</f>
        <v>#N/A</v>
      </c>
      <c r="L1280" t="s">
        <v>5398</v>
      </c>
      <c r="M1280" t="str">
        <f>VLOOKUP(H1280,CHOOSE({1,2},Table11[Native],Table11[Name]),2,0)</f>
        <v>Shānyáng Xiàn</v>
      </c>
      <c r="N1280" s="13" t="str">
        <f>VLOOKUP(I1280,CHOOSE({1,2},Table11[Native],Table11[Name]),2,0)</f>
        <v>Shāngluò Shì</v>
      </c>
      <c r="O1280" s="13" t="str">
        <f t="shared" si="78"/>
        <v>Xiquan Xiang (Shāngluò Shì)</v>
      </c>
      <c r="P1280" s="13" t="str">
        <f t="shared" si="79"/>
        <v>Xiquan Xiang (Shāngluò Shì)</v>
      </c>
    </row>
    <row r="1281" spans="1:16" hidden="1" x14ac:dyDescent="0.25">
      <c r="A1281" t="s">
        <v>2272</v>
      </c>
      <c r="B1281" t="str">
        <f t="shared" si="76"/>
        <v>Xíwáng Jiēdào</v>
      </c>
      <c r="C1281" t="str">
        <f t="shared" si="77"/>
        <v>Xíwáng Jiēdào</v>
      </c>
      <c r="D1281" t="s">
        <v>2273</v>
      </c>
      <c r="E1281" t="s">
        <v>113</v>
      </c>
      <c r="F1281" t="str">
        <f>_xlfn.CONCAT(D1281,", ",H1281,", ",I1281,", ","陕西省")</f>
        <v>席王街道, 灞桥区, 西安市, 陕西省</v>
      </c>
      <c r="G1281">
        <v>72599</v>
      </c>
      <c r="H1281" t="s">
        <v>3103</v>
      </c>
      <c r="I1281" t="s">
        <v>3102</v>
      </c>
      <c r="J1281">
        <f>VLOOKUP(F1281,[1]!china_towns_second__2[[Column1]:[Y]],3,FALSE)</f>
        <v>34.264578976313501</v>
      </c>
      <c r="K1281">
        <f>VLOOKUP(F1281,[1]!china_towns_second__2[[Column1]:[Y]],2,FALSE)</f>
        <v>109.0960164</v>
      </c>
      <c r="L1281" t="s">
        <v>5399</v>
      </c>
      <c r="M1281" t="str">
        <f>VLOOKUP(H1281,CHOOSE({1,2},Table11[Native],Table11[Name]),2,0)</f>
        <v>Bàqiáo Qū</v>
      </c>
      <c r="N1281" s="13" t="str">
        <f>VLOOKUP(I1281,CHOOSE({1,2},Table11[Native],Table11[Name]),2,0)</f>
        <v>Xī'ān Shì</v>
      </c>
      <c r="O1281" s="13" t="str">
        <f t="shared" si="78"/>
        <v>Xiwang Jiedao (Xī'ān Shì)</v>
      </c>
      <c r="P1281" s="13" t="str">
        <f t="shared" si="79"/>
        <v>Xiwang Jiedao (Xī'ān Shì)</v>
      </c>
    </row>
    <row r="1282" spans="1:16" hidden="1" x14ac:dyDescent="0.25">
      <c r="A1282" t="s">
        <v>1914</v>
      </c>
      <c r="B1282" t="str">
        <f t="shared" ref="B1282:B1345" si="80">IF(COUNTIF(A:A,A1282)&gt;1,_xlfn.CONCAT(A1282," (",N1282,")"),A1282)</f>
        <v>Xīwú Jiēdào</v>
      </c>
      <c r="C1282" t="str">
        <f t="shared" ref="C1282:C1345" si="81">IF(COUNTIF(B:B,B1282)&gt;1,_xlfn.CONCAT(A1282," (",M1282,")"),B1282)</f>
        <v>Xīwú Jiēdào</v>
      </c>
      <c r="D1282" t="s">
        <v>1915</v>
      </c>
      <c r="E1282" t="s">
        <v>113</v>
      </c>
      <c r="F1282" t="str">
        <f>_xlfn.CONCAT(D1282,", ",H1282,", ",I1282,", ","陕西省")</f>
        <v>西吴街道, 兴平市, 咸阳市, 陕西省</v>
      </c>
      <c r="G1282">
        <v>36137</v>
      </c>
      <c r="H1282" t="s">
        <v>3128</v>
      </c>
      <c r="I1282" t="s">
        <v>3117</v>
      </c>
      <c r="J1282">
        <f>VLOOKUP(F1282,[1]!china_towns_second__2[[Column1]:[Y]],3,FALSE)</f>
        <v>34.307284725805502</v>
      </c>
      <c r="K1282">
        <f>VLOOKUP(F1282,[1]!china_towns_second__2[[Column1]:[Y]],2,FALSE)</f>
        <v>108.5712054</v>
      </c>
      <c r="L1282" t="s">
        <v>5400</v>
      </c>
      <c r="M1282" t="str">
        <f>VLOOKUP(H1282,CHOOSE({1,2},Table11[Native],Table11[Name]),2,0)</f>
        <v>Xīngpíng Shì</v>
      </c>
      <c r="N1282" s="13" t="str">
        <f>VLOOKUP(I1282,CHOOSE({1,2},Table11[Native],Table11[Name]),2,0)</f>
        <v>Xiányáng Shì</v>
      </c>
      <c r="O1282" s="13" t="str">
        <f t="shared" ref="O1282:O1345" si="82">_xlfn.CONCAT(L1282," (",N1282,")")</f>
        <v>Xiwu Jiedao (Xiányáng Shì)</v>
      </c>
      <c r="P1282" s="13" t="str">
        <f t="shared" ref="P1282:P1345" si="83">IF(COUNTIF(O:O,O1282)&gt;1,_xlfn.CONCAT(L1282," (",M1282,")"),O1282)</f>
        <v>Xiwu Jiedao (Xiányáng Shì)</v>
      </c>
    </row>
    <row r="1283" spans="1:16" hidden="1" x14ac:dyDescent="0.25">
      <c r="A1283" t="s">
        <v>1916</v>
      </c>
      <c r="B1283" t="str">
        <f t="shared" si="80"/>
        <v>Xīyáng Zhèn</v>
      </c>
      <c r="C1283" t="str">
        <f t="shared" si="81"/>
        <v>Xīyáng Zhèn</v>
      </c>
      <c r="D1283" t="s">
        <v>1917</v>
      </c>
      <c r="E1283" t="s">
        <v>7</v>
      </c>
      <c r="F1283" t="str">
        <f>_xlfn.CONCAT(D1283,", ",H1283,", ",I1283,", ","陕西省")</f>
        <v>西阳镇, 三原县, 咸阳市, 陕西省</v>
      </c>
      <c r="G1283">
        <v>22684</v>
      </c>
      <c r="H1283" t="s">
        <v>3125</v>
      </c>
      <c r="I1283" t="s">
        <v>3117</v>
      </c>
      <c r="J1283">
        <f>VLOOKUP(F1283,[1]!china_towns_second__2[[Column1]:[Y]],3,FALSE)</f>
        <v>34.676192210617003</v>
      </c>
      <c r="K1283">
        <f>VLOOKUP(F1283,[1]!china_towns_second__2[[Column1]:[Y]],2,FALSE)</f>
        <v>109.0068493</v>
      </c>
      <c r="L1283" t="s">
        <v>5401</v>
      </c>
      <c r="M1283" t="str">
        <f>VLOOKUP(H1283,CHOOSE({1,2},Table11[Native],Table11[Name]),2,0)</f>
        <v>Sānyuán Xiàn</v>
      </c>
      <c r="N1283" s="13" t="str">
        <f>VLOOKUP(I1283,CHOOSE({1,2},Table11[Native],Table11[Name]),2,0)</f>
        <v>Xiányáng Shì</v>
      </c>
      <c r="O1283" s="13" t="str">
        <f t="shared" si="82"/>
        <v>Xiyang Zhen (Xiányáng Shì)</v>
      </c>
      <c r="P1283" s="13" t="str">
        <f t="shared" si="83"/>
        <v>Xiyang Zhen (Xiányáng Shì)</v>
      </c>
    </row>
    <row r="1284" spans="1:16" hidden="1" x14ac:dyDescent="0.25">
      <c r="A1284" t="s">
        <v>2274</v>
      </c>
      <c r="B1284" t="str">
        <f t="shared" si="80"/>
        <v>Xīyīlù Jiēdào</v>
      </c>
      <c r="C1284" t="str">
        <f t="shared" si="81"/>
        <v>Xīyīlù Jiēdào</v>
      </c>
      <c r="D1284" t="s">
        <v>2275</v>
      </c>
      <c r="E1284" t="s">
        <v>113</v>
      </c>
      <c r="F1284" t="str">
        <f>_xlfn.CONCAT(D1284,", ",H1284,", ",I1284,", ","陕西省")</f>
        <v>西一路街道, 新城区, 西安市, 陕西省</v>
      </c>
      <c r="G1284">
        <v>51889</v>
      </c>
      <c r="H1284" t="s">
        <v>3112</v>
      </c>
      <c r="I1284" t="s">
        <v>3102</v>
      </c>
      <c r="J1284">
        <f>VLOOKUP(F1284,[1]!china_towns_second__2[[Column1]:[Y]],3,FALSE)</f>
        <v>34.268183942476099</v>
      </c>
      <c r="K1284">
        <f>VLOOKUP(F1284,[1]!china_towns_second__2[[Column1]:[Y]],2,FALSE)</f>
        <v>108.9502588</v>
      </c>
      <c r="L1284" t="s">
        <v>5402</v>
      </c>
      <c r="M1284" t="str">
        <f>VLOOKUP(H1284,CHOOSE({1,2},Table11[Native],Table11[Name]),2,0)</f>
        <v>Xīnchéng Qū</v>
      </c>
      <c r="N1284" s="13" t="str">
        <f>VLOOKUP(I1284,CHOOSE({1,2},Table11[Native],Table11[Name]),2,0)</f>
        <v>Xī'ān Shì</v>
      </c>
      <c r="O1284" s="13" t="str">
        <f t="shared" si="82"/>
        <v>Xiyilu Jiedao (Xī'ān Shì)</v>
      </c>
      <c r="P1284" s="13" t="str">
        <f t="shared" si="83"/>
        <v>Xiyilu Jiedao (Xī'ān Shì)</v>
      </c>
    </row>
    <row r="1285" spans="1:16" hidden="1" x14ac:dyDescent="0.25">
      <c r="A1285" t="s">
        <v>283</v>
      </c>
      <c r="B1285" t="str">
        <f t="shared" si="80"/>
        <v>Xīyíng Zhèn</v>
      </c>
      <c r="C1285" t="str">
        <f t="shared" si="81"/>
        <v>Xīyíng Zhèn</v>
      </c>
      <c r="D1285" t="s">
        <v>284</v>
      </c>
      <c r="E1285" t="s">
        <v>7</v>
      </c>
      <c r="F1285" t="str">
        <f>_xlfn.CONCAT(D1285,", ",H1285,", ",I1285,", ","陕西省")</f>
        <v>西营镇, 白河县, 安康市, 陕西省</v>
      </c>
      <c r="G1285">
        <v>12872</v>
      </c>
      <c r="H1285" t="s">
        <v>3033</v>
      </c>
      <c r="I1285" t="s">
        <v>3031</v>
      </c>
      <c r="J1285">
        <f>VLOOKUP(F1285,[1]!china_towns_second__2[[Column1]:[Y]],3,FALSE)</f>
        <v>32.742904562718202</v>
      </c>
      <c r="K1285">
        <f>VLOOKUP(F1285,[1]!china_towns_second__2[[Column1]:[Y]],2,FALSE)</f>
        <v>109.7173964</v>
      </c>
      <c r="L1285" t="s">
        <v>5403</v>
      </c>
      <c r="M1285" t="str">
        <f>VLOOKUP(H1285,CHOOSE({1,2},Table11[Native],Table11[Name]),2,0)</f>
        <v>Báihé Xiàn</v>
      </c>
      <c r="N1285" s="13" t="str">
        <f>VLOOKUP(I1285,CHOOSE({1,2},Table11[Native],Table11[Name]),2,0)</f>
        <v>Ānkāng Shì</v>
      </c>
      <c r="O1285" s="13" t="str">
        <f t="shared" si="82"/>
        <v>Xiying Zhen (Ānkāng Shì)</v>
      </c>
      <c r="P1285" s="13" t="str">
        <f t="shared" si="83"/>
        <v>Xiying Zhen (Ānkāng Shì)</v>
      </c>
    </row>
    <row r="1286" spans="1:16" hidden="1" x14ac:dyDescent="0.25">
      <c r="A1286" t="s">
        <v>1660</v>
      </c>
      <c r="B1286" t="str">
        <f t="shared" si="80"/>
        <v>Xīzhài Jiēdào</v>
      </c>
      <c r="C1286" t="str">
        <f t="shared" si="81"/>
        <v>Xīzhài Jiēdào</v>
      </c>
      <c r="D1286" t="s">
        <v>1661</v>
      </c>
      <c r="E1286" t="s">
        <v>113</v>
      </c>
      <c r="F1286" t="str">
        <f>_xlfn.CONCAT(D1286,", ",H1286,", ",I1286,", ","陕西省")</f>
        <v>西城街道, 大荔县, 渭南市, 陕西省</v>
      </c>
      <c r="G1286">
        <v>13368</v>
      </c>
      <c r="H1286" t="s">
        <v>3090</v>
      </c>
      <c r="I1286" t="s">
        <v>3087</v>
      </c>
      <c r="J1286" t="e">
        <f>VLOOKUP(F1286,[1]!china_towns_second__2[[Column1]:[Y]],3,FALSE)</f>
        <v>#N/A</v>
      </c>
      <c r="K1286" t="e">
        <f>VLOOKUP(F1286,[1]!china_towns_second__2[[Column1]:[Y]],2,FALSE)</f>
        <v>#N/A</v>
      </c>
      <c r="L1286" t="s">
        <v>5404</v>
      </c>
      <c r="M1286" t="str">
        <f>VLOOKUP(H1286,CHOOSE({1,2},Table11[Native],Table11[Name]),2,0)</f>
        <v>Dàlì Xiàn</v>
      </c>
      <c r="N1286" s="13" t="str">
        <f>VLOOKUP(I1286,CHOOSE({1,2},Table11[Native],Table11[Name]),2,0)</f>
        <v>Wèinán Shì</v>
      </c>
      <c r="O1286" s="13" t="str">
        <f t="shared" si="82"/>
        <v>Xizhai Jiedao (Wèinán Shì)</v>
      </c>
      <c r="P1286" s="13" t="str">
        <f t="shared" si="83"/>
        <v>Xizhai Jiedao (Wèinán Shì)</v>
      </c>
    </row>
    <row r="1287" spans="1:16" hidden="1" x14ac:dyDescent="0.25">
      <c r="A1287" t="s">
        <v>1918</v>
      </c>
      <c r="B1287" t="str">
        <f t="shared" si="80"/>
        <v>Xīzhāngbăo Zhèn</v>
      </c>
      <c r="C1287" t="str">
        <f t="shared" si="81"/>
        <v>Xīzhāngbăo Zhèn</v>
      </c>
      <c r="D1287" t="s">
        <v>1919</v>
      </c>
      <c r="E1287" t="s">
        <v>7</v>
      </c>
      <c r="F1287" t="str">
        <f>_xlfn.CONCAT(D1287,", ",H1287,", ",I1287,", ","陕西省")</f>
        <v>西张堡镇, 礼泉县, 咸阳市, 陕西省</v>
      </c>
      <c r="G1287">
        <v>22887</v>
      </c>
      <c r="H1287" t="s">
        <v>3122</v>
      </c>
      <c r="I1287" t="s">
        <v>3117</v>
      </c>
      <c r="J1287">
        <f>VLOOKUP(F1287,[1]!china_towns_second__2[[Column1]:[Y]],3,FALSE)</f>
        <v>34.516446205212198</v>
      </c>
      <c r="K1287">
        <f>VLOOKUP(F1287,[1]!china_towns_second__2[[Column1]:[Y]],2,FALSE)</f>
        <v>108.55989</v>
      </c>
      <c r="L1287" t="s">
        <v>5405</v>
      </c>
      <c r="M1287" t="str">
        <f>VLOOKUP(H1287,CHOOSE({1,2},Table11[Native],Table11[Name]),2,0)</f>
        <v>Lĭquán Xiàn</v>
      </c>
      <c r="N1287" s="13" t="str">
        <f>VLOOKUP(I1287,CHOOSE({1,2},Table11[Native],Table11[Name]),2,0)</f>
        <v>Xiányáng Shì</v>
      </c>
      <c r="O1287" s="13" t="str">
        <f t="shared" si="82"/>
        <v>Xizhangbao Zhen (Xiányáng Shì)</v>
      </c>
      <c r="P1287" s="13" t="str">
        <f t="shared" si="83"/>
        <v>Xizhangbao Zhen (Xiányáng Shì)</v>
      </c>
    </row>
    <row r="1288" spans="1:16" hidden="1" x14ac:dyDescent="0.25">
      <c r="A1288" t="s">
        <v>1250</v>
      </c>
      <c r="B1288" t="str">
        <f t="shared" si="80"/>
        <v>Xīzhàochuān Zhèn</v>
      </c>
      <c r="C1288" t="str">
        <f t="shared" si="81"/>
        <v>Xīzhàochuān Zhèn</v>
      </c>
      <c r="D1288" t="s">
        <v>1251</v>
      </c>
      <c r="E1288" t="s">
        <v>7</v>
      </c>
      <c r="F1288" t="str">
        <f>_xlfn.CONCAT(D1288,", ",H1288,", ",I1288,", ","陕西省")</f>
        <v>西照川镇, 山阳县, 商洛市, 陕西省</v>
      </c>
      <c r="G1288">
        <v>11081</v>
      </c>
      <c r="H1288" t="s">
        <v>3077</v>
      </c>
      <c r="I1288" t="s">
        <v>3072</v>
      </c>
      <c r="J1288">
        <f>VLOOKUP(F1288,[1]!china_towns_second__2[[Column1]:[Y]],3,FALSE)</f>
        <v>33.231151399333299</v>
      </c>
      <c r="K1288">
        <f>VLOOKUP(F1288,[1]!china_towns_second__2[[Column1]:[Y]],2,FALSE)</f>
        <v>110.36207039999999</v>
      </c>
      <c r="L1288" t="s">
        <v>5406</v>
      </c>
      <c r="M1288" t="str">
        <f>VLOOKUP(H1288,CHOOSE({1,2},Table11[Native],Table11[Name]),2,0)</f>
        <v>Shānyáng Xiàn</v>
      </c>
      <c r="N1288" s="13" t="str">
        <f>VLOOKUP(I1288,CHOOSE({1,2},Table11[Native],Table11[Name]),2,0)</f>
        <v>Shāngluò Shì</v>
      </c>
      <c r="O1288" s="13" t="str">
        <f t="shared" si="82"/>
        <v>Xizhaochuan Zhen (Shāngluò Shì)</v>
      </c>
      <c r="P1288" s="13" t="str">
        <f t="shared" si="83"/>
        <v>Xizhaochuan Zhen (Shāngluò Shì)</v>
      </c>
    </row>
    <row r="1289" spans="1:16" hidden="1" x14ac:dyDescent="0.25">
      <c r="A1289" t="s">
        <v>1662</v>
      </c>
      <c r="B1289" t="str">
        <f t="shared" si="80"/>
        <v>Xīzhuāng Zhèn [incl. Zăncūn Zhèn]</v>
      </c>
      <c r="C1289" t="str">
        <f t="shared" si="81"/>
        <v>Xīzhuāng Zhèn [incl. Zăncūn Zhèn]</v>
      </c>
      <c r="D1289" t="s">
        <v>1663</v>
      </c>
      <c r="E1289" t="s">
        <v>7</v>
      </c>
      <c r="F1289" t="str">
        <f>_xlfn.CONCAT(D1289,", ",H1289,", ",I1289,", ","陕西省")</f>
        <v>西庄镇, 韩城市, 渭南市, 陕西省</v>
      </c>
      <c r="G1289">
        <v>39605</v>
      </c>
      <c r="H1289" t="s">
        <v>3093</v>
      </c>
      <c r="I1289" t="s">
        <v>3087</v>
      </c>
      <c r="J1289">
        <f>VLOOKUP(F1289,[1]!china_towns_second__2[[Column1]:[Y]],3,FALSE)</f>
        <v>35.607043933063402</v>
      </c>
      <c r="K1289">
        <f>VLOOKUP(F1289,[1]!china_towns_second__2[[Column1]:[Y]],2,FALSE)</f>
        <v>110.39689850000001</v>
      </c>
      <c r="L1289" t="s">
        <v>5407</v>
      </c>
      <c r="M1289" t="str">
        <f>VLOOKUP(H1289,CHOOSE({1,2},Table11[Native],Table11[Name]),2,0)</f>
        <v>Hánchéng Shì</v>
      </c>
      <c r="N1289" s="13" t="str">
        <f>VLOOKUP(I1289,CHOOSE({1,2},Table11[Native],Table11[Name]),2,0)</f>
        <v>Wèinán Shì</v>
      </c>
      <c r="O1289" s="13" t="str">
        <f t="shared" si="82"/>
        <v>Xizhuang Zhen [incl. Zancun Zhen] (Wèinán Shì)</v>
      </c>
      <c r="P1289" s="13" t="str">
        <f t="shared" si="83"/>
        <v>Xizhuang Zhen [incl. Zancun Zhen] (Wèinán Shì)</v>
      </c>
    </row>
    <row r="1290" spans="1:16" hidden="1" x14ac:dyDescent="0.25">
      <c r="A1290" t="s">
        <v>285</v>
      </c>
      <c r="B1290" t="str">
        <f t="shared" si="80"/>
        <v>Xuánwō Zhèn [incl. Shàngqī Zhèn]</v>
      </c>
      <c r="C1290" t="str">
        <f t="shared" si="81"/>
        <v>Xuánwō Zhèn [incl. Shàngqī Zhèn]</v>
      </c>
      <c r="D1290" t="s">
        <v>286</v>
      </c>
      <c r="E1290" t="s">
        <v>7</v>
      </c>
      <c r="F1290" t="str">
        <f>_xlfn.CONCAT(D1290,", ",H1290,", ",I1290,", ","陕西省")</f>
        <v>漩涡镇, 汉阴县, 安康市, 陕西省</v>
      </c>
      <c r="G1290">
        <v>28276</v>
      </c>
      <c r="H1290" t="s">
        <v>3036</v>
      </c>
      <c r="I1290" t="s">
        <v>3031</v>
      </c>
      <c r="J1290">
        <f>VLOOKUP(F1290,[1]!china_towns_second__2[[Column1]:[Y]],3,FALSE)</f>
        <v>32.771797049483901</v>
      </c>
      <c r="K1290">
        <f>VLOOKUP(F1290,[1]!china_towns_second__2[[Column1]:[Y]],2,FALSE)</f>
        <v>108.3851447</v>
      </c>
      <c r="L1290" t="s">
        <v>5408</v>
      </c>
      <c r="M1290" t="str">
        <f>VLOOKUP(H1290,CHOOSE({1,2},Table11[Native],Table11[Name]),2,0)</f>
        <v>Hànyīn Xiàn</v>
      </c>
      <c r="N1290" s="13" t="str">
        <f>VLOOKUP(I1290,CHOOSE({1,2},Table11[Native],Table11[Name]),2,0)</f>
        <v>Ānkāng Shì</v>
      </c>
      <c r="O1290" s="13" t="str">
        <f t="shared" si="82"/>
        <v>Xuanwo Zhen [incl. Shangqi Zhen] (Ānkāng Shì)</v>
      </c>
      <c r="P1290" s="13" t="str">
        <f t="shared" si="83"/>
        <v>Xuanwo Zhen [incl. Shangqi Zhen] (Ānkāng Shì)</v>
      </c>
    </row>
    <row r="1291" spans="1:16" hidden="1" x14ac:dyDescent="0.25">
      <c r="A1291" t="s">
        <v>1666</v>
      </c>
      <c r="B1291" t="str">
        <f t="shared" si="80"/>
        <v>Xuē Zhèn</v>
      </c>
      <c r="C1291" t="str">
        <f t="shared" si="81"/>
        <v>Xuē Zhèn</v>
      </c>
      <c r="D1291" t="s">
        <v>1667</v>
      </c>
      <c r="E1291" t="s">
        <v>7</v>
      </c>
      <c r="F1291" t="str">
        <f>_xlfn.CONCAT(D1291,", ",H1291,", ",I1291,", ","陕西省")</f>
        <v>薛镇, 富平县, 渭南市, 陕西省</v>
      </c>
      <c r="G1291">
        <v>36699</v>
      </c>
      <c r="H1291" t="s">
        <v>3091</v>
      </c>
      <c r="I1291" t="s">
        <v>3087</v>
      </c>
      <c r="J1291">
        <f>VLOOKUP(F1291,[1]!china_towns_second__2[[Column1]:[Y]],3,FALSE)</f>
        <v>35.003535789236501</v>
      </c>
      <c r="K1291">
        <f>VLOOKUP(F1291,[1]!china_towns_second__2[[Column1]:[Y]],2,FALSE)</f>
        <v>109.2670834</v>
      </c>
      <c r="L1291" t="s">
        <v>5409</v>
      </c>
      <c r="M1291" t="str">
        <f>VLOOKUP(H1291,CHOOSE({1,2},Table11[Native],Table11[Name]),2,0)</f>
        <v>Fùpíng Xiàn</v>
      </c>
      <c r="N1291" s="13" t="str">
        <f>VLOOKUP(I1291,CHOOSE({1,2},Table11[Native],Table11[Name]),2,0)</f>
        <v>Wèinán Shì</v>
      </c>
      <c r="O1291" s="13" t="str">
        <f t="shared" si="82"/>
        <v>Xue Zhen (Wèinán Shì)</v>
      </c>
      <c r="P1291" s="13" t="str">
        <f t="shared" si="83"/>
        <v>Xue Zhen (Wèinán Shì)</v>
      </c>
    </row>
    <row r="1292" spans="1:16" hidden="1" x14ac:dyDescent="0.25">
      <c r="A1292" t="s">
        <v>2560</v>
      </c>
      <c r="B1292" t="str">
        <f t="shared" si="80"/>
        <v>Xuēchà Xiāng</v>
      </c>
      <c r="C1292" t="str">
        <f t="shared" si="81"/>
        <v>Xuēchà Xiāng</v>
      </c>
      <c r="D1292" t="s">
        <v>2561</v>
      </c>
      <c r="E1292" t="s">
        <v>11</v>
      </c>
      <c r="F1292" t="str">
        <f>_xlfn.CONCAT(D1292,", ",H1292,", ",I1292,", ","陕西省")</f>
        <v>薛岔乡, 吴起县, 延安市, 陕西省</v>
      </c>
      <c r="G1292">
        <v>7390</v>
      </c>
      <c r="H1292" t="s">
        <v>3141</v>
      </c>
      <c r="I1292" t="s">
        <v>3133</v>
      </c>
      <c r="J1292" t="e">
        <f>VLOOKUP(F1292,[1]!china_towns_second__2[[Column1]:[Y]],3,FALSE)</f>
        <v>#N/A</v>
      </c>
      <c r="K1292" t="e">
        <f>VLOOKUP(F1292,[1]!china_towns_second__2[[Column1]:[Y]],2,FALSE)</f>
        <v>#N/A</v>
      </c>
      <c r="L1292" t="s">
        <v>5410</v>
      </c>
      <c r="M1292" t="str">
        <f>VLOOKUP(H1292,CHOOSE({1,2},Table11[Native],Table11[Name]),2,0)</f>
        <v>Wúqĭ Xiàn</v>
      </c>
      <c r="N1292" s="13" t="str">
        <f>VLOOKUP(I1292,CHOOSE({1,2},Table11[Native],Table11[Name]),2,0)</f>
        <v>Yán'ān Shì</v>
      </c>
      <c r="O1292" s="13" t="str">
        <f t="shared" si="82"/>
        <v>Xuecha Xiang (Yán'ān Shì)</v>
      </c>
      <c r="P1292" s="13" t="str">
        <f t="shared" si="83"/>
        <v>Xuecha Xiang (Yán'ān Shì)</v>
      </c>
    </row>
    <row r="1293" spans="1:16" hidden="1" x14ac:dyDescent="0.25">
      <c r="A1293" t="s">
        <v>1664</v>
      </c>
      <c r="B1293" t="str">
        <f t="shared" si="80"/>
        <v>Xuēfēng Xiāng</v>
      </c>
      <c r="C1293" t="str">
        <f t="shared" si="81"/>
        <v>Xuēfēng Xiāng</v>
      </c>
      <c r="D1293" t="s">
        <v>1665</v>
      </c>
      <c r="E1293" t="s">
        <v>11</v>
      </c>
      <c r="F1293" t="str">
        <f>_xlfn.CONCAT(D1293,", ",H1293,", ",I1293,", ","陕西省")</f>
        <v>薛峰乡, 韩城市, 渭南市, 陕西省</v>
      </c>
      <c r="G1293">
        <v>4873</v>
      </c>
      <c r="H1293" t="s">
        <v>3093</v>
      </c>
      <c r="I1293" t="s">
        <v>3087</v>
      </c>
      <c r="J1293" t="e">
        <f>VLOOKUP(F1293,[1]!china_towns_second__2[[Column1]:[Y]],3,FALSE)</f>
        <v>#N/A</v>
      </c>
      <c r="K1293" t="e">
        <f>VLOOKUP(F1293,[1]!china_towns_second__2[[Column1]:[Y]],2,FALSE)</f>
        <v>#N/A</v>
      </c>
      <c r="L1293" t="s">
        <v>5411</v>
      </c>
      <c r="M1293" t="str">
        <f>VLOOKUP(H1293,CHOOSE({1,2},Table11[Native],Table11[Name]),2,0)</f>
        <v>Hánchéng Shì</v>
      </c>
      <c r="N1293" s="13" t="str">
        <f>VLOOKUP(I1293,CHOOSE({1,2},Table11[Native],Table11[Name]),2,0)</f>
        <v>Wèinán Shì</v>
      </c>
      <c r="O1293" s="13" t="str">
        <f t="shared" si="82"/>
        <v>Xuefeng Xiang (Wèinán Shì)</v>
      </c>
      <c r="P1293" s="13" t="str">
        <f t="shared" si="83"/>
        <v>Xuefeng Xiang (Wèinán Shì)</v>
      </c>
    </row>
    <row r="1294" spans="1:16" hidden="1" x14ac:dyDescent="0.25">
      <c r="A1294" t="s">
        <v>2957</v>
      </c>
      <c r="B1294" t="str">
        <f t="shared" si="80"/>
        <v>Xuējiāhé Zhèn</v>
      </c>
      <c r="C1294" t="str">
        <f t="shared" si="81"/>
        <v>Xuējiāhé Zhèn</v>
      </c>
      <c r="D1294" t="s">
        <v>2958</v>
      </c>
      <c r="E1294" t="s">
        <v>7</v>
      </c>
      <c r="F1294" t="str">
        <f>_xlfn.CONCAT(D1294,", ",H1294,", ",I1294,", ","陕西省")</f>
        <v>薛家河镇, 绥德县, 榆林市, 陕西省</v>
      </c>
      <c r="G1294">
        <v>10438</v>
      </c>
      <c r="H1294" t="s">
        <v>3157</v>
      </c>
      <c r="I1294" t="s">
        <v>3148</v>
      </c>
      <c r="J1294">
        <f>VLOOKUP(F1294,[1]!china_towns_second__2[[Column1]:[Y]],3,FALSE)</f>
        <v>37.672136013641101</v>
      </c>
      <c r="K1294">
        <f>VLOOKUP(F1294,[1]!china_towns_second__2[[Column1]:[Y]],2,FALSE)</f>
        <v>110.34403210000001</v>
      </c>
      <c r="L1294" t="s">
        <v>5412</v>
      </c>
      <c r="M1294" t="str">
        <f>VLOOKUP(H1294,CHOOSE({1,2},Table11[Native],Table11[Name]),2,0)</f>
        <v>Suídé Xiàn</v>
      </c>
      <c r="N1294" s="13" t="str">
        <f>VLOOKUP(I1294,CHOOSE({1,2},Table11[Native],Table11[Name]),2,0)</f>
        <v>Yúlín Shì</v>
      </c>
      <c r="O1294" s="13" t="str">
        <f t="shared" si="82"/>
        <v>Xuejiahe Zhen (Yúlín Shì)</v>
      </c>
      <c r="P1294" s="13" t="str">
        <f t="shared" si="83"/>
        <v>Xuejiahe Zhen (Yúlín Shì)</v>
      </c>
    </row>
    <row r="1295" spans="1:16" hidden="1" x14ac:dyDescent="0.25">
      <c r="A1295" t="s">
        <v>2959</v>
      </c>
      <c r="B1295" t="str">
        <f t="shared" si="80"/>
        <v>Xuējiāmăo Zhèn</v>
      </c>
      <c r="C1295" t="str">
        <f t="shared" si="81"/>
        <v>Xuējiāmăo Zhèn</v>
      </c>
      <c r="D1295" t="s">
        <v>2960</v>
      </c>
      <c r="E1295" t="s">
        <v>7</v>
      </c>
      <c r="F1295" t="str">
        <f>_xlfn.CONCAT(D1295,", ",H1295,", ",I1295,", ","陕西省")</f>
        <v>薛家峁镇, 绥德县, 榆林市, 陕西省</v>
      </c>
      <c r="G1295">
        <v>9540</v>
      </c>
      <c r="H1295" t="s">
        <v>3157</v>
      </c>
      <c r="I1295" t="s">
        <v>3148</v>
      </c>
      <c r="J1295">
        <f>VLOOKUP(F1295,[1]!china_towns_second__2[[Column1]:[Y]],3,FALSE)</f>
        <v>37.390225712470198</v>
      </c>
      <c r="K1295">
        <f>VLOOKUP(F1295,[1]!china_towns_second__2[[Column1]:[Y]],2,FALSE)</f>
        <v>110.3594023</v>
      </c>
      <c r="L1295" t="s">
        <v>5413</v>
      </c>
      <c r="M1295" t="str">
        <f>VLOOKUP(H1295,CHOOSE({1,2},Table11[Native],Table11[Name]),2,0)</f>
        <v>Suídé Xiàn</v>
      </c>
      <c r="N1295" s="13" t="str">
        <f>VLOOKUP(I1295,CHOOSE({1,2},Table11[Native],Table11[Name]),2,0)</f>
        <v>Yúlín Shì</v>
      </c>
      <c r="O1295" s="13" t="str">
        <f t="shared" si="82"/>
        <v>Xuejiamao Zhen (Yúlín Shì)</v>
      </c>
      <c r="P1295" s="13" t="str">
        <f t="shared" si="83"/>
        <v>Xuejiamao Zhen (Yúlín Shì)</v>
      </c>
    </row>
    <row r="1296" spans="1:16" hidden="1" x14ac:dyDescent="0.25">
      <c r="A1296" t="s">
        <v>1920</v>
      </c>
      <c r="B1296" t="str">
        <f t="shared" si="80"/>
        <v>Xuēlù Zhèn [incl. Dàqiáng Xiāng]</v>
      </c>
      <c r="C1296" t="str">
        <f t="shared" si="81"/>
        <v>Xuēlù Zhèn [incl. Dàqiáng Xiāng]</v>
      </c>
      <c r="D1296" t="s">
        <v>1921</v>
      </c>
      <c r="E1296" t="s">
        <v>7</v>
      </c>
      <c r="F1296" t="str">
        <f>_xlfn.CONCAT(D1296,", ",H1296,", ",I1296,", ","陕西省")</f>
        <v>薛录镇, 乾县, 咸阳市, 陕西省</v>
      </c>
      <c r="G1296">
        <v>38942</v>
      </c>
      <c r="H1296" t="s">
        <v>3123</v>
      </c>
      <c r="I1296" t="s">
        <v>3117</v>
      </c>
      <c r="J1296">
        <f>VLOOKUP(F1296,[1]!china_towns_second__2[[Column1]:[Y]],3,FALSE)</f>
        <v>34.423553717595198</v>
      </c>
      <c r="K1296">
        <f>VLOOKUP(F1296,[1]!china_towns_second__2[[Column1]:[Y]],2,FALSE)</f>
        <v>108.33743509999999</v>
      </c>
      <c r="L1296" t="s">
        <v>5414</v>
      </c>
      <c r="M1296" t="str">
        <f>VLOOKUP(H1296,CHOOSE({1,2},Table11[Native],Table11[Name]),2,0)</f>
        <v>Qián Xiàn</v>
      </c>
      <c r="N1296" s="13" t="str">
        <f>VLOOKUP(I1296,CHOOSE({1,2},Table11[Native],Table11[Name]),2,0)</f>
        <v>Xiányáng Shì</v>
      </c>
      <c r="O1296" s="13" t="str">
        <f t="shared" si="82"/>
        <v>Xuelu Zhen [incl. Daqiang Xiang] (Xiányáng Shì)</v>
      </c>
      <c r="P1296" s="13" t="str">
        <f t="shared" si="83"/>
        <v>Xuelu Zhen [incl. Daqiang Xiang] (Xiányáng Shì)</v>
      </c>
    </row>
    <row r="1297" spans="1:16" hidden="1" x14ac:dyDescent="0.25">
      <c r="A1297" t="s">
        <v>2961</v>
      </c>
      <c r="B1297" t="str">
        <f t="shared" si="80"/>
        <v>Xuēxiàcūn Xiāng</v>
      </c>
      <c r="C1297" t="str">
        <f t="shared" si="81"/>
        <v>Xuēxiàcūn Xiāng</v>
      </c>
      <c r="D1297" t="s">
        <v>2962</v>
      </c>
      <c r="E1297" t="s">
        <v>11</v>
      </c>
      <c r="F1297" t="str">
        <f>_xlfn.CONCAT(D1297,", ",H1297,", ",I1297,", ","陕西省")</f>
        <v>薛下村乡, 吴堡县, 榆林市, 陕西省</v>
      </c>
      <c r="G1297">
        <v>4614</v>
      </c>
      <c r="H1297" t="s">
        <v>3158</v>
      </c>
      <c r="I1297" t="s">
        <v>3148</v>
      </c>
      <c r="J1297" t="e">
        <f>VLOOKUP(F1297,[1]!china_towns_second__2[[Column1]:[Y]],3,FALSE)</f>
        <v>#N/A</v>
      </c>
      <c r="K1297" t="e">
        <f>VLOOKUP(F1297,[1]!china_towns_second__2[[Column1]:[Y]],2,FALSE)</f>
        <v>#N/A</v>
      </c>
      <c r="L1297" t="s">
        <v>5415</v>
      </c>
      <c r="M1297" t="str">
        <f>VLOOKUP(H1297,CHOOSE({1,2},Table11[Native],Table11[Name]),2,0)</f>
        <v>Wúbǔ Xiàn</v>
      </c>
      <c r="N1297" s="13" t="str">
        <f>VLOOKUP(I1297,CHOOSE({1,2},Table11[Native],Table11[Name]),2,0)</f>
        <v>Yúlín Shì</v>
      </c>
      <c r="O1297" s="13" t="str">
        <f t="shared" si="82"/>
        <v>Xuexiacun Xiang (Yúlín Shì)</v>
      </c>
      <c r="P1297" s="13" t="str">
        <f t="shared" si="83"/>
        <v>Xuexiacun Xiang (Yúlín Shì)</v>
      </c>
    </row>
    <row r="1298" spans="1:16" hidden="1" x14ac:dyDescent="0.25">
      <c r="A1298" t="s">
        <v>2963</v>
      </c>
      <c r="B1298" t="str">
        <f t="shared" si="80"/>
        <v>Xuézhuāng Xiāng</v>
      </c>
      <c r="C1298" t="str">
        <f t="shared" si="81"/>
        <v>Xuézhuāng Xiāng</v>
      </c>
      <c r="D1298" t="s">
        <v>2964</v>
      </c>
      <c r="E1298" t="s">
        <v>11</v>
      </c>
      <c r="F1298" t="str">
        <f>_xlfn.CONCAT(D1298,", ",H1298,", ",I1298,", ","陕西省")</f>
        <v>学庄乡, 定边县, 榆林市, 陕西省</v>
      </c>
      <c r="G1298">
        <v>5712</v>
      </c>
      <c r="H1298" t="s">
        <v>3149</v>
      </c>
      <c r="I1298" t="s">
        <v>3148</v>
      </c>
      <c r="J1298" t="e">
        <f>VLOOKUP(F1298,[1]!china_towns_second__2[[Column1]:[Y]],3,FALSE)</f>
        <v>#N/A</v>
      </c>
      <c r="K1298" t="e">
        <f>VLOOKUP(F1298,[1]!china_towns_second__2[[Column1]:[Y]],2,FALSE)</f>
        <v>#N/A</v>
      </c>
      <c r="L1298" t="s">
        <v>5416</v>
      </c>
      <c r="M1298" t="str">
        <f>VLOOKUP(H1298,CHOOSE({1,2},Table11[Native],Table11[Name]),2,0)</f>
        <v>Dìngbiān Xiàn</v>
      </c>
      <c r="N1298" s="13" t="str">
        <f>VLOOKUP(I1298,CHOOSE({1,2},Table11[Native],Table11[Name]),2,0)</f>
        <v>Yúlín Shì</v>
      </c>
      <c r="O1298" s="13" t="str">
        <f t="shared" si="82"/>
        <v>Xuezhuang Xiang (Yúlín Shì)</v>
      </c>
      <c r="P1298" s="13" t="str">
        <f t="shared" si="83"/>
        <v>Xuezhuang Xiang (Yúlín Shì)</v>
      </c>
    </row>
    <row r="1299" spans="1:16" hidden="1" x14ac:dyDescent="0.25">
      <c r="A1299" t="s">
        <v>973</v>
      </c>
      <c r="B1299" t="str">
        <f t="shared" si="80"/>
        <v>Xújiāpíng Zhèn</v>
      </c>
      <c r="C1299" t="str">
        <f t="shared" si="81"/>
        <v>Xújiāpíng Zhèn</v>
      </c>
      <c r="D1299" t="s">
        <v>974</v>
      </c>
      <c r="E1299" t="s">
        <v>7</v>
      </c>
      <c r="F1299" t="str">
        <f>_xlfn.CONCAT(D1299,", ",H1299,", ",I1299,", ","陕西省")</f>
        <v>徐家坪镇, 略阳县, 汉中市, 陕西省</v>
      </c>
      <c r="G1299">
        <v>12496</v>
      </c>
      <c r="H1299" t="s">
        <v>3064</v>
      </c>
      <c r="I1299" t="s">
        <v>3059</v>
      </c>
      <c r="J1299">
        <f>VLOOKUP(F1299,[1]!china_towns_second__2[[Column1]:[Y]],3,FALSE)</f>
        <v>33.419155638636902</v>
      </c>
      <c r="K1299">
        <f>VLOOKUP(F1299,[1]!china_towns_second__2[[Column1]:[Y]],2,FALSE)</f>
        <v>105.9901199</v>
      </c>
      <c r="L1299" t="s">
        <v>5417</v>
      </c>
      <c r="M1299" t="str">
        <f>VLOOKUP(H1299,CHOOSE({1,2},Table11[Native],Table11[Name]),2,0)</f>
        <v>Lüèyáng Xiàn</v>
      </c>
      <c r="N1299" s="13" t="str">
        <f>VLOOKUP(I1299,CHOOSE({1,2},Table11[Native],Table11[Name]),2,0)</f>
        <v>Hànzhōng Shì</v>
      </c>
      <c r="O1299" s="13" t="str">
        <f t="shared" si="82"/>
        <v>Xujiaping Zhen (Hànzhōng Shì)</v>
      </c>
      <c r="P1299" s="13" t="str">
        <f t="shared" si="83"/>
        <v>Xujiaping Zhen (Hànzhōng Shì)</v>
      </c>
    </row>
    <row r="1300" spans="1:16" hidden="1" x14ac:dyDescent="0.25">
      <c r="A1300" t="s">
        <v>2276</v>
      </c>
      <c r="B1300" t="str">
        <f t="shared" si="80"/>
        <v>Xújiāwān Jiēdào</v>
      </c>
      <c r="C1300" t="str">
        <f t="shared" si="81"/>
        <v>Xújiāwān Jiēdào</v>
      </c>
      <c r="D1300" t="s">
        <v>2277</v>
      </c>
      <c r="E1300" t="s">
        <v>113</v>
      </c>
      <c r="F1300" t="str">
        <f>_xlfn.CONCAT(D1300,", ",H1300,", ",I1300,", ","陕西省")</f>
        <v>徐家湾街道, 未央区, 西安市, 陕西省</v>
      </c>
      <c r="G1300">
        <v>46447</v>
      </c>
      <c r="H1300" t="s">
        <v>3111</v>
      </c>
      <c r="I1300" t="s">
        <v>3102</v>
      </c>
      <c r="J1300">
        <f>VLOOKUP(F1300,[1]!china_towns_second__2[[Column1]:[Y]],3,FALSE)</f>
        <v>34.361453992936802</v>
      </c>
      <c r="K1300">
        <f>VLOOKUP(F1300,[1]!china_towns_second__2[[Column1]:[Y]],2,FALSE)</f>
        <v>108.9763377</v>
      </c>
      <c r="L1300" t="s">
        <v>5418</v>
      </c>
      <c r="M1300" t="str">
        <f>VLOOKUP(H1300,CHOOSE({1,2},Table11[Native],Table11[Name]),2,0)</f>
        <v>Wèiyāng Qū</v>
      </c>
      <c r="N1300" s="13" t="str">
        <f>VLOOKUP(I1300,CHOOSE({1,2},Table11[Native],Table11[Name]),2,0)</f>
        <v>Xī'ān Shì</v>
      </c>
      <c r="O1300" s="13" t="str">
        <f t="shared" si="82"/>
        <v>Xujiawan Jiedao (Xī'ān Shì)</v>
      </c>
      <c r="P1300" s="13" t="str">
        <f t="shared" si="83"/>
        <v>Xujiawan Jiedao (Xī'ān Shì)</v>
      </c>
    </row>
    <row r="1301" spans="1:16" hidden="1" x14ac:dyDescent="0.25">
      <c r="A1301" t="s">
        <v>1252</v>
      </c>
      <c r="B1301" t="str">
        <f t="shared" si="80"/>
        <v>Xúnjiăn Zhèn</v>
      </c>
      <c r="C1301" t="str">
        <f t="shared" si="81"/>
        <v>Xúnjiăn Zhèn</v>
      </c>
      <c r="D1301" t="s">
        <v>1253</v>
      </c>
      <c r="E1301" t="s">
        <v>7</v>
      </c>
      <c r="F1301" t="str">
        <f>_xlfn.CONCAT(D1301,", ",H1301,", ",I1301,", ","陕西省")</f>
        <v>巡检镇, 洛南县, 商洛市, 陕西省</v>
      </c>
      <c r="G1301">
        <v>8092</v>
      </c>
      <c r="H1301" t="s">
        <v>3074</v>
      </c>
      <c r="I1301" t="s">
        <v>3072</v>
      </c>
      <c r="J1301">
        <f>VLOOKUP(F1301,[1]!china_towns_second__2[[Column1]:[Y]],3,FALSE)</f>
        <v>34.362444369105901</v>
      </c>
      <c r="K1301">
        <f>VLOOKUP(F1301,[1]!china_towns_second__2[[Column1]:[Y]],2,FALSE)</f>
        <v>110.17929580000001</v>
      </c>
      <c r="L1301" t="s">
        <v>5419</v>
      </c>
      <c r="M1301" t="str">
        <f>VLOOKUP(H1301,CHOOSE({1,2},Table11[Native],Table11[Name]),2,0)</f>
        <v>Luònán Xiàn</v>
      </c>
      <c r="N1301" s="13" t="str">
        <f>VLOOKUP(I1301,CHOOSE({1,2},Table11[Native],Table11[Name]),2,0)</f>
        <v>Shāngluò Shì</v>
      </c>
      <c r="O1301" s="13" t="str">
        <f t="shared" si="82"/>
        <v>Xunjian Zhen (Shāngluò Shì)</v>
      </c>
      <c r="P1301" s="13" t="str">
        <f t="shared" si="83"/>
        <v>Xunjian Zhen (Shāngluò Shì)</v>
      </c>
    </row>
    <row r="1302" spans="1:16" hidden="1" x14ac:dyDescent="0.25">
      <c r="A1302" t="s">
        <v>287</v>
      </c>
      <c r="B1302" t="str">
        <f t="shared" si="80"/>
        <v>Xúnyángbà Zhèn</v>
      </c>
      <c r="C1302" t="str">
        <f t="shared" si="81"/>
        <v>Xúnyángbà Zhèn</v>
      </c>
      <c r="D1302" t="s">
        <v>288</v>
      </c>
      <c r="E1302" t="s">
        <v>7</v>
      </c>
      <c r="F1302" t="str">
        <f>_xlfn.CONCAT(D1302,", ",H1302,", ",I1302,", ","陕西省")</f>
        <v>旬阳坝镇, 宁陕县, 安康市, 陕西省</v>
      </c>
      <c r="G1302">
        <v>1983</v>
      </c>
      <c r="H1302" t="s">
        <v>3038</v>
      </c>
      <c r="I1302" t="s">
        <v>3031</v>
      </c>
      <c r="J1302">
        <f>VLOOKUP(F1302,[1]!china_towns_second__2[[Column1]:[Y]],3,FALSE)</f>
        <v>33.5512321</v>
      </c>
      <c r="K1302">
        <f>VLOOKUP(F1302,[1]!china_towns_second__2[[Column1]:[Y]],2,FALSE)</f>
        <v>108.54440390000001</v>
      </c>
      <c r="L1302" t="s">
        <v>5420</v>
      </c>
      <c r="M1302" t="str">
        <f>VLOOKUP(H1302,CHOOSE({1,2},Table11[Native],Table11[Name]),2,0)</f>
        <v>Níngshăn Xiàn</v>
      </c>
      <c r="N1302" s="13" t="str">
        <f>VLOOKUP(I1302,CHOOSE({1,2},Table11[Native],Table11[Name]),2,0)</f>
        <v>Ānkāng Shì</v>
      </c>
      <c r="O1302" s="13" t="str">
        <f t="shared" si="82"/>
        <v>Xunyangba Zhen (Ānkāng Shì)</v>
      </c>
      <c r="P1302" s="13" t="str">
        <f t="shared" si="83"/>
        <v>Xunyangba Zhen (Ānkāng Shì)</v>
      </c>
    </row>
    <row r="1303" spans="1:16" hidden="1" x14ac:dyDescent="0.25">
      <c r="A1303" t="s">
        <v>975</v>
      </c>
      <c r="B1303" t="str">
        <f t="shared" si="80"/>
        <v>Xūshuĭ Zhèn</v>
      </c>
      <c r="C1303" t="str">
        <f t="shared" si="81"/>
        <v>Xūshuĭ Zhèn</v>
      </c>
      <c r="D1303" t="s">
        <v>976</v>
      </c>
      <c r="E1303" t="s">
        <v>7</v>
      </c>
      <c r="F1303" t="str">
        <f>_xlfn.CONCAT(D1303,", ",H1303,", ",I1303,", ","陕西省")</f>
        <v>胥水镇, 洋县, 汉中市, 陕西省</v>
      </c>
      <c r="G1303">
        <v>18332</v>
      </c>
      <c r="H1303" t="s">
        <v>3069</v>
      </c>
      <c r="I1303" t="s">
        <v>3059</v>
      </c>
      <c r="J1303">
        <f>VLOOKUP(F1303,[1]!china_towns_second__2[[Column1]:[Y]],3,FALSE)</f>
        <v>33.159752400000002</v>
      </c>
      <c r="K1303">
        <f>VLOOKUP(F1303,[1]!china_towns_second__2[[Column1]:[Y]],2,FALSE)</f>
        <v>107.4014042</v>
      </c>
      <c r="L1303" t="s">
        <v>5421</v>
      </c>
      <c r="M1303" t="str">
        <f>VLOOKUP(H1303,CHOOSE({1,2},Table11[Native],Table11[Name]),2,0)</f>
        <v>Yáng Xiàn</v>
      </c>
      <c r="N1303" s="13" t="str">
        <f>VLOOKUP(I1303,CHOOSE({1,2},Table11[Native],Table11[Name]),2,0)</f>
        <v>Hànzhōng Shì</v>
      </c>
      <c r="O1303" s="13" t="str">
        <f t="shared" si="82"/>
        <v>Xushui Zhen (Hànzhōng Shì)</v>
      </c>
      <c r="P1303" s="13" t="str">
        <f t="shared" si="83"/>
        <v>Xushui Zhen (Hànzhōng Shì)</v>
      </c>
    </row>
    <row r="1304" spans="1:16" hidden="1" x14ac:dyDescent="0.25">
      <c r="A1304" t="s">
        <v>977</v>
      </c>
      <c r="B1304" t="str">
        <f t="shared" si="80"/>
        <v>Xúwàng Zhèn [incl. Xújiāpō Xiāng, Wàngjiāng Xiāng]</v>
      </c>
      <c r="C1304" t="str">
        <f t="shared" si="81"/>
        <v>Xúwàng Zhèn [incl. Xújiāpō Xiāng, Wàngjiāng Xiāng]</v>
      </c>
      <c r="D1304" t="s">
        <v>978</v>
      </c>
      <c r="E1304" t="s">
        <v>7</v>
      </c>
      <c r="F1304" t="str">
        <f>_xlfn.CONCAT(D1304,", ",H1304,", ",I1304,", ","陕西省")</f>
        <v>徐望镇, 汉台区, 汉中市, 陕西省</v>
      </c>
      <c r="G1304">
        <v>13038</v>
      </c>
      <c r="H1304" t="s">
        <v>3062</v>
      </c>
      <c r="I1304" t="s">
        <v>3059</v>
      </c>
      <c r="J1304">
        <f>VLOOKUP(F1304,[1]!china_towns_second__2[[Column1]:[Y]],3,FALSE)</f>
        <v>33.157465873633399</v>
      </c>
      <c r="K1304">
        <f>VLOOKUP(F1304,[1]!china_towns_second__2[[Column1]:[Y]],2,FALSE)</f>
        <v>107.11699659999999</v>
      </c>
      <c r="L1304" t="s">
        <v>5422</v>
      </c>
      <c r="M1304" t="str">
        <f>VLOOKUP(H1304,CHOOSE({1,2},Table11[Native],Table11[Name]),2,0)</f>
        <v>Hàntái Qū</v>
      </c>
      <c r="N1304" s="13" t="str">
        <f>VLOOKUP(I1304,CHOOSE({1,2},Table11[Native],Table11[Name]),2,0)</f>
        <v>Hànzhōng Shì</v>
      </c>
      <c r="O1304" s="13" t="str">
        <f t="shared" si="82"/>
        <v>Xuwang Zhen [incl. Xujiapo Xiang, Wangjiang Xiang] (Hànzhōng Shì)</v>
      </c>
      <c r="P1304" s="13" t="str">
        <f t="shared" si="83"/>
        <v>Xuwang Zhen [incl. Xujiapo Xiang, Wangjiang Xiang] (Hànzhōng Shì)</v>
      </c>
    </row>
    <row r="1305" spans="1:16" hidden="1" x14ac:dyDescent="0.25">
      <c r="A1305" t="s">
        <v>2278</v>
      </c>
      <c r="B1305" t="str">
        <f t="shared" si="80"/>
        <v>Xúyáng Jiēdào</v>
      </c>
      <c r="C1305" t="str">
        <f t="shared" si="81"/>
        <v>Xúyáng Jiēdào</v>
      </c>
      <c r="D1305" t="s">
        <v>2279</v>
      </c>
      <c r="E1305" t="s">
        <v>113</v>
      </c>
      <c r="F1305" t="str">
        <f>_xlfn.CONCAT(D1305,", ",H1305,", ",I1305,", ","陕西省")</f>
        <v>徐杨街道, 临潼区, 西安市, 陕西省</v>
      </c>
      <c r="G1305">
        <v>21901</v>
      </c>
      <c r="H1305" t="s">
        <v>3110</v>
      </c>
      <c r="I1305" t="s">
        <v>3102</v>
      </c>
      <c r="J1305">
        <f>VLOOKUP(F1305,[1]!china_towns_second__2[[Column1]:[Y]],3,FALSE)</f>
        <v>34.614753505541898</v>
      </c>
      <c r="K1305">
        <f>VLOOKUP(F1305,[1]!china_towns_second__2[[Column1]:[Y]],2,FALSE)</f>
        <v>109.1564724</v>
      </c>
      <c r="L1305" t="s">
        <v>5423</v>
      </c>
      <c r="M1305" t="str">
        <f>VLOOKUP(H1305,CHOOSE({1,2},Table11[Native],Table11[Name]),2,0)</f>
        <v>Líntóng Qū</v>
      </c>
      <c r="N1305" s="13" t="str">
        <f>VLOOKUP(I1305,CHOOSE({1,2},Table11[Native],Table11[Name]),2,0)</f>
        <v>Xī'ān Shì</v>
      </c>
      <c r="O1305" s="13" t="str">
        <f t="shared" si="82"/>
        <v>Xuyang Jiedao (Xī'ān Shì)</v>
      </c>
      <c r="P1305" s="13" t="str">
        <f t="shared" si="83"/>
        <v>Xuyang Jiedao (Xī'ān Shì)</v>
      </c>
    </row>
    <row r="1306" spans="1:16" hidden="1" x14ac:dyDescent="0.25">
      <c r="A1306" t="s">
        <v>1668</v>
      </c>
      <c r="B1306" t="str">
        <f t="shared" si="80"/>
        <v>Xŭzhuāng Zhèn</v>
      </c>
      <c r="C1306" t="str">
        <f t="shared" si="81"/>
        <v>Xŭzhuāng Zhèn</v>
      </c>
      <c r="D1306" t="s">
        <v>1669</v>
      </c>
      <c r="E1306" t="s">
        <v>7</v>
      </c>
      <c r="F1306" t="str">
        <f>_xlfn.CONCAT(D1306,", ",H1306,", ",I1306,", ","陕西省")</f>
        <v>许庄镇, 大荔县, 渭南市, 陕西省</v>
      </c>
      <c r="G1306">
        <v>39860</v>
      </c>
      <c r="H1306" t="s">
        <v>3090</v>
      </c>
      <c r="I1306" t="s">
        <v>3087</v>
      </c>
      <c r="J1306">
        <f>VLOOKUP(F1306,[1]!china_towns_second__2[[Column1]:[Y]],3,FALSE)</f>
        <v>34.878398865852901</v>
      </c>
      <c r="K1306">
        <f>VLOOKUP(F1306,[1]!china_towns_second__2[[Column1]:[Y]],2,FALSE)</f>
        <v>109.9462454</v>
      </c>
      <c r="L1306" t="s">
        <v>5424</v>
      </c>
      <c r="M1306" t="str">
        <f>VLOOKUP(H1306,CHOOSE({1,2},Table11[Native],Table11[Name]),2,0)</f>
        <v>Dàlì Xiàn</v>
      </c>
      <c r="N1306" s="13" t="str">
        <f>VLOOKUP(I1306,CHOOSE({1,2},Table11[Native],Table11[Name]),2,0)</f>
        <v>Wèinán Shì</v>
      </c>
      <c r="O1306" s="13" t="str">
        <f t="shared" si="82"/>
        <v>Xuzhuang Zhen (Wèinán Shì)</v>
      </c>
      <c r="P1306" s="13" t="str">
        <f t="shared" si="83"/>
        <v>Xuzhuang Zhen (Wèinán Shì)</v>
      </c>
    </row>
    <row r="1307" spans="1:16" hidden="1" x14ac:dyDescent="0.25">
      <c r="A1307" t="s">
        <v>2280</v>
      </c>
      <c r="B1307" t="str">
        <f t="shared" si="80"/>
        <v>Yābǎi Zhèn</v>
      </c>
      <c r="C1307" t="str">
        <f t="shared" si="81"/>
        <v>Yābǎi Zhèn</v>
      </c>
      <c r="D1307" t="s">
        <v>2281</v>
      </c>
      <c r="E1307" t="s">
        <v>7</v>
      </c>
      <c r="F1307" t="str">
        <f>_xlfn.CONCAT(D1307,", ",H1307,", ",I1307,", ","陕西省")</f>
        <v>哑柏镇, 周至县, 西安市, 陕西省</v>
      </c>
      <c r="G1307">
        <v>45591</v>
      </c>
      <c r="H1307" t="s">
        <v>3115</v>
      </c>
      <c r="I1307" t="s">
        <v>3102</v>
      </c>
      <c r="J1307">
        <f>VLOOKUP(F1307,[1]!china_towns_second__2[[Column1]:[Y]],3,FALSE)</f>
        <v>34.1889967423622</v>
      </c>
      <c r="K1307">
        <f>VLOOKUP(F1307,[1]!china_towns_second__2[[Column1]:[Y]],2,FALSE)</f>
        <v>108.0989806</v>
      </c>
      <c r="L1307" t="s">
        <v>5425</v>
      </c>
      <c r="M1307" t="str">
        <f>VLOOKUP(H1307,CHOOSE({1,2},Table11[Native],Table11[Name]),2,0)</f>
        <v>Zhōuzhì Xiàn</v>
      </c>
      <c r="N1307" s="13" t="str">
        <f>VLOOKUP(I1307,CHOOSE({1,2},Table11[Native],Table11[Name]),2,0)</f>
        <v>Xī'ān Shì</v>
      </c>
      <c r="O1307" s="13" t="str">
        <f t="shared" si="82"/>
        <v>Yabai Zhen (Xī'ān Shì)</v>
      </c>
      <c r="P1307" s="13" t="str">
        <f t="shared" si="83"/>
        <v>Yabai Zhen (Xī'ān Shì)</v>
      </c>
    </row>
    <row r="1308" spans="1:16" hidden="1" x14ac:dyDescent="0.25">
      <c r="A1308" t="s">
        <v>589</v>
      </c>
      <c r="B1308" t="str">
        <f t="shared" si="80"/>
        <v>Yákē Xiāng</v>
      </c>
      <c r="C1308" t="str">
        <f t="shared" si="81"/>
        <v>Yákē Xiāng</v>
      </c>
      <c r="D1308" t="s">
        <v>590</v>
      </c>
      <c r="E1308" t="s">
        <v>11</v>
      </c>
      <c r="F1308" t="str">
        <f>_xlfn.CONCAT(D1308,", ",H1308,", ",I1308,", ","陕西省")</f>
        <v>牙科乡, 陇县, 宝鸡市, 陕西省</v>
      </c>
      <c r="G1308">
        <v>13110</v>
      </c>
      <c r="H1308" t="s">
        <v>3052</v>
      </c>
      <c r="I1308" t="s">
        <v>3045</v>
      </c>
      <c r="J1308" t="e">
        <f>VLOOKUP(F1308,[1]!china_towns_second__2[[Column1]:[Y]],3,FALSE)</f>
        <v>#N/A</v>
      </c>
      <c r="K1308" t="e">
        <f>VLOOKUP(F1308,[1]!china_towns_second__2[[Column1]:[Y]],2,FALSE)</f>
        <v>#N/A</v>
      </c>
      <c r="L1308" t="s">
        <v>5426</v>
      </c>
      <c r="M1308" t="str">
        <f>VLOOKUP(H1308,CHOOSE({1,2},Table11[Native],Table11[Name]),2,0)</f>
        <v>Lŏng Xiàn</v>
      </c>
      <c r="N1308" s="13" t="str">
        <f>VLOOKUP(I1308,CHOOSE({1,2},Table11[Native],Table11[Name]),2,0)</f>
        <v>Băojī Shì</v>
      </c>
      <c r="O1308" s="13" t="str">
        <f t="shared" si="82"/>
        <v>Yake Xiang (Băojī Shì)</v>
      </c>
      <c r="P1308" s="13" t="str">
        <f t="shared" si="83"/>
        <v>Yake Xiang (Băojī Shì)</v>
      </c>
    </row>
    <row r="1309" spans="1:16" hidden="1" x14ac:dyDescent="0.25">
      <c r="A1309" t="s">
        <v>289</v>
      </c>
      <c r="B1309" t="str">
        <f t="shared" si="80"/>
        <v>Yànbà Zhèn</v>
      </c>
      <c r="C1309" t="str">
        <f t="shared" si="81"/>
        <v>Yànbà Zhèn</v>
      </c>
      <c r="D1309" t="s">
        <v>290</v>
      </c>
      <c r="E1309" t="s">
        <v>7</v>
      </c>
      <c r="F1309" t="str">
        <f>_xlfn.CONCAT(D1309,", ",H1309,", ",I1309,", ","陕西省")</f>
        <v>晏坝镇, 汉滨区, 安康市, 陕西省</v>
      </c>
      <c r="G1309">
        <v>8573</v>
      </c>
      <c r="H1309" t="s">
        <v>3035</v>
      </c>
      <c r="I1309" t="s">
        <v>3031</v>
      </c>
      <c r="J1309">
        <f>VLOOKUP(F1309,[1]!china_towns_second__2[[Column1]:[Y]],3,FALSE)</f>
        <v>32.533763961650401</v>
      </c>
      <c r="K1309">
        <f>VLOOKUP(F1309,[1]!china_towns_second__2[[Column1]:[Y]],2,FALSE)</f>
        <v>108.940141</v>
      </c>
      <c r="L1309" t="s">
        <v>5427</v>
      </c>
      <c r="M1309" t="str">
        <f>VLOOKUP(H1309,CHOOSE({1,2},Table11[Native],Table11[Name]),2,0)</f>
        <v>Hànbīn Qū</v>
      </c>
      <c r="N1309" s="13" t="str">
        <f>VLOOKUP(I1309,CHOOSE({1,2},Table11[Native],Table11[Name]),2,0)</f>
        <v>Ānkāng Shì</v>
      </c>
      <c r="O1309" s="13" t="str">
        <f t="shared" si="82"/>
        <v>Yanba Zhen (Ānkāng Shì)</v>
      </c>
      <c r="P1309" s="13" t="str">
        <f t="shared" si="83"/>
        <v>Yanba Zhen (Ānkāng Shì)</v>
      </c>
    </row>
    <row r="1310" spans="1:16" hidden="1" x14ac:dyDescent="0.25">
      <c r="A1310" t="s">
        <v>979</v>
      </c>
      <c r="B1310" t="str">
        <f t="shared" si="80"/>
        <v>Yánchăng Zhèn</v>
      </c>
      <c r="C1310" t="str">
        <f t="shared" si="81"/>
        <v>Yánchăng Zhèn</v>
      </c>
      <c r="D1310" t="s">
        <v>980</v>
      </c>
      <c r="E1310" t="s">
        <v>7</v>
      </c>
      <c r="F1310" t="str">
        <f>_xlfn.CONCAT(D1310,", ",H1310,", ",I1310,", ","陕西省")</f>
        <v>盐场镇, 镇巴县, 汉中市, 陕西省</v>
      </c>
      <c r="G1310">
        <v>15466</v>
      </c>
      <c r="H1310" t="s">
        <v>3070</v>
      </c>
      <c r="I1310" t="s">
        <v>3059</v>
      </c>
      <c r="J1310">
        <f>VLOOKUP(F1310,[1]!china_towns_second__2[[Column1]:[Y]],3,FALSE)</f>
        <v>32.230435891603001</v>
      </c>
      <c r="K1310">
        <f>VLOOKUP(F1310,[1]!china_towns_second__2[[Column1]:[Y]],2,FALSE)</f>
        <v>108.0037884</v>
      </c>
      <c r="L1310" t="s">
        <v>5428</v>
      </c>
      <c r="M1310" t="str">
        <f>VLOOKUP(H1310,CHOOSE({1,2},Table11[Native],Table11[Name]),2,0)</f>
        <v>Zhènbā Xiàn</v>
      </c>
      <c r="N1310" s="13" t="str">
        <f>VLOOKUP(I1310,CHOOSE({1,2},Table11[Native],Table11[Name]),2,0)</f>
        <v>Hànzhōng Shì</v>
      </c>
      <c r="O1310" s="13" t="str">
        <f t="shared" si="82"/>
        <v>Yanchang Zhen (Hànzhōng Shì)</v>
      </c>
      <c r="P1310" s="13" t="str">
        <f t="shared" si="83"/>
        <v>Yanchang Zhen (Hànzhōng Shì)</v>
      </c>
    </row>
    <row r="1311" spans="1:16" hidden="1" x14ac:dyDescent="0.25">
      <c r="A1311" t="s">
        <v>2965</v>
      </c>
      <c r="B1311" t="str">
        <f t="shared" si="80"/>
        <v>Yánchăngbăo Zhèn</v>
      </c>
      <c r="C1311" t="str">
        <f t="shared" si="81"/>
        <v>Yánchăngbăo Zhèn</v>
      </c>
      <c r="D1311" t="s">
        <v>2966</v>
      </c>
      <c r="E1311" t="s">
        <v>7</v>
      </c>
      <c r="F1311" t="str">
        <f>_xlfn.CONCAT(D1311,", ",H1311,", ",I1311,", ","陕西省")</f>
        <v>盐场堡镇, 定边县, 榆林市, 陕西省</v>
      </c>
      <c r="G1311">
        <v>4228</v>
      </c>
      <c r="H1311" t="s">
        <v>3149</v>
      </c>
      <c r="I1311" t="s">
        <v>3148</v>
      </c>
      <c r="J1311">
        <f>VLOOKUP(F1311,[1]!china_towns_second__2[[Column1]:[Y]],3,FALSE)</f>
        <v>37.6629748213672</v>
      </c>
      <c r="K1311">
        <f>VLOOKUP(F1311,[1]!china_towns_second__2[[Column1]:[Y]],2,FALSE)</f>
        <v>107.52208280000001</v>
      </c>
      <c r="L1311" t="s">
        <v>5429</v>
      </c>
      <c r="M1311" t="str">
        <f>VLOOKUP(H1311,CHOOSE({1,2},Table11[Native],Table11[Name]),2,0)</f>
        <v>Dìngbiān Xiàn</v>
      </c>
      <c r="N1311" s="13" t="str">
        <f>VLOOKUP(I1311,CHOOSE({1,2},Table11[Native],Table11[Name]),2,0)</f>
        <v>Yúlín Shì</v>
      </c>
      <c r="O1311" s="13" t="str">
        <f t="shared" si="82"/>
        <v>Yanchangbao Zhen (Yúlín Shì)</v>
      </c>
      <c r="P1311" s="13" t="str">
        <f t="shared" si="83"/>
        <v>Yanchangbao Zhen (Yúlín Shì)</v>
      </c>
    </row>
    <row r="1312" spans="1:16" hidden="1" x14ac:dyDescent="0.25">
      <c r="A1312" t="s">
        <v>2562</v>
      </c>
      <c r="B1312" t="str">
        <f t="shared" si="80"/>
        <v>Yănchàsì Xiāng</v>
      </c>
      <c r="C1312" t="str">
        <f t="shared" si="81"/>
        <v>Yănchàsì Xiāng</v>
      </c>
      <c r="D1312" t="s">
        <v>2563</v>
      </c>
      <c r="E1312" t="s">
        <v>11</v>
      </c>
      <c r="F1312" t="str">
        <f>_xlfn.CONCAT(D1312,", ",H1312,", ",I1312,", ","陕西省")</f>
        <v>眼岔寺乡, 延川县, 延安市, 陕西省</v>
      </c>
      <c r="G1312">
        <v>3944</v>
      </c>
      <c r="H1312" t="s">
        <v>3143</v>
      </c>
      <c r="I1312" t="s">
        <v>3133</v>
      </c>
      <c r="J1312" t="e">
        <f>VLOOKUP(F1312,[1]!china_towns_second__2[[Column1]:[Y]],3,FALSE)</f>
        <v>#N/A</v>
      </c>
      <c r="K1312" t="e">
        <f>VLOOKUP(F1312,[1]!china_towns_second__2[[Column1]:[Y]],2,FALSE)</f>
        <v>#N/A</v>
      </c>
      <c r="L1312" t="s">
        <v>5430</v>
      </c>
      <c r="M1312" t="str">
        <f>VLOOKUP(H1312,CHOOSE({1,2},Table11[Native],Table11[Name]),2,0)</f>
        <v>Yánchuān Xiàn</v>
      </c>
      <c r="N1312" s="13" t="str">
        <f>VLOOKUP(I1312,CHOOSE({1,2},Table11[Native],Table11[Name]),2,0)</f>
        <v>Yán'ān Shì</v>
      </c>
      <c r="O1312" s="13" t="str">
        <f t="shared" si="82"/>
        <v>Yanchasi Xiang (Yán'ān Shì)</v>
      </c>
      <c r="P1312" s="13" t="str">
        <f t="shared" si="83"/>
        <v>Yanchasi Xiang (Yán'ān Shì)</v>
      </c>
    </row>
    <row r="1313" spans="1:16" hidden="1" x14ac:dyDescent="0.25">
      <c r="A1313" t="s">
        <v>1670</v>
      </c>
      <c r="B1313" t="str">
        <f t="shared" si="80"/>
        <v>Yáncūn Zhèn</v>
      </c>
      <c r="C1313" t="str">
        <f t="shared" si="81"/>
        <v>Yáncūn Zhèn</v>
      </c>
      <c r="D1313" t="s">
        <v>1671</v>
      </c>
      <c r="E1313" t="s">
        <v>7</v>
      </c>
      <c r="F1313" t="str">
        <f>_xlfn.CONCAT(D1313,", ",H1313,", ",I1313,", ","陕西省")</f>
        <v>阎村镇, 临渭区, 渭南市, 陕西省</v>
      </c>
      <c r="G1313">
        <v>18307</v>
      </c>
      <c r="H1313" t="s">
        <v>3097</v>
      </c>
      <c r="I1313" t="s">
        <v>3087</v>
      </c>
      <c r="J1313">
        <f>VLOOKUP(F1313,[1]!china_towns_second__2[[Column1]:[Y]],3,FALSE)</f>
        <v>34.421971496423801</v>
      </c>
      <c r="K1313">
        <f>VLOOKUP(F1313,[1]!china_towns_second__2[[Column1]:[Y]],2,FALSE)</f>
        <v>109.5080404</v>
      </c>
      <c r="L1313" t="s">
        <v>5431</v>
      </c>
      <c r="M1313" t="str">
        <f>VLOOKUP(H1313,CHOOSE({1,2},Table11[Native],Table11[Name]),2,0)</f>
        <v>Línwèi Qū</v>
      </c>
      <c r="N1313" s="13" t="str">
        <f>VLOOKUP(I1313,CHOOSE({1,2},Table11[Native],Table11[Name]),2,0)</f>
        <v>Wèinán Shì</v>
      </c>
      <c r="O1313" s="13" t="str">
        <f t="shared" si="82"/>
        <v>Yancun Zhen (Wèinán Shì)</v>
      </c>
      <c r="P1313" s="13" t="str">
        <f t="shared" si="83"/>
        <v>Yancun Zhen (Wèinán Shì)</v>
      </c>
    </row>
    <row r="1314" spans="1:16" hidden="1" x14ac:dyDescent="0.25">
      <c r="A1314" t="s">
        <v>1254</v>
      </c>
      <c r="B1314" t="str">
        <f t="shared" si="80"/>
        <v>Yáncūn Zhèn [incl. Shàngguānfāng Xiāng]</v>
      </c>
      <c r="C1314" t="str">
        <f t="shared" si="81"/>
        <v>Yáncūn Zhèn [incl. Shàngguānfāng Xiāng]</v>
      </c>
      <c r="D1314" t="s">
        <v>1255</v>
      </c>
      <c r="E1314" t="s">
        <v>7</v>
      </c>
      <c r="F1314" t="str">
        <f>_xlfn.CONCAT(D1314,", ",H1314,", ",I1314,", ","陕西省")</f>
        <v>闫村镇, 商州区, 商洛市, 陕西省</v>
      </c>
      <c r="G1314">
        <v>9300</v>
      </c>
      <c r="H1314" t="s">
        <v>3076</v>
      </c>
      <c r="I1314" t="s">
        <v>3072</v>
      </c>
      <c r="J1314">
        <f>VLOOKUP(F1314,[1]!china_towns_second__2[[Column1]:[Y]],3,FALSE)</f>
        <v>33.7026038384573</v>
      </c>
      <c r="K1314">
        <f>VLOOKUP(F1314,[1]!china_towns_second__2[[Column1]:[Y]],2,FALSE)</f>
        <v>109.8366053</v>
      </c>
      <c r="L1314" t="s">
        <v>5432</v>
      </c>
      <c r="M1314" t="str">
        <f>VLOOKUP(H1314,CHOOSE({1,2},Table11[Native],Table11[Name]),2,0)</f>
        <v>Shāngzhōu Qū</v>
      </c>
      <c r="N1314" s="13" t="str">
        <f>VLOOKUP(I1314,CHOOSE({1,2},Table11[Native],Table11[Name]),2,0)</f>
        <v>Shāngluò Shì</v>
      </c>
      <c r="O1314" s="13" t="str">
        <f t="shared" si="82"/>
        <v>Yancun Zhen [incl. Shangguanfang Xiang] (Shāngluò Shì)</v>
      </c>
      <c r="P1314" s="13" t="str">
        <f t="shared" si="83"/>
        <v>Yancun Zhen [incl. Shangguanfang Xiang] (Shāngluò Shì)</v>
      </c>
    </row>
    <row r="1315" spans="1:16" hidden="1" x14ac:dyDescent="0.25">
      <c r="A1315" t="s">
        <v>981</v>
      </c>
      <c r="B1315" t="str">
        <f t="shared" si="80"/>
        <v>Yángchūn Zhèn</v>
      </c>
      <c r="C1315" t="str">
        <f t="shared" si="81"/>
        <v>Yángchūn Zhèn</v>
      </c>
      <c r="D1315" t="s">
        <v>982</v>
      </c>
      <c r="E1315" t="s">
        <v>7</v>
      </c>
      <c r="F1315" t="str">
        <f>_xlfn.CONCAT(D1315,", ",H1315,", ",I1315,", ","陕西省")</f>
        <v>阳春镇, 南郑区, 汉中市, 陕西省</v>
      </c>
      <c r="G1315">
        <v>13271</v>
      </c>
      <c r="H1315" t="s">
        <v>3066</v>
      </c>
      <c r="I1315" t="s">
        <v>3059</v>
      </c>
      <c r="J1315">
        <f>VLOOKUP(F1315,[1]!china_towns_second__2[[Column1]:[Y]],3,FALSE)</f>
        <v>33.068554844443803</v>
      </c>
      <c r="K1315">
        <f>VLOOKUP(F1315,[1]!china_towns_second__2[[Column1]:[Y]],2,FALSE)</f>
        <v>106.8881738</v>
      </c>
      <c r="L1315" t="s">
        <v>5433</v>
      </c>
      <c r="M1315" t="str">
        <f>VLOOKUP(H1315,CHOOSE({1,2},Table11[Native],Table11[Name]),2,0)</f>
        <v>Nánzhèng Qū</v>
      </c>
      <c r="N1315" s="13" t="str">
        <f>VLOOKUP(I1315,CHOOSE({1,2},Table11[Native],Table11[Name]),2,0)</f>
        <v>Hànzhōng Shì</v>
      </c>
      <c r="O1315" s="13" t="str">
        <f t="shared" si="82"/>
        <v>Yangchun Zhen (Hànzhōng Shì)</v>
      </c>
      <c r="P1315" s="13" t="str">
        <f t="shared" si="83"/>
        <v>Yangchun Zhen (Hànzhōng Shì)</v>
      </c>
    </row>
    <row r="1316" spans="1:16" hidden="1" x14ac:dyDescent="0.25">
      <c r="A1316" t="s">
        <v>1256</v>
      </c>
      <c r="B1316" t="str">
        <f t="shared" si="80"/>
        <v>Yángdì Zhèn</v>
      </c>
      <c r="C1316" t="str">
        <f t="shared" si="81"/>
        <v>Yángdì Zhèn</v>
      </c>
      <c r="D1316" t="s">
        <v>1257</v>
      </c>
      <c r="E1316" t="s">
        <v>7</v>
      </c>
      <c r="F1316" t="str">
        <f>_xlfn.CONCAT(D1316,", ",H1316,", ",I1316,", ","陕西省")</f>
        <v>杨地镇, 山阳县, 商洛市, 陕西省</v>
      </c>
      <c r="G1316">
        <v>21081</v>
      </c>
      <c r="H1316" t="s">
        <v>3077</v>
      </c>
      <c r="I1316" t="s">
        <v>3072</v>
      </c>
      <c r="J1316">
        <f>VLOOKUP(F1316,[1]!china_towns_second__2[[Column1]:[Y]],3,FALSE)</f>
        <v>33.3067588039886</v>
      </c>
      <c r="K1316">
        <f>VLOOKUP(F1316,[1]!china_towns_second__2[[Column1]:[Y]],2,FALSE)</f>
        <v>109.68152790000001</v>
      </c>
      <c r="L1316" t="s">
        <v>5434</v>
      </c>
      <c r="M1316" t="str">
        <f>VLOOKUP(H1316,CHOOSE({1,2},Table11[Native],Table11[Name]),2,0)</f>
        <v>Shānyáng Xiàn</v>
      </c>
      <c r="N1316" s="13" t="str">
        <f>VLOOKUP(I1316,CHOOSE({1,2},Table11[Native],Table11[Name]),2,0)</f>
        <v>Shāngluò Shì</v>
      </c>
      <c r="O1316" s="13" t="str">
        <f t="shared" si="82"/>
        <v>Yangdi Zhen (Shāngluò Shì)</v>
      </c>
      <c r="P1316" s="13" t="str">
        <f t="shared" si="83"/>
        <v>Yangdi Zhen (Shāngluò Shì)</v>
      </c>
    </row>
    <row r="1317" spans="1:16" hidden="1" x14ac:dyDescent="0.25">
      <c r="A1317" t="s">
        <v>1672</v>
      </c>
      <c r="B1317" t="str">
        <f t="shared" si="80"/>
        <v>Yángguō Zhèn</v>
      </c>
      <c r="C1317" t="str">
        <f t="shared" si="81"/>
        <v>Yángguō Zhèn</v>
      </c>
      <c r="D1317" t="s">
        <v>1673</v>
      </c>
      <c r="E1317" t="s">
        <v>7</v>
      </c>
      <c r="F1317" t="str">
        <f>_xlfn.CONCAT(D1317,", ",H1317,", ",I1317,", ","陕西省")</f>
        <v>阳郭镇, 临渭区, 渭南市, 陕西省</v>
      </c>
      <c r="G1317">
        <v>28923</v>
      </c>
      <c r="H1317" t="s">
        <v>3097</v>
      </c>
      <c r="I1317" t="s">
        <v>3087</v>
      </c>
      <c r="J1317">
        <f>VLOOKUP(F1317,[1]!china_towns_second__2[[Column1]:[Y]],3,FALSE)</f>
        <v>34.332913816751102</v>
      </c>
      <c r="K1317">
        <f>VLOOKUP(F1317,[1]!china_towns_second__2[[Column1]:[Y]],2,FALSE)</f>
        <v>109.4983616</v>
      </c>
      <c r="L1317" t="s">
        <v>5435</v>
      </c>
      <c r="M1317" t="str">
        <f>VLOOKUP(H1317,CHOOSE({1,2},Table11[Native],Table11[Name]),2,0)</f>
        <v>Línwèi Qū</v>
      </c>
      <c r="N1317" s="13" t="str">
        <f>VLOOKUP(I1317,CHOOSE({1,2},Table11[Native],Table11[Name]),2,0)</f>
        <v>Wèinán Shì</v>
      </c>
      <c r="O1317" s="13" t="str">
        <f t="shared" si="82"/>
        <v>Yangguo Zhen (Wèinán Shì)</v>
      </c>
      <c r="P1317" s="13" t="str">
        <f t="shared" si="83"/>
        <v>Yangguo Zhen (Wèinán Shì)</v>
      </c>
    </row>
    <row r="1318" spans="1:16" hidden="1" x14ac:dyDescent="0.25">
      <c r="A1318" t="s">
        <v>983</v>
      </c>
      <c r="B1318" t="str">
        <f t="shared" si="80"/>
        <v>Yánghé Zhèn</v>
      </c>
      <c r="C1318" t="str">
        <f t="shared" si="81"/>
        <v>Yánghé Zhèn</v>
      </c>
      <c r="D1318" t="s">
        <v>984</v>
      </c>
      <c r="E1318" t="s">
        <v>7</v>
      </c>
      <c r="F1318" t="str">
        <f>_xlfn.CONCAT(D1318,", ",H1318,", ",I1318,", ","陕西省")</f>
        <v>杨河镇, 西乡县, 汉中市, 陕西省</v>
      </c>
      <c r="G1318">
        <v>25668</v>
      </c>
      <c r="H1318" t="s">
        <v>3068</v>
      </c>
      <c r="I1318" t="s">
        <v>3059</v>
      </c>
      <c r="J1318">
        <f>VLOOKUP(F1318,[1]!china_towns_second__2[[Column1]:[Y]],3,FALSE)</f>
        <v>32.892944718105902</v>
      </c>
      <c r="K1318">
        <f>VLOOKUP(F1318,[1]!china_towns_second__2[[Column1]:[Y]],2,FALSE)</f>
        <v>107.7338998</v>
      </c>
      <c r="L1318" t="s">
        <v>5436</v>
      </c>
      <c r="M1318" t="str">
        <f>VLOOKUP(H1318,CHOOSE({1,2},Table11[Native],Table11[Name]),2,0)</f>
        <v>Xīxiāng Xiàn</v>
      </c>
      <c r="N1318" s="13" t="str">
        <f>VLOOKUP(I1318,CHOOSE({1,2},Table11[Native],Table11[Name]),2,0)</f>
        <v>Hànzhōng Shì</v>
      </c>
      <c r="O1318" s="13" t="str">
        <f t="shared" si="82"/>
        <v>Yanghe Zhen (Hànzhōng Shì)</v>
      </c>
      <c r="P1318" s="13" t="str">
        <f t="shared" si="83"/>
        <v>Yanghe Zhen (Hànzhōng Shì)</v>
      </c>
    </row>
    <row r="1319" spans="1:16" hidden="1" x14ac:dyDescent="0.25">
      <c r="A1319" t="s">
        <v>1922</v>
      </c>
      <c r="B1319" t="str">
        <f t="shared" si="80"/>
        <v>Yánghóng Zhèn</v>
      </c>
      <c r="C1319" t="str">
        <f t="shared" si="81"/>
        <v>Yánghóng Zhèn</v>
      </c>
      <c r="D1319" t="s">
        <v>1923</v>
      </c>
      <c r="E1319" t="s">
        <v>7</v>
      </c>
      <c r="F1319" t="str">
        <f>_xlfn.CONCAT(D1319,", ",H1319,", ",I1319,", ","陕西省")</f>
        <v>阳洪镇, 乾县, 咸阳市, 陕西省</v>
      </c>
      <c r="G1319">
        <v>20930</v>
      </c>
      <c r="H1319" t="s">
        <v>3123</v>
      </c>
      <c r="I1319" t="s">
        <v>3117</v>
      </c>
      <c r="J1319">
        <f>VLOOKUP(F1319,[1]!china_towns_second__2[[Column1]:[Y]],3,FALSE)</f>
        <v>34.529321404876498</v>
      </c>
      <c r="K1319">
        <f>VLOOKUP(F1319,[1]!china_towns_second__2[[Column1]:[Y]],2,FALSE)</f>
        <v>108.3113353</v>
      </c>
      <c r="L1319" t="s">
        <v>5437</v>
      </c>
      <c r="M1319" t="str">
        <f>VLOOKUP(H1319,CHOOSE({1,2},Table11[Native],Table11[Name]),2,0)</f>
        <v>Qián Xiàn</v>
      </c>
      <c r="N1319" s="13" t="str">
        <f>VLOOKUP(I1319,CHOOSE({1,2},Table11[Native],Table11[Name]),2,0)</f>
        <v>Xiányáng Shì</v>
      </c>
      <c r="O1319" s="13" t="str">
        <f t="shared" si="82"/>
        <v>Yanghong Zhen (Xiányáng Shì)</v>
      </c>
      <c r="P1319" s="13" t="str">
        <f t="shared" si="83"/>
        <v>Yanghong Zhen (Xiányáng Shì)</v>
      </c>
    </row>
    <row r="1320" spans="1:16" hidden="1" x14ac:dyDescent="0.25">
      <c r="A1320" t="s">
        <v>2564</v>
      </c>
      <c r="B1320" t="str">
        <f t="shared" si="80"/>
        <v>Yángjiāgētái Zhèn</v>
      </c>
      <c r="C1320" t="str">
        <f t="shared" si="81"/>
        <v>Yángjiāgētái Zhèn</v>
      </c>
      <c r="D1320" t="s">
        <v>2565</v>
      </c>
      <c r="E1320" t="s">
        <v>7</v>
      </c>
      <c r="F1320" t="str">
        <f>_xlfn.CONCAT(D1320,", ",H1320,", ",I1320,", ","陕西省")</f>
        <v>杨家圪台镇, 延川县, 延安市, 陕西省</v>
      </c>
      <c r="G1320">
        <v>6909</v>
      </c>
      <c r="H1320" t="s">
        <v>3143</v>
      </c>
      <c r="I1320" t="s">
        <v>3133</v>
      </c>
      <c r="J1320">
        <f>VLOOKUP(F1320,[1]!china_towns_second__2[[Column1]:[Y]],3,FALSE)</f>
        <v>36.748601711326799</v>
      </c>
      <c r="K1320">
        <f>VLOOKUP(F1320,[1]!china_towns_second__2[[Column1]:[Y]],2,FALSE)</f>
        <v>110.2092844</v>
      </c>
      <c r="L1320" t="s">
        <v>5438</v>
      </c>
      <c r="M1320" t="str">
        <f>VLOOKUP(H1320,CHOOSE({1,2},Table11[Native],Table11[Name]),2,0)</f>
        <v>Yánchuān Xiàn</v>
      </c>
      <c r="N1320" s="13" t="str">
        <f>VLOOKUP(I1320,CHOOSE({1,2},Table11[Native],Table11[Name]),2,0)</f>
        <v>Yán'ān Shì</v>
      </c>
      <c r="O1320" s="13" t="str">
        <f t="shared" si="82"/>
        <v>Yangjiagetai Zhen (Yán'ān Shì)</v>
      </c>
      <c r="P1320" s="13" t="str">
        <f t="shared" si="83"/>
        <v>Yangjiagetai Zhen (Yán'ān Shì)</v>
      </c>
    </row>
    <row r="1321" spans="1:16" hidden="1" x14ac:dyDescent="0.25">
      <c r="A1321" t="s">
        <v>2967</v>
      </c>
      <c r="B1321" t="str">
        <f t="shared" si="80"/>
        <v>Yángjiāgōu Zhèn</v>
      </c>
      <c r="C1321" t="str">
        <f t="shared" si="81"/>
        <v>Yángjiāgōu Zhèn</v>
      </c>
      <c r="D1321" t="s">
        <v>2968</v>
      </c>
      <c r="E1321" t="s">
        <v>7</v>
      </c>
      <c r="F1321" t="str">
        <f>_xlfn.CONCAT(D1321,", ",H1321,", ",I1321,", ","陕西省")</f>
        <v>杨家沟镇, 米脂县, 榆林市, 陕西省</v>
      </c>
      <c r="G1321">
        <v>9259</v>
      </c>
      <c r="H1321" t="s">
        <v>3154</v>
      </c>
      <c r="I1321" t="s">
        <v>3148</v>
      </c>
      <c r="J1321">
        <f>VLOOKUP(F1321,[1]!china_towns_second__2[[Column1]:[Y]],3,FALSE)</f>
        <v>37.736148439398299</v>
      </c>
      <c r="K1321">
        <f>VLOOKUP(F1321,[1]!china_towns_second__2[[Column1]:[Y]],2,FALSE)</f>
        <v>110.3322174</v>
      </c>
      <c r="L1321" t="s">
        <v>5439</v>
      </c>
      <c r="M1321" t="str">
        <f>VLOOKUP(H1321,CHOOSE({1,2},Table11[Native],Table11[Name]),2,0)</f>
        <v>Mĭzhī Xiàn</v>
      </c>
      <c r="N1321" s="13" t="str">
        <f>VLOOKUP(I1321,CHOOSE({1,2},Table11[Native],Table11[Name]),2,0)</f>
        <v>Yúlín Shì</v>
      </c>
      <c r="O1321" s="13" t="str">
        <f t="shared" si="82"/>
        <v>Yangjiagou Zhen (Yúlín Shì)</v>
      </c>
      <c r="P1321" s="13" t="str">
        <f t="shared" si="83"/>
        <v>Yangjiagou Zhen (Yúlín Shì)</v>
      </c>
    </row>
    <row r="1322" spans="1:16" hidden="1" x14ac:dyDescent="0.25">
      <c r="A1322" t="s">
        <v>985</v>
      </c>
      <c r="B1322" t="str">
        <f t="shared" si="80"/>
        <v>Yángjiāhé Zhèn</v>
      </c>
      <c r="C1322" t="str">
        <f t="shared" si="81"/>
        <v>Yángjiāhé Zhèn</v>
      </c>
      <c r="D1322" t="s">
        <v>986</v>
      </c>
      <c r="E1322" t="s">
        <v>7</v>
      </c>
      <c r="F1322" t="str">
        <f>_xlfn.CONCAT(D1322,", ",H1322,", ",I1322,", ","陕西省")</f>
        <v>杨家河镇, 镇巴县, 汉中市, 陕西省</v>
      </c>
      <c r="G1322">
        <v>4513</v>
      </c>
      <c r="H1322" t="s">
        <v>3070</v>
      </c>
      <c r="I1322" t="s">
        <v>3059</v>
      </c>
      <c r="J1322">
        <f>VLOOKUP(F1322,[1]!china_towns_second__2[[Column1]:[Y]],3,FALSE)</f>
        <v>32.714992185382101</v>
      </c>
      <c r="K1322">
        <f>VLOOKUP(F1322,[1]!china_towns_second__2[[Column1]:[Y]],2,FALSE)</f>
        <v>107.8742567</v>
      </c>
      <c r="L1322" t="s">
        <v>5440</v>
      </c>
      <c r="M1322" t="str">
        <f>VLOOKUP(H1322,CHOOSE({1,2},Table11[Native],Table11[Name]),2,0)</f>
        <v>Zhènbā Xiàn</v>
      </c>
      <c r="N1322" s="13" t="str">
        <f>VLOOKUP(I1322,CHOOSE({1,2},Table11[Native],Table11[Name]),2,0)</f>
        <v>Hànzhōng Shì</v>
      </c>
      <c r="O1322" s="13" t="str">
        <f t="shared" si="82"/>
        <v>Yangjiahe Zhen (Hànzhōng Shì)</v>
      </c>
      <c r="P1322" s="13" t="str">
        <f t="shared" si="83"/>
        <v>Yangjiahe Zhen (Hànzhōng Shì)</v>
      </c>
    </row>
    <row r="1323" spans="1:16" hidden="1" x14ac:dyDescent="0.25">
      <c r="A1323" t="s">
        <v>2566</v>
      </c>
      <c r="B1323" t="str">
        <f t="shared" si="80"/>
        <v>Yángjiāyuánzé Zhèn [incl. Shĭjiāpàn Xiāng]</v>
      </c>
      <c r="C1323" t="str">
        <f t="shared" si="81"/>
        <v>Yángjiāyuánzé Zhèn [incl. Shĭjiāpàn Xiāng]</v>
      </c>
      <c r="D1323" t="s">
        <v>2567</v>
      </c>
      <c r="E1323" t="s">
        <v>7</v>
      </c>
      <c r="F1323" t="str">
        <f>_xlfn.CONCAT(D1323,", ",H1323,", ",I1323,", ","陕西省")</f>
        <v>杨家园则镇, 子长市, 延安市, 陕西省</v>
      </c>
      <c r="G1323">
        <v>19272</v>
      </c>
      <c r="H1323" t="s">
        <v>3146</v>
      </c>
      <c r="I1323" t="s">
        <v>3133</v>
      </c>
      <c r="J1323">
        <f>VLOOKUP(F1323,[1]!china_towns_second__2[[Column1]:[Y]],3,FALSE)</f>
        <v>37.2021444731337</v>
      </c>
      <c r="K1323">
        <f>VLOOKUP(F1323,[1]!china_towns_second__2[[Column1]:[Y]],2,FALSE)</f>
        <v>109.8586093</v>
      </c>
      <c r="L1323" t="s">
        <v>5441</v>
      </c>
      <c r="M1323" t="str">
        <f>VLOOKUP(H1323,CHOOSE({1,2},Table11[Native],Table11[Name]),2,0)</f>
        <v>Zicháng Shì</v>
      </c>
      <c r="N1323" s="13" t="str">
        <f>VLOOKUP(I1323,CHOOSE({1,2},Table11[Native],Table11[Name]),2,0)</f>
        <v>Yán'ān Shì</v>
      </c>
      <c r="O1323" s="13" t="str">
        <f t="shared" si="82"/>
        <v>Yangjiayuanze Zhen [incl. Shijiapan Xiang] (Yán'ān Shì)</v>
      </c>
      <c r="P1323" s="13" t="str">
        <f t="shared" si="83"/>
        <v>Yangjiayuanze Zhen [incl. Shijiapan Xiang] (Yán'ān Shì)</v>
      </c>
    </row>
    <row r="1324" spans="1:16" hidden="1" x14ac:dyDescent="0.25">
      <c r="A1324" t="s">
        <v>1674</v>
      </c>
      <c r="B1324" t="str">
        <f t="shared" si="80"/>
        <v>Yángjiāzhuāng Xiāng</v>
      </c>
      <c r="C1324" t="str">
        <f t="shared" si="81"/>
        <v>Yángjiāzhuāng Xiāng</v>
      </c>
      <c r="D1324" t="s">
        <v>1675</v>
      </c>
      <c r="E1324" t="s">
        <v>11</v>
      </c>
      <c r="F1324" t="str">
        <f>_xlfn.CONCAT(D1324,", ",H1324,", ",I1324,", ","陕西省")</f>
        <v>杨家庄乡, 合阳县, 渭南市, 陕西省</v>
      </c>
      <c r="G1324">
        <v>10046</v>
      </c>
      <c r="H1324" t="s">
        <v>3094</v>
      </c>
      <c r="I1324" t="s">
        <v>3087</v>
      </c>
      <c r="J1324" t="e">
        <f>VLOOKUP(F1324,[1]!china_towns_second__2[[Column1]:[Y]],3,FALSE)</f>
        <v>#N/A</v>
      </c>
      <c r="K1324" t="e">
        <f>VLOOKUP(F1324,[1]!china_towns_second__2[[Column1]:[Y]],2,FALSE)</f>
        <v>#N/A</v>
      </c>
      <c r="L1324" t="s">
        <v>5442</v>
      </c>
      <c r="M1324" t="str">
        <f>VLOOKUP(H1324,CHOOSE({1,2},Table11[Native],Table11[Name]),2,0)</f>
        <v>Héyáng Xiàn</v>
      </c>
      <c r="N1324" s="13" t="str">
        <f>VLOOKUP(I1324,CHOOSE({1,2},Table11[Native],Table11[Name]),2,0)</f>
        <v>Wèinán Shì</v>
      </c>
      <c r="O1324" s="13" t="str">
        <f t="shared" si="82"/>
        <v>Yangjiazhuang Xiang (Wèinán Shì)</v>
      </c>
      <c r="P1324" s="13" t="str">
        <f t="shared" si="83"/>
        <v>Yangjiazhuang Xiang (Wèinán Shì)</v>
      </c>
    </row>
    <row r="1325" spans="1:16" hidden="1" x14ac:dyDescent="0.25">
      <c r="A1325" t="s">
        <v>2969</v>
      </c>
      <c r="B1325" t="str">
        <f t="shared" si="80"/>
        <v>Yángjĭng Zhèn</v>
      </c>
      <c r="C1325" t="str">
        <f t="shared" si="81"/>
        <v>Yángjĭng Zhèn</v>
      </c>
      <c r="D1325" t="s">
        <v>2970</v>
      </c>
      <c r="E1325" t="s">
        <v>7</v>
      </c>
      <c r="F1325" t="str">
        <f>_xlfn.CONCAT(D1325,", ",H1325,", ",I1325,", ","陕西省")</f>
        <v>杨井镇, 定边县, 榆林市, 陕西省</v>
      </c>
      <c r="G1325">
        <v>9480</v>
      </c>
      <c r="H1325" t="s">
        <v>3149</v>
      </c>
      <c r="I1325" t="s">
        <v>3148</v>
      </c>
      <c r="J1325">
        <f>VLOOKUP(F1325,[1]!china_towns_second__2[[Column1]:[Y]],3,FALSE)</f>
        <v>37.311395267367601</v>
      </c>
      <c r="K1325">
        <f>VLOOKUP(F1325,[1]!china_towns_second__2[[Column1]:[Y]],2,FALSE)</f>
        <v>107.9414957</v>
      </c>
      <c r="L1325" t="s">
        <v>5443</v>
      </c>
      <c r="M1325" t="str">
        <f>VLOOKUP(H1325,CHOOSE({1,2},Table11[Native],Table11[Name]),2,0)</f>
        <v>Dìngbiān Xiàn</v>
      </c>
      <c r="N1325" s="13" t="str">
        <f>VLOOKUP(I1325,CHOOSE({1,2},Table11[Native],Table11[Name]),2,0)</f>
        <v>Yúlín Shì</v>
      </c>
      <c r="O1325" s="13" t="str">
        <f t="shared" si="82"/>
        <v>Yangjing Zhen (Yúlín Shì)</v>
      </c>
      <c r="P1325" s="13" t="str">
        <f t="shared" si="83"/>
        <v>Yangjing Zhen (Yúlín Shì)</v>
      </c>
    </row>
    <row r="1326" spans="1:16" hidden="1" x14ac:dyDescent="0.25">
      <c r="A1326" t="s">
        <v>1924</v>
      </c>
      <c r="B1326" t="str">
        <f t="shared" si="80"/>
        <v>Yánglíng Jiēdào</v>
      </c>
      <c r="C1326" t="str">
        <f t="shared" si="81"/>
        <v>Yánglíng Jiēdào</v>
      </c>
      <c r="D1326" t="s">
        <v>1925</v>
      </c>
      <c r="E1326" t="s">
        <v>113</v>
      </c>
      <c r="F1326" t="str">
        <f>_xlfn.CONCAT(D1326,", ",H1326,", ",I1326,", ","陕西省")</f>
        <v>杨陵街道, 杨陵区, 咸阳市, 陕西省</v>
      </c>
      <c r="G1326">
        <v>82832</v>
      </c>
      <c r="H1326" t="s">
        <v>3130</v>
      </c>
      <c r="I1326" t="s">
        <v>3117</v>
      </c>
      <c r="J1326">
        <f>VLOOKUP(F1326,[1]!china_towns_second__2[[Column1]:[Y]],3,FALSE)</f>
        <v>34.285375205598498</v>
      </c>
      <c r="K1326">
        <f>VLOOKUP(F1326,[1]!china_towns_second__2[[Column1]:[Y]],2,FALSE)</f>
        <v>108.09577880000001</v>
      </c>
      <c r="L1326" t="s">
        <v>5444</v>
      </c>
      <c r="M1326" t="str">
        <f>VLOOKUP(H1326,CHOOSE({1,2},Table11[Native],Table11[Name]),2,0)</f>
        <v>Yánglíng Qū</v>
      </c>
      <c r="N1326" s="13" t="str">
        <f>VLOOKUP(I1326,CHOOSE({1,2},Table11[Native],Table11[Name]),2,0)</f>
        <v>Xiányáng Shì</v>
      </c>
      <c r="O1326" s="13" t="str">
        <f t="shared" si="82"/>
        <v>Yangling Jiedao (Xiányáng Shì)</v>
      </c>
      <c r="P1326" s="13" t="str">
        <f t="shared" si="83"/>
        <v>Yangling Jiedao (Xiányáng Shì)</v>
      </c>
    </row>
    <row r="1327" spans="1:16" hidden="1" x14ac:dyDescent="0.25">
      <c r="A1327" t="s">
        <v>2971</v>
      </c>
      <c r="B1327" t="str">
        <f t="shared" si="80"/>
        <v>Yángmĭjiàn Zhèn</v>
      </c>
      <c r="C1327" t="str">
        <f t="shared" si="81"/>
        <v>Yángmĭjiàn Zhèn</v>
      </c>
      <c r="D1327" t="s">
        <v>2972</v>
      </c>
      <c r="E1327" t="s">
        <v>7</v>
      </c>
      <c r="F1327" t="str">
        <f>_xlfn.CONCAT(D1327,", ",H1327,", ",I1327,", ","陕西省")</f>
        <v>杨米涧镇, 靖边县, 榆林市, 陕西省</v>
      </c>
      <c r="G1327">
        <v>4357</v>
      </c>
      <c r="H1327" t="s">
        <v>3153</v>
      </c>
      <c r="I1327" t="s">
        <v>3148</v>
      </c>
      <c r="J1327">
        <f>VLOOKUP(F1327,[1]!china_towns_second__2[[Column1]:[Y]],3,FALSE)</f>
        <v>37.253107728812502</v>
      </c>
      <c r="K1327">
        <f>VLOOKUP(F1327,[1]!china_towns_second__2[[Column1]:[Y]],2,FALSE)</f>
        <v>108.7816196</v>
      </c>
      <c r="L1327" t="s">
        <v>5445</v>
      </c>
      <c r="M1327" t="str">
        <f>VLOOKUP(H1327,CHOOSE({1,2},Table11[Native],Table11[Name]),2,0)</f>
        <v>Jìngbiān Xiàn</v>
      </c>
      <c r="N1327" s="13" t="str">
        <f>VLOOKUP(I1327,CHOOSE({1,2},Table11[Native],Table11[Name]),2,0)</f>
        <v>Yúlín Shì</v>
      </c>
      <c r="O1327" s="13" t="str">
        <f t="shared" si="82"/>
        <v>Yangmijian Zhen (Yúlín Shì)</v>
      </c>
      <c r="P1327" s="13" t="str">
        <f t="shared" si="83"/>
        <v>Yangmijian Zhen (Yúlín Shì)</v>
      </c>
    </row>
    <row r="1328" spans="1:16" hidden="1" x14ac:dyDescent="0.25">
      <c r="A1328" t="s">
        <v>591</v>
      </c>
      <c r="B1328" t="str">
        <f t="shared" si="80"/>
        <v>Yángpíng Zhèn</v>
      </c>
      <c r="C1328" t="str">
        <f t="shared" si="81"/>
        <v>Yángpíng Zhèn</v>
      </c>
      <c r="D1328" t="s">
        <v>592</v>
      </c>
      <c r="E1328" t="s">
        <v>7</v>
      </c>
      <c r="F1328" t="str">
        <f>_xlfn.CONCAT(D1328,", ",H1328,", ",I1328,", ","陕西省")</f>
        <v>阳平镇, 陈仓区, 宝鸡市, 陕西省</v>
      </c>
      <c r="G1328">
        <v>42824</v>
      </c>
      <c r="H1328" t="s">
        <v>3046</v>
      </c>
      <c r="I1328" t="s">
        <v>3045</v>
      </c>
      <c r="J1328">
        <f>VLOOKUP(F1328,[1]!china_towns_second__2[[Column1]:[Y]],3,FALSE)</f>
        <v>34.327535328437698</v>
      </c>
      <c r="K1328">
        <f>VLOOKUP(F1328,[1]!china_towns_second__2[[Column1]:[Y]],2,FALSE)</f>
        <v>107.5359261</v>
      </c>
      <c r="L1328" t="s">
        <v>5446</v>
      </c>
      <c r="M1328" t="str">
        <f>VLOOKUP(H1328,CHOOSE({1,2},Table11[Native],Table11[Name]),2,0)</f>
        <v>Chéncāng Qū</v>
      </c>
      <c r="N1328" s="13" t="str">
        <f>VLOOKUP(I1328,CHOOSE({1,2},Table11[Native],Table11[Name]),2,0)</f>
        <v>Băojī Shì</v>
      </c>
      <c r="O1328" s="13" t="str">
        <f t="shared" si="82"/>
        <v>Yangping Zhen (Băojī Shì)</v>
      </c>
      <c r="P1328" s="13" t="str">
        <f t="shared" si="83"/>
        <v>Yangping Zhen (Băojī Shì)</v>
      </c>
    </row>
    <row r="1329" spans="1:16" hidden="1" x14ac:dyDescent="0.25">
      <c r="A1329" t="s">
        <v>987</v>
      </c>
      <c r="B1329" t="str">
        <f t="shared" si="80"/>
        <v>Yángpíngguān Zhèn</v>
      </c>
      <c r="C1329" t="str">
        <f t="shared" si="81"/>
        <v>Yángpíngguān Zhèn</v>
      </c>
      <c r="D1329" t="s">
        <v>988</v>
      </c>
      <c r="E1329" t="s">
        <v>7</v>
      </c>
      <c r="F1329" t="str">
        <f>_xlfn.CONCAT(D1329,", ",H1329,", ",I1329,", ","陕西省")</f>
        <v>阳平关镇, 宁强县, 汉中市, 陕西省</v>
      </c>
      <c r="G1329">
        <v>29487</v>
      </c>
      <c r="H1329" t="s">
        <v>3067</v>
      </c>
      <c r="I1329" t="s">
        <v>3059</v>
      </c>
      <c r="J1329">
        <f>VLOOKUP(F1329,[1]!china_towns_second__2[[Column1]:[Y]],3,FALSE)</f>
        <v>32.9196271220735</v>
      </c>
      <c r="K1329">
        <f>VLOOKUP(F1329,[1]!china_towns_second__2[[Column1]:[Y]],2,FALSE)</f>
        <v>106.0567456</v>
      </c>
      <c r="L1329" t="s">
        <v>5447</v>
      </c>
      <c r="M1329" t="str">
        <f>VLOOKUP(H1329,CHOOSE({1,2},Table11[Native],Table11[Name]),2,0)</f>
        <v>Níngqiáng Xiàn</v>
      </c>
      <c r="N1329" s="13" t="str">
        <f>VLOOKUP(I1329,CHOOSE({1,2},Table11[Native],Table11[Name]),2,0)</f>
        <v>Hànzhōng Shì</v>
      </c>
      <c r="O1329" s="13" t="str">
        <f t="shared" si="82"/>
        <v>Yangpingguan Zhen (Hànzhōng Shì)</v>
      </c>
      <c r="P1329" s="13" t="str">
        <f t="shared" si="83"/>
        <v>Yangpingguan Zhen (Hànzhōng Shì)</v>
      </c>
    </row>
    <row r="1330" spans="1:16" hidden="1" x14ac:dyDescent="0.25">
      <c r="A1330" t="s">
        <v>2973</v>
      </c>
      <c r="B1330" t="str">
        <f t="shared" si="80"/>
        <v>Yángqiáopàn Zhèn</v>
      </c>
      <c r="C1330" t="str">
        <f t="shared" si="81"/>
        <v>Yángqiáopàn Zhèn</v>
      </c>
      <c r="D1330" t="s">
        <v>2974</v>
      </c>
      <c r="E1330" t="s">
        <v>7</v>
      </c>
      <c r="F1330" t="str">
        <f>_xlfn.CONCAT(D1330,", ",H1330,", ",I1330,", ","陕西省")</f>
        <v>杨桥畔镇, 靖边县, 榆林市, 陕西省</v>
      </c>
      <c r="G1330">
        <v>10749</v>
      </c>
      <c r="H1330" t="s">
        <v>3153</v>
      </c>
      <c r="I1330" t="s">
        <v>3148</v>
      </c>
      <c r="J1330">
        <f>VLOOKUP(F1330,[1]!china_towns_second__2[[Column1]:[Y]],3,FALSE)</f>
        <v>37.590260220920399</v>
      </c>
      <c r="K1330">
        <f>VLOOKUP(F1330,[1]!china_towns_second__2[[Column1]:[Y]],2,FALSE)</f>
        <v>109.0659769</v>
      </c>
      <c r="L1330" t="s">
        <v>5448</v>
      </c>
      <c r="M1330" t="str">
        <f>VLOOKUP(H1330,CHOOSE({1,2},Table11[Native],Table11[Name]),2,0)</f>
        <v>Jìngbiān Xiàn</v>
      </c>
      <c r="N1330" s="13" t="str">
        <f>VLOOKUP(I1330,CHOOSE({1,2},Table11[Native],Table11[Name]),2,0)</f>
        <v>Yúlín Shì</v>
      </c>
      <c r="O1330" s="13" t="str">
        <f t="shared" si="82"/>
        <v>Yangqiaopan Zhen (Yúlín Shì)</v>
      </c>
      <c r="P1330" s="13" t="str">
        <f t="shared" si="83"/>
        <v>Yangqiaopan Zhen (Yúlín Shì)</v>
      </c>
    </row>
    <row r="1331" spans="1:16" hidden="1" x14ac:dyDescent="0.25">
      <c r="A1331" t="s">
        <v>2568</v>
      </c>
      <c r="B1331" t="str">
        <f t="shared" si="80"/>
        <v>Yángquán Zhèn [incl. Jízixiàn Zhèn]</v>
      </c>
      <c r="C1331" t="str">
        <f t="shared" si="81"/>
        <v>Yángquán Zhèn [incl. Jízixiàn Zhèn]</v>
      </c>
      <c r="D1331" t="s">
        <v>2569</v>
      </c>
      <c r="E1331" t="s">
        <v>7</v>
      </c>
      <c r="F1331" t="str">
        <f>_xlfn.CONCAT(D1331,", ",H1331,", ",I1331,", ","陕西省")</f>
        <v>羊泉镇, 富县, 延安市, 陕西省</v>
      </c>
      <c r="G1331">
        <v>23168</v>
      </c>
      <c r="H1331" t="s">
        <v>3136</v>
      </c>
      <c r="I1331" t="s">
        <v>3133</v>
      </c>
      <c r="J1331">
        <f>VLOOKUP(F1331,[1]!china_towns_second__2[[Column1]:[Y]],3,FALSE)</f>
        <v>35.954452441866501</v>
      </c>
      <c r="K1331">
        <f>VLOOKUP(F1331,[1]!china_towns_second__2[[Column1]:[Y]],2,FALSE)</f>
        <v>109.2671481</v>
      </c>
      <c r="L1331" t="s">
        <v>5449</v>
      </c>
      <c r="M1331" t="str">
        <f>VLOOKUP(H1331,CHOOSE({1,2},Table11[Native],Table11[Name]),2,0)</f>
        <v>Fù Xiàn</v>
      </c>
      <c r="N1331" s="13" t="str">
        <f>VLOOKUP(I1331,CHOOSE({1,2},Table11[Native],Table11[Name]),2,0)</f>
        <v>Yán'ān Shì</v>
      </c>
      <c r="O1331" s="13" t="str">
        <f t="shared" si="82"/>
        <v>Yangquan Zhen [incl. Jizixian Zhen] (Yán'ān Shì)</v>
      </c>
      <c r="P1331" s="13" t="str">
        <f t="shared" si="83"/>
        <v>Yangquan Zhen [incl. Jizixian Zhen] (Yán'ān Shì)</v>
      </c>
    </row>
    <row r="1332" spans="1:16" hidden="1" x14ac:dyDescent="0.25">
      <c r="A1332" t="s">
        <v>989</v>
      </c>
      <c r="B1332" t="str">
        <f t="shared" si="80"/>
        <v>Yāngtián Xiāng</v>
      </c>
      <c r="C1332" t="str">
        <f t="shared" si="81"/>
        <v>Yāngtián Xiāng</v>
      </c>
      <c r="D1332" t="s">
        <v>990</v>
      </c>
      <c r="E1332" t="s">
        <v>11</v>
      </c>
      <c r="F1332" t="str">
        <f>_xlfn.CONCAT(D1332,", ",H1332,", ",I1332,", ","陕西省")</f>
        <v>秧田乡, 洋县, 汉中市, 陕西省</v>
      </c>
      <c r="G1332">
        <v>4482</v>
      </c>
      <c r="H1332" t="s">
        <v>3069</v>
      </c>
      <c r="I1332" t="s">
        <v>3059</v>
      </c>
      <c r="J1332" t="e">
        <f>VLOOKUP(F1332,[1]!china_towns_second__2[[Column1]:[Y]],3,FALSE)</f>
        <v>#N/A</v>
      </c>
      <c r="K1332" t="e">
        <f>VLOOKUP(F1332,[1]!china_towns_second__2[[Column1]:[Y]],2,FALSE)</f>
        <v>#N/A</v>
      </c>
      <c r="L1332" t="s">
        <v>5450</v>
      </c>
      <c r="M1332" t="str">
        <f>VLOOKUP(H1332,CHOOSE({1,2},Table11[Native],Table11[Name]),2,0)</f>
        <v>Yáng Xiàn</v>
      </c>
      <c r="N1332" s="13" t="str">
        <f>VLOOKUP(I1332,CHOOSE({1,2},Table11[Native],Table11[Name]),2,0)</f>
        <v>Hànzhōng Shì</v>
      </c>
      <c r="O1332" s="13" t="str">
        <f t="shared" si="82"/>
        <v>Yangtian Xiang (Hànzhōng Shì)</v>
      </c>
      <c r="P1332" s="13" t="str">
        <f t="shared" si="83"/>
        <v>Yangtian Xiang (Hànzhōng Shì)</v>
      </c>
    </row>
    <row r="1333" spans="1:16" hidden="1" x14ac:dyDescent="0.25">
      <c r="A1333" t="s">
        <v>1258</v>
      </c>
      <c r="B1333" t="str">
        <f t="shared" si="80"/>
        <v>Yángxié Zhèn [incl. Yànchíhé Xiāng, Máchíhé Xiāng]</v>
      </c>
      <c r="C1333" t="str">
        <f t="shared" si="81"/>
        <v>Yángxié Zhèn [incl. Yànchíhé Xiāng, Máchíhé Xiāng]</v>
      </c>
      <c r="D1333" t="s">
        <v>1259</v>
      </c>
      <c r="E1333" t="s">
        <v>7</v>
      </c>
      <c r="F1333" t="str">
        <f>_xlfn.CONCAT(D1333,", ",H1333,", ",I1333,", ","陕西省")</f>
        <v>杨斜镇, 商州区, 商洛市, 陕西省</v>
      </c>
      <c r="G1333">
        <v>35206</v>
      </c>
      <c r="H1333" t="s">
        <v>3076</v>
      </c>
      <c r="I1333" t="s">
        <v>3072</v>
      </c>
      <c r="J1333">
        <f>VLOOKUP(F1333,[1]!china_towns_second__2[[Column1]:[Y]],3,FALSE)</f>
        <v>33.856094954203897</v>
      </c>
      <c r="K1333">
        <f>VLOOKUP(F1333,[1]!china_towns_second__2[[Column1]:[Y]],2,FALSE)</f>
        <v>109.6163403</v>
      </c>
      <c r="L1333" t="s">
        <v>5451</v>
      </c>
      <c r="M1333" t="str">
        <f>VLOOKUP(H1333,CHOOSE({1,2},Table11[Native],Table11[Name]),2,0)</f>
        <v>Shāngzhōu Qū</v>
      </c>
      <c r="N1333" s="13" t="str">
        <f>VLOOKUP(I1333,CHOOSE({1,2},Table11[Native],Table11[Name]),2,0)</f>
        <v>Shāngluò Shì</v>
      </c>
      <c r="O1333" s="13" t="str">
        <f t="shared" si="82"/>
        <v>Yangxie Zhen [incl. Yanchihe Xiang, Machihe Xiang] (Shāngluò Shì)</v>
      </c>
      <c r="P1333" s="13" t="str">
        <f t="shared" si="83"/>
        <v>Yangxie Zhen [incl. Yanchihe Xiang, Machihe Xiang] (Shāngluò Shì)</v>
      </c>
    </row>
    <row r="1334" spans="1:16" hidden="1" x14ac:dyDescent="0.25">
      <c r="A1334" t="s">
        <v>1926</v>
      </c>
      <c r="B1334" t="str">
        <f t="shared" si="80"/>
        <v>Yángyù Zhèn</v>
      </c>
      <c r="C1334" t="str">
        <f t="shared" si="81"/>
        <v>Yángyù Zhèn</v>
      </c>
      <c r="D1334" t="s">
        <v>1927</v>
      </c>
      <c r="E1334" t="s">
        <v>7</v>
      </c>
      <c r="F1334" t="str">
        <f>_xlfn.CONCAT(D1334,", ",H1334,", ",I1334,", ","陕西省")</f>
        <v>阳峪镇, 乾县, 咸阳市, 陕西省</v>
      </c>
      <c r="G1334">
        <v>30274</v>
      </c>
      <c r="H1334" t="s">
        <v>3123</v>
      </c>
      <c r="I1334" t="s">
        <v>3117</v>
      </c>
      <c r="J1334">
        <f>VLOOKUP(F1334,[1]!china_towns_second__2[[Column1]:[Y]],3,FALSE)</f>
        <v>34.613995373686301</v>
      </c>
      <c r="K1334">
        <f>VLOOKUP(F1334,[1]!china_towns_second__2[[Column1]:[Y]],2,FALSE)</f>
        <v>108.2372933</v>
      </c>
      <c r="L1334" t="s">
        <v>5452</v>
      </c>
      <c r="M1334" t="str">
        <f>VLOOKUP(H1334,CHOOSE({1,2},Table11[Native],Table11[Name]),2,0)</f>
        <v>Qián Xiàn</v>
      </c>
      <c r="N1334" s="13" t="str">
        <f>VLOOKUP(I1334,CHOOSE({1,2},Table11[Native],Table11[Name]),2,0)</f>
        <v>Xiányáng Shì</v>
      </c>
      <c r="O1334" s="13" t="str">
        <f t="shared" si="82"/>
        <v>Yangyu Zhen (Xiányáng Shì)</v>
      </c>
      <c r="P1334" s="13" t="str">
        <f t="shared" si="83"/>
        <v>Yangyu Zhen (Xiányáng Shì)</v>
      </c>
    </row>
    <row r="1335" spans="1:16" hidden="1" x14ac:dyDescent="0.25">
      <c r="A1335" t="s">
        <v>1260</v>
      </c>
      <c r="B1335" t="str">
        <f t="shared" si="80"/>
        <v>Yángyùhé Zhèn</v>
      </c>
      <c r="C1335" t="str">
        <f t="shared" si="81"/>
        <v>Yángyùhé Zhèn</v>
      </c>
      <c r="D1335" t="s">
        <v>1261</v>
      </c>
      <c r="E1335" t="s">
        <v>7</v>
      </c>
      <c r="F1335" t="str">
        <f>_xlfn.CONCAT(D1335,", ",H1335,", ",I1335,", ","陕西省")</f>
        <v>杨峪河镇, 商州区, 商洛市, 陕西省</v>
      </c>
      <c r="G1335">
        <v>27971</v>
      </c>
      <c r="H1335" t="s">
        <v>3076</v>
      </c>
      <c r="I1335" t="s">
        <v>3072</v>
      </c>
      <c r="J1335">
        <f>VLOOKUP(F1335,[1]!china_towns_second__2[[Column1]:[Y]],3,FALSE)</f>
        <v>33.8304430747773</v>
      </c>
      <c r="K1335">
        <f>VLOOKUP(F1335,[1]!china_towns_second__2[[Column1]:[Y]],2,FALSE)</f>
        <v>109.8290982</v>
      </c>
      <c r="L1335" t="s">
        <v>5453</v>
      </c>
      <c r="M1335" t="str">
        <f>VLOOKUP(H1335,CHOOSE({1,2},Table11[Native],Table11[Name]),2,0)</f>
        <v>Shāngzhōu Qū</v>
      </c>
      <c r="N1335" s="13" t="str">
        <f>VLOOKUP(I1335,CHOOSE({1,2},Table11[Native],Table11[Name]),2,0)</f>
        <v>Shāngluò Shì</v>
      </c>
      <c r="O1335" s="13" t="str">
        <f t="shared" si="82"/>
        <v>Yangyuhe Zhen (Shāngluò Shì)</v>
      </c>
      <c r="P1335" s="13" t="str">
        <f t="shared" si="83"/>
        <v>Yangyuhe Zhen (Shāngluò Shì)</v>
      </c>
    </row>
    <row r="1336" spans="1:16" hidden="1" x14ac:dyDescent="0.25">
      <c r="A1336" t="s">
        <v>991</v>
      </c>
      <c r="B1336" t="str">
        <f t="shared" si="80"/>
        <v>Yángzhōu Jiēdào</v>
      </c>
      <c r="C1336" t="str">
        <f t="shared" si="81"/>
        <v>Yángzhōu Jiēdào</v>
      </c>
      <c r="D1336" t="s">
        <v>992</v>
      </c>
      <c r="E1336" t="s">
        <v>113</v>
      </c>
      <c r="F1336" t="str">
        <f>_xlfn.CONCAT(D1336,", ",H1336,", ",I1336,", ","陕西省")</f>
        <v>洋州街道, 洋县, 汉中市, 陕西省</v>
      </c>
      <c r="G1336">
        <v>64349</v>
      </c>
      <c r="H1336" t="s">
        <v>3069</v>
      </c>
      <c r="I1336" t="s">
        <v>3059</v>
      </c>
      <c r="J1336" t="e">
        <f>VLOOKUP(F1336,[1]!china_towns_second__2[[Column1]:[Y]],3,FALSE)</f>
        <v>#N/A</v>
      </c>
      <c r="K1336" t="e">
        <f>VLOOKUP(F1336,[1]!china_towns_second__2[[Column1]:[Y]],2,FALSE)</f>
        <v>#N/A</v>
      </c>
      <c r="L1336" t="s">
        <v>5454</v>
      </c>
      <c r="M1336" t="str">
        <f>VLOOKUP(H1336,CHOOSE({1,2},Table11[Native],Table11[Name]),2,0)</f>
        <v>Yáng Xiàn</v>
      </c>
      <c r="N1336" s="13" t="str">
        <f>VLOOKUP(I1336,CHOOSE({1,2},Table11[Native],Table11[Name]),2,0)</f>
        <v>Hànzhōng Shì</v>
      </c>
      <c r="O1336" s="13" t="str">
        <f t="shared" si="82"/>
        <v>Yangzhou Jiedao (Hànzhōng Shì)</v>
      </c>
      <c r="P1336" s="13" t="str">
        <f t="shared" si="83"/>
        <v>Yangzhou Jiedao (Hànzhōng Shì)</v>
      </c>
    </row>
    <row r="1337" spans="1:16" hidden="1" x14ac:dyDescent="0.25">
      <c r="A1337" t="s">
        <v>2282</v>
      </c>
      <c r="B1337" t="str">
        <f t="shared" si="80"/>
        <v>Yángzhuāng Jiēdào</v>
      </c>
      <c r="C1337" t="str">
        <f t="shared" si="81"/>
        <v>Yángzhuāng Jiēdào</v>
      </c>
      <c r="D1337" t="s">
        <v>2283</v>
      </c>
      <c r="E1337" t="s">
        <v>113</v>
      </c>
      <c r="F1337" t="str">
        <f>_xlfn.CONCAT(D1337,", ",H1337,", ",I1337,", ","陕西省")</f>
        <v>杨庄街道, 长安区, 西安市, 陕西省</v>
      </c>
      <c r="G1337">
        <v>16710</v>
      </c>
      <c r="H1337" t="s">
        <v>3105</v>
      </c>
      <c r="I1337" t="s">
        <v>3102</v>
      </c>
      <c r="J1337">
        <f>VLOOKUP(F1337,[1]!china_towns_second__2[[Column1]:[Y]],3,FALSE)</f>
        <v>33.950556885328801</v>
      </c>
      <c r="K1337">
        <f>VLOOKUP(F1337,[1]!china_towns_second__2[[Column1]:[Y]],2,FALSE)</f>
        <v>109.166873</v>
      </c>
      <c r="L1337" t="s">
        <v>5455</v>
      </c>
      <c r="M1337" t="str">
        <f>VLOOKUP(H1337,CHOOSE({1,2},Table11[Native],Table11[Name]),2,0)</f>
        <v>Cháng'ān Qū</v>
      </c>
      <c r="N1337" s="13" t="str">
        <f>VLOOKUP(I1337,CHOOSE({1,2},Table11[Native],Table11[Name]),2,0)</f>
        <v>Xī'ān Shì</v>
      </c>
      <c r="O1337" s="13" t="str">
        <f t="shared" si="82"/>
        <v>Yangzhuang Jiedao (Xī'ān Shì)</v>
      </c>
      <c r="P1337" s="13" t="str">
        <f t="shared" si="83"/>
        <v>Yangzhuang Jiedao (Xī'ān Shì)</v>
      </c>
    </row>
    <row r="1338" spans="1:16" hidden="1" x14ac:dyDescent="0.25">
      <c r="A1338" t="s">
        <v>2570</v>
      </c>
      <c r="B1338" t="str">
        <f t="shared" si="80"/>
        <v>Yánhéwān Zhèn</v>
      </c>
      <c r="C1338" t="str">
        <f t="shared" si="81"/>
        <v>Yánhéwān Zhèn</v>
      </c>
      <c r="D1338" t="s">
        <v>2571</v>
      </c>
      <c r="E1338" t="s">
        <v>7</v>
      </c>
      <c r="F1338" t="str">
        <f>_xlfn.CONCAT(D1338,", ",H1338,", ",I1338,", ","陕西省")</f>
        <v>沿河湾镇, 安塞区, 延安市, 陕西省</v>
      </c>
      <c r="G1338">
        <v>14499</v>
      </c>
      <c r="H1338" t="s">
        <v>3134</v>
      </c>
      <c r="I1338" t="s">
        <v>3133</v>
      </c>
      <c r="J1338">
        <f>VLOOKUP(F1338,[1]!china_towns_second__2[[Column1]:[Y]],3,FALSE)</f>
        <v>36.763546356837701</v>
      </c>
      <c r="K1338">
        <f>VLOOKUP(F1338,[1]!china_towns_second__2[[Column1]:[Y]],2,FALSE)</f>
        <v>109.33584759999999</v>
      </c>
      <c r="L1338" t="s">
        <v>5456</v>
      </c>
      <c r="M1338" t="str">
        <f>VLOOKUP(H1338,CHOOSE({1,2},Table11[Native],Table11[Name]),2,0)</f>
        <v>Ānsài Qū</v>
      </c>
      <c r="N1338" s="13" t="str">
        <f>VLOOKUP(I1338,CHOOSE({1,2},Table11[Native],Table11[Name]),2,0)</f>
        <v>Yán'ān Shì</v>
      </c>
      <c r="O1338" s="13" t="str">
        <f t="shared" si="82"/>
        <v>Yanhewan Zhen (Yán'ān Shì)</v>
      </c>
      <c r="P1338" s="13" t="str">
        <f t="shared" si="83"/>
        <v>Yanhewan Zhen (Yán'ān Shì)</v>
      </c>
    </row>
    <row r="1339" spans="1:16" hidden="1" x14ac:dyDescent="0.25">
      <c r="A1339" t="s">
        <v>993</v>
      </c>
      <c r="B1339" t="str">
        <f t="shared" si="80"/>
        <v>Yánjĭng Xiāng</v>
      </c>
      <c r="C1339" t="str">
        <f t="shared" si="81"/>
        <v>Yánjĭng Xiāng</v>
      </c>
      <c r="D1339" t="s">
        <v>994</v>
      </c>
      <c r="E1339" t="s">
        <v>11</v>
      </c>
      <c r="F1339" t="str">
        <f>_xlfn.CONCAT(D1339,", ",H1339,", ",I1339,", ","陕西省")</f>
        <v>盐井乡, 城固县, 汉中市, 陕西省</v>
      </c>
      <c r="G1339">
        <v>5249</v>
      </c>
      <c r="H1339" t="s">
        <v>3060</v>
      </c>
      <c r="I1339" t="s">
        <v>3059</v>
      </c>
      <c r="J1339" t="e">
        <f>VLOOKUP(F1339,[1]!china_towns_second__2[[Column1]:[Y]],3,FALSE)</f>
        <v>#N/A</v>
      </c>
      <c r="K1339" t="e">
        <f>VLOOKUP(F1339,[1]!china_towns_second__2[[Column1]:[Y]],2,FALSE)</f>
        <v>#N/A</v>
      </c>
      <c r="L1339" t="s">
        <v>5457</v>
      </c>
      <c r="M1339" t="str">
        <f>VLOOKUP(H1339,CHOOSE({1,2},Table11[Native],Table11[Name]),2,0)</f>
        <v>Chénggù Xiàn</v>
      </c>
      <c r="N1339" s="13" t="str">
        <f>VLOOKUP(I1339,CHOOSE({1,2},Table11[Native],Table11[Name]),2,0)</f>
        <v>Hànzhōng Shì</v>
      </c>
      <c r="O1339" s="13" t="str">
        <f t="shared" si="82"/>
        <v>Yanjing Xiang (Hànzhōng Shì)</v>
      </c>
      <c r="P1339" s="13" t="str">
        <f t="shared" si="83"/>
        <v>Yanjing Xiang (Hànzhōng Shì)</v>
      </c>
    </row>
    <row r="1340" spans="1:16" hidden="1" x14ac:dyDescent="0.25">
      <c r="A1340" t="s">
        <v>995</v>
      </c>
      <c r="B1340" t="str">
        <f t="shared" si="80"/>
        <v>Yànkŏu Zhèn [incl. Luó Zhèn]</v>
      </c>
      <c r="C1340" t="str">
        <f t="shared" si="81"/>
        <v>Yànkŏu Zhèn [incl. Luó Zhèn]</v>
      </c>
      <c r="D1340" t="s">
        <v>996</v>
      </c>
      <c r="E1340" t="s">
        <v>7</v>
      </c>
      <c r="F1340" t="str">
        <f>_xlfn.CONCAT(D1340,", ",H1340,", ",I1340,", ","陕西省")</f>
        <v>堰口镇, 西乡县, 汉中市, 陕西省</v>
      </c>
      <c r="G1340">
        <v>28758</v>
      </c>
      <c r="H1340" t="s">
        <v>3068</v>
      </c>
      <c r="I1340" t="s">
        <v>3059</v>
      </c>
      <c r="J1340">
        <f>VLOOKUP(F1340,[1]!china_towns_second__2[[Column1]:[Y]],3,FALSE)</f>
        <v>32.984351796684599</v>
      </c>
      <c r="K1340">
        <f>VLOOKUP(F1340,[1]!china_towns_second__2[[Column1]:[Y]],2,FALSE)</f>
        <v>107.87183589999999</v>
      </c>
      <c r="L1340" t="s">
        <v>5458</v>
      </c>
      <c r="M1340" t="str">
        <f>VLOOKUP(H1340,CHOOSE({1,2},Table11[Native],Table11[Name]),2,0)</f>
        <v>Xīxiāng Xiàn</v>
      </c>
      <c r="N1340" s="13" t="str">
        <f>VLOOKUP(I1340,CHOOSE({1,2},Table11[Native],Table11[Name]),2,0)</f>
        <v>Hànzhōng Shì</v>
      </c>
      <c r="O1340" s="13" t="str">
        <f t="shared" si="82"/>
        <v>Yankou Zhen [incl. Luo Zhen] (Hànzhōng Shì)</v>
      </c>
      <c r="P1340" s="13" t="str">
        <f t="shared" si="83"/>
        <v>Yankou Zhen [incl. Luo Zhen] (Hànzhōng Shì)</v>
      </c>
    </row>
    <row r="1341" spans="1:16" hidden="1" x14ac:dyDescent="0.25">
      <c r="A1341" t="s">
        <v>291</v>
      </c>
      <c r="B1341" t="str">
        <f t="shared" si="80"/>
        <v>Yànmén Zhèn</v>
      </c>
      <c r="C1341" t="str">
        <f t="shared" si="81"/>
        <v>Yànmén Zhèn</v>
      </c>
      <c r="D1341" t="s">
        <v>292</v>
      </c>
      <c r="E1341" t="s">
        <v>7</v>
      </c>
      <c r="F1341" t="str">
        <f>_xlfn.CONCAT(D1341,", ",H1341,", ",I1341,", ","陕西省")</f>
        <v>堰门镇, 岚皋县, 安康市, 陕西省</v>
      </c>
      <c r="G1341">
        <v>8369</v>
      </c>
      <c r="H1341" t="s">
        <v>3037</v>
      </c>
      <c r="I1341" t="s">
        <v>3031</v>
      </c>
      <c r="J1341">
        <f>VLOOKUP(F1341,[1]!china_towns_second__2[[Column1]:[Y]],3,FALSE)</f>
        <v>32.385695644758599</v>
      </c>
      <c r="K1341">
        <f>VLOOKUP(F1341,[1]!china_towns_second__2[[Column1]:[Y]],2,FALSE)</f>
        <v>108.6766484</v>
      </c>
      <c r="L1341" t="s">
        <v>5459</v>
      </c>
      <c r="M1341" t="str">
        <f>VLOOKUP(H1341,CHOOSE({1,2},Table11[Native],Table11[Name]),2,0)</f>
        <v>Lángāo Xiàn</v>
      </c>
      <c r="N1341" s="13" t="str">
        <f>VLOOKUP(I1341,CHOOSE({1,2},Table11[Native],Table11[Name]),2,0)</f>
        <v>Ānkāng Shì</v>
      </c>
      <c r="O1341" s="13" t="str">
        <f t="shared" si="82"/>
        <v>Yanmen Zhen (Ānkāng Shì)</v>
      </c>
      <c r="P1341" s="13" t="str">
        <f t="shared" si="83"/>
        <v>Yanmen Zhen (Ānkāng Shì)</v>
      </c>
    </row>
    <row r="1342" spans="1:16" hidden="1" x14ac:dyDescent="0.25">
      <c r="A1342" t="s">
        <v>1262</v>
      </c>
      <c r="B1342" t="str">
        <f t="shared" si="80"/>
        <v>Yánpíng Zhèn</v>
      </c>
      <c r="C1342" t="str">
        <f t="shared" si="81"/>
        <v>Yánpíng Zhèn</v>
      </c>
      <c r="D1342" t="s">
        <v>1263</v>
      </c>
      <c r="E1342" t="s">
        <v>7</v>
      </c>
      <c r="F1342" t="str">
        <f>_xlfn.CONCAT(D1342,", ",H1342,", ",I1342,", ","陕西省")</f>
        <v>延坪镇, 山阳县, 商洛市, 陕西省</v>
      </c>
      <c r="G1342">
        <v>5851</v>
      </c>
      <c r="H1342" t="s">
        <v>3077</v>
      </c>
      <c r="I1342" t="s">
        <v>3072</v>
      </c>
      <c r="J1342">
        <f>VLOOKUP(F1342,[1]!china_towns_second__2[[Column1]:[Y]],3,FALSE)</f>
        <v>33.333380933187499</v>
      </c>
      <c r="K1342">
        <f>VLOOKUP(F1342,[1]!china_towns_second__2[[Column1]:[Y]],2,FALSE)</f>
        <v>110.1586065</v>
      </c>
      <c r="L1342" t="s">
        <v>5460</v>
      </c>
      <c r="M1342" t="str">
        <f>VLOOKUP(H1342,CHOOSE({1,2},Table11[Native],Table11[Name]),2,0)</f>
        <v>Shānyáng Xiàn</v>
      </c>
      <c r="N1342" s="13" t="str">
        <f>VLOOKUP(I1342,CHOOSE({1,2},Table11[Native],Table11[Name]),2,0)</f>
        <v>Shāngluò Shì</v>
      </c>
      <c r="O1342" s="13" t="str">
        <f t="shared" si="82"/>
        <v>Yanping Zhen (Shāngluò Shì)</v>
      </c>
      <c r="P1342" s="13" t="str">
        <f t="shared" si="83"/>
        <v>Yanping Zhen (Shāngluò Shì)</v>
      </c>
    </row>
    <row r="1343" spans="1:16" hidden="1" x14ac:dyDescent="0.25">
      <c r="A1343" t="s">
        <v>2572</v>
      </c>
      <c r="B1343" t="str">
        <f t="shared" si="80"/>
        <v>Yánshuĭguān Zhèn</v>
      </c>
      <c r="C1343" t="str">
        <f t="shared" si="81"/>
        <v>Yánshuĭguān Zhèn</v>
      </c>
      <c r="D1343" t="s">
        <v>2573</v>
      </c>
      <c r="E1343" t="s">
        <v>7</v>
      </c>
      <c r="F1343" t="str">
        <f>_xlfn.CONCAT(D1343,", ",H1343,", ",I1343,", ","陕西省")</f>
        <v>延水关镇, 延川县, 延安市, 陕西省</v>
      </c>
      <c r="G1343">
        <v>7557</v>
      </c>
      <c r="H1343" t="s">
        <v>3143</v>
      </c>
      <c r="I1343" t="s">
        <v>3133</v>
      </c>
      <c r="J1343">
        <f>VLOOKUP(F1343,[1]!china_towns_second__2[[Column1]:[Y]],3,FALSE)</f>
        <v>36.829882969032099</v>
      </c>
      <c r="K1343">
        <f>VLOOKUP(F1343,[1]!china_towns_second__2[[Column1]:[Y]],2,FALSE)</f>
        <v>110.35869219999999</v>
      </c>
      <c r="L1343" t="s">
        <v>5461</v>
      </c>
      <c r="M1343" t="str">
        <f>VLOOKUP(H1343,CHOOSE({1,2},Table11[Native],Table11[Name]),2,0)</f>
        <v>Yánchuān Xiàn</v>
      </c>
      <c r="N1343" s="13" t="str">
        <f>VLOOKUP(I1343,CHOOSE({1,2},Table11[Native],Table11[Name]),2,0)</f>
        <v>Yán'ān Shì</v>
      </c>
      <c r="O1343" s="13" t="str">
        <f t="shared" si="82"/>
        <v>Yanshuiguan Zhen (Yán'ān Shì)</v>
      </c>
      <c r="P1343" s="13" t="str">
        <f t="shared" si="83"/>
        <v>Yanshuiguan Zhen (Yán'ān Shì)</v>
      </c>
    </row>
    <row r="1344" spans="1:16" hidden="1" x14ac:dyDescent="0.25">
      <c r="A1344" t="s">
        <v>593</v>
      </c>
      <c r="B1344" t="str">
        <f t="shared" si="80"/>
        <v>Yánwān Xiāng</v>
      </c>
      <c r="C1344" t="str">
        <f t="shared" si="81"/>
        <v>Yánwān Xiāng</v>
      </c>
      <c r="D1344" t="s">
        <v>594</v>
      </c>
      <c r="E1344" t="s">
        <v>11</v>
      </c>
      <c r="F1344" t="str">
        <f>_xlfn.CONCAT(D1344,", ",H1344,", ",I1344,", ","陕西省")</f>
        <v>岩湾乡, 凤县, 宝鸡市, 陕西省</v>
      </c>
      <c r="G1344">
        <v>4327</v>
      </c>
      <c r="H1344" t="s">
        <v>3047</v>
      </c>
      <c r="I1344" t="s">
        <v>3045</v>
      </c>
      <c r="J1344" t="e">
        <f>VLOOKUP(F1344,[1]!china_towns_second__2[[Column1]:[Y]],3,FALSE)</f>
        <v>#N/A</v>
      </c>
      <c r="K1344" t="e">
        <f>VLOOKUP(F1344,[1]!china_towns_second__2[[Column1]:[Y]],2,FALSE)</f>
        <v>#N/A</v>
      </c>
      <c r="L1344" t="s">
        <v>5462</v>
      </c>
      <c r="M1344" t="str">
        <f>VLOOKUP(H1344,CHOOSE({1,2},Table11[Native],Table11[Name]),2,0)</f>
        <v>Fèng Xiàn</v>
      </c>
      <c r="N1344" s="13" t="str">
        <f>VLOOKUP(I1344,CHOOSE({1,2},Table11[Native],Table11[Name]),2,0)</f>
        <v>Băojī Shì</v>
      </c>
      <c r="O1344" s="13" t="str">
        <f t="shared" si="82"/>
        <v>Yanwan Xiang (Băojī Shì)</v>
      </c>
      <c r="P1344" s="13" t="str">
        <f t="shared" si="83"/>
        <v>Yanwan Xiang (Băojī Shì)</v>
      </c>
    </row>
    <row r="1345" spans="1:16" hidden="1" x14ac:dyDescent="0.25">
      <c r="A1345" t="s">
        <v>1928</v>
      </c>
      <c r="B1345" t="str">
        <f t="shared" si="80"/>
        <v>Yānxiá Zhèn</v>
      </c>
      <c r="C1345" t="str">
        <f t="shared" si="81"/>
        <v>Yānxiá Zhèn</v>
      </c>
      <c r="D1345" t="s">
        <v>1929</v>
      </c>
      <c r="E1345" t="s">
        <v>7</v>
      </c>
      <c r="F1345" t="str">
        <f>_xlfn.CONCAT(D1345,", ",H1345,", ",I1345,", ","陕西省")</f>
        <v>烟霞镇, 礼泉县, 咸阳市, 陕西省</v>
      </c>
      <c r="G1345">
        <v>27711</v>
      </c>
      <c r="H1345" t="s">
        <v>3122</v>
      </c>
      <c r="I1345" t="s">
        <v>3117</v>
      </c>
      <c r="J1345">
        <f>VLOOKUP(F1345,[1]!china_towns_second__2[[Column1]:[Y]],3,FALSE)</f>
        <v>34.609051275261699</v>
      </c>
      <c r="K1345">
        <f>VLOOKUP(F1345,[1]!china_towns_second__2[[Column1]:[Y]],2,FALSE)</f>
        <v>108.54909600000001</v>
      </c>
      <c r="L1345" t="s">
        <v>5463</v>
      </c>
      <c r="M1345" t="str">
        <f>VLOOKUP(H1345,CHOOSE({1,2},Table11[Native],Table11[Name]),2,0)</f>
        <v>Lĭquán Xiàn</v>
      </c>
      <c r="N1345" s="13" t="str">
        <f>VLOOKUP(I1345,CHOOSE({1,2},Table11[Native],Table11[Name]),2,0)</f>
        <v>Xiányáng Shì</v>
      </c>
      <c r="O1345" s="13" t="str">
        <f t="shared" si="82"/>
        <v>Yanxia Zhen (Xiányáng Shì)</v>
      </c>
      <c r="P1345" s="13" t="str">
        <f t="shared" si="83"/>
        <v>Yanxia Zhen (Xiányáng Shì)</v>
      </c>
    </row>
    <row r="1346" spans="1:16" hidden="1" x14ac:dyDescent="0.25">
      <c r="A1346" t="s">
        <v>997</v>
      </c>
      <c r="B1346" t="str">
        <f t="shared" ref="B1346:B1409" si="84">IF(COUNTIF(A:A,A1346)&gt;1,_xlfn.CONCAT(A1346," (",N1346,")"),A1346)</f>
        <v>Yànzibiān Zhèn</v>
      </c>
      <c r="C1346" t="str">
        <f t="shared" ref="C1346:C1409" si="85">IF(COUNTIF(B:B,B1346)&gt;1,_xlfn.CONCAT(A1346," (",M1346,")"),B1346)</f>
        <v>Yànzibiān Zhèn</v>
      </c>
      <c r="D1346" t="s">
        <v>998</v>
      </c>
      <c r="E1346" t="s">
        <v>7</v>
      </c>
      <c r="F1346" t="str">
        <f>_xlfn.CONCAT(D1346,", ",H1346,", ",I1346,", ","陕西省")</f>
        <v>燕子砭镇, 宁强县, 汉中市, 陕西省</v>
      </c>
      <c r="G1346">
        <v>26042</v>
      </c>
      <c r="H1346" t="s">
        <v>3067</v>
      </c>
      <c r="I1346" t="s">
        <v>3059</v>
      </c>
      <c r="J1346">
        <f>VLOOKUP(F1346,[1]!china_towns_second__2[[Column1]:[Y]],3,FALSE)</f>
        <v>32.9097965304979</v>
      </c>
      <c r="K1346">
        <f>VLOOKUP(F1346,[1]!china_towns_second__2[[Column1]:[Y]],2,FALSE)</f>
        <v>105.905552</v>
      </c>
      <c r="L1346" t="s">
        <v>5464</v>
      </c>
      <c r="M1346" t="str">
        <f>VLOOKUP(H1346,CHOOSE({1,2},Table11[Native],Table11[Name]),2,0)</f>
        <v>Níngqiáng Xiàn</v>
      </c>
      <c r="N1346" s="13" t="str">
        <f>VLOOKUP(I1346,CHOOSE({1,2},Table11[Native],Table11[Name]),2,0)</f>
        <v>Hànzhōng Shì</v>
      </c>
      <c r="O1346" s="13" t="str">
        <f t="shared" ref="O1346:O1409" si="86">_xlfn.CONCAT(L1346," (",N1346,")")</f>
        <v>Yanzibian Zhen (Hànzhōng Shì)</v>
      </c>
      <c r="P1346" s="13" t="str">
        <f t="shared" ref="P1346:P1409" si="87">IF(COUNTIF(O:O,O1346)&gt;1,_xlfn.CONCAT(L1346," (",M1346,")"),O1346)</f>
        <v>Yanzibian Zhen (Hànzhōng Shì)</v>
      </c>
    </row>
    <row r="1347" spans="1:16" hidden="1" x14ac:dyDescent="0.25">
      <c r="A1347" t="s">
        <v>2284</v>
      </c>
      <c r="B1347" t="str">
        <f t="shared" si="84"/>
        <v>Yáodiàn Jiēdào</v>
      </c>
      <c r="C1347" t="str">
        <f t="shared" si="85"/>
        <v>Yáodiàn Jiēdào</v>
      </c>
      <c r="D1347" t="s">
        <v>2285</v>
      </c>
      <c r="E1347" t="s">
        <v>113</v>
      </c>
      <c r="F1347" t="str">
        <f>_xlfn.CONCAT(D1347,", ",H1347,", ",I1347,", ","陕西省")</f>
        <v>窑店街道, 西咸新区, 西安市, 陕西省</v>
      </c>
      <c r="G1347">
        <v>22759</v>
      </c>
      <c r="H1347" t="s">
        <v>3167</v>
      </c>
      <c r="I1347" t="s">
        <v>3102</v>
      </c>
      <c r="J1347" t="e">
        <f>VLOOKUP(F1347,[1]!china_towns_second__2[[Column1]:[Y]],3,FALSE)</f>
        <v>#N/A</v>
      </c>
      <c r="K1347" t="e">
        <f>VLOOKUP(F1347,[1]!china_towns_second__2[[Column1]:[Y]],2,FALSE)</f>
        <v>#N/A</v>
      </c>
      <c r="L1347" t="s">
        <v>5465</v>
      </c>
      <c r="M1347" t="str">
        <f>VLOOKUP(H1347,CHOOSE({1,2},Table11[Native],Table11[Name]),2,0)</f>
        <v>Xīxián Xīnqū</v>
      </c>
      <c r="N1347" s="13" t="str">
        <f>VLOOKUP(I1347,CHOOSE({1,2},Table11[Native],Table11[Name]),2,0)</f>
        <v>Xī'ān Shì</v>
      </c>
      <c r="O1347" s="13" t="str">
        <f t="shared" si="86"/>
        <v>Yaodian Jiedao (Xī'ān Shì)</v>
      </c>
      <c r="P1347" s="13" t="str">
        <f t="shared" si="87"/>
        <v>Yaodian Jiedao (Xī'ān Shì)</v>
      </c>
    </row>
    <row r="1348" spans="1:16" hidden="1" x14ac:dyDescent="0.25">
      <c r="A1348" t="s">
        <v>2574</v>
      </c>
      <c r="B1348" t="str">
        <f t="shared" si="84"/>
        <v>Yáodiàn Zhèn</v>
      </c>
      <c r="C1348" t="str">
        <f t="shared" si="85"/>
        <v>Yáodiàn Zhèn</v>
      </c>
      <c r="D1348" t="s">
        <v>2575</v>
      </c>
      <c r="E1348" t="s">
        <v>7</v>
      </c>
      <c r="F1348" t="str">
        <f>_xlfn.CONCAT(D1348,", ",H1348,", ",I1348,", ","陕西省")</f>
        <v>姚店镇, 宝塔区, 延安市, 陕西省</v>
      </c>
      <c r="G1348">
        <v>20012</v>
      </c>
      <c r="H1348" t="s">
        <v>3135</v>
      </c>
      <c r="I1348" t="s">
        <v>3133</v>
      </c>
      <c r="J1348">
        <f>VLOOKUP(F1348,[1]!china_towns_second__2[[Column1]:[Y]],3,FALSE)</f>
        <v>36.740713479706798</v>
      </c>
      <c r="K1348">
        <f>VLOOKUP(F1348,[1]!china_towns_second__2[[Column1]:[Y]],2,FALSE)</f>
        <v>109.712675</v>
      </c>
      <c r="L1348" t="s">
        <v>5466</v>
      </c>
      <c r="M1348" t="str">
        <f>VLOOKUP(H1348,CHOOSE({1,2},Table11[Native],Table11[Name]),2,0)</f>
        <v>Băotă Qū</v>
      </c>
      <c r="N1348" s="13" t="str">
        <f>VLOOKUP(I1348,CHOOSE({1,2},Table11[Native],Table11[Name]),2,0)</f>
        <v>Yán'ān Shì</v>
      </c>
      <c r="O1348" s="13" t="str">
        <f t="shared" si="86"/>
        <v>Yaodian Zhen (Yán'ān Shì)</v>
      </c>
      <c r="P1348" s="13" t="str">
        <f t="shared" si="87"/>
        <v>Yaodian Zhen (Yán'ān Shì)</v>
      </c>
    </row>
    <row r="1349" spans="1:16" hidden="1" x14ac:dyDescent="0.25">
      <c r="A1349" t="s">
        <v>1676</v>
      </c>
      <c r="B1349" t="str">
        <f t="shared" si="84"/>
        <v>Yáohé Zhèn</v>
      </c>
      <c r="C1349" t="str">
        <f t="shared" si="85"/>
        <v>Yáohé Zhèn</v>
      </c>
      <c r="D1349" t="s">
        <v>1677</v>
      </c>
      <c r="E1349" t="s">
        <v>7</v>
      </c>
      <c r="F1349" t="str">
        <f>_xlfn.CONCAT(D1349,", ",H1349,", ",I1349,", ","陕西省")</f>
        <v>尧禾镇, 白水县, 渭南市, 陕西省</v>
      </c>
      <c r="G1349">
        <v>29098</v>
      </c>
      <c r="H1349" t="s">
        <v>3088</v>
      </c>
      <c r="I1349" t="s">
        <v>3087</v>
      </c>
      <c r="J1349">
        <f>VLOOKUP(F1349,[1]!china_towns_second__2[[Column1]:[Y]],3,FALSE)</f>
        <v>35.289546919379298</v>
      </c>
      <c r="K1349">
        <f>VLOOKUP(F1349,[1]!china_towns_second__2[[Column1]:[Y]],2,FALSE)</f>
        <v>109.49234060000001</v>
      </c>
      <c r="L1349" t="s">
        <v>5467</v>
      </c>
      <c r="M1349" t="str">
        <f>VLOOKUP(H1349,CHOOSE({1,2},Table11[Native],Table11[Name]),2,0)</f>
        <v>Báishuĭ Xiàn</v>
      </c>
      <c r="N1349" s="13" t="str">
        <f>VLOOKUP(I1349,CHOOSE({1,2},Table11[Native],Table11[Name]),2,0)</f>
        <v>Wèinán Shì</v>
      </c>
      <c r="O1349" s="13" t="str">
        <f t="shared" si="86"/>
        <v>Yaohe Zhen (Wèinán Shì)</v>
      </c>
      <c r="P1349" s="13" t="str">
        <f t="shared" si="87"/>
        <v>Yaohe Zhen (Wèinán Shì)</v>
      </c>
    </row>
    <row r="1350" spans="1:16" hidden="1" x14ac:dyDescent="0.25">
      <c r="A1350" t="s">
        <v>595</v>
      </c>
      <c r="B1350" t="str">
        <f t="shared" si="84"/>
        <v>Yáojiāgōu Zhèn</v>
      </c>
      <c r="C1350" t="str">
        <f t="shared" si="85"/>
        <v>Yáojiāgōu Zhèn</v>
      </c>
      <c r="D1350" t="s">
        <v>596</v>
      </c>
      <c r="E1350" t="s">
        <v>7</v>
      </c>
      <c r="F1350" t="str">
        <f>_xlfn.CONCAT(D1350,", ",H1350,", ",I1350,", ","陕西省")</f>
        <v>姚家沟镇, 凤翔区, 宝鸡市, 陕西省</v>
      </c>
      <c r="G1350">
        <v>5958</v>
      </c>
      <c r="H1350" t="s">
        <v>3048</v>
      </c>
      <c r="I1350" t="s">
        <v>3045</v>
      </c>
      <c r="J1350">
        <f>VLOOKUP(F1350,[1]!china_towns_second__2[[Column1]:[Y]],3,FALSE)</f>
        <v>34.646096334016498</v>
      </c>
      <c r="K1350">
        <f>VLOOKUP(F1350,[1]!china_towns_second__2[[Column1]:[Y]],2,FALSE)</f>
        <v>107.5588305</v>
      </c>
      <c r="L1350" t="s">
        <v>5468</v>
      </c>
      <c r="M1350" t="str">
        <f>VLOOKUP(H1350,CHOOSE({1,2},Table11[Native],Table11[Name]),2,0)</f>
        <v>Fèngxiáng Qū</v>
      </c>
      <c r="N1350" s="13" t="str">
        <f>VLOOKUP(I1350,CHOOSE({1,2},Table11[Native],Table11[Name]),2,0)</f>
        <v>Băojī Shì</v>
      </c>
      <c r="O1350" s="13" t="str">
        <f t="shared" si="86"/>
        <v>Yaojiagou Zhen (Băojī Shì)</v>
      </c>
      <c r="P1350" s="13" t="str">
        <f t="shared" si="87"/>
        <v>Yaojiagou Zhen (Băojī Shì)</v>
      </c>
    </row>
    <row r="1351" spans="1:16" hidden="1" x14ac:dyDescent="0.25">
      <c r="A1351" t="s">
        <v>999</v>
      </c>
      <c r="B1351" t="str">
        <f t="shared" si="84"/>
        <v>Yáopíng Xiāng</v>
      </c>
      <c r="C1351" t="str">
        <f t="shared" si="85"/>
        <v>Yáopíng Xiāng</v>
      </c>
      <c r="D1351" t="s">
        <v>1000</v>
      </c>
      <c r="E1351" t="s">
        <v>11</v>
      </c>
      <c r="F1351" t="str">
        <f>_xlfn.CONCAT(D1351,", ",H1351,", ",I1351,", ","陕西省")</f>
        <v>窑坪乡, 洋县, 汉中市, 陕西省</v>
      </c>
      <c r="G1351">
        <v>1311</v>
      </c>
      <c r="H1351" t="s">
        <v>3069</v>
      </c>
      <c r="I1351" t="s">
        <v>3059</v>
      </c>
      <c r="J1351" t="e">
        <f>VLOOKUP(F1351,[1]!china_towns_second__2[[Column1]:[Y]],3,FALSE)</f>
        <v>#N/A</v>
      </c>
      <c r="K1351" t="e">
        <f>VLOOKUP(F1351,[1]!china_towns_second__2[[Column1]:[Y]],2,FALSE)</f>
        <v>#N/A</v>
      </c>
      <c r="L1351" t="s">
        <v>5469</v>
      </c>
      <c r="M1351" t="str">
        <f>VLOOKUP(H1351,CHOOSE({1,2},Table11[Native],Table11[Name]),2,0)</f>
        <v>Yáng Xiàn</v>
      </c>
      <c r="N1351" s="13" t="str">
        <f>VLOOKUP(I1351,CHOOSE({1,2},Table11[Native],Table11[Name]),2,0)</f>
        <v>Hànzhōng Shì</v>
      </c>
      <c r="O1351" s="13" t="str">
        <f t="shared" si="86"/>
        <v>Yaoping Xiang (Hànzhōng Shì)</v>
      </c>
      <c r="P1351" s="13" t="str">
        <f t="shared" si="87"/>
        <v>Yaoping Xiang (Hànzhōng Shì)</v>
      </c>
    </row>
    <row r="1352" spans="1:16" hidden="1" x14ac:dyDescent="0.25">
      <c r="A1352" t="s">
        <v>2576</v>
      </c>
      <c r="B1352" t="str">
        <f t="shared" si="84"/>
        <v>Yāopíng Xiāng</v>
      </c>
      <c r="C1352" t="str">
        <f t="shared" si="85"/>
        <v>Yāopíng Xiāng</v>
      </c>
      <c r="D1352" t="s">
        <v>2577</v>
      </c>
      <c r="E1352" t="s">
        <v>11</v>
      </c>
      <c r="F1352" t="str">
        <f>_xlfn.CONCAT(D1352,", ",H1352,", ",I1352,", ","陕西省")</f>
        <v>腰坪乡, 黄陵县, 延安市, 陕西省</v>
      </c>
      <c r="G1352">
        <v>6532</v>
      </c>
      <c r="H1352" t="s">
        <v>3138</v>
      </c>
      <c r="I1352" t="s">
        <v>3133</v>
      </c>
      <c r="J1352" t="e">
        <f>VLOOKUP(F1352,[1]!china_towns_second__2[[Column1]:[Y]],3,FALSE)</f>
        <v>#N/A</v>
      </c>
      <c r="K1352" t="e">
        <f>VLOOKUP(F1352,[1]!china_towns_second__2[[Column1]:[Y]],2,FALSE)</f>
        <v>#N/A</v>
      </c>
      <c r="L1352" t="s">
        <v>5469</v>
      </c>
      <c r="M1352" t="str">
        <f>VLOOKUP(H1352,CHOOSE({1,2},Table11[Native],Table11[Name]),2,0)</f>
        <v>Huánglíng Xiàn</v>
      </c>
      <c r="N1352" s="13" t="str">
        <f>VLOOKUP(I1352,CHOOSE({1,2},Table11[Native],Table11[Name]),2,0)</f>
        <v>Yán'ān Shì</v>
      </c>
      <c r="O1352" s="13" t="str">
        <f t="shared" si="86"/>
        <v>Yaoping Xiang (Yán'ān Shì)</v>
      </c>
      <c r="P1352" s="13" t="str">
        <f t="shared" si="87"/>
        <v>Yaoping Xiang (Yán'ān Shì)</v>
      </c>
    </row>
    <row r="1353" spans="1:16" hidden="1" x14ac:dyDescent="0.25">
      <c r="A1353" t="s">
        <v>1352</v>
      </c>
      <c r="B1353" t="str">
        <f t="shared" si="84"/>
        <v>Yáoqŭ Zhèn</v>
      </c>
      <c r="C1353" t="str">
        <f t="shared" si="85"/>
        <v>Yáoqŭ Zhèn</v>
      </c>
      <c r="D1353" t="s">
        <v>1353</v>
      </c>
      <c r="E1353" t="s">
        <v>7</v>
      </c>
      <c r="F1353" t="str">
        <f>_xlfn.CONCAT(D1353,", ",H1353,", ",I1353,", ","陕西省")</f>
        <v>瑶曲镇, 耀州区, 铜川市, 陕西省</v>
      </c>
      <c r="G1353">
        <v>20895</v>
      </c>
      <c r="H1353" t="s">
        <v>3083</v>
      </c>
      <c r="I1353" t="s">
        <v>3081</v>
      </c>
      <c r="J1353">
        <f>VLOOKUP(F1353,[1]!china_towns_second__2[[Column1]:[Y]],3,FALSE)</f>
        <v>35.211055728755198</v>
      </c>
      <c r="K1353">
        <f>VLOOKUP(F1353,[1]!china_towns_second__2[[Column1]:[Y]],2,FALSE)</f>
        <v>108.8752728</v>
      </c>
      <c r="L1353" t="s">
        <v>5470</v>
      </c>
      <c r="M1353" t="str">
        <f>VLOOKUP(H1353,CHOOSE({1,2},Table11[Native],Table11[Name]),2,0)</f>
        <v>Yàozhōu Qū</v>
      </c>
      <c r="N1353" s="13" t="str">
        <f>VLOOKUP(I1353,CHOOSE({1,2},Table11[Native],Table11[Name]),2,0)</f>
        <v>Tóngchuān Shì</v>
      </c>
      <c r="O1353" s="13" t="str">
        <f t="shared" si="86"/>
        <v>Yaoqu Zhen (Tóngchuān Shì)</v>
      </c>
      <c r="P1353" s="13" t="str">
        <f t="shared" si="87"/>
        <v>Yaoqu Zhen (Tóngchuān Shì)</v>
      </c>
    </row>
    <row r="1354" spans="1:16" hidden="1" x14ac:dyDescent="0.25">
      <c r="A1354" t="s">
        <v>1678</v>
      </c>
      <c r="B1354" t="str">
        <f t="shared" si="84"/>
        <v>Yáoshān Zhèn [incl. Shàngwáng Xiāng, Xiángcūn Xiāng]</v>
      </c>
      <c r="C1354" t="str">
        <f t="shared" si="85"/>
        <v>Yáoshān Zhèn [incl. Shàngwáng Xiāng, Xiángcūn Xiāng]</v>
      </c>
      <c r="D1354" t="s">
        <v>1679</v>
      </c>
      <c r="E1354" t="s">
        <v>7</v>
      </c>
      <c r="F1354" t="str">
        <f>_xlfn.CONCAT(D1354,", ",H1354,", ",I1354,", ","陕西省")</f>
        <v>尧山镇, 蒲城县, 渭南市, 陕西省</v>
      </c>
      <c r="G1354">
        <v>48048</v>
      </c>
      <c r="H1354" t="s">
        <v>3098</v>
      </c>
      <c r="I1354" t="s">
        <v>3087</v>
      </c>
      <c r="J1354">
        <f>VLOOKUP(F1354,[1]!china_towns_second__2[[Column1]:[Y]],3,FALSE)</f>
        <v>35.070036559772198</v>
      </c>
      <c r="K1354">
        <f>VLOOKUP(F1354,[1]!china_towns_second__2[[Column1]:[Y]],2,FALSE)</f>
        <v>109.6409379</v>
      </c>
      <c r="L1354" t="s">
        <v>5471</v>
      </c>
      <c r="M1354" t="str">
        <f>VLOOKUP(H1354,CHOOSE({1,2},Table11[Native],Table11[Name]),2,0)</f>
        <v>Púchéng Xiàn</v>
      </c>
      <c r="N1354" s="13" t="str">
        <f>VLOOKUP(I1354,CHOOSE({1,2},Table11[Native],Table11[Name]),2,0)</f>
        <v>Wèinán Shì</v>
      </c>
      <c r="O1354" s="13" t="str">
        <f t="shared" si="86"/>
        <v>Yaoshan Zhen [incl. Shangwang Xiang, Xiangcun Xiang] (Wèinán Shì)</v>
      </c>
      <c r="P1354" s="13" t="str">
        <f t="shared" si="87"/>
        <v>Yaoshan Zhen [incl. Shangwang Xiang, Xiangcun Xiang] (Wèinán Shì)</v>
      </c>
    </row>
    <row r="1355" spans="1:16" hidden="1" x14ac:dyDescent="0.25">
      <c r="A1355" t="s">
        <v>1354</v>
      </c>
      <c r="B1355" t="str">
        <f t="shared" si="84"/>
        <v>Yáoshēng Zhèn [incl. Léiyuán Xiāng]</v>
      </c>
      <c r="C1355" t="str">
        <f t="shared" si="85"/>
        <v>Yáoshēng Zhèn [incl. Léiyuán Xiāng]</v>
      </c>
      <c r="D1355" t="s">
        <v>1355</v>
      </c>
      <c r="E1355" t="s">
        <v>7</v>
      </c>
      <c r="F1355" t="str">
        <f>_xlfn.CONCAT(D1355,", ",H1355,", ",I1355,", ","陕西省")</f>
        <v>尧生镇, 宜君县, 铜川市, 陕西省</v>
      </c>
      <c r="G1355">
        <v>11848</v>
      </c>
      <c r="H1355" t="s">
        <v>3084</v>
      </c>
      <c r="I1355" t="s">
        <v>3081</v>
      </c>
      <c r="J1355">
        <f>VLOOKUP(F1355,[1]!china_towns_second__2[[Column1]:[Y]],3,FALSE)</f>
        <v>35.3801254629604</v>
      </c>
      <c r="K1355">
        <f>VLOOKUP(F1355,[1]!china_towns_second__2[[Column1]:[Y]],2,FALSE)</f>
        <v>109.38412510000001</v>
      </c>
      <c r="L1355" t="s">
        <v>5472</v>
      </c>
      <c r="M1355" t="str">
        <f>VLOOKUP(H1355,CHOOSE({1,2},Table11[Native],Table11[Name]),2,0)</f>
        <v>Yíjūn Xiàn</v>
      </c>
      <c r="N1355" s="13" t="str">
        <f>VLOOKUP(I1355,CHOOSE({1,2},Table11[Native],Table11[Name]),2,0)</f>
        <v>Tóngchuān Shì</v>
      </c>
      <c r="O1355" s="13" t="str">
        <f t="shared" si="86"/>
        <v>Yaosheng Zhen [incl. Leiyuan Xiang] (Tóngchuān Shì)</v>
      </c>
      <c r="P1355" s="13" t="str">
        <f t="shared" si="87"/>
        <v>Yaosheng Zhen [incl. Leiyuan Xiang] (Tóngchuān Shì)</v>
      </c>
    </row>
    <row r="1356" spans="1:16" hidden="1" x14ac:dyDescent="0.25">
      <c r="A1356" t="s">
        <v>1264</v>
      </c>
      <c r="B1356" t="str">
        <f t="shared" si="84"/>
        <v>Yāoshì Zhèn</v>
      </c>
      <c r="C1356" t="str">
        <f t="shared" si="85"/>
        <v>Yāoshì Zhèn</v>
      </c>
      <c r="D1356" t="s">
        <v>1265</v>
      </c>
      <c r="E1356" t="s">
        <v>7</v>
      </c>
      <c r="F1356" t="str">
        <f>_xlfn.CONCAT(D1356,", ",H1356,", ",I1356,", ","陕西省")</f>
        <v>腰市镇, 商州区, 商洛市, 陕西省</v>
      </c>
      <c r="G1356">
        <v>20144</v>
      </c>
      <c r="H1356" t="s">
        <v>3076</v>
      </c>
      <c r="I1356" t="s">
        <v>3072</v>
      </c>
      <c r="J1356">
        <f>VLOOKUP(F1356,[1]!china_towns_second__2[[Column1]:[Y]],3,FALSE)</f>
        <v>34.101225030434698</v>
      </c>
      <c r="K1356">
        <f>VLOOKUP(F1356,[1]!china_towns_second__2[[Column1]:[Y]],2,FALSE)</f>
        <v>109.9087384</v>
      </c>
      <c r="L1356" t="s">
        <v>5473</v>
      </c>
      <c r="M1356" t="str">
        <f>VLOOKUP(H1356,CHOOSE({1,2},Table11[Native],Table11[Name]),2,0)</f>
        <v>Shāngzhōu Qū</v>
      </c>
      <c r="N1356" s="13" t="str">
        <f>VLOOKUP(I1356,CHOOSE({1,2},Table11[Native],Table11[Name]),2,0)</f>
        <v>Shāngluò Shì</v>
      </c>
      <c r="O1356" s="13" t="str">
        <f t="shared" si="86"/>
        <v>Yaoshi Zhen (Shāngluò Shì)</v>
      </c>
      <c r="P1356" s="13" t="str">
        <f t="shared" si="87"/>
        <v>Yaoshi Zhen (Shāngluò Shì)</v>
      </c>
    </row>
    <row r="1357" spans="1:16" hidden="1" x14ac:dyDescent="0.25">
      <c r="A1357" t="s">
        <v>1680</v>
      </c>
      <c r="B1357" t="str">
        <f t="shared" si="84"/>
        <v>Yáotóu Zhèn</v>
      </c>
      <c r="C1357" t="str">
        <f t="shared" si="85"/>
        <v>Yáotóu Zhèn</v>
      </c>
      <c r="D1357" t="s">
        <v>1681</v>
      </c>
      <c r="E1357" t="s">
        <v>7</v>
      </c>
      <c r="F1357" t="str">
        <f>_xlfn.CONCAT(D1357,", ",H1357,", ",I1357,", ","陕西省")</f>
        <v>尧头镇, 澄城县, 渭南市, 陕西省</v>
      </c>
      <c r="G1357">
        <v>20610</v>
      </c>
      <c r="H1357" t="s">
        <v>3089</v>
      </c>
      <c r="I1357" t="s">
        <v>3087</v>
      </c>
      <c r="J1357">
        <f>VLOOKUP(F1357,[1]!china_towns_second__2[[Column1]:[Y]],3,FALSE)</f>
        <v>35.1573903785863</v>
      </c>
      <c r="K1357">
        <f>VLOOKUP(F1357,[1]!china_towns_second__2[[Column1]:[Y]],2,FALSE)</f>
        <v>109.8390757</v>
      </c>
      <c r="L1357" t="s">
        <v>5474</v>
      </c>
      <c r="M1357" t="str">
        <f>VLOOKUP(H1357,CHOOSE({1,2},Table11[Native],Table11[Name]),2,0)</f>
        <v>Chéngchéng Xiàn</v>
      </c>
      <c r="N1357" s="13" t="str">
        <f>VLOOKUP(I1357,CHOOSE({1,2},Table11[Native],Table11[Name]),2,0)</f>
        <v>Wèinán Shì</v>
      </c>
      <c r="O1357" s="13" t="str">
        <f t="shared" si="86"/>
        <v>Yaotou Zhen (Wèinán Shì)</v>
      </c>
      <c r="P1357" s="13" t="str">
        <f t="shared" si="87"/>
        <v>Yaotou Zhen (Wèinán Shì)</v>
      </c>
    </row>
    <row r="1358" spans="1:16" hidden="1" x14ac:dyDescent="0.25">
      <c r="A1358" t="s">
        <v>2578</v>
      </c>
      <c r="B1358" t="str">
        <f t="shared" si="84"/>
        <v>Yăoxiān Xiāng</v>
      </c>
      <c r="C1358" t="str">
        <f t="shared" si="85"/>
        <v>Yăoxiān Xiāng</v>
      </c>
      <c r="D1358" t="s">
        <v>2579</v>
      </c>
      <c r="E1358" t="s">
        <v>11</v>
      </c>
      <c r="F1358" t="str">
        <f>_xlfn.CONCAT(D1358,", ",H1358,", ",I1358,", ","陕西省")</f>
        <v>崾先乡, 黄龙县, 延安市, 陕西省</v>
      </c>
      <c r="G1358">
        <v>2498</v>
      </c>
      <c r="H1358" t="s">
        <v>3139</v>
      </c>
      <c r="I1358" t="s">
        <v>3133</v>
      </c>
      <c r="J1358" t="e">
        <f>VLOOKUP(F1358,[1]!china_towns_second__2[[Column1]:[Y]],3,FALSE)</f>
        <v>#N/A</v>
      </c>
      <c r="K1358" t="e">
        <f>VLOOKUP(F1358,[1]!china_towns_second__2[[Column1]:[Y]],2,FALSE)</f>
        <v>#N/A</v>
      </c>
      <c r="L1358" t="s">
        <v>5475</v>
      </c>
      <c r="M1358" t="str">
        <f>VLOOKUP(H1358,CHOOSE({1,2},Table11[Native],Table11[Name]),2,0)</f>
        <v>Huánglóng Xiàn</v>
      </c>
      <c r="N1358" s="13" t="str">
        <f>VLOOKUP(I1358,CHOOSE({1,2},Table11[Native],Table11[Name]),2,0)</f>
        <v>Yán'ān Shì</v>
      </c>
      <c r="O1358" s="13" t="str">
        <f t="shared" si="86"/>
        <v>Yaoxian Xiang (Yán'ān Shì)</v>
      </c>
      <c r="P1358" s="13" t="str">
        <f t="shared" si="87"/>
        <v>Yaoxian Xiang (Yán'ān Shì)</v>
      </c>
    </row>
    <row r="1359" spans="1:16" hidden="1" x14ac:dyDescent="0.25">
      <c r="A1359" t="s">
        <v>1266</v>
      </c>
      <c r="B1359" t="str">
        <f t="shared" si="84"/>
        <v>Yècūn Zhèn</v>
      </c>
      <c r="C1359" t="str">
        <f t="shared" si="85"/>
        <v>Yècūn Zhèn</v>
      </c>
      <c r="D1359" t="s">
        <v>1267</v>
      </c>
      <c r="E1359" t="s">
        <v>7</v>
      </c>
      <c r="F1359" t="str">
        <f>_xlfn.CONCAT(D1359,", ",H1359,", ",I1359,", ","陕西省")</f>
        <v>夜村镇, 商州区, 商洛市, 陕西省</v>
      </c>
      <c r="G1359">
        <v>15163</v>
      </c>
      <c r="H1359" t="s">
        <v>3076</v>
      </c>
      <c r="I1359" t="s">
        <v>3072</v>
      </c>
      <c r="J1359">
        <f>VLOOKUP(F1359,[1]!china_towns_second__2[[Column1]:[Y]],3,FALSE)</f>
        <v>33.755177317674097</v>
      </c>
      <c r="K1359">
        <f>VLOOKUP(F1359,[1]!china_towns_second__2[[Column1]:[Y]],2,FALSE)</f>
        <v>110.0995154</v>
      </c>
      <c r="L1359" t="s">
        <v>5476</v>
      </c>
      <c r="M1359" t="str">
        <f>VLOOKUP(H1359,CHOOSE({1,2},Table11[Native],Table11[Name]),2,0)</f>
        <v>Shāngzhōu Qū</v>
      </c>
      <c r="N1359" s="13" t="str">
        <f>VLOOKUP(I1359,CHOOSE({1,2},Table11[Native],Table11[Name]),2,0)</f>
        <v>Shāngluò Shì</v>
      </c>
      <c r="O1359" s="13" t="str">
        <f t="shared" si="86"/>
        <v>Yecun Zhen (Shāngluò Shì)</v>
      </c>
      <c r="P1359" s="13" t="str">
        <f t="shared" si="87"/>
        <v>Yecun Zhen (Shāngluò Shì)</v>
      </c>
    </row>
    <row r="1360" spans="1:16" hidden="1" x14ac:dyDescent="0.25">
      <c r="A1360" t="s">
        <v>293</v>
      </c>
      <c r="B1360" t="str">
        <f t="shared" si="84"/>
        <v>Yèpíng Zhèn</v>
      </c>
      <c r="C1360" t="str">
        <f t="shared" si="85"/>
        <v>Yèpíng Zhèn</v>
      </c>
      <c r="D1360" t="s">
        <v>294</v>
      </c>
      <c r="E1360" t="s">
        <v>7</v>
      </c>
      <c r="F1360" t="str">
        <f>_xlfn.CONCAT(D1360,", ",H1360,", ",I1360,", ","陕西省")</f>
        <v>叶坪镇, 汉滨区, 安康市, 陕西省</v>
      </c>
      <c r="G1360">
        <v>3962</v>
      </c>
      <c r="H1360" t="s">
        <v>3035</v>
      </c>
      <c r="I1360" t="s">
        <v>3031</v>
      </c>
      <c r="J1360">
        <f>VLOOKUP(F1360,[1]!china_towns_second__2[[Column1]:[Y]],3,FALSE)</f>
        <v>33.207727945134799</v>
      </c>
      <c r="K1360">
        <f>VLOOKUP(F1360,[1]!china_towns_second__2[[Column1]:[Y]],2,FALSE)</f>
        <v>108.6763278</v>
      </c>
      <c r="L1360" t="s">
        <v>5477</v>
      </c>
      <c r="M1360" t="str">
        <f>VLOOKUP(H1360,CHOOSE({1,2},Table11[Native],Table11[Name]),2,0)</f>
        <v>Hànbīn Qū</v>
      </c>
      <c r="N1360" s="13" t="str">
        <f>VLOOKUP(I1360,CHOOSE({1,2},Table11[Native],Table11[Name]),2,0)</f>
        <v>Ānkāng Shì</v>
      </c>
      <c r="O1360" s="13" t="str">
        <f t="shared" si="86"/>
        <v>Yeping Zhen (Ānkāng Shì)</v>
      </c>
      <c r="P1360" s="13" t="str">
        <f t="shared" si="87"/>
        <v>Yeping Zhen (Ānkāng Shì)</v>
      </c>
    </row>
    <row r="1361" spans="1:16" hidden="1" x14ac:dyDescent="0.25">
      <c r="A1361" t="s">
        <v>597</v>
      </c>
      <c r="B1361" t="str">
        <f t="shared" si="84"/>
        <v>Yìdiàn Zhèn</v>
      </c>
      <c r="C1361" t="str">
        <f t="shared" si="85"/>
        <v>Yìdiàn Zhèn</v>
      </c>
      <c r="D1361" t="s">
        <v>598</v>
      </c>
      <c r="E1361" t="s">
        <v>7</v>
      </c>
      <c r="F1361" t="str">
        <f>_xlfn.CONCAT(D1361,", ",H1361,", ",I1361,", ","陕西省")</f>
        <v>益店镇, 岐山县, 宝鸡市, 陕西省</v>
      </c>
      <c r="G1361">
        <v>33906</v>
      </c>
      <c r="H1361" t="s">
        <v>3055</v>
      </c>
      <c r="I1361" t="s">
        <v>3045</v>
      </c>
      <c r="J1361">
        <f>VLOOKUP(F1361,[1]!china_towns_second__2[[Column1]:[Y]],3,FALSE)</f>
        <v>34.4060030619356</v>
      </c>
      <c r="K1361">
        <f>VLOOKUP(F1361,[1]!china_towns_second__2[[Column1]:[Y]],2,FALSE)</f>
        <v>107.7563067</v>
      </c>
      <c r="L1361" t="s">
        <v>5478</v>
      </c>
      <c r="M1361" t="str">
        <f>VLOOKUP(H1361,CHOOSE({1,2},Table11[Native],Table11[Name]),2,0)</f>
        <v>Qíshān Xiàn</v>
      </c>
      <c r="N1361" s="13" t="str">
        <f>VLOOKUP(I1361,CHOOSE({1,2},Table11[Native],Table11[Name]),2,0)</f>
        <v>Băojī Shì</v>
      </c>
      <c r="O1361" s="13" t="str">
        <f t="shared" si="86"/>
        <v>Yidian Zhen (Băojī Shì)</v>
      </c>
      <c r="P1361" s="13" t="str">
        <f t="shared" si="87"/>
        <v>Yidian Zhen (Băojī Shì)</v>
      </c>
    </row>
    <row r="1362" spans="1:16" hidden="1" x14ac:dyDescent="0.25">
      <c r="A1362" t="s">
        <v>2975</v>
      </c>
      <c r="B1362" t="str">
        <f t="shared" si="84"/>
        <v>Yìhé Zhèn</v>
      </c>
      <c r="C1362" t="str">
        <f t="shared" si="85"/>
        <v>Yìhé Zhèn</v>
      </c>
      <c r="D1362" t="s">
        <v>2976</v>
      </c>
      <c r="E1362" t="s">
        <v>7</v>
      </c>
      <c r="F1362" t="str">
        <f>_xlfn.CONCAT(D1362,", ",H1362,", ",I1362,", ","陕西省")</f>
        <v>义合镇, 绥德县, 榆林市, 陕西省</v>
      </c>
      <c r="G1362">
        <v>22029</v>
      </c>
      <c r="H1362" t="s">
        <v>3157</v>
      </c>
      <c r="I1362" t="s">
        <v>3148</v>
      </c>
      <c r="J1362">
        <f>VLOOKUP(F1362,[1]!china_towns_second__2[[Column1]:[Y]],3,FALSE)</f>
        <v>37.4994998651839</v>
      </c>
      <c r="K1362">
        <f>VLOOKUP(F1362,[1]!china_towns_second__2[[Column1]:[Y]],2,FALSE)</f>
        <v>110.5235854</v>
      </c>
      <c r="L1362" t="s">
        <v>5479</v>
      </c>
      <c r="M1362" t="str">
        <f>VLOOKUP(H1362,CHOOSE({1,2},Table11[Native],Table11[Name]),2,0)</f>
        <v>Suídé Xiàn</v>
      </c>
      <c r="N1362" s="13" t="str">
        <f>VLOOKUP(I1362,CHOOSE({1,2},Table11[Native],Table11[Name]),2,0)</f>
        <v>Yúlín Shì</v>
      </c>
      <c r="O1362" s="13" t="str">
        <f t="shared" si="86"/>
        <v>Yihe Zhen (Yúlín Shì)</v>
      </c>
      <c r="P1362" s="13" t="str">
        <f t="shared" si="87"/>
        <v>Yihe Zhen (Yúlín Shì)</v>
      </c>
    </row>
    <row r="1363" spans="1:16" hidden="1" x14ac:dyDescent="0.25">
      <c r="A1363" t="s">
        <v>1930</v>
      </c>
      <c r="B1363" t="str">
        <f t="shared" si="84"/>
        <v>Yìmén Zhèn</v>
      </c>
      <c r="C1363" t="str">
        <f t="shared" si="85"/>
        <v>Yìmén Zhèn</v>
      </c>
      <c r="D1363" t="s">
        <v>1931</v>
      </c>
      <c r="E1363" t="s">
        <v>7</v>
      </c>
      <c r="F1363" t="str">
        <f>_xlfn.CONCAT(D1363,", ",H1363,", ",I1363,", ","陕西省")</f>
        <v>义门镇, 彬州市, 咸阳市, 陕西省</v>
      </c>
      <c r="G1363">
        <v>33968</v>
      </c>
      <c r="H1363" t="s">
        <v>3118</v>
      </c>
      <c r="I1363" t="s">
        <v>3117</v>
      </c>
      <c r="J1363">
        <f>VLOOKUP(F1363,[1]!china_towns_second__2[[Column1]:[Y]],3,FALSE)</f>
        <v>35.134459521168303</v>
      </c>
      <c r="K1363">
        <f>VLOOKUP(F1363,[1]!china_towns_second__2[[Column1]:[Y]],2,FALSE)</f>
        <v>107.9857413</v>
      </c>
      <c r="L1363" t="s">
        <v>5480</v>
      </c>
      <c r="M1363" t="str">
        <f>VLOOKUP(H1363,CHOOSE({1,2},Table11[Native],Table11[Name]),2,0)</f>
        <v>Bīnzhōu Shì</v>
      </c>
      <c r="N1363" s="13" t="str">
        <f>VLOOKUP(I1363,CHOOSE({1,2},Table11[Native],Table11[Name]),2,0)</f>
        <v>Xiányáng Shì</v>
      </c>
      <c r="O1363" s="13" t="str">
        <f t="shared" si="86"/>
        <v>Yimen Zhen (Xiányáng Shì)</v>
      </c>
      <c r="P1363" s="13" t="str">
        <f t="shared" si="87"/>
        <v>Yimen Zhen (Xiányáng Shì)</v>
      </c>
    </row>
    <row r="1364" spans="1:16" hidden="1" x14ac:dyDescent="0.25">
      <c r="A1364" t="s">
        <v>2977</v>
      </c>
      <c r="B1364" t="str">
        <f t="shared" si="84"/>
        <v>Yìndòu Zhèn [incl. Qiáohéchà Xiāng]</v>
      </c>
      <c r="C1364" t="str">
        <f t="shared" si="85"/>
        <v>Yìndòu Zhèn [incl. Qiáohéchà Xiāng]</v>
      </c>
      <c r="D1364" t="s">
        <v>2978</v>
      </c>
      <c r="E1364" t="s">
        <v>7</v>
      </c>
      <c r="F1364" t="str">
        <f>_xlfn.CONCAT(D1364,", ",H1364,", ",I1364,", ","陕西省")</f>
        <v>印斗镇, 米脂县, 榆林市, 陕西省</v>
      </c>
      <c r="G1364">
        <v>16554</v>
      </c>
      <c r="H1364" t="s">
        <v>3154</v>
      </c>
      <c r="I1364" t="s">
        <v>3148</v>
      </c>
      <c r="J1364">
        <f>VLOOKUP(F1364,[1]!china_towns_second__2[[Column1]:[Y]],3,FALSE)</f>
        <v>37.892396183957104</v>
      </c>
      <c r="K1364">
        <f>VLOOKUP(F1364,[1]!china_towns_second__2[[Column1]:[Y]],2,FALSE)</f>
        <v>110.2849507</v>
      </c>
      <c r="L1364" t="s">
        <v>5481</v>
      </c>
      <c r="M1364" t="str">
        <f>VLOOKUP(H1364,CHOOSE({1,2},Table11[Native],Table11[Name]),2,0)</f>
        <v>Mĭzhī Xiàn</v>
      </c>
      <c r="N1364" s="13" t="str">
        <f>VLOOKUP(I1364,CHOOSE({1,2},Table11[Native],Table11[Name]),2,0)</f>
        <v>Yúlín Shì</v>
      </c>
      <c r="O1364" s="13" t="str">
        <f t="shared" si="86"/>
        <v>Yindou Zhen [incl. Qiaohecha Xiang] (Yúlín Shì)</v>
      </c>
      <c r="P1364" s="13" t="str">
        <f t="shared" si="87"/>
        <v>Yindou Zhen [incl. Qiaohecha Xiang] (Yúlín Shì)</v>
      </c>
    </row>
    <row r="1365" spans="1:16" hidden="1" x14ac:dyDescent="0.25">
      <c r="A1365" t="s">
        <v>295</v>
      </c>
      <c r="B1365" t="str">
        <f t="shared" si="84"/>
        <v>Yíngfēng Xiāng</v>
      </c>
      <c r="C1365" t="str">
        <f t="shared" si="85"/>
        <v>Yíngfēng Xiāng</v>
      </c>
      <c r="D1365" t="s">
        <v>296</v>
      </c>
      <c r="E1365" t="s">
        <v>11</v>
      </c>
      <c r="F1365" t="str">
        <f>_xlfn.CONCAT(D1365,", ",H1365,", ",I1365,", ","陕西省")</f>
        <v>迎风乡, 汉滨区, 安康市, 陕西省</v>
      </c>
      <c r="G1365">
        <v>10743</v>
      </c>
      <c r="H1365" t="s">
        <v>3035</v>
      </c>
      <c r="I1365" t="s">
        <v>3031</v>
      </c>
      <c r="J1365" t="e">
        <f>VLOOKUP(F1365,[1]!china_towns_second__2[[Column1]:[Y]],3,FALSE)</f>
        <v>#N/A</v>
      </c>
      <c r="K1365" t="e">
        <f>VLOOKUP(F1365,[1]!china_towns_second__2[[Column1]:[Y]],2,FALSE)</f>
        <v>#N/A</v>
      </c>
      <c r="L1365" t="s">
        <v>5482</v>
      </c>
      <c r="M1365" t="str">
        <f>VLOOKUP(H1365,CHOOSE({1,2},Table11[Native],Table11[Name]),2,0)</f>
        <v>Hànbīn Qū</v>
      </c>
      <c r="N1365" s="13" t="str">
        <f>VLOOKUP(I1365,CHOOSE({1,2},Table11[Native],Table11[Name]),2,0)</f>
        <v>Ānkāng Shì</v>
      </c>
      <c r="O1365" s="13" t="str">
        <f t="shared" si="86"/>
        <v>Yingfeng Xiang (Ānkāng Shì)</v>
      </c>
      <c r="P1365" s="13" t="str">
        <f t="shared" si="87"/>
        <v>Yingfeng Xiang (Ānkāng Shì)</v>
      </c>
    </row>
    <row r="1366" spans="1:16" hidden="1" x14ac:dyDescent="0.25">
      <c r="A1366" t="s">
        <v>297</v>
      </c>
      <c r="B1366" t="str">
        <f t="shared" si="84"/>
        <v>Yíngfēng Zhèn</v>
      </c>
      <c r="C1366" t="str">
        <f t="shared" si="85"/>
        <v>Yíngfēng Zhèn</v>
      </c>
      <c r="D1366" t="s">
        <v>298</v>
      </c>
      <c r="E1366" t="s">
        <v>7</v>
      </c>
      <c r="F1366" t="str">
        <f>_xlfn.CONCAT(D1366,", ",H1366,", ",I1366,", ","陕西省")</f>
        <v>迎丰镇, 石泉县, 安康市, 陕西省</v>
      </c>
      <c r="G1366">
        <v>6940</v>
      </c>
      <c r="H1366" t="s">
        <v>3040</v>
      </c>
      <c r="I1366" t="s">
        <v>3031</v>
      </c>
      <c r="J1366">
        <f>VLOOKUP(F1366,[1]!china_towns_second__2[[Column1]:[Y]],3,FALSE)</f>
        <v>33.150944323425499</v>
      </c>
      <c r="K1366">
        <f>VLOOKUP(F1366,[1]!china_towns_second__2[[Column1]:[Y]],2,FALSE)</f>
        <v>108.3952044</v>
      </c>
      <c r="L1366" t="s">
        <v>5483</v>
      </c>
      <c r="M1366" t="str">
        <f>VLOOKUP(H1366,CHOOSE({1,2},Table11[Native],Table11[Name]),2,0)</f>
        <v>Shíquán Xiàn</v>
      </c>
      <c r="N1366" s="13" t="str">
        <f>VLOOKUP(I1366,CHOOSE({1,2},Table11[Native],Table11[Name]),2,0)</f>
        <v>Ānkāng Shì</v>
      </c>
      <c r="O1366" s="13" t="str">
        <f t="shared" si="86"/>
        <v>Yingfeng Zhen (Ānkāng Shì)</v>
      </c>
      <c r="P1366" s="13" t="str">
        <f t="shared" si="87"/>
        <v>Yingfeng Zhen (Ānkāng Shì)</v>
      </c>
    </row>
    <row r="1367" spans="1:16" hidden="1" x14ac:dyDescent="0.25">
      <c r="A1367" t="s">
        <v>599</v>
      </c>
      <c r="B1367" t="str">
        <f t="shared" si="84"/>
        <v>Yīnggē Zhèn</v>
      </c>
      <c r="C1367" t="str">
        <f t="shared" si="85"/>
        <v>Yīnggē Zhèn</v>
      </c>
      <c r="D1367" t="s">
        <v>600</v>
      </c>
      <c r="E1367" t="s">
        <v>7</v>
      </c>
      <c r="F1367" t="str">
        <f>_xlfn.CONCAT(D1367,", ",H1367,", ",I1367,", ","陕西省")</f>
        <v>鹦鸽镇, 太白县, 宝鸡市, 陕西省</v>
      </c>
      <c r="G1367">
        <v>6904</v>
      </c>
      <c r="H1367" t="s">
        <v>3056</v>
      </c>
      <c r="I1367" t="s">
        <v>3045</v>
      </c>
      <c r="J1367">
        <f>VLOOKUP(F1367,[1]!china_towns_second__2[[Column1]:[Y]],3,FALSE)</f>
        <v>34.056309800535502</v>
      </c>
      <c r="K1367">
        <f>VLOOKUP(F1367,[1]!china_towns_second__2[[Column1]:[Y]],2,FALSE)</f>
        <v>107.6327833</v>
      </c>
      <c r="L1367" t="s">
        <v>5484</v>
      </c>
      <c r="M1367" t="str">
        <f>VLOOKUP(H1367,CHOOSE({1,2},Table11[Native],Table11[Name]),2,0)</f>
        <v>Tàibái Xiàn</v>
      </c>
      <c r="N1367" s="13" t="str">
        <f>VLOOKUP(I1367,CHOOSE({1,2},Table11[Native],Table11[Name]),2,0)</f>
        <v>Băojī Shì</v>
      </c>
      <c r="O1367" s="13" t="str">
        <f t="shared" si="86"/>
        <v>Yingge Zhen (Băojī Shì)</v>
      </c>
      <c r="P1367" s="13" t="str">
        <f t="shared" si="87"/>
        <v>Yingge Zhen (Băojī Shì)</v>
      </c>
    </row>
    <row r="1368" spans="1:16" hidden="1" x14ac:dyDescent="0.25">
      <c r="A1368" t="s">
        <v>299</v>
      </c>
      <c r="B1368" t="str">
        <f t="shared" si="84"/>
        <v>Yínghú Zhèn</v>
      </c>
      <c r="C1368" t="str">
        <f t="shared" si="85"/>
        <v>Yínghú Zhèn</v>
      </c>
      <c r="D1368" t="s">
        <v>300</v>
      </c>
      <c r="E1368" t="s">
        <v>7</v>
      </c>
      <c r="F1368" t="str">
        <f>_xlfn.CONCAT(D1368,", ",H1368,", ",I1368,", ","陕西省")</f>
        <v>瀛湖镇, 汉滨区, 安康市, 陕西省</v>
      </c>
      <c r="G1368">
        <v>15759</v>
      </c>
      <c r="H1368" t="s">
        <v>3035</v>
      </c>
      <c r="I1368" t="s">
        <v>3031</v>
      </c>
      <c r="J1368">
        <f>VLOOKUP(F1368,[1]!china_towns_second__2[[Column1]:[Y]],3,FALSE)</f>
        <v>32.592162039492401</v>
      </c>
      <c r="K1368">
        <f>VLOOKUP(F1368,[1]!china_towns_second__2[[Column1]:[Y]],2,FALSE)</f>
        <v>108.8566204</v>
      </c>
      <c r="L1368" t="s">
        <v>5485</v>
      </c>
      <c r="M1368" t="str">
        <f>VLOOKUP(H1368,CHOOSE({1,2},Table11[Native],Table11[Name]),2,0)</f>
        <v>Hànbīn Qū</v>
      </c>
      <c r="N1368" s="13" t="str">
        <f>VLOOKUP(I1368,CHOOSE({1,2},Table11[Native],Table11[Name]),2,0)</f>
        <v>Ānkāng Shì</v>
      </c>
      <c r="O1368" s="13" t="str">
        <f t="shared" si="86"/>
        <v>Yinghu Zhen (Ānkāng Shì)</v>
      </c>
      <c r="P1368" s="13" t="str">
        <f t="shared" si="87"/>
        <v>Yinghu Zhen (Ānkāng Shì)</v>
      </c>
    </row>
    <row r="1369" spans="1:16" hidden="1" x14ac:dyDescent="0.25">
      <c r="A1369" t="s">
        <v>1268</v>
      </c>
      <c r="B1369" t="str">
        <f t="shared" si="84"/>
        <v>Yíngpán Zhèn [incl. Liănghé Xiāng, Fēngbĕihé Xiāng]</v>
      </c>
      <c r="C1369" t="str">
        <f t="shared" si="85"/>
        <v>Yíngpán Zhèn [incl. Liănghé Xiāng, Fēngbĕihé Xiāng]</v>
      </c>
      <c r="D1369" t="s">
        <v>1269</v>
      </c>
      <c r="E1369" t="s">
        <v>7</v>
      </c>
      <c r="F1369" t="str">
        <f>_xlfn.CONCAT(D1369,", ",H1369,", ",I1369,", ","陕西省")</f>
        <v>营盘镇, 柞水县, 商洛市, 陕西省</v>
      </c>
      <c r="G1369">
        <v>11750</v>
      </c>
      <c r="H1369" t="s">
        <v>3078</v>
      </c>
      <c r="I1369" t="s">
        <v>3072</v>
      </c>
      <c r="J1369">
        <f>VLOOKUP(F1369,[1]!china_towns_second__2[[Column1]:[Y]],3,FALSE)</f>
        <v>33.800790387625803</v>
      </c>
      <c r="K1369">
        <f>VLOOKUP(F1369,[1]!china_towns_second__2[[Column1]:[Y]],2,FALSE)</f>
        <v>108.9987991</v>
      </c>
      <c r="L1369" t="s">
        <v>5486</v>
      </c>
      <c r="M1369" t="str">
        <f>VLOOKUP(H1369,CHOOSE({1,2},Table11[Native],Table11[Name]),2,0)</f>
        <v>Zhàshuĭ Xiàn</v>
      </c>
      <c r="N1369" s="13" t="str">
        <f>VLOOKUP(I1369,CHOOSE({1,2},Table11[Native],Table11[Name]),2,0)</f>
        <v>Shāngluò Shì</v>
      </c>
      <c r="O1369" s="13" t="str">
        <f t="shared" si="86"/>
        <v>Yingpan Zhen [incl. Lianghe Xiang, Fengbeihe Xiang] (Shāngluò Shì)</v>
      </c>
      <c r="P1369" s="13" t="str">
        <f t="shared" si="87"/>
        <v>Yingpan Zhen [incl. Lianghe Xiang, Fengbeihe Xiang] (Shāngluò Shì)</v>
      </c>
    </row>
    <row r="1370" spans="1:16" hidden="1" x14ac:dyDescent="0.25">
      <c r="A1370" t="s">
        <v>601</v>
      </c>
      <c r="B1370" t="str">
        <f t="shared" si="84"/>
        <v>Yíngtóu Zhèn</v>
      </c>
      <c r="C1370" t="str">
        <f t="shared" si="85"/>
        <v>Yíngtóu Zhèn</v>
      </c>
      <c r="D1370" t="s">
        <v>602</v>
      </c>
      <c r="E1370" t="s">
        <v>7</v>
      </c>
      <c r="F1370" t="str">
        <f>_xlfn.CONCAT(D1370,", ",H1370,", ",I1370,", ","陕西省")</f>
        <v>营头镇, 眉县, 宝鸡市, 陕西省</v>
      </c>
      <c r="G1370">
        <v>20415</v>
      </c>
      <c r="H1370" t="s">
        <v>3053</v>
      </c>
      <c r="I1370" t="s">
        <v>3045</v>
      </c>
      <c r="J1370">
        <f>VLOOKUP(F1370,[1]!china_towns_second__2[[Column1]:[Y]],3,FALSE)</f>
        <v>34.091967392209298</v>
      </c>
      <c r="K1370">
        <f>VLOOKUP(F1370,[1]!china_towns_second__2[[Column1]:[Y]],2,FALSE)</f>
        <v>107.7444035</v>
      </c>
      <c r="L1370" t="s">
        <v>5487</v>
      </c>
      <c r="M1370" t="str">
        <f>VLOOKUP(H1370,CHOOSE({1,2},Table11[Native],Table11[Name]),2,0)</f>
        <v>Méi Xiàn</v>
      </c>
      <c r="N1370" s="13" t="str">
        <f>VLOOKUP(I1370,CHOOSE({1,2},Table11[Native],Table11[Name]),2,0)</f>
        <v>Băojī Shì</v>
      </c>
      <c r="O1370" s="13" t="str">
        <f t="shared" si="86"/>
        <v>Yingtou Zhen (Băojī Shì)</v>
      </c>
      <c r="P1370" s="13" t="str">
        <f t="shared" si="87"/>
        <v>Yingtou Zhen (Băojī Shì)</v>
      </c>
    </row>
    <row r="1371" spans="1:16" hidden="1" x14ac:dyDescent="0.25">
      <c r="A1371" t="s">
        <v>2580</v>
      </c>
      <c r="B1371" t="str">
        <f t="shared" si="84"/>
        <v>Yīngwàng Xiāng</v>
      </c>
      <c r="C1371" t="str">
        <f t="shared" si="85"/>
        <v>Yīngwàng Xiāng</v>
      </c>
      <c r="D1371" t="s">
        <v>2581</v>
      </c>
      <c r="E1371" t="s">
        <v>11</v>
      </c>
      <c r="F1371" t="str">
        <f>_xlfn.CONCAT(D1371,", ",H1371,", ",I1371,", ","陕西省")</f>
        <v>英旺乡, 宜川县, 延安市, 陕西省</v>
      </c>
      <c r="G1371">
        <v>5201</v>
      </c>
      <c r="H1371" t="s">
        <v>3144</v>
      </c>
      <c r="I1371" t="s">
        <v>3133</v>
      </c>
      <c r="J1371" t="e">
        <f>VLOOKUP(F1371,[1]!china_towns_second__2[[Column1]:[Y]],3,FALSE)</f>
        <v>#N/A</v>
      </c>
      <c r="K1371" t="e">
        <f>VLOOKUP(F1371,[1]!china_towns_second__2[[Column1]:[Y]],2,FALSE)</f>
        <v>#N/A</v>
      </c>
      <c r="L1371" t="s">
        <v>5488</v>
      </c>
      <c r="M1371" t="str">
        <f>VLOOKUP(H1371,CHOOSE({1,2},Table11[Native],Table11[Name]),2,0)</f>
        <v>Yíchuān Xiàn</v>
      </c>
      <c r="N1371" s="13" t="str">
        <f>VLOOKUP(I1371,CHOOSE({1,2},Table11[Native],Table11[Name]),2,0)</f>
        <v>Yán'ān Shì</v>
      </c>
      <c r="O1371" s="13" t="str">
        <f t="shared" si="86"/>
        <v>Yingwang Xiang (Yán'ān Shì)</v>
      </c>
      <c r="P1371" s="13" t="str">
        <f t="shared" si="87"/>
        <v>Yingwang Xiang (Yán'ān Shì)</v>
      </c>
    </row>
    <row r="1372" spans="1:16" hidden="1" x14ac:dyDescent="0.25">
      <c r="A1372" t="s">
        <v>1270</v>
      </c>
      <c r="B1372" t="str">
        <f t="shared" si="84"/>
        <v>Yínhuā Zhèn</v>
      </c>
      <c r="C1372" t="str">
        <f t="shared" si="85"/>
        <v>Yínhuā Zhèn</v>
      </c>
      <c r="D1372" t="s">
        <v>1271</v>
      </c>
      <c r="E1372" t="s">
        <v>7</v>
      </c>
      <c r="F1372" t="str">
        <f>_xlfn.CONCAT(D1372,", ",H1372,", ",I1372,", ","陕西省")</f>
        <v>银花镇, 山阳县, 商洛市, 陕西省</v>
      </c>
      <c r="G1372">
        <v>14999</v>
      </c>
      <c r="H1372" t="s">
        <v>3077</v>
      </c>
      <c r="I1372" t="s">
        <v>3072</v>
      </c>
      <c r="J1372">
        <f>VLOOKUP(F1372,[1]!china_towns_second__2[[Column1]:[Y]],3,FALSE)</f>
        <v>33.4375990419163</v>
      </c>
      <c r="K1372">
        <f>VLOOKUP(F1372,[1]!china_towns_second__2[[Column1]:[Y]],2,FALSE)</f>
        <v>110.25814990000001</v>
      </c>
      <c r="L1372" t="s">
        <v>5489</v>
      </c>
      <c r="M1372" t="str">
        <f>VLOOKUP(H1372,CHOOSE({1,2},Table11[Native],Table11[Name]),2,0)</f>
        <v>Shānyáng Xiàn</v>
      </c>
      <c r="N1372" s="13" t="str">
        <f>VLOOKUP(I1372,CHOOSE({1,2},Table11[Native],Table11[Name]),2,0)</f>
        <v>Shāngluò Shì</v>
      </c>
      <c r="O1372" s="13" t="str">
        <f t="shared" si="86"/>
        <v>Yinhua Zhen (Shāngluò Shì)</v>
      </c>
      <c r="P1372" s="13" t="str">
        <f t="shared" si="87"/>
        <v>Yinhua Zhen (Shāngluò Shì)</v>
      </c>
    </row>
    <row r="1373" spans="1:16" hidden="1" x14ac:dyDescent="0.25">
      <c r="A1373" t="s">
        <v>603</v>
      </c>
      <c r="B1373" t="str">
        <f t="shared" si="84"/>
        <v>Yĭnjiāwù Xiāng</v>
      </c>
      <c r="C1373" t="str">
        <f t="shared" si="85"/>
        <v>Yĭnjiāwù Xiāng</v>
      </c>
      <c r="D1373" t="s">
        <v>604</v>
      </c>
      <c r="E1373" t="s">
        <v>11</v>
      </c>
      <c r="F1373" t="str">
        <f>_xlfn.CONCAT(D1373,", ",H1373,", ",I1373,", ","陕西省")</f>
        <v>尹家务乡, 凤翔区, 宝鸡市, 陕西省</v>
      </c>
      <c r="G1373">
        <v>22284</v>
      </c>
      <c r="H1373" t="s">
        <v>3048</v>
      </c>
      <c r="I1373" t="s">
        <v>3045</v>
      </c>
      <c r="J1373" t="e">
        <f>VLOOKUP(F1373,[1]!china_towns_second__2[[Column1]:[Y]],3,FALSE)</f>
        <v>#N/A</v>
      </c>
      <c r="K1373" t="e">
        <f>VLOOKUP(F1373,[1]!china_towns_second__2[[Column1]:[Y]],2,FALSE)</f>
        <v>#N/A</v>
      </c>
      <c r="L1373" t="s">
        <v>5490</v>
      </c>
      <c r="M1373" t="str">
        <f>VLOOKUP(H1373,CHOOSE({1,2},Table11[Native],Table11[Name]),2,0)</f>
        <v>Fèngxiáng Qū</v>
      </c>
      <c r="N1373" s="13" t="str">
        <f>VLOOKUP(I1373,CHOOSE({1,2},Table11[Native],Table11[Name]),2,0)</f>
        <v>Băojī Shì</v>
      </c>
      <c r="O1373" s="13" t="str">
        <f t="shared" si="86"/>
        <v>Yinjiawu Xiang (Băojī Shì)</v>
      </c>
      <c r="P1373" s="13" t="str">
        <f t="shared" si="87"/>
        <v>Yinjiawu Xiang (Băojī Shì)</v>
      </c>
    </row>
    <row r="1374" spans="1:16" hidden="1" x14ac:dyDescent="0.25">
      <c r="A1374" t="s">
        <v>301</v>
      </c>
      <c r="B1374" t="str">
        <f t="shared" si="84"/>
        <v>Yínlóng Xiāng</v>
      </c>
      <c r="C1374" t="str">
        <f t="shared" si="85"/>
        <v>Yínlóng Xiāng</v>
      </c>
      <c r="D1374" t="s">
        <v>302</v>
      </c>
      <c r="E1374" t="s">
        <v>11</v>
      </c>
      <c r="F1374" t="str">
        <f>_xlfn.CONCAT(D1374,", ",H1374,", ",I1374,", ","陕西省")</f>
        <v>银龙乡, 石泉县, 安康市, 陕西省</v>
      </c>
      <c r="G1374">
        <v>5507</v>
      </c>
      <c r="H1374" t="s">
        <v>3040</v>
      </c>
      <c r="I1374" t="s">
        <v>3031</v>
      </c>
      <c r="J1374" t="e">
        <f>VLOOKUP(F1374,[1]!china_towns_second__2[[Column1]:[Y]],3,FALSE)</f>
        <v>#N/A</v>
      </c>
      <c r="K1374" t="e">
        <f>VLOOKUP(F1374,[1]!china_towns_second__2[[Column1]:[Y]],2,FALSE)</f>
        <v>#N/A</v>
      </c>
      <c r="L1374" t="s">
        <v>5491</v>
      </c>
      <c r="M1374" t="str">
        <f>VLOOKUP(H1374,CHOOSE({1,2},Table11[Native],Table11[Name]),2,0)</f>
        <v>Shíquán Xiàn</v>
      </c>
      <c r="N1374" s="13" t="str">
        <f>VLOOKUP(I1374,CHOOSE({1,2},Table11[Native],Table11[Name]),2,0)</f>
        <v>Ānkāng Shì</v>
      </c>
      <c r="O1374" s="13" t="str">
        <f t="shared" si="86"/>
        <v>Yinlong Xiang (Ānkāng Shì)</v>
      </c>
      <c r="P1374" s="13" t="str">
        <f t="shared" si="87"/>
        <v>Yinlong Xiang (Ānkāng Shì)</v>
      </c>
    </row>
    <row r="1375" spans="1:16" hidden="1" x14ac:dyDescent="0.25">
      <c r="A1375" t="s">
        <v>1356</v>
      </c>
      <c r="B1375" t="str">
        <f t="shared" si="84"/>
        <v>Yìntái Jiēdào</v>
      </c>
      <c r="C1375" t="str">
        <f t="shared" si="85"/>
        <v>Yìntái Jiēdào</v>
      </c>
      <c r="D1375" t="s">
        <v>1357</v>
      </c>
      <c r="E1375" t="s">
        <v>113</v>
      </c>
      <c r="F1375" t="str">
        <f>_xlfn.CONCAT(D1375,", ",H1375,", ",I1375,", ","陕西省")</f>
        <v>印台街道, 印台区, 铜川市, 陕西省</v>
      </c>
      <c r="G1375">
        <v>13984</v>
      </c>
      <c r="H1375" t="s">
        <v>3085</v>
      </c>
      <c r="I1375" t="s">
        <v>3081</v>
      </c>
      <c r="J1375" t="e">
        <f>VLOOKUP(F1375,[1]!china_towns_second__2[[Column1]:[Y]],3,FALSE)</f>
        <v>#N/A</v>
      </c>
      <c r="K1375" t="e">
        <f>VLOOKUP(F1375,[1]!china_towns_second__2[[Column1]:[Y]],2,FALSE)</f>
        <v>#N/A</v>
      </c>
      <c r="L1375" t="s">
        <v>5492</v>
      </c>
      <c r="M1375" t="str">
        <f>VLOOKUP(H1375,CHOOSE({1,2},Table11[Native],Table11[Name]),2,0)</f>
        <v>Yìntái Qū</v>
      </c>
      <c r="N1375" s="13" t="str">
        <f>VLOOKUP(I1375,CHOOSE({1,2},Table11[Native],Table11[Name]),2,0)</f>
        <v>Tóngchuān Shì</v>
      </c>
      <c r="O1375" s="13" t="str">
        <f t="shared" si="86"/>
        <v>Yintai Jiedao (Tóngchuān Shì)</v>
      </c>
      <c r="P1375" s="13" t="str">
        <f t="shared" si="87"/>
        <v>Yintai Jiedao (Tóngchuān Shì)</v>
      </c>
    </row>
    <row r="1376" spans="1:16" hidden="1" x14ac:dyDescent="0.25">
      <c r="A1376" t="s">
        <v>2286</v>
      </c>
      <c r="B1376" t="str">
        <f t="shared" si="84"/>
        <v>Yĭnzhèn Jiēdào</v>
      </c>
      <c r="C1376" t="str">
        <f t="shared" si="85"/>
        <v>Yĭnzhèn Jiēdào</v>
      </c>
      <c r="D1376" t="s">
        <v>2287</v>
      </c>
      <c r="E1376" t="s">
        <v>113</v>
      </c>
      <c r="F1376" t="str">
        <f>_xlfn.CONCAT(D1376,", ",H1376,", ",I1376,", ","陕西省")</f>
        <v>引镇街道, 长安区, 西安市, 陕西省</v>
      </c>
      <c r="G1376">
        <v>33543</v>
      </c>
      <c r="H1376" t="s">
        <v>3105</v>
      </c>
      <c r="I1376" t="s">
        <v>3102</v>
      </c>
      <c r="J1376">
        <f>VLOOKUP(F1376,[1]!china_towns_second__2[[Column1]:[Y]],3,FALSE)</f>
        <v>33.998430669358399</v>
      </c>
      <c r="K1376">
        <f>VLOOKUP(F1376,[1]!china_towns_second__2[[Column1]:[Y]],2,FALSE)</f>
        <v>109.1071596</v>
      </c>
      <c r="L1376" t="s">
        <v>5493</v>
      </c>
      <c r="M1376" t="str">
        <f>VLOOKUP(H1376,CHOOSE({1,2},Table11[Native],Table11[Name]),2,0)</f>
        <v>Cháng'ān Qū</v>
      </c>
      <c r="N1376" s="13" t="str">
        <f>VLOOKUP(I1376,CHOOSE({1,2},Table11[Native],Table11[Name]),2,0)</f>
        <v>Xī'ān Shì</v>
      </c>
      <c r="O1376" s="13" t="str">
        <f t="shared" si="86"/>
        <v>Yinzhen Jiedao (Xī'ān Shì)</v>
      </c>
      <c r="P1376" s="13" t="str">
        <f t="shared" si="87"/>
        <v>Yinzhen Jiedao (Xī'ān Shì)</v>
      </c>
    </row>
    <row r="1377" spans="1:16" hidden="1" x14ac:dyDescent="0.25">
      <c r="A1377" t="s">
        <v>2979</v>
      </c>
      <c r="B1377" t="str">
        <f t="shared" si="84"/>
        <v>Yínzhōu Jiēdào</v>
      </c>
      <c r="C1377" t="str">
        <f t="shared" si="85"/>
        <v>Yínzhōu Jiēdào</v>
      </c>
      <c r="D1377" t="s">
        <v>2980</v>
      </c>
      <c r="E1377" t="s">
        <v>113</v>
      </c>
      <c r="F1377" t="str">
        <f>_xlfn.CONCAT(D1377,", ",H1377,", ",I1377,", ","陕西省")</f>
        <v>银州街道, 米脂县, 榆林市, 陕西省</v>
      </c>
      <c r="G1377">
        <v>61956</v>
      </c>
      <c r="H1377" t="s">
        <v>3154</v>
      </c>
      <c r="I1377" t="s">
        <v>3148</v>
      </c>
      <c r="J1377" t="e">
        <f>VLOOKUP(F1377,[1]!china_towns_second__2[[Column1]:[Y]],3,FALSE)</f>
        <v>#N/A</v>
      </c>
      <c r="K1377" t="e">
        <f>VLOOKUP(F1377,[1]!china_towns_second__2[[Column1]:[Y]],2,FALSE)</f>
        <v>#N/A</v>
      </c>
      <c r="L1377" t="s">
        <v>5494</v>
      </c>
      <c r="M1377" t="str">
        <f>VLOOKUP(H1377,CHOOSE({1,2},Table11[Native],Table11[Name]),2,0)</f>
        <v>Mĭzhī Xiàn</v>
      </c>
      <c r="N1377" s="13" t="str">
        <f>VLOOKUP(I1377,CHOOSE({1,2},Table11[Native],Table11[Name]),2,0)</f>
        <v>Yúlín Shì</v>
      </c>
      <c r="O1377" s="13" t="str">
        <f t="shared" si="86"/>
        <v>Yinzhou Jiedao (Yúlín Shì)</v>
      </c>
      <c r="P1377" s="13" t="str">
        <f t="shared" si="87"/>
        <v>Yinzhou Jiedao (Yúlín Shì)</v>
      </c>
    </row>
    <row r="1378" spans="1:16" hidden="1" x14ac:dyDescent="0.25">
      <c r="A1378" t="s">
        <v>1001</v>
      </c>
      <c r="B1378" t="str">
        <f t="shared" si="84"/>
        <v>Yìshuĭ Zhèn</v>
      </c>
      <c r="C1378" t="str">
        <f t="shared" si="85"/>
        <v>Yìshuĭ Zhèn</v>
      </c>
      <c r="D1378" t="s">
        <v>1002</v>
      </c>
      <c r="E1378" t="s">
        <v>7</v>
      </c>
      <c r="F1378" t="str">
        <f>_xlfn.CONCAT(D1378,", ",H1378,", ",I1378,", ","陕西省")</f>
        <v>溢水镇, 洋县, 汉中市, 陕西省</v>
      </c>
      <c r="G1378">
        <v>10796</v>
      </c>
      <c r="H1378" t="s">
        <v>3069</v>
      </c>
      <c r="I1378" t="s">
        <v>3059</v>
      </c>
      <c r="J1378">
        <f>VLOOKUP(F1378,[1]!china_towns_second__2[[Column1]:[Y]],3,FALSE)</f>
        <v>33.375765950380703</v>
      </c>
      <c r="K1378">
        <f>VLOOKUP(F1378,[1]!china_towns_second__2[[Column1]:[Y]],2,FALSE)</f>
        <v>107.39768599999999</v>
      </c>
      <c r="L1378" t="s">
        <v>5495</v>
      </c>
      <c r="M1378" t="str">
        <f>VLOOKUP(H1378,CHOOSE({1,2},Table11[Native],Table11[Name]),2,0)</f>
        <v>Yáng Xiàn</v>
      </c>
      <c r="N1378" s="13" t="str">
        <f>VLOOKUP(I1378,CHOOSE({1,2},Table11[Native],Table11[Name]),2,0)</f>
        <v>Hànzhōng Shì</v>
      </c>
      <c r="O1378" s="13" t="str">
        <f t="shared" si="86"/>
        <v>Yishui Zhen (Hànzhōng Shì)</v>
      </c>
      <c r="P1378" s="13" t="str">
        <f t="shared" si="87"/>
        <v>Yishui Zhen (Hànzhōng Shì)</v>
      </c>
    </row>
    <row r="1379" spans="1:16" hidden="1" x14ac:dyDescent="0.25">
      <c r="A1379" t="s">
        <v>2582</v>
      </c>
      <c r="B1379" t="str">
        <f t="shared" si="84"/>
        <v>Yìzhèng Zhèn</v>
      </c>
      <c r="C1379" t="str">
        <f t="shared" si="85"/>
        <v>Yìzhèng Zhèn</v>
      </c>
      <c r="D1379" t="s">
        <v>2583</v>
      </c>
      <c r="E1379" t="s">
        <v>7</v>
      </c>
      <c r="F1379" t="str">
        <f>_xlfn.CONCAT(D1379,", ",H1379,", ",I1379,", ","陕西省")</f>
        <v>义正镇, 志丹县, 延安市, 陕西省</v>
      </c>
      <c r="G1379">
        <v>7196</v>
      </c>
      <c r="H1379" t="s">
        <v>3145</v>
      </c>
      <c r="I1379" t="s">
        <v>3133</v>
      </c>
      <c r="J1379">
        <f>VLOOKUP(F1379,[1]!china_towns_second__2[[Column1]:[Y]],3,FALSE)</f>
        <v>36.573838211974</v>
      </c>
      <c r="K1379">
        <f>VLOOKUP(F1379,[1]!china_towns_second__2[[Column1]:[Y]],2,FALSE)</f>
        <v>108.413121</v>
      </c>
      <c r="L1379" t="s">
        <v>5496</v>
      </c>
      <c r="M1379" t="str">
        <f>VLOOKUP(H1379,CHOOSE({1,2},Table11[Native],Table11[Name]),2,0)</f>
        <v>Zhìdān Xiàn</v>
      </c>
      <c r="N1379" s="13" t="str">
        <f>VLOOKUP(I1379,CHOOSE({1,2},Table11[Native],Table11[Name]),2,0)</f>
        <v>Yán'ān Shì</v>
      </c>
      <c r="O1379" s="13" t="str">
        <f t="shared" si="86"/>
        <v>Yizheng Zhen (Yán'ān Shì)</v>
      </c>
      <c r="P1379" s="13" t="str">
        <f t="shared" si="87"/>
        <v>Yizheng Zhen (Yán'ān Shì)</v>
      </c>
    </row>
    <row r="1380" spans="1:16" hidden="1" x14ac:dyDescent="0.25">
      <c r="A1380" t="s">
        <v>1358</v>
      </c>
      <c r="B1380" t="str">
        <f t="shared" si="84"/>
        <v>Yŏng'ānlù Jiēdào</v>
      </c>
      <c r="C1380" t="str">
        <f t="shared" si="85"/>
        <v>Yŏng'ānlù Jiēdào</v>
      </c>
      <c r="D1380" t="s">
        <v>1359</v>
      </c>
      <c r="E1380" t="s">
        <v>113</v>
      </c>
      <c r="F1380" t="str">
        <f>_xlfn.CONCAT(D1380,", ",H1380,", ",I1380,", ","陕西省")</f>
        <v>永安路街道, 耀州区, 铜川市, 陕西省</v>
      </c>
      <c r="G1380">
        <v>37184</v>
      </c>
      <c r="H1380" t="s">
        <v>3083</v>
      </c>
      <c r="I1380" t="s">
        <v>3081</v>
      </c>
      <c r="J1380">
        <f>VLOOKUP(F1380,[1]!china_towns_second__2[[Column1]:[Y]],3,FALSE)</f>
        <v>34.912052915600199</v>
      </c>
      <c r="K1380">
        <f>VLOOKUP(F1380,[1]!china_towns_second__2[[Column1]:[Y]],2,FALSE)</f>
        <v>108.98670629999999</v>
      </c>
      <c r="L1380" t="s">
        <v>5497</v>
      </c>
      <c r="M1380" t="str">
        <f>VLOOKUP(H1380,CHOOSE({1,2},Table11[Native],Table11[Name]),2,0)</f>
        <v>Yàozhōu Qū</v>
      </c>
      <c r="N1380" s="13" t="str">
        <f>VLOOKUP(I1380,CHOOSE({1,2},Table11[Native],Table11[Name]),2,0)</f>
        <v>Tóngchuān Shì</v>
      </c>
      <c r="O1380" s="13" t="str">
        <f t="shared" si="86"/>
        <v>Yong'anlu Jiedao (Tóngchuān Shì)</v>
      </c>
      <c r="P1380" s="13" t="str">
        <f t="shared" si="87"/>
        <v>Yong'anlu Jiedao (Tóngchuān Shì)</v>
      </c>
    </row>
    <row r="1381" spans="1:16" hidden="1" x14ac:dyDescent="0.25">
      <c r="A1381" t="s">
        <v>605</v>
      </c>
      <c r="B1381" t="str">
        <f t="shared" si="84"/>
        <v>Yōngchuān Zhèn</v>
      </c>
      <c r="C1381" t="str">
        <f t="shared" si="85"/>
        <v>Yōngchuān Zhèn</v>
      </c>
      <c r="D1381" t="s">
        <v>606</v>
      </c>
      <c r="E1381" t="s">
        <v>7</v>
      </c>
      <c r="F1381" t="str">
        <f>_xlfn.CONCAT(D1381,", ",H1381,", ",I1381,", ","陕西省")</f>
        <v>雍川镇, 岐山县, 宝鸡市, 陕西省</v>
      </c>
      <c r="G1381">
        <v>48983</v>
      </c>
      <c r="H1381" t="s">
        <v>3055</v>
      </c>
      <c r="I1381" t="s">
        <v>3045</v>
      </c>
      <c r="J1381">
        <f>VLOOKUP(F1381,[1]!china_towns_second__2[[Column1]:[Y]],3,FALSE)</f>
        <v>34.364496698406697</v>
      </c>
      <c r="K1381">
        <f>VLOOKUP(F1381,[1]!china_towns_second__2[[Column1]:[Y]],2,FALSE)</f>
        <v>107.6175649</v>
      </c>
      <c r="L1381" t="s">
        <v>5498</v>
      </c>
      <c r="M1381" t="str">
        <f>VLOOKUP(H1381,CHOOSE({1,2},Table11[Native],Table11[Name]),2,0)</f>
        <v>Qíshān Xiàn</v>
      </c>
      <c r="N1381" s="13" t="str">
        <f>VLOOKUP(I1381,CHOOSE({1,2},Table11[Native],Table11[Name]),2,0)</f>
        <v>Băojī Shì</v>
      </c>
      <c r="O1381" s="13" t="str">
        <f t="shared" si="86"/>
        <v>Yongchuan Zhen (Băojī Shì)</v>
      </c>
      <c r="P1381" s="13" t="str">
        <f t="shared" si="87"/>
        <v>Yongchuan Zhen (Băojī Shì)</v>
      </c>
    </row>
    <row r="1382" spans="1:16" hidden="1" x14ac:dyDescent="0.25">
      <c r="A1382" t="s">
        <v>1682</v>
      </c>
      <c r="B1382" t="str">
        <f t="shared" si="84"/>
        <v>Yŏngfēng Zhèn</v>
      </c>
      <c r="C1382" t="str">
        <f t="shared" si="85"/>
        <v>Yŏngfēng Zhèn</v>
      </c>
      <c r="D1382" t="s">
        <v>1273</v>
      </c>
      <c r="E1382" t="s">
        <v>7</v>
      </c>
      <c r="F1382" t="str">
        <f>_xlfn.CONCAT(D1382,", ",H1382,", ",I1382,", ","陕西省")</f>
        <v>永丰镇, 蒲城县, 渭南市, 陕西省</v>
      </c>
      <c r="G1382">
        <v>26063</v>
      </c>
      <c r="H1382" t="s">
        <v>3098</v>
      </c>
      <c r="I1382" t="s">
        <v>3087</v>
      </c>
      <c r="J1382">
        <f>VLOOKUP(F1382,[1]!china_towns_second__2[[Column1]:[Y]],3,FALSE)</f>
        <v>34.9841047820981</v>
      </c>
      <c r="K1382">
        <f>VLOOKUP(F1382,[1]!china_towns_second__2[[Column1]:[Y]],2,FALSE)</f>
        <v>109.8729258</v>
      </c>
      <c r="L1382" t="s">
        <v>5499</v>
      </c>
      <c r="M1382" t="str">
        <f>VLOOKUP(H1382,CHOOSE({1,2},Table11[Native],Table11[Name]),2,0)</f>
        <v>Púchéng Xiàn</v>
      </c>
      <c r="N1382" s="13" t="str">
        <f>VLOOKUP(I1382,CHOOSE({1,2},Table11[Native],Table11[Name]),2,0)</f>
        <v>Wèinán Shì</v>
      </c>
      <c r="O1382" s="13" t="str">
        <f t="shared" si="86"/>
        <v>Yongfeng Zhen (Wèinán Shì)</v>
      </c>
      <c r="P1382" s="13" t="str">
        <f t="shared" si="87"/>
        <v>Yongfeng Zhen (Wèinán Shì)</v>
      </c>
    </row>
    <row r="1383" spans="1:16" hidden="1" x14ac:dyDescent="0.25">
      <c r="A1383" t="s">
        <v>1272</v>
      </c>
      <c r="B1383" t="str">
        <f t="shared" si="84"/>
        <v>Yŏngfēng Zhèn [Zhèn]</v>
      </c>
      <c r="C1383" t="str">
        <f t="shared" si="85"/>
        <v>Yŏngfēng Zhèn [Zhèn]</v>
      </c>
      <c r="D1383" t="s">
        <v>1273</v>
      </c>
      <c r="E1383" t="s">
        <v>7</v>
      </c>
      <c r="F1383" t="str">
        <f>_xlfn.CONCAT(D1383,", ",H1383,", ",I1383,", ","陕西省")</f>
        <v>永丰镇, 洛南县, 商洛市, 陕西省</v>
      </c>
      <c r="G1383">
        <v>33666</v>
      </c>
      <c r="H1383" t="s">
        <v>3074</v>
      </c>
      <c r="I1383" t="s">
        <v>3072</v>
      </c>
      <c r="J1383">
        <f>VLOOKUP(F1383,[1]!china_towns_second__2[[Column1]:[Y]],3,FALSE)</f>
        <v>34.1176622206631</v>
      </c>
      <c r="K1383">
        <f>VLOOKUP(F1383,[1]!china_towns_second__2[[Column1]:[Y]],2,FALSE)</f>
        <v>110.0575324</v>
      </c>
      <c r="L1383" t="s">
        <v>5500</v>
      </c>
      <c r="M1383" t="str">
        <f>VLOOKUP(H1383,CHOOSE({1,2},Table11[Native],Table11[Name]),2,0)</f>
        <v>Luònán Xiàn</v>
      </c>
      <c r="N1383" s="13" t="str">
        <f>VLOOKUP(I1383,CHOOSE({1,2},Table11[Native],Table11[Name]),2,0)</f>
        <v>Shāngluò Shì</v>
      </c>
      <c r="O1383" s="13" t="str">
        <f t="shared" si="86"/>
        <v>Yongfeng Zhen [Zhen] (Shāngluò Shì)</v>
      </c>
      <c r="P1383" s="13" t="str">
        <f t="shared" si="87"/>
        <v>Yongfeng Zhen [Zhen] (Shāngluò Shì)</v>
      </c>
    </row>
    <row r="1384" spans="1:16" hidden="1" x14ac:dyDescent="0.25">
      <c r="A1384" t="s">
        <v>1274</v>
      </c>
      <c r="B1384" t="str">
        <f t="shared" si="84"/>
        <v>Yŏnglè Jiēdào</v>
      </c>
      <c r="C1384" t="str">
        <f t="shared" si="85"/>
        <v>Yŏnglè Jiēdào</v>
      </c>
      <c r="D1384" t="s">
        <v>1275</v>
      </c>
      <c r="E1384" t="s">
        <v>113</v>
      </c>
      <c r="F1384" t="str">
        <f>_xlfn.CONCAT(D1384,", ",H1384,", ",I1384,", ","陕西省")</f>
        <v>永乐街道, 镇安县, 商洛市, 陕西省</v>
      </c>
      <c r="G1384">
        <v>63859</v>
      </c>
      <c r="H1384" t="s">
        <v>3079</v>
      </c>
      <c r="I1384" t="s">
        <v>3072</v>
      </c>
      <c r="J1384" t="e">
        <f>VLOOKUP(F1384,[1]!china_towns_second__2[[Column1]:[Y]],3,FALSE)</f>
        <v>#N/A</v>
      </c>
      <c r="K1384" t="e">
        <f>VLOOKUP(F1384,[1]!china_towns_second__2[[Column1]:[Y]],2,FALSE)</f>
        <v>#N/A</v>
      </c>
      <c r="L1384" t="s">
        <v>5501</v>
      </c>
      <c r="M1384" t="str">
        <f>VLOOKUP(H1384,CHOOSE({1,2},Table11[Native],Table11[Name]),2,0)</f>
        <v>Zhèn'ān Xiàn</v>
      </c>
      <c r="N1384" s="13" t="str">
        <f>VLOOKUP(I1384,CHOOSE({1,2},Table11[Native],Table11[Name]),2,0)</f>
        <v>Shāngluò Shì</v>
      </c>
      <c r="O1384" s="13" t="str">
        <f t="shared" si="86"/>
        <v>Yongle Jiedao (Shāngluò Shì)</v>
      </c>
      <c r="P1384" s="13" t="str">
        <f t="shared" si="87"/>
        <v>Yongle Jiedao (Shāngluò Shì)</v>
      </c>
    </row>
    <row r="1385" spans="1:16" hidden="1" x14ac:dyDescent="0.25">
      <c r="A1385" t="s">
        <v>1003</v>
      </c>
      <c r="B1385" t="str">
        <f t="shared" si="84"/>
        <v>Yŏnglè Zhèn (Hànzhōng Shì)</v>
      </c>
      <c r="C1385" t="str">
        <f t="shared" si="85"/>
        <v>Yŏnglè Zhèn (Hànzhōng Shì)</v>
      </c>
      <c r="D1385" t="s">
        <v>1004</v>
      </c>
      <c r="E1385" t="s">
        <v>7</v>
      </c>
      <c r="F1385" t="str">
        <f>_xlfn.CONCAT(D1385,", ",H1385,", ",I1385,", ","陕西省")</f>
        <v>永乐镇, 镇巴县, 汉中市, 陕西省</v>
      </c>
      <c r="G1385">
        <v>5756</v>
      </c>
      <c r="H1385" t="s">
        <v>3070</v>
      </c>
      <c r="I1385" t="s">
        <v>3059</v>
      </c>
      <c r="J1385">
        <f>VLOOKUP(F1385,[1]!china_towns_second__2[[Column1]:[Y]],3,FALSE)</f>
        <v>32.509376843061403</v>
      </c>
      <c r="K1385">
        <f>VLOOKUP(F1385,[1]!china_towns_second__2[[Column1]:[Y]],2,FALSE)</f>
        <v>107.48103159999999</v>
      </c>
      <c r="L1385" t="s">
        <v>5502</v>
      </c>
      <c r="M1385" t="str">
        <f>VLOOKUP(H1385,CHOOSE({1,2},Table11[Native],Table11[Name]),2,0)</f>
        <v>Zhènbā Xiàn</v>
      </c>
      <c r="N1385" s="13" t="str">
        <f>VLOOKUP(I1385,CHOOSE({1,2},Table11[Native],Table11[Name]),2,0)</f>
        <v>Hànzhōng Shì</v>
      </c>
      <c r="O1385" s="13" t="str">
        <f t="shared" si="86"/>
        <v>Yongle Zhen (Hanzhong Shi) (Hànzhōng Shì)</v>
      </c>
      <c r="P1385" s="13" t="str">
        <f t="shared" si="87"/>
        <v>Yongle Zhen (Hanzhong Shi) (Hànzhōng Shì)</v>
      </c>
    </row>
    <row r="1386" spans="1:16" hidden="1" x14ac:dyDescent="0.25">
      <c r="A1386" t="s">
        <v>1003</v>
      </c>
      <c r="B1386" t="str">
        <f t="shared" si="84"/>
        <v>Yŏnglè Zhèn (Xiányáng Shì)</v>
      </c>
      <c r="C1386" t="str">
        <f t="shared" si="85"/>
        <v>Yŏnglè Zhèn (Xiányáng Shì)</v>
      </c>
      <c r="D1386" t="s">
        <v>1004</v>
      </c>
      <c r="E1386" t="s">
        <v>7</v>
      </c>
      <c r="F1386" t="str">
        <f>_xlfn.CONCAT(D1386,", ",H1386,", ",I1386,", ","陕西省")</f>
        <v>永乐镇, 彬州市, 咸阳市, 陕西省</v>
      </c>
      <c r="G1386">
        <v>17451</v>
      </c>
      <c r="H1386" t="s">
        <v>3118</v>
      </c>
      <c r="I1386" t="s">
        <v>3117</v>
      </c>
      <c r="J1386">
        <f>VLOOKUP(F1386,[1]!china_towns_second__2[[Column1]:[Y]],3,FALSE)</f>
        <v>35.227614638579901</v>
      </c>
      <c r="K1386">
        <f>VLOOKUP(F1386,[1]!china_towns_second__2[[Column1]:[Y]],2,FALSE)</f>
        <v>108.119629</v>
      </c>
      <c r="L1386" t="s">
        <v>5503</v>
      </c>
      <c r="M1386" t="str">
        <f>VLOOKUP(H1386,CHOOSE({1,2},Table11[Native],Table11[Name]),2,0)</f>
        <v>Bīnzhōu Shì</v>
      </c>
      <c r="N1386" s="13" t="str">
        <f>VLOOKUP(I1386,CHOOSE({1,2},Table11[Native],Table11[Name]),2,0)</f>
        <v>Xiányáng Shì</v>
      </c>
      <c r="O1386" s="13" t="str">
        <f t="shared" si="86"/>
        <v>Yongle Zhen (Xianyang Shi) (Xiányáng Shì)</v>
      </c>
      <c r="P1386" s="13" t="str">
        <f t="shared" si="87"/>
        <v>Yongle Zhen (Xianyang Shi) (Xiányáng Shì)</v>
      </c>
    </row>
    <row r="1387" spans="1:16" hidden="1" x14ac:dyDescent="0.25">
      <c r="A1387" t="s">
        <v>1003</v>
      </c>
      <c r="B1387" t="str">
        <f t="shared" si="84"/>
        <v>Yŏnglè Zhèn (Xī'ān Shì)</v>
      </c>
      <c r="C1387" t="str">
        <f t="shared" si="85"/>
        <v>Yŏnglè Zhèn (Xī'ān Shì)</v>
      </c>
      <c r="D1387" t="s">
        <v>1004</v>
      </c>
      <c r="E1387" t="s">
        <v>7</v>
      </c>
      <c r="F1387" t="str">
        <f>_xlfn.CONCAT(D1387,", ",H1387,", ",I1387,", ","陕西省")</f>
        <v>永乐镇, 西咸新区, 西安市, 陕西省</v>
      </c>
      <c r="G1387">
        <v>31014</v>
      </c>
      <c r="H1387" t="s">
        <v>3167</v>
      </c>
      <c r="I1387" t="s">
        <v>3102</v>
      </c>
      <c r="J1387">
        <f>VLOOKUP(F1387,[1]!china_towns_second__2[[Column1]:[Y]],3,FALSE)</f>
        <v>34.533768297875099</v>
      </c>
      <c r="K1387">
        <f>VLOOKUP(F1387,[1]!china_towns_second__2[[Column1]:[Y]],2,FALSE)</f>
        <v>108.9362407</v>
      </c>
      <c r="L1387" t="s">
        <v>5504</v>
      </c>
      <c r="M1387" t="str">
        <f>VLOOKUP(H1387,CHOOSE({1,2},Table11[Native],Table11[Name]),2,0)</f>
        <v>Xīxián Xīnqū</v>
      </c>
      <c r="N1387" s="13" t="str">
        <f>VLOOKUP(I1387,CHOOSE({1,2},Table11[Native],Table11[Name]),2,0)</f>
        <v>Xī'ān Shì</v>
      </c>
      <c r="O1387" s="13" t="str">
        <f t="shared" si="86"/>
        <v>Yongle Zhen (Xi'an Shi) (Xī'ān Shì)</v>
      </c>
      <c r="P1387" s="13" t="str">
        <f t="shared" si="87"/>
        <v>Yongle Zhen (Xi'an Shi) (Xī'ān Shì)</v>
      </c>
    </row>
    <row r="1388" spans="1:16" hidden="1" x14ac:dyDescent="0.25">
      <c r="A1388" t="s">
        <v>303</v>
      </c>
      <c r="B1388" t="str">
        <f t="shared" si="84"/>
        <v>Yŏngníng Xiāng</v>
      </c>
      <c r="C1388" t="str">
        <f t="shared" si="85"/>
        <v>Yŏngníng Xiāng</v>
      </c>
      <c r="D1388" t="s">
        <v>304</v>
      </c>
      <c r="E1388" t="s">
        <v>11</v>
      </c>
      <c r="F1388" t="str">
        <f>_xlfn.CONCAT(D1388,", ",H1388,", ",I1388,", ","陕西省")</f>
        <v>永宁乡, 汉阴县, 安康市, 陕西省</v>
      </c>
      <c r="G1388">
        <v>13311</v>
      </c>
      <c r="H1388" t="s">
        <v>3036</v>
      </c>
      <c r="I1388" t="s">
        <v>3031</v>
      </c>
      <c r="J1388" t="e">
        <f>VLOOKUP(F1388,[1]!china_towns_second__2[[Column1]:[Y]],3,FALSE)</f>
        <v>#N/A</v>
      </c>
      <c r="K1388" t="e">
        <f>VLOOKUP(F1388,[1]!china_towns_second__2[[Column1]:[Y]],2,FALSE)</f>
        <v>#N/A</v>
      </c>
      <c r="L1388" t="s">
        <v>5505</v>
      </c>
      <c r="M1388" t="str">
        <f>VLOOKUP(H1388,CHOOSE({1,2},Table11[Native],Table11[Name]),2,0)</f>
        <v>Hànyīn Xiàn</v>
      </c>
      <c r="N1388" s="13" t="str">
        <f>VLOOKUP(I1388,CHOOSE({1,2},Table11[Native],Table11[Name]),2,0)</f>
        <v>Ānkāng Shì</v>
      </c>
      <c r="O1388" s="13" t="str">
        <f t="shared" si="86"/>
        <v>Yongning Xiang (Ānkāng Shì)</v>
      </c>
      <c r="P1388" s="13" t="str">
        <f t="shared" si="87"/>
        <v>Yongning Xiang (Ānkāng Shì)</v>
      </c>
    </row>
    <row r="1389" spans="1:16" hidden="1" x14ac:dyDescent="0.25">
      <c r="A1389" t="s">
        <v>2584</v>
      </c>
      <c r="B1389" t="str">
        <f t="shared" si="84"/>
        <v>Yŏngníng Zhèn</v>
      </c>
      <c r="C1389" t="str">
        <f t="shared" si="85"/>
        <v>Yŏngníng Zhèn</v>
      </c>
      <c r="D1389" t="s">
        <v>2585</v>
      </c>
      <c r="E1389" t="s">
        <v>7</v>
      </c>
      <c r="F1389" t="str">
        <f>_xlfn.CONCAT(D1389,", ",H1389,", ",I1389,", ","陕西省")</f>
        <v>永宁镇, 志丹县, 延安市, 陕西省</v>
      </c>
      <c r="G1389">
        <v>9533</v>
      </c>
      <c r="H1389" t="s">
        <v>3145</v>
      </c>
      <c r="I1389" t="s">
        <v>3133</v>
      </c>
      <c r="J1389">
        <f>VLOOKUP(F1389,[1]!china_towns_second__2[[Column1]:[Y]],3,FALSE)</f>
        <v>36.534001069076197</v>
      </c>
      <c r="K1389">
        <f>VLOOKUP(F1389,[1]!china_towns_second__2[[Column1]:[Y]],2,FALSE)</f>
        <v>108.7253728</v>
      </c>
      <c r="L1389" t="s">
        <v>5506</v>
      </c>
      <c r="M1389" t="str">
        <f>VLOOKUP(H1389,CHOOSE({1,2},Table11[Native],Table11[Name]),2,0)</f>
        <v>Zhìdān Xiàn</v>
      </c>
      <c r="N1389" s="13" t="str">
        <f>VLOOKUP(I1389,CHOOSE({1,2},Table11[Native],Table11[Name]),2,0)</f>
        <v>Yán'ān Shì</v>
      </c>
      <c r="O1389" s="13" t="str">
        <f t="shared" si="86"/>
        <v>Yongning Zhen (Yán'ān Shì)</v>
      </c>
      <c r="P1389" s="13" t="str">
        <f t="shared" si="87"/>
        <v>Yongning Zhen (Yán'ān Shì)</v>
      </c>
    </row>
    <row r="1390" spans="1:16" hidden="1" x14ac:dyDescent="0.25">
      <c r="A1390" t="s">
        <v>1932</v>
      </c>
      <c r="B1390" t="str">
        <f t="shared" si="84"/>
        <v>Yŏngpíng Zhèn</v>
      </c>
      <c r="C1390" t="str">
        <f t="shared" si="85"/>
        <v>Yŏngpíng Zhèn</v>
      </c>
      <c r="D1390" t="s">
        <v>1933</v>
      </c>
      <c r="E1390" t="s">
        <v>7</v>
      </c>
      <c r="F1390" t="str">
        <f>_xlfn.CONCAT(D1390,", ",H1390,", ",I1390,", ","陕西省")</f>
        <v>永平镇, 永寿县, 咸阳市, 陕西省</v>
      </c>
      <c r="G1390">
        <v>4695</v>
      </c>
      <c r="H1390" t="s">
        <v>3131</v>
      </c>
      <c r="I1390" t="s">
        <v>3117</v>
      </c>
      <c r="J1390">
        <f>VLOOKUP(F1390,[1]!china_towns_second__2[[Column1]:[Y]],3,FALSE)</f>
        <v>34.842513345716597</v>
      </c>
      <c r="K1390">
        <f>VLOOKUP(F1390,[1]!china_towns_second__2[[Column1]:[Y]],2,FALSE)</f>
        <v>108.0283718</v>
      </c>
      <c r="L1390" t="s">
        <v>5507</v>
      </c>
      <c r="M1390" t="str">
        <f>VLOOKUP(H1390,CHOOSE({1,2},Table11[Native],Table11[Name]),2,0)</f>
        <v>Yŏngshòu Xiàn</v>
      </c>
      <c r="N1390" s="13" t="str">
        <f>VLOOKUP(I1390,CHOOSE({1,2},Table11[Native],Table11[Name]),2,0)</f>
        <v>Xiányáng Shì</v>
      </c>
      <c r="O1390" s="13" t="str">
        <f t="shared" si="86"/>
        <v>Yongping Zhen (Xiányáng Shì)</v>
      </c>
      <c r="P1390" s="13" t="str">
        <f t="shared" si="87"/>
        <v>Yongping Zhen (Xiányáng Shì)</v>
      </c>
    </row>
    <row r="1391" spans="1:16" hidden="1" x14ac:dyDescent="0.25">
      <c r="A1391" t="s">
        <v>2586</v>
      </c>
      <c r="B1391" t="str">
        <f t="shared" si="84"/>
        <v>Yŏngpíng Zhèn [incl. Gāojiātún Xiāng, Féngjiāpíng Xiāng]</v>
      </c>
      <c r="C1391" t="str">
        <f t="shared" si="85"/>
        <v>Yŏngpíng Zhèn [incl. Gāojiātún Xiāng, Féngjiāpíng Xiāng]</v>
      </c>
      <c r="D1391" t="s">
        <v>2587</v>
      </c>
      <c r="E1391" t="s">
        <v>7</v>
      </c>
      <c r="F1391" t="str">
        <f>_xlfn.CONCAT(D1391,", ",H1391,", ",I1391,", ","陕西省")</f>
        <v>永坪镇, 延川县, 延安市, 陕西省</v>
      </c>
      <c r="G1391">
        <v>47990</v>
      </c>
      <c r="H1391" t="s">
        <v>3143</v>
      </c>
      <c r="I1391" t="s">
        <v>3133</v>
      </c>
      <c r="J1391">
        <f>VLOOKUP(F1391,[1]!china_towns_second__2[[Column1]:[Y]],3,FALSE)</f>
        <v>36.978025838850201</v>
      </c>
      <c r="K1391">
        <f>VLOOKUP(F1391,[1]!china_towns_second__2[[Column1]:[Y]],2,FALSE)</f>
        <v>109.77817520000001</v>
      </c>
      <c r="L1391" t="s">
        <v>5508</v>
      </c>
      <c r="M1391" t="str">
        <f>VLOOKUP(H1391,CHOOSE({1,2},Table11[Native],Table11[Name]),2,0)</f>
        <v>Yánchuān Xiàn</v>
      </c>
      <c r="N1391" s="13" t="str">
        <f>VLOOKUP(I1391,CHOOSE({1,2},Table11[Native],Table11[Name]),2,0)</f>
        <v>Yán'ān Shì</v>
      </c>
      <c r="O1391" s="13" t="str">
        <f t="shared" si="86"/>
        <v>Yongping Zhen [incl. Gaojiatun Xiang, Fengjiaping Xiang] (Yán'ān Shì)</v>
      </c>
      <c r="P1391" s="13" t="str">
        <f t="shared" si="87"/>
        <v>Yongping Zhen [incl. Gaojiatun Xiang, Fengjiaping Xiang] (Yán'ān Shì)</v>
      </c>
    </row>
    <row r="1392" spans="1:16" hidden="1" x14ac:dyDescent="0.25">
      <c r="A1392" t="s">
        <v>2588</v>
      </c>
      <c r="B1392" t="str">
        <f t="shared" si="84"/>
        <v>Yŏngxiāng Zhèn [incl. Huángzhāng Xiāng]</v>
      </c>
      <c r="C1392" t="str">
        <f t="shared" si="85"/>
        <v>Yŏngxiāng Zhèn [incl. Huángzhāng Xiāng]</v>
      </c>
      <c r="D1392" t="s">
        <v>2589</v>
      </c>
      <c r="E1392" t="s">
        <v>7</v>
      </c>
      <c r="F1392" t="str">
        <f>_xlfn.CONCAT(D1392,", ",H1392,", ",I1392,", ","陕西省")</f>
        <v>永乡镇, 洛川县, 延安市, 陕西省</v>
      </c>
      <c r="G1392">
        <v>21579</v>
      </c>
      <c r="H1392" t="s">
        <v>3140</v>
      </c>
      <c r="I1392" t="s">
        <v>3133</v>
      </c>
      <c r="J1392">
        <f>VLOOKUP(F1392,[1]!china_towns_second__2[[Column1]:[Y]],3,FALSE)</f>
        <v>35.818782820112901</v>
      </c>
      <c r="K1392">
        <f>VLOOKUP(F1392,[1]!china_towns_second__2[[Column1]:[Y]],2,FALSE)</f>
        <v>109.44742119999999</v>
      </c>
      <c r="L1392" t="s">
        <v>5509</v>
      </c>
      <c r="M1392" t="str">
        <f>VLOOKUP(H1392,CHOOSE({1,2},Table11[Native],Table11[Name]),2,0)</f>
        <v>Luòchuān Xiàn</v>
      </c>
      <c r="N1392" s="13" t="str">
        <f>VLOOKUP(I1392,CHOOSE({1,2},Table11[Native],Table11[Name]),2,0)</f>
        <v>Yán'ān Shì</v>
      </c>
      <c r="O1392" s="13" t="str">
        <f t="shared" si="86"/>
        <v>Yongxiang Zhen [incl. Huangzhang Xiang] (Yán'ān Shì)</v>
      </c>
      <c r="P1392" s="13" t="str">
        <f t="shared" si="87"/>
        <v>Yongxiang Zhen [incl. Huangzhang Xiang] (Yán'ān Shì)</v>
      </c>
    </row>
    <row r="1393" spans="1:16" hidden="1" x14ac:dyDescent="0.25">
      <c r="A1393" t="s">
        <v>2981</v>
      </c>
      <c r="B1393" t="str">
        <f t="shared" si="84"/>
        <v>Yóufángzhuāng Xiāng</v>
      </c>
      <c r="C1393" t="str">
        <f t="shared" si="85"/>
        <v>Yóufángzhuāng Xiāng</v>
      </c>
      <c r="D1393" t="s">
        <v>2982</v>
      </c>
      <c r="E1393" t="s">
        <v>11</v>
      </c>
      <c r="F1393" t="str">
        <f>_xlfn.CONCAT(D1393,", ",H1393,", ",I1393,", ","陕西省")</f>
        <v>油房庄乡, 定边县, 榆林市, 陕西省</v>
      </c>
      <c r="G1393">
        <v>8533</v>
      </c>
      <c r="H1393" t="s">
        <v>3149</v>
      </c>
      <c r="I1393" t="s">
        <v>3148</v>
      </c>
      <c r="J1393" t="e">
        <f>VLOOKUP(F1393,[1]!china_towns_second__2[[Column1]:[Y]],3,FALSE)</f>
        <v>#N/A</v>
      </c>
      <c r="K1393" t="e">
        <f>VLOOKUP(F1393,[1]!china_towns_second__2[[Column1]:[Y]],2,FALSE)</f>
        <v>#N/A</v>
      </c>
      <c r="L1393" t="s">
        <v>5510</v>
      </c>
      <c r="M1393" t="str">
        <f>VLOOKUP(H1393,CHOOSE({1,2},Table11[Native],Table11[Name]),2,0)</f>
        <v>Dìngbiān Xiàn</v>
      </c>
      <c r="N1393" s="13" t="str">
        <f>VLOOKUP(I1393,CHOOSE({1,2},Table11[Native],Table11[Name]),2,0)</f>
        <v>Yúlín Shì</v>
      </c>
      <c r="O1393" s="13" t="str">
        <f t="shared" si="86"/>
        <v>Youfangzhuang Xiang (Yúlín Shì)</v>
      </c>
      <c r="P1393" s="13" t="str">
        <f t="shared" si="87"/>
        <v>Youfangzhuang Xiang (Yúlín Shì)</v>
      </c>
    </row>
    <row r="1394" spans="1:16" hidden="1" x14ac:dyDescent="0.25">
      <c r="A1394" t="s">
        <v>1934</v>
      </c>
      <c r="B1394" t="str">
        <f t="shared" si="84"/>
        <v>Yóufèng Zhèn</v>
      </c>
      <c r="C1394" t="str">
        <f t="shared" si="85"/>
        <v>Yóufèng Zhèn</v>
      </c>
      <c r="D1394" t="s">
        <v>1935</v>
      </c>
      <c r="E1394" t="s">
        <v>7</v>
      </c>
      <c r="F1394" t="str">
        <f>_xlfn.CONCAT(D1394,", ",H1394,", ",I1394,", ","陕西省")</f>
        <v>游凤镇, 武功县, 咸阳市, 陕西省</v>
      </c>
      <c r="G1394">
        <v>19077</v>
      </c>
      <c r="H1394" t="s">
        <v>3127</v>
      </c>
      <c r="I1394" t="s">
        <v>3117</v>
      </c>
      <c r="J1394">
        <f>VLOOKUP(F1394,[1]!china_towns_second__2[[Column1]:[Y]],3,FALSE)</f>
        <v>34.394618769764399</v>
      </c>
      <c r="K1394">
        <f>VLOOKUP(F1394,[1]!china_towns_second__2[[Column1]:[Y]],2,FALSE)</f>
        <v>108.046069</v>
      </c>
      <c r="L1394" t="s">
        <v>5511</v>
      </c>
      <c r="M1394" t="str">
        <f>VLOOKUP(H1394,CHOOSE({1,2},Table11[Native],Table11[Name]),2,0)</f>
        <v>Wŭgōng Xiàn</v>
      </c>
      <c r="N1394" s="13" t="str">
        <f>VLOOKUP(I1394,CHOOSE({1,2},Table11[Native],Table11[Name]),2,0)</f>
        <v>Xiányáng Shì</v>
      </c>
      <c r="O1394" s="13" t="str">
        <f t="shared" si="86"/>
        <v>Youfeng Zhen (Xiányáng Shì)</v>
      </c>
      <c r="P1394" s="13" t="str">
        <f t="shared" si="87"/>
        <v>Youfeng Zhen (Xiányáng Shì)</v>
      </c>
    </row>
    <row r="1395" spans="1:16" hidden="1" x14ac:dyDescent="0.25">
      <c r="A1395" t="s">
        <v>2288</v>
      </c>
      <c r="B1395" t="str">
        <f t="shared" si="84"/>
        <v>Yóuhuái Jiēdào</v>
      </c>
      <c r="C1395" t="str">
        <f t="shared" si="85"/>
        <v>Yóuhuái Jiēdào</v>
      </c>
      <c r="D1395" t="s">
        <v>2289</v>
      </c>
      <c r="E1395" t="s">
        <v>113</v>
      </c>
      <c r="F1395" t="str">
        <f>_xlfn.CONCAT(D1395,", ",H1395,", ",I1395,", ","陕西省")</f>
        <v>油槐街道, 临潼区, 西安市, 陕西省</v>
      </c>
      <c r="G1395">
        <v>23321</v>
      </c>
      <c r="H1395" t="s">
        <v>3110</v>
      </c>
      <c r="I1395" t="s">
        <v>3102</v>
      </c>
      <c r="J1395">
        <f>VLOOKUP(F1395,[1]!china_towns_second__2[[Column1]:[Y]],3,FALSE)</f>
        <v>34.559884573572504</v>
      </c>
      <c r="K1395">
        <f>VLOOKUP(F1395,[1]!china_towns_second__2[[Column1]:[Y]],2,FALSE)</f>
        <v>109.3834955</v>
      </c>
      <c r="L1395" t="s">
        <v>5512</v>
      </c>
      <c r="M1395" t="str">
        <f>VLOOKUP(H1395,CHOOSE({1,2},Table11[Native],Table11[Name]),2,0)</f>
        <v>Líntóng Qū</v>
      </c>
      <c r="N1395" s="13" t="str">
        <f>VLOOKUP(I1395,CHOOSE({1,2},Table11[Native],Table11[Name]),2,0)</f>
        <v>Xī'ān Shì</v>
      </c>
      <c r="O1395" s="13" t="str">
        <f t="shared" si="86"/>
        <v>Youhuai Jiedao (Xī'ān Shì)</v>
      </c>
      <c r="P1395" s="13" t="str">
        <f t="shared" si="87"/>
        <v>Youhuai Jiedao (Xī'ān Shì)</v>
      </c>
    </row>
    <row r="1396" spans="1:16" hidden="1" x14ac:dyDescent="0.25">
      <c r="A1396" t="s">
        <v>1005</v>
      </c>
      <c r="B1396" t="str">
        <f t="shared" si="84"/>
        <v>Yuándūn Zhèn</v>
      </c>
      <c r="C1396" t="str">
        <f t="shared" si="85"/>
        <v>Yuándūn Zhèn</v>
      </c>
      <c r="D1396" t="s">
        <v>1006</v>
      </c>
      <c r="E1396" t="s">
        <v>7</v>
      </c>
      <c r="F1396" t="str">
        <f>_xlfn.CONCAT(D1396,", ",H1396,", ",I1396,", ","陕西省")</f>
        <v>元墩镇, 勉县, 汉中市, 陕西省</v>
      </c>
      <c r="G1396">
        <v>12710</v>
      </c>
      <c r="H1396" t="s">
        <v>3065</v>
      </c>
      <c r="I1396" t="s">
        <v>3059</v>
      </c>
      <c r="J1396">
        <f>VLOOKUP(F1396,[1]!china_towns_second__2[[Column1]:[Y]],3,FALSE)</f>
        <v>33.035500050281598</v>
      </c>
      <c r="K1396">
        <f>VLOOKUP(F1396,[1]!china_towns_second__2[[Column1]:[Y]],2,FALSE)</f>
        <v>106.60040720000001</v>
      </c>
      <c r="L1396" t="s">
        <v>5513</v>
      </c>
      <c r="M1396" t="str">
        <f>VLOOKUP(H1396,CHOOSE({1,2},Table11[Native],Table11[Name]),2,0)</f>
        <v>Miăn Xiàn</v>
      </c>
      <c r="N1396" s="13" t="str">
        <f>VLOOKUP(I1396,CHOOSE({1,2},Table11[Native],Table11[Name]),2,0)</f>
        <v>Hànzhōng Shì</v>
      </c>
      <c r="O1396" s="13" t="str">
        <f t="shared" si="86"/>
        <v>Yuandun Zhen (Hànzhōng Shì)</v>
      </c>
      <c r="P1396" s="13" t="str">
        <f t="shared" si="87"/>
        <v>Yuandun Zhen (Hànzhōng Shì)</v>
      </c>
    </row>
    <row r="1397" spans="1:16" hidden="1" x14ac:dyDescent="0.25">
      <c r="A1397" t="s">
        <v>1007</v>
      </c>
      <c r="B1397" t="str">
        <f t="shared" si="84"/>
        <v>Yuángōng Zhèn</v>
      </c>
      <c r="C1397" t="str">
        <f t="shared" si="85"/>
        <v>Yuángōng Zhèn</v>
      </c>
      <c r="D1397" t="s">
        <v>1008</v>
      </c>
      <c r="E1397" t="s">
        <v>7</v>
      </c>
      <c r="F1397" t="str">
        <f>_xlfn.CONCAT(D1397,", ",H1397,", ",I1397,", ","陕西省")</f>
        <v>原公镇, 城固县, 汉中市, 陕西省</v>
      </c>
      <c r="G1397">
        <v>18859</v>
      </c>
      <c r="H1397" t="s">
        <v>3060</v>
      </c>
      <c r="I1397" t="s">
        <v>3059</v>
      </c>
      <c r="J1397">
        <f>VLOOKUP(F1397,[1]!china_towns_second__2[[Column1]:[Y]],3,FALSE)</f>
        <v>33.238246890863003</v>
      </c>
      <c r="K1397">
        <f>VLOOKUP(F1397,[1]!china_towns_second__2[[Column1]:[Y]],2,FALSE)</f>
        <v>107.3127303</v>
      </c>
      <c r="L1397" t="s">
        <v>5514</v>
      </c>
      <c r="M1397" t="str">
        <f>VLOOKUP(H1397,CHOOSE({1,2},Table11[Native],Table11[Name]),2,0)</f>
        <v>Chénggù Xiàn</v>
      </c>
      <c r="N1397" s="13" t="str">
        <f>VLOOKUP(I1397,CHOOSE({1,2},Table11[Native],Table11[Name]),2,0)</f>
        <v>Hànzhōng Shì</v>
      </c>
      <c r="O1397" s="13" t="str">
        <f t="shared" si="86"/>
        <v>Yuangong Zhen (Hànzhōng Shì)</v>
      </c>
      <c r="P1397" s="13" t="str">
        <f t="shared" si="87"/>
        <v>Yuangong Zhen (Hànzhōng Shì)</v>
      </c>
    </row>
    <row r="1398" spans="1:16" hidden="1" x14ac:dyDescent="0.25">
      <c r="A1398" t="s">
        <v>1009</v>
      </c>
      <c r="B1398" t="str">
        <f t="shared" si="84"/>
        <v>Yuánjiāzhuāng Jiēdào</v>
      </c>
      <c r="C1398" t="str">
        <f t="shared" si="85"/>
        <v>Yuánjiāzhuāng Jiēdào</v>
      </c>
      <c r="D1398" t="s">
        <v>1010</v>
      </c>
      <c r="E1398" t="s">
        <v>113</v>
      </c>
      <c r="F1398" t="str">
        <f>_xlfn.CONCAT(D1398,", ",H1398,", ",I1398,", ","陕西省")</f>
        <v>袁家庄街道, 佛坪县, 汉中市, 陕西省</v>
      </c>
      <c r="G1398">
        <v>10529</v>
      </c>
      <c r="H1398" t="s">
        <v>3061</v>
      </c>
      <c r="I1398" t="s">
        <v>3059</v>
      </c>
      <c r="J1398" t="e">
        <f>VLOOKUP(F1398,[1]!china_towns_second__2[[Column1]:[Y]],3,FALSE)</f>
        <v>#N/A</v>
      </c>
      <c r="K1398" t="e">
        <f>VLOOKUP(F1398,[1]!china_towns_second__2[[Column1]:[Y]],2,FALSE)</f>
        <v>#N/A</v>
      </c>
      <c r="L1398" t="s">
        <v>5515</v>
      </c>
      <c r="M1398" t="str">
        <f>VLOOKUP(H1398,CHOOSE({1,2},Table11[Native],Table11[Name]),2,0)</f>
        <v>Fópíng Xiàn</v>
      </c>
      <c r="N1398" s="13" t="str">
        <f>VLOOKUP(I1398,CHOOSE({1,2},Table11[Native],Table11[Name]),2,0)</f>
        <v>Hànzhōng Shì</v>
      </c>
      <c r="O1398" s="13" t="str">
        <f t="shared" si="86"/>
        <v>Yuanjiazhuang Jiedao (Hànzhōng Shì)</v>
      </c>
      <c r="P1398" s="13" t="str">
        <f t="shared" si="87"/>
        <v>Yuanjiazhuang Jiedao (Hànzhōng Shì)</v>
      </c>
    </row>
    <row r="1399" spans="1:16" hidden="1" x14ac:dyDescent="0.25">
      <c r="A1399" t="s">
        <v>2590</v>
      </c>
      <c r="B1399" t="str">
        <f t="shared" si="84"/>
        <v>Yuánlóngsì Xiāng</v>
      </c>
      <c r="C1399" t="str">
        <f t="shared" si="85"/>
        <v>Yuánlóngsì Xiāng</v>
      </c>
      <c r="D1399" t="s">
        <v>2591</v>
      </c>
      <c r="E1399" t="s">
        <v>11</v>
      </c>
      <c r="F1399" t="str">
        <f>_xlfn.CONCAT(D1399,", ",H1399,", ",I1399,", ","陕西省")</f>
        <v>元龙寺乡, 宝塔区, 延安市, 陕西省</v>
      </c>
      <c r="G1399">
        <v>4184</v>
      </c>
      <c r="H1399" t="s">
        <v>3135</v>
      </c>
      <c r="I1399" t="s">
        <v>3133</v>
      </c>
      <c r="J1399" t="e">
        <f>VLOOKUP(F1399,[1]!china_towns_second__2[[Column1]:[Y]],3,FALSE)</f>
        <v>#N/A</v>
      </c>
      <c r="K1399" t="e">
        <f>VLOOKUP(F1399,[1]!china_towns_second__2[[Column1]:[Y]],2,FALSE)</f>
        <v>#N/A</v>
      </c>
      <c r="L1399" t="s">
        <v>5516</v>
      </c>
      <c r="M1399" t="str">
        <f>VLOOKUP(H1399,CHOOSE({1,2},Table11[Native],Table11[Name]),2,0)</f>
        <v>Băotă Qū</v>
      </c>
      <c r="N1399" s="13" t="str">
        <f>VLOOKUP(I1399,CHOOSE({1,2},Table11[Native],Table11[Name]),2,0)</f>
        <v>Yán'ān Shì</v>
      </c>
      <c r="O1399" s="13" t="str">
        <f t="shared" si="86"/>
        <v>Yuanlongsi Xiang (Yán'ān Shì)</v>
      </c>
      <c r="P1399" s="13" t="str">
        <f t="shared" si="87"/>
        <v>Yuanlongsi Xiang (Yán'ān Shì)</v>
      </c>
    </row>
    <row r="1400" spans="1:16" hidden="1" x14ac:dyDescent="0.25">
      <c r="A1400" t="s">
        <v>1683</v>
      </c>
      <c r="B1400" t="str">
        <f t="shared" si="84"/>
        <v>Yuánrèn Xiāng</v>
      </c>
      <c r="C1400" t="str">
        <f t="shared" si="85"/>
        <v>Yuánrèn Xiāng</v>
      </c>
      <c r="D1400" t="s">
        <v>1684</v>
      </c>
      <c r="E1400" t="s">
        <v>11</v>
      </c>
      <c r="F1400" t="str">
        <f>_xlfn.CONCAT(D1400,", ",H1400,", ",I1400,", ","陕西省")</f>
        <v>原任乡, 蒲城县, 渭南市, 陕西省</v>
      </c>
      <c r="G1400">
        <v>17820</v>
      </c>
      <c r="H1400" t="s">
        <v>3098</v>
      </c>
      <c r="I1400" t="s">
        <v>3087</v>
      </c>
      <c r="J1400" t="e">
        <f>VLOOKUP(F1400,[1]!china_towns_second__2[[Column1]:[Y]],3,FALSE)</f>
        <v>#N/A</v>
      </c>
      <c r="K1400" t="e">
        <f>VLOOKUP(F1400,[1]!china_towns_second__2[[Column1]:[Y]],2,FALSE)</f>
        <v>#N/A</v>
      </c>
      <c r="L1400" t="s">
        <v>5517</v>
      </c>
      <c r="M1400" t="str">
        <f>VLOOKUP(H1400,CHOOSE({1,2},Table11[Native],Table11[Name]),2,0)</f>
        <v>Púchéng Xiàn</v>
      </c>
      <c r="N1400" s="13" t="str">
        <f>VLOOKUP(I1400,CHOOSE({1,2},Table11[Native],Table11[Name]),2,0)</f>
        <v>Wèinán Shì</v>
      </c>
      <c r="O1400" s="13" t="str">
        <f t="shared" si="86"/>
        <v>Yuanren Xiang (Wèinán Shì)</v>
      </c>
      <c r="P1400" s="13" t="str">
        <f t="shared" si="87"/>
        <v>Yuanren Xiang (Wèinán Shì)</v>
      </c>
    </row>
    <row r="1401" spans="1:16" hidden="1" x14ac:dyDescent="0.25">
      <c r="A1401" t="s">
        <v>2290</v>
      </c>
      <c r="B1401" t="str">
        <f t="shared" si="84"/>
        <v>Yùchán Jiēdào [incl. Tiānqiáo Xiāng]</v>
      </c>
      <c r="C1401" t="str">
        <f t="shared" si="85"/>
        <v>Yùchán Jiēdào [incl. Tiānqiáo Xiāng]</v>
      </c>
      <c r="D1401" t="s">
        <v>2291</v>
      </c>
      <c r="E1401" t="s">
        <v>113</v>
      </c>
      <c r="F1401" t="str">
        <f>_xlfn.CONCAT(D1401,", ",H1401,", ",I1401,", ","陕西省")</f>
        <v>玉蝉街道, 鄠邑区, 西安市, 陕西省</v>
      </c>
      <c r="G1401">
        <v>39270</v>
      </c>
      <c r="H1401" t="s">
        <v>3107</v>
      </c>
      <c r="I1401" t="s">
        <v>3102</v>
      </c>
      <c r="J1401" t="e">
        <f>VLOOKUP(F1401,[1]!china_towns_second__2[[Column1]:[Y]],3,FALSE)</f>
        <v>#N/A</v>
      </c>
      <c r="K1401" t="e">
        <f>VLOOKUP(F1401,[1]!china_towns_second__2[[Column1]:[Y]],2,FALSE)</f>
        <v>#N/A</v>
      </c>
      <c r="L1401" t="s">
        <v>5518</v>
      </c>
      <c r="M1401" t="str">
        <f>VLOOKUP(H1401,CHOOSE({1,2},Table11[Native],Table11[Name]),2,0)</f>
        <v>Hùyì Qū</v>
      </c>
      <c r="N1401" s="13" t="str">
        <f>VLOOKUP(I1401,CHOOSE({1,2},Table11[Native],Table11[Name]),2,0)</f>
        <v>Xī'ān Shì</v>
      </c>
      <c r="O1401" s="13" t="str">
        <f t="shared" si="86"/>
        <v>Yuchan Jiedao [incl. Tianqiao Xiang] (Xī'ān Shì)</v>
      </c>
      <c r="P1401" s="13" t="str">
        <f t="shared" si="87"/>
        <v>Yuchan Jiedao [incl. Tianqiao Xiang] (Xī'ān Shì)</v>
      </c>
    </row>
    <row r="1402" spans="1:16" hidden="1" x14ac:dyDescent="0.25">
      <c r="A1402" t="s">
        <v>1011</v>
      </c>
      <c r="B1402" t="str">
        <f t="shared" si="84"/>
        <v>Yúdòngzi Xiāng</v>
      </c>
      <c r="C1402" t="str">
        <f t="shared" si="85"/>
        <v>Yúdòngzi Xiāng</v>
      </c>
      <c r="D1402" t="s">
        <v>1012</v>
      </c>
      <c r="E1402" t="s">
        <v>11</v>
      </c>
      <c r="F1402" t="str">
        <f>_xlfn.CONCAT(D1402,", ",H1402,", ",I1402,", ","陕西省")</f>
        <v>鱼洞子乡, 略阳县, 汉中市, 陕西省</v>
      </c>
      <c r="G1402">
        <v>6794</v>
      </c>
      <c r="H1402" t="s">
        <v>3064</v>
      </c>
      <c r="I1402" t="s">
        <v>3059</v>
      </c>
      <c r="J1402" t="e">
        <f>VLOOKUP(F1402,[1]!china_towns_second__2[[Column1]:[Y]],3,FALSE)</f>
        <v>#N/A</v>
      </c>
      <c r="K1402" t="e">
        <f>VLOOKUP(F1402,[1]!china_towns_second__2[[Column1]:[Y]],2,FALSE)</f>
        <v>#N/A</v>
      </c>
      <c r="L1402" t="s">
        <v>5519</v>
      </c>
      <c r="M1402" t="str">
        <f>VLOOKUP(H1402,CHOOSE({1,2},Table11[Native],Table11[Name]),2,0)</f>
        <v>Lüèyáng Xiàn</v>
      </c>
      <c r="N1402" s="13" t="str">
        <f>VLOOKUP(I1402,CHOOSE({1,2},Table11[Native],Table11[Name]),2,0)</f>
        <v>Hànzhōng Shì</v>
      </c>
      <c r="O1402" s="13" t="str">
        <f t="shared" si="86"/>
        <v>Yudongzi Xiang (Hànzhōng Shì)</v>
      </c>
      <c r="P1402" s="13" t="str">
        <f t="shared" si="87"/>
        <v>Yudongzi Xiang (Hànzhōng Shì)</v>
      </c>
    </row>
    <row r="1403" spans="1:16" hidden="1" x14ac:dyDescent="0.25">
      <c r="A1403" t="s">
        <v>1013</v>
      </c>
      <c r="B1403" t="str">
        <f t="shared" si="84"/>
        <v>Yúdù Zhèn</v>
      </c>
      <c r="C1403" t="str">
        <f t="shared" si="85"/>
        <v>Yúdù Zhèn</v>
      </c>
      <c r="D1403" t="s">
        <v>1014</v>
      </c>
      <c r="E1403" t="s">
        <v>7</v>
      </c>
      <c r="F1403" t="str">
        <f>_xlfn.CONCAT(D1403,", ",H1403,", ",I1403,", ","陕西省")</f>
        <v>渔渡镇, 镇巴县, 汉中市, 陕西省</v>
      </c>
      <c r="G1403">
        <v>12433</v>
      </c>
      <c r="H1403" t="s">
        <v>3070</v>
      </c>
      <c r="I1403" t="s">
        <v>3059</v>
      </c>
      <c r="J1403">
        <f>VLOOKUP(F1403,[1]!china_towns_second__2[[Column1]:[Y]],3,FALSE)</f>
        <v>32.344092720886202</v>
      </c>
      <c r="K1403">
        <f>VLOOKUP(F1403,[1]!china_towns_second__2[[Column1]:[Y]],2,FALSE)</f>
        <v>107.95940640000001</v>
      </c>
      <c r="L1403" t="s">
        <v>5520</v>
      </c>
      <c r="M1403" t="str">
        <f>VLOOKUP(H1403,CHOOSE({1,2},Table11[Native],Table11[Name]),2,0)</f>
        <v>Zhènbā Xiàn</v>
      </c>
      <c r="N1403" s="13" t="str">
        <f>VLOOKUP(I1403,CHOOSE({1,2},Table11[Native],Table11[Name]),2,0)</f>
        <v>Hànzhōng Shì</v>
      </c>
      <c r="O1403" s="13" t="str">
        <f t="shared" si="86"/>
        <v>Yudu Zhen (Hànzhōng Shì)</v>
      </c>
      <c r="P1403" s="13" t="str">
        <f t="shared" si="87"/>
        <v>Yudu Zhen (Hànzhōng Shì)</v>
      </c>
    </row>
    <row r="1404" spans="1:16" hidden="1" x14ac:dyDescent="0.25">
      <c r="A1404" t="s">
        <v>1015</v>
      </c>
      <c r="B1404" t="str">
        <f t="shared" si="84"/>
        <v>Yuèbà Zhèn</v>
      </c>
      <c r="C1404" t="str">
        <f t="shared" si="85"/>
        <v>Yuèbà Zhèn</v>
      </c>
      <c r="D1404" t="s">
        <v>1016</v>
      </c>
      <c r="E1404" t="s">
        <v>7</v>
      </c>
      <c r="F1404" t="str">
        <f>_xlfn.CONCAT(D1404,", ",H1404,", ",I1404,", ","陕西省")</f>
        <v>岳坝镇, 佛坪县, 汉中市, 陕西省</v>
      </c>
      <c r="G1404">
        <v>1488</v>
      </c>
      <c r="H1404" t="s">
        <v>3061</v>
      </c>
      <c r="I1404" t="s">
        <v>3059</v>
      </c>
      <c r="J1404">
        <f>VLOOKUP(F1404,[1]!china_towns_second__2[[Column1]:[Y]],3,FALSE)</f>
        <v>33.580151931013198</v>
      </c>
      <c r="K1404">
        <f>VLOOKUP(F1404,[1]!china_towns_second__2[[Column1]:[Y]],2,FALSE)</f>
        <v>107.80433429999999</v>
      </c>
      <c r="L1404" t="s">
        <v>5521</v>
      </c>
      <c r="M1404" t="str">
        <f>VLOOKUP(H1404,CHOOSE({1,2},Table11[Native],Table11[Name]),2,0)</f>
        <v>Fópíng Xiàn</v>
      </c>
      <c r="N1404" s="13" t="str">
        <f>VLOOKUP(I1404,CHOOSE({1,2},Table11[Native],Table11[Name]),2,0)</f>
        <v>Hànzhōng Shì</v>
      </c>
      <c r="O1404" s="13" t="str">
        <f t="shared" si="86"/>
        <v>Yueba Zhen (Hànzhōng Shì)</v>
      </c>
      <c r="P1404" s="13" t="str">
        <f t="shared" si="87"/>
        <v>Yueba Zhen (Hànzhōng Shì)</v>
      </c>
    </row>
    <row r="1405" spans="1:16" hidden="1" x14ac:dyDescent="0.25">
      <c r="A1405" t="s">
        <v>1276</v>
      </c>
      <c r="B1405" t="str">
        <f t="shared" si="84"/>
        <v>Yuèhé Zhèn [incl. Dōngchuān Zhèn]</v>
      </c>
      <c r="C1405" t="str">
        <f t="shared" si="85"/>
        <v>Yuèhé Zhèn [incl. Dōngchuān Zhèn]</v>
      </c>
      <c r="D1405" t="s">
        <v>1277</v>
      </c>
      <c r="E1405" t="s">
        <v>7</v>
      </c>
      <c r="F1405" t="str">
        <f>_xlfn.CONCAT(D1405,", ",H1405,", ",I1405,", ","陕西省")</f>
        <v>月河镇, 镇安县, 商洛市, 陕西省</v>
      </c>
      <c r="G1405">
        <v>7125</v>
      </c>
      <c r="H1405" t="s">
        <v>3079</v>
      </c>
      <c r="I1405" t="s">
        <v>3072</v>
      </c>
      <c r="J1405">
        <f>VLOOKUP(F1405,[1]!china_towns_second__2[[Column1]:[Y]],3,FALSE)</f>
        <v>33.504483850195797</v>
      </c>
      <c r="K1405">
        <f>VLOOKUP(F1405,[1]!china_towns_second__2[[Column1]:[Y]],2,FALSE)</f>
        <v>108.71077029999999</v>
      </c>
      <c r="L1405" t="s">
        <v>5522</v>
      </c>
      <c r="M1405" t="str">
        <f>VLOOKUP(H1405,CHOOSE({1,2},Table11[Native],Table11[Name]),2,0)</f>
        <v>Zhèn'ān Xiàn</v>
      </c>
      <c r="N1405" s="13" t="str">
        <f>VLOOKUP(I1405,CHOOSE({1,2},Table11[Native],Table11[Name]),2,0)</f>
        <v>Shāngluò Shì</v>
      </c>
      <c r="O1405" s="13" t="str">
        <f t="shared" si="86"/>
        <v>Yuehe Zhen [incl. Dongchuan Zhen] (Shāngluò Shì)</v>
      </c>
      <c r="P1405" s="13" t="str">
        <f t="shared" si="87"/>
        <v>Yuehe Zhen [incl. Dongchuan Zhen] (Shāngluò Shì)</v>
      </c>
    </row>
    <row r="1406" spans="1:16" hidden="1" x14ac:dyDescent="0.25">
      <c r="A1406" t="s">
        <v>1685</v>
      </c>
      <c r="B1406" t="str">
        <f t="shared" si="84"/>
        <v>Yuèmiào Jiēdào</v>
      </c>
      <c r="C1406" t="str">
        <f t="shared" si="85"/>
        <v>Yuèmiào Jiēdào</v>
      </c>
      <c r="D1406" t="s">
        <v>1686</v>
      </c>
      <c r="E1406" t="s">
        <v>113</v>
      </c>
      <c r="F1406" t="str">
        <f>_xlfn.CONCAT(D1406,", ",H1406,", ",I1406,", ","陕西省")</f>
        <v>岳庙街道, 华阴市, 渭南市, 陕西省</v>
      </c>
      <c r="G1406">
        <v>28067</v>
      </c>
      <c r="H1406" t="s">
        <v>3095</v>
      </c>
      <c r="I1406" t="s">
        <v>3087</v>
      </c>
      <c r="J1406">
        <f>VLOOKUP(F1406,[1]!china_towns_second__2[[Column1]:[Y]],3,FALSE)</f>
        <v>34.5901410465532</v>
      </c>
      <c r="K1406">
        <f>VLOOKUP(F1406,[1]!china_towns_second__2[[Column1]:[Y]],2,FALSE)</f>
        <v>110.1259464</v>
      </c>
      <c r="L1406" t="s">
        <v>5523</v>
      </c>
      <c r="M1406" t="str">
        <f>VLOOKUP(H1406,CHOOSE({1,2},Table11[Native],Table11[Name]),2,0)</f>
        <v>Huáyīn Shì</v>
      </c>
      <c r="N1406" s="13" t="str">
        <f>VLOOKUP(I1406,CHOOSE({1,2},Table11[Native],Table11[Name]),2,0)</f>
        <v>Wèinán Shì</v>
      </c>
      <c r="O1406" s="13" t="str">
        <f t="shared" si="86"/>
        <v>Yuemiao Jiedao (Wèinán Shì)</v>
      </c>
      <c r="P1406" s="13" t="str">
        <f t="shared" si="87"/>
        <v>Yuemiao Jiedao (Wèinán Shì)</v>
      </c>
    </row>
    <row r="1407" spans="1:16" hidden="1" x14ac:dyDescent="0.25">
      <c r="A1407" t="s">
        <v>2985</v>
      </c>
      <c r="B1407" t="str">
        <f t="shared" si="84"/>
        <v>Yúhé Zhèn</v>
      </c>
      <c r="C1407" t="str">
        <f t="shared" si="85"/>
        <v>Yúhé Zhèn</v>
      </c>
      <c r="D1407" t="s">
        <v>2986</v>
      </c>
      <c r="E1407" t="s">
        <v>7</v>
      </c>
      <c r="F1407" t="str">
        <f>_xlfn.CONCAT(D1407,", ",H1407,", ",I1407,", ","陕西省")</f>
        <v>鱼河镇, 榆阳区, 榆林市, 陕西省</v>
      </c>
      <c r="G1407">
        <v>15728</v>
      </c>
      <c r="H1407" t="s">
        <v>3159</v>
      </c>
      <c r="I1407" t="s">
        <v>3148</v>
      </c>
      <c r="J1407">
        <f>VLOOKUP(F1407,[1]!china_towns_second__2[[Column1]:[Y]],3,FALSE)</f>
        <v>38.0312632265004</v>
      </c>
      <c r="K1407">
        <f>VLOOKUP(F1407,[1]!china_towns_second__2[[Column1]:[Y]],2,FALSE)</f>
        <v>109.8408759</v>
      </c>
      <c r="L1407" t="s">
        <v>5524</v>
      </c>
      <c r="M1407" t="str">
        <f>VLOOKUP(H1407,CHOOSE({1,2},Table11[Native],Table11[Name]),2,0)</f>
        <v>Yúyáng Qū</v>
      </c>
      <c r="N1407" s="13" t="str">
        <f>VLOOKUP(I1407,CHOOSE({1,2},Table11[Native],Table11[Name]),2,0)</f>
        <v>Yúlín Shì</v>
      </c>
      <c r="O1407" s="13" t="str">
        <f t="shared" si="86"/>
        <v>Yuhe Zhen (Yúlín Shì)</v>
      </c>
      <c r="P1407" s="13" t="str">
        <f t="shared" si="87"/>
        <v>Yuhe Zhen (Yúlín Shì)</v>
      </c>
    </row>
    <row r="1408" spans="1:16" hidden="1" x14ac:dyDescent="0.25">
      <c r="A1408" t="s">
        <v>2983</v>
      </c>
      <c r="B1408" t="str">
        <f t="shared" si="84"/>
        <v>Yúhémăo Zhèn</v>
      </c>
      <c r="C1408" t="str">
        <f t="shared" si="85"/>
        <v>Yúhémăo Zhèn</v>
      </c>
      <c r="D1408" t="s">
        <v>2984</v>
      </c>
      <c r="E1408" t="s">
        <v>7</v>
      </c>
      <c r="F1408" t="str">
        <f>_xlfn.CONCAT(D1408,", ",H1408,", ",I1408,", ","陕西省")</f>
        <v>鱼河峁镇, 榆阳区, 榆林市, 陕西省</v>
      </c>
      <c r="G1408">
        <v>8805</v>
      </c>
      <c r="H1408" t="s">
        <v>3159</v>
      </c>
      <c r="I1408" t="s">
        <v>3148</v>
      </c>
      <c r="J1408">
        <f>VLOOKUP(F1408,[1]!china_towns_second__2[[Column1]:[Y]],3,FALSE)</f>
        <v>38.058890976179498</v>
      </c>
      <c r="K1408">
        <f>VLOOKUP(F1408,[1]!china_towns_second__2[[Column1]:[Y]],2,FALSE)</f>
        <v>109.9587166</v>
      </c>
      <c r="L1408" t="s">
        <v>5525</v>
      </c>
      <c r="M1408" t="str">
        <f>VLOOKUP(H1408,CHOOSE({1,2},Table11[Native],Table11[Name]),2,0)</f>
        <v>Yúyáng Qū</v>
      </c>
      <c r="N1408" s="13" t="str">
        <f>VLOOKUP(I1408,CHOOSE({1,2},Table11[Native],Table11[Name]),2,0)</f>
        <v>Yúlín Shì</v>
      </c>
      <c r="O1408" s="13" t="str">
        <f t="shared" si="86"/>
        <v>Yuhemao Zhen (Yúlín Shì)</v>
      </c>
      <c r="P1408" s="13" t="str">
        <f t="shared" si="87"/>
        <v>Yuhemao Zhen (Yúlín Shì)</v>
      </c>
    </row>
    <row r="1409" spans="1:16" hidden="1" x14ac:dyDescent="0.25">
      <c r="A1409" t="s">
        <v>1017</v>
      </c>
      <c r="B1409" t="str">
        <f t="shared" si="84"/>
        <v>Yùhuángmiào Zhèn</v>
      </c>
      <c r="C1409" t="str">
        <f t="shared" si="85"/>
        <v>Yùhuángmiào Zhèn</v>
      </c>
      <c r="D1409" t="s">
        <v>1018</v>
      </c>
      <c r="E1409" t="s">
        <v>7</v>
      </c>
      <c r="F1409" t="str">
        <f>_xlfn.CONCAT(D1409,", ",H1409,", ",I1409,", ","陕西省")</f>
        <v>玉皇庙镇, 留坝县, 汉中市, 陕西省</v>
      </c>
      <c r="G1409">
        <v>5140</v>
      </c>
      <c r="H1409" t="s">
        <v>3063</v>
      </c>
      <c r="I1409" t="s">
        <v>3059</v>
      </c>
      <c r="J1409">
        <f>VLOOKUP(F1409,[1]!china_towns_second__2[[Column1]:[Y]],3,FALSE)</f>
        <v>33.765813360300697</v>
      </c>
      <c r="K1409">
        <f>VLOOKUP(F1409,[1]!china_towns_second__2[[Column1]:[Y]],2,FALSE)</f>
        <v>106.905218</v>
      </c>
      <c r="L1409" t="s">
        <v>5526</v>
      </c>
      <c r="M1409" t="str">
        <f>VLOOKUP(H1409,CHOOSE({1,2},Table11[Native],Table11[Name]),2,0)</f>
        <v>Liúbà Xiàn</v>
      </c>
      <c r="N1409" s="13" t="str">
        <f>VLOOKUP(I1409,CHOOSE({1,2},Table11[Native],Table11[Name]),2,0)</f>
        <v>Hànzhōng Shì</v>
      </c>
      <c r="O1409" s="13" t="str">
        <f t="shared" si="86"/>
        <v>Yuhuangmiao Zhen (Hànzhōng Shì)</v>
      </c>
      <c r="P1409" s="13" t="str">
        <f t="shared" si="87"/>
        <v>Yuhuangmiao Zhen (Hànzhōng Shì)</v>
      </c>
    </row>
    <row r="1410" spans="1:16" hidden="1" x14ac:dyDescent="0.25">
      <c r="A1410" t="s">
        <v>2292</v>
      </c>
      <c r="B1410" t="str">
        <f t="shared" ref="B1410:B1473" si="88">IF(COUNTIF(A:A,A1410)&gt;1,_xlfn.CONCAT(A1410," (",N1410,")"),A1410)</f>
        <v>Yúhuàzhài Jiēdào</v>
      </c>
      <c r="C1410" t="str">
        <f t="shared" ref="C1410:C1473" si="89">IF(COUNTIF(B:B,B1410)&gt;1,_xlfn.CONCAT(A1410," (",M1410,")"),B1410)</f>
        <v>Yúhuàzhài Jiēdào</v>
      </c>
      <c r="D1410" t="s">
        <v>2293</v>
      </c>
      <c r="E1410" t="s">
        <v>113</v>
      </c>
      <c r="F1410" t="str">
        <f>_xlfn.CONCAT(D1410,", ",H1410,", ",I1410,", ","陕西省")</f>
        <v>鱼化寨街道, 雁塔区, 西安市, 陕西省</v>
      </c>
      <c r="G1410">
        <v>127204</v>
      </c>
      <c r="H1410" t="s">
        <v>3114</v>
      </c>
      <c r="I1410" t="s">
        <v>3102</v>
      </c>
      <c r="J1410" t="e">
        <f>VLOOKUP(F1410,[1]!china_towns_second__2[[Column1]:[Y]],3,FALSE)</f>
        <v>#N/A</v>
      </c>
      <c r="K1410" t="e">
        <f>VLOOKUP(F1410,[1]!china_towns_second__2[[Column1]:[Y]],2,FALSE)</f>
        <v>#N/A</v>
      </c>
      <c r="L1410" t="s">
        <v>5527</v>
      </c>
      <c r="M1410" t="str">
        <f>VLOOKUP(H1410,CHOOSE({1,2},Table11[Native],Table11[Name]),2,0)</f>
        <v>Yàntă Qū</v>
      </c>
      <c r="N1410" s="13" t="str">
        <f>VLOOKUP(I1410,CHOOSE({1,2},Table11[Native],Table11[Name]),2,0)</f>
        <v>Xī'ān Shì</v>
      </c>
      <c r="O1410" s="13" t="str">
        <f t="shared" ref="O1410:O1473" si="90">_xlfn.CONCAT(L1410," (",N1410,")")</f>
        <v>Yuhuazhai Jiedao (Xī'ān Shì)</v>
      </c>
      <c r="P1410" s="13" t="str">
        <f t="shared" ref="P1410:P1473" si="91">IF(COUNTIF(O:O,O1410)&gt;1,_xlfn.CONCAT(L1410," (",M1410,")"),O1410)</f>
        <v>Yuhuazhai Jiedao (Xī'ān Shì)</v>
      </c>
    </row>
    <row r="1411" spans="1:16" hidden="1" x14ac:dyDescent="0.25">
      <c r="A1411" t="s">
        <v>2987</v>
      </c>
      <c r="B1411" t="str">
        <f t="shared" si="88"/>
        <v>Yùjiāhé Zhèn [incl. Lăoshèkē Xiāng]</v>
      </c>
      <c r="C1411" t="str">
        <f t="shared" si="89"/>
        <v>Yùjiāhé Zhèn [incl. Lăoshèkē Xiāng]</v>
      </c>
      <c r="D1411" t="s">
        <v>2988</v>
      </c>
      <c r="E1411" t="s">
        <v>7</v>
      </c>
      <c r="F1411" t="str">
        <f>_xlfn.CONCAT(D1411,", ",H1411,", ",I1411,", ","陕西省")</f>
        <v>玉家河镇, 清涧县, 榆林市, 陕西省</v>
      </c>
      <c r="G1411">
        <v>10678</v>
      </c>
      <c r="H1411" t="s">
        <v>3155</v>
      </c>
      <c r="I1411" t="s">
        <v>3148</v>
      </c>
      <c r="J1411">
        <f>VLOOKUP(F1411,[1]!china_towns_second__2[[Column1]:[Y]],3,FALSE)</f>
        <v>37.064475329347303</v>
      </c>
      <c r="K1411">
        <f>VLOOKUP(F1411,[1]!china_towns_second__2[[Column1]:[Y]],2,FALSE)</f>
        <v>110.35774720000001</v>
      </c>
      <c r="L1411" t="s">
        <v>5528</v>
      </c>
      <c r="M1411" t="str">
        <f>VLOOKUP(H1411,CHOOSE({1,2},Table11[Native],Table11[Name]),2,0)</f>
        <v>Qīngjiàn Xiàn</v>
      </c>
      <c r="N1411" s="13" t="str">
        <f>VLOOKUP(I1411,CHOOSE({1,2},Table11[Native],Table11[Name]),2,0)</f>
        <v>Yúlín Shì</v>
      </c>
      <c r="O1411" s="13" t="str">
        <f t="shared" si="90"/>
        <v>Yujiahe Zhen [incl. Laosheke Xiang] (Yúlín Shì)</v>
      </c>
      <c r="P1411" s="13" t="str">
        <f t="shared" si="91"/>
        <v>Yujiahe Zhen [incl. Laosheke Xiang] (Yúlín Shì)</v>
      </c>
    </row>
    <row r="1412" spans="1:16" hidden="1" x14ac:dyDescent="0.25">
      <c r="A1412" t="s">
        <v>2592</v>
      </c>
      <c r="B1412" t="str">
        <f t="shared" si="88"/>
        <v>Yújiāpíng Zhèn</v>
      </c>
      <c r="C1412" t="str">
        <f t="shared" si="89"/>
        <v>Yújiāpíng Zhèn</v>
      </c>
      <c r="D1412" t="s">
        <v>2593</v>
      </c>
      <c r="E1412" t="s">
        <v>7</v>
      </c>
      <c r="F1412" t="str">
        <f>_xlfn.CONCAT(D1412,", ",H1412,", ",I1412,", ","陕西省")</f>
        <v>余家坪镇, 子长市, 延安市, 陕西省</v>
      </c>
      <c r="G1412">
        <v>6659</v>
      </c>
      <c r="H1412" t="s">
        <v>3146</v>
      </c>
      <c r="I1412" t="s">
        <v>3133</v>
      </c>
      <c r="J1412">
        <f>VLOOKUP(F1412,[1]!china_towns_second__2[[Column1]:[Y]],3,FALSE)</f>
        <v>37.062807077815798</v>
      </c>
      <c r="K1412">
        <f>VLOOKUP(F1412,[1]!china_towns_second__2[[Column1]:[Y]],2,FALSE)</f>
        <v>109.5573083</v>
      </c>
      <c r="L1412" t="s">
        <v>5529</v>
      </c>
      <c r="M1412" t="str">
        <f>VLOOKUP(H1412,CHOOSE({1,2},Table11[Native],Table11[Name]),2,0)</f>
        <v>Zicháng Shì</v>
      </c>
      <c r="N1412" s="13" t="str">
        <f>VLOOKUP(I1412,CHOOSE({1,2},Table11[Native],Table11[Name]),2,0)</f>
        <v>Yán'ān Shì</v>
      </c>
      <c r="O1412" s="13" t="str">
        <f t="shared" si="90"/>
        <v>Yujiaping Zhen (Yán'ān Shì)</v>
      </c>
      <c r="P1412" s="13" t="str">
        <f t="shared" si="91"/>
        <v>Yujiaping Zhen (Yán'ān Shì)</v>
      </c>
    </row>
    <row r="1413" spans="1:16" hidden="1" x14ac:dyDescent="0.25">
      <c r="A1413" t="s">
        <v>2594</v>
      </c>
      <c r="B1413" t="str">
        <f t="shared" si="88"/>
        <v>Yùjiāwān Zhèn</v>
      </c>
      <c r="C1413" t="str">
        <f t="shared" si="89"/>
        <v>Yùjiāwān Zhèn</v>
      </c>
      <c r="D1413" t="s">
        <v>2595</v>
      </c>
      <c r="E1413" t="s">
        <v>7</v>
      </c>
      <c r="F1413" t="str">
        <f>_xlfn.CONCAT(D1413,", ",H1413,", ",I1413,", ","陕西省")</f>
        <v>玉家湾镇, 子长市, 延安市, 陕西省</v>
      </c>
      <c r="G1413">
        <v>6331</v>
      </c>
      <c r="H1413" t="s">
        <v>3146</v>
      </c>
      <c r="I1413" t="s">
        <v>3133</v>
      </c>
      <c r="J1413">
        <f>VLOOKUP(F1413,[1]!china_towns_second__2[[Column1]:[Y]],3,FALSE)</f>
        <v>37.247359655046097</v>
      </c>
      <c r="K1413">
        <f>VLOOKUP(F1413,[1]!china_towns_second__2[[Column1]:[Y]],2,FALSE)</f>
        <v>109.67772669999999</v>
      </c>
      <c r="L1413" t="s">
        <v>5530</v>
      </c>
      <c r="M1413" t="str">
        <f>VLOOKUP(H1413,CHOOSE({1,2},Table11[Native],Table11[Name]),2,0)</f>
        <v>Zicháng Shì</v>
      </c>
      <c r="N1413" s="13" t="str">
        <f>VLOOKUP(I1413,CHOOSE({1,2},Table11[Native],Table11[Name]),2,0)</f>
        <v>Yán'ān Shì</v>
      </c>
      <c r="O1413" s="13" t="str">
        <f t="shared" si="90"/>
        <v>Yujiawan Zhen (Yán'ān Shì)</v>
      </c>
      <c r="P1413" s="13" t="str">
        <f t="shared" si="91"/>
        <v>Yujiawan Zhen (Yán'ān Shì)</v>
      </c>
    </row>
    <row r="1414" spans="1:16" hidden="1" x14ac:dyDescent="0.25">
      <c r="A1414" t="s">
        <v>2294</v>
      </c>
      <c r="B1414" t="str">
        <f t="shared" si="88"/>
        <v>Yŭjīn Jiēdào</v>
      </c>
      <c r="C1414" t="str">
        <f t="shared" si="89"/>
        <v>Yŭjīn Jiēdào</v>
      </c>
      <c r="D1414" t="s">
        <v>2295</v>
      </c>
      <c r="E1414" t="s">
        <v>113</v>
      </c>
      <c r="F1414" t="str">
        <f>_xlfn.CONCAT(D1414,", ",H1414,", ",I1414,", ","陕西省")</f>
        <v>雨金街道, 临潼区, 西安市, 陕西省</v>
      </c>
      <c r="G1414">
        <v>20619</v>
      </c>
      <c r="H1414" t="s">
        <v>3110</v>
      </c>
      <c r="I1414" t="s">
        <v>3102</v>
      </c>
      <c r="J1414">
        <f>VLOOKUP(F1414,[1]!china_towns_second__2[[Column1]:[Y]],3,FALSE)</f>
        <v>34.525454926132802</v>
      </c>
      <c r="K1414">
        <f>VLOOKUP(F1414,[1]!china_towns_second__2[[Column1]:[Y]],2,FALSE)</f>
        <v>109.2380307</v>
      </c>
      <c r="L1414" t="s">
        <v>5531</v>
      </c>
      <c r="M1414" t="str">
        <f>VLOOKUP(H1414,CHOOSE({1,2},Table11[Native],Table11[Name]),2,0)</f>
        <v>Líntóng Qū</v>
      </c>
      <c r="N1414" s="13" t="str">
        <f>VLOOKUP(I1414,CHOOSE({1,2},Table11[Native],Table11[Name]),2,0)</f>
        <v>Xī'ān Shì</v>
      </c>
      <c r="O1414" s="13" t="str">
        <f t="shared" si="90"/>
        <v>Yujin Jiedao (Xī'ān Shì)</v>
      </c>
      <c r="P1414" s="13" t="str">
        <f t="shared" si="91"/>
        <v>Yujin Jiedao (Xī'ān Shì)</v>
      </c>
    </row>
    <row r="1415" spans="1:16" hidden="1" x14ac:dyDescent="0.25">
      <c r="A1415" t="s">
        <v>2989</v>
      </c>
      <c r="B1415" t="str">
        <f t="shared" si="88"/>
        <v>Yùkŏu Xiāng</v>
      </c>
      <c r="C1415" t="str">
        <f t="shared" si="89"/>
        <v>Yùkŏu Xiāng</v>
      </c>
      <c r="D1415" t="s">
        <v>2990</v>
      </c>
      <c r="E1415" t="s">
        <v>11</v>
      </c>
      <c r="F1415" t="str">
        <f>_xlfn.CONCAT(D1415,", ",H1415,", ",I1415,", ","陕西省")</f>
        <v>峪口乡, 佳县, 榆林市, 陕西省</v>
      </c>
      <c r="G1415">
        <v>6911</v>
      </c>
      <c r="H1415" t="s">
        <v>3152</v>
      </c>
      <c r="I1415" t="s">
        <v>3148</v>
      </c>
      <c r="J1415" t="e">
        <f>VLOOKUP(F1415,[1]!china_towns_second__2[[Column1]:[Y]],3,FALSE)</f>
        <v>#N/A</v>
      </c>
      <c r="K1415" t="e">
        <f>VLOOKUP(F1415,[1]!china_towns_second__2[[Column1]:[Y]],2,FALSE)</f>
        <v>#N/A</v>
      </c>
      <c r="L1415" t="s">
        <v>5532</v>
      </c>
      <c r="M1415" t="str">
        <f>VLOOKUP(H1415,CHOOSE({1,2},Table11[Native],Table11[Name]),2,0)</f>
        <v>Jiā Xiàn</v>
      </c>
      <c r="N1415" s="13" t="str">
        <f>VLOOKUP(I1415,CHOOSE({1,2},Table11[Native],Table11[Name]),2,0)</f>
        <v>Yúlín Shì</v>
      </c>
      <c r="O1415" s="13" t="str">
        <f t="shared" si="90"/>
        <v>Yukou Xiang (Yúlín Shì)</v>
      </c>
      <c r="P1415" s="13" t="str">
        <f t="shared" si="91"/>
        <v>Yukou Xiang (Yúlín Shì)</v>
      </c>
    </row>
    <row r="1416" spans="1:16" hidden="1" x14ac:dyDescent="0.25">
      <c r="A1416" t="s">
        <v>305</v>
      </c>
      <c r="B1416" t="str">
        <f t="shared" si="88"/>
        <v>Yùlán Xiāng</v>
      </c>
      <c r="C1416" t="str">
        <f t="shared" si="89"/>
        <v>Yùlán Xiāng</v>
      </c>
      <c r="D1416" t="s">
        <v>306</v>
      </c>
      <c r="E1416" t="s">
        <v>11</v>
      </c>
      <c r="F1416" t="str">
        <f>_xlfn.CONCAT(D1416,", ",H1416,", ",I1416,", ","陕西省")</f>
        <v>玉岚乡, 汉滨区, 安康市, 陕西省</v>
      </c>
      <c r="G1416">
        <v>8103</v>
      </c>
      <c r="H1416" t="s">
        <v>3035</v>
      </c>
      <c r="I1416" t="s">
        <v>3031</v>
      </c>
      <c r="J1416" t="e">
        <f>VLOOKUP(F1416,[1]!china_towns_second__2[[Column1]:[Y]],3,FALSE)</f>
        <v>#N/A</v>
      </c>
      <c r="K1416" t="e">
        <f>VLOOKUP(F1416,[1]!china_towns_second__2[[Column1]:[Y]],2,FALSE)</f>
        <v>#N/A</v>
      </c>
      <c r="L1416" t="s">
        <v>5533</v>
      </c>
      <c r="M1416" t="str">
        <f>VLOOKUP(H1416,CHOOSE({1,2},Table11[Native],Table11[Name]),2,0)</f>
        <v>Hànbīn Qū</v>
      </c>
      <c r="N1416" s="13" t="str">
        <f>VLOOKUP(I1416,CHOOSE({1,2},Table11[Native],Table11[Name]),2,0)</f>
        <v>Ānkāng Shì</v>
      </c>
      <c r="O1416" s="13" t="str">
        <f t="shared" si="90"/>
        <v>Yulan Xiang (Ānkāng Shì)</v>
      </c>
      <c r="P1416" s="13" t="str">
        <f t="shared" si="91"/>
        <v>Yulan Xiang (Ānkāng Shì)</v>
      </c>
    </row>
    <row r="1417" spans="1:16" hidden="1" x14ac:dyDescent="0.25">
      <c r="A1417" t="s">
        <v>1687</v>
      </c>
      <c r="B1417" t="str">
        <f t="shared" si="88"/>
        <v>Yùlĭng Xiāng</v>
      </c>
      <c r="C1417" t="str">
        <f t="shared" si="89"/>
        <v>Yùlĭng Xiāng</v>
      </c>
      <c r="D1417" t="s">
        <v>1688</v>
      </c>
      <c r="E1417" t="s">
        <v>11</v>
      </c>
      <c r="F1417" t="str">
        <f>_xlfn.CONCAT(D1417,", ",H1417,", ",I1417,", ","陕西省")</f>
        <v>峪岭乡, 富平县, 渭南市, 陕西省</v>
      </c>
      <c r="G1417">
        <v>9847</v>
      </c>
      <c r="H1417" t="s">
        <v>3091</v>
      </c>
      <c r="I1417" t="s">
        <v>3087</v>
      </c>
      <c r="J1417" t="e">
        <f>VLOOKUP(F1417,[1]!china_towns_second__2[[Column1]:[Y]],3,FALSE)</f>
        <v>#N/A</v>
      </c>
      <c r="K1417" t="e">
        <f>VLOOKUP(F1417,[1]!china_towns_second__2[[Column1]:[Y]],2,FALSE)</f>
        <v>#N/A</v>
      </c>
      <c r="L1417" t="s">
        <v>5534</v>
      </c>
      <c r="M1417" t="str">
        <f>VLOOKUP(H1417,CHOOSE({1,2},Table11[Native],Table11[Name]),2,0)</f>
        <v>Fùpíng Xiàn</v>
      </c>
      <c r="N1417" s="13" t="str">
        <f>VLOOKUP(I1417,CHOOSE({1,2},Table11[Native],Table11[Name]),2,0)</f>
        <v>Wèinán Shì</v>
      </c>
      <c r="O1417" s="13" t="str">
        <f t="shared" si="90"/>
        <v>Yuling Xiang (Wèinán Shì)</v>
      </c>
      <c r="P1417" s="13" t="str">
        <f t="shared" si="91"/>
        <v>Yuling Xiang (Wèinán Shì)</v>
      </c>
    </row>
    <row r="1418" spans="1:16" hidden="1" x14ac:dyDescent="0.25">
      <c r="A1418" t="s">
        <v>1278</v>
      </c>
      <c r="B1418" t="str">
        <f t="shared" si="88"/>
        <v>Yŭlĭng Zhèn</v>
      </c>
      <c r="C1418" t="str">
        <f t="shared" si="89"/>
        <v>Yŭlĭng Zhèn</v>
      </c>
      <c r="D1418" t="s">
        <v>1279</v>
      </c>
      <c r="E1418" t="s">
        <v>7</v>
      </c>
      <c r="F1418" t="str">
        <f>_xlfn.CONCAT(D1418,", ",H1418,", ",I1418,", ","陕西省")</f>
        <v>庾岭镇, 丹凤县, 商洛市, 陕西省</v>
      </c>
      <c r="G1418">
        <v>15797</v>
      </c>
      <c r="H1418" t="s">
        <v>3073</v>
      </c>
      <c r="I1418" t="s">
        <v>3072</v>
      </c>
      <c r="J1418">
        <f>VLOOKUP(F1418,[1]!china_towns_second__2[[Column1]:[Y]],3,FALSE)</f>
        <v>33.884996987067403</v>
      </c>
      <c r="K1418">
        <f>VLOOKUP(F1418,[1]!china_towns_second__2[[Column1]:[Y]],2,FALSE)</f>
        <v>110.452753</v>
      </c>
      <c r="L1418" t="s">
        <v>5535</v>
      </c>
      <c r="M1418" t="str">
        <f>VLOOKUP(H1418,CHOOSE({1,2},Table11[Native],Table11[Name]),2,0)</f>
        <v>Dānfèng Xiàn</v>
      </c>
      <c r="N1418" s="13" t="str">
        <f>VLOOKUP(I1418,CHOOSE({1,2},Table11[Native],Table11[Name]),2,0)</f>
        <v>Shāngluò Shì</v>
      </c>
      <c r="O1418" s="13" t="str">
        <f t="shared" si="90"/>
        <v>Yuling Zhen (Shāngluò Shì)</v>
      </c>
      <c r="P1418" s="13" t="str">
        <f t="shared" si="91"/>
        <v>Yuling Zhen (Shāngluò Shì)</v>
      </c>
    </row>
    <row r="1419" spans="1:16" hidden="1" x14ac:dyDescent="0.25">
      <c r="A1419" t="s">
        <v>307</v>
      </c>
      <c r="B1419" t="str">
        <f t="shared" si="88"/>
        <v>Yùndòu Zhèn</v>
      </c>
      <c r="C1419" t="str">
        <f t="shared" si="89"/>
        <v>Yùndòu Zhèn</v>
      </c>
      <c r="D1419" t="s">
        <v>308</v>
      </c>
      <c r="E1419" t="s">
        <v>7</v>
      </c>
      <c r="F1419" t="str">
        <f>_xlfn.CONCAT(D1419,", ",H1419,", ",I1419,", ","陕西省")</f>
        <v>熨斗镇, 石泉县, 安康市, 陕西省</v>
      </c>
      <c r="G1419">
        <v>12491</v>
      </c>
      <c r="H1419" t="s">
        <v>3040</v>
      </c>
      <c r="I1419" t="s">
        <v>3031</v>
      </c>
      <c r="J1419">
        <f>VLOOKUP(F1419,[1]!china_towns_second__2[[Column1]:[Y]],3,FALSE)</f>
        <v>32.823210137688299</v>
      </c>
      <c r="K1419">
        <f>VLOOKUP(F1419,[1]!china_towns_second__2[[Column1]:[Y]],2,FALSE)</f>
        <v>108.1485069</v>
      </c>
      <c r="L1419" t="s">
        <v>5536</v>
      </c>
      <c r="M1419" t="str">
        <f>VLOOKUP(H1419,CHOOSE({1,2},Table11[Native],Table11[Name]),2,0)</f>
        <v>Shíquán Xiàn</v>
      </c>
      <c r="N1419" s="13" t="str">
        <f>VLOOKUP(I1419,CHOOSE({1,2},Table11[Native],Table11[Name]),2,0)</f>
        <v>Ānkāng Shì</v>
      </c>
      <c r="O1419" s="13" t="str">
        <f t="shared" si="90"/>
        <v>Yundou Zhen (Ānkāng Shì)</v>
      </c>
      <c r="P1419" s="13" t="str">
        <f t="shared" si="91"/>
        <v>Yundou Zhen (Ānkāng Shì)</v>
      </c>
    </row>
    <row r="1420" spans="1:16" hidden="1" x14ac:dyDescent="0.25">
      <c r="A1420" t="s">
        <v>1280</v>
      </c>
      <c r="B1420" t="str">
        <f t="shared" si="88"/>
        <v>Yúngàisì Zhèn</v>
      </c>
      <c r="C1420" t="str">
        <f t="shared" si="89"/>
        <v>Yúngàisì Zhèn</v>
      </c>
      <c r="D1420" t="s">
        <v>1281</v>
      </c>
      <c r="E1420" t="s">
        <v>7</v>
      </c>
      <c r="F1420" t="str">
        <f>_xlfn.CONCAT(D1420,", ",H1420,", ",I1420,", ","陕西省")</f>
        <v>云盖寺镇, 镇安县, 商洛市, 陕西省</v>
      </c>
      <c r="G1420">
        <v>13079</v>
      </c>
      <c r="H1420" t="s">
        <v>3079</v>
      </c>
      <c r="I1420" t="s">
        <v>3072</v>
      </c>
      <c r="J1420">
        <f>VLOOKUP(F1420,[1]!china_towns_second__2[[Column1]:[Y]],3,FALSE)</f>
        <v>33.534865150248997</v>
      </c>
      <c r="K1420">
        <f>VLOOKUP(F1420,[1]!china_towns_second__2[[Column1]:[Y]],2,FALSE)</f>
        <v>108.98891399999999</v>
      </c>
      <c r="L1420" t="s">
        <v>5537</v>
      </c>
      <c r="M1420" t="str">
        <f>VLOOKUP(H1420,CHOOSE({1,2},Table11[Native],Table11[Name]),2,0)</f>
        <v>Zhèn'ān Xiàn</v>
      </c>
      <c r="N1420" s="13" t="str">
        <f>VLOOKUP(I1420,CHOOSE({1,2},Table11[Native],Table11[Name]),2,0)</f>
        <v>Shāngluò Shì</v>
      </c>
      <c r="O1420" s="13" t="str">
        <f t="shared" si="90"/>
        <v>Yungaisi Zhen (Shāngluò Shì)</v>
      </c>
      <c r="P1420" s="13" t="str">
        <f t="shared" si="91"/>
        <v>Yungaisi Zhen (Shāngluò Shì)</v>
      </c>
    </row>
    <row r="1421" spans="1:16" hidden="1" x14ac:dyDescent="0.25">
      <c r="A1421" t="s">
        <v>1360</v>
      </c>
      <c r="B1421" t="str">
        <f t="shared" si="88"/>
        <v>Yúnmèng Xiāng</v>
      </c>
      <c r="C1421" t="str">
        <f t="shared" si="89"/>
        <v>Yúnmèng Xiāng</v>
      </c>
      <c r="D1421" t="s">
        <v>1361</v>
      </c>
      <c r="E1421" t="s">
        <v>11</v>
      </c>
      <c r="F1421" t="str">
        <f>_xlfn.CONCAT(D1421,", ",H1421,", ",I1421,", ","陕西省")</f>
        <v>云梦乡, 宜君县, 铜川市, 陕西省</v>
      </c>
      <c r="G1421">
        <v>10638</v>
      </c>
      <c r="H1421" t="s">
        <v>3084</v>
      </c>
      <c r="I1421" t="s">
        <v>3081</v>
      </c>
      <c r="J1421" t="e">
        <f>VLOOKUP(F1421,[1]!china_towns_second__2[[Column1]:[Y]],3,FALSE)</f>
        <v>#N/A</v>
      </c>
      <c r="K1421" t="e">
        <f>VLOOKUP(F1421,[1]!china_towns_second__2[[Column1]:[Y]],2,FALSE)</f>
        <v>#N/A</v>
      </c>
      <c r="L1421" t="s">
        <v>5538</v>
      </c>
      <c r="M1421" t="str">
        <f>VLOOKUP(H1421,CHOOSE({1,2},Table11[Native],Table11[Name]),2,0)</f>
        <v>Yíjūn Xiàn</v>
      </c>
      <c r="N1421" s="13" t="str">
        <f>VLOOKUP(I1421,CHOOSE({1,2},Table11[Native],Table11[Name]),2,0)</f>
        <v>Tóngchuān Shì</v>
      </c>
      <c r="O1421" s="13" t="str">
        <f t="shared" si="90"/>
        <v>Yunmeng Xiang (Tóngchuān Shì)</v>
      </c>
      <c r="P1421" s="13" t="str">
        <f t="shared" si="91"/>
        <v>Yunmeng Xiang (Tóngchuān Shì)</v>
      </c>
    </row>
    <row r="1422" spans="1:16" hidden="1" x14ac:dyDescent="0.25">
      <c r="A1422" t="s">
        <v>309</v>
      </c>
      <c r="B1422" t="str">
        <f t="shared" si="88"/>
        <v>Yúnwùshān Zhèn</v>
      </c>
      <c r="C1422" t="str">
        <f t="shared" si="89"/>
        <v>Yúnwùshān Zhèn</v>
      </c>
      <c r="D1422" t="s">
        <v>310</v>
      </c>
      <c r="E1422" t="s">
        <v>7</v>
      </c>
      <c r="F1422" t="str">
        <f>_xlfn.CONCAT(D1422,", ",H1422,", ",I1422,", ","陕西省")</f>
        <v>云雾山镇, 石泉县, 安康市, 陕西省</v>
      </c>
      <c r="G1422">
        <v>8676</v>
      </c>
      <c r="H1422" t="s">
        <v>3040</v>
      </c>
      <c r="I1422" t="s">
        <v>3031</v>
      </c>
      <c r="J1422">
        <f>VLOOKUP(F1422,[1]!china_towns_second__2[[Column1]:[Y]],3,FALSE)</f>
        <v>33.1520586203752</v>
      </c>
      <c r="K1422">
        <f>VLOOKUP(F1422,[1]!china_towns_second__2[[Column1]:[Y]],2,FALSE)</f>
        <v>108.2953207</v>
      </c>
      <c r="L1422" t="s">
        <v>5539</v>
      </c>
      <c r="M1422" t="str">
        <f>VLOOKUP(H1422,CHOOSE({1,2},Table11[Native],Table11[Name]),2,0)</f>
        <v>Shíquán Xiàn</v>
      </c>
      <c r="N1422" s="13" t="str">
        <f>VLOOKUP(I1422,CHOOSE({1,2},Table11[Native],Table11[Name]),2,0)</f>
        <v>Ānkāng Shì</v>
      </c>
      <c r="O1422" s="13" t="str">
        <f t="shared" si="90"/>
        <v>Yunwushan Zhen (Ānkāng Shì)</v>
      </c>
      <c r="P1422" s="13" t="str">
        <f t="shared" si="91"/>
        <v>Yunwushan Zhen (Ānkāng Shì)</v>
      </c>
    </row>
    <row r="1423" spans="1:16" hidden="1" x14ac:dyDescent="0.25">
      <c r="A1423" t="s">
        <v>2596</v>
      </c>
      <c r="B1423" t="str">
        <f t="shared" si="88"/>
        <v>Yúnyán Zhèn [incl. Gélóu Zhèn]</v>
      </c>
      <c r="C1423" t="str">
        <f t="shared" si="89"/>
        <v>Yúnyán Zhèn [incl. Gélóu Zhèn]</v>
      </c>
      <c r="D1423" t="s">
        <v>2597</v>
      </c>
      <c r="E1423" t="s">
        <v>7</v>
      </c>
      <c r="F1423" t="str">
        <f>_xlfn.CONCAT(D1423,", ",H1423,", ",I1423,", ","陕西省")</f>
        <v>云岩镇, 宜川县, 延安市, 陕西省</v>
      </c>
      <c r="G1423">
        <v>17672</v>
      </c>
      <c r="H1423" t="s">
        <v>3144</v>
      </c>
      <c r="I1423" t="s">
        <v>3133</v>
      </c>
      <c r="J1423">
        <f>VLOOKUP(F1423,[1]!china_towns_second__2[[Column1]:[Y]],3,FALSE)</f>
        <v>36.275184617956</v>
      </c>
      <c r="K1423">
        <f>VLOOKUP(F1423,[1]!china_towns_second__2[[Column1]:[Y]],2,FALSE)</f>
        <v>110.16584880000001</v>
      </c>
      <c r="L1423" t="s">
        <v>5540</v>
      </c>
      <c r="M1423" t="str">
        <f>VLOOKUP(H1423,CHOOSE({1,2},Table11[Native],Table11[Name]),2,0)</f>
        <v>Yíchuān Xiàn</v>
      </c>
      <c r="N1423" s="13" t="str">
        <f>VLOOKUP(I1423,CHOOSE({1,2},Table11[Native],Table11[Name]),2,0)</f>
        <v>Yán'ān Shì</v>
      </c>
      <c r="O1423" s="13" t="str">
        <f t="shared" si="90"/>
        <v>Yunyan Zhen [incl. Gelou Zhen] (Yán'ān Shì)</v>
      </c>
      <c r="P1423" s="13" t="str">
        <f t="shared" si="91"/>
        <v>Yunyan Zhen [incl. Gelou Zhen] (Yán'ān Shì)</v>
      </c>
    </row>
    <row r="1424" spans="1:16" hidden="1" x14ac:dyDescent="0.25">
      <c r="A1424" t="s">
        <v>1936</v>
      </c>
      <c r="B1424" t="str">
        <f t="shared" si="88"/>
        <v>Yúnyáng Zhèn</v>
      </c>
      <c r="C1424" t="str">
        <f t="shared" si="89"/>
        <v>Yúnyáng Zhèn</v>
      </c>
      <c r="D1424" t="s">
        <v>1937</v>
      </c>
      <c r="E1424" t="s">
        <v>7</v>
      </c>
      <c r="F1424" t="str">
        <f>_xlfn.CONCAT(D1424,", ",H1424,", ",I1424,", ","陕西省")</f>
        <v>云阳镇, 泾阳县, 咸阳市, 陕西省</v>
      </c>
      <c r="G1424">
        <v>54539</v>
      </c>
      <c r="H1424" t="s">
        <v>3121</v>
      </c>
      <c r="I1424" t="s">
        <v>3117</v>
      </c>
      <c r="J1424">
        <f>VLOOKUP(F1424,[1]!china_towns_second__2[[Column1]:[Y]],3,FALSE)</f>
        <v>34.620300042917798</v>
      </c>
      <c r="K1424">
        <f>VLOOKUP(F1424,[1]!china_towns_second__2[[Column1]:[Y]],2,FALSE)</f>
        <v>108.8091822</v>
      </c>
      <c r="L1424" t="s">
        <v>5541</v>
      </c>
      <c r="M1424" t="str">
        <f>VLOOKUP(H1424,CHOOSE({1,2},Table11[Native],Table11[Name]),2,0)</f>
        <v>Jīngyáng Xiàn</v>
      </c>
      <c r="N1424" s="13" t="str">
        <f>VLOOKUP(I1424,CHOOSE({1,2},Table11[Native],Table11[Name]),2,0)</f>
        <v>Xiányáng Shì</v>
      </c>
      <c r="O1424" s="13" t="str">
        <f t="shared" si="90"/>
        <v>Yunyang Zhen (Xiányáng Shì)</v>
      </c>
      <c r="P1424" s="13" t="str">
        <f t="shared" si="91"/>
        <v>Yunyang Zhen (Xiányáng Shì)</v>
      </c>
    </row>
    <row r="1425" spans="1:16" hidden="1" x14ac:dyDescent="0.25">
      <c r="A1425" t="s">
        <v>2296</v>
      </c>
      <c r="B1425" t="str">
        <f t="shared" si="88"/>
        <v>Yùshān Zhèn</v>
      </c>
      <c r="C1425" t="str">
        <f t="shared" si="89"/>
        <v>Yùshān Zhèn</v>
      </c>
      <c r="D1425" t="s">
        <v>2297</v>
      </c>
      <c r="E1425" t="s">
        <v>7</v>
      </c>
      <c r="F1425" t="str">
        <f>_xlfn.CONCAT(D1425,", ",H1425,", ",I1425,", ","陕西省")</f>
        <v>玉山镇, 蓝田县, 西安市, 陕西省</v>
      </c>
      <c r="G1425">
        <v>23314</v>
      </c>
      <c r="H1425" t="s">
        <v>3108</v>
      </c>
      <c r="I1425" t="s">
        <v>3102</v>
      </c>
      <c r="J1425">
        <f>VLOOKUP(F1425,[1]!china_towns_second__2[[Column1]:[Y]],3,FALSE)</f>
        <v>34.214958467032098</v>
      </c>
      <c r="K1425">
        <f>VLOOKUP(F1425,[1]!china_towns_second__2[[Column1]:[Y]],2,FALSE)</f>
        <v>109.5258414</v>
      </c>
      <c r="L1425" t="s">
        <v>5542</v>
      </c>
      <c r="M1425" t="str">
        <f>VLOOKUP(H1425,CHOOSE({1,2},Table11[Native],Table11[Name]),2,0)</f>
        <v>Lántián Xiàn</v>
      </c>
      <c r="N1425" s="13" t="str">
        <f>VLOOKUP(I1425,CHOOSE({1,2},Table11[Native],Table11[Name]),2,0)</f>
        <v>Xī'ān Shì</v>
      </c>
      <c r="O1425" s="13" t="str">
        <f t="shared" si="90"/>
        <v>Yushan Zhen (Xī'ān Shì)</v>
      </c>
      <c r="P1425" s="13" t="str">
        <f t="shared" si="91"/>
        <v>Yushan Zhen (Xī'ān Shì)</v>
      </c>
    </row>
    <row r="1426" spans="1:16" hidden="1" x14ac:dyDescent="0.25">
      <c r="A1426" t="s">
        <v>2298</v>
      </c>
      <c r="B1426" t="str">
        <f t="shared" si="88"/>
        <v>Yúxià Jiēdào</v>
      </c>
      <c r="C1426" t="str">
        <f t="shared" si="89"/>
        <v>Yúxià Jiēdào</v>
      </c>
      <c r="D1426" t="s">
        <v>2299</v>
      </c>
      <c r="E1426" t="s">
        <v>113</v>
      </c>
      <c r="F1426" t="str">
        <f>_xlfn.CONCAT(D1426,", ",H1426,", ",I1426,", ","陕西省")</f>
        <v>余下街道, 鄠邑区, 西安市, 陕西省</v>
      </c>
      <c r="G1426">
        <v>60000</v>
      </c>
      <c r="H1426" t="s">
        <v>3107</v>
      </c>
      <c r="I1426" t="s">
        <v>3102</v>
      </c>
      <c r="J1426" t="e">
        <f>VLOOKUP(F1426,[1]!china_towns_second__2[[Column1]:[Y]],3,FALSE)</f>
        <v>#N/A</v>
      </c>
      <c r="K1426" t="e">
        <f>VLOOKUP(F1426,[1]!china_towns_second__2[[Column1]:[Y]],2,FALSE)</f>
        <v>#N/A</v>
      </c>
      <c r="L1426" t="s">
        <v>5543</v>
      </c>
      <c r="M1426" t="str">
        <f>VLOOKUP(H1426,CHOOSE({1,2},Table11[Native],Table11[Name]),2,0)</f>
        <v>Hùyì Qū</v>
      </c>
      <c r="N1426" s="13" t="str">
        <f>VLOOKUP(I1426,CHOOSE({1,2},Table11[Native],Table11[Name]),2,0)</f>
        <v>Xī'ān Shì</v>
      </c>
      <c r="O1426" s="13" t="str">
        <f t="shared" si="90"/>
        <v>Yuxia Jiedao (Xī'ān Shì)</v>
      </c>
      <c r="P1426" s="13" t="str">
        <f t="shared" si="91"/>
        <v>Yuxia Jiedao (Xī'ān Shì)</v>
      </c>
    </row>
    <row r="1427" spans="1:16" hidden="1" x14ac:dyDescent="0.25">
      <c r="A1427" t="s">
        <v>1938</v>
      </c>
      <c r="B1427" t="str">
        <f t="shared" si="88"/>
        <v>Yùyuán Xiāng</v>
      </c>
      <c r="C1427" t="str">
        <f t="shared" si="89"/>
        <v>Yùyuán Xiāng</v>
      </c>
      <c r="D1427" t="s">
        <v>1939</v>
      </c>
      <c r="E1427" t="s">
        <v>11</v>
      </c>
      <c r="F1427" t="str">
        <f>_xlfn.CONCAT(D1427,", ",H1427,", ",I1427,", ","陕西省")</f>
        <v>芋园乡, 长武县, 咸阳市, 陕西省</v>
      </c>
      <c r="G1427">
        <v>9496</v>
      </c>
      <c r="H1427" t="s">
        <v>3119</v>
      </c>
      <c r="I1427" t="s">
        <v>3117</v>
      </c>
      <c r="J1427" t="e">
        <f>VLOOKUP(F1427,[1]!china_towns_second__2[[Column1]:[Y]],3,FALSE)</f>
        <v>#N/A</v>
      </c>
      <c r="K1427" t="e">
        <f>VLOOKUP(F1427,[1]!china_towns_second__2[[Column1]:[Y]],2,FALSE)</f>
        <v>#N/A</v>
      </c>
      <c r="L1427" t="s">
        <v>5544</v>
      </c>
      <c r="M1427" t="str">
        <f>VLOOKUP(H1427,CHOOSE({1,2},Table11[Native],Table11[Name]),2,0)</f>
        <v>Chángwŭ Xiàn</v>
      </c>
      <c r="N1427" s="13" t="str">
        <f>VLOOKUP(I1427,CHOOSE({1,2},Table11[Native],Table11[Name]),2,0)</f>
        <v>Xiányáng Shì</v>
      </c>
      <c r="O1427" s="13" t="str">
        <f t="shared" si="90"/>
        <v>Yuyuan Xiang (Xiányáng Shì)</v>
      </c>
      <c r="P1427" s="13" t="str">
        <f t="shared" si="91"/>
        <v>Yuyuan Xiang (Xiányáng Shì)</v>
      </c>
    </row>
    <row r="1428" spans="1:16" hidden="1" x14ac:dyDescent="0.25">
      <c r="A1428" t="s">
        <v>607</v>
      </c>
      <c r="B1428" t="str">
        <f t="shared" si="88"/>
        <v>Zăolín Zhèn</v>
      </c>
      <c r="C1428" t="str">
        <f t="shared" si="89"/>
        <v>Zăolín Zhèn</v>
      </c>
      <c r="D1428" t="s">
        <v>608</v>
      </c>
      <c r="E1428" t="s">
        <v>7</v>
      </c>
      <c r="F1428" t="str">
        <f>_xlfn.CONCAT(D1428,", ",H1428,", ",I1428,", ","陕西省")</f>
        <v>枣林镇, 岐山县, 宝鸡市, 陕西省</v>
      </c>
      <c r="G1428">
        <v>32626</v>
      </c>
      <c r="H1428" t="s">
        <v>3055</v>
      </c>
      <c r="I1428" t="s">
        <v>3045</v>
      </c>
      <c r="J1428">
        <f>VLOOKUP(F1428,[1]!china_towns_second__2[[Column1]:[Y]],3,FALSE)</f>
        <v>34.3479983825491</v>
      </c>
      <c r="K1428">
        <f>VLOOKUP(F1428,[1]!china_towns_second__2[[Column1]:[Y]],2,FALSE)</f>
        <v>107.7135231</v>
      </c>
      <c r="L1428" t="s">
        <v>5545</v>
      </c>
      <c r="M1428" t="str">
        <f>VLOOKUP(H1428,CHOOSE({1,2},Table11[Native],Table11[Name]),2,0)</f>
        <v>Qíshān Xiàn</v>
      </c>
      <c r="N1428" s="13" t="str">
        <f>VLOOKUP(I1428,CHOOSE({1,2},Table11[Native],Table11[Name]),2,0)</f>
        <v>Băojī Shì</v>
      </c>
      <c r="O1428" s="13" t="str">
        <f t="shared" si="90"/>
        <v>Zaolin Zhen (Băojī Shì)</v>
      </c>
      <c r="P1428" s="13" t="str">
        <f t="shared" si="91"/>
        <v>Zaolin Zhen (Băojī Shì)</v>
      </c>
    </row>
    <row r="1429" spans="1:16" hidden="1" x14ac:dyDescent="0.25">
      <c r="A1429" t="s">
        <v>2991</v>
      </c>
      <c r="B1429" t="str">
        <f t="shared" si="88"/>
        <v>Zăolínpíng Zhèn</v>
      </c>
      <c r="C1429" t="str">
        <f t="shared" si="89"/>
        <v>Zăolínpíng Zhèn</v>
      </c>
      <c r="D1429" t="s">
        <v>2992</v>
      </c>
      <c r="E1429" t="s">
        <v>7</v>
      </c>
      <c r="F1429" t="str">
        <f>_xlfn.CONCAT(D1429,", ",H1429,", ",I1429,", ","陕西省")</f>
        <v>枣林坪镇, 绥德县, 榆林市, 陕西省</v>
      </c>
      <c r="G1429">
        <v>8012</v>
      </c>
      <c r="H1429" t="s">
        <v>3157</v>
      </c>
      <c r="I1429" t="s">
        <v>3148</v>
      </c>
      <c r="J1429">
        <f>VLOOKUP(F1429,[1]!china_towns_second__2[[Column1]:[Y]],3,FALSE)</f>
        <v>37.405950281112602</v>
      </c>
      <c r="K1429">
        <f>VLOOKUP(F1429,[1]!china_towns_second__2[[Column1]:[Y]],2,FALSE)</f>
        <v>110.598163</v>
      </c>
      <c r="L1429" t="s">
        <v>5546</v>
      </c>
      <c r="M1429" t="str">
        <f>VLOOKUP(H1429,CHOOSE({1,2},Table11[Native],Table11[Name]),2,0)</f>
        <v>Suídé Xiàn</v>
      </c>
      <c r="N1429" s="13" t="str">
        <f>VLOOKUP(I1429,CHOOSE({1,2},Table11[Native],Table11[Name]),2,0)</f>
        <v>Yúlín Shì</v>
      </c>
      <c r="O1429" s="13" t="str">
        <f t="shared" si="90"/>
        <v>Zaolinping Zhen (Yúlín Shì)</v>
      </c>
      <c r="P1429" s="13" t="str">
        <f t="shared" si="91"/>
        <v>Zaolinping Zhen (Yúlín Shì)</v>
      </c>
    </row>
    <row r="1430" spans="1:16" hidden="1" x14ac:dyDescent="0.25">
      <c r="A1430" t="s">
        <v>311</v>
      </c>
      <c r="B1430" t="str">
        <f t="shared" si="88"/>
        <v>Zăoyáng Zhèn [incl. Gòngjìn Xiāng]</v>
      </c>
      <c r="C1430" t="str">
        <f t="shared" si="89"/>
        <v>Zăoyáng Zhèn [incl. Gòngjìn Xiāng]</v>
      </c>
      <c r="D1430" t="s">
        <v>312</v>
      </c>
      <c r="E1430" t="s">
        <v>7</v>
      </c>
      <c r="F1430" t="str">
        <f>_xlfn.CONCAT(D1430,", ",H1430,", ",I1430,", ","陕西省")</f>
        <v>早阳镇, 汉滨区, 安康市, 陕西省</v>
      </c>
      <c r="G1430">
        <v>22493</v>
      </c>
      <c r="H1430" t="s">
        <v>3035</v>
      </c>
      <c r="I1430" t="s">
        <v>3031</v>
      </c>
      <c r="J1430">
        <f>VLOOKUP(F1430,[1]!china_towns_second__2[[Column1]:[Y]],3,FALSE)</f>
        <v>32.854904065466499</v>
      </c>
      <c r="K1430">
        <f>VLOOKUP(F1430,[1]!china_towns_second__2[[Column1]:[Y]],2,FALSE)</f>
        <v>109.1198404</v>
      </c>
      <c r="L1430" t="s">
        <v>5547</v>
      </c>
      <c r="M1430" t="str">
        <f>VLOOKUP(H1430,CHOOSE({1,2},Table11[Native],Table11[Name]),2,0)</f>
        <v>Hànbīn Qū</v>
      </c>
      <c r="N1430" s="13" t="str">
        <f>VLOOKUP(I1430,CHOOSE({1,2},Table11[Native],Table11[Name]),2,0)</f>
        <v>Ānkāng Shì</v>
      </c>
      <c r="O1430" s="13" t="str">
        <f t="shared" si="90"/>
        <v>Zaoyang Zhen [incl. Gongjin Xiang] (Ānkāng Shì)</v>
      </c>
      <c r="P1430" s="13" t="str">
        <f t="shared" si="91"/>
        <v>Zaoyang Zhen [incl. Gongjin Xiang] (Ānkāng Shì)</v>
      </c>
    </row>
    <row r="1431" spans="1:16" hidden="1" x14ac:dyDescent="0.25">
      <c r="A1431" t="s">
        <v>2300</v>
      </c>
      <c r="B1431" t="str">
        <f t="shared" si="88"/>
        <v>Zăoyuán Jiēdào (Xī'ān Shì)</v>
      </c>
      <c r="C1431" t="str">
        <f t="shared" si="89"/>
        <v>Zăoyuán Jiēdào (Xī'ān Shì)</v>
      </c>
      <c r="D1431" t="s">
        <v>2301</v>
      </c>
      <c r="E1431" t="s">
        <v>113</v>
      </c>
      <c r="F1431" t="str">
        <f>_xlfn.CONCAT(D1431,", ",H1431,", ",I1431,", ","陕西省")</f>
        <v>枣园街道, 莲湖区, 西安市, 陕西省</v>
      </c>
      <c r="G1431">
        <v>68107</v>
      </c>
      <c r="H1431" t="s">
        <v>3109</v>
      </c>
      <c r="I1431" t="s">
        <v>3102</v>
      </c>
      <c r="J1431">
        <f>VLOOKUP(F1431,[1]!china_towns_second__2[[Column1]:[Y]],3,FALSE)</f>
        <v>34.282970339625699</v>
      </c>
      <c r="K1431">
        <f>VLOOKUP(F1431,[1]!china_towns_second__2[[Column1]:[Y]],2,FALSE)</f>
        <v>108.8306346</v>
      </c>
      <c r="L1431" t="s">
        <v>5548</v>
      </c>
      <c r="M1431" t="str">
        <f>VLOOKUP(H1431,CHOOSE({1,2},Table11[Native],Table11[Name]),2,0)</f>
        <v>Liánhú Qū</v>
      </c>
      <c r="N1431" s="13" t="str">
        <f>VLOOKUP(I1431,CHOOSE({1,2},Table11[Native],Table11[Name]),2,0)</f>
        <v>Xī'ān Shì</v>
      </c>
      <c r="O1431" s="13" t="str">
        <f t="shared" si="90"/>
        <v>Zaoyuan Jiedao (Xi'an Shi) (Xī'ān Shì)</v>
      </c>
      <c r="P1431" s="13" t="str">
        <f t="shared" si="91"/>
        <v>Zaoyuan Jiedao (Xi'an Shi) (Xī'ān Shì)</v>
      </c>
    </row>
    <row r="1432" spans="1:16" hidden="1" x14ac:dyDescent="0.25">
      <c r="A1432" t="s">
        <v>2300</v>
      </c>
      <c r="B1432" t="str">
        <f t="shared" si="88"/>
        <v>Zăoyuán Jiēdào (Yán'ān Shì)</v>
      </c>
      <c r="C1432" t="str">
        <f t="shared" si="89"/>
        <v>Zăoyuán Jiēdào (Yán'ān Shì)</v>
      </c>
      <c r="D1432" t="s">
        <v>2301</v>
      </c>
      <c r="E1432" t="s">
        <v>113</v>
      </c>
      <c r="F1432" t="str">
        <f>_xlfn.CONCAT(D1432,", ",H1432,", ",I1432,", ","陕西省")</f>
        <v>枣园街道, 宝塔区, 延安市, 陕西省</v>
      </c>
      <c r="G1432">
        <v>15835</v>
      </c>
      <c r="H1432" t="s">
        <v>3135</v>
      </c>
      <c r="I1432" t="s">
        <v>3133</v>
      </c>
      <c r="J1432" t="e">
        <f>VLOOKUP(F1432,[1]!china_towns_second__2[[Column1]:[Y]],3,FALSE)</f>
        <v>#N/A</v>
      </c>
      <c r="K1432" t="e">
        <f>VLOOKUP(F1432,[1]!china_towns_second__2[[Column1]:[Y]],2,FALSE)</f>
        <v>#N/A</v>
      </c>
      <c r="L1432" t="s">
        <v>5549</v>
      </c>
      <c r="M1432" t="str">
        <f>VLOOKUP(H1432,CHOOSE({1,2},Table11[Native],Table11[Name]),2,0)</f>
        <v>Băotă Qū</v>
      </c>
      <c r="N1432" s="13" t="str">
        <f>VLOOKUP(I1432,CHOOSE({1,2},Table11[Native],Table11[Name]),2,0)</f>
        <v>Yán'ān Shì</v>
      </c>
      <c r="O1432" s="13" t="str">
        <f t="shared" si="90"/>
        <v>Zaoyuan Jiedao (Yan'an Shi) (Yán'ān Shì)</v>
      </c>
      <c r="P1432" s="13" t="str">
        <f t="shared" si="91"/>
        <v>Zaoyuan Jiedao (Yan'an Shi) (Yán'ān Shì)</v>
      </c>
    </row>
    <row r="1433" spans="1:16" hidden="1" x14ac:dyDescent="0.25">
      <c r="A1433" t="s">
        <v>1940</v>
      </c>
      <c r="B1433" t="str">
        <f t="shared" si="88"/>
        <v>Zăoyuán Zhèn</v>
      </c>
      <c r="C1433" t="str">
        <f t="shared" si="89"/>
        <v>Zăoyuán Zhèn</v>
      </c>
      <c r="D1433" t="s">
        <v>1941</v>
      </c>
      <c r="E1433" t="s">
        <v>7</v>
      </c>
      <c r="F1433" t="str">
        <f>_xlfn.CONCAT(D1433,", ",H1433,", ",I1433,", ","陕西省")</f>
        <v>枣园镇, 长武县, 咸阳市, 陕西省</v>
      </c>
      <c r="G1433">
        <v>7912</v>
      </c>
      <c r="H1433" t="s">
        <v>3119</v>
      </c>
      <c r="I1433" t="s">
        <v>3117</v>
      </c>
      <c r="J1433">
        <f>VLOOKUP(F1433,[1]!china_towns_second__2[[Column1]:[Y]],3,FALSE)</f>
        <v>35.138346617932399</v>
      </c>
      <c r="K1433">
        <f>VLOOKUP(F1433,[1]!china_towns_second__2[[Column1]:[Y]],2,FALSE)</f>
        <v>107.7607075</v>
      </c>
      <c r="L1433" t="s">
        <v>5550</v>
      </c>
      <c r="M1433" t="str">
        <f>VLOOKUP(H1433,CHOOSE({1,2},Table11[Native],Table11[Name]),2,0)</f>
        <v>Chángwŭ Xiàn</v>
      </c>
      <c r="N1433" s="13" t="str">
        <f>VLOOKUP(I1433,CHOOSE({1,2},Table11[Native],Table11[Name]),2,0)</f>
        <v>Xiányáng Shì</v>
      </c>
      <c r="O1433" s="13" t="str">
        <f t="shared" si="90"/>
        <v>Zaoyuan Zhen (Xiányáng Shì)</v>
      </c>
      <c r="P1433" s="13" t="str">
        <f t="shared" si="91"/>
        <v>Zaoyuan Zhen (Xiányáng Shì)</v>
      </c>
    </row>
    <row r="1434" spans="1:16" hidden="1" x14ac:dyDescent="0.25">
      <c r="A1434" t="s">
        <v>313</v>
      </c>
      <c r="B1434" t="str">
        <f t="shared" si="88"/>
        <v>Zēngjiā Zhèn [incl. Hóngshí Xiāng]</v>
      </c>
      <c r="C1434" t="str">
        <f t="shared" si="89"/>
        <v>Zēngjiā Zhèn [incl. Hóngshí Xiāng]</v>
      </c>
      <c r="D1434" t="s">
        <v>314</v>
      </c>
      <c r="E1434" t="s">
        <v>7</v>
      </c>
      <c r="F1434" t="str">
        <f>_xlfn.CONCAT(D1434,", ",H1434,", ",I1434,", ","陕西省")</f>
        <v>曾家镇, 镇坪县, 安康市, 陕西省</v>
      </c>
      <c r="G1434">
        <v>9708</v>
      </c>
      <c r="H1434" t="s">
        <v>3042</v>
      </c>
      <c r="I1434" t="s">
        <v>3031</v>
      </c>
      <c r="J1434">
        <f>VLOOKUP(F1434,[1]!china_towns_second__2[[Column1]:[Y]],3,FALSE)</f>
        <v>32.109987166251997</v>
      </c>
      <c r="K1434">
        <f>VLOOKUP(F1434,[1]!china_towns_second__2[[Column1]:[Y]],2,FALSE)</f>
        <v>109.4049354</v>
      </c>
      <c r="L1434" t="s">
        <v>5551</v>
      </c>
      <c r="M1434" t="str">
        <f>VLOOKUP(H1434,CHOOSE({1,2},Table11[Native],Table11[Name]),2,0)</f>
        <v>Zhènpíng Xiàn</v>
      </c>
      <c r="N1434" s="13" t="str">
        <f>VLOOKUP(I1434,CHOOSE({1,2},Table11[Native],Table11[Name]),2,0)</f>
        <v>Ānkāng Shì</v>
      </c>
      <c r="O1434" s="13" t="str">
        <f t="shared" si="90"/>
        <v>Zengjia Zhen [incl. Hongshi Xiang] (Ānkāng Shì)</v>
      </c>
      <c r="P1434" s="13" t="str">
        <f t="shared" si="91"/>
        <v>Zengjia Zhen [incl. Hongshi Xiang] (Ānkāng Shì)</v>
      </c>
    </row>
    <row r="1435" spans="1:16" hidden="1" x14ac:dyDescent="0.25">
      <c r="A1435" t="s">
        <v>1019</v>
      </c>
      <c r="B1435" t="str">
        <f t="shared" si="88"/>
        <v>Zēngjiāhé Xiāng</v>
      </c>
      <c r="C1435" t="str">
        <f t="shared" si="89"/>
        <v>Zēngjiāhé Xiāng</v>
      </c>
      <c r="D1435" t="s">
        <v>1020</v>
      </c>
      <c r="E1435" t="s">
        <v>11</v>
      </c>
      <c r="F1435" t="str">
        <f>_xlfn.CONCAT(D1435,", ",H1435,", ",I1435,", ","陕西省")</f>
        <v>曾家河乡, 宁强县, 汉中市, 陕西省</v>
      </c>
      <c r="G1435">
        <v>6141</v>
      </c>
      <c r="H1435" t="s">
        <v>3067</v>
      </c>
      <c r="I1435" t="s">
        <v>3059</v>
      </c>
      <c r="J1435" t="e">
        <f>VLOOKUP(F1435,[1]!china_towns_second__2[[Column1]:[Y]],3,FALSE)</f>
        <v>#N/A</v>
      </c>
      <c r="K1435" t="e">
        <f>VLOOKUP(F1435,[1]!china_towns_second__2[[Column1]:[Y]],2,FALSE)</f>
        <v>#N/A</v>
      </c>
      <c r="L1435" t="s">
        <v>5552</v>
      </c>
      <c r="M1435" t="str">
        <f>VLOOKUP(H1435,CHOOSE({1,2},Table11[Native],Table11[Name]),2,0)</f>
        <v>Níngqiáng Xiàn</v>
      </c>
      <c r="N1435" s="13" t="str">
        <f>VLOOKUP(I1435,CHOOSE({1,2},Table11[Native],Table11[Name]),2,0)</f>
        <v>Hànzhōng Shì</v>
      </c>
      <c r="O1435" s="13" t="str">
        <f t="shared" si="90"/>
        <v>Zengjiahe Xiang (Hànzhōng Shì)</v>
      </c>
      <c r="P1435" s="13" t="str">
        <f t="shared" si="91"/>
        <v>Zengjiahe Xiang (Hànzhōng Shì)</v>
      </c>
    </row>
    <row r="1436" spans="1:16" hidden="1" x14ac:dyDescent="0.25">
      <c r="A1436" t="s">
        <v>315</v>
      </c>
      <c r="B1436" t="str">
        <f t="shared" si="88"/>
        <v>Zēngxī Zhèn</v>
      </c>
      <c r="C1436" t="str">
        <f t="shared" si="89"/>
        <v>Zēngxī Zhèn</v>
      </c>
      <c r="D1436" t="s">
        <v>316</v>
      </c>
      <c r="E1436" t="s">
        <v>7</v>
      </c>
      <c r="F1436" t="str">
        <f>_xlfn.CONCAT(D1436,", ",H1436,", ",I1436,", ","陕西省")</f>
        <v>曾溪镇, 石泉县, 安康市, 陕西省</v>
      </c>
      <c r="G1436">
        <v>5715</v>
      </c>
      <c r="H1436" t="s">
        <v>3040</v>
      </c>
      <c r="I1436" t="s">
        <v>3031</v>
      </c>
      <c r="J1436">
        <f>VLOOKUP(F1436,[1]!china_towns_second__2[[Column1]:[Y]],3,FALSE)</f>
        <v>33.035779834796699</v>
      </c>
      <c r="K1436">
        <f>VLOOKUP(F1436,[1]!china_towns_second__2[[Column1]:[Y]],2,FALSE)</f>
        <v>108.1415837</v>
      </c>
      <c r="L1436" t="s">
        <v>5553</v>
      </c>
      <c r="M1436" t="str">
        <f>VLOOKUP(H1436,CHOOSE({1,2},Table11[Native],Table11[Name]),2,0)</f>
        <v>Shíquán Xiàn</v>
      </c>
      <c r="N1436" s="13" t="str">
        <f>VLOOKUP(I1436,CHOOSE({1,2},Table11[Native],Table11[Name]),2,0)</f>
        <v>Ānkāng Shì</v>
      </c>
      <c r="O1436" s="13" t="str">
        <f t="shared" si="90"/>
        <v>Zengxi Zhen (Ānkāng Shì)</v>
      </c>
      <c r="P1436" s="13" t="str">
        <f t="shared" si="91"/>
        <v>Zengxi Zhen (Ānkāng Shì)</v>
      </c>
    </row>
    <row r="1437" spans="1:16" hidden="1" x14ac:dyDescent="0.25">
      <c r="A1437" t="s">
        <v>609</v>
      </c>
      <c r="B1437" t="str">
        <f t="shared" si="88"/>
        <v>Zhàngbā Zhèn</v>
      </c>
      <c r="C1437" t="str">
        <f t="shared" si="89"/>
        <v>Zhàngbā Zhèn</v>
      </c>
      <c r="D1437" t="s">
        <v>610</v>
      </c>
      <c r="E1437" t="s">
        <v>7</v>
      </c>
      <c r="F1437" t="str">
        <f>_xlfn.CONCAT(D1437,", ",H1437,", ",I1437,", ","陕西省")</f>
        <v>丈八镇, 麟游县, 宝鸡市, 陕西省</v>
      </c>
      <c r="G1437">
        <v>6165</v>
      </c>
      <c r="H1437" t="s">
        <v>3051</v>
      </c>
      <c r="I1437" t="s">
        <v>3045</v>
      </c>
      <c r="J1437">
        <f>VLOOKUP(F1437,[1]!china_towns_second__2[[Column1]:[Y]],3,FALSE)</f>
        <v>34.894775808920102</v>
      </c>
      <c r="K1437">
        <f>VLOOKUP(F1437,[1]!china_towns_second__2[[Column1]:[Y]],2,FALSE)</f>
        <v>107.6590099</v>
      </c>
      <c r="L1437" t="s">
        <v>5554</v>
      </c>
      <c r="M1437" t="str">
        <f>VLOOKUP(H1437,CHOOSE({1,2},Table11[Native],Table11[Name]),2,0)</f>
        <v>Línyóu Xiàn</v>
      </c>
      <c r="N1437" s="13" t="str">
        <f>VLOOKUP(I1437,CHOOSE({1,2},Table11[Native],Table11[Name]),2,0)</f>
        <v>Băojī Shì</v>
      </c>
      <c r="O1437" s="13" t="str">
        <f t="shared" si="90"/>
        <v>Zhangba Zhen (Băojī Shì)</v>
      </c>
      <c r="P1437" s="13" t="str">
        <f t="shared" si="91"/>
        <v>Zhangba Zhen (Băojī Shì)</v>
      </c>
    </row>
    <row r="1438" spans="1:16" hidden="1" x14ac:dyDescent="0.25">
      <c r="A1438" t="s">
        <v>2302</v>
      </c>
      <c r="B1438" t="str">
        <f t="shared" si="88"/>
        <v>Zhàngbāgōu Jiēdào</v>
      </c>
      <c r="C1438" t="str">
        <f t="shared" si="89"/>
        <v>Zhàngbāgōu Jiēdào</v>
      </c>
      <c r="D1438" t="s">
        <v>2303</v>
      </c>
      <c r="E1438" t="s">
        <v>113</v>
      </c>
      <c r="F1438" t="str">
        <f>_xlfn.CONCAT(D1438,", ",H1438,", ",I1438,", ","陕西省")</f>
        <v>丈八沟街道, 雁塔区, 西安市, 陕西省</v>
      </c>
      <c r="G1438">
        <v>191873</v>
      </c>
      <c r="H1438" t="s">
        <v>3114</v>
      </c>
      <c r="I1438" t="s">
        <v>3102</v>
      </c>
      <c r="J1438">
        <f>VLOOKUP(F1438,[1]!china_towns_second__2[[Column1]:[Y]],3,FALSE)</f>
        <v>34.210315943342103</v>
      </c>
      <c r="K1438">
        <f>VLOOKUP(F1438,[1]!china_towns_second__2[[Column1]:[Y]],2,FALSE)</f>
        <v>108.8687029</v>
      </c>
      <c r="L1438" t="s">
        <v>5555</v>
      </c>
      <c r="M1438" t="str">
        <f>VLOOKUP(H1438,CHOOSE({1,2},Table11[Native],Table11[Name]),2,0)</f>
        <v>Yàntă Qū</v>
      </c>
      <c r="N1438" s="13" t="str">
        <f>VLOOKUP(I1438,CHOOSE({1,2},Table11[Native],Table11[Name]),2,0)</f>
        <v>Xī'ān Shì</v>
      </c>
      <c r="O1438" s="13" t="str">
        <f t="shared" si="90"/>
        <v>Zhangbagou Jiedao (Xī'ān Shì)</v>
      </c>
      <c r="P1438" s="13" t="str">
        <f t="shared" si="91"/>
        <v>Zhangbagou Jiedao (Xī'ān Shì)</v>
      </c>
    </row>
    <row r="1439" spans="1:16" hidden="1" x14ac:dyDescent="0.25">
      <c r="A1439" t="s">
        <v>2304</v>
      </c>
      <c r="B1439" t="str">
        <f t="shared" si="88"/>
        <v>Zhāngbŭ Jiēdào</v>
      </c>
      <c r="C1439" t="str">
        <f t="shared" si="89"/>
        <v>Zhāngbŭ Jiēdào</v>
      </c>
      <c r="D1439" t="s">
        <v>2305</v>
      </c>
      <c r="E1439" t="s">
        <v>113</v>
      </c>
      <c r="F1439" t="str">
        <f>_xlfn.CONCAT(D1439,", ",H1439,", ",I1439,", ","陕西省")</f>
        <v>张卜街道, 高陵区, 西安市, 陕西省</v>
      </c>
      <c r="G1439">
        <v>29633</v>
      </c>
      <c r="H1439" t="s">
        <v>3106</v>
      </c>
      <c r="I1439" t="s">
        <v>3102</v>
      </c>
      <c r="J1439" t="e">
        <f>VLOOKUP(F1439,[1]!china_towns_second__2[[Column1]:[Y]],3,FALSE)</f>
        <v>#N/A</v>
      </c>
      <c r="K1439" t="e">
        <f>VLOOKUP(F1439,[1]!china_towns_second__2[[Column1]:[Y]],2,FALSE)</f>
        <v>#N/A</v>
      </c>
      <c r="L1439" t="s">
        <v>5556</v>
      </c>
      <c r="M1439" t="str">
        <f>VLOOKUP(H1439,CHOOSE({1,2},Table11[Native],Table11[Name]),2,0)</f>
        <v>Gāolíng Qū</v>
      </c>
      <c r="N1439" s="13" t="str">
        <f>VLOOKUP(I1439,CHOOSE({1,2},Table11[Native],Table11[Name]),2,0)</f>
        <v>Xī'ān Shì</v>
      </c>
      <c r="O1439" s="13" t="str">
        <f t="shared" si="90"/>
        <v>Zhangbu Jiedao (Xī'ān Shì)</v>
      </c>
      <c r="P1439" s="13" t="str">
        <f t="shared" si="91"/>
        <v>Zhangbu Jiedao (Xī'ān Shì)</v>
      </c>
    </row>
    <row r="1440" spans="1:16" hidden="1" x14ac:dyDescent="0.25">
      <c r="A1440" t="s">
        <v>1282</v>
      </c>
      <c r="B1440" t="str">
        <f t="shared" si="88"/>
        <v>Zhāngcūn Zhèn</v>
      </c>
      <c r="C1440" t="str">
        <f t="shared" si="89"/>
        <v>Zhāngcūn Zhèn</v>
      </c>
      <c r="D1440" t="s">
        <v>1283</v>
      </c>
      <c r="E1440" t="s">
        <v>7</v>
      </c>
      <c r="F1440" t="str">
        <f>_xlfn.CONCAT(D1440,", ",H1440,", ",I1440,", ","陕西省")</f>
        <v>张村镇, 商州区, 商洛市, 陕西省</v>
      </c>
      <c r="G1440">
        <v>16146</v>
      </c>
      <c r="H1440" t="s">
        <v>3076</v>
      </c>
      <c r="I1440" t="s">
        <v>3072</v>
      </c>
      <c r="J1440">
        <f>VLOOKUP(F1440,[1]!china_towns_second__2[[Column1]:[Y]],3,FALSE)</f>
        <v>33.805900000000001</v>
      </c>
      <c r="K1440">
        <f>VLOOKUP(F1440,[1]!china_towns_second__2[[Column1]:[Y]],2,FALSE)</f>
        <v>110.0634</v>
      </c>
      <c r="L1440" t="s">
        <v>5557</v>
      </c>
      <c r="M1440" t="str">
        <f>VLOOKUP(H1440,CHOOSE({1,2},Table11[Native],Table11[Name]),2,0)</f>
        <v>Shāngzhōu Qū</v>
      </c>
      <c r="N1440" s="13" t="str">
        <f>VLOOKUP(I1440,CHOOSE({1,2},Table11[Native],Table11[Name]),2,0)</f>
        <v>Shāngluò Shì</v>
      </c>
      <c r="O1440" s="13" t="str">
        <f t="shared" si="90"/>
        <v>Zhangcun Zhen (Shāngluò Shì)</v>
      </c>
      <c r="P1440" s="13" t="str">
        <f t="shared" si="91"/>
        <v>Zhangcun Zhen (Shāngluò Shì)</v>
      </c>
    </row>
    <row r="1441" spans="1:16" hidden="1" x14ac:dyDescent="0.25">
      <c r="A1441" t="s">
        <v>2598</v>
      </c>
      <c r="B1441" t="str">
        <f t="shared" si="88"/>
        <v>Zhāngcūnyì Zhèn</v>
      </c>
      <c r="C1441" t="str">
        <f t="shared" si="89"/>
        <v>Zhāngcūnyì Zhèn</v>
      </c>
      <c r="D1441" t="s">
        <v>2599</v>
      </c>
      <c r="E1441" t="s">
        <v>7</v>
      </c>
      <c r="F1441" t="str">
        <f>_xlfn.CONCAT(D1441,", ",H1441,", ",I1441,", ","陕西省")</f>
        <v>张村驿镇, 富县, 延安市, 陕西省</v>
      </c>
      <c r="G1441">
        <v>10748</v>
      </c>
      <c r="H1441" t="s">
        <v>3136</v>
      </c>
      <c r="I1441" t="s">
        <v>3133</v>
      </c>
      <c r="J1441">
        <f>VLOOKUP(F1441,[1]!china_towns_second__2[[Column1]:[Y]],3,FALSE)</f>
        <v>35.8632501253946</v>
      </c>
      <c r="K1441">
        <f>VLOOKUP(F1441,[1]!china_towns_second__2[[Column1]:[Y]],2,FALSE)</f>
        <v>109.07172060000001</v>
      </c>
      <c r="L1441" t="s">
        <v>5558</v>
      </c>
      <c r="M1441" t="str">
        <f>VLOOKUP(H1441,CHOOSE({1,2},Table11[Native],Table11[Name]),2,0)</f>
        <v>Fù Xiàn</v>
      </c>
      <c r="N1441" s="13" t="str">
        <f>VLOOKUP(I1441,CHOOSE({1,2},Table11[Native],Table11[Name]),2,0)</f>
        <v>Yán'ān Shì</v>
      </c>
      <c r="O1441" s="13" t="str">
        <f t="shared" si="90"/>
        <v>Zhangcunyi Zhen (Yán'ān Shì)</v>
      </c>
      <c r="P1441" s="13" t="str">
        <f t="shared" si="91"/>
        <v>Zhangcunyi Zhen (Yán'ān Shì)</v>
      </c>
    </row>
    <row r="1442" spans="1:16" hidden="1" x14ac:dyDescent="0.25">
      <c r="A1442" t="s">
        <v>317</v>
      </c>
      <c r="B1442" t="str">
        <f t="shared" si="88"/>
        <v>Zhānghé Xiāng</v>
      </c>
      <c r="C1442" t="str">
        <f t="shared" si="89"/>
        <v>Zhānghé Xiāng</v>
      </c>
      <c r="D1442" t="s">
        <v>318</v>
      </c>
      <c r="E1442" t="s">
        <v>11</v>
      </c>
      <c r="F1442" t="str">
        <f>_xlfn.CONCAT(D1442,", ",H1442,", ",I1442,", ","陕西省")</f>
        <v>漳河乡, 岚皋县, 安康市, 陕西省</v>
      </c>
      <c r="G1442">
        <v>3443</v>
      </c>
      <c r="H1442" t="s">
        <v>3037</v>
      </c>
      <c r="I1442" t="s">
        <v>3031</v>
      </c>
      <c r="J1442" t="e">
        <f>VLOOKUP(F1442,[1]!china_towns_second__2[[Column1]:[Y]],3,FALSE)</f>
        <v>#N/A</v>
      </c>
      <c r="K1442" t="e">
        <f>VLOOKUP(F1442,[1]!china_towns_second__2[[Column1]:[Y]],2,FALSE)</f>
        <v>#N/A</v>
      </c>
      <c r="L1442" t="s">
        <v>5559</v>
      </c>
      <c r="M1442" t="str">
        <f>VLOOKUP(H1442,CHOOSE({1,2},Table11[Native],Table11[Name]),2,0)</f>
        <v>Lángāo Xiàn</v>
      </c>
      <c r="N1442" s="13" t="str">
        <f>VLOOKUP(I1442,CHOOSE({1,2},Table11[Native],Table11[Name]),2,0)</f>
        <v>Ānkāng Shì</v>
      </c>
      <c r="O1442" s="13" t="str">
        <f t="shared" si="90"/>
        <v>Zhanghe Xiang (Ānkāng Shì)</v>
      </c>
      <c r="P1442" s="13" t="str">
        <f t="shared" si="91"/>
        <v>Zhanghe Xiang (Ānkāng Shì)</v>
      </c>
    </row>
    <row r="1443" spans="1:16" hidden="1" x14ac:dyDescent="0.25">
      <c r="A1443" t="s">
        <v>1942</v>
      </c>
      <c r="B1443" t="str">
        <f t="shared" si="88"/>
        <v>Zhānghóng Zhèn [incl. Yuándĭ Xiāng]</v>
      </c>
      <c r="C1443" t="str">
        <f t="shared" si="89"/>
        <v>Zhānghóng Zhèn [incl. Yuándĭ Xiāng]</v>
      </c>
      <c r="D1443" t="s">
        <v>1943</v>
      </c>
      <c r="E1443" t="s">
        <v>7</v>
      </c>
      <c r="F1443" t="str">
        <f>_xlfn.CONCAT(D1443,", ",H1443,", ",I1443,", ","陕西省")</f>
        <v>张洪镇, 旬邑县, 咸阳市, 陕西省</v>
      </c>
      <c r="G1443">
        <v>31928</v>
      </c>
      <c r="H1443" t="s">
        <v>3129</v>
      </c>
      <c r="I1443" t="s">
        <v>3117</v>
      </c>
      <c r="J1443">
        <f>VLOOKUP(F1443,[1]!china_towns_second__2[[Column1]:[Y]],3,FALSE)</f>
        <v>35.042620105508</v>
      </c>
      <c r="K1443">
        <f>VLOOKUP(F1443,[1]!china_towns_second__2[[Column1]:[Y]],2,FALSE)</f>
        <v>108.24249090000001</v>
      </c>
      <c r="L1443" t="s">
        <v>5560</v>
      </c>
      <c r="M1443" t="str">
        <f>VLOOKUP(H1443,CHOOSE({1,2},Table11[Native],Table11[Name]),2,0)</f>
        <v>Xúnyì Xiàn</v>
      </c>
      <c r="N1443" s="13" t="str">
        <f>VLOOKUP(I1443,CHOOSE({1,2},Table11[Native],Table11[Name]),2,0)</f>
        <v>Xiányáng Shì</v>
      </c>
      <c r="O1443" s="13" t="str">
        <f t="shared" si="90"/>
        <v>Zhanghong Zhen [incl. Yuandi Xiang] (Xiányáng Shì)</v>
      </c>
      <c r="P1443" s="13" t="str">
        <f t="shared" si="91"/>
        <v>Zhanghong Zhen [incl. Yuandi Xiang] (Xiányáng Shì)</v>
      </c>
    </row>
    <row r="1444" spans="1:16" hidden="1" x14ac:dyDescent="0.25">
      <c r="A1444" t="s">
        <v>1689</v>
      </c>
      <c r="B1444" t="str">
        <f t="shared" si="88"/>
        <v>Zhāngjiā Xiāng</v>
      </c>
      <c r="C1444" t="str">
        <f t="shared" si="89"/>
        <v>Zhāngjiā Xiāng</v>
      </c>
      <c r="D1444" t="s">
        <v>1690</v>
      </c>
      <c r="E1444" t="s">
        <v>11</v>
      </c>
      <c r="F1444" t="str">
        <f>_xlfn.CONCAT(D1444,", ",H1444,", ",I1444,", ","陕西省")</f>
        <v>张家乡, 大荔县, 渭南市, 陕西省</v>
      </c>
      <c r="G1444">
        <v>19736</v>
      </c>
      <c r="H1444" t="s">
        <v>3090</v>
      </c>
      <c r="I1444" t="s">
        <v>3087</v>
      </c>
      <c r="J1444" t="e">
        <f>VLOOKUP(F1444,[1]!china_towns_second__2[[Column1]:[Y]],3,FALSE)</f>
        <v>#N/A</v>
      </c>
      <c r="K1444" t="e">
        <f>VLOOKUP(F1444,[1]!china_towns_second__2[[Column1]:[Y]],2,FALSE)</f>
        <v>#N/A</v>
      </c>
      <c r="L1444" t="s">
        <v>5561</v>
      </c>
      <c r="M1444" t="str">
        <f>VLOOKUP(H1444,CHOOSE({1,2},Table11[Native],Table11[Name]),2,0)</f>
        <v>Dàlì Xiàn</v>
      </c>
      <c r="N1444" s="13" t="str">
        <f>VLOOKUP(I1444,CHOOSE({1,2},Table11[Native],Table11[Name]),2,0)</f>
        <v>Wèinán Shì</v>
      </c>
      <c r="O1444" s="13" t="str">
        <f t="shared" si="90"/>
        <v>Zhangjia Xiang (Wèinán Shì)</v>
      </c>
      <c r="P1444" s="13" t="str">
        <f t="shared" si="91"/>
        <v>Zhangjia Xiang (Wèinán Shì)</v>
      </c>
    </row>
    <row r="1445" spans="1:16" hidden="1" x14ac:dyDescent="0.25">
      <c r="A1445" t="s">
        <v>2306</v>
      </c>
      <c r="B1445" t="str">
        <f t="shared" si="88"/>
        <v>Zhāngjiābăo Jiēdào</v>
      </c>
      <c r="C1445" t="str">
        <f t="shared" si="89"/>
        <v>Zhāngjiābăo Jiēdào</v>
      </c>
      <c r="D1445" t="s">
        <v>2307</v>
      </c>
      <c r="E1445" t="s">
        <v>113</v>
      </c>
      <c r="F1445" t="str">
        <f>_xlfn.CONCAT(D1445,", ",H1445,", ",I1445,", ","陕西省")</f>
        <v>张家堡街道, 未央区, 西安市, 陕西省</v>
      </c>
      <c r="G1445">
        <v>139047</v>
      </c>
      <c r="H1445" t="s">
        <v>3111</v>
      </c>
      <c r="I1445" t="s">
        <v>3102</v>
      </c>
      <c r="J1445">
        <f>VLOOKUP(F1445,[1]!china_towns_second__2[[Column1]:[Y]],3,FALSE)</f>
        <v>34.3259012744982</v>
      </c>
      <c r="K1445">
        <f>VLOOKUP(F1445,[1]!china_towns_second__2[[Column1]:[Y]],2,FALSE)</f>
        <v>108.9405101</v>
      </c>
      <c r="L1445" t="s">
        <v>5562</v>
      </c>
      <c r="M1445" t="str">
        <f>VLOOKUP(H1445,CHOOSE({1,2},Table11[Native],Table11[Name]),2,0)</f>
        <v>Wèiyāng Qū</v>
      </c>
      <c r="N1445" s="13" t="str">
        <f>VLOOKUP(I1445,CHOOSE({1,2},Table11[Native],Table11[Name]),2,0)</f>
        <v>Xī'ān Shì</v>
      </c>
      <c r="O1445" s="13" t="str">
        <f t="shared" si="90"/>
        <v>Zhangjiabao Jiedao (Xī'ān Shì)</v>
      </c>
      <c r="P1445" s="13" t="str">
        <f t="shared" si="91"/>
        <v>Zhangjiabao Jiedao (Xī'ān Shì)</v>
      </c>
    </row>
    <row r="1446" spans="1:16" hidden="1" x14ac:dyDescent="0.25">
      <c r="A1446" t="s">
        <v>2993</v>
      </c>
      <c r="B1446" t="str">
        <f t="shared" si="88"/>
        <v>Zhāngjiābiān Zhèn</v>
      </c>
      <c r="C1446" t="str">
        <f t="shared" si="89"/>
        <v>Zhāngjiābiān Zhèn</v>
      </c>
      <c r="D1446" t="s">
        <v>2994</v>
      </c>
      <c r="E1446" t="s">
        <v>7</v>
      </c>
      <c r="F1446" t="str">
        <f>_xlfn.CONCAT(D1446,", ",H1446,", ",I1446,", ","陕西省")</f>
        <v>张家砭镇, 绥德县, 榆林市, 陕西省</v>
      </c>
      <c r="G1446">
        <v>21951</v>
      </c>
      <c r="H1446" t="s">
        <v>3157</v>
      </c>
      <c r="I1446" t="s">
        <v>3148</v>
      </c>
      <c r="J1446">
        <f>VLOOKUP(F1446,[1]!china_towns_second__2[[Column1]:[Y]],3,FALSE)</f>
        <v>37.505947417067397</v>
      </c>
      <c r="K1446">
        <f>VLOOKUP(F1446,[1]!china_towns_second__2[[Column1]:[Y]],2,FALSE)</f>
        <v>110.1851393</v>
      </c>
      <c r="L1446" t="s">
        <v>5563</v>
      </c>
      <c r="M1446" t="str">
        <f>VLOOKUP(H1446,CHOOSE({1,2},Table11[Native],Table11[Name]),2,0)</f>
        <v>Suídé Xiàn</v>
      </c>
      <c r="N1446" s="13" t="str">
        <f>VLOOKUP(I1446,CHOOSE({1,2},Table11[Native],Table11[Name]),2,0)</f>
        <v>Yúlín Shì</v>
      </c>
      <c r="O1446" s="13" t="str">
        <f t="shared" si="90"/>
        <v>Zhangjiabian Zhen (Yúlín Shì)</v>
      </c>
      <c r="P1446" s="13" t="str">
        <f t="shared" si="91"/>
        <v>Zhangjiabian Zhen (Yúlín Shì)</v>
      </c>
    </row>
    <row r="1447" spans="1:16" hidden="1" x14ac:dyDescent="0.25">
      <c r="A1447" t="s">
        <v>2308</v>
      </c>
      <c r="B1447" t="str">
        <f t="shared" si="88"/>
        <v>Zhāngjiācūn Jiēdào</v>
      </c>
      <c r="C1447" t="str">
        <f t="shared" si="89"/>
        <v>Zhāngjiācūn Jiēdào</v>
      </c>
      <c r="D1447" t="s">
        <v>2309</v>
      </c>
      <c r="E1447" t="s">
        <v>113</v>
      </c>
      <c r="F1447" t="str">
        <f>_xlfn.CONCAT(D1447,", ",H1447,", ",I1447,", ","陕西省")</f>
        <v>张家村街道, 碑林区, 西安市, 陕西省</v>
      </c>
      <c r="G1447">
        <v>128140</v>
      </c>
      <c r="H1447" t="s">
        <v>3104</v>
      </c>
      <c r="I1447" t="s">
        <v>3102</v>
      </c>
      <c r="J1447">
        <f>VLOOKUP(F1447,[1]!china_towns_second__2[[Column1]:[Y]],3,FALSE)</f>
        <v>34.242688779944203</v>
      </c>
      <c r="K1447">
        <f>VLOOKUP(F1447,[1]!china_towns_second__2[[Column1]:[Y]],2,FALSE)</f>
        <v>108.92192729999999</v>
      </c>
      <c r="L1447" t="s">
        <v>5564</v>
      </c>
      <c r="M1447" t="str">
        <f>VLOOKUP(H1447,CHOOSE({1,2},Table11[Native],Table11[Name]),2,0)</f>
        <v>Bēilín Qū</v>
      </c>
      <c r="N1447" s="13" t="str">
        <f>VLOOKUP(I1447,CHOOSE({1,2},Table11[Native],Table11[Name]),2,0)</f>
        <v>Xī'ān Shì</v>
      </c>
      <c r="O1447" s="13" t="str">
        <f t="shared" si="90"/>
        <v>Zhangjiacun Jiedao (Xī'ān Shì)</v>
      </c>
      <c r="P1447" s="13" t="str">
        <f t="shared" si="91"/>
        <v>Zhangjiacun Jiedao (Xī'ān Shì)</v>
      </c>
    </row>
    <row r="1448" spans="1:16" hidden="1" x14ac:dyDescent="0.25">
      <c r="A1448" t="s">
        <v>1021</v>
      </c>
      <c r="B1448" t="str">
        <f t="shared" si="88"/>
        <v>Zhāngjiāhé Zhèn</v>
      </c>
      <c r="C1448" t="str">
        <f t="shared" si="89"/>
        <v>Zhāngjiāhé Zhèn</v>
      </c>
      <c r="D1448" t="s">
        <v>1022</v>
      </c>
      <c r="E1448" t="s">
        <v>7</v>
      </c>
      <c r="F1448" t="str">
        <f>_xlfn.CONCAT(D1448,", ",H1448,", ",I1448,", ","陕西省")</f>
        <v>张家河镇, 勉县, 汉中市, 陕西省</v>
      </c>
      <c r="G1448">
        <v>5338</v>
      </c>
      <c r="H1448" t="s">
        <v>3065</v>
      </c>
      <c r="I1448" t="s">
        <v>3059</v>
      </c>
      <c r="J1448">
        <f>VLOOKUP(F1448,[1]!china_towns_second__2[[Column1]:[Y]],3,FALSE)</f>
        <v>33.490544839304597</v>
      </c>
      <c r="K1448">
        <f>VLOOKUP(F1448,[1]!china_towns_second__2[[Column1]:[Y]],2,FALSE)</f>
        <v>106.5816057</v>
      </c>
      <c r="L1448" t="s">
        <v>5565</v>
      </c>
      <c r="M1448" t="str">
        <f>VLOOKUP(H1448,CHOOSE({1,2},Table11[Native],Table11[Name]),2,0)</f>
        <v>Miăn Xiàn</v>
      </c>
      <c r="N1448" s="13" t="str">
        <f>VLOOKUP(I1448,CHOOSE({1,2},Table11[Native],Table11[Name]),2,0)</f>
        <v>Hànzhōng Shì</v>
      </c>
      <c r="O1448" s="13" t="str">
        <f t="shared" si="90"/>
        <v>Zhangjiahe Zhen (Hànzhōng Shì)</v>
      </c>
      <c r="P1448" s="13" t="str">
        <f t="shared" si="91"/>
        <v>Zhangjiahe Zhen (Hànzhōng Shì)</v>
      </c>
    </row>
    <row r="1449" spans="1:16" hidden="1" x14ac:dyDescent="0.25">
      <c r="A1449" t="s">
        <v>2995</v>
      </c>
      <c r="B1449" t="str">
        <f t="shared" si="88"/>
        <v>Zhāngjiāpàn Jiēdào</v>
      </c>
      <c r="C1449" t="str">
        <f t="shared" si="89"/>
        <v>Zhāngjiāpàn Jiēdào</v>
      </c>
      <c r="D1449" t="s">
        <v>2996</v>
      </c>
      <c r="E1449" t="s">
        <v>113</v>
      </c>
      <c r="F1449" t="str">
        <f>_xlfn.CONCAT(D1449,", ",H1449,", ",I1449,", ","陕西省")</f>
        <v>张家畔街道, 靖边县, 榆林市, 陕西省</v>
      </c>
      <c r="G1449">
        <v>181354</v>
      </c>
      <c r="H1449" t="s">
        <v>3153</v>
      </c>
      <c r="I1449" t="s">
        <v>3148</v>
      </c>
      <c r="J1449" t="e">
        <f>VLOOKUP(F1449,[1]!china_towns_second__2[[Column1]:[Y]],3,FALSE)</f>
        <v>#N/A</v>
      </c>
      <c r="K1449" t="e">
        <f>VLOOKUP(F1449,[1]!china_towns_second__2[[Column1]:[Y]],2,FALSE)</f>
        <v>#N/A</v>
      </c>
      <c r="L1449" t="s">
        <v>5566</v>
      </c>
      <c r="M1449" t="str">
        <f>VLOOKUP(H1449,CHOOSE({1,2},Table11[Native],Table11[Name]),2,0)</f>
        <v>Jìngbiān Xiàn</v>
      </c>
      <c r="N1449" s="13" t="str">
        <f>VLOOKUP(I1449,CHOOSE({1,2},Table11[Native],Table11[Name]),2,0)</f>
        <v>Yúlín Shì</v>
      </c>
      <c r="O1449" s="13" t="str">
        <f t="shared" si="90"/>
        <v>Zhangjiapan Jiedao (Yúlín Shì)</v>
      </c>
      <c r="P1449" s="13" t="str">
        <f t="shared" si="91"/>
        <v>Zhangjiapan Jiedao (Yúlín Shì)</v>
      </c>
    </row>
    <row r="1450" spans="1:16" hidden="1" x14ac:dyDescent="0.25">
      <c r="A1450" t="s">
        <v>2997</v>
      </c>
      <c r="B1450" t="str">
        <f t="shared" si="88"/>
        <v>Zhāngjiāshān Zhèn</v>
      </c>
      <c r="C1450" t="str">
        <f t="shared" si="89"/>
        <v>Zhāngjiāshān Zhèn</v>
      </c>
      <c r="D1450" t="s">
        <v>2998</v>
      </c>
      <c r="E1450" t="s">
        <v>7</v>
      </c>
      <c r="F1450" t="str">
        <f>_xlfn.CONCAT(D1450,", ",H1450,", ",I1450,", ","陕西省")</f>
        <v>张家山镇, 吴堡县, 榆林市, 陕西省</v>
      </c>
      <c r="G1450">
        <v>5382</v>
      </c>
      <c r="H1450" t="s">
        <v>3158</v>
      </c>
      <c r="I1450" t="s">
        <v>3148</v>
      </c>
      <c r="J1450">
        <f>VLOOKUP(F1450,[1]!china_towns_second__2[[Column1]:[Y]],3,FALSE)</f>
        <v>37.681494683472899</v>
      </c>
      <c r="K1450">
        <f>VLOOKUP(F1450,[1]!china_towns_second__2[[Column1]:[Y]],2,FALSE)</f>
        <v>110.5926302</v>
      </c>
      <c r="L1450" t="s">
        <v>5567</v>
      </c>
      <c r="M1450" t="str">
        <f>VLOOKUP(H1450,CHOOSE({1,2},Table11[Native],Table11[Name]),2,0)</f>
        <v>Wúbǔ Xiàn</v>
      </c>
      <c r="N1450" s="13" t="str">
        <f>VLOOKUP(I1450,CHOOSE({1,2},Table11[Native],Table11[Name]),2,0)</f>
        <v>Yúlín Shì</v>
      </c>
      <c r="O1450" s="13" t="str">
        <f t="shared" si="90"/>
        <v>Zhangjiashan Zhen (Yúlín Shì)</v>
      </c>
      <c r="P1450" s="13" t="str">
        <f t="shared" si="91"/>
        <v>Zhangjiashan Zhen (Yúlín Shì)</v>
      </c>
    </row>
    <row r="1451" spans="1:16" hidden="1" x14ac:dyDescent="0.25">
      <c r="A1451" t="s">
        <v>2600</v>
      </c>
      <c r="B1451" t="str">
        <f t="shared" si="88"/>
        <v>Zhāngjiātān Zhèn</v>
      </c>
      <c r="C1451" t="str">
        <f t="shared" si="89"/>
        <v>Zhāngjiātān Zhèn</v>
      </c>
      <c r="D1451" t="s">
        <v>2601</v>
      </c>
      <c r="E1451" t="s">
        <v>7</v>
      </c>
      <c r="F1451" t="str">
        <f>_xlfn.CONCAT(D1451,", ",H1451,", ",I1451,", ","陕西省")</f>
        <v>张家滩镇, 延长县, 延安市, 陕西省</v>
      </c>
      <c r="G1451">
        <v>11629</v>
      </c>
      <c r="H1451" t="s">
        <v>3142</v>
      </c>
      <c r="I1451" t="s">
        <v>3133</v>
      </c>
      <c r="J1451">
        <f>VLOOKUP(F1451,[1]!china_towns_second__2[[Column1]:[Y]],3,FALSE)</f>
        <v>36.500540384523703</v>
      </c>
      <c r="K1451">
        <f>VLOOKUP(F1451,[1]!china_towns_second__2[[Column1]:[Y]],2,FALSE)</f>
        <v>110.2094142</v>
      </c>
      <c r="L1451" t="s">
        <v>5568</v>
      </c>
      <c r="M1451" t="str">
        <f>VLOOKUP(H1451,CHOOSE({1,2},Table11[Native],Table11[Name]),2,0)</f>
        <v>Yáncháng Xiàn</v>
      </c>
      <c r="N1451" s="13" t="str">
        <f>VLOOKUP(I1451,CHOOSE({1,2},Table11[Native],Table11[Name]),2,0)</f>
        <v>Yán'ān Shì</v>
      </c>
      <c r="O1451" s="13" t="str">
        <f t="shared" si="90"/>
        <v>Zhangjiatan Zhen (Yán'ān Shì)</v>
      </c>
      <c r="P1451" s="13" t="str">
        <f t="shared" si="91"/>
        <v>Zhangjiatan Zhen (Yán'ān Shì)</v>
      </c>
    </row>
    <row r="1452" spans="1:16" hidden="1" x14ac:dyDescent="0.25">
      <c r="A1452" t="s">
        <v>2602</v>
      </c>
      <c r="B1452" t="str">
        <f t="shared" si="88"/>
        <v>Zhāngjiāwān Zhèn</v>
      </c>
      <c r="C1452" t="str">
        <f t="shared" si="89"/>
        <v>Zhāngjiāwān Zhèn</v>
      </c>
      <c r="D1452" t="s">
        <v>2603</v>
      </c>
      <c r="E1452" t="s">
        <v>7</v>
      </c>
      <c r="F1452" t="str">
        <f>_xlfn.CONCAT(D1452,", ",H1452,", ",I1452,", ","陕西省")</f>
        <v>张家湾镇, 富县, 延安市, 陕西省</v>
      </c>
      <c r="G1452">
        <v>9865</v>
      </c>
      <c r="H1452" t="s">
        <v>3136</v>
      </c>
      <c r="I1452" t="s">
        <v>3133</v>
      </c>
      <c r="J1452">
        <f>VLOOKUP(F1452,[1]!china_towns_second__2[[Column1]:[Y]],3,FALSE)</f>
        <v>36.164969924847199</v>
      </c>
      <c r="K1452">
        <f>VLOOKUP(F1452,[1]!china_towns_second__2[[Column1]:[Y]],2,FALSE)</f>
        <v>108.829598</v>
      </c>
      <c r="L1452" t="s">
        <v>5569</v>
      </c>
      <c r="M1452" t="str">
        <f>VLOOKUP(H1452,CHOOSE({1,2},Table11[Native],Table11[Name]),2,0)</f>
        <v>Fù Xiàn</v>
      </c>
      <c r="N1452" s="13" t="str">
        <f>VLOOKUP(I1452,CHOOSE({1,2},Table11[Native],Table11[Name]),2,0)</f>
        <v>Yán'ān Shì</v>
      </c>
      <c r="O1452" s="13" t="str">
        <f t="shared" si="90"/>
        <v>Zhangjiawan Zhen (Yán'ān Shì)</v>
      </c>
      <c r="P1452" s="13" t="str">
        <f t="shared" si="91"/>
        <v>Zhangjiawan Zhen (Yán'ān Shì)</v>
      </c>
    </row>
    <row r="1453" spans="1:16" hidden="1" x14ac:dyDescent="0.25">
      <c r="A1453" t="s">
        <v>611</v>
      </c>
      <c r="B1453" t="str">
        <f t="shared" si="88"/>
        <v>Zhāngjiāyuán Zhèn</v>
      </c>
      <c r="C1453" t="str">
        <f t="shared" si="89"/>
        <v>Zhāngjiāyuán Zhèn</v>
      </c>
      <c r="D1453" t="s">
        <v>612</v>
      </c>
      <c r="E1453" t="s">
        <v>7</v>
      </c>
      <c r="F1453" t="str">
        <f>_xlfn.CONCAT(D1453,", ",H1453,", ",I1453,", ","陕西省")</f>
        <v>张家塬镇, 千阳县, 宝鸡市, 陕西省</v>
      </c>
      <c r="G1453">
        <v>8898</v>
      </c>
      <c r="H1453" t="s">
        <v>3054</v>
      </c>
      <c r="I1453" t="s">
        <v>3045</v>
      </c>
      <c r="J1453">
        <f>VLOOKUP(F1453,[1]!china_towns_second__2[[Column1]:[Y]],3,FALSE)</f>
        <v>34.795209321130997</v>
      </c>
      <c r="K1453">
        <f>VLOOKUP(F1453,[1]!china_towns_second__2[[Column1]:[Y]],2,FALSE)</f>
        <v>107.1597517</v>
      </c>
      <c r="L1453" t="s">
        <v>5570</v>
      </c>
      <c r="M1453" t="str">
        <f>VLOOKUP(H1453,CHOOSE({1,2},Table11[Native],Table11[Name]),2,0)</f>
        <v>Qiānyáng Xiàn</v>
      </c>
      <c r="N1453" s="13" t="str">
        <f>VLOOKUP(I1453,CHOOSE({1,2},Table11[Native],Table11[Name]),2,0)</f>
        <v>Băojī Shì</v>
      </c>
      <c r="O1453" s="13" t="str">
        <f t="shared" si="90"/>
        <v>Zhangjiayuan Zhen (Băojī Shì)</v>
      </c>
      <c r="P1453" s="13" t="str">
        <f t="shared" si="91"/>
        <v>Zhangjiayuan Zhen (Băojī Shì)</v>
      </c>
    </row>
    <row r="1454" spans="1:16" hidden="1" x14ac:dyDescent="0.25">
      <c r="A1454" t="s">
        <v>1691</v>
      </c>
      <c r="B1454" t="str">
        <f t="shared" si="88"/>
        <v>Zhāngqiáo Zhèn</v>
      </c>
      <c r="C1454" t="str">
        <f t="shared" si="89"/>
        <v>Zhāngqiáo Zhèn</v>
      </c>
      <c r="D1454" t="s">
        <v>1692</v>
      </c>
      <c r="E1454" t="s">
        <v>7</v>
      </c>
      <c r="F1454" t="str">
        <f>_xlfn.CONCAT(D1454,", ",H1454,", ",I1454,", ","陕西省")</f>
        <v>张桥镇, 富平县, 渭南市, 陕西省</v>
      </c>
      <c r="G1454">
        <v>32667</v>
      </c>
      <c r="H1454" t="s">
        <v>3091</v>
      </c>
      <c r="I1454" t="s">
        <v>3087</v>
      </c>
      <c r="J1454">
        <f>VLOOKUP(F1454,[1]!china_towns_second__2[[Column1]:[Y]],3,FALSE)</f>
        <v>34.756025404179397</v>
      </c>
      <c r="K1454">
        <f>VLOOKUP(F1454,[1]!china_towns_second__2[[Column1]:[Y]],2,FALSE)</f>
        <v>109.35880349999999</v>
      </c>
      <c r="L1454" t="s">
        <v>5571</v>
      </c>
      <c r="M1454" t="str">
        <f>VLOOKUP(H1454,CHOOSE({1,2},Table11[Native],Table11[Name]),2,0)</f>
        <v>Fùpíng Xiàn</v>
      </c>
      <c r="N1454" s="13" t="str">
        <f>VLOOKUP(I1454,CHOOSE({1,2},Table11[Native],Table11[Name]),2,0)</f>
        <v>Wèinán Shì</v>
      </c>
      <c r="O1454" s="13" t="str">
        <f t="shared" si="90"/>
        <v>Zhangqiao Zhen (Wèinán Shì)</v>
      </c>
      <c r="P1454" s="13" t="str">
        <f t="shared" si="91"/>
        <v>Zhangqiao Zhen (Wèinán Shì)</v>
      </c>
    </row>
    <row r="1455" spans="1:16" hidden="1" x14ac:dyDescent="0.25">
      <c r="A1455" t="s">
        <v>2604</v>
      </c>
      <c r="B1455" t="str">
        <f t="shared" si="88"/>
        <v>Zhāngqú Xiāng</v>
      </c>
      <c r="C1455" t="str">
        <f t="shared" si="89"/>
        <v>Zhāngqú Xiāng</v>
      </c>
      <c r="D1455" t="s">
        <v>2605</v>
      </c>
      <c r="E1455" t="s">
        <v>11</v>
      </c>
      <c r="F1455" t="str">
        <f>_xlfn.CONCAT(D1455,", ",H1455,", ",I1455,", ","陕西省")</f>
        <v>张渠乡, 志丹县, 延安市, 陕西省</v>
      </c>
      <c r="G1455">
        <v>4786</v>
      </c>
      <c r="H1455" t="s">
        <v>3145</v>
      </c>
      <c r="I1455" t="s">
        <v>3133</v>
      </c>
      <c r="J1455" t="e">
        <f>VLOOKUP(F1455,[1]!china_towns_second__2[[Column1]:[Y]],3,FALSE)</f>
        <v>#N/A</v>
      </c>
      <c r="K1455" t="e">
        <f>VLOOKUP(F1455,[1]!china_towns_second__2[[Column1]:[Y]],2,FALSE)</f>
        <v>#N/A</v>
      </c>
      <c r="L1455" t="s">
        <v>5572</v>
      </c>
      <c r="M1455" t="str">
        <f>VLOOKUP(H1455,CHOOSE({1,2},Table11[Native],Table11[Name]),2,0)</f>
        <v>Zhìdān Xiàn</v>
      </c>
      <c r="N1455" s="13" t="str">
        <f>VLOOKUP(I1455,CHOOSE({1,2},Table11[Native],Table11[Name]),2,0)</f>
        <v>Yán'ān Shì</v>
      </c>
      <c r="O1455" s="13" t="str">
        <f t="shared" si="90"/>
        <v>Zhangqu Xiang (Yán'ān Shì)</v>
      </c>
      <c r="P1455" s="13" t="str">
        <f t="shared" si="91"/>
        <v>Zhangqu Xiang (Yán'ān Shì)</v>
      </c>
    </row>
    <row r="1456" spans="1:16" hidden="1" x14ac:dyDescent="0.25">
      <c r="A1456" t="s">
        <v>319</v>
      </c>
      <c r="B1456" t="str">
        <f t="shared" si="88"/>
        <v>Zhāngtān Zhèn</v>
      </c>
      <c r="C1456" t="str">
        <f t="shared" si="89"/>
        <v>Zhāngtān Zhèn</v>
      </c>
      <c r="D1456" t="s">
        <v>320</v>
      </c>
      <c r="E1456" t="s">
        <v>7</v>
      </c>
      <c r="F1456" t="str">
        <f>_xlfn.CONCAT(D1456,", ",H1456,", ",I1456,", ","陕西省")</f>
        <v>张滩镇, 汉滨区, 安康市, 陕西省</v>
      </c>
      <c r="G1456">
        <v>28079</v>
      </c>
      <c r="H1456" t="s">
        <v>3035</v>
      </c>
      <c r="I1456" t="s">
        <v>3031</v>
      </c>
      <c r="J1456">
        <f>VLOOKUP(F1456,[1]!china_towns_second__2[[Column1]:[Y]],3,FALSE)</f>
        <v>32.681691229660501</v>
      </c>
      <c r="K1456">
        <f>VLOOKUP(F1456,[1]!china_towns_second__2[[Column1]:[Y]],2,FALSE)</f>
        <v>109.1228357</v>
      </c>
      <c r="L1456" t="s">
        <v>5573</v>
      </c>
      <c r="M1456" t="str">
        <f>VLOOKUP(H1456,CHOOSE({1,2},Table11[Native],Table11[Name]),2,0)</f>
        <v>Hànbīn Qū</v>
      </c>
      <c r="N1456" s="13" t="str">
        <f>VLOOKUP(I1456,CHOOSE({1,2},Table11[Native],Table11[Name]),2,0)</f>
        <v>Ānkāng Shì</v>
      </c>
      <c r="O1456" s="13" t="str">
        <f t="shared" si="90"/>
        <v>Zhangtan Zhen (Ānkāng Shì)</v>
      </c>
      <c r="P1456" s="13" t="str">
        <f t="shared" si="91"/>
        <v>Zhangtan Zhen (Ānkāng Shì)</v>
      </c>
    </row>
    <row r="1457" spans="1:16" hidden="1" x14ac:dyDescent="0.25">
      <c r="A1457" t="s">
        <v>2999</v>
      </c>
      <c r="B1457" t="str">
        <f t="shared" si="88"/>
        <v>Zhāngyàoxiān Zhèn [incl. Báimăyàoxiān Xiāng]</v>
      </c>
      <c r="C1457" t="str">
        <f t="shared" si="89"/>
        <v>Zhāngyàoxiān Zhèn [incl. Báimăyàoxiān Xiāng]</v>
      </c>
      <c r="D1457" t="s">
        <v>3000</v>
      </c>
      <c r="E1457" t="s">
        <v>7</v>
      </c>
      <c r="F1457" t="str">
        <f>_xlfn.CONCAT(D1457,", ",H1457,", ",I1457,", ","陕西省")</f>
        <v>张崾先镇, 定边县, 榆林市, 陕西省</v>
      </c>
      <c r="G1457">
        <v>8449</v>
      </c>
      <c r="H1457" t="s">
        <v>3149</v>
      </c>
      <c r="I1457" t="s">
        <v>3148</v>
      </c>
      <c r="J1457">
        <f>VLOOKUP(F1457,[1]!china_towns_second__2[[Column1]:[Y]],3,FALSE)</f>
        <v>36.930190824747001</v>
      </c>
      <c r="K1457">
        <f>VLOOKUP(F1457,[1]!china_towns_second__2[[Column1]:[Y]],2,FALSE)</f>
        <v>107.5600905</v>
      </c>
      <c r="L1457" t="s">
        <v>5574</v>
      </c>
      <c r="M1457" t="str">
        <f>VLOOKUP(H1457,CHOOSE({1,2},Table11[Native],Table11[Name]),2,0)</f>
        <v>Dìngbiān Xiàn</v>
      </c>
      <c r="N1457" s="13" t="str">
        <f>VLOOKUP(I1457,CHOOSE({1,2},Table11[Native],Table11[Name]),2,0)</f>
        <v>Yúlín Shì</v>
      </c>
      <c r="O1457" s="13" t="str">
        <f t="shared" si="90"/>
        <v>Zhangyaoxian Zhen [incl. Baimayaoxian Xiang] (Yúlín Shì)</v>
      </c>
      <c r="P1457" s="13" t="str">
        <f t="shared" si="91"/>
        <v>Zhangyaoxian Zhen [incl. Baimayaoxian Xiang] (Yúlín Shì)</v>
      </c>
    </row>
    <row r="1458" spans="1:16" hidden="1" x14ac:dyDescent="0.25">
      <c r="A1458" t="s">
        <v>1693</v>
      </c>
      <c r="B1458" t="str">
        <f t="shared" si="88"/>
        <v>Zhànnán Jiēdào</v>
      </c>
      <c r="C1458" t="str">
        <f t="shared" si="89"/>
        <v>Zhànnán Jiēdào</v>
      </c>
      <c r="D1458" t="s">
        <v>1694</v>
      </c>
      <c r="E1458" t="s">
        <v>113</v>
      </c>
      <c r="F1458" t="str">
        <f>_xlfn.CONCAT(D1458,", ",H1458,", ",I1458,", ","陕西省")</f>
        <v>站南街道, 临渭区, 渭南市, 陕西省</v>
      </c>
      <c r="G1458">
        <v>89021</v>
      </c>
      <c r="H1458" t="s">
        <v>3097</v>
      </c>
      <c r="I1458" t="s">
        <v>3087</v>
      </c>
      <c r="J1458">
        <f>VLOOKUP(F1458,[1]!china_towns_second__2[[Column1]:[Y]],3,FALSE)</f>
        <v>34.482347308805302</v>
      </c>
      <c r="K1458">
        <f>VLOOKUP(F1458,[1]!china_towns_second__2[[Column1]:[Y]],2,FALSE)</f>
        <v>109.4919247</v>
      </c>
      <c r="L1458" t="s">
        <v>5575</v>
      </c>
      <c r="M1458" t="str">
        <f>VLOOKUP(H1458,CHOOSE({1,2},Table11[Native],Table11[Name]),2,0)</f>
        <v>Línwèi Qū</v>
      </c>
      <c r="N1458" s="13" t="str">
        <f>VLOOKUP(I1458,CHOOSE({1,2},Table11[Native],Table11[Name]),2,0)</f>
        <v>Wèinán Shì</v>
      </c>
      <c r="O1458" s="13" t="str">
        <f t="shared" si="90"/>
        <v>Zhannan Jiedao (Wèinán Shì)</v>
      </c>
      <c r="P1458" s="13" t="str">
        <f t="shared" si="91"/>
        <v>Zhannan Jiedao (Wèinán Shì)</v>
      </c>
    </row>
    <row r="1459" spans="1:16" hidden="1" x14ac:dyDescent="0.25">
      <c r="A1459" t="s">
        <v>1950</v>
      </c>
      <c r="B1459" t="str">
        <f t="shared" si="88"/>
        <v>Zhào Zhèn</v>
      </c>
      <c r="C1459" t="str">
        <f t="shared" si="89"/>
        <v>Zhào Zhèn</v>
      </c>
      <c r="D1459" t="s">
        <v>1951</v>
      </c>
      <c r="E1459" t="s">
        <v>7</v>
      </c>
      <c r="F1459" t="str">
        <f>_xlfn.CONCAT(D1459,", ",H1459,", ",I1459,", ","陕西省")</f>
        <v>赵镇, 礼泉县, 咸阳市, 陕西省</v>
      </c>
      <c r="G1459">
        <v>26901</v>
      </c>
      <c r="H1459" t="s">
        <v>3122</v>
      </c>
      <c r="I1459" t="s">
        <v>3117</v>
      </c>
      <c r="J1459">
        <f>VLOOKUP(F1459,[1]!china_towns_second__2[[Column1]:[Y]],3,FALSE)</f>
        <v>34.541569401181697</v>
      </c>
      <c r="K1459">
        <f>VLOOKUP(F1459,[1]!china_towns_second__2[[Column1]:[Y]],2,FALSE)</f>
        <v>108.4748889</v>
      </c>
      <c r="L1459" t="s">
        <v>5576</v>
      </c>
      <c r="M1459" t="str">
        <f>VLOOKUP(H1459,CHOOSE({1,2},Table11[Native],Table11[Name]),2,0)</f>
        <v>Lĭquán Xiàn</v>
      </c>
      <c r="N1459" s="13" t="str">
        <f>VLOOKUP(I1459,CHOOSE({1,2},Table11[Native],Table11[Name]),2,0)</f>
        <v>Xiányáng Shì</v>
      </c>
      <c r="O1459" s="13" t="str">
        <f t="shared" si="90"/>
        <v>Zhao Zhen (Xiányáng Shì)</v>
      </c>
      <c r="P1459" s="13" t="str">
        <f t="shared" si="91"/>
        <v>Zhao Zhen (Xiányáng Shì)</v>
      </c>
    </row>
    <row r="1460" spans="1:16" hidden="1" x14ac:dyDescent="0.25">
      <c r="A1460" t="s">
        <v>2606</v>
      </c>
      <c r="B1460" t="str">
        <f t="shared" si="88"/>
        <v>Zhāo'ān Zhèn</v>
      </c>
      <c r="C1460" t="str">
        <f t="shared" si="89"/>
        <v>Zhāo'ān Zhèn</v>
      </c>
      <c r="D1460" t="s">
        <v>2607</v>
      </c>
      <c r="E1460" t="s">
        <v>7</v>
      </c>
      <c r="F1460" t="str">
        <f>_xlfn.CONCAT(D1460,", ",H1460,", ",I1460,", ","陕西省")</f>
        <v>招安镇, 安塞区, 延安市, 陕西省</v>
      </c>
      <c r="G1460">
        <v>12779</v>
      </c>
      <c r="H1460" t="s">
        <v>3134</v>
      </c>
      <c r="I1460" t="s">
        <v>3133</v>
      </c>
      <c r="J1460">
        <f>VLOOKUP(F1460,[1]!china_towns_second__2[[Column1]:[Y]],3,FALSE)</f>
        <v>36.839260983532697</v>
      </c>
      <c r="K1460">
        <f>VLOOKUP(F1460,[1]!china_towns_second__2[[Column1]:[Y]],2,FALSE)</f>
        <v>109.1129967</v>
      </c>
      <c r="L1460" t="s">
        <v>5577</v>
      </c>
      <c r="M1460" t="str">
        <f>VLOOKUP(H1460,CHOOSE({1,2},Table11[Native],Table11[Name]),2,0)</f>
        <v>Ānsài Qū</v>
      </c>
      <c r="N1460" s="13" t="str">
        <f>VLOOKUP(I1460,CHOOSE({1,2},Table11[Native],Table11[Name]),2,0)</f>
        <v>Yán'ān Shì</v>
      </c>
      <c r="O1460" s="13" t="str">
        <f t="shared" si="90"/>
        <v>Zhao'an Zhen (Yán'ān Shì)</v>
      </c>
      <c r="P1460" s="13" t="str">
        <f t="shared" si="91"/>
        <v>Zhao'an Zhen (Yán'ān Shì)</v>
      </c>
    </row>
    <row r="1461" spans="1:16" hidden="1" x14ac:dyDescent="0.25">
      <c r="A1461" t="s">
        <v>1284</v>
      </c>
      <c r="B1461" t="str">
        <f t="shared" si="88"/>
        <v>Zhàochuān Zhèn [incl. Wèijiātái Xiāng]</v>
      </c>
      <c r="C1461" t="str">
        <f t="shared" si="89"/>
        <v>Zhàochuān Zhèn [incl. Wèijiātái Xiāng]</v>
      </c>
      <c r="D1461" t="s">
        <v>1285</v>
      </c>
      <c r="E1461" t="s">
        <v>7</v>
      </c>
      <c r="F1461" t="str">
        <f>_xlfn.CONCAT(D1461,", ",H1461,", ",I1461,", ","陕西省")</f>
        <v>赵川镇, 商南县, 商洛市, 陕西省</v>
      </c>
      <c r="G1461">
        <v>17480</v>
      </c>
      <c r="H1461" t="s">
        <v>3075</v>
      </c>
      <c r="I1461" t="s">
        <v>3072</v>
      </c>
      <c r="J1461">
        <f>VLOOKUP(F1461,[1]!china_towns_second__2[[Column1]:[Y]],3,FALSE)</f>
        <v>33.180692842571901</v>
      </c>
      <c r="K1461">
        <f>VLOOKUP(F1461,[1]!china_towns_second__2[[Column1]:[Y]],2,FALSE)</f>
        <v>110.71323700000001</v>
      </c>
      <c r="L1461" t="s">
        <v>5578</v>
      </c>
      <c r="M1461" t="str">
        <f>VLOOKUP(H1461,CHOOSE({1,2},Table11[Native],Table11[Name]),2,0)</f>
        <v>Shāngnán Xiàn</v>
      </c>
      <c r="N1461" s="13" t="str">
        <f>VLOOKUP(I1461,CHOOSE({1,2},Table11[Native],Table11[Name]),2,0)</f>
        <v>Shāngluò Shì</v>
      </c>
      <c r="O1461" s="13" t="str">
        <f t="shared" si="90"/>
        <v>Zhaochuan Zhen [incl. Weijiatai Xiang] (Shāngluò Shì)</v>
      </c>
      <c r="P1461" s="13" t="str">
        <f t="shared" si="91"/>
        <v>Zhaochuan Zhen [incl. Weijiatai Xiang] (Shāngluò Shì)</v>
      </c>
    </row>
    <row r="1462" spans="1:16" hidden="1" x14ac:dyDescent="0.25">
      <c r="A1462" t="s">
        <v>1944</v>
      </c>
      <c r="B1462" t="str">
        <f t="shared" si="88"/>
        <v>Zhàocūn Zhèn</v>
      </c>
      <c r="C1462" t="str">
        <f t="shared" si="89"/>
        <v>Zhàocūn Zhèn</v>
      </c>
      <c r="D1462" t="s">
        <v>1945</v>
      </c>
      <c r="E1462" t="s">
        <v>7</v>
      </c>
      <c r="F1462" t="str">
        <f>_xlfn.CONCAT(D1462,", ",H1462,", ",I1462,", ","陕西省")</f>
        <v>赵村镇, 兴平市, 咸阳市, 陕西省</v>
      </c>
      <c r="G1462">
        <v>27980</v>
      </c>
      <c r="H1462" t="s">
        <v>3128</v>
      </c>
      <c r="I1462" t="s">
        <v>3117</v>
      </c>
      <c r="J1462">
        <f>VLOOKUP(F1462,[1]!china_towns_second__2[[Column1]:[Y]],3,FALSE)</f>
        <v>34.287069017135202</v>
      </c>
      <c r="K1462">
        <f>VLOOKUP(F1462,[1]!china_towns_second__2[[Column1]:[Y]],2,FALSE)</f>
        <v>108.3378129</v>
      </c>
      <c r="L1462" t="s">
        <v>5579</v>
      </c>
      <c r="M1462" t="str">
        <f>VLOOKUP(H1462,CHOOSE({1,2},Table11[Native],Table11[Name]),2,0)</f>
        <v>Xīngpíng Shì</v>
      </c>
      <c r="N1462" s="13" t="str">
        <f>VLOOKUP(I1462,CHOOSE({1,2},Table11[Native],Table11[Name]),2,0)</f>
        <v>Xiányáng Shì</v>
      </c>
      <c r="O1462" s="13" t="str">
        <f t="shared" si="90"/>
        <v>Zhaocun Zhen (Xiányáng Shì)</v>
      </c>
      <c r="P1462" s="13" t="str">
        <f t="shared" si="91"/>
        <v>Zhaocun Zhen (Xiányáng Shì)</v>
      </c>
    </row>
    <row r="1463" spans="1:16" hidden="1" x14ac:dyDescent="0.25">
      <c r="A1463" t="s">
        <v>1695</v>
      </c>
      <c r="B1463" t="str">
        <f t="shared" si="88"/>
        <v>Zhàodù Zhèn [incl. Píngmín Xiāng]</v>
      </c>
      <c r="C1463" t="str">
        <f t="shared" si="89"/>
        <v>Zhàodù Zhèn [incl. Píngmín Xiāng]</v>
      </c>
      <c r="D1463" t="s">
        <v>1696</v>
      </c>
      <c r="E1463" t="s">
        <v>7</v>
      </c>
      <c r="F1463" t="str">
        <f>_xlfn.CONCAT(D1463,", ",H1463,", ",I1463,", ","陕西省")</f>
        <v>赵渡镇, 大荔县, 渭南市, 陕西省</v>
      </c>
      <c r="G1463">
        <v>29645</v>
      </c>
      <c r="H1463" t="s">
        <v>3090</v>
      </c>
      <c r="I1463" t="s">
        <v>3087</v>
      </c>
      <c r="J1463">
        <f>VLOOKUP(F1463,[1]!china_towns_second__2[[Column1]:[Y]],3,FALSE)</f>
        <v>34.711705557634701</v>
      </c>
      <c r="K1463">
        <f>VLOOKUP(F1463,[1]!china_towns_second__2[[Column1]:[Y]],2,FALSE)</f>
        <v>110.1937975</v>
      </c>
      <c r="L1463" t="s">
        <v>5580</v>
      </c>
      <c r="M1463" t="str">
        <f>VLOOKUP(H1463,CHOOSE({1,2},Table11[Native],Table11[Name]),2,0)</f>
        <v>Dàlì Xiàn</v>
      </c>
      <c r="N1463" s="13" t="str">
        <f>VLOOKUP(I1463,CHOOSE({1,2},Table11[Native],Table11[Name]),2,0)</f>
        <v>Wèinán Shì</v>
      </c>
      <c r="O1463" s="13" t="str">
        <f t="shared" si="90"/>
        <v>Zhaodu Zhen [incl. Pingmin Xiang] (Wèinán Shì)</v>
      </c>
      <c r="P1463" s="13" t="str">
        <f t="shared" si="91"/>
        <v>Zhaodu Zhen [incl. Pingmin Xiang] (Wèinán Shì)</v>
      </c>
    </row>
    <row r="1464" spans="1:16" hidden="1" x14ac:dyDescent="0.25">
      <c r="A1464" t="s">
        <v>613</v>
      </c>
      <c r="B1464" t="str">
        <f t="shared" si="88"/>
        <v>Zhàogōng Zhèn</v>
      </c>
      <c r="C1464" t="str">
        <f t="shared" si="89"/>
        <v>Zhàogōng Zhèn</v>
      </c>
      <c r="D1464" t="s">
        <v>614</v>
      </c>
      <c r="E1464" t="s">
        <v>7</v>
      </c>
      <c r="F1464" t="str">
        <f>_xlfn.CONCAT(D1464,", ",H1464,", ",I1464,", ","陕西省")</f>
        <v>召公镇, 扶风县, 宝鸡市, 陕西省</v>
      </c>
      <c r="G1464">
        <v>31295</v>
      </c>
      <c r="H1464" t="s">
        <v>3049</v>
      </c>
      <c r="I1464" t="s">
        <v>3045</v>
      </c>
      <c r="J1464">
        <f>VLOOKUP(F1464,[1]!china_towns_second__2[[Column1]:[Y]],3,FALSE)</f>
        <v>34.418281616212703</v>
      </c>
      <c r="K1464">
        <f>VLOOKUP(F1464,[1]!china_towns_second__2[[Column1]:[Y]],2,FALSE)</f>
        <v>107.98873089999999</v>
      </c>
      <c r="L1464" t="s">
        <v>5581</v>
      </c>
      <c r="M1464" t="str">
        <f>VLOOKUP(H1464,CHOOSE({1,2},Table11[Native],Table11[Name]),2,0)</f>
        <v>Fúfēng Xiàn</v>
      </c>
      <c r="N1464" s="13" t="str">
        <f>VLOOKUP(I1464,CHOOSE({1,2},Table11[Native],Table11[Name]),2,0)</f>
        <v>Băojī Shì</v>
      </c>
      <c r="O1464" s="13" t="str">
        <f t="shared" si="90"/>
        <v>Zhaogong Zhen (Băojī Shì)</v>
      </c>
      <c r="P1464" s="13" t="str">
        <f t="shared" si="91"/>
        <v>Zhaogong Zhen (Băojī Shì)</v>
      </c>
    </row>
    <row r="1465" spans="1:16" hidden="1" x14ac:dyDescent="0.25">
      <c r="A1465" t="s">
        <v>1362</v>
      </c>
      <c r="B1465" t="str">
        <f t="shared" si="88"/>
        <v>Zhàojīn Zhèn</v>
      </c>
      <c r="C1465" t="str">
        <f t="shared" si="89"/>
        <v>Zhàojīn Zhèn</v>
      </c>
      <c r="D1465" t="s">
        <v>1363</v>
      </c>
      <c r="E1465" t="s">
        <v>7</v>
      </c>
      <c r="F1465" t="str">
        <f>_xlfn.CONCAT(D1465,", ",H1465,", ",I1465,", ","陕西省")</f>
        <v>照金镇, 耀州区, 铜川市, 陕西省</v>
      </c>
      <c r="G1465">
        <v>8973</v>
      </c>
      <c r="H1465" t="s">
        <v>3083</v>
      </c>
      <c r="I1465" t="s">
        <v>3081</v>
      </c>
      <c r="J1465">
        <f>VLOOKUP(F1465,[1]!china_towns_second__2[[Column1]:[Y]],3,FALSE)</f>
        <v>35.058887478650497</v>
      </c>
      <c r="K1465">
        <f>VLOOKUP(F1465,[1]!china_towns_second__2[[Column1]:[Y]],2,FALSE)</f>
        <v>108.6910342</v>
      </c>
      <c r="L1465" t="s">
        <v>5582</v>
      </c>
      <c r="M1465" t="str">
        <f>VLOOKUP(H1465,CHOOSE({1,2},Table11[Native],Table11[Name]),2,0)</f>
        <v>Yàozhōu Qū</v>
      </c>
      <c r="N1465" s="13" t="str">
        <f>VLOOKUP(I1465,CHOOSE({1,2},Table11[Native],Table11[Name]),2,0)</f>
        <v>Tóngchuān Shì</v>
      </c>
      <c r="O1465" s="13" t="str">
        <f t="shared" si="90"/>
        <v>Zhaojin Zhen (Tóngchuān Shì)</v>
      </c>
      <c r="P1465" s="13" t="str">
        <f t="shared" si="91"/>
        <v>Zhaojin Zhen (Tóngchuān Shì)</v>
      </c>
    </row>
    <row r="1466" spans="1:16" hidden="1" x14ac:dyDescent="0.25">
      <c r="A1466" t="s">
        <v>1946</v>
      </c>
      <c r="B1466" t="str">
        <f t="shared" si="88"/>
        <v>Zhāolíng Zhèn [incl. Jiànlíng Zhèn]</v>
      </c>
      <c r="C1466" t="str">
        <f t="shared" si="89"/>
        <v>Zhāolíng Zhèn [incl. Jiànlíng Zhèn]</v>
      </c>
      <c r="D1466" t="s">
        <v>1947</v>
      </c>
      <c r="E1466" t="s">
        <v>7</v>
      </c>
      <c r="F1466" t="str">
        <f>_xlfn.CONCAT(D1466,", ",H1466,", ",I1466,", ","陕西省")</f>
        <v>昭陵镇, 礼泉县, 咸阳市, 陕西省</v>
      </c>
      <c r="G1466">
        <v>39519</v>
      </c>
      <c r="H1466" t="s">
        <v>3122</v>
      </c>
      <c r="I1466" t="s">
        <v>3117</v>
      </c>
      <c r="J1466">
        <f>VLOOKUP(F1466,[1]!china_towns_second__2[[Column1]:[Y]],3,FALSE)</f>
        <v>34.614428291742897</v>
      </c>
      <c r="K1466">
        <f>VLOOKUP(F1466,[1]!china_towns_second__2[[Column1]:[Y]],2,FALSE)</f>
        <v>108.4352038</v>
      </c>
      <c r="L1466" t="s">
        <v>5583</v>
      </c>
      <c r="M1466" t="str">
        <f>VLOOKUP(H1466,CHOOSE({1,2},Table11[Native],Table11[Name]),2,0)</f>
        <v>Lĭquán Xiàn</v>
      </c>
      <c r="N1466" s="13" t="str">
        <f>VLOOKUP(I1466,CHOOSE({1,2},Table11[Native],Table11[Name]),2,0)</f>
        <v>Xiányáng Shì</v>
      </c>
      <c r="O1466" s="13" t="str">
        <f t="shared" si="90"/>
        <v>Zhaoling Zhen [incl. Jianling Zhen] (Xiányáng Shì)</v>
      </c>
      <c r="P1466" s="13" t="str">
        <f t="shared" si="91"/>
        <v>Zhaoling Zhen [incl. Jianling Zhen] (Xiányáng Shì)</v>
      </c>
    </row>
    <row r="1467" spans="1:16" hidden="1" x14ac:dyDescent="0.25">
      <c r="A1467" t="s">
        <v>1948</v>
      </c>
      <c r="B1467" t="str">
        <f t="shared" si="88"/>
        <v>Zhāorén Jiēdào</v>
      </c>
      <c r="C1467" t="str">
        <f t="shared" si="89"/>
        <v>Zhāorén Jiēdào</v>
      </c>
      <c r="D1467" t="s">
        <v>1949</v>
      </c>
      <c r="E1467" t="s">
        <v>113</v>
      </c>
      <c r="F1467" t="str">
        <f>_xlfn.CONCAT(D1467,", ",H1467,", ",I1467,", ","陕西省")</f>
        <v>昭仁街道, 长武县, 咸阳市, 陕西省</v>
      </c>
      <c r="G1467">
        <v>35525</v>
      </c>
      <c r="H1467" t="s">
        <v>3119</v>
      </c>
      <c r="I1467" t="s">
        <v>3117</v>
      </c>
      <c r="J1467" t="e">
        <f>VLOOKUP(F1467,[1]!china_towns_second__2[[Column1]:[Y]],3,FALSE)</f>
        <v>#N/A</v>
      </c>
      <c r="K1467" t="e">
        <f>VLOOKUP(F1467,[1]!china_towns_second__2[[Column1]:[Y]],2,FALSE)</f>
        <v>#N/A</v>
      </c>
      <c r="L1467" t="s">
        <v>5584</v>
      </c>
      <c r="M1467" t="str">
        <f>VLOOKUP(H1467,CHOOSE({1,2},Table11[Native],Table11[Name]),2,0)</f>
        <v>Chángwŭ Xiàn</v>
      </c>
      <c r="N1467" s="13" t="str">
        <f>VLOOKUP(I1467,CHOOSE({1,2},Table11[Native],Table11[Name]),2,0)</f>
        <v>Xiányáng Shì</v>
      </c>
      <c r="O1467" s="13" t="str">
        <f t="shared" si="90"/>
        <v>Zhaoren Jiedao (Xiányáng Shì)</v>
      </c>
      <c r="P1467" s="13" t="str">
        <f t="shared" si="91"/>
        <v>Zhaoren Jiedao (Xiányáng Shì)</v>
      </c>
    </row>
    <row r="1468" spans="1:16" hidden="1" x14ac:dyDescent="0.25">
      <c r="A1468" t="s">
        <v>3001</v>
      </c>
      <c r="B1468" t="str">
        <f t="shared" si="88"/>
        <v>Zhàoshípàn Zhèn</v>
      </c>
      <c r="C1468" t="str">
        <f t="shared" si="89"/>
        <v>Zhàoshípàn Zhèn</v>
      </c>
      <c r="D1468" t="s">
        <v>3002</v>
      </c>
      <c r="E1468" t="s">
        <v>7</v>
      </c>
      <c r="F1468" t="str">
        <f>_xlfn.CONCAT(D1468,", ",H1468,", ",I1468,", ","陕西省")</f>
        <v>赵石畔镇, 横山区, 榆林市, 陕西省</v>
      </c>
      <c r="G1468">
        <v>7885</v>
      </c>
      <c r="H1468" t="s">
        <v>3151</v>
      </c>
      <c r="I1468" t="s">
        <v>3148</v>
      </c>
      <c r="J1468">
        <f>VLOOKUP(F1468,[1]!china_towns_second__2[[Column1]:[Y]],3,FALSE)</f>
        <v>37.760357581066799</v>
      </c>
      <c r="K1468">
        <f>VLOOKUP(F1468,[1]!china_towns_second__2[[Column1]:[Y]],2,FALSE)</f>
        <v>109.3050944</v>
      </c>
      <c r="L1468" t="s">
        <v>5585</v>
      </c>
      <c r="M1468" t="str">
        <f>VLOOKUP(H1468,CHOOSE({1,2},Table11[Native],Table11[Name]),2,0)</f>
        <v>Héngshān Qū</v>
      </c>
      <c r="N1468" s="13" t="str">
        <f>VLOOKUP(I1468,CHOOSE({1,2},Table11[Native],Table11[Name]),2,0)</f>
        <v>Yúlín Shì</v>
      </c>
      <c r="O1468" s="13" t="str">
        <f t="shared" si="90"/>
        <v>Zhaoshipan Zhen (Yúlín Shì)</v>
      </c>
      <c r="P1468" s="13" t="str">
        <f t="shared" si="91"/>
        <v>Zhaoshipan Zhen (Yúlín Shì)</v>
      </c>
    </row>
    <row r="1469" spans="1:16" hidden="1" x14ac:dyDescent="0.25">
      <c r="A1469" t="s">
        <v>321</v>
      </c>
      <c r="B1469" t="str">
        <f t="shared" si="88"/>
        <v>Zhàowān Zhèn</v>
      </c>
      <c r="C1469" t="str">
        <f t="shared" si="89"/>
        <v>Zhàowān Zhèn</v>
      </c>
      <c r="D1469" t="s">
        <v>322</v>
      </c>
      <c r="E1469" t="s">
        <v>7</v>
      </c>
      <c r="F1469" t="str">
        <f>_xlfn.CONCAT(D1469,", ",H1469,", ",I1469,", ","陕西省")</f>
        <v>赵湾镇, 旬阳县, 安康市, 陕西省</v>
      </c>
      <c r="G1469">
        <v>16329</v>
      </c>
      <c r="H1469" t="s">
        <v>3041</v>
      </c>
      <c r="I1469" t="s">
        <v>3031</v>
      </c>
      <c r="J1469">
        <f>VLOOKUP(F1469,[1]!china_towns_second__2[[Column1]:[Y]],3,FALSE)</f>
        <v>33.010353312102303</v>
      </c>
      <c r="K1469">
        <f>VLOOKUP(F1469,[1]!china_towns_second__2[[Column1]:[Y]],2,FALSE)</f>
        <v>109.1688114</v>
      </c>
      <c r="L1469" t="s">
        <v>5586</v>
      </c>
      <c r="M1469" t="str">
        <f>VLOOKUP(H1469,CHOOSE({1,2},Table11[Native],Table11[Name]),2,0)</f>
        <v>Xúnyáng Xiàn</v>
      </c>
      <c r="N1469" s="13" t="str">
        <f>VLOOKUP(I1469,CHOOSE({1,2},Table11[Native],Table11[Name]),2,0)</f>
        <v>Ānkāng Shì</v>
      </c>
      <c r="O1469" s="13" t="str">
        <f t="shared" si="90"/>
        <v>Zhaowan Zhen (Ānkāng Shì)</v>
      </c>
      <c r="P1469" s="13" t="str">
        <f t="shared" si="91"/>
        <v>Zhaowan Zhen (Ānkāng Shì)</v>
      </c>
    </row>
    <row r="1470" spans="1:16" hidden="1" x14ac:dyDescent="0.25">
      <c r="A1470" t="s">
        <v>3003</v>
      </c>
      <c r="B1470" t="str">
        <f t="shared" si="88"/>
        <v>Zhàowŭjiāwān Xiāng</v>
      </c>
      <c r="C1470" t="str">
        <f t="shared" si="89"/>
        <v>Zhàowŭjiāwān Xiāng</v>
      </c>
      <c r="D1470" t="s">
        <v>3004</v>
      </c>
      <c r="E1470" t="s">
        <v>11</v>
      </c>
      <c r="F1470" t="str">
        <f>_xlfn.CONCAT(D1470,", ",H1470,", ",I1470,", ","陕西省")</f>
        <v>赵五家湾乡, 府谷县, 榆林市, 陕西省</v>
      </c>
      <c r="G1470">
        <v>2975</v>
      </c>
      <c r="H1470" t="s">
        <v>3150</v>
      </c>
      <c r="I1470" t="s">
        <v>3148</v>
      </c>
      <c r="J1470" t="e">
        <f>VLOOKUP(F1470,[1]!china_towns_second__2[[Column1]:[Y]],3,FALSE)</f>
        <v>#N/A</v>
      </c>
      <c r="K1470" t="e">
        <f>VLOOKUP(F1470,[1]!china_towns_second__2[[Column1]:[Y]],2,FALSE)</f>
        <v>#N/A</v>
      </c>
      <c r="L1470" t="s">
        <v>5587</v>
      </c>
      <c r="M1470" t="str">
        <f>VLOOKUP(H1470,CHOOSE({1,2},Table11[Native],Table11[Name]),2,0)</f>
        <v>Fŭgŭ Xiàn</v>
      </c>
      <c r="N1470" s="13" t="str">
        <f>VLOOKUP(I1470,CHOOSE({1,2},Table11[Native],Table11[Name]),2,0)</f>
        <v>Yúlín Shì</v>
      </c>
      <c r="O1470" s="13" t="str">
        <f t="shared" si="90"/>
        <v>Zhaowujiawan Xiang (Yúlín Shì)</v>
      </c>
      <c r="P1470" s="13" t="str">
        <f t="shared" si="91"/>
        <v>Zhaowujiawan Xiang (Yúlín Shì)</v>
      </c>
    </row>
    <row r="1471" spans="1:16" hidden="1" x14ac:dyDescent="0.25">
      <c r="A1471" t="s">
        <v>615</v>
      </c>
      <c r="B1471" t="str">
        <f t="shared" si="88"/>
        <v>Zhāoxián Zhèn</v>
      </c>
      <c r="C1471" t="str">
        <f t="shared" si="89"/>
        <v>Zhāoxián Zhèn</v>
      </c>
      <c r="D1471" t="s">
        <v>616</v>
      </c>
      <c r="E1471" t="s">
        <v>7</v>
      </c>
      <c r="F1471" t="str">
        <f>_xlfn.CONCAT(D1471,", ",H1471,", ",I1471,", ","陕西省")</f>
        <v>招贤镇, 麟游县, 宝鸡市, 陕西省</v>
      </c>
      <c r="G1471">
        <v>9672</v>
      </c>
      <c r="H1471" t="s">
        <v>3051</v>
      </c>
      <c r="I1471" t="s">
        <v>3045</v>
      </c>
      <c r="J1471">
        <f>VLOOKUP(F1471,[1]!china_towns_second__2[[Column1]:[Y]],3,FALSE)</f>
        <v>34.789852034110901</v>
      </c>
      <c r="K1471">
        <f>VLOOKUP(F1471,[1]!china_towns_second__2[[Column1]:[Y]],2,FALSE)</f>
        <v>107.6446826</v>
      </c>
      <c r="L1471" t="s">
        <v>5588</v>
      </c>
      <c r="M1471" t="str">
        <f>VLOOKUP(H1471,CHOOSE({1,2},Table11[Native],Table11[Name]),2,0)</f>
        <v>Línyóu Xiàn</v>
      </c>
      <c r="N1471" s="13" t="str">
        <f>VLOOKUP(I1471,CHOOSE({1,2},Table11[Native],Table11[Name]),2,0)</f>
        <v>Băojī Shì</v>
      </c>
      <c r="O1471" s="13" t="str">
        <f t="shared" si="90"/>
        <v>Zhaoxian Zhen (Băojī Shì)</v>
      </c>
      <c r="P1471" s="13" t="str">
        <f t="shared" si="91"/>
        <v>Zhaoxian Zhen (Băojī Shì)</v>
      </c>
    </row>
    <row r="1472" spans="1:16" hidden="1" x14ac:dyDescent="0.25">
      <c r="A1472" t="s">
        <v>1697</v>
      </c>
      <c r="B1472" t="str">
        <f t="shared" si="88"/>
        <v>Zhàozhuāng Zhèn</v>
      </c>
      <c r="C1472" t="str">
        <f t="shared" si="89"/>
        <v>Zhàozhuāng Zhèn</v>
      </c>
      <c r="D1472" t="s">
        <v>1698</v>
      </c>
      <c r="E1472" t="s">
        <v>7</v>
      </c>
      <c r="F1472" t="str">
        <f>_xlfn.CONCAT(D1472,", ",H1472,", ",I1472,", ","陕西省")</f>
        <v>赵庄镇, 澄城县, 渭南市, 陕西省</v>
      </c>
      <c r="G1472">
        <v>15443</v>
      </c>
      <c r="H1472" t="s">
        <v>3089</v>
      </c>
      <c r="I1472" t="s">
        <v>3087</v>
      </c>
      <c r="J1472">
        <f>VLOOKUP(F1472,[1]!china_towns_second__2[[Column1]:[Y]],3,FALSE)</f>
        <v>35.331865980868102</v>
      </c>
      <c r="K1472">
        <f>VLOOKUP(F1472,[1]!china_towns_second__2[[Column1]:[Y]],2,FALSE)</f>
        <v>109.9542634</v>
      </c>
      <c r="L1472" t="s">
        <v>5589</v>
      </c>
      <c r="M1472" t="str">
        <f>VLOOKUP(H1472,CHOOSE({1,2},Table11[Native],Table11[Name]),2,0)</f>
        <v>Chéngchéng Xiàn</v>
      </c>
      <c r="N1472" s="13" t="str">
        <f>VLOOKUP(I1472,CHOOSE({1,2},Table11[Native],Table11[Name]),2,0)</f>
        <v>Wèinán Shì</v>
      </c>
      <c r="O1472" s="13" t="str">
        <f t="shared" si="90"/>
        <v>Zhaozhuang Zhen (Wèinán Shì)</v>
      </c>
      <c r="P1472" s="13" t="str">
        <f t="shared" si="91"/>
        <v>Zhaozhuang Zhen (Wèinán Shì)</v>
      </c>
    </row>
    <row r="1473" spans="1:16" hidden="1" x14ac:dyDescent="0.25">
      <c r="A1473" t="s">
        <v>3005</v>
      </c>
      <c r="B1473" t="str">
        <f t="shared" si="88"/>
        <v>Zhéjiāpíng Zhèn</v>
      </c>
      <c r="C1473" t="str">
        <f t="shared" si="89"/>
        <v>Zhéjiāpíng Zhèn</v>
      </c>
      <c r="D1473" t="s">
        <v>3006</v>
      </c>
      <c r="E1473" t="s">
        <v>7</v>
      </c>
      <c r="F1473" t="str">
        <f>_xlfn.CONCAT(D1473,", ",H1473,", ",I1473,", ","陕西省")</f>
        <v>折家坪镇, 清涧县, 榆林市, 陕西省</v>
      </c>
      <c r="G1473">
        <v>9563</v>
      </c>
      <c r="H1473" t="s">
        <v>3155</v>
      </c>
      <c r="I1473" t="s">
        <v>3148</v>
      </c>
      <c r="J1473">
        <f>VLOOKUP(F1473,[1]!china_towns_second__2[[Column1]:[Y]],3,FALSE)</f>
        <v>37.185930170114403</v>
      </c>
      <c r="K1473">
        <f>VLOOKUP(F1473,[1]!china_towns_second__2[[Column1]:[Y]],2,FALSE)</f>
        <v>110.0376041</v>
      </c>
      <c r="L1473" t="s">
        <v>5590</v>
      </c>
      <c r="M1473" t="str">
        <f>VLOOKUP(H1473,CHOOSE({1,2},Table11[Native],Table11[Name]),2,0)</f>
        <v>Qīngjiàn Xiàn</v>
      </c>
      <c r="N1473" s="13" t="str">
        <f>VLOOKUP(I1473,CHOOSE({1,2},Table11[Native],Table11[Name]),2,0)</f>
        <v>Yúlín Shì</v>
      </c>
      <c r="O1473" s="13" t="str">
        <f t="shared" si="90"/>
        <v>Zhejiaping Zhen (Yúlín Shì)</v>
      </c>
      <c r="P1473" s="13" t="str">
        <f t="shared" si="91"/>
        <v>Zhejiaping Zhen (Yúlín Shì)</v>
      </c>
    </row>
    <row r="1474" spans="1:16" hidden="1" x14ac:dyDescent="0.25">
      <c r="A1474" t="s">
        <v>1023</v>
      </c>
      <c r="B1474" t="str">
        <f t="shared" ref="B1474:B1537" si="92">IF(COUNTIF(A:A,A1474)&gt;1,_xlfn.CONCAT(A1474," (",N1474,")"),A1474)</f>
        <v>Zhènchuān Zhèn (Hànzhōng Shì)</v>
      </c>
      <c r="C1474" t="str">
        <f t="shared" ref="C1474:C1537" si="93">IF(COUNTIF(B:B,B1474)&gt;1,_xlfn.CONCAT(A1474," (",M1474,")"),B1474)</f>
        <v>Zhènchuān Zhèn (Hànzhōng Shì)</v>
      </c>
      <c r="D1474" t="s">
        <v>1024</v>
      </c>
      <c r="E1474" t="s">
        <v>7</v>
      </c>
      <c r="F1474" t="str">
        <f>_xlfn.CONCAT(D1474,", ",H1474,", ",I1474,", ","陕西省")</f>
        <v>镇川镇, 勉县, 汉中市, 陕西省</v>
      </c>
      <c r="G1474">
        <v>15037</v>
      </c>
      <c r="H1474" t="s">
        <v>3065</v>
      </c>
      <c r="I1474" t="s">
        <v>3059</v>
      </c>
      <c r="J1474">
        <f>VLOOKUP(F1474,[1]!china_towns_second__2[[Column1]:[Y]],3,FALSE)</f>
        <v>33.086150153086997</v>
      </c>
      <c r="K1474">
        <f>VLOOKUP(F1474,[1]!china_towns_second__2[[Column1]:[Y]],2,FALSE)</f>
        <v>106.74608310000001</v>
      </c>
      <c r="L1474" t="s">
        <v>5591</v>
      </c>
      <c r="M1474" t="str">
        <f>VLOOKUP(H1474,CHOOSE({1,2},Table11[Native],Table11[Name]),2,0)</f>
        <v>Miăn Xiàn</v>
      </c>
      <c r="N1474" s="13" t="str">
        <f>VLOOKUP(I1474,CHOOSE({1,2},Table11[Native],Table11[Name]),2,0)</f>
        <v>Hànzhōng Shì</v>
      </c>
      <c r="O1474" s="13" t="str">
        <f t="shared" ref="O1474:O1537" si="94">_xlfn.CONCAT(L1474," (",N1474,")")</f>
        <v>Zhenchuan Zhen (Hanzhong Shi) (Hànzhōng Shì)</v>
      </c>
      <c r="P1474" s="13" t="str">
        <f t="shared" ref="P1474:P1537" si="95">IF(COUNTIF(O:O,O1474)&gt;1,_xlfn.CONCAT(L1474," (",M1474,")"),O1474)</f>
        <v>Zhenchuan Zhen (Hanzhong Shi) (Hànzhōng Shì)</v>
      </c>
    </row>
    <row r="1475" spans="1:16" hidden="1" x14ac:dyDescent="0.25">
      <c r="A1475" t="s">
        <v>1023</v>
      </c>
      <c r="B1475" t="str">
        <f t="shared" si="92"/>
        <v>Zhènchuān Zhèn (Yúlín Shì)</v>
      </c>
      <c r="C1475" t="str">
        <f t="shared" si="93"/>
        <v>Zhènchuān Zhèn (Yúlín Shì)</v>
      </c>
      <c r="D1475" t="s">
        <v>1024</v>
      </c>
      <c r="E1475" t="s">
        <v>7</v>
      </c>
      <c r="F1475" t="str">
        <f>_xlfn.CONCAT(D1475,", ",H1475,", ",I1475,", ","陕西省")</f>
        <v>镇川镇, 榆阳区, 榆林市, 陕西省</v>
      </c>
      <c r="G1475">
        <v>23946</v>
      </c>
      <c r="H1475" t="s">
        <v>3159</v>
      </c>
      <c r="I1475" t="s">
        <v>3148</v>
      </c>
      <c r="J1475">
        <f>VLOOKUP(F1475,[1]!china_towns_second__2[[Column1]:[Y]],3,FALSE)</f>
        <v>37.867853988692701</v>
      </c>
      <c r="K1475">
        <f>VLOOKUP(F1475,[1]!china_towns_second__2[[Column1]:[Y]],2,FALSE)</f>
        <v>110.1001935</v>
      </c>
      <c r="L1475" t="s">
        <v>5592</v>
      </c>
      <c r="M1475" t="str">
        <f>VLOOKUP(H1475,CHOOSE({1,2},Table11[Native],Table11[Name]),2,0)</f>
        <v>Yúyáng Qū</v>
      </c>
      <c r="N1475" s="13" t="str">
        <f>VLOOKUP(I1475,CHOOSE({1,2},Table11[Native],Table11[Name]),2,0)</f>
        <v>Yúlín Shì</v>
      </c>
      <c r="O1475" s="13" t="str">
        <f t="shared" si="94"/>
        <v>Zhenchuan Zhen (Yulin Shi) (Yúlín Shì)</v>
      </c>
      <c r="P1475" s="13" t="str">
        <f t="shared" si="95"/>
        <v>Zhenchuan Zhen (Yulin Shi) (Yúlín Shì)</v>
      </c>
    </row>
    <row r="1476" spans="1:16" hidden="1" x14ac:dyDescent="0.25">
      <c r="A1476" t="s">
        <v>1952</v>
      </c>
      <c r="B1476" t="str">
        <f t="shared" si="92"/>
        <v>Zhèngjiā Zhèn</v>
      </c>
      <c r="C1476" t="str">
        <f t="shared" si="93"/>
        <v>Zhèngjiā Zhèn</v>
      </c>
      <c r="D1476" t="s">
        <v>1953</v>
      </c>
      <c r="E1476" t="s">
        <v>7</v>
      </c>
      <c r="F1476" t="str">
        <f>_xlfn.CONCAT(D1476,", ",H1476,", ",I1476,", ","陕西省")</f>
        <v>郑家镇, 旬邑县, 咸阳市, 陕西省</v>
      </c>
      <c r="G1476">
        <v>19439</v>
      </c>
      <c r="H1476" t="s">
        <v>3129</v>
      </c>
      <c r="I1476" t="s">
        <v>3117</v>
      </c>
      <c r="J1476">
        <f>VLOOKUP(F1476,[1]!china_towns_second__2[[Column1]:[Y]],3,FALSE)</f>
        <v>35.113645837830603</v>
      </c>
      <c r="K1476">
        <f>VLOOKUP(F1476,[1]!china_towns_second__2[[Column1]:[Y]],2,FALSE)</f>
        <v>108.2329749</v>
      </c>
      <c r="L1476" t="s">
        <v>5593</v>
      </c>
      <c r="M1476" t="str">
        <f>VLOOKUP(H1476,CHOOSE({1,2},Table11[Native],Table11[Name]),2,0)</f>
        <v>Xúnyì Xiàn</v>
      </c>
      <c r="N1476" s="13" t="str">
        <f>VLOOKUP(I1476,CHOOSE({1,2},Table11[Native],Table11[Name]),2,0)</f>
        <v>Xiányáng Shì</v>
      </c>
      <c r="O1476" s="13" t="str">
        <f t="shared" si="94"/>
        <v>Zhengjia Zhen (Xiányáng Shì)</v>
      </c>
      <c r="P1476" s="13" t="str">
        <f t="shared" si="95"/>
        <v>Zhengjia Zhen (Xiányáng Shì)</v>
      </c>
    </row>
    <row r="1477" spans="1:16" hidden="1" x14ac:dyDescent="0.25">
      <c r="A1477" t="s">
        <v>2310</v>
      </c>
      <c r="B1477" t="str">
        <f t="shared" si="92"/>
        <v>Zhèngyáng Jiēdào</v>
      </c>
      <c r="C1477" t="str">
        <f t="shared" si="93"/>
        <v>Zhèngyáng Jiēdào</v>
      </c>
      <c r="D1477" t="s">
        <v>2311</v>
      </c>
      <c r="E1477" t="s">
        <v>113</v>
      </c>
      <c r="F1477" t="str">
        <f>_xlfn.CONCAT(D1477,", ",H1477,", ",I1477,", ","陕西省")</f>
        <v>正阳街道, 西咸新区, 西安市, 陕西省</v>
      </c>
      <c r="G1477">
        <v>38051</v>
      </c>
      <c r="H1477" t="s">
        <v>3167</v>
      </c>
      <c r="I1477" t="s">
        <v>3102</v>
      </c>
      <c r="J1477" t="e">
        <f>VLOOKUP(F1477,[1]!china_towns_second__2[[Column1]:[Y]],3,FALSE)</f>
        <v>#N/A</v>
      </c>
      <c r="K1477" t="e">
        <f>VLOOKUP(F1477,[1]!china_towns_second__2[[Column1]:[Y]],2,FALSE)</f>
        <v>#N/A</v>
      </c>
      <c r="L1477" t="s">
        <v>5594</v>
      </c>
      <c r="M1477" t="str">
        <f>VLOOKUP(H1477,CHOOSE({1,2},Table11[Native],Table11[Name]),2,0)</f>
        <v>Xīxián Xīnqū</v>
      </c>
      <c r="N1477" s="13" t="str">
        <f>VLOOKUP(I1477,CHOOSE({1,2},Table11[Native],Table11[Name]),2,0)</f>
        <v>Xī'ān Shì</v>
      </c>
      <c r="O1477" s="13" t="str">
        <f t="shared" si="94"/>
        <v>Zhengyang Jiedao (Xī'ān Shì)</v>
      </c>
      <c r="P1477" s="13" t="str">
        <f t="shared" si="95"/>
        <v>Zhengyang Jiedao (Xī'ān Shì)</v>
      </c>
    </row>
    <row r="1478" spans="1:16" hidden="1" x14ac:dyDescent="0.25">
      <c r="A1478" t="s">
        <v>323</v>
      </c>
      <c r="B1478" t="str">
        <f t="shared" si="92"/>
        <v>Zhèngyáng Zhèn</v>
      </c>
      <c r="C1478" t="str">
        <f t="shared" si="93"/>
        <v>Zhèngyáng Zhèn</v>
      </c>
      <c r="D1478" t="s">
        <v>324</v>
      </c>
      <c r="E1478" t="s">
        <v>7</v>
      </c>
      <c r="F1478" t="str">
        <f>_xlfn.CONCAT(D1478,", ",H1478,", ",I1478,", ","陕西省")</f>
        <v>正阳镇, 平利县, 安康市, 陕西省</v>
      </c>
      <c r="G1478">
        <v>7404</v>
      </c>
      <c r="H1478" t="s">
        <v>3039</v>
      </c>
      <c r="I1478" t="s">
        <v>3031</v>
      </c>
      <c r="J1478">
        <f>VLOOKUP(F1478,[1]!china_towns_second__2[[Column1]:[Y]],3,FALSE)</f>
        <v>31.976960765609899</v>
      </c>
      <c r="K1478">
        <f>VLOOKUP(F1478,[1]!china_towns_second__2[[Column1]:[Y]],2,FALSE)</f>
        <v>109.19961979999999</v>
      </c>
      <c r="L1478" t="s">
        <v>5595</v>
      </c>
      <c r="M1478" t="str">
        <f>VLOOKUP(H1478,CHOOSE({1,2},Table11[Native],Table11[Name]),2,0)</f>
        <v>Pínglì Xiàn</v>
      </c>
      <c r="N1478" s="13" t="str">
        <f>VLOOKUP(I1478,CHOOSE({1,2},Table11[Native],Table11[Name]),2,0)</f>
        <v>Ānkāng Shì</v>
      </c>
      <c r="O1478" s="13" t="str">
        <f t="shared" si="94"/>
        <v>Zhengyang Zhen (Ānkāng Shì)</v>
      </c>
      <c r="P1478" s="13" t="str">
        <f t="shared" si="95"/>
        <v>Zhengyang Zhen (Ānkāng Shì)</v>
      </c>
    </row>
    <row r="1479" spans="1:16" hidden="1" x14ac:dyDescent="0.25">
      <c r="A1479" t="s">
        <v>1364</v>
      </c>
      <c r="B1479" t="str">
        <f t="shared" si="92"/>
        <v>Zhèngyánglù Jiēdào</v>
      </c>
      <c r="C1479" t="str">
        <f t="shared" si="93"/>
        <v>Zhèngyánglù Jiēdào</v>
      </c>
      <c r="D1479" t="s">
        <v>1365</v>
      </c>
      <c r="E1479" t="s">
        <v>113</v>
      </c>
      <c r="F1479" t="str">
        <f>_xlfn.CONCAT(D1479,", ",H1479,", ",I1479,", ","陕西省")</f>
        <v>正阳路街道, 耀州区, 铜川市, 陕西省</v>
      </c>
      <c r="G1479">
        <v>43614</v>
      </c>
      <c r="H1479" t="s">
        <v>3083</v>
      </c>
      <c r="I1479" t="s">
        <v>3081</v>
      </c>
      <c r="J1479">
        <f>VLOOKUP(F1479,[1]!china_towns_second__2[[Column1]:[Y]],3,FALSE)</f>
        <v>34.872342784253803</v>
      </c>
      <c r="K1479">
        <f>VLOOKUP(F1479,[1]!china_towns_second__2[[Column1]:[Y]],2,FALSE)</f>
        <v>108.9471942</v>
      </c>
      <c r="L1479" t="s">
        <v>5596</v>
      </c>
      <c r="M1479" t="str">
        <f>VLOOKUP(H1479,CHOOSE({1,2},Table11[Native],Table11[Name]),2,0)</f>
        <v>Yàozhōu Qū</v>
      </c>
      <c r="N1479" s="13" t="str">
        <f>VLOOKUP(I1479,CHOOSE({1,2},Table11[Native],Table11[Name]),2,0)</f>
        <v>Tóngchuān Shì</v>
      </c>
      <c r="O1479" s="13" t="str">
        <f t="shared" si="94"/>
        <v>Zhengyanglu Jiedao (Tóngchuān Shì)</v>
      </c>
      <c r="P1479" s="13" t="str">
        <f t="shared" si="95"/>
        <v>Zhengyanglu Jiedao (Tóngchuān Shì)</v>
      </c>
    </row>
    <row r="1480" spans="1:16" hidden="1" x14ac:dyDescent="0.25">
      <c r="A1480" t="s">
        <v>2608</v>
      </c>
      <c r="B1480" t="str">
        <f t="shared" si="92"/>
        <v>Zhèngzhuāng Zhèn [incl. Guōqí Xiāng]</v>
      </c>
      <c r="C1480" t="str">
        <f t="shared" si="93"/>
        <v>Zhèngzhuāng Zhèn [incl. Guōqí Xiāng]</v>
      </c>
      <c r="D1480" t="s">
        <v>2609</v>
      </c>
      <c r="E1480" t="s">
        <v>7</v>
      </c>
      <c r="F1480" t="str">
        <f>_xlfn.CONCAT(D1480,", ",H1480,", ",I1480,", ","陕西省")</f>
        <v>郑庄镇, 延长县, 延安市, 陕西省</v>
      </c>
      <c r="G1480">
        <v>10704</v>
      </c>
      <c r="H1480" t="s">
        <v>3142</v>
      </c>
      <c r="I1480" t="s">
        <v>3133</v>
      </c>
      <c r="J1480">
        <f>VLOOKUP(F1480,[1]!china_towns_second__2[[Column1]:[Y]],3,FALSE)</f>
        <v>36.529774765538903</v>
      </c>
      <c r="K1480">
        <f>VLOOKUP(F1480,[1]!china_towns_second__2[[Column1]:[Y]],2,FALSE)</f>
        <v>109.79738330000001</v>
      </c>
      <c r="L1480" t="s">
        <v>5597</v>
      </c>
      <c r="M1480" t="str">
        <f>VLOOKUP(H1480,CHOOSE({1,2},Table11[Native],Table11[Name]),2,0)</f>
        <v>Yáncháng Xiàn</v>
      </c>
      <c r="N1480" s="13" t="str">
        <f>VLOOKUP(I1480,CHOOSE({1,2},Table11[Native],Table11[Name]),2,0)</f>
        <v>Yán'ān Shì</v>
      </c>
      <c r="O1480" s="13" t="str">
        <f t="shared" si="94"/>
        <v>Zhengzhuang Zhen [incl. Guoqi Xiang] (Yán'ān Shì)</v>
      </c>
      <c r="P1480" s="13" t="str">
        <f t="shared" si="95"/>
        <v>Zhengzhuang Zhen [incl. Guoqi Xiang] (Yán'ān Shì)</v>
      </c>
    </row>
    <row r="1481" spans="1:16" hidden="1" x14ac:dyDescent="0.25">
      <c r="A1481" t="s">
        <v>3007</v>
      </c>
      <c r="B1481" t="str">
        <f t="shared" si="92"/>
        <v>Zhènjìng Zhèn</v>
      </c>
      <c r="C1481" t="str">
        <f t="shared" si="93"/>
        <v>Zhènjìng Zhèn</v>
      </c>
      <c r="D1481" t="s">
        <v>3008</v>
      </c>
      <c r="E1481" t="s">
        <v>7</v>
      </c>
      <c r="F1481" t="str">
        <f>_xlfn.CONCAT(D1481,", ",H1481,", ",I1481,", ","陕西省")</f>
        <v>镇靖镇, 靖边县, 榆林市, 陕西省</v>
      </c>
      <c r="G1481">
        <v>8260</v>
      </c>
      <c r="H1481" t="s">
        <v>3153</v>
      </c>
      <c r="I1481" t="s">
        <v>3148</v>
      </c>
      <c r="J1481">
        <f>VLOOKUP(F1481,[1]!china_towns_second__2[[Column1]:[Y]],3,FALSE)</f>
        <v>37.498697490789297</v>
      </c>
      <c r="K1481">
        <f>VLOOKUP(F1481,[1]!china_towns_second__2[[Column1]:[Y]],2,FALSE)</f>
        <v>108.78934839999999</v>
      </c>
      <c r="L1481" t="s">
        <v>5598</v>
      </c>
      <c r="M1481" t="str">
        <f>VLOOKUP(H1481,CHOOSE({1,2},Table11[Native],Table11[Name]),2,0)</f>
        <v>Jìngbiān Xiàn</v>
      </c>
      <c r="N1481" s="13" t="str">
        <f>VLOOKUP(I1481,CHOOSE({1,2},Table11[Native],Table11[Name]),2,0)</f>
        <v>Yúlín Shì</v>
      </c>
      <c r="O1481" s="13" t="str">
        <f t="shared" si="94"/>
        <v>Zhenjing Zhen (Yúlín Shì)</v>
      </c>
      <c r="P1481" s="13" t="str">
        <f t="shared" si="95"/>
        <v>Zhenjing Zhen (Yúlín Shì)</v>
      </c>
    </row>
    <row r="1482" spans="1:16" hidden="1" x14ac:dyDescent="0.25">
      <c r="A1482" t="s">
        <v>2610</v>
      </c>
      <c r="B1482" t="str">
        <f t="shared" si="92"/>
        <v>Zhēnwŭdòng Jiēdào</v>
      </c>
      <c r="C1482" t="str">
        <f t="shared" si="93"/>
        <v>Zhēnwŭdòng Jiēdào</v>
      </c>
      <c r="D1482" t="s">
        <v>2611</v>
      </c>
      <c r="E1482" t="s">
        <v>113</v>
      </c>
      <c r="F1482" t="str">
        <f>_xlfn.CONCAT(D1482,", ",H1482,", ",I1482,", ","陕西省")</f>
        <v>真武洞街道, 安塞区, 延安市, 陕西省</v>
      </c>
      <c r="G1482">
        <v>57902</v>
      </c>
      <c r="H1482" t="s">
        <v>3134</v>
      </c>
      <c r="I1482" t="s">
        <v>3133</v>
      </c>
      <c r="J1482" t="e">
        <f>VLOOKUP(F1482,[1]!china_towns_second__2[[Column1]:[Y]],3,FALSE)</f>
        <v>#N/A</v>
      </c>
      <c r="K1482" t="e">
        <f>VLOOKUP(F1482,[1]!china_towns_second__2[[Column1]:[Y]],2,FALSE)</f>
        <v>#N/A</v>
      </c>
      <c r="L1482" t="s">
        <v>5599</v>
      </c>
      <c r="M1482" t="str">
        <f>VLOOKUP(H1482,CHOOSE({1,2},Table11[Native],Table11[Name]),2,0)</f>
        <v>Ānsài Qū</v>
      </c>
      <c r="N1482" s="13" t="str">
        <f>VLOOKUP(I1482,CHOOSE({1,2},Table11[Native],Table11[Name]),2,0)</f>
        <v>Yán'ān Shì</v>
      </c>
      <c r="O1482" s="13" t="str">
        <f t="shared" si="94"/>
        <v>Zhenwudong Jiedao (Yán'ān Shì)</v>
      </c>
      <c r="P1482" s="13" t="str">
        <f t="shared" si="95"/>
        <v>Zhenwudong Jiedao (Yán'ān Shì)</v>
      </c>
    </row>
    <row r="1483" spans="1:16" hidden="1" x14ac:dyDescent="0.25">
      <c r="A1483" t="s">
        <v>2312</v>
      </c>
      <c r="B1483" t="str">
        <f t="shared" si="92"/>
        <v>Zhènxīng Jiēdào</v>
      </c>
      <c r="C1483" t="str">
        <f t="shared" si="93"/>
        <v>Zhènxīng Jiēdào</v>
      </c>
      <c r="D1483" t="s">
        <v>2313</v>
      </c>
      <c r="E1483" t="s">
        <v>113</v>
      </c>
      <c r="F1483" t="str">
        <f>_xlfn.CONCAT(D1483,", ",H1483,", ",I1483,", ","陕西省")</f>
        <v>振兴街道, 阎良区, 西安市, 陕西省</v>
      </c>
      <c r="G1483">
        <v>25418</v>
      </c>
      <c r="H1483" t="s">
        <v>3113</v>
      </c>
      <c r="I1483" t="s">
        <v>3102</v>
      </c>
      <c r="J1483">
        <f>VLOOKUP(F1483,[1]!china_towns_second__2[[Column1]:[Y]],3,FALSE)</f>
        <v>34.6654215682317</v>
      </c>
      <c r="K1483">
        <f>VLOOKUP(F1483,[1]!china_towns_second__2[[Column1]:[Y]],2,FALSE)</f>
        <v>109.1867723</v>
      </c>
      <c r="L1483" t="s">
        <v>5600</v>
      </c>
      <c r="M1483" t="str">
        <f>VLOOKUP(H1483,CHOOSE({1,2},Table11[Native],Table11[Name]),2,0)</f>
        <v>Yánliáng Qū</v>
      </c>
      <c r="N1483" s="13" t="str">
        <f>VLOOKUP(I1483,CHOOSE({1,2},Table11[Native],Table11[Name]),2,0)</f>
        <v>Xī'ān Shì</v>
      </c>
      <c r="O1483" s="13" t="str">
        <f t="shared" si="94"/>
        <v>Zhenxing Jiedao (Xī'ān Shì)</v>
      </c>
      <c r="P1483" s="13" t="str">
        <f t="shared" si="95"/>
        <v>Zhenxing Jiedao (Xī'ān Shì)</v>
      </c>
    </row>
    <row r="1484" spans="1:16" hidden="1" x14ac:dyDescent="0.25">
      <c r="A1484" t="s">
        <v>1954</v>
      </c>
      <c r="B1484" t="str">
        <f t="shared" si="92"/>
        <v>Zhēnyuán Zhèn</v>
      </c>
      <c r="C1484" t="str">
        <f t="shared" si="93"/>
        <v>Zhēnyuán Zhèn</v>
      </c>
      <c r="D1484" t="s">
        <v>1955</v>
      </c>
      <c r="E1484" t="s">
        <v>7</v>
      </c>
      <c r="F1484" t="str">
        <f>_xlfn.CONCAT(D1484,", ",H1484,", ",I1484,", ","陕西省")</f>
        <v>贞元镇, 武功县, 咸阳市, 陕西省</v>
      </c>
      <c r="G1484">
        <v>34178</v>
      </c>
      <c r="H1484" t="s">
        <v>3127</v>
      </c>
      <c r="I1484" t="s">
        <v>3117</v>
      </c>
      <c r="J1484">
        <f>VLOOKUP(F1484,[1]!china_towns_second__2[[Column1]:[Y]],3,FALSE)</f>
        <v>34.332169084640597</v>
      </c>
      <c r="K1484">
        <f>VLOOKUP(F1484,[1]!china_towns_second__2[[Column1]:[Y]],2,FALSE)</f>
        <v>108.1905397</v>
      </c>
      <c r="L1484" t="s">
        <v>5601</v>
      </c>
      <c r="M1484" t="str">
        <f>VLOOKUP(H1484,CHOOSE({1,2},Table11[Native],Table11[Name]),2,0)</f>
        <v>Wŭgōng Xiàn</v>
      </c>
      <c r="N1484" s="13" t="str">
        <f>VLOOKUP(I1484,CHOOSE({1,2},Table11[Native],Table11[Name]),2,0)</f>
        <v>Xiányáng Shì</v>
      </c>
      <c r="O1484" s="13" t="str">
        <f t="shared" si="94"/>
        <v>Zhenyuan Zhen (Xiányáng Shì)</v>
      </c>
      <c r="P1484" s="13" t="str">
        <f t="shared" si="95"/>
        <v>Zhenyuan Zhen (Xiányáng Shì)</v>
      </c>
    </row>
    <row r="1485" spans="1:16" hidden="1" x14ac:dyDescent="0.25">
      <c r="A1485" t="s">
        <v>1699</v>
      </c>
      <c r="B1485" t="str">
        <f t="shared" si="92"/>
        <v>Zhībăo Xiāng</v>
      </c>
      <c r="C1485" t="str">
        <f t="shared" si="93"/>
        <v>Zhībăo Xiāng</v>
      </c>
      <c r="D1485" t="s">
        <v>1700</v>
      </c>
      <c r="E1485" t="s">
        <v>11</v>
      </c>
      <c r="F1485" t="str">
        <f>_xlfn.CONCAT(D1485,", ",H1485,", ",I1485,", ","陕西省")</f>
        <v>知堡乡, 合阳县, 渭南市, 陕西省</v>
      </c>
      <c r="G1485">
        <v>15964</v>
      </c>
      <c r="H1485" t="s">
        <v>3094</v>
      </c>
      <c r="I1485" t="s">
        <v>3087</v>
      </c>
      <c r="J1485" t="e">
        <f>VLOOKUP(F1485,[1]!china_towns_second__2[[Column1]:[Y]],3,FALSE)</f>
        <v>#N/A</v>
      </c>
      <c r="K1485" t="e">
        <f>VLOOKUP(F1485,[1]!china_towns_second__2[[Column1]:[Y]],2,FALSE)</f>
        <v>#N/A</v>
      </c>
      <c r="L1485" t="s">
        <v>5602</v>
      </c>
      <c r="M1485" t="str">
        <f>VLOOKUP(H1485,CHOOSE({1,2},Table11[Native],Table11[Name]),2,0)</f>
        <v>Héyáng Xiàn</v>
      </c>
      <c r="N1485" s="13" t="str">
        <f>VLOOKUP(I1485,CHOOSE({1,2},Table11[Native],Table11[Name]),2,0)</f>
        <v>Wèinán Shì</v>
      </c>
      <c r="O1485" s="13" t="str">
        <f t="shared" si="94"/>
        <v>Zhibao Xiang (Wèinán Shì)</v>
      </c>
      <c r="P1485" s="13" t="str">
        <f t="shared" si="95"/>
        <v>Zhibao Xiang (Wèinán Shì)</v>
      </c>
    </row>
    <row r="1486" spans="1:16" hidden="1" x14ac:dyDescent="0.25">
      <c r="A1486" t="s">
        <v>1701</v>
      </c>
      <c r="B1486" t="str">
        <f t="shared" si="92"/>
        <v>Zhīchuān Zhèn [incl. Lóngtíng Zhèn, Wéidōng Xiāng]</v>
      </c>
      <c r="C1486" t="str">
        <f t="shared" si="93"/>
        <v>Zhīchuān Zhèn [incl. Lóngtíng Zhèn, Wéidōng Xiāng]</v>
      </c>
      <c r="D1486" t="s">
        <v>1702</v>
      </c>
      <c r="E1486" t="s">
        <v>7</v>
      </c>
      <c r="F1486" t="str">
        <f>_xlfn.CONCAT(D1486,", ",H1486,", ",I1486,", ","陕西省")</f>
        <v>芝川镇, 韩城市, 渭南市, 陕西省</v>
      </c>
      <c r="G1486">
        <v>47224</v>
      </c>
      <c r="H1486" t="s">
        <v>3093</v>
      </c>
      <c r="I1486" t="s">
        <v>3087</v>
      </c>
      <c r="J1486">
        <f>VLOOKUP(F1486,[1]!china_towns_second__2[[Column1]:[Y]],3,FALSE)</f>
        <v>35.385808409923001</v>
      </c>
      <c r="K1486">
        <f>VLOOKUP(F1486,[1]!china_towns_second__2[[Column1]:[Y]],2,FALSE)</f>
        <v>110.4189591</v>
      </c>
      <c r="L1486" t="s">
        <v>5603</v>
      </c>
      <c r="M1486" t="str">
        <f>VLOOKUP(H1486,CHOOSE({1,2},Table11[Native],Table11[Name]),2,0)</f>
        <v>Hánchéng Shì</v>
      </c>
      <c r="N1486" s="13" t="str">
        <f>VLOOKUP(I1486,CHOOSE({1,2},Table11[Native],Table11[Name]),2,0)</f>
        <v>Wèinán Shì</v>
      </c>
      <c r="O1486" s="13" t="str">
        <f t="shared" si="94"/>
        <v>Zhichuan Zhen [incl. Longting Zhen, Weidong Xiang] (Wèinán Shì)</v>
      </c>
      <c r="P1486" s="13" t="str">
        <f t="shared" si="95"/>
        <v>Zhichuan Zhen [incl. Longting Zhen, Weidong Xiang] (Wèinán Shì)</v>
      </c>
    </row>
    <row r="1487" spans="1:16" hidden="1" x14ac:dyDescent="0.25">
      <c r="A1487" t="s">
        <v>1025</v>
      </c>
      <c r="B1487" t="str">
        <f t="shared" si="92"/>
        <v>Zhǐfāng Jiēdào [incl. Báishí Xiāng, Sìláng Xiāng]</v>
      </c>
      <c r="C1487" t="str">
        <f t="shared" si="93"/>
        <v>Zhǐfāng Jiēdào [incl. Báishí Xiāng, Sìláng Xiāng]</v>
      </c>
      <c r="D1487" t="s">
        <v>1026</v>
      </c>
      <c r="E1487" t="s">
        <v>113</v>
      </c>
      <c r="F1487" t="str">
        <f>_xlfn.CONCAT(D1487,", ",H1487,", ",I1487,", ","陕西省")</f>
        <v>纸坊街道, 洋县, 汉中市, 陕西省</v>
      </c>
      <c r="G1487">
        <v>14169</v>
      </c>
      <c r="H1487" t="s">
        <v>3069</v>
      </c>
      <c r="I1487" t="s">
        <v>3059</v>
      </c>
      <c r="J1487" t="e">
        <f>VLOOKUP(F1487,[1]!china_towns_second__2[[Column1]:[Y]],3,FALSE)</f>
        <v>#N/A</v>
      </c>
      <c r="K1487" t="e">
        <f>VLOOKUP(F1487,[1]!china_towns_second__2[[Column1]:[Y]],2,FALSE)</f>
        <v>#N/A</v>
      </c>
      <c r="L1487" t="s">
        <v>5604</v>
      </c>
      <c r="M1487" t="str">
        <f>VLOOKUP(H1487,CHOOSE({1,2},Table11[Native],Table11[Name]),2,0)</f>
        <v>Yáng Xiàn</v>
      </c>
      <c r="N1487" s="13" t="str">
        <f>VLOOKUP(I1487,CHOOSE({1,2},Table11[Native],Table11[Name]),2,0)</f>
        <v>Hànzhōng Shì</v>
      </c>
      <c r="O1487" s="13" t="str">
        <f t="shared" si="94"/>
        <v>Zhifang Jiedao [incl. Baishi Xiang, Silang Xiang] (Hànzhōng Shì)</v>
      </c>
      <c r="P1487" s="13" t="str">
        <f t="shared" si="95"/>
        <v>Zhifang Jiedao [incl. Baishi Xiang, Silang Xiang] (Hànzhōng Shì)</v>
      </c>
    </row>
    <row r="1488" spans="1:16" hidden="1" x14ac:dyDescent="0.25">
      <c r="A1488" t="s">
        <v>2612</v>
      </c>
      <c r="B1488" t="str">
        <f t="shared" si="92"/>
        <v>Zhĭfāng Xiāng</v>
      </c>
      <c r="C1488" t="str">
        <f t="shared" si="93"/>
        <v>Zhĭfāng Xiāng</v>
      </c>
      <c r="D1488" t="s">
        <v>2613</v>
      </c>
      <c r="E1488" t="s">
        <v>11</v>
      </c>
      <c r="F1488" t="str">
        <f>_xlfn.CONCAT(D1488,", ",H1488,", ",I1488,", ","陕西省")</f>
        <v>纸坊乡, 志丹县, 延安市, 陕西省</v>
      </c>
      <c r="G1488">
        <v>5168</v>
      </c>
      <c r="H1488" t="s">
        <v>3145</v>
      </c>
      <c r="I1488" t="s">
        <v>3133</v>
      </c>
      <c r="J1488" t="e">
        <f>VLOOKUP(F1488,[1]!china_towns_second__2[[Column1]:[Y]],3,FALSE)</f>
        <v>#N/A</v>
      </c>
      <c r="K1488" t="e">
        <f>VLOOKUP(F1488,[1]!china_towns_second__2[[Column1]:[Y]],2,FALSE)</f>
        <v>#N/A</v>
      </c>
      <c r="L1488" t="s">
        <v>5605</v>
      </c>
      <c r="M1488" t="str">
        <f>VLOOKUP(H1488,CHOOSE({1,2},Table11[Native],Table11[Name]),2,0)</f>
        <v>Zhìdān Xiàn</v>
      </c>
      <c r="N1488" s="13" t="str">
        <f>VLOOKUP(I1488,CHOOSE({1,2},Table11[Native],Table11[Name]),2,0)</f>
        <v>Yán'ān Shì</v>
      </c>
      <c r="O1488" s="13" t="str">
        <f t="shared" si="94"/>
        <v>Zhifang Xiang (Yán'ān Shì)</v>
      </c>
      <c r="P1488" s="13" t="str">
        <f t="shared" si="95"/>
        <v>Zhifang Xiang (Yán'ān Shì)</v>
      </c>
    </row>
    <row r="1489" spans="1:16" hidden="1" x14ac:dyDescent="0.25">
      <c r="A1489" t="s">
        <v>2614</v>
      </c>
      <c r="B1489" t="str">
        <f t="shared" si="92"/>
        <v>Zhíluó Zhèn</v>
      </c>
      <c r="C1489" t="str">
        <f t="shared" si="93"/>
        <v>Zhíluó Zhèn</v>
      </c>
      <c r="D1489" t="s">
        <v>2615</v>
      </c>
      <c r="E1489" t="s">
        <v>7</v>
      </c>
      <c r="F1489" t="str">
        <f>_xlfn.CONCAT(D1489,", ",H1489,", ",I1489,", ","陕西省")</f>
        <v>直罗镇, 富县, 延安市, 陕西省</v>
      </c>
      <c r="G1489">
        <v>8633</v>
      </c>
      <c r="H1489" t="s">
        <v>3136</v>
      </c>
      <c r="I1489" t="s">
        <v>3133</v>
      </c>
      <c r="J1489">
        <f>VLOOKUP(F1489,[1]!china_towns_second__2[[Column1]:[Y]],3,FALSE)</f>
        <v>35.896282074757302</v>
      </c>
      <c r="K1489">
        <f>VLOOKUP(F1489,[1]!china_towns_second__2[[Column1]:[Y]],2,FALSE)</f>
        <v>108.7897217</v>
      </c>
      <c r="L1489" t="s">
        <v>5606</v>
      </c>
      <c r="M1489" t="str">
        <f>VLOOKUP(H1489,CHOOSE({1,2},Table11[Native],Table11[Name]),2,0)</f>
        <v>Fù Xiàn</v>
      </c>
      <c r="N1489" s="13" t="str">
        <f>VLOOKUP(I1489,CHOOSE({1,2},Table11[Native],Table11[Name]),2,0)</f>
        <v>Yán'ān Shì</v>
      </c>
      <c r="O1489" s="13" t="str">
        <f t="shared" si="94"/>
        <v>Zhiluo Zhen (Yán'ān Shì)</v>
      </c>
      <c r="P1489" s="13" t="str">
        <f t="shared" si="95"/>
        <v>Zhiluo Zhen (Yán'ān Shì)</v>
      </c>
    </row>
    <row r="1490" spans="1:16" hidden="1" x14ac:dyDescent="0.25">
      <c r="A1490" t="s">
        <v>1956</v>
      </c>
      <c r="B1490" t="str">
        <f t="shared" si="92"/>
        <v>Zhítián Zhèn</v>
      </c>
      <c r="C1490" t="str">
        <f t="shared" si="93"/>
        <v>Zhítián Zhèn</v>
      </c>
      <c r="D1490" t="s">
        <v>1957</v>
      </c>
      <c r="E1490" t="s">
        <v>7</v>
      </c>
      <c r="F1490" t="str">
        <f>_xlfn.CONCAT(D1490,", ",H1490,", ",I1490,", ","陕西省")</f>
        <v>职田镇, 旬邑县, 咸阳市, 陕西省</v>
      </c>
      <c r="G1490">
        <v>24335</v>
      </c>
      <c r="H1490" t="s">
        <v>3129</v>
      </c>
      <c r="I1490" t="s">
        <v>3117</v>
      </c>
      <c r="J1490">
        <f>VLOOKUP(F1490,[1]!china_towns_second__2[[Column1]:[Y]],3,FALSE)</f>
        <v>35.222242514227197</v>
      </c>
      <c r="K1490">
        <f>VLOOKUP(F1490,[1]!china_towns_second__2[[Column1]:[Y]],2,FALSE)</f>
        <v>108.38620709999999</v>
      </c>
      <c r="L1490" t="s">
        <v>5607</v>
      </c>
      <c r="M1490" t="str">
        <f>VLOOKUP(H1490,CHOOSE({1,2},Table11[Native],Table11[Name]),2,0)</f>
        <v>Xúnyì Xiàn</v>
      </c>
      <c r="N1490" s="13" t="str">
        <f>VLOOKUP(I1490,CHOOSE({1,2},Table11[Native],Table11[Name]),2,0)</f>
        <v>Xiányáng Shì</v>
      </c>
      <c r="O1490" s="13" t="str">
        <f t="shared" si="94"/>
        <v>Zhitian Zhen (Xiányáng Shì)</v>
      </c>
      <c r="P1490" s="13" t="str">
        <f t="shared" si="95"/>
        <v>Zhitian Zhen (Xiányáng Shì)</v>
      </c>
    </row>
    <row r="1491" spans="1:16" hidden="1" x14ac:dyDescent="0.25">
      <c r="A1491" t="s">
        <v>1703</v>
      </c>
      <c r="B1491" t="str">
        <f t="shared" si="92"/>
        <v>Zhīyáng Zhèn [incl. Qiáozixuán Xiāng]</v>
      </c>
      <c r="C1491" t="str">
        <f t="shared" si="93"/>
        <v>Zhīyáng Zhèn [incl. Qiáozixuán Xiāng]</v>
      </c>
      <c r="D1491" t="s">
        <v>1704</v>
      </c>
      <c r="E1491" t="s">
        <v>7</v>
      </c>
      <c r="F1491" t="str">
        <f>_xlfn.CONCAT(D1491,", ",H1491,", ",I1491,", ","陕西省")</f>
        <v>芝阳镇, 韩城市, 渭南市, 陕西省</v>
      </c>
      <c r="G1491">
        <v>27568</v>
      </c>
      <c r="H1491" t="s">
        <v>3093</v>
      </c>
      <c r="I1491" t="s">
        <v>3087</v>
      </c>
      <c r="J1491">
        <f>VLOOKUP(F1491,[1]!china_towns_second__2[[Column1]:[Y]],3,FALSE)</f>
        <v>35.406569961201001</v>
      </c>
      <c r="K1491">
        <f>VLOOKUP(F1491,[1]!china_towns_second__2[[Column1]:[Y]],2,FALSE)</f>
        <v>110.2436209</v>
      </c>
      <c r="L1491" t="s">
        <v>5608</v>
      </c>
      <c r="M1491" t="str">
        <f>VLOOKUP(H1491,CHOOSE({1,2},Table11[Native],Table11[Name]),2,0)</f>
        <v>Hánchéng Shì</v>
      </c>
      <c r="N1491" s="13" t="str">
        <f>VLOOKUP(I1491,CHOOSE({1,2},Table11[Native],Table11[Name]),2,0)</f>
        <v>Wèinán Shì</v>
      </c>
      <c r="O1491" s="13" t="str">
        <f t="shared" si="94"/>
        <v>Zhiyang Zhen [incl. Qiaozixuan Xiang] (Wèinán Shì)</v>
      </c>
      <c r="P1491" s="13" t="str">
        <f t="shared" si="95"/>
        <v>Zhiyang Zhen [incl. Qiaozixuan Xiang] (Wèinán Shì)</v>
      </c>
    </row>
    <row r="1492" spans="1:16" hidden="1" x14ac:dyDescent="0.25">
      <c r="A1492" t="s">
        <v>325</v>
      </c>
      <c r="B1492" t="str">
        <f t="shared" si="92"/>
        <v>Zhōngbăo Zhèn</v>
      </c>
      <c r="C1492" t="str">
        <f t="shared" si="93"/>
        <v>Zhōngbăo Zhèn</v>
      </c>
      <c r="D1492" t="s">
        <v>326</v>
      </c>
      <c r="E1492" t="s">
        <v>7</v>
      </c>
      <c r="F1492" t="str">
        <f>_xlfn.CONCAT(D1492,", ",H1492,", ",I1492,", ","陕西省")</f>
        <v>钟宝镇, 镇坪县, 安康市, 陕西省</v>
      </c>
      <c r="G1492">
        <v>7232</v>
      </c>
      <c r="H1492" t="s">
        <v>3042</v>
      </c>
      <c r="I1492" t="s">
        <v>3031</v>
      </c>
      <c r="J1492">
        <f>VLOOKUP(F1492,[1]!china_towns_second__2[[Column1]:[Y]],3,FALSE)</f>
        <v>31.797196673154499</v>
      </c>
      <c r="K1492">
        <f>VLOOKUP(F1492,[1]!china_towns_second__2[[Column1]:[Y]],2,FALSE)</f>
        <v>109.5453061</v>
      </c>
      <c r="L1492" t="s">
        <v>5609</v>
      </c>
      <c r="M1492" t="str">
        <f>VLOOKUP(H1492,CHOOSE({1,2},Table11[Native],Table11[Name]),2,0)</f>
        <v>Zhènpíng Xiàn</v>
      </c>
      <c r="N1492" s="13" t="str">
        <f>VLOOKUP(I1492,CHOOSE({1,2},Table11[Native],Table11[Name]),2,0)</f>
        <v>Ānkāng Shì</v>
      </c>
      <c r="O1492" s="13" t="str">
        <f t="shared" si="94"/>
        <v>Zhongbao Zhen (Ānkāng Shì)</v>
      </c>
      <c r="P1492" s="13" t="str">
        <f t="shared" si="95"/>
        <v>Zhongbao Zhen (Ānkāng Shì)</v>
      </c>
    </row>
    <row r="1493" spans="1:16" hidden="1" x14ac:dyDescent="0.25">
      <c r="A1493" t="s">
        <v>327</v>
      </c>
      <c r="B1493" t="str">
        <f t="shared" si="92"/>
        <v>Zhōngchăng Zhèn</v>
      </c>
      <c r="C1493" t="str">
        <f t="shared" si="93"/>
        <v>Zhōngchăng Zhèn</v>
      </c>
      <c r="D1493" t="s">
        <v>328</v>
      </c>
      <c r="E1493" t="s">
        <v>7</v>
      </c>
      <c r="F1493" t="str">
        <f>_xlfn.CONCAT(D1493,", ",H1493,", ",I1493,", ","陕西省")</f>
        <v>中厂镇, 白河县, 安康市, 陕西省</v>
      </c>
      <c r="G1493">
        <v>12485</v>
      </c>
      <c r="H1493" t="s">
        <v>3033</v>
      </c>
      <c r="I1493" t="s">
        <v>3031</v>
      </c>
      <c r="J1493">
        <f>VLOOKUP(F1493,[1]!china_towns_second__2[[Column1]:[Y]],3,FALSE)</f>
        <v>32.692622486660298</v>
      </c>
      <c r="K1493">
        <f>VLOOKUP(F1493,[1]!china_towns_second__2[[Column1]:[Y]],2,FALSE)</f>
        <v>110.1271594</v>
      </c>
      <c r="L1493" t="s">
        <v>5610</v>
      </c>
      <c r="M1493" t="str">
        <f>VLOOKUP(H1493,CHOOSE({1,2},Table11[Native],Table11[Name]),2,0)</f>
        <v>Báihé Xiàn</v>
      </c>
      <c r="N1493" s="13" t="str">
        <f>VLOOKUP(I1493,CHOOSE({1,2},Table11[Native],Table11[Name]),2,0)</f>
        <v>Ānkāng Shì</v>
      </c>
      <c r="O1493" s="13" t="str">
        <f t="shared" si="94"/>
        <v>Zhongchang Zhen (Ānkāng Shì)</v>
      </c>
      <c r="P1493" s="13" t="str">
        <f t="shared" si="95"/>
        <v>Zhongchang Zhen (Ānkāng Shì)</v>
      </c>
    </row>
    <row r="1494" spans="1:16" hidden="1" x14ac:dyDescent="0.25">
      <c r="A1494" t="s">
        <v>329</v>
      </c>
      <c r="B1494" t="str">
        <f t="shared" si="92"/>
        <v>Zhōngchí Zhèn</v>
      </c>
      <c r="C1494" t="str">
        <f t="shared" si="93"/>
        <v>Zhōngchí Zhèn</v>
      </c>
      <c r="D1494" t="s">
        <v>330</v>
      </c>
      <c r="E1494" t="s">
        <v>7</v>
      </c>
      <c r="F1494" t="str">
        <f>_xlfn.CONCAT(D1494,", ",H1494,", ",I1494,", ","陕西省")</f>
        <v>中池镇, 石泉县, 安康市, 陕西省</v>
      </c>
      <c r="G1494">
        <v>10985</v>
      </c>
      <c r="H1494" t="s">
        <v>3040</v>
      </c>
      <c r="I1494" t="s">
        <v>3031</v>
      </c>
      <c r="J1494">
        <f>VLOOKUP(F1494,[1]!china_towns_second__2[[Column1]:[Y]],3,FALSE)</f>
        <v>33.034291699352401</v>
      </c>
      <c r="K1494">
        <f>VLOOKUP(F1494,[1]!china_towns_second__2[[Column1]:[Y]],2,FALSE)</f>
        <v>108.3785608</v>
      </c>
      <c r="L1494" t="s">
        <v>5611</v>
      </c>
      <c r="M1494" t="str">
        <f>VLOOKUP(H1494,CHOOSE({1,2},Table11[Native],Table11[Name]),2,0)</f>
        <v>Shíquán Xiàn</v>
      </c>
      <c r="N1494" s="13" t="str">
        <f>VLOOKUP(I1494,CHOOSE({1,2},Table11[Native],Table11[Name]),2,0)</f>
        <v>Ānkāng Shì</v>
      </c>
      <c r="O1494" s="13" t="str">
        <f t="shared" si="94"/>
        <v>Zhongchi Zhen (Ānkāng Shì)</v>
      </c>
      <c r="P1494" s="13" t="str">
        <f t="shared" si="95"/>
        <v>Zhongchi Zhen (Ānkāng Shì)</v>
      </c>
    </row>
    <row r="1495" spans="1:16" hidden="1" x14ac:dyDescent="0.25">
      <c r="A1495" t="s">
        <v>1286</v>
      </c>
      <c r="B1495" t="str">
        <f t="shared" si="92"/>
        <v>Zhōngcūn Zhèn</v>
      </c>
      <c r="C1495" t="str">
        <f t="shared" si="93"/>
        <v>Zhōngcūn Zhèn</v>
      </c>
      <c r="D1495" t="s">
        <v>1287</v>
      </c>
      <c r="E1495" t="s">
        <v>7</v>
      </c>
      <c r="F1495" t="str">
        <f>_xlfn.CONCAT(D1495,", ",H1495,", ",I1495,", ","陕西省")</f>
        <v>中村镇, 山阳县, 商洛市, 陕西省</v>
      </c>
      <c r="G1495">
        <v>21522</v>
      </c>
      <c r="H1495" t="s">
        <v>3077</v>
      </c>
      <c r="I1495" t="s">
        <v>3072</v>
      </c>
      <c r="J1495">
        <f>VLOOKUP(F1495,[1]!china_towns_second__2[[Column1]:[Y]],3,FALSE)</f>
        <v>33.488364632392503</v>
      </c>
      <c r="K1495">
        <f>VLOOKUP(F1495,[1]!china_towns_second__2[[Column1]:[Y]],2,FALSE)</f>
        <v>110.1674168</v>
      </c>
      <c r="L1495" t="s">
        <v>5612</v>
      </c>
      <c r="M1495" t="str">
        <f>VLOOKUP(H1495,CHOOSE({1,2},Table11[Native],Table11[Name]),2,0)</f>
        <v>Shānyáng Xiàn</v>
      </c>
      <c r="N1495" s="13" t="str">
        <f>VLOOKUP(I1495,CHOOSE({1,2},Table11[Native],Table11[Name]),2,0)</f>
        <v>Shāngluò Shì</v>
      </c>
      <c r="O1495" s="13" t="str">
        <f t="shared" si="94"/>
        <v>Zhongcun Zhen (Shāngluò Shì)</v>
      </c>
      <c r="P1495" s="13" t="str">
        <f t="shared" si="95"/>
        <v>Zhongcun Zhen (Shāngluò Shì)</v>
      </c>
    </row>
    <row r="1496" spans="1:16" hidden="1" x14ac:dyDescent="0.25">
      <c r="A1496" t="s">
        <v>3011</v>
      </c>
      <c r="B1496" t="str">
        <f t="shared" si="92"/>
        <v>Zhōngjī Zhèn</v>
      </c>
      <c r="C1496" t="str">
        <f t="shared" si="93"/>
        <v>Zhōngjī Zhèn</v>
      </c>
      <c r="D1496" t="s">
        <v>3012</v>
      </c>
      <c r="E1496" t="s">
        <v>7</v>
      </c>
      <c r="F1496" t="str">
        <f>_xlfn.CONCAT(D1496,", ",H1496,", ",I1496,", ","陕西省")</f>
        <v>中鸡镇, 神木市, 榆林市, 陕西省</v>
      </c>
      <c r="G1496">
        <v>18004</v>
      </c>
      <c r="H1496" t="s">
        <v>3156</v>
      </c>
      <c r="I1496" t="s">
        <v>3148</v>
      </c>
      <c r="J1496">
        <f>VLOOKUP(F1496,[1]!china_towns_second__2[[Column1]:[Y]],3,FALSE)</f>
        <v>39.162907288275797</v>
      </c>
      <c r="K1496">
        <f>VLOOKUP(F1496,[1]!china_towns_second__2[[Column1]:[Y]],2,FALSE)</f>
        <v>110.0705411</v>
      </c>
      <c r="L1496" t="s">
        <v>5613</v>
      </c>
      <c r="M1496" t="str">
        <f>VLOOKUP(H1496,CHOOSE({1,2},Table11[Native],Table11[Name]),2,0)</f>
        <v>Shénmù Shì</v>
      </c>
      <c r="N1496" s="13" t="str">
        <f>VLOOKUP(I1496,CHOOSE({1,2},Table11[Native],Table11[Name]),2,0)</f>
        <v>Yúlín Shì</v>
      </c>
      <c r="O1496" s="13" t="str">
        <f t="shared" si="94"/>
        <v>Zhongji Zhen (Yúlín Shì)</v>
      </c>
      <c r="P1496" s="13" t="str">
        <f t="shared" si="95"/>
        <v>Zhongji Zhen (Yúlín Shì)</v>
      </c>
    </row>
    <row r="1497" spans="1:16" hidden="1" x14ac:dyDescent="0.25">
      <c r="A1497" t="s">
        <v>3009</v>
      </c>
      <c r="B1497" t="str">
        <f t="shared" si="92"/>
        <v>Zhōngjiăo Zhèn</v>
      </c>
      <c r="C1497" t="str">
        <f t="shared" si="93"/>
        <v>Zhōngjiăo Zhèn</v>
      </c>
      <c r="D1497" t="s">
        <v>3010</v>
      </c>
      <c r="E1497" t="s">
        <v>7</v>
      </c>
      <c r="F1497" t="str">
        <f>_xlfn.CONCAT(D1497,", ",H1497,", ",I1497,", ","陕西省")</f>
        <v>中角镇, 绥德县, 榆林市, 陕西省</v>
      </c>
      <c r="G1497">
        <v>9147</v>
      </c>
      <c r="H1497" t="s">
        <v>3157</v>
      </c>
      <c r="I1497" t="s">
        <v>3148</v>
      </c>
      <c r="J1497">
        <f>VLOOKUP(F1497,[1]!china_towns_second__2[[Column1]:[Y]],3,FALSE)</f>
        <v>37.613402582710997</v>
      </c>
      <c r="K1497">
        <f>VLOOKUP(F1497,[1]!china_towns_second__2[[Column1]:[Y]],2,FALSE)</f>
        <v>110.52687229999999</v>
      </c>
      <c r="L1497" t="s">
        <v>5614</v>
      </c>
      <c r="M1497" t="str">
        <f>VLOOKUP(H1497,CHOOSE({1,2},Table11[Native],Table11[Name]),2,0)</f>
        <v>Suídé Xiàn</v>
      </c>
      <c r="N1497" s="13" t="str">
        <f>VLOOKUP(I1497,CHOOSE({1,2},Table11[Native],Table11[Name]),2,0)</f>
        <v>Yúlín Shì</v>
      </c>
      <c r="O1497" s="13" t="str">
        <f t="shared" si="94"/>
        <v>Zhongjiao Zhen (Yúlín Shì)</v>
      </c>
      <c r="P1497" s="13" t="str">
        <f t="shared" si="95"/>
        <v>Zhongjiao Zhen (Yúlín Shì)</v>
      </c>
    </row>
    <row r="1498" spans="1:16" hidden="1" x14ac:dyDescent="0.25">
      <c r="A1498" t="s">
        <v>2314</v>
      </c>
      <c r="B1498" t="str">
        <f t="shared" si="92"/>
        <v>Zhōngnán Zhèn</v>
      </c>
      <c r="C1498" t="str">
        <f t="shared" si="93"/>
        <v>Zhōngnán Zhèn</v>
      </c>
      <c r="D1498" t="s">
        <v>2315</v>
      </c>
      <c r="E1498" t="s">
        <v>7</v>
      </c>
      <c r="F1498" t="str">
        <f>_xlfn.CONCAT(D1498,", ",H1498,", ",I1498,", ","陕西省")</f>
        <v>终南镇, 周至县, 西安市, 陕西省</v>
      </c>
      <c r="G1498">
        <v>57054</v>
      </c>
      <c r="H1498" t="s">
        <v>3115</v>
      </c>
      <c r="I1498" t="s">
        <v>3102</v>
      </c>
      <c r="J1498">
        <f>VLOOKUP(F1498,[1]!china_towns_second__2[[Column1]:[Y]],3,FALSE)</f>
        <v>34.1407012170123</v>
      </c>
      <c r="K1498">
        <f>VLOOKUP(F1498,[1]!china_towns_second__2[[Column1]:[Y]],2,FALSE)</f>
        <v>108.36153400000001</v>
      </c>
      <c r="L1498" t="s">
        <v>5615</v>
      </c>
      <c r="M1498" t="str">
        <f>VLOOKUP(H1498,CHOOSE({1,2},Table11[Native],Table11[Name]),2,0)</f>
        <v>Zhōuzhì Xiàn</v>
      </c>
      <c r="N1498" s="13" t="str">
        <f>VLOOKUP(I1498,CHOOSE({1,2},Table11[Native],Table11[Name]),2,0)</f>
        <v>Xī'ān Shì</v>
      </c>
      <c r="O1498" s="13" t="str">
        <f t="shared" si="94"/>
        <v>Zhongnan Zhen (Xī'ān Shì)</v>
      </c>
      <c r="P1498" s="13" t="str">
        <f t="shared" si="95"/>
        <v>Zhongnan Zhen (Xī'ān Shì)</v>
      </c>
    </row>
    <row r="1499" spans="1:16" hidden="1" x14ac:dyDescent="0.25">
      <c r="A1499" t="s">
        <v>1958</v>
      </c>
      <c r="B1499" t="str">
        <f t="shared" si="92"/>
        <v>Zhōngshān Jiēdào</v>
      </c>
      <c r="C1499" t="str">
        <f t="shared" si="93"/>
        <v>Zhōngshān Jiēdào</v>
      </c>
      <c r="D1499" t="s">
        <v>1959</v>
      </c>
      <c r="E1499" t="s">
        <v>113</v>
      </c>
      <c r="F1499" t="str">
        <f>_xlfn.CONCAT(D1499,", ",H1499,", ",I1499,", ","陕西省")</f>
        <v>中山街道, 渭城区, 咸阳市, 陕西省</v>
      </c>
      <c r="G1499">
        <v>29758</v>
      </c>
      <c r="H1499" t="s">
        <v>3126</v>
      </c>
      <c r="I1499" t="s">
        <v>3117</v>
      </c>
      <c r="J1499">
        <f>VLOOKUP(F1499,[1]!china_towns_second__2[[Column1]:[Y]],3,FALSE)</f>
        <v>34.335809083651803</v>
      </c>
      <c r="K1499">
        <f>VLOOKUP(F1499,[1]!china_towns_second__2[[Column1]:[Y]],2,FALSE)</f>
        <v>108.72573130000001</v>
      </c>
      <c r="L1499" t="s">
        <v>5616</v>
      </c>
      <c r="M1499" t="str">
        <f>VLOOKUP(H1499,CHOOSE({1,2},Table11[Native],Table11[Name]),2,0)</f>
        <v>Wèichéng Qū</v>
      </c>
      <c r="N1499" s="13" t="str">
        <f>VLOOKUP(I1499,CHOOSE({1,2},Table11[Native],Table11[Name]),2,0)</f>
        <v>Xiányáng Shì</v>
      </c>
      <c r="O1499" s="13" t="str">
        <f t="shared" si="94"/>
        <v>Zhongshan Jiedao (Xiányáng Shì)</v>
      </c>
      <c r="P1499" s="13" t="str">
        <f t="shared" si="95"/>
        <v>Zhongshan Jiedao (Xiányáng Shì)</v>
      </c>
    </row>
    <row r="1500" spans="1:16" hidden="1" x14ac:dyDescent="0.25">
      <c r="A1500" t="s">
        <v>617</v>
      </c>
      <c r="B1500" t="str">
        <f t="shared" si="92"/>
        <v>Zhōngshāndōnglù Jiēdào</v>
      </c>
      <c r="C1500" t="str">
        <f t="shared" si="93"/>
        <v>Zhōngshāndōnglù Jiēdào</v>
      </c>
      <c r="D1500" t="s">
        <v>618</v>
      </c>
      <c r="E1500" t="s">
        <v>113</v>
      </c>
      <c r="F1500" t="str">
        <f>_xlfn.CONCAT(D1500,", ",H1500,", ",I1500,", ","陕西省")</f>
        <v>中山东路街道, 金台区, 宝鸡市, 陕西省</v>
      </c>
      <c r="G1500">
        <v>30781</v>
      </c>
      <c r="H1500" t="s">
        <v>3050</v>
      </c>
      <c r="I1500" t="s">
        <v>3045</v>
      </c>
      <c r="J1500">
        <f>VLOOKUP(F1500,[1]!china_towns_second__2[[Column1]:[Y]],3,FALSE)</f>
        <v>34.382238401145997</v>
      </c>
      <c r="K1500">
        <f>VLOOKUP(F1500,[1]!china_towns_second__2[[Column1]:[Y]],2,FALSE)</f>
        <v>107.1529771</v>
      </c>
      <c r="L1500" t="s">
        <v>5617</v>
      </c>
      <c r="M1500" t="str">
        <f>VLOOKUP(H1500,CHOOSE({1,2},Table11[Native],Table11[Name]),2,0)</f>
        <v>Jīntái Qū</v>
      </c>
      <c r="N1500" s="13" t="str">
        <f>VLOOKUP(I1500,CHOOSE({1,2},Table11[Native],Table11[Name]),2,0)</f>
        <v>Băojī Shì</v>
      </c>
      <c r="O1500" s="13" t="str">
        <f t="shared" si="94"/>
        <v>Zhongshandonglu Jiedao (Băojī Shì)</v>
      </c>
      <c r="P1500" s="13" t="str">
        <f t="shared" si="95"/>
        <v>Zhongshandonglu Jiedao (Băojī Shì)</v>
      </c>
    </row>
    <row r="1501" spans="1:16" hidden="1" x14ac:dyDescent="0.25">
      <c r="A1501" t="s">
        <v>3013</v>
      </c>
      <c r="B1501" t="str">
        <f t="shared" si="92"/>
        <v>Zhōngshānjiàn Zhèn</v>
      </c>
      <c r="C1501" t="str">
        <f t="shared" si="93"/>
        <v>Zhōngshānjiàn Zhèn</v>
      </c>
      <c r="D1501" t="s">
        <v>3014</v>
      </c>
      <c r="E1501" t="s">
        <v>7</v>
      </c>
      <c r="F1501" t="str">
        <f>_xlfn.CONCAT(D1501,", ",H1501,", ",I1501,", ","陕西省")</f>
        <v>中山涧镇, 靖边县, 榆林市, 陕西省</v>
      </c>
      <c r="G1501">
        <v>6535</v>
      </c>
      <c r="H1501" t="s">
        <v>3153</v>
      </c>
      <c r="I1501" t="s">
        <v>3148</v>
      </c>
      <c r="J1501">
        <f>VLOOKUP(F1501,[1]!china_towns_second__2[[Column1]:[Y]],3,FALSE)</f>
        <v>37.295547088382698</v>
      </c>
      <c r="K1501">
        <f>VLOOKUP(F1501,[1]!china_towns_second__2[[Column1]:[Y]],2,FALSE)</f>
        <v>108.5129963</v>
      </c>
      <c r="L1501" t="s">
        <v>5618</v>
      </c>
      <c r="M1501" t="str">
        <f>VLOOKUP(H1501,CHOOSE({1,2},Table11[Native],Table11[Name]),2,0)</f>
        <v>Jìngbiān Xiàn</v>
      </c>
      <c r="N1501" s="13" t="str">
        <f>VLOOKUP(I1501,CHOOSE({1,2},Table11[Native],Table11[Name]),2,0)</f>
        <v>Yúlín Shì</v>
      </c>
      <c r="O1501" s="13" t="str">
        <f t="shared" si="94"/>
        <v>Zhongshanjian Zhen (Yúlín Shì)</v>
      </c>
      <c r="P1501" s="13" t="str">
        <f t="shared" si="95"/>
        <v>Zhongshanjian Zhen (Yúlín Shì)</v>
      </c>
    </row>
    <row r="1502" spans="1:16" hidden="1" x14ac:dyDescent="0.25">
      <c r="A1502" t="s">
        <v>1027</v>
      </c>
      <c r="B1502" t="str">
        <f t="shared" si="92"/>
        <v>Zhōngshānjiē Jiēdào</v>
      </c>
      <c r="C1502" t="str">
        <f t="shared" si="93"/>
        <v>Zhōngshānjiē Jiēdào</v>
      </c>
      <c r="D1502" t="s">
        <v>1028</v>
      </c>
      <c r="E1502" t="s">
        <v>113</v>
      </c>
      <c r="F1502" t="str">
        <f>_xlfn.CONCAT(D1502,", ",H1502,", ",I1502,", ","陕西省")</f>
        <v>中山街街道, 汉台区, 汉中市, 陕西省</v>
      </c>
      <c r="G1502">
        <v>34925</v>
      </c>
      <c r="H1502" t="s">
        <v>3062</v>
      </c>
      <c r="I1502" t="s">
        <v>3059</v>
      </c>
      <c r="J1502">
        <f>VLOOKUP(F1502,[1]!china_towns_second__2[[Column1]:[Y]],3,FALSE)</f>
        <v>33.063125507921903</v>
      </c>
      <c r="K1502">
        <f>VLOOKUP(F1502,[1]!china_towns_second__2[[Column1]:[Y]],2,FALSE)</f>
        <v>107.03294099999999</v>
      </c>
      <c r="L1502" t="s">
        <v>5619</v>
      </c>
      <c r="M1502" t="str">
        <f>VLOOKUP(H1502,CHOOSE({1,2},Table11[Native],Table11[Name]),2,0)</f>
        <v>Hàntái Qū</v>
      </c>
      <c r="N1502" s="13" t="str">
        <f>VLOOKUP(I1502,CHOOSE({1,2},Table11[Native],Table11[Name]),2,0)</f>
        <v>Hànzhōng Shì</v>
      </c>
      <c r="O1502" s="13" t="str">
        <f t="shared" si="94"/>
        <v>Zhongshanjie Jiedao (Hànzhōng Shì)</v>
      </c>
      <c r="P1502" s="13" t="str">
        <f t="shared" si="95"/>
        <v>Zhongshanjie Jiedao (Hànzhōng Shì)</v>
      </c>
    </row>
    <row r="1503" spans="1:16" hidden="1" x14ac:dyDescent="0.25">
      <c r="A1503" t="s">
        <v>2316</v>
      </c>
      <c r="B1503" t="str">
        <f t="shared" si="92"/>
        <v>Zhōngshānmén Jiēdào</v>
      </c>
      <c r="C1503" t="str">
        <f t="shared" si="93"/>
        <v>Zhōngshānmén Jiēdào</v>
      </c>
      <c r="D1503" t="s">
        <v>2317</v>
      </c>
      <c r="E1503" t="s">
        <v>113</v>
      </c>
      <c r="F1503" t="str">
        <f>_xlfn.CONCAT(D1503,", ",H1503,", ",I1503,", ","陕西省")</f>
        <v>中山门街道, 新城区, 西安市, 陕西省</v>
      </c>
      <c r="G1503">
        <v>49300</v>
      </c>
      <c r="H1503" t="s">
        <v>3112</v>
      </c>
      <c r="I1503" t="s">
        <v>3102</v>
      </c>
      <c r="J1503">
        <f>VLOOKUP(F1503,[1]!china_towns_second__2[[Column1]:[Y]],3,FALSE)</f>
        <v>34.267762676612897</v>
      </c>
      <c r="K1503">
        <f>VLOOKUP(F1503,[1]!china_towns_second__2[[Column1]:[Y]],2,FALSE)</f>
        <v>108.96320110000001</v>
      </c>
      <c r="L1503" t="s">
        <v>5620</v>
      </c>
      <c r="M1503" t="str">
        <f>VLOOKUP(H1503,CHOOSE({1,2},Table11[Native],Table11[Name]),2,0)</f>
        <v>Xīnchéng Qū</v>
      </c>
      <c r="N1503" s="13" t="str">
        <f>VLOOKUP(I1503,CHOOSE({1,2},Table11[Native],Table11[Name]),2,0)</f>
        <v>Xī'ān Shì</v>
      </c>
      <c r="O1503" s="13" t="str">
        <f t="shared" si="94"/>
        <v>Zhongshanmen Jiedao (Xī'ān Shì)</v>
      </c>
      <c r="P1503" s="13" t="str">
        <f t="shared" si="95"/>
        <v>Zhongshanmen Jiedao (Xī'ān Shì)</v>
      </c>
    </row>
    <row r="1504" spans="1:16" hidden="1" x14ac:dyDescent="0.25">
      <c r="A1504" t="s">
        <v>619</v>
      </c>
      <c r="B1504" t="str">
        <f t="shared" si="92"/>
        <v>Zhōngshānxīlù Jiēdào</v>
      </c>
      <c r="C1504" t="str">
        <f t="shared" si="93"/>
        <v>Zhōngshānxīlù Jiēdào</v>
      </c>
      <c r="D1504" t="s">
        <v>620</v>
      </c>
      <c r="E1504" t="s">
        <v>113</v>
      </c>
      <c r="F1504" t="str">
        <f>_xlfn.CONCAT(D1504,", ",H1504,", ",I1504,", ","陕西省")</f>
        <v>中山西路街道, 金台区, 宝鸡市, 陕西省</v>
      </c>
      <c r="G1504">
        <v>17260</v>
      </c>
      <c r="H1504" t="s">
        <v>3050</v>
      </c>
      <c r="I1504" t="s">
        <v>3045</v>
      </c>
      <c r="J1504">
        <f>VLOOKUP(F1504,[1]!china_towns_second__2[[Column1]:[Y]],3,FALSE)</f>
        <v>34.386763939964801</v>
      </c>
      <c r="K1504">
        <f>VLOOKUP(F1504,[1]!china_towns_second__2[[Column1]:[Y]],2,FALSE)</f>
        <v>107.13082989999999</v>
      </c>
      <c r="L1504" t="s">
        <v>5621</v>
      </c>
      <c r="M1504" t="str">
        <f>VLOOKUP(H1504,CHOOSE({1,2},Table11[Native],Table11[Name]),2,0)</f>
        <v>Jīntái Qū</v>
      </c>
      <c r="N1504" s="13" t="str">
        <f>VLOOKUP(I1504,CHOOSE({1,2},Table11[Native],Table11[Name]),2,0)</f>
        <v>Băojī Shì</v>
      </c>
      <c r="O1504" s="13" t="str">
        <f t="shared" si="94"/>
        <v>Zhongshanxilu Jiedao (Băojī Shì)</v>
      </c>
      <c r="P1504" s="13" t="str">
        <f t="shared" si="95"/>
        <v>Zhongshanxilu Jiedao (Băojī Shì)</v>
      </c>
    </row>
    <row r="1505" spans="1:16" hidden="1" x14ac:dyDescent="0.25">
      <c r="A1505" t="s">
        <v>331</v>
      </c>
      <c r="B1505" t="str">
        <f t="shared" si="92"/>
        <v>Zhōngyuán Zhèn</v>
      </c>
      <c r="C1505" t="str">
        <f t="shared" si="93"/>
        <v>Zhōngyuán Zhèn</v>
      </c>
      <c r="D1505" t="s">
        <v>332</v>
      </c>
      <c r="E1505" t="s">
        <v>7</v>
      </c>
      <c r="F1505" t="str">
        <f>_xlfn.CONCAT(D1505,", ",H1505,", ",I1505,", ","陕西省")</f>
        <v>中原镇, 汉滨区, 安康市, 陕西省</v>
      </c>
      <c r="G1505">
        <v>11898</v>
      </c>
      <c r="H1505" t="s">
        <v>3035</v>
      </c>
      <c r="I1505" t="s">
        <v>3031</v>
      </c>
      <c r="J1505">
        <f>VLOOKUP(F1505,[1]!china_towns_second__2[[Column1]:[Y]],3,FALSE)</f>
        <v>33.147715474050997</v>
      </c>
      <c r="K1505">
        <f>VLOOKUP(F1505,[1]!china_towns_second__2[[Column1]:[Y]],2,FALSE)</f>
        <v>108.7751518</v>
      </c>
      <c r="L1505" t="s">
        <v>5622</v>
      </c>
      <c r="M1505" t="str">
        <f>VLOOKUP(H1505,CHOOSE({1,2},Table11[Native],Table11[Name]),2,0)</f>
        <v>Hànbīn Qū</v>
      </c>
      <c r="N1505" s="13" t="str">
        <f>VLOOKUP(I1505,CHOOSE({1,2},Table11[Native],Table11[Name]),2,0)</f>
        <v>Ānkāng Shì</v>
      </c>
      <c r="O1505" s="13" t="str">
        <f t="shared" si="94"/>
        <v>Zhongyuan Zhen (Ānkāng Shì)</v>
      </c>
      <c r="P1505" s="13" t="str">
        <f t="shared" si="95"/>
        <v>Zhongyuan Zhen (Ānkāng Shì)</v>
      </c>
    </row>
    <row r="1506" spans="1:16" hidden="1" x14ac:dyDescent="0.25">
      <c r="A1506" t="s">
        <v>1960</v>
      </c>
      <c r="B1506" t="str">
        <f t="shared" si="92"/>
        <v>Zhōngzhāng Zhèn [incl. Yànwáng Xiāng]</v>
      </c>
      <c r="C1506" t="str">
        <f t="shared" si="93"/>
        <v>Zhōngzhāng Zhèn [incl. Yànwáng Xiāng]</v>
      </c>
      <c r="D1506" t="s">
        <v>1961</v>
      </c>
      <c r="E1506" t="s">
        <v>7</v>
      </c>
      <c r="F1506" t="str">
        <f>_xlfn.CONCAT(D1506,", ",H1506,", ",I1506,", ","陕西省")</f>
        <v>中张镇, 泾阳县, 咸阳市, 陕西省</v>
      </c>
      <c r="G1506">
        <v>37112</v>
      </c>
      <c r="H1506" t="s">
        <v>3121</v>
      </c>
      <c r="I1506" t="s">
        <v>3117</v>
      </c>
      <c r="J1506">
        <f>VLOOKUP(F1506,[1]!china_towns_second__2[[Column1]:[Y]],3,FALSE)</f>
        <v>34.553445205817802</v>
      </c>
      <c r="K1506">
        <f>VLOOKUP(F1506,[1]!china_towns_second__2[[Column1]:[Y]],2,FALSE)</f>
        <v>108.778813</v>
      </c>
      <c r="L1506" t="s">
        <v>5623</v>
      </c>
      <c r="M1506" t="str">
        <f>VLOOKUP(H1506,CHOOSE({1,2},Table11[Native],Table11[Name]),2,0)</f>
        <v>Jīngyáng Xiàn</v>
      </c>
      <c r="N1506" s="13" t="str">
        <f>VLOOKUP(I1506,CHOOSE({1,2},Table11[Native],Table11[Name]),2,0)</f>
        <v>Xiányáng Shì</v>
      </c>
      <c r="O1506" s="13" t="str">
        <f t="shared" si="94"/>
        <v>Zhongzhang Zhen [incl. Yanwang Xiang] (Xiányáng Shì)</v>
      </c>
      <c r="P1506" s="13" t="str">
        <f t="shared" si="95"/>
        <v>Zhongzhang Zhen [incl. Yanwang Xiang] (Xiányáng Shì)</v>
      </c>
    </row>
    <row r="1507" spans="1:16" hidden="1" x14ac:dyDescent="0.25">
      <c r="A1507" t="s">
        <v>1962</v>
      </c>
      <c r="B1507" t="str">
        <f t="shared" si="92"/>
        <v>Zhōuchéng Zhèn</v>
      </c>
      <c r="C1507" t="str">
        <f t="shared" si="93"/>
        <v>Zhōuchéng Zhèn</v>
      </c>
      <c r="D1507" t="s">
        <v>1963</v>
      </c>
      <c r="E1507" t="s">
        <v>7</v>
      </c>
      <c r="F1507" t="str">
        <f>_xlfn.CONCAT(D1507,", ",H1507,", ",I1507,", ","陕西省")</f>
        <v>周城镇, 乾县, 咸阳市, 陕西省</v>
      </c>
      <c r="G1507">
        <v>24764</v>
      </c>
      <c r="H1507" t="s">
        <v>3123</v>
      </c>
      <c r="I1507" t="s">
        <v>3117</v>
      </c>
      <c r="J1507">
        <f>VLOOKUP(F1507,[1]!china_towns_second__2[[Column1]:[Y]],3,FALSE)</f>
        <v>34.4294281711908</v>
      </c>
      <c r="K1507">
        <f>VLOOKUP(F1507,[1]!china_towns_second__2[[Column1]:[Y]],2,FALSE)</f>
        <v>108.1200217</v>
      </c>
      <c r="L1507" t="s">
        <v>5624</v>
      </c>
      <c r="M1507" t="str">
        <f>VLOOKUP(H1507,CHOOSE({1,2},Table11[Native],Table11[Name]),2,0)</f>
        <v>Qián Xiàn</v>
      </c>
      <c r="N1507" s="13" t="str">
        <f>VLOOKUP(I1507,CHOOSE({1,2},Table11[Native],Table11[Name]),2,0)</f>
        <v>Xiányáng Shì</v>
      </c>
      <c r="O1507" s="13" t="str">
        <f t="shared" si="94"/>
        <v>Zhoucheng Zhen (Xiányáng Shì)</v>
      </c>
      <c r="P1507" s="13" t="str">
        <f t="shared" si="95"/>
        <v>Zhoucheng Zhen (Xiányáng Shì)</v>
      </c>
    </row>
    <row r="1508" spans="1:16" hidden="1" x14ac:dyDescent="0.25">
      <c r="A1508" t="s">
        <v>3015</v>
      </c>
      <c r="B1508" t="str">
        <f t="shared" si="92"/>
        <v>Zhōuhé Zhèn [incl. Wŭlĭwān Xiāng]</v>
      </c>
      <c r="C1508" t="str">
        <f t="shared" si="93"/>
        <v>Zhōuhé Zhèn [incl. Wŭlĭwān Xiāng]</v>
      </c>
      <c r="D1508" t="s">
        <v>3016</v>
      </c>
      <c r="E1508" t="s">
        <v>7</v>
      </c>
      <c r="F1508" t="str">
        <f>_xlfn.CONCAT(D1508,", ",H1508,", ",I1508,", ","陕西省")</f>
        <v>周河镇, 靖边县, 榆林市, 陕西省</v>
      </c>
      <c r="G1508">
        <v>9476</v>
      </c>
      <c r="H1508" t="s">
        <v>3153</v>
      </c>
      <c r="I1508" t="s">
        <v>3148</v>
      </c>
      <c r="J1508">
        <f>VLOOKUP(F1508,[1]!china_towns_second__2[[Column1]:[Y]],3,FALSE)</f>
        <v>37.072495156114499</v>
      </c>
      <c r="K1508">
        <f>VLOOKUP(F1508,[1]!china_towns_second__2[[Column1]:[Y]],2,FALSE)</f>
        <v>108.6448532</v>
      </c>
      <c r="L1508" t="s">
        <v>5625</v>
      </c>
      <c r="M1508" t="str">
        <f>VLOOKUP(H1508,CHOOSE({1,2},Table11[Native],Table11[Name]),2,0)</f>
        <v>Jìngbiān Xiàn</v>
      </c>
      <c r="N1508" s="13" t="str">
        <f>VLOOKUP(I1508,CHOOSE({1,2},Table11[Native],Table11[Name]),2,0)</f>
        <v>Yúlín Shì</v>
      </c>
      <c r="O1508" s="13" t="str">
        <f t="shared" si="94"/>
        <v>Zhouhe Zhen [incl. Wuliwan Xiang] (Yúlín Shì)</v>
      </c>
      <c r="P1508" s="13" t="str">
        <f t="shared" si="95"/>
        <v>Zhouhe Zhen [incl. Wuliwan Xiang] (Yúlín Shì)</v>
      </c>
    </row>
    <row r="1509" spans="1:16" hidden="1" x14ac:dyDescent="0.25">
      <c r="A1509" t="s">
        <v>3017</v>
      </c>
      <c r="B1509" t="str">
        <f t="shared" si="92"/>
        <v>Zhōujiājiăn Zhèn</v>
      </c>
      <c r="C1509" t="str">
        <f t="shared" si="93"/>
        <v>Zhōujiājiăn Zhèn</v>
      </c>
      <c r="D1509" t="s">
        <v>3018</v>
      </c>
      <c r="E1509" t="s">
        <v>7</v>
      </c>
      <c r="F1509" t="str">
        <f>_xlfn.CONCAT(D1509,", ",H1509,", ",I1509,", ","陕西省")</f>
        <v>周家硷镇, 子洲县, 榆林市, 陕西省</v>
      </c>
      <c r="G1509">
        <v>7118</v>
      </c>
      <c r="H1509" t="s">
        <v>3160</v>
      </c>
      <c r="I1509" t="s">
        <v>3148</v>
      </c>
      <c r="J1509">
        <f>VLOOKUP(F1509,[1]!china_towns_second__2[[Column1]:[Y]],3,FALSE)</f>
        <v>37.523406681256098</v>
      </c>
      <c r="K1509">
        <f>VLOOKUP(F1509,[1]!china_towns_second__2[[Column1]:[Y]],2,FALSE)</f>
        <v>109.7188068</v>
      </c>
      <c r="L1509" t="s">
        <v>5626</v>
      </c>
      <c r="M1509" t="str">
        <f>VLOOKUP(H1509,CHOOSE({1,2},Table11[Native],Table11[Name]),2,0)</f>
        <v>Zizhōu Xiàn</v>
      </c>
      <c r="N1509" s="13" t="str">
        <f>VLOOKUP(I1509,CHOOSE({1,2},Table11[Native],Table11[Name]),2,0)</f>
        <v>Yúlín Shì</v>
      </c>
      <c r="O1509" s="13" t="str">
        <f t="shared" si="94"/>
        <v>Zhoujiajian Zhen (Yúlín Shì)</v>
      </c>
      <c r="P1509" s="13" t="str">
        <f t="shared" si="95"/>
        <v>Zhoujiajian Zhen (Yúlín Shì)</v>
      </c>
    </row>
    <row r="1510" spans="1:16" hidden="1" x14ac:dyDescent="0.25">
      <c r="A1510" t="s">
        <v>1029</v>
      </c>
      <c r="B1510" t="str">
        <f t="shared" si="92"/>
        <v>Zhōujiāshān Zhèn</v>
      </c>
      <c r="C1510" t="str">
        <f t="shared" si="93"/>
        <v>Zhōujiāshān Zhèn</v>
      </c>
      <c r="D1510" t="s">
        <v>1030</v>
      </c>
      <c r="E1510" t="s">
        <v>7</v>
      </c>
      <c r="F1510" t="str">
        <f>_xlfn.CONCAT(D1510,", ",H1510,", ",I1510,", ","陕西省")</f>
        <v>周家山镇, 勉县, 汉中市, 陕西省</v>
      </c>
      <c r="G1510">
        <v>19237</v>
      </c>
      <c r="H1510" t="s">
        <v>3065</v>
      </c>
      <c r="I1510" t="s">
        <v>3059</v>
      </c>
      <c r="J1510">
        <f>VLOOKUP(F1510,[1]!china_towns_second__2[[Column1]:[Y]],3,FALSE)</f>
        <v>33.175346512838999</v>
      </c>
      <c r="K1510">
        <f>VLOOKUP(F1510,[1]!china_towns_second__2[[Column1]:[Y]],2,FALSE)</f>
        <v>106.73785049999999</v>
      </c>
      <c r="L1510" t="s">
        <v>5627</v>
      </c>
      <c r="M1510" t="str">
        <f>VLOOKUP(H1510,CHOOSE({1,2},Table11[Native],Table11[Name]),2,0)</f>
        <v>Miăn Xiàn</v>
      </c>
      <c r="N1510" s="13" t="str">
        <f>VLOOKUP(I1510,CHOOSE({1,2},Table11[Native],Table11[Name]),2,0)</f>
        <v>Hànzhōng Shì</v>
      </c>
      <c r="O1510" s="13" t="str">
        <f t="shared" si="94"/>
        <v>Zhoujiashan Zhen (Hànzhōng Shì)</v>
      </c>
      <c r="P1510" s="13" t="str">
        <f t="shared" si="95"/>
        <v>Zhoujiashan Zhen (Hànzhōng Shì)</v>
      </c>
    </row>
    <row r="1511" spans="1:16" hidden="1" x14ac:dyDescent="0.25">
      <c r="A1511" t="s">
        <v>2318</v>
      </c>
      <c r="B1511" t="str">
        <f t="shared" si="92"/>
        <v>Zhōulíng Jiēdào</v>
      </c>
      <c r="C1511" t="str">
        <f t="shared" si="93"/>
        <v>Zhōulíng Jiēdào</v>
      </c>
      <c r="D1511" t="s">
        <v>2319</v>
      </c>
      <c r="E1511" t="s">
        <v>113</v>
      </c>
      <c r="F1511" t="str">
        <f>_xlfn.CONCAT(D1511,", ",H1511,", ",I1511,", ","陕西省")</f>
        <v>周陵街道, 西咸新区, 西安市, 陕西省</v>
      </c>
      <c r="G1511">
        <v>32550</v>
      </c>
      <c r="H1511" t="s">
        <v>3167</v>
      </c>
      <c r="I1511" t="s">
        <v>3102</v>
      </c>
      <c r="J1511" t="e">
        <f>VLOOKUP(F1511,[1]!china_towns_second__2[[Column1]:[Y]],3,FALSE)</f>
        <v>#N/A</v>
      </c>
      <c r="K1511" t="e">
        <f>VLOOKUP(F1511,[1]!china_towns_second__2[[Column1]:[Y]],2,FALSE)</f>
        <v>#N/A</v>
      </c>
      <c r="L1511" t="s">
        <v>5628</v>
      </c>
      <c r="M1511" t="str">
        <f>VLOOKUP(H1511,CHOOSE({1,2},Table11[Native],Table11[Name]),2,0)</f>
        <v>Xīxián Xīnqū</v>
      </c>
      <c r="N1511" s="13" t="str">
        <f>VLOOKUP(I1511,CHOOSE({1,2},Table11[Native],Table11[Name]),2,0)</f>
        <v>Xī'ān Shì</v>
      </c>
      <c r="O1511" s="13" t="str">
        <f t="shared" si="94"/>
        <v>Zhouling Jiedao (Xī'ān Shì)</v>
      </c>
      <c r="P1511" s="13" t="str">
        <f t="shared" si="95"/>
        <v>Zhouling Jiedao (Xī'ān Shì)</v>
      </c>
    </row>
    <row r="1512" spans="1:16" hidden="1" x14ac:dyDescent="0.25">
      <c r="A1512" t="s">
        <v>3019</v>
      </c>
      <c r="B1512" t="str">
        <f t="shared" si="92"/>
        <v>Zhōutáizi Xiāng</v>
      </c>
      <c r="C1512" t="str">
        <f t="shared" si="93"/>
        <v>Zhōutáizi Xiāng</v>
      </c>
      <c r="D1512" t="s">
        <v>3020</v>
      </c>
      <c r="E1512" t="s">
        <v>11</v>
      </c>
      <c r="F1512" t="str">
        <f>_xlfn.CONCAT(D1512,", ",H1512,", ",I1512,", ","陕西省")</f>
        <v>周台子乡, 定边县, 榆林市, 陕西省</v>
      </c>
      <c r="G1512">
        <v>3966</v>
      </c>
      <c r="H1512" t="s">
        <v>3149</v>
      </c>
      <c r="I1512" t="s">
        <v>3148</v>
      </c>
      <c r="J1512" t="e">
        <f>VLOOKUP(F1512,[1]!china_towns_second__2[[Column1]:[Y]],3,FALSE)</f>
        <v>#N/A</v>
      </c>
      <c r="K1512" t="e">
        <f>VLOOKUP(F1512,[1]!china_towns_second__2[[Column1]:[Y]],2,FALSE)</f>
        <v>#N/A</v>
      </c>
      <c r="L1512" t="s">
        <v>5629</v>
      </c>
      <c r="M1512" t="str">
        <f>VLOOKUP(H1512,CHOOSE({1,2},Table11[Native],Table11[Name]),2,0)</f>
        <v>Dìngbiān Xiàn</v>
      </c>
      <c r="N1512" s="13" t="str">
        <f>VLOOKUP(I1512,CHOOSE({1,2},Table11[Native],Table11[Name]),2,0)</f>
        <v>Yúlín Shì</v>
      </c>
      <c r="O1512" s="13" t="str">
        <f t="shared" si="94"/>
        <v>Zhoutaizi Xiang (Yúlín Shì)</v>
      </c>
      <c r="P1512" s="13" t="str">
        <f t="shared" si="95"/>
        <v>Zhoutaizi Xiang (Yúlín Shì)</v>
      </c>
    </row>
    <row r="1513" spans="1:16" hidden="1" x14ac:dyDescent="0.25">
      <c r="A1513" t="s">
        <v>2616</v>
      </c>
      <c r="B1513" t="str">
        <f t="shared" si="92"/>
        <v>Zhōuwān Zhèn</v>
      </c>
      <c r="C1513" t="str">
        <f t="shared" si="93"/>
        <v>Zhōuwān Zhèn</v>
      </c>
      <c r="D1513" t="s">
        <v>2617</v>
      </c>
      <c r="E1513" t="s">
        <v>7</v>
      </c>
      <c r="F1513" t="str">
        <f>_xlfn.CONCAT(D1513,", ",H1513,", ",I1513,", ","陕西省")</f>
        <v>周湾镇, 吴起县, 延安市, 陕西省</v>
      </c>
      <c r="G1513">
        <v>5893</v>
      </c>
      <c r="H1513" t="s">
        <v>3141</v>
      </c>
      <c r="I1513" t="s">
        <v>3133</v>
      </c>
      <c r="J1513">
        <f>VLOOKUP(F1513,[1]!china_towns_second__2[[Column1]:[Y]],3,FALSE)</f>
        <v>37.245830884250601</v>
      </c>
      <c r="K1513">
        <f>VLOOKUP(F1513,[1]!china_towns_second__2[[Column1]:[Y]],2,FALSE)</f>
        <v>108.30179459999999</v>
      </c>
      <c r="L1513" t="s">
        <v>5630</v>
      </c>
      <c r="M1513" t="str">
        <f>VLOOKUP(H1513,CHOOSE({1,2},Table11[Native],Table11[Name]),2,0)</f>
        <v>Wúqĭ Xiàn</v>
      </c>
      <c r="N1513" s="13" t="str">
        <f>VLOOKUP(I1513,CHOOSE({1,2},Table11[Native],Table11[Name]),2,0)</f>
        <v>Yán'ān Shì</v>
      </c>
      <c r="O1513" s="13" t="str">
        <f t="shared" si="94"/>
        <v>Zhouwan Zhen (Yán'ān Shì)</v>
      </c>
      <c r="P1513" s="13" t="str">
        <f t="shared" si="95"/>
        <v>Zhouwan Zhen (Yán'ān Shì)</v>
      </c>
    </row>
    <row r="1514" spans="1:16" hidden="1" x14ac:dyDescent="0.25">
      <c r="A1514" t="s">
        <v>621</v>
      </c>
      <c r="B1514" t="str">
        <f t="shared" si="92"/>
        <v>Zhōuyuán Zhèn</v>
      </c>
      <c r="C1514" t="str">
        <f t="shared" si="93"/>
        <v>Zhōuyuán Zhèn</v>
      </c>
      <c r="D1514" t="s">
        <v>622</v>
      </c>
      <c r="E1514" t="s">
        <v>7</v>
      </c>
      <c r="F1514" t="str">
        <f>_xlfn.CONCAT(D1514,", ",H1514,", ",I1514,", ","陕西省")</f>
        <v>周原镇, 陈仓区, 宝鸡市, 陕西省</v>
      </c>
      <c r="G1514">
        <v>43025</v>
      </c>
      <c r="H1514" t="s">
        <v>3046</v>
      </c>
      <c r="I1514" t="s">
        <v>3045</v>
      </c>
      <c r="J1514">
        <f>VLOOKUP(F1514,[1]!china_towns_second__2[[Column1]:[Y]],3,FALSE)</f>
        <v>34.4006999923186</v>
      </c>
      <c r="K1514">
        <f>VLOOKUP(F1514,[1]!china_towns_second__2[[Column1]:[Y]],2,FALSE)</f>
        <v>107.3675327</v>
      </c>
      <c r="L1514" t="s">
        <v>5631</v>
      </c>
      <c r="M1514" t="str">
        <f>VLOOKUP(H1514,CHOOSE({1,2},Table11[Native],Table11[Name]),2,0)</f>
        <v>Chéncāng Qū</v>
      </c>
      <c r="N1514" s="13" t="str">
        <f>VLOOKUP(I1514,CHOOSE({1,2},Table11[Native],Table11[Name]),2,0)</f>
        <v>Băojī Shì</v>
      </c>
      <c r="O1514" s="13" t="str">
        <f t="shared" si="94"/>
        <v>Zhouyuan Zhen (Băojī Shì)</v>
      </c>
      <c r="P1514" s="13" t="str">
        <f t="shared" si="95"/>
        <v>Zhouyuan Zhen (Băojī Shì)</v>
      </c>
    </row>
    <row r="1515" spans="1:16" hidden="1" x14ac:dyDescent="0.25">
      <c r="A1515" t="s">
        <v>1705</v>
      </c>
      <c r="B1515" t="str">
        <f t="shared" si="92"/>
        <v>Zhuānglĭ Zhèn</v>
      </c>
      <c r="C1515" t="str">
        <f t="shared" si="93"/>
        <v>Zhuānglĭ Zhèn</v>
      </c>
      <c r="D1515" t="s">
        <v>1706</v>
      </c>
      <c r="E1515" t="s">
        <v>7</v>
      </c>
      <c r="F1515" t="str">
        <f>_xlfn.CONCAT(D1515,", ",H1515,", ",I1515,", ","陕西省")</f>
        <v>庄里镇, 富平县, 渭南市, 陕西省</v>
      </c>
      <c r="G1515">
        <v>59983</v>
      </c>
      <c r="H1515" t="s">
        <v>3091</v>
      </c>
      <c r="I1515" t="s">
        <v>3087</v>
      </c>
      <c r="J1515">
        <f>VLOOKUP(F1515,[1]!china_towns_second__2[[Column1]:[Y]],3,FALSE)</f>
        <v>34.841469762706403</v>
      </c>
      <c r="K1515">
        <f>VLOOKUP(F1515,[1]!china_towns_second__2[[Column1]:[Y]],2,FALSE)</f>
        <v>109.051878</v>
      </c>
      <c r="L1515" t="s">
        <v>5632</v>
      </c>
      <c r="M1515" t="str">
        <f>VLOOKUP(H1515,CHOOSE({1,2},Table11[Native],Table11[Name]),2,0)</f>
        <v>Fùpíng Xiàn</v>
      </c>
      <c r="N1515" s="13" t="str">
        <f>VLOOKUP(I1515,CHOOSE({1,2},Table11[Native],Table11[Name]),2,0)</f>
        <v>Wèinán Shì</v>
      </c>
      <c r="O1515" s="13" t="str">
        <f t="shared" si="94"/>
        <v>Zhuangli Zhen (Wèinán Shì)</v>
      </c>
      <c r="P1515" s="13" t="str">
        <f t="shared" si="95"/>
        <v>Zhuangli Zhen (Wèinán Shì)</v>
      </c>
    </row>
    <row r="1516" spans="1:16" hidden="1" x14ac:dyDescent="0.25">
      <c r="A1516" t="s">
        <v>1707</v>
      </c>
      <c r="B1516" t="str">
        <f t="shared" si="92"/>
        <v>Zhuāngtóu Zhèn (Wèinán Shì)</v>
      </c>
      <c r="C1516" t="str">
        <f t="shared" si="93"/>
        <v>Zhuāngtóu Zhèn (Wèinán Shì)</v>
      </c>
      <c r="D1516" t="s">
        <v>1708</v>
      </c>
      <c r="E1516" t="s">
        <v>7</v>
      </c>
      <c r="F1516" t="str">
        <f>_xlfn.CONCAT(D1516,", ",H1516,", ",I1516,", ","陕西省")</f>
        <v>庄头镇, 澄城县, 渭南市, 陕西省</v>
      </c>
      <c r="G1516">
        <v>21138</v>
      </c>
      <c r="H1516" t="s">
        <v>3089</v>
      </c>
      <c r="I1516" t="s">
        <v>3087</v>
      </c>
      <c r="J1516">
        <f>VLOOKUP(F1516,[1]!china_towns_second__2[[Column1]:[Y]],3,FALSE)</f>
        <v>35.175036681284702</v>
      </c>
      <c r="K1516">
        <f>VLOOKUP(F1516,[1]!china_towns_second__2[[Column1]:[Y]],2,FALSE)</f>
        <v>109.9812089</v>
      </c>
      <c r="L1516" t="s">
        <v>5633</v>
      </c>
      <c r="M1516" t="str">
        <f>VLOOKUP(H1516,CHOOSE({1,2},Table11[Native],Table11[Name]),2,0)</f>
        <v>Chéngchéng Xiàn</v>
      </c>
      <c r="N1516" s="13" t="str">
        <f>VLOOKUP(I1516,CHOOSE({1,2},Table11[Native],Table11[Name]),2,0)</f>
        <v>Wèinán Shì</v>
      </c>
      <c r="O1516" s="13" t="str">
        <f t="shared" si="94"/>
        <v>Zhuangtou Zhen (Weinan Shi) (Wèinán Shì)</v>
      </c>
      <c r="P1516" s="13" t="str">
        <f t="shared" si="95"/>
        <v>Zhuangtou Zhen (Weinan Shi) (Wèinán Shì)</v>
      </c>
    </row>
    <row r="1517" spans="1:16" hidden="1" x14ac:dyDescent="0.25">
      <c r="A1517" t="s">
        <v>1707</v>
      </c>
      <c r="B1517" t="str">
        <f t="shared" si="92"/>
        <v>Zhuāngtóu Zhèn (Xiányáng Shì)</v>
      </c>
      <c r="C1517" t="str">
        <f t="shared" si="93"/>
        <v>Zhuāngtóu Zhèn (Xiányáng Shì)</v>
      </c>
      <c r="D1517" t="s">
        <v>1708</v>
      </c>
      <c r="E1517" t="s">
        <v>7</v>
      </c>
      <c r="F1517" t="str">
        <f>_xlfn.CONCAT(D1517,", ",H1517,", ",I1517,", ","陕西省")</f>
        <v>庄头镇, 兴平市, 咸阳市, 陕西省</v>
      </c>
      <c r="G1517">
        <v>28993</v>
      </c>
      <c r="H1517" t="s">
        <v>3128</v>
      </c>
      <c r="I1517" t="s">
        <v>3117</v>
      </c>
      <c r="J1517">
        <f>VLOOKUP(F1517,[1]!china_towns_second__2[[Column1]:[Y]],3,FALSE)</f>
        <v>34.243726523319197</v>
      </c>
      <c r="K1517">
        <f>VLOOKUP(F1517,[1]!china_towns_second__2[[Column1]:[Y]],2,FALSE)</f>
        <v>108.46020040000001</v>
      </c>
      <c r="L1517" t="s">
        <v>5634</v>
      </c>
      <c r="M1517" t="str">
        <f>VLOOKUP(H1517,CHOOSE({1,2},Table11[Native],Table11[Name]),2,0)</f>
        <v>Xīngpíng Shì</v>
      </c>
      <c r="N1517" s="13" t="str">
        <f>VLOOKUP(I1517,CHOOSE({1,2},Table11[Native],Table11[Name]),2,0)</f>
        <v>Xiányáng Shì</v>
      </c>
      <c r="O1517" s="13" t="str">
        <f t="shared" si="94"/>
        <v>Zhuangtou Zhen (Xianyang Shi) (Xiányáng Shì)</v>
      </c>
      <c r="P1517" s="13" t="str">
        <f t="shared" si="95"/>
        <v>Zhuangtou Zhen (Xianyang Shi) (Xiányáng Shì)</v>
      </c>
    </row>
    <row r="1518" spans="1:16" hidden="1" x14ac:dyDescent="0.25">
      <c r="A1518" t="s">
        <v>3021</v>
      </c>
      <c r="B1518" t="str">
        <f t="shared" si="92"/>
        <v>Zhuānjĭng Zhèn</v>
      </c>
      <c r="C1518" t="str">
        <f t="shared" si="93"/>
        <v>Zhuānjĭng Zhèn</v>
      </c>
      <c r="D1518" t="s">
        <v>3022</v>
      </c>
      <c r="E1518" t="s">
        <v>7</v>
      </c>
      <c r="F1518" t="str">
        <f>_xlfn.CONCAT(D1518,", ",H1518,", ",I1518,", ","陕西省")</f>
        <v>砖井镇, 定边县, 榆林市, 陕西省</v>
      </c>
      <c r="G1518">
        <v>15351</v>
      </c>
      <c r="H1518" t="s">
        <v>3149</v>
      </c>
      <c r="I1518" t="s">
        <v>3148</v>
      </c>
      <c r="J1518">
        <f>VLOOKUP(F1518,[1]!china_towns_second__2[[Column1]:[Y]],3,FALSE)</f>
        <v>37.525009255027598</v>
      </c>
      <c r="K1518">
        <f>VLOOKUP(F1518,[1]!china_towns_second__2[[Column1]:[Y]],2,FALSE)</f>
        <v>107.87532400000001</v>
      </c>
      <c r="L1518" t="s">
        <v>5635</v>
      </c>
      <c r="M1518" t="str">
        <f>VLOOKUP(H1518,CHOOSE({1,2},Table11[Native],Table11[Name]),2,0)</f>
        <v>Dìngbiān Xiàn</v>
      </c>
      <c r="N1518" s="13" t="str">
        <f>VLOOKUP(I1518,CHOOSE({1,2},Table11[Native],Table11[Name]),2,0)</f>
        <v>Yúlín Shì</v>
      </c>
      <c r="O1518" s="13" t="str">
        <f t="shared" si="94"/>
        <v>Zhuanjing Zhen (Yúlín Shì)</v>
      </c>
      <c r="P1518" s="13" t="str">
        <f t="shared" si="95"/>
        <v>Zhuanjing Zhen (Yúlín Shì)</v>
      </c>
    </row>
    <row r="1519" spans="1:16" hidden="1" x14ac:dyDescent="0.25">
      <c r="A1519" t="s">
        <v>3023</v>
      </c>
      <c r="B1519" t="str">
        <f t="shared" si="92"/>
        <v>Zhuānmiào Zhèn</v>
      </c>
      <c r="C1519" t="str">
        <f t="shared" si="93"/>
        <v>Zhuānmiào Zhèn</v>
      </c>
      <c r="D1519" t="s">
        <v>3024</v>
      </c>
      <c r="E1519" t="s">
        <v>7</v>
      </c>
      <c r="F1519" t="str">
        <f>_xlfn.CONCAT(D1519,", ",H1519,", ",I1519,", ","陕西省")</f>
        <v>砖庙镇, 子洲县, 榆林市, 陕西省</v>
      </c>
      <c r="G1519">
        <v>5617</v>
      </c>
      <c r="H1519" t="s">
        <v>3160</v>
      </c>
      <c r="I1519" t="s">
        <v>3148</v>
      </c>
      <c r="J1519">
        <f>VLOOKUP(F1519,[1]!china_towns_second__2[[Column1]:[Y]],3,FALSE)</f>
        <v>37.479910586276098</v>
      </c>
      <c r="K1519">
        <f>VLOOKUP(F1519,[1]!china_towns_second__2[[Column1]:[Y]],2,FALSE)</f>
        <v>109.78901930000001</v>
      </c>
      <c r="L1519" t="s">
        <v>5636</v>
      </c>
      <c r="M1519" t="str">
        <f>VLOOKUP(H1519,CHOOSE({1,2},Table11[Native],Table11[Name]),2,0)</f>
        <v>Zizhōu Xiàn</v>
      </c>
      <c r="N1519" s="13" t="str">
        <f>VLOOKUP(I1519,CHOOSE({1,2},Table11[Native],Table11[Name]),2,0)</f>
        <v>Yúlín Shì</v>
      </c>
      <c r="O1519" s="13" t="str">
        <f t="shared" si="94"/>
        <v>Zhuanmiao Zhen (Yúlín Shì)</v>
      </c>
      <c r="P1519" s="13" t="str">
        <f t="shared" si="95"/>
        <v>Zhuanmiao Zhen (Yúlín Shì)</v>
      </c>
    </row>
    <row r="1520" spans="1:16" hidden="1" x14ac:dyDescent="0.25">
      <c r="A1520" t="s">
        <v>2618</v>
      </c>
      <c r="B1520" t="str">
        <f t="shared" si="92"/>
        <v>Zhuānyáowān Zhèn</v>
      </c>
      <c r="C1520" t="str">
        <f t="shared" si="93"/>
        <v>Zhuānyáowān Zhèn</v>
      </c>
      <c r="D1520" t="s">
        <v>2619</v>
      </c>
      <c r="E1520" t="s">
        <v>7</v>
      </c>
      <c r="F1520" t="str">
        <f>_xlfn.CONCAT(D1520,", ",H1520,", ",I1520,", ","陕西省")</f>
        <v>砖窑湾镇, 安塞区, 延安市, 陕西省</v>
      </c>
      <c r="G1520">
        <v>11860</v>
      </c>
      <c r="H1520" t="s">
        <v>3134</v>
      </c>
      <c r="I1520" t="s">
        <v>3133</v>
      </c>
      <c r="J1520">
        <f>VLOOKUP(F1520,[1]!china_towns_second__2[[Column1]:[Y]],3,FALSE)</f>
        <v>36.676330171295</v>
      </c>
      <c r="K1520">
        <f>VLOOKUP(F1520,[1]!china_towns_second__2[[Column1]:[Y]],2,FALSE)</f>
        <v>109.02873080000001</v>
      </c>
      <c r="L1520" t="s">
        <v>5637</v>
      </c>
      <c r="M1520" t="str">
        <f>VLOOKUP(H1520,CHOOSE({1,2},Table11[Native],Table11[Name]),2,0)</f>
        <v>Ānsài Qū</v>
      </c>
      <c r="N1520" s="13" t="str">
        <f>VLOOKUP(I1520,CHOOSE({1,2},Table11[Native],Table11[Name]),2,0)</f>
        <v>Yán'ān Shì</v>
      </c>
      <c r="O1520" s="13" t="str">
        <f t="shared" si="94"/>
        <v>Zhuanyaowan Zhen (Yán'ān Shì)</v>
      </c>
      <c r="P1520" s="13" t="str">
        <f t="shared" si="95"/>
        <v>Zhuanyaowan Zhen (Yán'ān Shì)</v>
      </c>
    </row>
    <row r="1521" spans="1:16" hidden="1" x14ac:dyDescent="0.25">
      <c r="A1521" t="s">
        <v>1964</v>
      </c>
      <c r="B1521" t="str">
        <f t="shared" si="92"/>
        <v>Zhùgān Zhèn</v>
      </c>
      <c r="C1521" t="str">
        <f t="shared" si="93"/>
        <v>Zhùgān Zhèn</v>
      </c>
      <c r="D1521" t="s">
        <v>1965</v>
      </c>
      <c r="E1521" t="s">
        <v>7</v>
      </c>
      <c r="F1521" t="str">
        <f>_xlfn.CONCAT(D1521,", ",H1521,", ",I1521,", ","陕西省")</f>
        <v>注泔镇, 乾县, 咸阳市, 陕西省</v>
      </c>
      <c r="G1521">
        <v>18040</v>
      </c>
      <c r="H1521" t="s">
        <v>3123</v>
      </c>
      <c r="I1521" t="s">
        <v>3117</v>
      </c>
      <c r="J1521">
        <f>VLOOKUP(F1521,[1]!china_towns_second__2[[Column1]:[Y]],3,FALSE)</f>
        <v>34.6072257581841</v>
      </c>
      <c r="K1521">
        <f>VLOOKUP(F1521,[1]!china_towns_second__2[[Column1]:[Y]],2,FALSE)</f>
        <v>108.318634</v>
      </c>
      <c r="L1521" t="s">
        <v>5638</v>
      </c>
      <c r="M1521" t="str">
        <f>VLOOKUP(H1521,CHOOSE({1,2},Table11[Native],Table11[Name]),2,0)</f>
        <v>Qián Xiàn</v>
      </c>
      <c r="N1521" s="13" t="str">
        <f>VLOOKUP(I1521,CHOOSE({1,2},Table11[Native],Table11[Name]),2,0)</f>
        <v>Xiányáng Shì</v>
      </c>
      <c r="O1521" s="13" t="str">
        <f t="shared" si="94"/>
        <v>Zhugan Zhen (Xiányáng Shì)</v>
      </c>
      <c r="P1521" s="13" t="str">
        <f t="shared" si="95"/>
        <v>Zhugan Zhen (Xiányáng Shì)</v>
      </c>
    </row>
    <row r="1522" spans="1:16" hidden="1" x14ac:dyDescent="0.25">
      <c r="A1522" t="s">
        <v>3025</v>
      </c>
      <c r="B1522" t="str">
        <f t="shared" si="92"/>
        <v>Zhūguānzhài Zhèn [incl. Xīnglóngsì Xiāng]</v>
      </c>
      <c r="C1522" t="str">
        <f t="shared" si="93"/>
        <v>Zhūguānzhài Zhèn [incl. Xīnglóngsì Xiāng]</v>
      </c>
      <c r="D1522" t="s">
        <v>3026</v>
      </c>
      <c r="E1522" t="s">
        <v>7</v>
      </c>
      <c r="F1522" t="str">
        <f>_xlfn.CONCAT(D1522,", ",H1522,", ",I1522,", ","陕西省")</f>
        <v>朱官寨镇, 佳县, 榆林市, 陕西省</v>
      </c>
      <c r="G1522">
        <v>10414</v>
      </c>
      <c r="H1522" t="s">
        <v>3152</v>
      </c>
      <c r="I1522" t="s">
        <v>3148</v>
      </c>
      <c r="J1522">
        <f>VLOOKUP(F1522,[1]!china_towns_second__2[[Column1]:[Y]],3,FALSE)</f>
        <v>38.125784032878997</v>
      </c>
      <c r="K1522">
        <f>VLOOKUP(F1522,[1]!china_towns_second__2[[Column1]:[Y]],2,FALSE)</f>
        <v>110.216945</v>
      </c>
      <c r="L1522" t="s">
        <v>5639</v>
      </c>
      <c r="M1522" t="str">
        <f>VLOOKUP(H1522,CHOOSE({1,2},Table11[Native],Table11[Name]),2,0)</f>
        <v>Jiā Xiàn</v>
      </c>
      <c r="N1522" s="13" t="str">
        <f>VLOOKUP(I1522,CHOOSE({1,2},Table11[Native],Table11[Name]),2,0)</f>
        <v>Yúlín Shì</v>
      </c>
      <c r="O1522" s="13" t="str">
        <f t="shared" si="94"/>
        <v>Zhuguanzhai Zhen [incl. Xinglongsi Xiang] (Yúlín Shì)</v>
      </c>
      <c r="P1522" s="13" t="str">
        <f t="shared" si="95"/>
        <v>Zhuguanzhai Zhen [incl. Xinglongsi Xiang] (Yúlín Shì)</v>
      </c>
    </row>
    <row r="1523" spans="1:16" hidden="1" x14ac:dyDescent="0.25">
      <c r="A1523" t="s">
        <v>3027</v>
      </c>
      <c r="B1523" t="str">
        <f t="shared" si="92"/>
        <v>Zhūjiāwā Zhèn</v>
      </c>
      <c r="C1523" t="str">
        <f t="shared" si="93"/>
        <v>Zhūjiāwā Zhèn</v>
      </c>
      <c r="D1523" t="s">
        <v>3028</v>
      </c>
      <c r="E1523" t="s">
        <v>7</v>
      </c>
      <c r="F1523" t="str">
        <f>_xlfn.CONCAT(D1523,", ",H1523,", ",I1523,", ","陕西省")</f>
        <v>朱家坬镇, 佳县, 榆林市, 陕西省</v>
      </c>
      <c r="G1523">
        <v>8507</v>
      </c>
      <c r="H1523" t="s">
        <v>3152</v>
      </c>
      <c r="I1523" t="s">
        <v>3148</v>
      </c>
      <c r="J1523">
        <f>VLOOKUP(F1523,[1]!china_towns_second__2[[Column1]:[Y]],3,FALSE)</f>
        <v>38.213463882171702</v>
      </c>
      <c r="K1523">
        <f>VLOOKUP(F1523,[1]!china_towns_second__2[[Column1]:[Y]],2,FALSE)</f>
        <v>110.4395741</v>
      </c>
      <c r="L1523" t="s">
        <v>5640</v>
      </c>
      <c r="M1523" t="str">
        <f>VLOOKUP(H1523,CHOOSE({1,2},Table11[Native],Table11[Name]),2,0)</f>
        <v>Jiā Xiàn</v>
      </c>
      <c r="N1523" s="13" t="str">
        <f>VLOOKUP(I1523,CHOOSE({1,2},Table11[Native],Table11[Name]),2,0)</f>
        <v>Yúlín Shì</v>
      </c>
      <c r="O1523" s="13" t="str">
        <f t="shared" si="94"/>
        <v>Zhujiawa Zhen (Yúlín Shì)</v>
      </c>
      <c r="P1523" s="13" t="str">
        <f t="shared" si="95"/>
        <v>Zhujiawa Zhen (Yúlín Shì)</v>
      </c>
    </row>
    <row r="1524" spans="1:16" hidden="1" x14ac:dyDescent="0.25">
      <c r="A1524" t="s">
        <v>1288</v>
      </c>
      <c r="B1524" t="str">
        <f t="shared" si="92"/>
        <v>Zhúlínguān Zhèn</v>
      </c>
      <c r="C1524" t="str">
        <f t="shared" si="93"/>
        <v>Zhúlínguān Zhèn</v>
      </c>
      <c r="D1524" t="s">
        <v>1289</v>
      </c>
      <c r="E1524" t="s">
        <v>7</v>
      </c>
      <c r="F1524" t="str">
        <f>_xlfn.CONCAT(D1524,", ",H1524,", ",I1524,", ","陕西省")</f>
        <v>竹林关镇, 丹凤县, 商洛市, 陕西省</v>
      </c>
      <c r="G1524">
        <v>22202</v>
      </c>
      <c r="H1524" t="s">
        <v>3073</v>
      </c>
      <c r="I1524" t="s">
        <v>3072</v>
      </c>
      <c r="J1524">
        <f>VLOOKUP(F1524,[1]!china_towns_second__2[[Column1]:[Y]],3,FALSE)</f>
        <v>33.470031457607199</v>
      </c>
      <c r="K1524">
        <f>VLOOKUP(F1524,[1]!china_towns_second__2[[Column1]:[Y]],2,FALSE)</f>
        <v>110.431889</v>
      </c>
      <c r="L1524" t="s">
        <v>5641</v>
      </c>
      <c r="M1524" t="str">
        <f>VLOOKUP(H1524,CHOOSE({1,2},Table11[Native],Table11[Name]),2,0)</f>
        <v>Dānfèng Xiàn</v>
      </c>
      <c r="N1524" s="13" t="str">
        <f>VLOOKUP(I1524,CHOOSE({1,2},Table11[Native],Table11[Name]),2,0)</f>
        <v>Shāngluò Shì</v>
      </c>
      <c r="O1524" s="13" t="str">
        <f t="shared" si="94"/>
        <v>Zhulinguan Zhen (Shāngluò Shì)</v>
      </c>
      <c r="P1524" s="13" t="str">
        <f t="shared" si="95"/>
        <v>Zhulinguan Zhen (Shāngluò Shì)</v>
      </c>
    </row>
    <row r="1525" spans="1:16" hidden="1" x14ac:dyDescent="0.25">
      <c r="A1525" t="s">
        <v>2320</v>
      </c>
      <c r="B1525" t="str">
        <f t="shared" si="92"/>
        <v>Zhúyù Zhèn</v>
      </c>
      <c r="C1525" t="str">
        <f t="shared" si="93"/>
        <v>Zhúyù Zhèn</v>
      </c>
      <c r="D1525" t="s">
        <v>2321</v>
      </c>
      <c r="E1525" t="s">
        <v>7</v>
      </c>
      <c r="F1525" t="str">
        <f>_xlfn.CONCAT(D1525,", ",H1525,", ",I1525,", ","陕西省")</f>
        <v>竹峪镇, 周至县, 西安市, 陕西省</v>
      </c>
      <c r="G1525">
        <v>18824</v>
      </c>
      <c r="H1525" t="s">
        <v>3115</v>
      </c>
      <c r="I1525" t="s">
        <v>3102</v>
      </c>
      <c r="J1525">
        <f>VLOOKUP(F1525,[1]!china_towns_second__2[[Column1]:[Y]],3,FALSE)</f>
        <v>34.082296900655599</v>
      </c>
      <c r="K1525">
        <f>VLOOKUP(F1525,[1]!china_towns_second__2[[Column1]:[Y]],2,FALSE)</f>
        <v>107.9994208</v>
      </c>
      <c r="L1525" t="s">
        <v>5642</v>
      </c>
      <c r="M1525" t="str">
        <f>VLOOKUP(H1525,CHOOSE({1,2},Table11[Native],Table11[Name]),2,0)</f>
        <v>Zhōuzhì Xiàn</v>
      </c>
      <c r="N1525" s="13" t="str">
        <f>VLOOKUP(I1525,CHOOSE({1,2},Table11[Native],Table11[Name]),2,0)</f>
        <v>Xī'ān Shì</v>
      </c>
      <c r="O1525" s="13" t="str">
        <f t="shared" si="94"/>
        <v>Zhuyu Zhen (Xī'ān Shì)</v>
      </c>
      <c r="P1525" s="13" t="str">
        <f t="shared" si="95"/>
        <v>Zhuyu Zhen (Xī'ān Shì)</v>
      </c>
    </row>
    <row r="1526" spans="1:16" hidden="1" x14ac:dyDescent="0.25">
      <c r="A1526" t="s">
        <v>1031</v>
      </c>
      <c r="B1526" t="str">
        <f t="shared" si="92"/>
        <v>Zǐbǎi Jiēdào [Chéngguān Zhèn]</v>
      </c>
      <c r="C1526" t="str">
        <f t="shared" si="93"/>
        <v>Zǐbǎi Jiēdào [Chéngguān Zhèn]</v>
      </c>
      <c r="D1526" t="s">
        <v>1032</v>
      </c>
      <c r="E1526" t="s">
        <v>113</v>
      </c>
      <c r="F1526" t="str">
        <f>_xlfn.CONCAT(D1526,", ",H1526,", ",I1526,", ","陕西省")</f>
        <v>紫柏街道, 留坝县, 汉中市, 陕西省</v>
      </c>
      <c r="G1526">
        <v>10746</v>
      </c>
      <c r="H1526" t="s">
        <v>3063</v>
      </c>
      <c r="I1526" t="s">
        <v>3059</v>
      </c>
      <c r="J1526" t="e">
        <f>VLOOKUP(F1526,[1]!china_towns_second__2[[Column1]:[Y]],3,FALSE)</f>
        <v>#N/A</v>
      </c>
      <c r="K1526" t="e">
        <f>VLOOKUP(F1526,[1]!china_towns_second__2[[Column1]:[Y]],2,FALSE)</f>
        <v>#N/A</v>
      </c>
      <c r="L1526" t="s">
        <v>5643</v>
      </c>
      <c r="M1526" t="str">
        <f>VLOOKUP(H1526,CHOOSE({1,2},Table11[Native],Table11[Name]),2,0)</f>
        <v>Liúbà Xiàn</v>
      </c>
      <c r="N1526" s="13" t="str">
        <f>VLOOKUP(I1526,CHOOSE({1,2},Table11[Native],Table11[Name]),2,0)</f>
        <v>Hànzhōng Shì</v>
      </c>
      <c r="O1526" s="13" t="str">
        <f t="shared" si="94"/>
        <v>Zibai Jiedao [Chengguan Zhen] (Hànzhōng Shì)</v>
      </c>
      <c r="P1526" s="13" t="str">
        <f t="shared" si="95"/>
        <v>Zibai Jiedao [Chengguan Zhen] (Hànzhōng Shì)</v>
      </c>
    </row>
    <row r="1527" spans="1:16" hidden="1" x14ac:dyDescent="0.25">
      <c r="A1527" t="s">
        <v>333</v>
      </c>
      <c r="B1527" t="str">
        <f t="shared" si="92"/>
        <v>Zǐjīng Zhèn [incl. Shābà Xiāng, Jīnghé Xiāng]</v>
      </c>
      <c r="C1527" t="str">
        <f t="shared" si="93"/>
        <v>Zǐjīng Zhèn [incl. Shābà Xiāng, Jīnghé Xiāng]</v>
      </c>
      <c r="D1527" t="s">
        <v>334</v>
      </c>
      <c r="E1527" t="s">
        <v>7</v>
      </c>
      <c r="F1527" t="str">
        <f>_xlfn.CONCAT(D1527,", ",H1527,", ",I1527,", ","陕西省")</f>
        <v>紫荆镇, 汉滨区, 安康市, 陕西省</v>
      </c>
      <c r="G1527">
        <v>7758</v>
      </c>
      <c r="H1527" t="s">
        <v>3035</v>
      </c>
      <c r="I1527" t="s">
        <v>3031</v>
      </c>
      <c r="J1527">
        <f>VLOOKUP(F1527,[1]!china_towns_second__2[[Column1]:[Y]],3,FALSE)</f>
        <v>33.076135842565201</v>
      </c>
      <c r="K1527">
        <f>VLOOKUP(F1527,[1]!china_towns_second__2[[Column1]:[Y]],2,FALSE)</f>
        <v>108.8657303</v>
      </c>
      <c r="L1527" t="s">
        <v>5644</v>
      </c>
      <c r="M1527" t="str">
        <f>VLOOKUP(H1527,CHOOSE({1,2},Table11[Native],Table11[Name]),2,0)</f>
        <v>Hànbīn Qū</v>
      </c>
      <c r="N1527" s="13" t="str">
        <f>VLOOKUP(I1527,CHOOSE({1,2},Table11[Native],Table11[Name]),2,0)</f>
        <v>Ānkāng Shì</v>
      </c>
      <c r="O1527" s="13" t="str">
        <f t="shared" si="94"/>
        <v>Zijing Zhen [incl. Shaba Xiang, Jinghe Xiang] (Ānkāng Shì)</v>
      </c>
      <c r="P1527" s="13" t="str">
        <f t="shared" si="95"/>
        <v>Zijing Zhen [incl. Shaba Xiang, Jinghe Xiang] (Ānkāng Shì)</v>
      </c>
    </row>
    <row r="1528" spans="1:16" hidden="1" x14ac:dyDescent="0.25">
      <c r="A1528" t="s">
        <v>2322</v>
      </c>
      <c r="B1528" t="str">
        <f t="shared" si="92"/>
        <v>Zìqiánglù Jiēdào</v>
      </c>
      <c r="C1528" t="str">
        <f t="shared" si="93"/>
        <v>Zìqiánglù Jiēdào</v>
      </c>
      <c r="D1528" t="s">
        <v>2323</v>
      </c>
      <c r="E1528" t="s">
        <v>113</v>
      </c>
      <c r="F1528" t="str">
        <f>_xlfn.CONCAT(D1528,", ",H1528,", ",I1528,", ","陕西省")</f>
        <v>自强路街道, 新城区, 西安市, 陕西省</v>
      </c>
      <c r="G1528">
        <v>42347</v>
      </c>
      <c r="H1528" t="s">
        <v>3112</v>
      </c>
      <c r="I1528" t="s">
        <v>3102</v>
      </c>
      <c r="J1528">
        <f>VLOOKUP(F1528,[1]!china_towns_second__2[[Column1]:[Y]],3,FALSE)</f>
        <v>34.287399316136103</v>
      </c>
      <c r="K1528">
        <f>VLOOKUP(F1528,[1]!china_towns_second__2[[Column1]:[Y]],2,FALSE)</f>
        <v>108.9521845</v>
      </c>
      <c r="L1528" t="s">
        <v>5645</v>
      </c>
      <c r="M1528" t="str">
        <f>VLOOKUP(H1528,CHOOSE({1,2},Table11[Native],Table11[Name]),2,0)</f>
        <v>Xīnchéng Qū</v>
      </c>
      <c r="N1528" s="13" t="str">
        <f>VLOOKUP(I1528,CHOOSE({1,2},Table11[Native],Table11[Name]),2,0)</f>
        <v>Xī'ān Shì</v>
      </c>
      <c r="O1528" s="13" t="str">
        <f t="shared" si="94"/>
        <v>Ziqianglu Jiedao (Xī'ān Shì)</v>
      </c>
      <c r="P1528" s="13" t="str">
        <f t="shared" si="95"/>
        <v>Ziqianglu Jiedao (Xī'ān Shì)</v>
      </c>
    </row>
    <row r="1529" spans="1:16" hidden="1" x14ac:dyDescent="0.25">
      <c r="A1529" t="s">
        <v>2324</v>
      </c>
      <c r="B1529" t="str">
        <f t="shared" si="92"/>
        <v>Ziwŭ Jiēdào</v>
      </c>
      <c r="C1529" t="str">
        <f t="shared" si="93"/>
        <v>Ziwŭ Jiēdào</v>
      </c>
      <c r="D1529" t="s">
        <v>2325</v>
      </c>
      <c r="E1529" t="s">
        <v>113</v>
      </c>
      <c r="F1529" t="str">
        <f>_xlfn.CONCAT(D1529,", ",H1529,", ",I1529,", ","陕西省")</f>
        <v>子午街道, 长安区, 西安市, 陕西省</v>
      </c>
      <c r="G1529">
        <v>29824</v>
      </c>
      <c r="H1529" t="s">
        <v>3105</v>
      </c>
      <c r="I1529" t="s">
        <v>3102</v>
      </c>
      <c r="J1529">
        <f>VLOOKUP(F1529,[1]!china_towns_second__2[[Column1]:[Y]],3,FALSE)</f>
        <v>34.031145085469703</v>
      </c>
      <c r="K1529">
        <f>VLOOKUP(F1529,[1]!china_towns_second__2[[Column1]:[Y]],2,FALSE)</f>
        <v>108.90440390000001</v>
      </c>
      <c r="L1529" t="s">
        <v>5646</v>
      </c>
      <c r="M1529" t="str">
        <f>VLOOKUP(H1529,CHOOSE({1,2},Table11[Native],Table11[Name]),2,0)</f>
        <v>Cháng'ān Qū</v>
      </c>
      <c r="N1529" s="13" t="str">
        <f>VLOOKUP(I1529,CHOOSE({1,2},Table11[Native],Table11[Name]),2,0)</f>
        <v>Xī'ān Shì</v>
      </c>
      <c r="O1529" s="13" t="str">
        <f t="shared" si="94"/>
        <v>Ziwu Jiedao (Xī'ān Shì)</v>
      </c>
      <c r="P1529" s="13" t="str">
        <f t="shared" si="95"/>
        <v>Ziwu Jiedao (Xī'ān Shì)</v>
      </c>
    </row>
    <row r="1530" spans="1:16" hidden="1" x14ac:dyDescent="0.25">
      <c r="A1530" t="s">
        <v>1033</v>
      </c>
      <c r="B1530" t="str">
        <f t="shared" si="92"/>
        <v>Ziwŭ Zhèn</v>
      </c>
      <c r="C1530" t="str">
        <f t="shared" si="93"/>
        <v>Ziwŭ Zhèn</v>
      </c>
      <c r="D1530" t="s">
        <v>1034</v>
      </c>
      <c r="E1530" t="s">
        <v>7</v>
      </c>
      <c r="F1530" t="str">
        <f>_xlfn.CONCAT(D1530,", ",H1530,", ",I1530,", ","陕西省")</f>
        <v>子午镇, 西乡县, 汉中市, 陕西省</v>
      </c>
      <c r="G1530">
        <v>2169</v>
      </c>
      <c r="H1530" t="s">
        <v>3068</v>
      </c>
      <c r="I1530" t="s">
        <v>3059</v>
      </c>
      <c r="J1530">
        <f>VLOOKUP(F1530,[1]!china_towns_second__2[[Column1]:[Y]],3,FALSE)</f>
        <v>33.124854946743703</v>
      </c>
      <c r="K1530">
        <f>VLOOKUP(F1530,[1]!china_towns_second__2[[Column1]:[Y]],2,FALSE)</f>
        <v>108.01583979999999</v>
      </c>
      <c r="L1530" t="s">
        <v>5647</v>
      </c>
      <c r="M1530" t="str">
        <f>VLOOKUP(H1530,CHOOSE({1,2},Table11[Native],Table11[Name]),2,0)</f>
        <v>Xīxiāng Xiàn</v>
      </c>
      <c r="N1530" s="13" t="str">
        <f>VLOOKUP(I1530,CHOOSE({1,2},Table11[Native],Table11[Name]),2,0)</f>
        <v>Hànzhōng Shì</v>
      </c>
      <c r="O1530" s="13" t="str">
        <f t="shared" si="94"/>
        <v>Ziwu Zhen (Hànzhōng Shì)</v>
      </c>
      <c r="P1530" s="13" t="str">
        <f t="shared" si="95"/>
        <v>Ziwu Zhen (Hànzhōng Shì)</v>
      </c>
    </row>
    <row r="1531" spans="1:16" hidden="1" x14ac:dyDescent="0.25">
      <c r="A1531" t="s">
        <v>1709</v>
      </c>
      <c r="B1531" t="str">
        <f t="shared" si="92"/>
        <v>Zòngmù Xiāng</v>
      </c>
      <c r="C1531" t="str">
        <f t="shared" si="93"/>
        <v>Zòngmù Xiāng</v>
      </c>
      <c r="D1531" t="s">
        <v>1710</v>
      </c>
      <c r="E1531" t="s">
        <v>11</v>
      </c>
      <c r="F1531" t="str">
        <f>_xlfn.CONCAT(D1531,", ",H1531,", ",I1531,", ","陕西省")</f>
        <v>纵目乡, 白水县, 渭南市, 陕西省</v>
      </c>
      <c r="G1531">
        <v>11495</v>
      </c>
      <c r="H1531" t="s">
        <v>3088</v>
      </c>
      <c r="I1531" t="s">
        <v>3087</v>
      </c>
      <c r="J1531" t="e">
        <f>VLOOKUP(F1531,[1]!china_towns_second__2[[Column1]:[Y]],3,FALSE)</f>
        <v>#N/A</v>
      </c>
      <c r="K1531" t="e">
        <f>VLOOKUP(F1531,[1]!china_towns_second__2[[Column1]:[Y]],2,FALSE)</f>
        <v>#N/A</v>
      </c>
      <c r="L1531" t="s">
        <v>5648</v>
      </c>
      <c r="M1531" t="str">
        <f>VLOOKUP(H1531,CHOOSE({1,2},Table11[Native],Table11[Name]),2,0)</f>
        <v>Báishuĭ Xiàn</v>
      </c>
      <c r="N1531" s="13" t="str">
        <f>VLOOKUP(I1531,CHOOSE({1,2},Table11[Native],Table11[Name]),2,0)</f>
        <v>Wèinán Shì</v>
      </c>
      <c r="O1531" s="13" t="str">
        <f t="shared" si="94"/>
        <v>Zongmu Xiang (Wèinán Shì)</v>
      </c>
      <c r="P1531" s="13" t="str">
        <f t="shared" si="95"/>
        <v>Zongmu Xiang (Wèinán Shì)</v>
      </c>
    </row>
    <row r="1532" spans="1:16" hidden="1" x14ac:dyDescent="0.25">
      <c r="A1532" t="s">
        <v>335</v>
      </c>
      <c r="B1532" t="str">
        <f t="shared" si="92"/>
        <v>Zōngxī Zhèn</v>
      </c>
      <c r="C1532" t="str">
        <f t="shared" si="93"/>
        <v>Zōngxī Zhèn</v>
      </c>
      <c r="D1532" t="s">
        <v>336</v>
      </c>
      <c r="E1532" t="s">
        <v>7</v>
      </c>
      <c r="F1532" t="str">
        <f>_xlfn.CONCAT(D1532,", ",H1532,", ",I1532,", ","陕西省")</f>
        <v>棕溪镇, 旬阳县, 安康市, 陕西省</v>
      </c>
      <c r="G1532">
        <v>25811</v>
      </c>
      <c r="H1532" t="s">
        <v>3041</v>
      </c>
      <c r="I1532" t="s">
        <v>3031</v>
      </c>
      <c r="J1532">
        <f>VLOOKUP(F1532,[1]!china_towns_second__2[[Column1]:[Y]],3,FALSE)</f>
        <v>32.833624658957</v>
      </c>
      <c r="K1532">
        <f>VLOOKUP(F1532,[1]!china_towns_second__2[[Column1]:[Y]],2,FALSE)</f>
        <v>109.56628480000001</v>
      </c>
      <c r="L1532" t="s">
        <v>5649</v>
      </c>
      <c r="M1532" t="str">
        <f>VLOOKUP(H1532,CHOOSE({1,2},Table11[Native],Table11[Name]),2,0)</f>
        <v>Xúnyáng Xiàn</v>
      </c>
      <c r="N1532" s="13" t="str">
        <f>VLOOKUP(I1532,CHOOSE({1,2},Table11[Native],Table11[Name]),2,0)</f>
        <v>Ānkāng Shì</v>
      </c>
      <c r="O1532" s="13" t="str">
        <f t="shared" si="94"/>
        <v>Zongxi Zhen (Ānkāng Shì)</v>
      </c>
      <c r="P1532" s="13" t="str">
        <f t="shared" si="95"/>
        <v>Zongxi Zhen (Ānkāng Shì)</v>
      </c>
    </row>
    <row r="1533" spans="1:16" hidden="1" x14ac:dyDescent="0.25">
      <c r="A1533" t="s">
        <v>1035</v>
      </c>
      <c r="B1533" t="str">
        <f t="shared" si="92"/>
        <v>Zōngyíng Zhèn</v>
      </c>
      <c r="C1533" t="str">
        <f t="shared" si="93"/>
        <v>Zōngyíng Zhèn</v>
      </c>
      <c r="D1533" t="s">
        <v>1036</v>
      </c>
      <c r="E1533" t="s">
        <v>7</v>
      </c>
      <c r="F1533" t="str">
        <f>_xlfn.CONCAT(D1533,", ",H1533,", ",I1533,", ","陕西省")</f>
        <v>宗营镇, 汉台区, 汉中市, 陕西省</v>
      </c>
      <c r="G1533">
        <v>24909</v>
      </c>
      <c r="H1533" t="s">
        <v>3062</v>
      </c>
      <c r="I1533" t="s">
        <v>3059</v>
      </c>
      <c r="J1533">
        <f>VLOOKUP(F1533,[1]!china_towns_second__2[[Column1]:[Y]],3,FALSE)</f>
        <v>33.169210082207698</v>
      </c>
      <c r="K1533">
        <f>VLOOKUP(F1533,[1]!china_towns_second__2[[Column1]:[Y]],2,FALSE)</f>
        <v>106.9919064</v>
      </c>
      <c r="L1533" t="s">
        <v>5650</v>
      </c>
      <c r="M1533" t="str">
        <f>VLOOKUP(H1533,CHOOSE({1,2},Table11[Native],Table11[Name]),2,0)</f>
        <v>Hàntái Qū</v>
      </c>
      <c r="N1533" s="13" t="str">
        <f>VLOOKUP(I1533,CHOOSE({1,2},Table11[Native],Table11[Name]),2,0)</f>
        <v>Hànzhōng Shì</v>
      </c>
      <c r="O1533" s="13" t="str">
        <f t="shared" si="94"/>
        <v>Zongying Zhen (Hànzhōng Shì)</v>
      </c>
      <c r="P1533" s="13" t="str">
        <f t="shared" si="95"/>
        <v>Zongying Zhen (Hànzhōng Shì)</v>
      </c>
    </row>
    <row r="1534" spans="1:16" hidden="1" x14ac:dyDescent="0.25">
      <c r="A1534" t="s">
        <v>2326</v>
      </c>
      <c r="B1534" t="str">
        <f t="shared" si="92"/>
        <v>Zŭ'ān Zhèn</v>
      </c>
      <c r="C1534" t="str">
        <f t="shared" si="93"/>
        <v>Zŭ'ān Zhèn</v>
      </c>
      <c r="D1534" t="s">
        <v>2327</v>
      </c>
      <c r="E1534" t="s">
        <v>7</v>
      </c>
      <c r="F1534" t="str">
        <f>_xlfn.CONCAT(D1534,", ",H1534,", ",I1534,", ","陕西省")</f>
        <v>祖庵镇, 鄠邑区, 西安市, 陕西省</v>
      </c>
      <c r="G1534">
        <v>27642</v>
      </c>
      <c r="H1534" t="s">
        <v>3107</v>
      </c>
      <c r="I1534" t="s">
        <v>3102</v>
      </c>
      <c r="J1534">
        <f>VLOOKUP(F1534,[1]!china_towns_second__2[[Column1]:[Y]],3,FALSE)</f>
        <v>34.115648343299497</v>
      </c>
      <c r="K1534">
        <f>VLOOKUP(F1534,[1]!china_towns_second__2[[Column1]:[Y]],2,FALSE)</f>
        <v>108.49738050000001</v>
      </c>
      <c r="L1534" t="s">
        <v>5651</v>
      </c>
      <c r="M1534" t="str">
        <f>VLOOKUP(H1534,CHOOSE({1,2},Table11[Native],Table11[Name]),2,0)</f>
        <v>Hùyì Qū</v>
      </c>
      <c r="N1534" s="13" t="str">
        <f>VLOOKUP(I1534,CHOOSE({1,2},Table11[Native],Table11[Name]),2,0)</f>
        <v>Xī'ān Shì</v>
      </c>
      <c r="O1534" s="13" t="str">
        <f t="shared" si="94"/>
        <v>Zu'an Zhen (Xī'ān Shì)</v>
      </c>
      <c r="P1534" s="13" t="str">
        <f t="shared" si="95"/>
        <v>Zu'an Zhen (Xī'ān Shì)</v>
      </c>
    </row>
    <row r="1535" spans="1:16" hidden="1" x14ac:dyDescent="0.25">
      <c r="A1535" t="s">
        <v>337</v>
      </c>
      <c r="B1535" t="str">
        <f t="shared" si="92"/>
        <v>Zuŏlóng Zhèn</v>
      </c>
      <c r="C1535" t="str">
        <f t="shared" si="93"/>
        <v>Zuŏlóng Zhèn</v>
      </c>
      <c r="D1535" t="s">
        <v>338</v>
      </c>
      <c r="E1535" t="s">
        <v>7</v>
      </c>
      <c r="F1535" t="str">
        <f>_xlfn.CONCAT(D1535,", ",H1535,", ",I1535,", ","陕西省")</f>
        <v>佐龙镇, 岚皋县, 安康市, 陕西省</v>
      </c>
      <c r="G1535">
        <v>11590</v>
      </c>
      <c r="H1535" t="s">
        <v>3037</v>
      </c>
      <c r="I1535" t="s">
        <v>3031</v>
      </c>
      <c r="J1535">
        <f>VLOOKUP(F1535,[1]!china_towns_second__2[[Column1]:[Y]],3,FALSE)</f>
        <v>32.451775658161303</v>
      </c>
      <c r="K1535">
        <f>VLOOKUP(F1535,[1]!china_towns_second__2[[Column1]:[Y]],2,FALSE)</f>
        <v>108.8502106</v>
      </c>
      <c r="L1535" t="s">
        <v>5652</v>
      </c>
      <c r="M1535" t="str">
        <f>VLOOKUP(H1535,CHOOSE({1,2},Table11[Native],Table11[Name]),2,0)</f>
        <v>Lángāo Xiàn</v>
      </c>
      <c r="N1535" s="13" t="str">
        <f>VLOOKUP(I1535,CHOOSE({1,2},Table11[Native],Table11[Name]),2,0)</f>
        <v>Ānkāng Shì</v>
      </c>
      <c r="O1535" s="13" t="str">
        <f t="shared" si="94"/>
        <v>Zuolong Zhen (Ānkāng Shì)</v>
      </c>
      <c r="P1535" s="13" t="str">
        <f t="shared" si="95"/>
        <v>Zuolong Zhen (Ānkāng Shì)</v>
      </c>
    </row>
    <row r="1536" spans="1:16" hidden="1" x14ac:dyDescent="0.25">
      <c r="A1536" t="s">
        <v>1037</v>
      </c>
      <c r="B1536" t="str">
        <f t="shared" si="92"/>
        <v>Zuŏxī Xiāng</v>
      </c>
      <c r="C1536" t="str">
        <f t="shared" si="93"/>
        <v>Zuŏxī Xiāng</v>
      </c>
      <c r="D1536" t="s">
        <v>1038</v>
      </c>
      <c r="E1536" t="s">
        <v>11</v>
      </c>
      <c r="F1536" t="str">
        <f>_xlfn.CONCAT(D1536,", ",H1536,", ",I1536,", ","陕西省")</f>
        <v>左溪乡, 西乡县, 汉中市, 陕西省</v>
      </c>
      <c r="G1536">
        <v>4297</v>
      </c>
      <c r="H1536" t="s">
        <v>3068</v>
      </c>
      <c r="I1536" t="s">
        <v>3059</v>
      </c>
      <c r="J1536" t="e">
        <f>VLOOKUP(F1536,[1]!china_towns_second__2[[Column1]:[Y]],3,FALSE)</f>
        <v>#N/A</v>
      </c>
      <c r="K1536" t="e">
        <f>VLOOKUP(F1536,[1]!china_towns_second__2[[Column1]:[Y]],2,FALSE)</f>
        <v>#N/A</v>
      </c>
      <c r="L1536" t="s">
        <v>5653</v>
      </c>
      <c r="M1536" t="str">
        <f>VLOOKUP(H1536,CHOOSE({1,2},Table11[Native],Table11[Name]),2,0)</f>
        <v>Xīxiāng Xiàn</v>
      </c>
      <c r="N1536" s="13" t="str">
        <f>VLOOKUP(I1536,CHOOSE({1,2},Table11[Native],Table11[Name]),2,0)</f>
        <v>Hànzhōng Shì</v>
      </c>
      <c r="O1536" s="13" t="str">
        <f t="shared" si="94"/>
        <v>Zuoxi Xiang (Hànzhōng Shì)</v>
      </c>
      <c r="P1536" s="13" t="str">
        <f t="shared" si="95"/>
        <v>Zuoxi Xiang (Hànzhōng Shì)</v>
      </c>
    </row>
  </sheetData>
  <phoneticPr fontId="3" type="noConversion"/>
  <conditionalFormatting sqref="J2:J1536">
    <cfRule type="expression" dxfId="13" priority="7">
      <formula>ISERROR(J2)</formula>
    </cfRule>
  </conditionalFormatting>
  <conditionalFormatting sqref="A2:A1536">
    <cfRule type="duplicateValues" dxfId="12" priority="6"/>
  </conditionalFormatting>
  <conditionalFormatting sqref="B2:B1536">
    <cfRule type="duplicateValues" dxfId="11" priority="5"/>
  </conditionalFormatting>
  <conditionalFormatting sqref="C2:C1536">
    <cfRule type="duplicateValues" dxfId="10" priority="4"/>
  </conditionalFormatting>
  <conditionalFormatting sqref="L2:L1536">
    <cfRule type="duplicateValues" dxfId="9" priority="3"/>
  </conditionalFormatting>
  <conditionalFormatting sqref="O2:O1536">
    <cfRule type="duplicateValues" dxfId="8" priority="2"/>
  </conditionalFormatting>
  <conditionalFormatting sqref="P2:P1536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F0090-B318-4F5A-9C85-2B25420410FA}">
  <dimension ref="A1:E16"/>
  <sheetViews>
    <sheetView workbookViewId="0">
      <selection activeCell="C2" sqref="C2:C16"/>
    </sheetView>
  </sheetViews>
  <sheetFormatPr defaultRowHeight="15" x14ac:dyDescent="0.25"/>
  <cols>
    <col min="1" max="3" width="11.28515625" customWidth="1"/>
  </cols>
  <sheetData>
    <row r="1" spans="1:5" x14ac:dyDescent="0.25">
      <c r="A1" t="s">
        <v>3166</v>
      </c>
      <c r="B1" t="s">
        <v>3178</v>
      </c>
      <c r="C1" t="s">
        <v>3170</v>
      </c>
      <c r="D1" t="s">
        <v>3171</v>
      </c>
      <c r="E1" t="s">
        <v>3172</v>
      </c>
    </row>
    <row r="2" spans="1:5" x14ac:dyDescent="0.25">
      <c r="A2" t="s">
        <v>3128</v>
      </c>
      <c r="B2" t="str">
        <f>VLOOKUP(A2,CHOOSE({1,2},Table11[Native],Table11[Name]),2,0)</f>
        <v>Xīngpíng Shì</v>
      </c>
      <c r="C2">
        <v>298791</v>
      </c>
      <c r="D2">
        <f>VLOOKUP(A2,[1]!Table1[[name]:[@lon]],5,0)</f>
        <v>34.321188800000002</v>
      </c>
      <c r="E2">
        <f>VLOOKUP(A2,[1]!Table1[[name]:[@lon]],6,0)</f>
        <v>108.4588845</v>
      </c>
    </row>
    <row r="3" spans="1:5" x14ac:dyDescent="0.25">
      <c r="A3" t="s">
        <v>3118</v>
      </c>
      <c r="B3" t="str">
        <f>VLOOKUP(A3,CHOOSE({1,2},Table11[Native],Table11[Name]),2,0)</f>
        <v>Bīnzhōu Shì</v>
      </c>
      <c r="C3">
        <v>81787</v>
      </c>
      <c r="D3">
        <f>VLOOKUP(A3,[1]!Table1[[name]:[@lon]],5,0)</f>
        <v>35.0623194</v>
      </c>
      <c r="E3">
        <f>VLOOKUP(A3,[1]!Table1[[name]:[@lon]],6,0)</f>
        <v>108.08234040000001</v>
      </c>
    </row>
    <row r="4" spans="1:5" x14ac:dyDescent="0.25">
      <c r="A4" t="s">
        <v>3117</v>
      </c>
      <c r="B4" t="str">
        <f>VLOOKUP(A4,CHOOSE({1,2},Table11[Native],Table11[Name]),2,0)</f>
        <v>Xiányáng Shì</v>
      </c>
      <c r="C4">
        <v>1390690</v>
      </c>
      <c r="D4">
        <f>VLOOKUP(A4,[1]!Table1[[name]:[@lon]],5,0)</f>
        <v>34.871354199999999</v>
      </c>
      <c r="E4">
        <f>VLOOKUP(A4,[1]!Table1[[name]:[@lon]],6,0)</f>
        <v>108.4141418</v>
      </c>
    </row>
    <row r="5" spans="1:5" x14ac:dyDescent="0.25">
      <c r="A5" t="s">
        <v>3072</v>
      </c>
      <c r="B5" t="str">
        <f>VLOOKUP(A5,CHOOSE({1,2},Table11[Native],Table11[Name]),2,0)</f>
        <v>Shāngluò Shì</v>
      </c>
      <c r="C5">
        <v>612766</v>
      </c>
      <c r="D5">
        <f>VLOOKUP(A5,[1]!Table1[[name]:[@lon]],5,0)</f>
        <v>33.765752599999999</v>
      </c>
      <c r="E5">
        <f>VLOOKUP(A5,[1]!Table1[[name]:[@lon]],6,0)</f>
        <v>109.7945203</v>
      </c>
    </row>
    <row r="6" spans="1:5" x14ac:dyDescent="0.25">
      <c r="A6" t="s">
        <v>3031</v>
      </c>
      <c r="B6" t="str">
        <f>VLOOKUP(A6,CHOOSE({1,2},Table11[Native],Table11[Name]),2,0)</f>
        <v>Ānkāng Shì</v>
      </c>
      <c r="C6">
        <v>281668</v>
      </c>
      <c r="D6">
        <f>VLOOKUP(A6,[1]!Table1[[name]:[@lon]],5,0)</f>
        <v>32.774179500000002</v>
      </c>
      <c r="E6">
        <f>VLOOKUP(A6,[1]!Table1[[name]:[@lon]],6,0)</f>
        <v>109.1089487</v>
      </c>
    </row>
    <row r="7" spans="1:5" x14ac:dyDescent="0.25">
      <c r="A7" t="s">
        <v>3045</v>
      </c>
      <c r="B7" t="str">
        <f>VLOOKUP(A7,CHOOSE({1,2},Table11[Native],Table11[Name]),2,0)</f>
        <v>Băojī Shì</v>
      </c>
      <c r="C7">
        <v>823439</v>
      </c>
      <c r="D7">
        <f>VLOOKUP(A7,[1]!Table1[[name]:[@lon]],5,0)</f>
        <v>34.342212199999999</v>
      </c>
      <c r="E7">
        <f>VLOOKUP(A7,[1]!Table1[[name]:[@lon]],6,0)</f>
        <v>107.1794877</v>
      </c>
    </row>
    <row r="8" spans="1:5" x14ac:dyDescent="0.25">
      <c r="A8" t="s">
        <v>3146</v>
      </c>
      <c r="B8" t="str">
        <f>VLOOKUP(A8,CHOOSE({1,2},Table11[Native],Table11[Name]),2,0)</f>
        <v>Zicháng Shì</v>
      </c>
      <c r="C8">
        <v>113698</v>
      </c>
      <c r="D8">
        <f>VLOOKUP(A8,[1]!Table1[[name]:[@lon]],5,0)</f>
        <v>37.24841</v>
      </c>
      <c r="E8">
        <f>VLOOKUP(A8,[1]!Table1[[name]:[@lon]],6,0)</f>
        <v>109.6229778</v>
      </c>
    </row>
    <row r="9" spans="1:5" x14ac:dyDescent="0.25">
      <c r="A9" t="s">
        <v>3133</v>
      </c>
      <c r="B9" t="str">
        <f>VLOOKUP(A9,CHOOSE({1,2},Table11[Native],Table11[Name]),2,0)</f>
        <v>Yán'ān Shì</v>
      </c>
      <c r="C9">
        <v>784913</v>
      </c>
      <c r="D9">
        <f>VLOOKUP(A9,[1]!Table1[[name]:[@lon]],5,0)</f>
        <v>36.425512500000004</v>
      </c>
      <c r="E9">
        <f>VLOOKUP(A9,[1]!Table1[[name]:[@lon]],6,0)</f>
        <v>109.0984711</v>
      </c>
    </row>
    <row r="10" spans="1:5" x14ac:dyDescent="0.25">
      <c r="A10" t="s">
        <v>3148</v>
      </c>
      <c r="B10" t="str">
        <f>VLOOKUP(A10,CHOOSE({1,2},Table11[Native],Table11[Name]),2,0)</f>
        <v>Yúlín Shì</v>
      </c>
      <c r="C10">
        <v>956265</v>
      </c>
      <c r="D10">
        <f>VLOOKUP(A10,[1]!Table1[[name]:[@lon]],5,0)</f>
        <v>38.200499100000002</v>
      </c>
      <c r="E10">
        <f>VLOOKUP(A10,[1]!Table1[[name]:[@lon]],6,0)</f>
        <v>109.2467965</v>
      </c>
    </row>
    <row r="11" spans="1:5" x14ac:dyDescent="0.25">
      <c r="A11" t="s">
        <v>3059</v>
      </c>
      <c r="B11" t="str">
        <f>VLOOKUP(A11,CHOOSE({1,2},Table11[Native],Table11[Name]),2,0)</f>
        <v>Hànzhōng Shì</v>
      </c>
      <c r="C11">
        <v>1046564</v>
      </c>
      <c r="D11">
        <f>VLOOKUP(A11,[1]!Table1[[name]:[@lon]],5,0)</f>
        <v>33.012416999999999</v>
      </c>
      <c r="E11">
        <f>VLOOKUP(A11,[1]!Table1[[name]:[@lon]],6,0)</f>
        <v>106.8850585</v>
      </c>
    </row>
    <row r="12" spans="1:5" x14ac:dyDescent="0.25">
      <c r="A12" t="s">
        <v>3095</v>
      </c>
      <c r="B12" t="str">
        <f>VLOOKUP(A12,CHOOSE({1,2},Table11[Native],Table11[Name]),2,0)</f>
        <v>Huáyīn Shì</v>
      </c>
      <c r="C12">
        <v>80665</v>
      </c>
      <c r="D12">
        <f>VLOOKUP(A12,[1]!Table1[[name]:[@lon]],5,0)</f>
        <v>34.515313999999996</v>
      </c>
      <c r="E12">
        <f>VLOOKUP(A12,[1]!Table1[[name]:[@lon]],6,0)</f>
        <v>110.0442702</v>
      </c>
    </row>
    <row r="13" spans="1:5" x14ac:dyDescent="0.25">
      <c r="A13" t="s">
        <v>3093</v>
      </c>
      <c r="B13" t="str">
        <f>VLOOKUP(A13,CHOOSE({1,2},Table11[Native],Table11[Name]),2,0)</f>
        <v>Hánchéng Shì</v>
      </c>
      <c r="C13">
        <v>164366</v>
      </c>
      <c r="D13">
        <f>VLOOKUP(A13,[1]!Table1[[name]:[@lon]],5,0)</f>
        <v>35.581205099999998</v>
      </c>
      <c r="E13">
        <f>VLOOKUP(A13,[1]!Table1[[name]:[@lon]],6,0)</f>
        <v>110.36142340000001</v>
      </c>
    </row>
    <row r="14" spans="1:5" x14ac:dyDescent="0.25">
      <c r="A14" t="s">
        <v>3087</v>
      </c>
      <c r="B14" t="str">
        <f>VLOOKUP(A14,CHOOSE({1,2},Table11[Native],Table11[Name]),2,0)</f>
        <v>Wèinán Shì</v>
      </c>
      <c r="C14">
        <v>1076612</v>
      </c>
      <c r="D14">
        <f>VLOOKUP(A14,[1]!Table1[[name]:[@lon]],5,0)</f>
        <v>35.032702</v>
      </c>
      <c r="E14">
        <f>VLOOKUP(A14,[1]!Table1[[name]:[@lon]],6,0)</f>
        <v>109.7803229</v>
      </c>
    </row>
    <row r="15" spans="1:5" x14ac:dyDescent="0.25">
      <c r="A15" t="s">
        <v>3102</v>
      </c>
      <c r="B15" t="str">
        <f>VLOOKUP(A15,CHOOSE({1,2},Table11[Native],Table11[Name]),2,0)</f>
        <v>Xī'ān Shì</v>
      </c>
      <c r="C15">
        <v>7800003</v>
      </c>
      <c r="D15">
        <f>VLOOKUP(A15,[1]!Table1[[name]:[@lon]],5,0)</f>
        <v>34.220585700000001</v>
      </c>
      <c r="E15">
        <f>VLOOKUP(A15,[1]!Table1[[name]:[@lon]],6,0)</f>
        <v>108.72352979999999</v>
      </c>
    </row>
    <row r="16" spans="1:5" x14ac:dyDescent="0.25">
      <c r="A16" t="s">
        <v>3081</v>
      </c>
      <c r="B16" t="str">
        <f>VLOOKUP(A16,CHOOSE({1,2},Table11[Native],Table11[Name]),2,0)</f>
        <v>Tóngchuān Shì</v>
      </c>
      <c r="C16">
        <v>440366</v>
      </c>
      <c r="D16">
        <f>VLOOKUP(A16,[1]!Table1[[name]:[@lon]],5,0)</f>
        <v>35.1956846</v>
      </c>
      <c r="E16">
        <f>VLOOKUP(A16,[1]!Table1[[name]:[@lon]],6,0)</f>
        <v>109.03832989999999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3ADAE-4D38-4626-8064-E2764DE339D9}">
  <dimension ref="A1:I1028"/>
  <sheetViews>
    <sheetView workbookViewId="0"/>
  </sheetViews>
  <sheetFormatPr defaultRowHeight="15" x14ac:dyDescent="0.25"/>
  <sheetData>
    <row r="1" spans="1:9" x14ac:dyDescent="0.25">
      <c r="A1" t="s">
        <v>3179</v>
      </c>
      <c r="B1" t="s">
        <v>3888</v>
      </c>
      <c r="C1" t="s">
        <v>3183</v>
      </c>
      <c r="D1">
        <v>35.682545470000001</v>
      </c>
      <c r="E1" t="s">
        <v>3180</v>
      </c>
      <c r="F1">
        <v>109.29454079999999</v>
      </c>
      <c r="G1" t="s">
        <v>3181</v>
      </c>
      <c r="H1">
        <v>5625</v>
      </c>
      <c r="I1" t="s">
        <v>3182</v>
      </c>
    </row>
    <row r="2" spans="1:9" x14ac:dyDescent="0.25">
      <c r="A2" t="s">
        <v>3179</v>
      </c>
      <c r="B2" t="s">
        <v>3967</v>
      </c>
      <c r="C2" t="s">
        <v>3183</v>
      </c>
      <c r="D2">
        <v>37.47478358</v>
      </c>
      <c r="E2" t="s">
        <v>3180</v>
      </c>
      <c r="F2">
        <v>108.0644889</v>
      </c>
      <c r="G2" t="s">
        <v>3181</v>
      </c>
      <c r="H2">
        <v>16158</v>
      </c>
      <c r="I2" t="s">
        <v>3182</v>
      </c>
    </row>
    <row r="3" spans="1:9" x14ac:dyDescent="0.25">
      <c r="A3" t="s">
        <v>3179</v>
      </c>
      <c r="B3" t="s">
        <v>3843</v>
      </c>
      <c r="C3" t="s">
        <v>3183</v>
      </c>
      <c r="D3">
        <v>34.134517039999999</v>
      </c>
      <c r="E3" t="s">
        <v>3180</v>
      </c>
      <c r="F3">
        <v>109.2734911</v>
      </c>
      <c r="G3" t="s">
        <v>3181</v>
      </c>
      <c r="H3">
        <v>26340</v>
      </c>
      <c r="I3" t="s">
        <v>3182</v>
      </c>
    </row>
    <row r="4" spans="1:9" x14ac:dyDescent="0.25">
      <c r="A4" t="s">
        <v>3179</v>
      </c>
      <c r="B4" t="s">
        <v>3889</v>
      </c>
      <c r="C4" t="s">
        <v>3183</v>
      </c>
      <c r="D4">
        <v>37.163585990000001</v>
      </c>
      <c r="E4" t="s">
        <v>3180</v>
      </c>
      <c r="F4">
        <v>109.4421318</v>
      </c>
      <c r="G4" t="s">
        <v>3181</v>
      </c>
      <c r="H4">
        <v>11692</v>
      </c>
      <c r="I4" t="s">
        <v>3182</v>
      </c>
    </row>
    <row r="5" spans="1:9" x14ac:dyDescent="0.25">
      <c r="A5" t="s">
        <v>3179</v>
      </c>
      <c r="B5" t="s">
        <v>3890</v>
      </c>
      <c r="C5" t="s">
        <v>3183</v>
      </c>
      <c r="D5">
        <v>36.465923189999998</v>
      </c>
      <c r="E5" t="s">
        <v>3180</v>
      </c>
      <c r="F5">
        <v>110.0565539</v>
      </c>
      <c r="G5" t="s">
        <v>3181</v>
      </c>
      <c r="H5">
        <v>6899</v>
      </c>
      <c r="I5" t="s">
        <v>3182</v>
      </c>
    </row>
    <row r="6" spans="1:9" x14ac:dyDescent="0.25">
      <c r="A6" t="s">
        <v>3179</v>
      </c>
      <c r="B6" t="s">
        <v>3891</v>
      </c>
      <c r="C6" t="s">
        <v>3183</v>
      </c>
      <c r="D6">
        <v>36.552994300000002</v>
      </c>
      <c r="E6" t="s">
        <v>3180</v>
      </c>
      <c r="F6">
        <v>110.2976965</v>
      </c>
      <c r="G6" t="s">
        <v>3181</v>
      </c>
      <c r="H6">
        <v>3620</v>
      </c>
      <c r="I6" t="s">
        <v>3182</v>
      </c>
    </row>
    <row r="7" spans="1:9" x14ac:dyDescent="0.25">
      <c r="A7" t="s">
        <v>3179</v>
      </c>
      <c r="B7" t="s">
        <v>3307</v>
      </c>
      <c r="C7" t="s">
        <v>3183</v>
      </c>
      <c r="D7">
        <v>34.220663500000001</v>
      </c>
      <c r="E7" t="s">
        <v>3180</v>
      </c>
      <c r="F7">
        <v>107.6623278</v>
      </c>
      <c r="G7" t="s">
        <v>3181</v>
      </c>
      <c r="H7">
        <v>26364</v>
      </c>
      <c r="I7" t="s">
        <v>3182</v>
      </c>
    </row>
    <row r="8" spans="1:9" x14ac:dyDescent="0.25">
      <c r="A8" t="s">
        <v>3179</v>
      </c>
      <c r="B8" t="s">
        <v>3408</v>
      </c>
      <c r="C8" t="s">
        <v>3183</v>
      </c>
      <c r="D8">
        <v>32.859314150000003</v>
      </c>
      <c r="E8" t="s">
        <v>3180</v>
      </c>
      <c r="F8">
        <v>105.7849823</v>
      </c>
      <c r="G8" t="s">
        <v>3181</v>
      </c>
      <c r="H8">
        <v>8419</v>
      </c>
      <c r="I8" t="s">
        <v>3182</v>
      </c>
    </row>
    <row r="9" spans="1:9" x14ac:dyDescent="0.25">
      <c r="A9" t="s">
        <v>3179</v>
      </c>
      <c r="B9" t="s">
        <v>3654</v>
      </c>
      <c r="C9" t="s">
        <v>3183</v>
      </c>
      <c r="D9">
        <v>35.213200550000003</v>
      </c>
      <c r="E9" t="s">
        <v>3180</v>
      </c>
      <c r="F9">
        <v>109.8328369</v>
      </c>
      <c r="G9" t="s">
        <v>3181</v>
      </c>
      <c r="H9">
        <v>23406</v>
      </c>
      <c r="I9" t="s">
        <v>3182</v>
      </c>
    </row>
    <row r="10" spans="1:9" x14ac:dyDescent="0.25">
      <c r="A10" t="s">
        <v>3179</v>
      </c>
      <c r="B10" t="s">
        <v>3655</v>
      </c>
      <c r="C10" t="s">
        <v>3183</v>
      </c>
      <c r="D10">
        <v>34.865418630000001</v>
      </c>
      <c r="E10" t="s">
        <v>3180</v>
      </c>
      <c r="F10">
        <v>110.085686</v>
      </c>
      <c r="G10" t="s">
        <v>3181</v>
      </c>
      <c r="H10">
        <v>31169</v>
      </c>
      <c r="I10" t="s">
        <v>3182</v>
      </c>
    </row>
    <row r="11" spans="1:9" x14ac:dyDescent="0.25">
      <c r="A11" t="s">
        <v>3179</v>
      </c>
      <c r="B11" t="s">
        <v>3755</v>
      </c>
      <c r="C11" t="s">
        <v>3183</v>
      </c>
      <c r="D11">
        <v>34.684885530000003</v>
      </c>
      <c r="E11" t="s">
        <v>3180</v>
      </c>
      <c r="F11">
        <v>108.8282304</v>
      </c>
      <c r="G11" t="s">
        <v>3181</v>
      </c>
      <c r="H11">
        <v>36465</v>
      </c>
      <c r="I11" t="s">
        <v>3182</v>
      </c>
    </row>
    <row r="12" spans="1:9" x14ac:dyDescent="0.25">
      <c r="A12" t="s">
        <v>3179</v>
      </c>
      <c r="B12" t="s">
        <v>3968</v>
      </c>
      <c r="C12" t="s">
        <v>3183</v>
      </c>
      <c r="D12">
        <v>38.427</v>
      </c>
      <c r="E12" t="s">
        <v>3180</v>
      </c>
      <c r="F12">
        <v>110.2677</v>
      </c>
      <c r="G12" t="s">
        <v>3181</v>
      </c>
      <c r="H12">
        <v>4537</v>
      </c>
      <c r="I12" t="s">
        <v>3182</v>
      </c>
    </row>
    <row r="13" spans="1:9" x14ac:dyDescent="0.25">
      <c r="A13" t="s">
        <v>3179</v>
      </c>
      <c r="B13" t="s">
        <v>3635</v>
      </c>
      <c r="C13" t="s">
        <v>3183</v>
      </c>
      <c r="D13">
        <v>35.199540970000001</v>
      </c>
      <c r="E13" t="s">
        <v>3180</v>
      </c>
      <c r="F13">
        <v>109.2945708</v>
      </c>
      <c r="G13" t="s">
        <v>3181</v>
      </c>
      <c r="H13">
        <v>10375</v>
      </c>
      <c r="I13" t="s">
        <v>3182</v>
      </c>
    </row>
    <row r="14" spans="1:9" x14ac:dyDescent="0.25">
      <c r="A14" t="s">
        <v>3179</v>
      </c>
      <c r="B14" t="s">
        <v>3308</v>
      </c>
      <c r="C14" t="s">
        <v>3183</v>
      </c>
      <c r="D14">
        <v>34.703864209999999</v>
      </c>
      <c r="E14" t="s">
        <v>3180</v>
      </c>
      <c r="F14">
        <v>106.7910389</v>
      </c>
      <c r="G14" t="s">
        <v>3181</v>
      </c>
      <c r="H14">
        <v>8433</v>
      </c>
      <c r="I14" t="s">
        <v>3182</v>
      </c>
    </row>
    <row r="15" spans="1:9" x14ac:dyDescent="0.25">
      <c r="A15" t="s">
        <v>3179</v>
      </c>
      <c r="B15" t="s">
        <v>3184</v>
      </c>
      <c r="C15" t="s">
        <v>3183</v>
      </c>
      <c r="D15">
        <v>32.624182490000003</v>
      </c>
      <c r="E15" t="s">
        <v>3180</v>
      </c>
      <c r="F15">
        <v>109.30305269999999</v>
      </c>
      <c r="G15" t="s">
        <v>3181</v>
      </c>
      <c r="H15">
        <v>8437</v>
      </c>
      <c r="I15" t="s">
        <v>3182</v>
      </c>
    </row>
    <row r="16" spans="1:9" x14ac:dyDescent="0.25">
      <c r="A16" t="s">
        <v>3179</v>
      </c>
      <c r="B16" t="s">
        <v>3892</v>
      </c>
      <c r="C16" t="s">
        <v>3183</v>
      </c>
      <c r="D16">
        <v>36.702036839999998</v>
      </c>
      <c r="E16" t="s">
        <v>3180</v>
      </c>
      <c r="F16">
        <v>108.1590336</v>
      </c>
      <c r="G16" t="s">
        <v>3181</v>
      </c>
      <c r="H16">
        <v>12921</v>
      </c>
      <c r="I16" t="s">
        <v>3182</v>
      </c>
    </row>
    <row r="17" spans="1:9" x14ac:dyDescent="0.25">
      <c r="A17" t="s">
        <v>3179</v>
      </c>
      <c r="B17" t="s">
        <v>3969</v>
      </c>
      <c r="C17" t="s">
        <v>3183</v>
      </c>
      <c r="D17">
        <v>37.452360919999997</v>
      </c>
      <c r="E17" t="s">
        <v>3180</v>
      </c>
      <c r="F17">
        <v>110.3418897</v>
      </c>
      <c r="G17" t="s">
        <v>3181</v>
      </c>
      <c r="H17">
        <v>10086</v>
      </c>
      <c r="I17" t="s">
        <v>3182</v>
      </c>
    </row>
    <row r="18" spans="1:9" x14ac:dyDescent="0.25">
      <c r="A18" t="s">
        <v>3179</v>
      </c>
      <c r="B18" t="s">
        <v>3970</v>
      </c>
      <c r="C18" t="s">
        <v>3183</v>
      </c>
      <c r="D18">
        <v>38.116542430000003</v>
      </c>
      <c r="E18" t="s">
        <v>3180</v>
      </c>
      <c r="F18">
        <v>109.66506800000001</v>
      </c>
      <c r="G18" t="s">
        <v>3181</v>
      </c>
      <c r="H18">
        <v>22170</v>
      </c>
      <c r="I18" t="s">
        <v>3182</v>
      </c>
    </row>
    <row r="19" spans="1:9" x14ac:dyDescent="0.25">
      <c r="A19" t="s">
        <v>3179</v>
      </c>
      <c r="B19" t="s">
        <v>3656</v>
      </c>
      <c r="C19" t="s">
        <v>3183</v>
      </c>
      <c r="D19">
        <v>35.285951470000001</v>
      </c>
      <c r="E19" t="s">
        <v>3180</v>
      </c>
      <c r="F19">
        <v>110.33913130000001</v>
      </c>
      <c r="G19" t="s">
        <v>3181</v>
      </c>
      <c r="H19">
        <v>40398</v>
      </c>
      <c r="I19" t="s">
        <v>3182</v>
      </c>
    </row>
    <row r="20" spans="1:9" x14ac:dyDescent="0.25">
      <c r="A20" t="s">
        <v>3179</v>
      </c>
      <c r="B20" t="s">
        <v>3185</v>
      </c>
      <c r="C20" t="s">
        <v>3183</v>
      </c>
      <c r="D20">
        <v>32.953737740000001</v>
      </c>
      <c r="E20" t="s">
        <v>3180</v>
      </c>
      <c r="F20">
        <v>109.3106375</v>
      </c>
      <c r="G20" t="s">
        <v>3181</v>
      </c>
      <c r="H20">
        <v>14484</v>
      </c>
      <c r="I20" t="s">
        <v>3182</v>
      </c>
    </row>
    <row r="21" spans="1:9" x14ac:dyDescent="0.25">
      <c r="A21" t="s">
        <v>3179</v>
      </c>
      <c r="B21" t="s">
        <v>3409</v>
      </c>
      <c r="C21" t="s">
        <v>3183</v>
      </c>
      <c r="D21">
        <v>33.107757460000002</v>
      </c>
      <c r="E21" t="s">
        <v>3180</v>
      </c>
      <c r="F21">
        <v>107.8355217</v>
      </c>
      <c r="G21" t="s">
        <v>3181</v>
      </c>
      <c r="H21">
        <v>13488</v>
      </c>
      <c r="I21" t="s">
        <v>3182</v>
      </c>
    </row>
    <row r="22" spans="1:9" x14ac:dyDescent="0.25">
      <c r="A22" t="s">
        <v>3179</v>
      </c>
      <c r="B22" t="s">
        <v>3893</v>
      </c>
      <c r="C22" t="s">
        <v>3183</v>
      </c>
      <c r="D22">
        <v>35.566951330000002</v>
      </c>
      <c r="E22" t="s">
        <v>3180</v>
      </c>
      <c r="F22">
        <v>110.12142110000001</v>
      </c>
      <c r="G22" t="s">
        <v>3181</v>
      </c>
      <c r="H22">
        <v>4657</v>
      </c>
      <c r="I22" t="s">
        <v>3182</v>
      </c>
    </row>
    <row r="23" spans="1:9" x14ac:dyDescent="0.25">
      <c r="A23" t="s">
        <v>3179</v>
      </c>
      <c r="B23" t="s">
        <v>3410</v>
      </c>
      <c r="C23" t="s">
        <v>3183</v>
      </c>
      <c r="D23">
        <v>32.950333550000003</v>
      </c>
      <c r="E23" t="s">
        <v>3180</v>
      </c>
      <c r="F23">
        <v>107.96904910000001</v>
      </c>
      <c r="G23" t="s">
        <v>3181</v>
      </c>
      <c r="H23">
        <v>5963</v>
      </c>
      <c r="I23" t="s">
        <v>3182</v>
      </c>
    </row>
    <row r="24" spans="1:9" x14ac:dyDescent="0.25">
      <c r="A24" t="s">
        <v>3179</v>
      </c>
      <c r="B24" t="s">
        <v>3971</v>
      </c>
      <c r="C24" t="s">
        <v>3183</v>
      </c>
      <c r="D24">
        <v>37.73911889</v>
      </c>
      <c r="E24" t="s">
        <v>3180</v>
      </c>
      <c r="F24">
        <v>107.8181276</v>
      </c>
      <c r="G24" t="s">
        <v>3181</v>
      </c>
      <c r="H24">
        <v>17861</v>
      </c>
      <c r="I24" t="s">
        <v>3182</v>
      </c>
    </row>
    <row r="25" spans="1:9" x14ac:dyDescent="0.25">
      <c r="A25" t="s">
        <v>3179</v>
      </c>
      <c r="B25" t="s">
        <v>3411</v>
      </c>
      <c r="C25" t="s">
        <v>3183</v>
      </c>
      <c r="D25">
        <v>33.237651219999996</v>
      </c>
      <c r="E25" t="s">
        <v>3180</v>
      </c>
      <c r="F25">
        <v>106.05102770000001</v>
      </c>
      <c r="G25" t="s">
        <v>3181</v>
      </c>
      <c r="H25">
        <v>7144</v>
      </c>
      <c r="I25" t="s">
        <v>3182</v>
      </c>
    </row>
    <row r="26" spans="1:9" x14ac:dyDescent="0.25">
      <c r="A26" t="s">
        <v>3179</v>
      </c>
      <c r="B26" t="s">
        <v>3412</v>
      </c>
      <c r="C26" t="s">
        <v>3183</v>
      </c>
      <c r="D26">
        <v>33.566044169999998</v>
      </c>
      <c r="E26" t="s">
        <v>3180</v>
      </c>
      <c r="F26">
        <v>106.04034299999999</v>
      </c>
      <c r="G26" t="s">
        <v>3181</v>
      </c>
      <c r="H26">
        <v>10054</v>
      </c>
      <c r="I26" t="s">
        <v>3182</v>
      </c>
    </row>
    <row r="27" spans="1:9" x14ac:dyDescent="0.25">
      <c r="A27" t="s">
        <v>3179</v>
      </c>
      <c r="B27" t="s">
        <v>3972</v>
      </c>
      <c r="C27" t="s">
        <v>3183</v>
      </c>
      <c r="D27">
        <v>37.308884540000001</v>
      </c>
      <c r="E27" t="s">
        <v>3180</v>
      </c>
      <c r="F27">
        <v>107.5421427</v>
      </c>
      <c r="G27" t="s">
        <v>3181</v>
      </c>
      <c r="H27">
        <v>7825</v>
      </c>
      <c r="I27" t="s">
        <v>3182</v>
      </c>
    </row>
    <row r="28" spans="1:9" x14ac:dyDescent="0.25">
      <c r="A28" t="s">
        <v>3179</v>
      </c>
      <c r="B28" t="s">
        <v>3551</v>
      </c>
      <c r="C28" t="s">
        <v>3183</v>
      </c>
      <c r="D28">
        <v>33.781072500000001</v>
      </c>
      <c r="E28" t="s">
        <v>3180</v>
      </c>
      <c r="F28">
        <v>110.07623340000001</v>
      </c>
      <c r="G28" t="s">
        <v>3181</v>
      </c>
      <c r="H28">
        <v>18658</v>
      </c>
      <c r="I28" t="s">
        <v>3182</v>
      </c>
    </row>
    <row r="29" spans="1:9" x14ac:dyDescent="0.25">
      <c r="A29" t="s">
        <v>3179</v>
      </c>
      <c r="B29" t="s">
        <v>3552</v>
      </c>
      <c r="C29" t="s">
        <v>3183</v>
      </c>
      <c r="D29">
        <v>34.116295999999998</v>
      </c>
      <c r="E29" t="s">
        <v>3180</v>
      </c>
      <c r="F29">
        <v>110.29222660000001</v>
      </c>
      <c r="G29" t="s">
        <v>3181</v>
      </c>
      <c r="H29">
        <v>6560</v>
      </c>
      <c r="I29" t="s">
        <v>3182</v>
      </c>
    </row>
    <row r="30" spans="1:9" x14ac:dyDescent="0.25">
      <c r="A30" t="s">
        <v>3179</v>
      </c>
      <c r="B30" t="s">
        <v>3973</v>
      </c>
      <c r="C30" t="s">
        <v>3183</v>
      </c>
      <c r="D30">
        <v>38.277209380000002</v>
      </c>
      <c r="E30" t="s">
        <v>3180</v>
      </c>
      <c r="F30">
        <v>109.3060502</v>
      </c>
      <c r="G30" t="s">
        <v>3181</v>
      </c>
      <c r="H30">
        <v>7541</v>
      </c>
      <c r="I30" t="s">
        <v>3182</v>
      </c>
    </row>
    <row r="31" spans="1:9" x14ac:dyDescent="0.25">
      <c r="A31" t="s">
        <v>3179</v>
      </c>
      <c r="B31" t="s">
        <v>3413</v>
      </c>
      <c r="C31" t="s">
        <v>3183</v>
      </c>
      <c r="D31">
        <v>33.438383850000001</v>
      </c>
      <c r="E31" t="s">
        <v>3180</v>
      </c>
      <c r="F31">
        <v>107.5735602</v>
      </c>
      <c r="G31" t="s">
        <v>3181</v>
      </c>
      <c r="H31">
        <v>3134</v>
      </c>
      <c r="I31" t="s">
        <v>3182</v>
      </c>
    </row>
    <row r="32" spans="1:9" x14ac:dyDescent="0.25">
      <c r="A32" t="s">
        <v>3179</v>
      </c>
      <c r="B32" t="s">
        <v>3414</v>
      </c>
      <c r="C32" t="s">
        <v>3183</v>
      </c>
      <c r="D32">
        <v>32.548281350000003</v>
      </c>
      <c r="E32" t="s">
        <v>3180</v>
      </c>
      <c r="F32">
        <v>108.18402949999999</v>
      </c>
      <c r="G32" t="s">
        <v>3181</v>
      </c>
      <c r="H32">
        <v>15111</v>
      </c>
      <c r="I32" t="s">
        <v>3182</v>
      </c>
    </row>
    <row r="33" spans="1:9" x14ac:dyDescent="0.25">
      <c r="A33" t="s">
        <v>3179</v>
      </c>
      <c r="B33" t="s">
        <v>3844</v>
      </c>
      <c r="C33" t="s">
        <v>3183</v>
      </c>
      <c r="D33">
        <v>33.795310780000001</v>
      </c>
      <c r="E33" t="s">
        <v>3180</v>
      </c>
      <c r="F33">
        <v>108.0456676</v>
      </c>
      <c r="G33" t="s">
        <v>3181</v>
      </c>
      <c r="H33">
        <v>2264</v>
      </c>
      <c r="I33" t="s">
        <v>3182</v>
      </c>
    </row>
    <row r="34" spans="1:9" x14ac:dyDescent="0.25">
      <c r="A34" t="s">
        <v>3179</v>
      </c>
      <c r="B34" t="s">
        <v>5656</v>
      </c>
      <c r="C34" t="s">
        <v>3183</v>
      </c>
      <c r="D34">
        <v>33.96708658</v>
      </c>
      <c r="E34" t="s">
        <v>3180</v>
      </c>
      <c r="F34">
        <v>109.98849060000001</v>
      </c>
      <c r="G34" t="s">
        <v>3181</v>
      </c>
      <c r="H34">
        <v>11828</v>
      </c>
      <c r="I34" t="s">
        <v>3182</v>
      </c>
    </row>
    <row r="35" spans="1:9" x14ac:dyDescent="0.25">
      <c r="A35" t="s">
        <v>3179</v>
      </c>
      <c r="B35" t="s">
        <v>5657</v>
      </c>
      <c r="C35" t="s">
        <v>3183</v>
      </c>
      <c r="D35">
        <v>35.53135743</v>
      </c>
      <c r="E35" t="s">
        <v>3180</v>
      </c>
      <c r="F35">
        <v>110.3083743</v>
      </c>
      <c r="G35" t="s">
        <v>3181</v>
      </c>
      <c r="H35">
        <v>9971</v>
      </c>
      <c r="I35" t="s">
        <v>3182</v>
      </c>
    </row>
    <row r="36" spans="1:9" x14ac:dyDescent="0.25">
      <c r="A36" t="s">
        <v>3179</v>
      </c>
      <c r="B36" t="s">
        <v>3186</v>
      </c>
      <c r="C36" t="s">
        <v>3183</v>
      </c>
      <c r="D36">
        <v>32.284279529999999</v>
      </c>
      <c r="E36" t="s">
        <v>3180</v>
      </c>
      <c r="F36">
        <v>108.6357407</v>
      </c>
      <c r="G36" t="s">
        <v>3181</v>
      </c>
      <c r="H36">
        <v>7461</v>
      </c>
      <c r="I36" t="s">
        <v>3182</v>
      </c>
    </row>
    <row r="37" spans="1:9" x14ac:dyDescent="0.25">
      <c r="A37" t="s">
        <v>3179</v>
      </c>
      <c r="B37" t="s">
        <v>3553</v>
      </c>
      <c r="C37" t="s">
        <v>3183</v>
      </c>
      <c r="D37">
        <v>33.423933609999999</v>
      </c>
      <c r="E37" t="s">
        <v>3180</v>
      </c>
      <c r="F37">
        <v>109.8015748</v>
      </c>
      <c r="G37" t="s">
        <v>3181</v>
      </c>
      <c r="H37">
        <v>23458</v>
      </c>
      <c r="I37" t="s">
        <v>3182</v>
      </c>
    </row>
    <row r="38" spans="1:9" x14ac:dyDescent="0.25">
      <c r="A38" t="s">
        <v>3179</v>
      </c>
      <c r="B38" t="s">
        <v>3554</v>
      </c>
      <c r="C38" t="s">
        <v>3183</v>
      </c>
      <c r="D38">
        <v>34.178640139999999</v>
      </c>
      <c r="E38" t="s">
        <v>3180</v>
      </c>
      <c r="F38">
        <v>109.9740506</v>
      </c>
      <c r="G38" t="s">
        <v>3181</v>
      </c>
      <c r="H38">
        <v>23384</v>
      </c>
      <c r="I38" t="s">
        <v>3182</v>
      </c>
    </row>
    <row r="39" spans="1:9" x14ac:dyDescent="0.25">
      <c r="A39" t="s">
        <v>3179</v>
      </c>
      <c r="B39" t="s">
        <v>3415</v>
      </c>
      <c r="C39" t="s">
        <v>3183</v>
      </c>
      <c r="D39">
        <v>33.208858210000002</v>
      </c>
      <c r="E39" t="s">
        <v>3180</v>
      </c>
      <c r="F39">
        <v>106.93056439999999</v>
      </c>
      <c r="G39" t="s">
        <v>3181</v>
      </c>
      <c r="H39">
        <v>11897</v>
      </c>
      <c r="I39" t="s">
        <v>3182</v>
      </c>
    </row>
    <row r="40" spans="1:9" x14ac:dyDescent="0.25">
      <c r="A40" t="s">
        <v>3179</v>
      </c>
      <c r="B40" t="s">
        <v>3416</v>
      </c>
      <c r="C40" t="s">
        <v>3183</v>
      </c>
      <c r="D40">
        <v>33.198873300000002</v>
      </c>
      <c r="E40" t="s">
        <v>3180</v>
      </c>
      <c r="F40">
        <v>107.34379269999999</v>
      </c>
      <c r="G40" t="s">
        <v>3181</v>
      </c>
      <c r="H40">
        <v>13583</v>
      </c>
      <c r="I40" t="s">
        <v>3182</v>
      </c>
    </row>
    <row r="41" spans="1:9" x14ac:dyDescent="0.25">
      <c r="A41" t="s">
        <v>3179</v>
      </c>
      <c r="B41" t="s">
        <v>5658</v>
      </c>
      <c r="C41" t="s">
        <v>3183</v>
      </c>
      <c r="D41">
        <v>32.723878200000001</v>
      </c>
      <c r="E41" t="s">
        <v>3180</v>
      </c>
      <c r="F41">
        <v>106.2391586</v>
      </c>
      <c r="G41" t="s">
        <v>3181</v>
      </c>
      <c r="H41">
        <v>9804</v>
      </c>
      <c r="I41" t="s">
        <v>3182</v>
      </c>
    </row>
    <row r="42" spans="1:9" x14ac:dyDescent="0.25">
      <c r="A42" t="s">
        <v>3179</v>
      </c>
      <c r="B42" t="s">
        <v>5659</v>
      </c>
      <c r="C42" t="s">
        <v>3183</v>
      </c>
      <c r="D42">
        <v>32.309219970000001</v>
      </c>
      <c r="E42" t="s">
        <v>3180</v>
      </c>
      <c r="F42">
        <v>108.0887827</v>
      </c>
      <c r="G42" t="s">
        <v>3181</v>
      </c>
      <c r="H42">
        <v>10561</v>
      </c>
      <c r="I42" t="s">
        <v>3182</v>
      </c>
    </row>
    <row r="43" spans="1:9" x14ac:dyDescent="0.25">
      <c r="A43" t="s">
        <v>3179</v>
      </c>
      <c r="B43" t="s">
        <v>3187</v>
      </c>
      <c r="C43" t="s">
        <v>3183</v>
      </c>
      <c r="D43">
        <v>32.109794870000002</v>
      </c>
      <c r="E43" t="s">
        <v>3180</v>
      </c>
      <c r="F43">
        <v>109.2023173</v>
      </c>
      <c r="G43" t="s">
        <v>3181</v>
      </c>
      <c r="H43">
        <v>24654</v>
      </c>
      <c r="I43" t="s">
        <v>3182</v>
      </c>
    </row>
    <row r="44" spans="1:9" x14ac:dyDescent="0.25">
      <c r="A44" t="s">
        <v>3179</v>
      </c>
      <c r="B44" t="s">
        <v>3309</v>
      </c>
      <c r="C44" t="s">
        <v>3183</v>
      </c>
      <c r="D44">
        <v>34.272062210000001</v>
      </c>
      <c r="E44" t="s">
        <v>3180</v>
      </c>
      <c r="F44">
        <v>107.2843091</v>
      </c>
      <c r="G44" t="s">
        <v>3181</v>
      </c>
      <c r="H44">
        <v>26601</v>
      </c>
      <c r="I44" t="s">
        <v>3182</v>
      </c>
    </row>
    <row r="45" spans="1:9" x14ac:dyDescent="0.25">
      <c r="A45" t="s">
        <v>3179</v>
      </c>
      <c r="B45" t="s">
        <v>3845</v>
      </c>
      <c r="C45" t="s">
        <v>3183</v>
      </c>
      <c r="D45">
        <v>34.16645303</v>
      </c>
      <c r="E45" t="s">
        <v>3180</v>
      </c>
      <c r="F45">
        <v>109.6890523</v>
      </c>
      <c r="G45" t="s">
        <v>3181</v>
      </c>
      <c r="H45">
        <v>16227</v>
      </c>
      <c r="I45" t="s">
        <v>3182</v>
      </c>
    </row>
    <row r="46" spans="1:9" x14ac:dyDescent="0.25">
      <c r="A46" t="s">
        <v>3179</v>
      </c>
      <c r="B46" t="s">
        <v>3417</v>
      </c>
      <c r="C46" t="s">
        <v>3183</v>
      </c>
      <c r="D46">
        <v>32.63655138</v>
      </c>
      <c r="E46" t="s">
        <v>3180</v>
      </c>
      <c r="F46">
        <v>107.1794184</v>
      </c>
      <c r="G46" t="s">
        <v>3181</v>
      </c>
      <c r="H46">
        <v>11102</v>
      </c>
      <c r="I46" t="s">
        <v>3182</v>
      </c>
    </row>
    <row r="47" spans="1:9" x14ac:dyDescent="0.25">
      <c r="A47" t="s">
        <v>3179</v>
      </c>
      <c r="B47" t="s">
        <v>3756</v>
      </c>
      <c r="C47" t="s">
        <v>3183</v>
      </c>
      <c r="D47">
        <v>35.206111790000001</v>
      </c>
      <c r="E47" t="s">
        <v>3180</v>
      </c>
      <c r="F47">
        <v>108.0340204</v>
      </c>
      <c r="G47" t="s">
        <v>3181</v>
      </c>
      <c r="H47">
        <v>20648</v>
      </c>
      <c r="I47" t="s">
        <v>3182</v>
      </c>
    </row>
    <row r="48" spans="1:9" x14ac:dyDescent="0.25">
      <c r="A48" t="s">
        <v>3179</v>
      </c>
      <c r="B48" t="s">
        <v>3555</v>
      </c>
      <c r="C48" t="s">
        <v>3183</v>
      </c>
      <c r="D48">
        <v>33.918673120000001</v>
      </c>
      <c r="E48" t="s">
        <v>3180</v>
      </c>
      <c r="F48">
        <v>110.1691538</v>
      </c>
      <c r="G48" t="s">
        <v>3181</v>
      </c>
      <c r="H48">
        <v>14386</v>
      </c>
      <c r="I48" t="s">
        <v>3182</v>
      </c>
    </row>
    <row r="49" spans="1:9" x14ac:dyDescent="0.25">
      <c r="A49" t="s">
        <v>3179</v>
      </c>
      <c r="B49" t="s">
        <v>3657</v>
      </c>
      <c r="C49" t="s">
        <v>3183</v>
      </c>
      <c r="D49">
        <v>35.382657430000002</v>
      </c>
      <c r="E49" t="s">
        <v>3180</v>
      </c>
      <c r="F49">
        <v>109.56135449999999</v>
      </c>
      <c r="G49" t="s">
        <v>3181</v>
      </c>
      <c r="H49">
        <v>15130</v>
      </c>
      <c r="I49" t="s">
        <v>3182</v>
      </c>
    </row>
    <row r="50" spans="1:9" x14ac:dyDescent="0.25">
      <c r="A50" t="s">
        <v>3179</v>
      </c>
      <c r="B50" t="s">
        <v>3310</v>
      </c>
      <c r="C50" t="s">
        <v>3183</v>
      </c>
      <c r="D50">
        <v>34.444044480000002</v>
      </c>
      <c r="E50" t="s">
        <v>3180</v>
      </c>
      <c r="F50">
        <v>107.45940109999999</v>
      </c>
      <c r="G50" t="s">
        <v>3181</v>
      </c>
      <c r="H50">
        <v>31665</v>
      </c>
      <c r="I50" t="s">
        <v>3182</v>
      </c>
    </row>
    <row r="51" spans="1:9" x14ac:dyDescent="0.25">
      <c r="A51" t="s">
        <v>3179</v>
      </c>
      <c r="B51" t="s">
        <v>3974</v>
      </c>
      <c r="C51" t="s">
        <v>3183</v>
      </c>
      <c r="D51">
        <v>38.081540859999997</v>
      </c>
      <c r="E51" t="s">
        <v>3180</v>
      </c>
      <c r="F51">
        <v>109.4538122</v>
      </c>
      <c r="G51" t="s">
        <v>3181</v>
      </c>
      <c r="H51">
        <v>15539</v>
      </c>
      <c r="I51" t="s">
        <v>3182</v>
      </c>
    </row>
    <row r="52" spans="1:9" x14ac:dyDescent="0.25">
      <c r="A52" t="s">
        <v>3179</v>
      </c>
      <c r="B52" t="s">
        <v>3556</v>
      </c>
      <c r="C52" t="s">
        <v>3183</v>
      </c>
      <c r="D52">
        <v>33.858855349999999</v>
      </c>
      <c r="E52" t="s">
        <v>3180</v>
      </c>
      <c r="F52">
        <v>110.3283392</v>
      </c>
      <c r="G52" t="s">
        <v>3181</v>
      </c>
      <c r="H52">
        <v>8789</v>
      </c>
      <c r="I52" t="s">
        <v>3182</v>
      </c>
    </row>
    <row r="53" spans="1:9" x14ac:dyDescent="0.25">
      <c r="A53" t="s">
        <v>3179</v>
      </c>
      <c r="B53" t="s">
        <v>3311</v>
      </c>
      <c r="C53" t="s">
        <v>3183</v>
      </c>
      <c r="D53">
        <v>34.234659890000003</v>
      </c>
      <c r="E53" t="s">
        <v>3180</v>
      </c>
      <c r="F53">
        <v>107.6117711</v>
      </c>
      <c r="G53" t="s">
        <v>3181</v>
      </c>
      <c r="H53">
        <v>74031</v>
      </c>
      <c r="I53" t="s">
        <v>3182</v>
      </c>
    </row>
    <row r="54" spans="1:9" x14ac:dyDescent="0.25">
      <c r="A54" t="s">
        <v>3179</v>
      </c>
      <c r="B54" t="s">
        <v>3188</v>
      </c>
      <c r="C54" t="s">
        <v>3183</v>
      </c>
      <c r="D54">
        <v>32.814251550000002</v>
      </c>
      <c r="E54" t="s">
        <v>3180</v>
      </c>
      <c r="F54">
        <v>109.7211028</v>
      </c>
      <c r="G54" t="s">
        <v>3181</v>
      </c>
      <c r="H54">
        <v>13567</v>
      </c>
      <c r="I54" t="s">
        <v>3182</v>
      </c>
    </row>
    <row r="55" spans="1:9" x14ac:dyDescent="0.25">
      <c r="A55" t="s">
        <v>3179</v>
      </c>
      <c r="B55" t="s">
        <v>3312</v>
      </c>
      <c r="C55" t="s">
        <v>3183</v>
      </c>
      <c r="D55">
        <v>34.814915419999998</v>
      </c>
      <c r="E55" t="s">
        <v>3180</v>
      </c>
      <c r="F55">
        <v>107.0800112</v>
      </c>
      <c r="G55" t="s">
        <v>3181</v>
      </c>
      <c r="H55">
        <v>5938</v>
      </c>
      <c r="I55" t="s">
        <v>3182</v>
      </c>
    </row>
    <row r="56" spans="1:9" x14ac:dyDescent="0.25">
      <c r="A56" t="s">
        <v>3179</v>
      </c>
      <c r="B56" t="s">
        <v>3658</v>
      </c>
      <c r="C56" t="s">
        <v>3183</v>
      </c>
      <c r="D56">
        <v>34.936566859999999</v>
      </c>
      <c r="E56" t="s">
        <v>3180</v>
      </c>
      <c r="F56">
        <v>109.16946710000001</v>
      </c>
      <c r="G56" t="s">
        <v>3181</v>
      </c>
      <c r="H56">
        <v>30457</v>
      </c>
      <c r="I56" t="s">
        <v>3182</v>
      </c>
    </row>
    <row r="57" spans="1:9" x14ac:dyDescent="0.25">
      <c r="A57" t="s">
        <v>3179</v>
      </c>
      <c r="B57" t="s">
        <v>3314</v>
      </c>
      <c r="C57" t="s">
        <v>3183</v>
      </c>
      <c r="D57">
        <v>34.244558499999997</v>
      </c>
      <c r="E57" t="s">
        <v>3180</v>
      </c>
      <c r="F57">
        <v>107.6045639</v>
      </c>
      <c r="G57" t="s">
        <v>3181</v>
      </c>
      <c r="H57">
        <v>19919</v>
      </c>
      <c r="I57" t="s">
        <v>3182</v>
      </c>
    </row>
    <row r="58" spans="1:9" x14ac:dyDescent="0.25">
      <c r="A58" t="s">
        <v>3179</v>
      </c>
      <c r="B58" t="s">
        <v>3313</v>
      </c>
      <c r="C58" t="s">
        <v>3183</v>
      </c>
      <c r="D58">
        <v>34.860391180000001</v>
      </c>
      <c r="E58" t="s">
        <v>3180</v>
      </c>
      <c r="F58">
        <v>106.64405859999999</v>
      </c>
      <c r="G58" t="s">
        <v>3181</v>
      </c>
      <c r="H58">
        <v>15835</v>
      </c>
      <c r="I58" t="s">
        <v>3182</v>
      </c>
    </row>
    <row r="59" spans="1:9" x14ac:dyDescent="0.25">
      <c r="A59" t="s">
        <v>3179</v>
      </c>
      <c r="B59" t="s">
        <v>3557</v>
      </c>
      <c r="C59" t="s">
        <v>3183</v>
      </c>
      <c r="D59">
        <v>33.786210879999999</v>
      </c>
      <c r="E59" t="s">
        <v>3180</v>
      </c>
      <c r="F59">
        <v>109.42385609999999</v>
      </c>
      <c r="G59" t="s">
        <v>3181</v>
      </c>
      <c r="H59">
        <v>11819</v>
      </c>
      <c r="I59" t="s">
        <v>3182</v>
      </c>
    </row>
    <row r="60" spans="1:9" x14ac:dyDescent="0.25">
      <c r="A60" t="s">
        <v>3179</v>
      </c>
      <c r="B60" t="s">
        <v>3423</v>
      </c>
      <c r="C60" t="s">
        <v>3183</v>
      </c>
      <c r="D60">
        <v>32.983508919999998</v>
      </c>
      <c r="E60" t="s">
        <v>3180</v>
      </c>
      <c r="F60">
        <v>108.06745600000001</v>
      </c>
      <c r="G60" t="s">
        <v>3181</v>
      </c>
      <c r="H60">
        <v>9639</v>
      </c>
      <c r="I60" t="s">
        <v>3182</v>
      </c>
    </row>
    <row r="61" spans="1:9" x14ac:dyDescent="0.25">
      <c r="A61" t="s">
        <v>3179</v>
      </c>
      <c r="B61" t="s">
        <v>3418</v>
      </c>
      <c r="C61" t="s">
        <v>3183</v>
      </c>
      <c r="D61">
        <v>33.260759360000002</v>
      </c>
      <c r="E61" t="s">
        <v>3180</v>
      </c>
      <c r="F61">
        <v>106.5248704</v>
      </c>
      <c r="G61" t="s">
        <v>3181</v>
      </c>
      <c r="H61">
        <v>9426</v>
      </c>
      <c r="I61" t="s">
        <v>3182</v>
      </c>
    </row>
    <row r="62" spans="1:9" x14ac:dyDescent="0.25">
      <c r="A62" t="s">
        <v>3179</v>
      </c>
      <c r="B62" t="s">
        <v>3558</v>
      </c>
      <c r="C62" t="s">
        <v>3183</v>
      </c>
      <c r="D62">
        <v>33.329778920000003</v>
      </c>
      <c r="E62" t="s">
        <v>3180</v>
      </c>
      <c r="F62">
        <v>108.90187419999999</v>
      </c>
      <c r="G62" t="s">
        <v>3181</v>
      </c>
      <c r="H62">
        <v>21261</v>
      </c>
      <c r="I62" t="s">
        <v>3182</v>
      </c>
    </row>
    <row r="63" spans="1:9" x14ac:dyDescent="0.25">
      <c r="A63" t="s">
        <v>3179</v>
      </c>
      <c r="B63" t="s">
        <v>3189</v>
      </c>
      <c r="C63" t="s">
        <v>3183</v>
      </c>
      <c r="D63">
        <v>32.368941710000001</v>
      </c>
      <c r="E63" t="s">
        <v>3180</v>
      </c>
      <c r="F63">
        <v>109.4697381</v>
      </c>
      <c r="G63" t="s">
        <v>3181</v>
      </c>
      <c r="H63">
        <v>17406</v>
      </c>
      <c r="I63" t="s">
        <v>3182</v>
      </c>
    </row>
    <row r="64" spans="1:9" x14ac:dyDescent="0.25">
      <c r="A64" t="s">
        <v>3179</v>
      </c>
      <c r="B64" t="s">
        <v>3894</v>
      </c>
      <c r="C64" t="s">
        <v>3183</v>
      </c>
      <c r="D64">
        <v>37.295504739999998</v>
      </c>
      <c r="E64" t="s">
        <v>3180</v>
      </c>
      <c r="F64">
        <v>108.40047559999999</v>
      </c>
      <c r="G64" t="s">
        <v>3181</v>
      </c>
      <c r="H64">
        <v>5449</v>
      </c>
      <c r="I64" t="s">
        <v>3182</v>
      </c>
    </row>
    <row r="65" spans="1:9" x14ac:dyDescent="0.25">
      <c r="A65" t="s">
        <v>3179</v>
      </c>
      <c r="B65" t="s">
        <v>3315</v>
      </c>
      <c r="C65" t="s">
        <v>3183</v>
      </c>
      <c r="D65">
        <v>34.688009549999997</v>
      </c>
      <c r="E65" t="s">
        <v>3180</v>
      </c>
      <c r="F65">
        <v>107.9564369</v>
      </c>
      <c r="G65" t="s">
        <v>3181</v>
      </c>
      <c r="H65">
        <v>8288</v>
      </c>
      <c r="I65" t="s">
        <v>3182</v>
      </c>
    </row>
    <row r="66" spans="1:9" x14ac:dyDescent="0.25">
      <c r="A66" t="s">
        <v>3179</v>
      </c>
      <c r="B66" t="s">
        <v>3419</v>
      </c>
      <c r="C66" t="s">
        <v>3183</v>
      </c>
      <c r="D66">
        <v>33.36376207</v>
      </c>
      <c r="E66" t="s">
        <v>3180</v>
      </c>
      <c r="F66">
        <v>106.6817479</v>
      </c>
      <c r="G66" t="s">
        <v>3181</v>
      </c>
      <c r="H66">
        <v>4985</v>
      </c>
      <c r="I66" t="s">
        <v>3182</v>
      </c>
    </row>
    <row r="67" spans="1:9" x14ac:dyDescent="0.25">
      <c r="A67" t="s">
        <v>3179</v>
      </c>
      <c r="B67" t="s">
        <v>3895</v>
      </c>
      <c r="C67" t="s">
        <v>3183</v>
      </c>
      <c r="D67">
        <v>36.765624539999997</v>
      </c>
      <c r="E67" t="s">
        <v>3180</v>
      </c>
      <c r="F67">
        <v>108.0077454</v>
      </c>
      <c r="G67" t="s">
        <v>3181</v>
      </c>
      <c r="H67">
        <v>4614</v>
      </c>
      <c r="I67" t="s">
        <v>3182</v>
      </c>
    </row>
    <row r="68" spans="1:9" x14ac:dyDescent="0.25">
      <c r="A68" t="s">
        <v>3179</v>
      </c>
      <c r="B68" t="s">
        <v>3420</v>
      </c>
      <c r="C68" t="s">
        <v>3183</v>
      </c>
      <c r="D68">
        <v>33.644696260000003</v>
      </c>
      <c r="E68" t="s">
        <v>3180</v>
      </c>
      <c r="F68">
        <v>107.96304139999999</v>
      </c>
      <c r="G68" t="s">
        <v>3181</v>
      </c>
      <c r="H68">
        <v>2626</v>
      </c>
      <c r="I68" t="s">
        <v>3182</v>
      </c>
    </row>
    <row r="69" spans="1:9" x14ac:dyDescent="0.25">
      <c r="A69" t="s">
        <v>3179</v>
      </c>
      <c r="B69" t="s">
        <v>3421</v>
      </c>
      <c r="C69" t="s">
        <v>3183</v>
      </c>
      <c r="D69">
        <v>32.438694669999997</v>
      </c>
      <c r="E69" t="s">
        <v>3180</v>
      </c>
      <c r="F69">
        <v>107.84597460000001</v>
      </c>
      <c r="G69" t="s">
        <v>3181</v>
      </c>
      <c r="H69">
        <v>13202</v>
      </c>
      <c r="I69" t="s">
        <v>3182</v>
      </c>
    </row>
    <row r="70" spans="1:9" x14ac:dyDescent="0.25">
      <c r="A70" t="s">
        <v>3179</v>
      </c>
      <c r="B70" t="s">
        <v>3757</v>
      </c>
      <c r="C70" t="s">
        <v>3183</v>
      </c>
      <c r="D70">
        <v>34.316538090000002</v>
      </c>
      <c r="E70" t="s">
        <v>3180</v>
      </c>
      <c r="F70">
        <v>108.2799816</v>
      </c>
      <c r="G70" t="s">
        <v>3181</v>
      </c>
      <c r="H70">
        <v>57945</v>
      </c>
      <c r="I70" t="s">
        <v>3182</v>
      </c>
    </row>
    <row r="71" spans="1:9" x14ac:dyDescent="0.25">
      <c r="A71" t="s">
        <v>3179</v>
      </c>
      <c r="B71" t="s">
        <v>3757</v>
      </c>
      <c r="C71" t="s">
        <v>3183</v>
      </c>
      <c r="D71">
        <v>34.834389620000003</v>
      </c>
      <c r="E71" t="s">
        <v>3180</v>
      </c>
      <c r="F71">
        <v>108.2457239</v>
      </c>
      <c r="G71" t="s">
        <v>3181</v>
      </c>
      <c r="H71">
        <v>27814</v>
      </c>
      <c r="I71" t="s">
        <v>3182</v>
      </c>
    </row>
    <row r="72" spans="1:9" x14ac:dyDescent="0.25">
      <c r="A72" t="s">
        <v>3179</v>
      </c>
      <c r="B72" t="s">
        <v>3316</v>
      </c>
      <c r="C72" t="s">
        <v>3183</v>
      </c>
      <c r="D72">
        <v>34.5063265</v>
      </c>
      <c r="E72" t="s">
        <v>3180</v>
      </c>
      <c r="F72">
        <v>107.2237974</v>
      </c>
      <c r="G72" t="s">
        <v>3181</v>
      </c>
      <c r="H72">
        <v>24462</v>
      </c>
      <c r="I72" t="s">
        <v>3182</v>
      </c>
    </row>
    <row r="73" spans="1:9" x14ac:dyDescent="0.25">
      <c r="A73" t="s">
        <v>3179</v>
      </c>
      <c r="B73" t="s">
        <v>3317</v>
      </c>
      <c r="C73" t="s">
        <v>3183</v>
      </c>
      <c r="D73">
        <v>34.283902159999997</v>
      </c>
      <c r="E73" t="s">
        <v>3180</v>
      </c>
      <c r="F73">
        <v>107.7832872</v>
      </c>
      <c r="G73" t="s">
        <v>3181</v>
      </c>
      <c r="H73">
        <v>46853</v>
      </c>
      <c r="I73" t="s">
        <v>3182</v>
      </c>
    </row>
    <row r="74" spans="1:9" x14ac:dyDescent="0.25">
      <c r="A74" t="s">
        <v>3179</v>
      </c>
      <c r="B74" t="s">
        <v>3422</v>
      </c>
      <c r="C74" t="s">
        <v>3183</v>
      </c>
      <c r="D74">
        <v>32.730207049999997</v>
      </c>
      <c r="E74" t="s">
        <v>3180</v>
      </c>
      <c r="F74">
        <v>106.4510609</v>
      </c>
      <c r="G74" t="s">
        <v>3181</v>
      </c>
      <c r="H74">
        <v>5713</v>
      </c>
      <c r="I74" t="s">
        <v>3182</v>
      </c>
    </row>
    <row r="75" spans="1:9" x14ac:dyDescent="0.25">
      <c r="A75" t="s">
        <v>3179</v>
      </c>
      <c r="B75" t="s">
        <v>3659</v>
      </c>
      <c r="C75" t="s">
        <v>3183</v>
      </c>
      <c r="D75">
        <v>34.781948499999999</v>
      </c>
      <c r="E75" t="s">
        <v>3180</v>
      </c>
      <c r="F75">
        <v>110.0691793</v>
      </c>
      <c r="G75" t="s">
        <v>3181</v>
      </c>
      <c r="H75">
        <v>21311</v>
      </c>
      <c r="I75" t="s">
        <v>3182</v>
      </c>
    </row>
    <row r="76" spans="1:9" x14ac:dyDescent="0.25">
      <c r="A76" t="s">
        <v>3179</v>
      </c>
      <c r="B76" t="s">
        <v>3975</v>
      </c>
      <c r="C76" t="s">
        <v>3183</v>
      </c>
      <c r="D76">
        <v>37.66949752</v>
      </c>
      <c r="E76" t="s">
        <v>3180</v>
      </c>
      <c r="F76">
        <v>110.7108934</v>
      </c>
      <c r="G76" t="s">
        <v>3181</v>
      </c>
      <c r="H76">
        <v>8113</v>
      </c>
      <c r="I76" t="s">
        <v>3182</v>
      </c>
    </row>
    <row r="77" spans="1:9" x14ac:dyDescent="0.25">
      <c r="A77" t="s">
        <v>3179</v>
      </c>
      <c r="B77" t="s">
        <v>3318</v>
      </c>
      <c r="C77" t="s">
        <v>3183</v>
      </c>
      <c r="D77">
        <v>34.369607590000001</v>
      </c>
      <c r="E77" t="s">
        <v>3180</v>
      </c>
      <c r="F77">
        <v>107.1911963</v>
      </c>
      <c r="G77" t="s">
        <v>3181</v>
      </c>
      <c r="H77">
        <v>49100</v>
      </c>
      <c r="I77" t="s">
        <v>3182</v>
      </c>
    </row>
    <row r="78" spans="1:9" x14ac:dyDescent="0.25">
      <c r="A78" t="s">
        <v>3179</v>
      </c>
      <c r="B78" t="s">
        <v>3319</v>
      </c>
      <c r="C78" t="s">
        <v>3183</v>
      </c>
      <c r="D78">
        <v>34.47568253</v>
      </c>
      <c r="E78" t="s">
        <v>3180</v>
      </c>
      <c r="F78">
        <v>107.2879489</v>
      </c>
      <c r="G78" t="s">
        <v>3181</v>
      </c>
      <c r="H78">
        <v>24328</v>
      </c>
      <c r="I78" t="s">
        <v>3182</v>
      </c>
    </row>
    <row r="79" spans="1:9" x14ac:dyDescent="0.25">
      <c r="A79" t="s">
        <v>3179</v>
      </c>
      <c r="B79" t="s">
        <v>3559</v>
      </c>
      <c r="C79" t="s">
        <v>3183</v>
      </c>
      <c r="D79">
        <v>34.317500000000003</v>
      </c>
      <c r="E79" t="s">
        <v>3180</v>
      </c>
      <c r="F79">
        <v>110.4062</v>
      </c>
      <c r="G79" t="s">
        <v>3181</v>
      </c>
      <c r="H79">
        <v>4700</v>
      </c>
      <c r="I79" t="s">
        <v>3182</v>
      </c>
    </row>
    <row r="80" spans="1:9" x14ac:dyDescent="0.25">
      <c r="A80" t="s">
        <v>3179</v>
      </c>
      <c r="B80" t="s">
        <v>5660</v>
      </c>
      <c r="C80" t="s">
        <v>3183</v>
      </c>
      <c r="D80">
        <v>32.86913088</v>
      </c>
      <c r="E80" t="s">
        <v>3180</v>
      </c>
      <c r="F80">
        <v>108.4941443</v>
      </c>
      <c r="G80" t="s">
        <v>3181</v>
      </c>
      <c r="H80">
        <v>66926</v>
      </c>
      <c r="I80" t="s">
        <v>3182</v>
      </c>
    </row>
    <row r="81" spans="1:9" x14ac:dyDescent="0.25">
      <c r="A81" t="s">
        <v>3179</v>
      </c>
      <c r="B81" t="s">
        <v>5661</v>
      </c>
      <c r="C81" t="s">
        <v>3183</v>
      </c>
      <c r="D81">
        <v>33.068065939999997</v>
      </c>
      <c r="E81" t="s">
        <v>3180</v>
      </c>
      <c r="F81">
        <v>108.236222</v>
      </c>
      <c r="G81" t="s">
        <v>3181</v>
      </c>
      <c r="H81">
        <v>53422</v>
      </c>
      <c r="I81" t="s">
        <v>3182</v>
      </c>
    </row>
    <row r="82" spans="1:9" x14ac:dyDescent="0.25">
      <c r="A82" t="s">
        <v>3179</v>
      </c>
      <c r="B82" t="s">
        <v>5662</v>
      </c>
      <c r="C82" t="s">
        <v>3183</v>
      </c>
      <c r="D82">
        <v>33.396769169999999</v>
      </c>
      <c r="E82" t="s">
        <v>3180</v>
      </c>
      <c r="F82">
        <v>108.4046677</v>
      </c>
      <c r="G82" t="s">
        <v>3181</v>
      </c>
      <c r="H82">
        <v>20515</v>
      </c>
      <c r="I82" t="s">
        <v>3182</v>
      </c>
    </row>
    <row r="83" spans="1:9" x14ac:dyDescent="0.25">
      <c r="A83" t="s">
        <v>3179</v>
      </c>
      <c r="B83" t="s">
        <v>5663</v>
      </c>
      <c r="C83" t="s">
        <v>3183</v>
      </c>
      <c r="D83">
        <v>32.53620703</v>
      </c>
      <c r="E83" t="s">
        <v>3180</v>
      </c>
      <c r="F83">
        <v>108.5196534</v>
      </c>
      <c r="G83" t="s">
        <v>3181</v>
      </c>
      <c r="H83">
        <v>35496</v>
      </c>
      <c r="I83" t="s">
        <v>3182</v>
      </c>
    </row>
    <row r="84" spans="1:9" x14ac:dyDescent="0.25">
      <c r="A84" t="s">
        <v>3179</v>
      </c>
      <c r="B84" t="s">
        <v>5664</v>
      </c>
      <c r="C84" t="s">
        <v>3183</v>
      </c>
      <c r="D84">
        <v>32.341567099999999</v>
      </c>
      <c r="E84" t="s">
        <v>3180</v>
      </c>
      <c r="F84">
        <v>108.883712</v>
      </c>
      <c r="G84" t="s">
        <v>3181</v>
      </c>
      <c r="H84">
        <v>35348</v>
      </c>
      <c r="I84" t="s">
        <v>3182</v>
      </c>
    </row>
    <row r="85" spans="1:9" x14ac:dyDescent="0.25">
      <c r="A85" t="s">
        <v>3179</v>
      </c>
      <c r="B85" t="s">
        <v>5665</v>
      </c>
      <c r="C85" t="s">
        <v>3183</v>
      </c>
      <c r="D85">
        <v>32.401929559999999</v>
      </c>
      <c r="E85" t="s">
        <v>3180</v>
      </c>
      <c r="F85">
        <v>109.308843</v>
      </c>
      <c r="G85" t="s">
        <v>3181</v>
      </c>
      <c r="H85">
        <v>45493</v>
      </c>
      <c r="I85" t="s">
        <v>3182</v>
      </c>
    </row>
    <row r="86" spans="1:9" x14ac:dyDescent="0.25">
      <c r="A86" t="s">
        <v>3179</v>
      </c>
      <c r="B86" t="s">
        <v>5666</v>
      </c>
      <c r="C86" t="s">
        <v>3183</v>
      </c>
      <c r="D86">
        <v>31.942984509999999</v>
      </c>
      <c r="E86" t="s">
        <v>3180</v>
      </c>
      <c r="F86">
        <v>109.5392842</v>
      </c>
      <c r="G86" t="s">
        <v>3181</v>
      </c>
      <c r="H86">
        <v>12932</v>
      </c>
      <c r="I86" t="s">
        <v>3182</v>
      </c>
    </row>
    <row r="87" spans="1:9" x14ac:dyDescent="0.25">
      <c r="A87" t="s">
        <v>3179</v>
      </c>
      <c r="B87" t="s">
        <v>5667</v>
      </c>
      <c r="C87" t="s">
        <v>3183</v>
      </c>
      <c r="D87">
        <v>32.852114370000002</v>
      </c>
      <c r="E87" t="s">
        <v>3180</v>
      </c>
      <c r="F87">
        <v>109.3839273</v>
      </c>
      <c r="G87" t="s">
        <v>3181</v>
      </c>
      <c r="H87">
        <v>67929</v>
      </c>
      <c r="I87" t="s">
        <v>3182</v>
      </c>
    </row>
    <row r="88" spans="1:9" x14ac:dyDescent="0.25">
      <c r="A88" t="s">
        <v>3179</v>
      </c>
      <c r="B88" t="s">
        <v>5668</v>
      </c>
      <c r="C88" t="s">
        <v>3183</v>
      </c>
      <c r="D88">
        <v>32.810852840000003</v>
      </c>
      <c r="E88" t="s">
        <v>3180</v>
      </c>
      <c r="F88">
        <v>110.06263490000001</v>
      </c>
      <c r="G88" t="s">
        <v>3181</v>
      </c>
      <c r="H88">
        <v>32379</v>
      </c>
      <c r="I88" t="s">
        <v>3182</v>
      </c>
    </row>
    <row r="89" spans="1:9" x14ac:dyDescent="0.25">
      <c r="A89" t="s">
        <v>3179</v>
      </c>
      <c r="B89" t="s">
        <v>5669</v>
      </c>
      <c r="C89" t="s">
        <v>3183</v>
      </c>
      <c r="D89">
        <v>34.518826199999999</v>
      </c>
      <c r="E89" t="s">
        <v>3180</v>
      </c>
      <c r="F89">
        <v>107.3933742</v>
      </c>
      <c r="G89" t="s">
        <v>3181</v>
      </c>
      <c r="H89">
        <v>100336</v>
      </c>
      <c r="I89" t="s">
        <v>3182</v>
      </c>
    </row>
    <row r="90" spans="1:9" x14ac:dyDescent="0.25">
      <c r="A90" t="s">
        <v>3179</v>
      </c>
      <c r="B90" t="s">
        <v>5670</v>
      </c>
      <c r="C90" t="s">
        <v>3183</v>
      </c>
      <c r="D90">
        <v>34.897432430000002</v>
      </c>
      <c r="E90" t="s">
        <v>3180</v>
      </c>
      <c r="F90">
        <v>106.8552917</v>
      </c>
      <c r="G90" t="s">
        <v>3181</v>
      </c>
      <c r="H90">
        <v>65967</v>
      </c>
      <c r="I90" t="s">
        <v>3182</v>
      </c>
    </row>
    <row r="91" spans="1:9" x14ac:dyDescent="0.25">
      <c r="A91" t="s">
        <v>3179</v>
      </c>
      <c r="B91" t="s">
        <v>5671</v>
      </c>
      <c r="C91" t="s">
        <v>3183</v>
      </c>
      <c r="D91">
        <v>34.624796770000003</v>
      </c>
      <c r="E91" t="s">
        <v>3180</v>
      </c>
      <c r="F91">
        <v>107.125162</v>
      </c>
      <c r="G91" t="s">
        <v>3181</v>
      </c>
      <c r="H91">
        <v>35511</v>
      </c>
      <c r="I91" t="s">
        <v>3182</v>
      </c>
    </row>
    <row r="92" spans="1:9" x14ac:dyDescent="0.25">
      <c r="A92" t="s">
        <v>3179</v>
      </c>
      <c r="B92" t="s">
        <v>3190</v>
      </c>
      <c r="C92" t="s">
        <v>3183</v>
      </c>
      <c r="D92">
        <v>34.925986190000003</v>
      </c>
      <c r="E92" t="s">
        <v>3180</v>
      </c>
      <c r="F92">
        <v>109.587075</v>
      </c>
      <c r="G92" t="s">
        <v>3181</v>
      </c>
      <c r="H92">
        <v>97436</v>
      </c>
      <c r="I92" t="s">
        <v>3182</v>
      </c>
    </row>
    <row r="93" spans="1:9" x14ac:dyDescent="0.25">
      <c r="A93" t="s">
        <v>3179</v>
      </c>
      <c r="B93" t="s">
        <v>3976</v>
      </c>
      <c r="C93" t="s">
        <v>3183</v>
      </c>
      <c r="D93">
        <v>37.70489895</v>
      </c>
      <c r="E93" t="s">
        <v>3180</v>
      </c>
      <c r="F93">
        <v>110.2094285</v>
      </c>
      <c r="G93" t="s">
        <v>3181</v>
      </c>
      <c r="H93">
        <v>11248</v>
      </c>
      <c r="I93" t="s">
        <v>3182</v>
      </c>
    </row>
    <row r="94" spans="1:9" x14ac:dyDescent="0.25">
      <c r="A94" t="s">
        <v>3179</v>
      </c>
      <c r="B94" t="s">
        <v>3846</v>
      </c>
      <c r="C94" t="s">
        <v>3183</v>
      </c>
      <c r="D94">
        <v>33.95708767</v>
      </c>
      <c r="E94" t="s">
        <v>3180</v>
      </c>
      <c r="F94">
        <v>108.1068882</v>
      </c>
      <c r="G94" t="s">
        <v>3181</v>
      </c>
      <c r="H94">
        <v>3332</v>
      </c>
      <c r="I94" t="s">
        <v>3182</v>
      </c>
    </row>
    <row r="95" spans="1:9" x14ac:dyDescent="0.25">
      <c r="A95" t="s">
        <v>3179</v>
      </c>
      <c r="B95" t="s">
        <v>3424</v>
      </c>
      <c r="C95" t="s">
        <v>3183</v>
      </c>
      <c r="D95">
        <v>33.460458109999998</v>
      </c>
      <c r="E95" t="s">
        <v>3180</v>
      </c>
      <c r="F95">
        <v>108.089152</v>
      </c>
      <c r="G95" t="s">
        <v>3181</v>
      </c>
      <c r="H95">
        <v>3365</v>
      </c>
      <c r="I95" t="s">
        <v>3182</v>
      </c>
    </row>
    <row r="96" spans="1:9" x14ac:dyDescent="0.25">
      <c r="A96" t="s">
        <v>3179</v>
      </c>
      <c r="B96" t="s">
        <v>3636</v>
      </c>
      <c r="C96" t="s">
        <v>3183</v>
      </c>
      <c r="D96">
        <v>35.037051509999998</v>
      </c>
      <c r="E96" t="s">
        <v>3180</v>
      </c>
      <c r="F96">
        <v>109.1687264</v>
      </c>
      <c r="G96" t="s">
        <v>3181</v>
      </c>
      <c r="H96">
        <v>15642</v>
      </c>
      <c r="I96" t="s">
        <v>3182</v>
      </c>
    </row>
    <row r="97" spans="1:9" x14ac:dyDescent="0.25">
      <c r="A97" t="s">
        <v>3179</v>
      </c>
      <c r="B97" t="s">
        <v>3660</v>
      </c>
      <c r="C97" t="s">
        <v>3183</v>
      </c>
      <c r="D97">
        <v>34.871880330000003</v>
      </c>
      <c r="E97" t="s">
        <v>3180</v>
      </c>
      <c r="F97">
        <v>109.5870929</v>
      </c>
      <c r="G97" t="s">
        <v>3181</v>
      </c>
      <c r="H97">
        <v>24817</v>
      </c>
      <c r="I97" t="s">
        <v>3182</v>
      </c>
    </row>
    <row r="98" spans="1:9" x14ac:dyDescent="0.25">
      <c r="A98" t="s">
        <v>3179</v>
      </c>
      <c r="B98" t="s">
        <v>3758</v>
      </c>
      <c r="C98" t="s">
        <v>3183</v>
      </c>
      <c r="D98">
        <v>34.776224380000002</v>
      </c>
      <c r="E98" t="s">
        <v>3180</v>
      </c>
      <c r="F98">
        <v>108.5597221</v>
      </c>
      <c r="G98" t="s">
        <v>3181</v>
      </c>
      <c r="H98">
        <v>7537</v>
      </c>
      <c r="I98" t="s">
        <v>3182</v>
      </c>
    </row>
    <row r="99" spans="1:9" x14ac:dyDescent="0.25">
      <c r="A99" t="s">
        <v>3179</v>
      </c>
      <c r="B99" t="s">
        <v>3759</v>
      </c>
      <c r="C99" t="s">
        <v>3183</v>
      </c>
      <c r="D99">
        <v>34.715444769999998</v>
      </c>
      <c r="E99" t="s">
        <v>3180</v>
      </c>
      <c r="F99">
        <v>108.4562485</v>
      </c>
      <c r="G99" t="s">
        <v>3181</v>
      </c>
      <c r="H99">
        <v>28574</v>
      </c>
      <c r="I99" t="s">
        <v>3182</v>
      </c>
    </row>
    <row r="100" spans="1:9" x14ac:dyDescent="0.25">
      <c r="A100" t="s">
        <v>3179</v>
      </c>
      <c r="B100" t="s">
        <v>3191</v>
      </c>
      <c r="C100" t="s">
        <v>3183</v>
      </c>
      <c r="D100">
        <v>32.94706643</v>
      </c>
      <c r="E100" t="s">
        <v>3180</v>
      </c>
      <c r="F100">
        <v>108.32152360000001</v>
      </c>
      <c r="G100" t="s">
        <v>3181</v>
      </c>
      <c r="H100">
        <v>19866</v>
      </c>
      <c r="I100" t="s">
        <v>3182</v>
      </c>
    </row>
    <row r="101" spans="1:9" x14ac:dyDescent="0.25">
      <c r="A101" t="s">
        <v>3179</v>
      </c>
      <c r="B101" t="s">
        <v>3425</v>
      </c>
      <c r="C101" t="s">
        <v>3183</v>
      </c>
      <c r="D101">
        <v>32.255305440000001</v>
      </c>
      <c r="E101" t="s">
        <v>3180</v>
      </c>
      <c r="F101">
        <v>107.9023327</v>
      </c>
      <c r="G101" t="s">
        <v>3181</v>
      </c>
      <c r="H101">
        <v>11276</v>
      </c>
      <c r="I101" t="s">
        <v>3182</v>
      </c>
    </row>
    <row r="102" spans="1:9" x14ac:dyDescent="0.25">
      <c r="A102" t="s">
        <v>3179</v>
      </c>
      <c r="B102" t="s">
        <v>3320</v>
      </c>
      <c r="C102" t="s">
        <v>3183</v>
      </c>
      <c r="D102">
        <v>34.515515520000001</v>
      </c>
      <c r="E102" t="s">
        <v>3180</v>
      </c>
      <c r="F102">
        <v>106.6839377</v>
      </c>
      <c r="G102" t="s">
        <v>3181</v>
      </c>
      <c r="H102">
        <v>14194</v>
      </c>
      <c r="I102" t="s">
        <v>3182</v>
      </c>
    </row>
    <row r="103" spans="1:9" x14ac:dyDescent="0.25">
      <c r="A103" t="s">
        <v>3179</v>
      </c>
      <c r="B103" t="s">
        <v>3661</v>
      </c>
      <c r="C103" t="s">
        <v>3183</v>
      </c>
      <c r="D103">
        <v>34.540609869999997</v>
      </c>
      <c r="E103" t="s">
        <v>3180</v>
      </c>
      <c r="F103">
        <v>109.67819590000001</v>
      </c>
      <c r="G103" t="s">
        <v>3181</v>
      </c>
      <c r="H103">
        <v>19889</v>
      </c>
      <c r="I103" t="s">
        <v>3182</v>
      </c>
    </row>
    <row r="104" spans="1:9" x14ac:dyDescent="0.25">
      <c r="A104" t="s">
        <v>3179</v>
      </c>
      <c r="B104" t="s">
        <v>3662</v>
      </c>
      <c r="C104" t="s">
        <v>3183</v>
      </c>
      <c r="D104">
        <v>34.395127330000001</v>
      </c>
      <c r="E104" t="s">
        <v>3180</v>
      </c>
      <c r="F104">
        <v>109.57395560000001</v>
      </c>
      <c r="G104" t="s">
        <v>3181</v>
      </c>
      <c r="H104">
        <v>27258</v>
      </c>
      <c r="I104" t="s">
        <v>3182</v>
      </c>
    </row>
    <row r="105" spans="1:9" x14ac:dyDescent="0.25">
      <c r="A105" t="s">
        <v>3179</v>
      </c>
      <c r="B105" t="s">
        <v>3847</v>
      </c>
      <c r="C105" t="s">
        <v>3183</v>
      </c>
      <c r="D105">
        <v>34.497288820000001</v>
      </c>
      <c r="E105" t="s">
        <v>3180</v>
      </c>
      <c r="F105">
        <v>108.93448530000001</v>
      </c>
      <c r="G105" t="s">
        <v>3181</v>
      </c>
      <c r="H105">
        <v>20515</v>
      </c>
      <c r="I105" t="s">
        <v>3182</v>
      </c>
    </row>
    <row r="106" spans="1:9" x14ac:dyDescent="0.25">
      <c r="A106" t="s">
        <v>3179</v>
      </c>
      <c r="B106" t="s">
        <v>3896</v>
      </c>
      <c r="C106" t="s">
        <v>3183</v>
      </c>
      <c r="D106">
        <v>36.553350299999998</v>
      </c>
      <c r="E106" t="s">
        <v>3180</v>
      </c>
      <c r="F106">
        <v>109.61963950000001</v>
      </c>
      <c r="G106" t="s">
        <v>3181</v>
      </c>
      <c r="H106">
        <v>10138</v>
      </c>
      <c r="I106" t="s">
        <v>3182</v>
      </c>
    </row>
    <row r="107" spans="1:9" x14ac:dyDescent="0.25">
      <c r="A107" t="s">
        <v>3179</v>
      </c>
      <c r="B107" t="s">
        <v>3663</v>
      </c>
      <c r="C107" t="s">
        <v>3183</v>
      </c>
      <c r="D107">
        <v>34.986323519999999</v>
      </c>
      <c r="E107" t="s">
        <v>3180</v>
      </c>
      <c r="F107">
        <v>109.6803355</v>
      </c>
      <c r="G107" t="s">
        <v>3181</v>
      </c>
      <c r="H107">
        <v>32259</v>
      </c>
      <c r="I107" t="s">
        <v>3182</v>
      </c>
    </row>
    <row r="108" spans="1:9" x14ac:dyDescent="0.25">
      <c r="A108" t="s">
        <v>3179</v>
      </c>
      <c r="B108" t="s">
        <v>3192</v>
      </c>
      <c r="C108" t="s">
        <v>3183</v>
      </c>
      <c r="D108">
        <v>33.004326620000001</v>
      </c>
      <c r="E108" t="s">
        <v>3180</v>
      </c>
      <c r="F108">
        <v>108.9567373</v>
      </c>
      <c r="G108" t="s">
        <v>3181</v>
      </c>
      <c r="H108">
        <v>18182</v>
      </c>
      <c r="I108" t="s">
        <v>3182</v>
      </c>
    </row>
    <row r="109" spans="1:9" x14ac:dyDescent="0.25">
      <c r="A109" t="s">
        <v>3179</v>
      </c>
      <c r="B109" t="s">
        <v>3848</v>
      </c>
      <c r="C109" t="s">
        <v>3183</v>
      </c>
      <c r="D109">
        <v>34.106727810000002</v>
      </c>
      <c r="E109" t="s">
        <v>3180</v>
      </c>
      <c r="F109">
        <v>108.0642828</v>
      </c>
      <c r="G109" t="s">
        <v>3181</v>
      </c>
      <c r="H109">
        <v>20033</v>
      </c>
      <c r="I109" t="s">
        <v>3182</v>
      </c>
    </row>
    <row r="110" spans="1:9" x14ac:dyDescent="0.25">
      <c r="A110" t="s">
        <v>3179</v>
      </c>
      <c r="B110" t="s">
        <v>3321</v>
      </c>
      <c r="C110" t="s">
        <v>3183</v>
      </c>
      <c r="D110">
        <v>34.655149459999997</v>
      </c>
      <c r="E110" t="s">
        <v>3180</v>
      </c>
      <c r="F110">
        <v>107.24242940000001</v>
      </c>
      <c r="G110" t="s">
        <v>3181</v>
      </c>
      <c r="H110">
        <v>8020</v>
      </c>
      <c r="I110" t="s">
        <v>3182</v>
      </c>
    </row>
    <row r="111" spans="1:9" x14ac:dyDescent="0.25">
      <c r="A111" t="s">
        <v>3179</v>
      </c>
      <c r="B111" t="s">
        <v>3977</v>
      </c>
      <c r="C111" t="s">
        <v>3183</v>
      </c>
      <c r="D111">
        <v>37.352986790000003</v>
      </c>
      <c r="E111" t="s">
        <v>3180</v>
      </c>
      <c r="F111">
        <v>110.4346553</v>
      </c>
      <c r="G111" t="s">
        <v>3181</v>
      </c>
      <c r="H111">
        <v>12687</v>
      </c>
      <c r="I111" t="s">
        <v>3182</v>
      </c>
    </row>
    <row r="112" spans="1:9" x14ac:dyDescent="0.25">
      <c r="A112" t="s">
        <v>3179</v>
      </c>
      <c r="B112" t="s">
        <v>3322</v>
      </c>
      <c r="C112" t="s">
        <v>3183</v>
      </c>
      <c r="D112">
        <v>34.843752160000001</v>
      </c>
      <c r="E112" t="s">
        <v>3180</v>
      </c>
      <c r="F112">
        <v>107.82573240000001</v>
      </c>
      <c r="G112" t="s">
        <v>3181</v>
      </c>
      <c r="H112">
        <v>8369</v>
      </c>
      <c r="I112" t="s">
        <v>3182</v>
      </c>
    </row>
    <row r="113" spans="1:9" x14ac:dyDescent="0.25">
      <c r="A113" t="s">
        <v>3179</v>
      </c>
      <c r="B113" t="s">
        <v>3760</v>
      </c>
      <c r="C113" t="s">
        <v>3183</v>
      </c>
      <c r="D113">
        <v>34.747450720000003</v>
      </c>
      <c r="E113" t="s">
        <v>3180</v>
      </c>
      <c r="F113">
        <v>108.8386453</v>
      </c>
      <c r="G113" t="s">
        <v>3181</v>
      </c>
      <c r="H113">
        <v>21005</v>
      </c>
      <c r="I113" t="s">
        <v>3182</v>
      </c>
    </row>
    <row r="114" spans="1:9" x14ac:dyDescent="0.25">
      <c r="A114" t="s">
        <v>3179</v>
      </c>
      <c r="B114" t="s">
        <v>3426</v>
      </c>
      <c r="C114" t="s">
        <v>3183</v>
      </c>
      <c r="D114">
        <v>33.042799330000001</v>
      </c>
      <c r="E114" t="s">
        <v>3180</v>
      </c>
      <c r="F114">
        <v>106.3157195</v>
      </c>
      <c r="G114" t="s">
        <v>3181</v>
      </c>
      <c r="H114">
        <v>26930</v>
      </c>
      <c r="I114" t="s">
        <v>3182</v>
      </c>
    </row>
    <row r="115" spans="1:9" x14ac:dyDescent="0.25">
      <c r="A115" t="s">
        <v>3179</v>
      </c>
      <c r="B115" t="s">
        <v>3978</v>
      </c>
      <c r="C115" t="s">
        <v>3183</v>
      </c>
      <c r="D115">
        <v>38.70212326</v>
      </c>
      <c r="E115" t="s">
        <v>3180</v>
      </c>
      <c r="F115">
        <v>109.9516543</v>
      </c>
      <c r="G115" t="s">
        <v>3181</v>
      </c>
      <c r="H115">
        <v>15208</v>
      </c>
      <c r="I115" t="s">
        <v>3182</v>
      </c>
    </row>
    <row r="116" spans="1:9" x14ac:dyDescent="0.25">
      <c r="A116" t="s">
        <v>3179</v>
      </c>
      <c r="B116" t="s">
        <v>3979</v>
      </c>
      <c r="C116" t="s">
        <v>3183</v>
      </c>
      <c r="D116">
        <v>39.303051269999997</v>
      </c>
      <c r="E116" t="s">
        <v>3180</v>
      </c>
      <c r="F116">
        <v>110.47489040000001</v>
      </c>
      <c r="G116" t="s">
        <v>3181</v>
      </c>
      <c r="H116">
        <v>10466</v>
      </c>
      <c r="I116" t="s">
        <v>3182</v>
      </c>
    </row>
    <row r="117" spans="1:9" x14ac:dyDescent="0.25">
      <c r="A117" t="s">
        <v>3179</v>
      </c>
      <c r="B117" t="s">
        <v>3761</v>
      </c>
      <c r="C117" t="s">
        <v>3183</v>
      </c>
      <c r="D117">
        <v>34.678109900000003</v>
      </c>
      <c r="E117" t="s">
        <v>3180</v>
      </c>
      <c r="F117">
        <v>109.103848</v>
      </c>
      <c r="G117" t="s">
        <v>3181</v>
      </c>
      <c r="H117">
        <v>38150</v>
      </c>
      <c r="I117" t="s">
        <v>3182</v>
      </c>
    </row>
    <row r="118" spans="1:9" x14ac:dyDescent="0.25">
      <c r="A118" t="s">
        <v>3179</v>
      </c>
      <c r="B118" t="s">
        <v>3427</v>
      </c>
      <c r="C118" t="s">
        <v>3183</v>
      </c>
      <c r="D118">
        <v>32.55854008</v>
      </c>
      <c r="E118" t="s">
        <v>3180</v>
      </c>
      <c r="F118">
        <v>107.5556294</v>
      </c>
      <c r="G118" t="s">
        <v>3181</v>
      </c>
      <c r="H118">
        <v>5047</v>
      </c>
      <c r="I118" t="s">
        <v>3182</v>
      </c>
    </row>
    <row r="119" spans="1:9" x14ac:dyDescent="0.25">
      <c r="A119" t="s">
        <v>3179</v>
      </c>
      <c r="B119" t="s">
        <v>3193</v>
      </c>
      <c r="C119" t="s">
        <v>3183</v>
      </c>
      <c r="D119">
        <v>32.523381370000003</v>
      </c>
      <c r="E119" t="s">
        <v>3180</v>
      </c>
      <c r="F119">
        <v>108.6570226</v>
      </c>
      <c r="G119" t="s">
        <v>3181</v>
      </c>
      <c r="H119">
        <v>5396</v>
      </c>
      <c r="I119" t="s">
        <v>3182</v>
      </c>
    </row>
    <row r="120" spans="1:9" x14ac:dyDescent="0.25">
      <c r="A120" t="s">
        <v>3179</v>
      </c>
      <c r="B120" t="s">
        <v>3194</v>
      </c>
      <c r="C120" t="s">
        <v>3183</v>
      </c>
      <c r="D120">
        <v>32.439629959999998</v>
      </c>
      <c r="E120" t="s">
        <v>3180</v>
      </c>
      <c r="F120">
        <v>109.1658936</v>
      </c>
      <c r="G120" t="s">
        <v>3181</v>
      </c>
      <c r="H120">
        <v>11294</v>
      </c>
      <c r="I120" t="s">
        <v>3182</v>
      </c>
    </row>
    <row r="121" spans="1:9" x14ac:dyDescent="0.25">
      <c r="A121" t="s">
        <v>3179</v>
      </c>
      <c r="B121" t="s">
        <v>5672</v>
      </c>
      <c r="C121" t="s">
        <v>3183</v>
      </c>
      <c r="D121">
        <v>32.966315039999998</v>
      </c>
      <c r="E121" t="s">
        <v>3180</v>
      </c>
      <c r="F121">
        <v>108.7808519</v>
      </c>
      <c r="G121" t="s">
        <v>3181</v>
      </c>
      <c r="H121">
        <v>17066</v>
      </c>
      <c r="I121" t="s">
        <v>3182</v>
      </c>
    </row>
    <row r="122" spans="1:9" x14ac:dyDescent="0.25">
      <c r="A122" t="s">
        <v>3179</v>
      </c>
      <c r="B122" t="s">
        <v>5673</v>
      </c>
      <c r="C122" t="s">
        <v>3183</v>
      </c>
      <c r="D122">
        <v>32.653821090000001</v>
      </c>
      <c r="E122" t="s">
        <v>3180</v>
      </c>
      <c r="F122">
        <v>107.41925550000001</v>
      </c>
      <c r="G122" t="s">
        <v>3181</v>
      </c>
      <c r="H122">
        <v>4716</v>
      </c>
      <c r="I122" t="s">
        <v>3182</v>
      </c>
    </row>
    <row r="123" spans="1:9" x14ac:dyDescent="0.25">
      <c r="A123" t="s">
        <v>3179</v>
      </c>
      <c r="B123" t="s">
        <v>3428</v>
      </c>
      <c r="C123" t="s">
        <v>3183</v>
      </c>
      <c r="D123">
        <v>33.313241470000001</v>
      </c>
      <c r="E123" t="s">
        <v>3180</v>
      </c>
      <c r="F123">
        <v>108.01280939999999</v>
      </c>
      <c r="G123" t="s">
        <v>3181</v>
      </c>
      <c r="H123">
        <v>5430</v>
      </c>
      <c r="I123" t="s">
        <v>3182</v>
      </c>
    </row>
    <row r="124" spans="1:9" x14ac:dyDescent="0.25">
      <c r="A124" t="s">
        <v>3179</v>
      </c>
      <c r="B124" t="s">
        <v>3429</v>
      </c>
      <c r="C124" t="s">
        <v>3183</v>
      </c>
      <c r="D124">
        <v>32.996991170000001</v>
      </c>
      <c r="E124" t="s">
        <v>3180</v>
      </c>
      <c r="F124">
        <v>106.9985873</v>
      </c>
      <c r="G124" t="s">
        <v>3181</v>
      </c>
      <c r="H124">
        <v>68154</v>
      </c>
      <c r="I124" t="s">
        <v>3182</v>
      </c>
    </row>
    <row r="125" spans="1:9" x14ac:dyDescent="0.25">
      <c r="A125" t="s">
        <v>3179</v>
      </c>
      <c r="B125" t="s">
        <v>3980</v>
      </c>
      <c r="C125" t="s">
        <v>3183</v>
      </c>
      <c r="D125">
        <v>38.456755899999997</v>
      </c>
      <c r="E125" t="s">
        <v>3180</v>
      </c>
      <c r="F125">
        <v>110.18876229999999</v>
      </c>
      <c r="G125" t="s">
        <v>3181</v>
      </c>
      <c r="H125">
        <v>4353</v>
      </c>
      <c r="I125" t="s">
        <v>3182</v>
      </c>
    </row>
    <row r="126" spans="1:9" x14ac:dyDescent="0.25">
      <c r="A126" t="s">
        <v>3179</v>
      </c>
      <c r="B126" t="s">
        <v>3430</v>
      </c>
      <c r="C126" t="s">
        <v>3183</v>
      </c>
      <c r="D126">
        <v>33.039109860000003</v>
      </c>
      <c r="E126" t="s">
        <v>3180</v>
      </c>
      <c r="F126">
        <v>106.17952080000001</v>
      </c>
      <c r="G126" t="s">
        <v>3181</v>
      </c>
      <c r="H126">
        <v>26995</v>
      </c>
      <c r="I126" t="s">
        <v>3182</v>
      </c>
    </row>
    <row r="127" spans="1:9" x14ac:dyDescent="0.25">
      <c r="A127" t="s">
        <v>3179</v>
      </c>
      <c r="B127" t="s">
        <v>3664</v>
      </c>
      <c r="C127" t="s">
        <v>3183</v>
      </c>
      <c r="D127">
        <v>34.550497120000003</v>
      </c>
      <c r="E127" t="s">
        <v>3180</v>
      </c>
      <c r="F127">
        <v>110.3284438</v>
      </c>
      <c r="G127" t="s">
        <v>3181</v>
      </c>
      <c r="H127">
        <v>11574</v>
      </c>
      <c r="I127" t="s">
        <v>3182</v>
      </c>
    </row>
    <row r="128" spans="1:9" x14ac:dyDescent="0.25">
      <c r="A128" t="s">
        <v>3179</v>
      </c>
      <c r="B128" t="s">
        <v>3560</v>
      </c>
      <c r="C128" t="s">
        <v>3183</v>
      </c>
      <c r="D128">
        <v>34.07375158</v>
      </c>
      <c r="E128" t="s">
        <v>3180</v>
      </c>
      <c r="F128">
        <v>109.8511637</v>
      </c>
      <c r="G128" t="s">
        <v>3181</v>
      </c>
      <c r="H128">
        <v>38353</v>
      </c>
      <c r="I128" t="s">
        <v>3182</v>
      </c>
    </row>
    <row r="129" spans="1:9" x14ac:dyDescent="0.25">
      <c r="A129" t="s">
        <v>3179</v>
      </c>
      <c r="B129" t="s">
        <v>3981</v>
      </c>
      <c r="C129" t="s">
        <v>3183</v>
      </c>
      <c r="D129">
        <v>39.307015640000003</v>
      </c>
      <c r="E129" t="s">
        <v>3180</v>
      </c>
      <c r="F129">
        <v>110.2780983</v>
      </c>
      <c r="G129" t="s">
        <v>3181</v>
      </c>
      <c r="H129">
        <v>59883</v>
      </c>
      <c r="I129" t="s">
        <v>3182</v>
      </c>
    </row>
    <row r="130" spans="1:9" x14ac:dyDescent="0.25">
      <c r="A130" t="s">
        <v>3179</v>
      </c>
      <c r="B130" t="s">
        <v>3665</v>
      </c>
      <c r="C130" t="s">
        <v>3183</v>
      </c>
      <c r="D130">
        <v>34.387043470000002</v>
      </c>
      <c r="E130" t="s">
        <v>3180</v>
      </c>
      <c r="F130">
        <v>109.7389798</v>
      </c>
      <c r="G130" t="s">
        <v>3181</v>
      </c>
      <c r="H130">
        <v>20737</v>
      </c>
      <c r="I130" t="s">
        <v>3182</v>
      </c>
    </row>
    <row r="131" spans="1:9" x14ac:dyDescent="0.25">
      <c r="A131" t="s">
        <v>3179</v>
      </c>
      <c r="B131" t="s">
        <v>3897</v>
      </c>
      <c r="C131" t="s">
        <v>3183</v>
      </c>
      <c r="D131">
        <v>36.71288071</v>
      </c>
      <c r="E131" t="s">
        <v>3180</v>
      </c>
      <c r="F131">
        <v>108.5609142</v>
      </c>
      <c r="G131" t="s">
        <v>3181</v>
      </c>
      <c r="H131">
        <v>10404</v>
      </c>
      <c r="I131" t="s">
        <v>3182</v>
      </c>
    </row>
    <row r="132" spans="1:9" x14ac:dyDescent="0.25">
      <c r="A132" t="s">
        <v>3179</v>
      </c>
      <c r="B132" t="s">
        <v>3666</v>
      </c>
      <c r="C132" t="s">
        <v>3183</v>
      </c>
      <c r="D132">
        <v>34.744472780000002</v>
      </c>
      <c r="E132" t="s">
        <v>3180</v>
      </c>
      <c r="F132">
        <v>109.07846410000001</v>
      </c>
      <c r="G132" t="s">
        <v>3181</v>
      </c>
      <c r="H132">
        <v>24776</v>
      </c>
      <c r="I132" t="s">
        <v>3182</v>
      </c>
    </row>
    <row r="133" spans="1:9" x14ac:dyDescent="0.25">
      <c r="A133" t="s">
        <v>3179</v>
      </c>
      <c r="B133" t="s">
        <v>3982</v>
      </c>
      <c r="C133" t="s">
        <v>3183</v>
      </c>
      <c r="D133">
        <v>37.936905430000003</v>
      </c>
      <c r="E133" t="s">
        <v>3180</v>
      </c>
      <c r="F133">
        <v>109.84531990000001</v>
      </c>
      <c r="G133" t="s">
        <v>3181</v>
      </c>
      <c r="H133">
        <v>19396</v>
      </c>
      <c r="I133" t="s">
        <v>3182</v>
      </c>
    </row>
    <row r="134" spans="1:9" x14ac:dyDescent="0.25">
      <c r="A134" t="s">
        <v>3179</v>
      </c>
      <c r="B134" t="s">
        <v>3667</v>
      </c>
      <c r="C134" t="s">
        <v>3183</v>
      </c>
      <c r="D134">
        <v>34.805101999999998</v>
      </c>
      <c r="E134" t="s">
        <v>3180</v>
      </c>
      <c r="F134">
        <v>109.5891568</v>
      </c>
      <c r="G134" t="s">
        <v>3181</v>
      </c>
      <c r="H134">
        <v>40921</v>
      </c>
      <c r="I134" t="s">
        <v>3182</v>
      </c>
    </row>
    <row r="135" spans="1:9" x14ac:dyDescent="0.25">
      <c r="A135" t="s">
        <v>3179</v>
      </c>
      <c r="B135" t="s">
        <v>3898</v>
      </c>
      <c r="C135" t="s">
        <v>3183</v>
      </c>
      <c r="D135">
        <v>36.212837090000001</v>
      </c>
      <c r="E135" t="s">
        <v>3180</v>
      </c>
      <c r="F135">
        <v>109.2680177</v>
      </c>
      <c r="G135" t="s">
        <v>3181</v>
      </c>
      <c r="H135">
        <v>8959</v>
      </c>
      <c r="I135" t="s">
        <v>3182</v>
      </c>
    </row>
    <row r="136" spans="1:9" x14ac:dyDescent="0.25">
      <c r="A136" t="s">
        <v>3179</v>
      </c>
      <c r="B136" t="s">
        <v>3668</v>
      </c>
      <c r="C136" t="s">
        <v>3183</v>
      </c>
      <c r="D136">
        <v>34.86744479</v>
      </c>
      <c r="E136" t="s">
        <v>3180</v>
      </c>
      <c r="F136">
        <v>109.3124964</v>
      </c>
      <c r="G136" t="s">
        <v>3181</v>
      </c>
      <c r="H136">
        <v>43536</v>
      </c>
      <c r="I136" t="s">
        <v>3182</v>
      </c>
    </row>
    <row r="137" spans="1:9" x14ac:dyDescent="0.25">
      <c r="A137" t="s">
        <v>3179</v>
      </c>
      <c r="B137" t="s">
        <v>3561</v>
      </c>
      <c r="C137" t="s">
        <v>3183</v>
      </c>
      <c r="D137">
        <v>33.392319100000002</v>
      </c>
      <c r="E137" t="s">
        <v>3180</v>
      </c>
      <c r="F137">
        <v>109.41604409999999</v>
      </c>
      <c r="G137" t="s">
        <v>3181</v>
      </c>
      <c r="H137">
        <v>13257</v>
      </c>
      <c r="I137" t="s">
        <v>3182</v>
      </c>
    </row>
    <row r="138" spans="1:9" x14ac:dyDescent="0.25">
      <c r="A138" t="s">
        <v>3179</v>
      </c>
      <c r="B138" t="s">
        <v>3562</v>
      </c>
      <c r="C138" t="s">
        <v>3183</v>
      </c>
      <c r="D138">
        <v>33.21776148</v>
      </c>
      <c r="E138" t="s">
        <v>3180</v>
      </c>
      <c r="F138">
        <v>108.9185475</v>
      </c>
      <c r="G138" t="s">
        <v>3181</v>
      </c>
      <c r="H138">
        <v>11247</v>
      </c>
      <c r="I138" t="s">
        <v>3182</v>
      </c>
    </row>
    <row r="139" spans="1:9" x14ac:dyDescent="0.25">
      <c r="A139" t="s">
        <v>3179</v>
      </c>
      <c r="B139" t="s">
        <v>3195</v>
      </c>
      <c r="C139" t="s">
        <v>3183</v>
      </c>
      <c r="D139">
        <v>32.72580284</v>
      </c>
      <c r="E139" t="s">
        <v>3180</v>
      </c>
      <c r="F139">
        <v>108.81600109999999</v>
      </c>
      <c r="G139" t="s">
        <v>3181</v>
      </c>
      <c r="H139">
        <v>37678</v>
      </c>
      <c r="I139" t="s">
        <v>3182</v>
      </c>
    </row>
    <row r="140" spans="1:9" x14ac:dyDescent="0.25">
      <c r="A140" t="s">
        <v>3179</v>
      </c>
      <c r="B140" t="s">
        <v>3762</v>
      </c>
      <c r="C140" t="s">
        <v>3183</v>
      </c>
      <c r="D140">
        <v>34.466222369999997</v>
      </c>
      <c r="E140" t="s">
        <v>3180</v>
      </c>
      <c r="F140">
        <v>108.2768512</v>
      </c>
      <c r="G140" t="s">
        <v>3181</v>
      </c>
      <c r="H140">
        <v>40359</v>
      </c>
      <c r="I140" t="s">
        <v>3182</v>
      </c>
    </row>
    <row r="141" spans="1:9" x14ac:dyDescent="0.25">
      <c r="A141" t="s">
        <v>3179</v>
      </c>
      <c r="B141" t="s">
        <v>3763</v>
      </c>
      <c r="C141" t="s">
        <v>3183</v>
      </c>
      <c r="D141">
        <v>34.260634439999997</v>
      </c>
      <c r="E141" t="s">
        <v>3180</v>
      </c>
      <c r="F141">
        <v>108.1440431</v>
      </c>
      <c r="G141" t="s">
        <v>3181</v>
      </c>
      <c r="H141">
        <v>42074</v>
      </c>
      <c r="I141" t="s">
        <v>3182</v>
      </c>
    </row>
    <row r="142" spans="1:9" x14ac:dyDescent="0.25">
      <c r="A142" t="s">
        <v>3179</v>
      </c>
      <c r="B142" t="s">
        <v>3196</v>
      </c>
      <c r="C142" t="s">
        <v>3183</v>
      </c>
      <c r="D142">
        <v>32.567615910000001</v>
      </c>
      <c r="E142" t="s">
        <v>3180</v>
      </c>
      <c r="F142">
        <v>108.68654220000001</v>
      </c>
      <c r="G142" t="s">
        <v>3181</v>
      </c>
      <c r="H142">
        <v>10213</v>
      </c>
      <c r="I142" t="s">
        <v>3182</v>
      </c>
    </row>
    <row r="143" spans="1:9" x14ac:dyDescent="0.25">
      <c r="A143" t="s">
        <v>3179</v>
      </c>
      <c r="B143" t="s">
        <v>3985</v>
      </c>
      <c r="C143" t="s">
        <v>3183</v>
      </c>
      <c r="D143">
        <v>37.86005746</v>
      </c>
      <c r="E143" t="s">
        <v>3180</v>
      </c>
      <c r="F143">
        <v>110.4844093</v>
      </c>
      <c r="G143" t="s">
        <v>3181</v>
      </c>
      <c r="H143">
        <v>11330</v>
      </c>
      <c r="I143" t="s">
        <v>3182</v>
      </c>
    </row>
    <row r="144" spans="1:9" x14ac:dyDescent="0.25">
      <c r="A144" t="s">
        <v>3179</v>
      </c>
      <c r="B144" t="s">
        <v>5674</v>
      </c>
      <c r="C144" t="s">
        <v>3183</v>
      </c>
      <c r="D144">
        <v>37.929898639999998</v>
      </c>
      <c r="E144" t="s">
        <v>3180</v>
      </c>
      <c r="F144">
        <v>109.4796784</v>
      </c>
      <c r="G144" t="s">
        <v>3181</v>
      </c>
      <c r="H144">
        <v>17172</v>
      </c>
      <c r="I144" t="s">
        <v>3182</v>
      </c>
    </row>
    <row r="145" spans="1:9" x14ac:dyDescent="0.25">
      <c r="A145" t="s">
        <v>3179</v>
      </c>
      <c r="B145" t="s">
        <v>5675</v>
      </c>
      <c r="C145" t="s">
        <v>3183</v>
      </c>
      <c r="D145">
        <v>37.673212730000003</v>
      </c>
      <c r="E145" t="s">
        <v>3180</v>
      </c>
      <c r="F145">
        <v>109.74324439999999</v>
      </c>
      <c r="G145" t="s">
        <v>3181</v>
      </c>
      <c r="H145">
        <v>5015</v>
      </c>
      <c r="I145" t="s">
        <v>3182</v>
      </c>
    </row>
    <row r="146" spans="1:9" x14ac:dyDescent="0.25">
      <c r="A146" t="s">
        <v>3179</v>
      </c>
      <c r="B146" t="s">
        <v>3983</v>
      </c>
      <c r="C146" t="s">
        <v>3183</v>
      </c>
      <c r="D146">
        <v>39.061791360000001</v>
      </c>
      <c r="E146" t="s">
        <v>3180</v>
      </c>
      <c r="F146">
        <v>110.4840507</v>
      </c>
      <c r="G146" t="s">
        <v>3181</v>
      </c>
      <c r="H146">
        <v>28581</v>
      </c>
      <c r="I146" t="s">
        <v>3182</v>
      </c>
    </row>
    <row r="147" spans="1:9" x14ac:dyDescent="0.25">
      <c r="A147" t="s">
        <v>3179</v>
      </c>
      <c r="B147" t="s">
        <v>3764</v>
      </c>
      <c r="C147" t="s">
        <v>3183</v>
      </c>
      <c r="D147">
        <v>35.544614379999999</v>
      </c>
      <c r="E147" t="s">
        <v>3180</v>
      </c>
      <c r="F147">
        <v>108.9530604</v>
      </c>
      <c r="G147" t="s">
        <v>3181</v>
      </c>
      <c r="H147">
        <v>29676</v>
      </c>
      <c r="I147" t="s">
        <v>3182</v>
      </c>
    </row>
    <row r="148" spans="1:9" x14ac:dyDescent="0.25">
      <c r="A148" t="s">
        <v>3179</v>
      </c>
      <c r="B148" t="s">
        <v>3764</v>
      </c>
      <c r="C148" t="s">
        <v>3183</v>
      </c>
      <c r="D148">
        <v>34.567220130000003</v>
      </c>
      <c r="E148" t="s">
        <v>3180</v>
      </c>
      <c r="F148">
        <v>108.0236215</v>
      </c>
      <c r="G148" t="s">
        <v>3181</v>
      </c>
      <c r="H148">
        <v>28716</v>
      </c>
      <c r="I148" t="s">
        <v>3182</v>
      </c>
    </row>
    <row r="149" spans="1:9" x14ac:dyDescent="0.25">
      <c r="A149" t="s">
        <v>3179</v>
      </c>
      <c r="B149" t="s">
        <v>3984</v>
      </c>
      <c r="C149" t="s">
        <v>3183</v>
      </c>
      <c r="D149">
        <v>37.278681499999998</v>
      </c>
      <c r="E149" t="s">
        <v>3180</v>
      </c>
      <c r="F149">
        <v>110.361293</v>
      </c>
      <c r="G149" t="s">
        <v>3181</v>
      </c>
      <c r="H149">
        <v>5704</v>
      </c>
      <c r="I149" t="s">
        <v>3182</v>
      </c>
    </row>
    <row r="150" spans="1:9" x14ac:dyDescent="0.25">
      <c r="A150" t="s">
        <v>3179</v>
      </c>
      <c r="B150" t="s">
        <v>3323</v>
      </c>
      <c r="C150" t="s">
        <v>3183</v>
      </c>
      <c r="D150">
        <v>34.237708840000003</v>
      </c>
      <c r="E150" t="s">
        <v>3180</v>
      </c>
      <c r="F150">
        <v>107.518597</v>
      </c>
      <c r="G150" t="s">
        <v>3181</v>
      </c>
      <c r="H150">
        <v>38486</v>
      </c>
      <c r="I150" t="s">
        <v>3182</v>
      </c>
    </row>
    <row r="151" spans="1:9" x14ac:dyDescent="0.25">
      <c r="A151" t="s">
        <v>3179</v>
      </c>
      <c r="B151" t="s">
        <v>3563</v>
      </c>
      <c r="C151" t="s">
        <v>3183</v>
      </c>
      <c r="D151">
        <v>33.758179200000001</v>
      </c>
      <c r="E151" t="s">
        <v>3180</v>
      </c>
      <c r="F151">
        <v>110.20952459999999</v>
      </c>
      <c r="G151" t="s">
        <v>3181</v>
      </c>
      <c r="H151">
        <v>20521</v>
      </c>
      <c r="I151" t="s">
        <v>3182</v>
      </c>
    </row>
    <row r="152" spans="1:9" x14ac:dyDescent="0.25">
      <c r="A152" t="s">
        <v>3179</v>
      </c>
      <c r="B152" t="s">
        <v>3765</v>
      </c>
      <c r="C152" t="s">
        <v>3183</v>
      </c>
      <c r="D152">
        <v>35.259105640000001</v>
      </c>
      <c r="E152" t="s">
        <v>3180</v>
      </c>
      <c r="F152">
        <v>108.18598609999999</v>
      </c>
      <c r="G152" t="s">
        <v>3181</v>
      </c>
      <c r="H152">
        <v>18212</v>
      </c>
      <c r="I152" t="s">
        <v>3182</v>
      </c>
    </row>
    <row r="153" spans="1:9" x14ac:dyDescent="0.25">
      <c r="A153" t="s">
        <v>3179</v>
      </c>
      <c r="B153" t="s">
        <v>3766</v>
      </c>
      <c r="C153" t="s">
        <v>3183</v>
      </c>
      <c r="D153">
        <v>35.19438564</v>
      </c>
      <c r="E153" t="s">
        <v>3180</v>
      </c>
      <c r="F153">
        <v>107.7345254</v>
      </c>
      <c r="G153" t="s">
        <v>3181</v>
      </c>
      <c r="H153">
        <v>10228</v>
      </c>
      <c r="I153" t="s">
        <v>3182</v>
      </c>
    </row>
    <row r="154" spans="1:9" x14ac:dyDescent="0.25">
      <c r="A154" t="s">
        <v>3179</v>
      </c>
      <c r="B154" t="s">
        <v>3431</v>
      </c>
      <c r="C154" t="s">
        <v>3183</v>
      </c>
      <c r="D154">
        <v>33.102588619999999</v>
      </c>
      <c r="E154" t="s">
        <v>3180</v>
      </c>
      <c r="F154">
        <v>106.6381655</v>
      </c>
      <c r="G154" t="s">
        <v>3181</v>
      </c>
      <c r="H154">
        <v>35914</v>
      </c>
      <c r="I154" t="s">
        <v>3182</v>
      </c>
    </row>
    <row r="155" spans="1:9" x14ac:dyDescent="0.25">
      <c r="A155" t="s">
        <v>3179</v>
      </c>
      <c r="B155" t="s">
        <v>3986</v>
      </c>
      <c r="C155" t="s">
        <v>3183</v>
      </c>
      <c r="D155">
        <v>37.335345539999999</v>
      </c>
      <c r="E155" t="s">
        <v>3180</v>
      </c>
      <c r="F155">
        <v>110.5685912</v>
      </c>
      <c r="G155" t="s">
        <v>3181</v>
      </c>
      <c r="H155">
        <v>6871</v>
      </c>
      <c r="I155" t="s">
        <v>3182</v>
      </c>
    </row>
    <row r="156" spans="1:9" x14ac:dyDescent="0.25">
      <c r="A156" t="s">
        <v>3179</v>
      </c>
      <c r="B156" t="s">
        <v>3324</v>
      </c>
      <c r="C156" t="s">
        <v>3183</v>
      </c>
      <c r="D156">
        <v>34.843714640000002</v>
      </c>
      <c r="E156" t="s">
        <v>3180</v>
      </c>
      <c r="F156">
        <v>106.9838084</v>
      </c>
      <c r="G156" t="s">
        <v>3181</v>
      </c>
      <c r="H156">
        <v>18308</v>
      </c>
      <c r="I156" t="s">
        <v>3182</v>
      </c>
    </row>
    <row r="157" spans="1:9" x14ac:dyDescent="0.25">
      <c r="A157" t="s">
        <v>3179</v>
      </c>
      <c r="B157" t="s">
        <v>3197</v>
      </c>
      <c r="C157" t="s">
        <v>3183</v>
      </c>
      <c r="D157">
        <v>32.479631120000001</v>
      </c>
      <c r="E157" t="s">
        <v>3180</v>
      </c>
      <c r="F157">
        <v>108.6016901</v>
      </c>
      <c r="G157" t="s">
        <v>3181</v>
      </c>
      <c r="H157">
        <v>14609</v>
      </c>
      <c r="I157" t="s">
        <v>3182</v>
      </c>
    </row>
    <row r="158" spans="1:9" x14ac:dyDescent="0.25">
      <c r="A158" t="s">
        <v>3179</v>
      </c>
      <c r="B158" t="s">
        <v>3637</v>
      </c>
      <c r="C158" t="s">
        <v>3183</v>
      </c>
      <c r="D158">
        <v>34.984479030000003</v>
      </c>
      <c r="E158" t="s">
        <v>3180</v>
      </c>
      <c r="F158">
        <v>108.9942147</v>
      </c>
      <c r="G158" t="s">
        <v>3181</v>
      </c>
      <c r="H158">
        <v>11502</v>
      </c>
      <c r="I158" t="s">
        <v>3182</v>
      </c>
    </row>
    <row r="159" spans="1:9" x14ac:dyDescent="0.25">
      <c r="A159" t="s">
        <v>3179</v>
      </c>
      <c r="B159" t="s">
        <v>3432</v>
      </c>
      <c r="C159" t="s">
        <v>3183</v>
      </c>
      <c r="D159">
        <v>33.071997869999997</v>
      </c>
      <c r="E159" t="s">
        <v>3180</v>
      </c>
      <c r="F159">
        <v>107.280845</v>
      </c>
      <c r="G159" t="s">
        <v>3181</v>
      </c>
      <c r="H159">
        <v>23704</v>
      </c>
      <c r="I159" t="s">
        <v>3182</v>
      </c>
    </row>
    <row r="160" spans="1:9" x14ac:dyDescent="0.25">
      <c r="A160" t="s">
        <v>3179</v>
      </c>
      <c r="B160" t="s">
        <v>3987</v>
      </c>
      <c r="C160" t="s">
        <v>3183</v>
      </c>
      <c r="D160">
        <v>37.555585030000003</v>
      </c>
      <c r="E160" t="s">
        <v>3180</v>
      </c>
      <c r="F160">
        <v>108.5581748</v>
      </c>
      <c r="G160" t="s">
        <v>3181</v>
      </c>
      <c r="H160">
        <v>48001</v>
      </c>
      <c r="I160" t="s">
        <v>3182</v>
      </c>
    </row>
    <row r="161" spans="1:9" x14ac:dyDescent="0.25">
      <c r="A161" t="s">
        <v>3179</v>
      </c>
      <c r="B161" t="s">
        <v>3198</v>
      </c>
      <c r="C161" t="s">
        <v>3183</v>
      </c>
      <c r="D161">
        <v>32.607169079999998</v>
      </c>
      <c r="E161" t="s">
        <v>3180</v>
      </c>
      <c r="F161">
        <v>108.3089925</v>
      </c>
      <c r="G161" t="s">
        <v>3181</v>
      </c>
      <c r="H161">
        <v>8324</v>
      </c>
      <c r="I161" t="s">
        <v>3182</v>
      </c>
    </row>
    <row r="162" spans="1:9" x14ac:dyDescent="0.25">
      <c r="A162" t="s">
        <v>3179</v>
      </c>
      <c r="B162" t="s">
        <v>3325</v>
      </c>
      <c r="C162" t="s">
        <v>3183</v>
      </c>
      <c r="D162">
        <v>34.820903479999998</v>
      </c>
      <c r="E162" t="s">
        <v>3180</v>
      </c>
      <c r="F162">
        <v>106.82208919999999</v>
      </c>
      <c r="G162" t="s">
        <v>3181</v>
      </c>
      <c r="H162">
        <v>25848</v>
      </c>
      <c r="I162" t="s">
        <v>3182</v>
      </c>
    </row>
    <row r="163" spans="1:9" x14ac:dyDescent="0.25">
      <c r="A163" t="s">
        <v>3179</v>
      </c>
      <c r="B163" t="s">
        <v>3767</v>
      </c>
      <c r="C163" t="s">
        <v>3183</v>
      </c>
      <c r="D163">
        <v>34.789530560000003</v>
      </c>
      <c r="E163" t="s">
        <v>3180</v>
      </c>
      <c r="F163">
        <v>108.2914746</v>
      </c>
      <c r="G163" t="s">
        <v>3181</v>
      </c>
      <c r="H163">
        <v>8879</v>
      </c>
      <c r="I163" t="s">
        <v>3182</v>
      </c>
    </row>
    <row r="164" spans="1:9" x14ac:dyDescent="0.25">
      <c r="A164" t="s">
        <v>3179</v>
      </c>
      <c r="B164" t="s">
        <v>5676</v>
      </c>
      <c r="C164" t="s">
        <v>3183</v>
      </c>
      <c r="D164">
        <v>34.31205259</v>
      </c>
      <c r="E164" t="s">
        <v>3180</v>
      </c>
      <c r="F164">
        <v>107.91006729999999</v>
      </c>
      <c r="G164" t="s">
        <v>3181</v>
      </c>
      <c r="H164">
        <v>24111</v>
      </c>
      <c r="I164" t="s">
        <v>3182</v>
      </c>
    </row>
    <row r="165" spans="1:9" x14ac:dyDescent="0.25">
      <c r="A165" t="s">
        <v>3179</v>
      </c>
      <c r="B165" t="s">
        <v>5677</v>
      </c>
      <c r="C165" t="s">
        <v>3183</v>
      </c>
      <c r="D165">
        <v>34.885998399999998</v>
      </c>
      <c r="E165" t="s">
        <v>3180</v>
      </c>
      <c r="F165">
        <v>109.79912210000001</v>
      </c>
      <c r="G165" t="s">
        <v>3181</v>
      </c>
      <c r="H165">
        <v>23469</v>
      </c>
      <c r="I165" t="s">
        <v>3182</v>
      </c>
    </row>
    <row r="166" spans="1:9" x14ac:dyDescent="0.25">
      <c r="A166" t="s">
        <v>3179</v>
      </c>
      <c r="B166" t="s">
        <v>3199</v>
      </c>
      <c r="C166" t="s">
        <v>3183</v>
      </c>
      <c r="D166">
        <v>32.76022115</v>
      </c>
      <c r="E166" t="s">
        <v>3180</v>
      </c>
      <c r="F166">
        <v>109.2569</v>
      </c>
      <c r="G166" t="s">
        <v>3181</v>
      </c>
      <c r="H166">
        <v>16292</v>
      </c>
      <c r="I166" t="s">
        <v>3182</v>
      </c>
    </row>
    <row r="167" spans="1:9" x14ac:dyDescent="0.25">
      <c r="A167" t="s">
        <v>3179</v>
      </c>
      <c r="B167" t="s">
        <v>3988</v>
      </c>
      <c r="C167" t="s">
        <v>3183</v>
      </c>
      <c r="D167">
        <v>37.59979293</v>
      </c>
      <c r="E167" t="s">
        <v>3180</v>
      </c>
      <c r="F167">
        <v>108.23728699999999</v>
      </c>
      <c r="G167" t="s">
        <v>3181</v>
      </c>
      <c r="H167">
        <v>7279</v>
      </c>
      <c r="I167" t="s">
        <v>3182</v>
      </c>
    </row>
    <row r="168" spans="1:9" x14ac:dyDescent="0.25">
      <c r="A168" t="s">
        <v>3179</v>
      </c>
      <c r="B168" t="s">
        <v>3989</v>
      </c>
      <c r="C168" t="s">
        <v>3183</v>
      </c>
      <c r="D168">
        <v>37.758053050000001</v>
      </c>
      <c r="E168" t="s">
        <v>3180</v>
      </c>
      <c r="F168">
        <v>110.0408809</v>
      </c>
      <c r="G168" t="s">
        <v>3181</v>
      </c>
      <c r="H168">
        <v>9966</v>
      </c>
      <c r="I168" t="s">
        <v>3182</v>
      </c>
    </row>
    <row r="169" spans="1:9" x14ac:dyDescent="0.25">
      <c r="A169" t="s">
        <v>3179</v>
      </c>
      <c r="B169" t="s">
        <v>3669</v>
      </c>
      <c r="C169" t="s">
        <v>3183</v>
      </c>
      <c r="D169">
        <v>35.200656019999997</v>
      </c>
      <c r="E169" t="s">
        <v>3180</v>
      </c>
      <c r="F169">
        <v>109.49292010000001</v>
      </c>
      <c r="G169" t="s">
        <v>3181</v>
      </c>
      <c r="H169">
        <v>19470</v>
      </c>
      <c r="I169" t="s">
        <v>3182</v>
      </c>
    </row>
    <row r="170" spans="1:9" x14ac:dyDescent="0.25">
      <c r="A170" t="s">
        <v>3179</v>
      </c>
      <c r="B170" t="s">
        <v>3768</v>
      </c>
      <c r="C170" t="s">
        <v>3183</v>
      </c>
      <c r="D170">
        <v>34.636131980000002</v>
      </c>
      <c r="E170" t="s">
        <v>3180</v>
      </c>
      <c r="F170">
        <v>109.0844508</v>
      </c>
      <c r="G170" t="s">
        <v>3181</v>
      </c>
      <c r="H170">
        <v>22480</v>
      </c>
      <c r="I170" t="s">
        <v>3182</v>
      </c>
    </row>
    <row r="171" spans="1:9" x14ac:dyDescent="0.25">
      <c r="A171" t="s">
        <v>3179</v>
      </c>
      <c r="B171" t="s">
        <v>3326</v>
      </c>
      <c r="C171" t="s">
        <v>3183</v>
      </c>
      <c r="D171">
        <v>34.834650400000001</v>
      </c>
      <c r="E171" t="s">
        <v>3180</v>
      </c>
      <c r="F171">
        <v>106.9313478</v>
      </c>
      <c r="G171" t="s">
        <v>3181</v>
      </c>
      <c r="H171">
        <v>13616</v>
      </c>
      <c r="I171" t="s">
        <v>3182</v>
      </c>
    </row>
    <row r="172" spans="1:9" x14ac:dyDescent="0.25">
      <c r="A172" t="s">
        <v>3179</v>
      </c>
      <c r="B172" t="s">
        <v>3433</v>
      </c>
      <c r="C172" t="s">
        <v>3183</v>
      </c>
      <c r="D172">
        <v>32.806373209999997</v>
      </c>
      <c r="E172" t="s">
        <v>3180</v>
      </c>
      <c r="F172">
        <v>106.4389554</v>
      </c>
      <c r="G172" t="s">
        <v>3181</v>
      </c>
      <c r="H172">
        <v>6837</v>
      </c>
      <c r="I172" t="s">
        <v>3182</v>
      </c>
    </row>
    <row r="173" spans="1:9" x14ac:dyDescent="0.25">
      <c r="A173" t="s">
        <v>3179</v>
      </c>
      <c r="B173" t="s">
        <v>3434</v>
      </c>
      <c r="C173" t="s">
        <v>3183</v>
      </c>
      <c r="D173">
        <v>32.865442309999999</v>
      </c>
      <c r="E173" t="s">
        <v>3180</v>
      </c>
      <c r="F173">
        <v>107.2503402</v>
      </c>
      <c r="G173" t="s">
        <v>3181</v>
      </c>
      <c r="H173">
        <v>17422</v>
      </c>
      <c r="I173" t="s">
        <v>3182</v>
      </c>
    </row>
    <row r="174" spans="1:9" x14ac:dyDescent="0.25">
      <c r="A174" t="s">
        <v>3179</v>
      </c>
      <c r="B174" t="s">
        <v>3990</v>
      </c>
      <c r="C174" t="s">
        <v>3183</v>
      </c>
      <c r="D174">
        <v>38.992894849999999</v>
      </c>
      <c r="E174" t="s">
        <v>3180</v>
      </c>
      <c r="F174">
        <v>109.8352174</v>
      </c>
      <c r="G174" t="s">
        <v>3181</v>
      </c>
      <c r="H174">
        <v>10600</v>
      </c>
      <c r="I174" t="s">
        <v>3182</v>
      </c>
    </row>
    <row r="175" spans="1:9" x14ac:dyDescent="0.25">
      <c r="A175" t="s">
        <v>3179</v>
      </c>
      <c r="B175" t="s">
        <v>3435</v>
      </c>
      <c r="C175" t="s">
        <v>3183</v>
      </c>
      <c r="D175">
        <v>32.826601490000002</v>
      </c>
      <c r="E175" t="s">
        <v>3180</v>
      </c>
      <c r="F175">
        <v>107.13366929999999</v>
      </c>
      <c r="G175" t="s">
        <v>3181</v>
      </c>
      <c r="H175">
        <v>14174</v>
      </c>
      <c r="I175" t="s">
        <v>3182</v>
      </c>
    </row>
    <row r="176" spans="1:9" x14ac:dyDescent="0.25">
      <c r="A176" t="s">
        <v>3179</v>
      </c>
      <c r="B176" t="s">
        <v>3564</v>
      </c>
      <c r="C176" t="s">
        <v>3183</v>
      </c>
      <c r="D176">
        <v>33.332600710000001</v>
      </c>
      <c r="E176" t="s">
        <v>3180</v>
      </c>
      <c r="F176">
        <v>110.0654418</v>
      </c>
      <c r="G176" t="s">
        <v>3181</v>
      </c>
      <c r="H176">
        <v>17328</v>
      </c>
      <c r="I176" t="s">
        <v>3182</v>
      </c>
    </row>
    <row r="177" spans="1:9" x14ac:dyDescent="0.25">
      <c r="A177" t="s">
        <v>3179</v>
      </c>
      <c r="B177" t="s">
        <v>3327</v>
      </c>
      <c r="C177" t="s">
        <v>3183</v>
      </c>
      <c r="D177">
        <v>34.474094239999999</v>
      </c>
      <c r="E177" t="s">
        <v>3180</v>
      </c>
      <c r="F177">
        <v>107.8852275</v>
      </c>
      <c r="G177" t="s">
        <v>3181</v>
      </c>
      <c r="H177">
        <v>70852</v>
      </c>
      <c r="I177" t="s">
        <v>3182</v>
      </c>
    </row>
    <row r="178" spans="1:9" x14ac:dyDescent="0.25">
      <c r="A178" t="s">
        <v>3179</v>
      </c>
      <c r="B178" t="s">
        <v>3670</v>
      </c>
      <c r="C178" t="s">
        <v>3183</v>
      </c>
      <c r="D178">
        <v>35.223492239999999</v>
      </c>
      <c r="E178" t="s">
        <v>3180</v>
      </c>
      <c r="F178">
        <v>110.26171170000001</v>
      </c>
      <c r="G178" t="s">
        <v>3181</v>
      </c>
      <c r="H178">
        <v>41113</v>
      </c>
      <c r="I178" t="s">
        <v>3182</v>
      </c>
    </row>
    <row r="179" spans="1:9" x14ac:dyDescent="0.25">
      <c r="A179" t="s">
        <v>3179</v>
      </c>
      <c r="B179" t="s">
        <v>3769</v>
      </c>
      <c r="C179" t="s">
        <v>3183</v>
      </c>
      <c r="D179">
        <v>34.795382740000001</v>
      </c>
      <c r="E179" t="s">
        <v>3180</v>
      </c>
      <c r="F179">
        <v>108.730014</v>
      </c>
      <c r="G179" t="s">
        <v>3181</v>
      </c>
      <c r="H179">
        <v>29044</v>
      </c>
      <c r="I179" t="s">
        <v>3182</v>
      </c>
    </row>
    <row r="180" spans="1:9" x14ac:dyDescent="0.25">
      <c r="A180" t="s">
        <v>3179</v>
      </c>
      <c r="B180" t="s">
        <v>3991</v>
      </c>
      <c r="C180" t="s">
        <v>3183</v>
      </c>
      <c r="D180">
        <v>38.230034439999997</v>
      </c>
      <c r="E180" t="s">
        <v>3180</v>
      </c>
      <c r="F180">
        <v>110.10432729999999</v>
      </c>
      <c r="G180" t="s">
        <v>3181</v>
      </c>
      <c r="H180">
        <v>6379</v>
      </c>
      <c r="I180" t="s">
        <v>3182</v>
      </c>
    </row>
    <row r="181" spans="1:9" x14ac:dyDescent="0.25">
      <c r="A181" t="s">
        <v>3179</v>
      </c>
      <c r="B181" t="s">
        <v>3671</v>
      </c>
      <c r="C181" t="s">
        <v>3183</v>
      </c>
      <c r="D181">
        <v>34.934972279999997</v>
      </c>
      <c r="E181" t="s">
        <v>3180</v>
      </c>
      <c r="F181">
        <v>110.20272420000001</v>
      </c>
      <c r="G181" t="s">
        <v>3181</v>
      </c>
      <c r="H181">
        <v>27647</v>
      </c>
      <c r="I181" t="s">
        <v>3182</v>
      </c>
    </row>
    <row r="182" spans="1:9" x14ac:dyDescent="0.25">
      <c r="A182" t="s">
        <v>3179</v>
      </c>
      <c r="B182" t="s">
        <v>3328</v>
      </c>
      <c r="C182" t="s">
        <v>3183</v>
      </c>
      <c r="D182">
        <v>34.635601209999997</v>
      </c>
      <c r="E182" t="s">
        <v>3180</v>
      </c>
      <c r="F182">
        <v>107.3794852</v>
      </c>
      <c r="G182" t="s">
        <v>3181</v>
      </c>
      <c r="H182">
        <v>16325</v>
      </c>
      <c r="I182" t="s">
        <v>3182</v>
      </c>
    </row>
    <row r="183" spans="1:9" x14ac:dyDescent="0.25">
      <c r="A183" t="s">
        <v>3179</v>
      </c>
      <c r="B183" t="s">
        <v>3992</v>
      </c>
      <c r="C183" t="s">
        <v>3183</v>
      </c>
      <c r="D183">
        <v>37.148032030000003</v>
      </c>
      <c r="E183" t="s">
        <v>3180</v>
      </c>
      <c r="F183">
        <v>107.61023950000001</v>
      </c>
      <c r="G183" t="s">
        <v>3181</v>
      </c>
      <c r="H183">
        <v>4368</v>
      </c>
      <c r="I183" t="s">
        <v>3182</v>
      </c>
    </row>
    <row r="184" spans="1:9" x14ac:dyDescent="0.25">
      <c r="A184" t="s">
        <v>3179</v>
      </c>
      <c r="B184" t="s">
        <v>3672</v>
      </c>
      <c r="C184" t="s">
        <v>3183</v>
      </c>
      <c r="D184">
        <v>34.849711650000003</v>
      </c>
      <c r="E184" t="s">
        <v>3180</v>
      </c>
      <c r="F184">
        <v>109.8351163</v>
      </c>
      <c r="G184" t="s">
        <v>3181</v>
      </c>
      <c r="H184">
        <v>25236</v>
      </c>
      <c r="I184" t="s">
        <v>3182</v>
      </c>
    </row>
    <row r="185" spans="1:9" x14ac:dyDescent="0.25">
      <c r="A185" t="s">
        <v>3179</v>
      </c>
      <c r="B185" t="s">
        <v>3993</v>
      </c>
      <c r="C185" t="s">
        <v>3183</v>
      </c>
      <c r="D185">
        <v>37.266452630000003</v>
      </c>
      <c r="E185" t="s">
        <v>3180</v>
      </c>
      <c r="F185">
        <v>107.34788140000001</v>
      </c>
      <c r="G185" t="s">
        <v>3181</v>
      </c>
      <c r="H185">
        <v>7843</v>
      </c>
      <c r="I185" t="s">
        <v>3182</v>
      </c>
    </row>
    <row r="186" spans="1:9" x14ac:dyDescent="0.25">
      <c r="A186" t="s">
        <v>3179</v>
      </c>
      <c r="B186" t="s">
        <v>3329</v>
      </c>
      <c r="C186" t="s">
        <v>3183</v>
      </c>
      <c r="D186">
        <v>34.582097150000003</v>
      </c>
      <c r="E186" t="s">
        <v>3180</v>
      </c>
      <c r="F186">
        <v>106.4193691</v>
      </c>
      <c r="G186" t="s">
        <v>3181</v>
      </c>
      <c r="H186">
        <v>10250</v>
      </c>
      <c r="I186" t="s">
        <v>3182</v>
      </c>
    </row>
    <row r="187" spans="1:9" x14ac:dyDescent="0.25">
      <c r="A187" t="s">
        <v>3179</v>
      </c>
      <c r="B187" t="s">
        <v>3565</v>
      </c>
      <c r="C187" t="s">
        <v>3183</v>
      </c>
      <c r="D187">
        <v>33.551649259999998</v>
      </c>
      <c r="E187" t="s">
        <v>3180</v>
      </c>
      <c r="F187">
        <v>109.36606190000001</v>
      </c>
      <c r="G187" t="s">
        <v>3181</v>
      </c>
      <c r="H187">
        <v>17850</v>
      </c>
      <c r="I187" t="s">
        <v>3182</v>
      </c>
    </row>
    <row r="188" spans="1:9" x14ac:dyDescent="0.25">
      <c r="A188" t="s">
        <v>3179</v>
      </c>
      <c r="B188" t="s">
        <v>3770</v>
      </c>
      <c r="C188" t="s">
        <v>3183</v>
      </c>
      <c r="D188">
        <v>34.562026789999997</v>
      </c>
      <c r="E188" t="s">
        <v>3180</v>
      </c>
      <c r="F188">
        <v>108.6214569</v>
      </c>
      <c r="G188" t="s">
        <v>3181</v>
      </c>
      <c r="H188">
        <v>26624</v>
      </c>
      <c r="I188" t="s">
        <v>3182</v>
      </c>
    </row>
    <row r="189" spans="1:9" x14ac:dyDescent="0.25">
      <c r="A189" t="s">
        <v>3179</v>
      </c>
      <c r="B189" t="s">
        <v>3330</v>
      </c>
      <c r="C189" t="s">
        <v>3183</v>
      </c>
      <c r="D189">
        <v>34.442359359999998</v>
      </c>
      <c r="E189" t="s">
        <v>3180</v>
      </c>
      <c r="F189">
        <v>107.6250699</v>
      </c>
      <c r="G189" t="s">
        <v>3181</v>
      </c>
      <c r="H189">
        <v>75936</v>
      </c>
      <c r="I189" t="s">
        <v>3182</v>
      </c>
    </row>
    <row r="190" spans="1:9" x14ac:dyDescent="0.25">
      <c r="A190" t="s">
        <v>3179</v>
      </c>
      <c r="B190" t="s">
        <v>3771</v>
      </c>
      <c r="C190" t="s">
        <v>3183</v>
      </c>
      <c r="D190">
        <v>34.6844994</v>
      </c>
      <c r="E190" t="s">
        <v>3180</v>
      </c>
      <c r="F190">
        <v>108.2675272</v>
      </c>
      <c r="G190" t="s">
        <v>3181</v>
      </c>
      <c r="H190">
        <v>19783</v>
      </c>
      <c r="I190" t="s">
        <v>3182</v>
      </c>
    </row>
    <row r="191" spans="1:9" x14ac:dyDescent="0.25">
      <c r="A191" t="s">
        <v>3179</v>
      </c>
      <c r="B191" t="s">
        <v>3772</v>
      </c>
      <c r="C191" t="s">
        <v>3183</v>
      </c>
      <c r="D191">
        <v>34.241498110000002</v>
      </c>
      <c r="E191" t="s">
        <v>3180</v>
      </c>
      <c r="F191">
        <v>108.4131246</v>
      </c>
      <c r="G191" t="s">
        <v>3181</v>
      </c>
      <c r="H191">
        <v>25056</v>
      </c>
      <c r="I191" t="s">
        <v>3182</v>
      </c>
    </row>
    <row r="192" spans="1:9" x14ac:dyDescent="0.25">
      <c r="A192" t="s">
        <v>3179</v>
      </c>
      <c r="B192" t="s">
        <v>3674</v>
      </c>
      <c r="C192" t="s">
        <v>3183</v>
      </c>
      <c r="D192">
        <v>35.332645679999999</v>
      </c>
      <c r="E192" t="s">
        <v>3180</v>
      </c>
      <c r="F192">
        <v>109.7669592</v>
      </c>
      <c r="G192" t="s">
        <v>3181</v>
      </c>
      <c r="H192">
        <v>28093</v>
      </c>
      <c r="I192" t="s">
        <v>3182</v>
      </c>
    </row>
    <row r="193" spans="1:9" x14ac:dyDescent="0.25">
      <c r="A193" t="s">
        <v>3179</v>
      </c>
      <c r="B193" t="s">
        <v>3673</v>
      </c>
      <c r="C193" t="s">
        <v>3183</v>
      </c>
      <c r="D193">
        <v>34.451388080000001</v>
      </c>
      <c r="E193" t="s">
        <v>3180</v>
      </c>
      <c r="F193">
        <v>109.5698307</v>
      </c>
      <c r="G193" t="s">
        <v>3181</v>
      </c>
      <c r="H193">
        <v>24829</v>
      </c>
      <c r="I193" t="s">
        <v>3182</v>
      </c>
    </row>
    <row r="194" spans="1:9" x14ac:dyDescent="0.25">
      <c r="A194" t="s">
        <v>3179</v>
      </c>
      <c r="B194" t="s">
        <v>3331</v>
      </c>
      <c r="C194" t="s">
        <v>3183</v>
      </c>
      <c r="D194">
        <v>33.959627470000001</v>
      </c>
      <c r="E194" t="s">
        <v>3180</v>
      </c>
      <c r="F194">
        <v>106.6824192</v>
      </c>
      <c r="G194" t="s">
        <v>3181</v>
      </c>
      <c r="H194">
        <v>16260</v>
      </c>
      <c r="I194" t="s">
        <v>3182</v>
      </c>
    </row>
    <row r="195" spans="1:9" x14ac:dyDescent="0.25">
      <c r="A195" t="s">
        <v>3179</v>
      </c>
      <c r="B195" t="s">
        <v>3436</v>
      </c>
      <c r="C195" t="s">
        <v>3183</v>
      </c>
      <c r="D195">
        <v>32.529700439999999</v>
      </c>
      <c r="E195" t="s">
        <v>3180</v>
      </c>
      <c r="F195">
        <v>107.2722108</v>
      </c>
      <c r="G195" t="s">
        <v>3181</v>
      </c>
      <c r="H195">
        <v>4077</v>
      </c>
      <c r="I195" t="s">
        <v>3182</v>
      </c>
    </row>
    <row r="196" spans="1:9" x14ac:dyDescent="0.25">
      <c r="A196" t="s">
        <v>3179</v>
      </c>
      <c r="B196" t="s">
        <v>3899</v>
      </c>
      <c r="C196" t="s">
        <v>3183</v>
      </c>
      <c r="D196">
        <v>36.0045316</v>
      </c>
      <c r="E196" t="s">
        <v>3180</v>
      </c>
      <c r="F196">
        <v>109.3804339</v>
      </c>
      <c r="G196" t="s">
        <v>3181</v>
      </c>
      <c r="H196">
        <v>39593</v>
      </c>
      <c r="I196" t="s">
        <v>3182</v>
      </c>
    </row>
    <row r="197" spans="1:9" x14ac:dyDescent="0.25">
      <c r="A197" t="s">
        <v>3179</v>
      </c>
      <c r="B197" t="s">
        <v>3437</v>
      </c>
      <c r="C197" t="s">
        <v>3183</v>
      </c>
      <c r="D197">
        <v>32.970663219999999</v>
      </c>
      <c r="E197" t="s">
        <v>3180</v>
      </c>
      <c r="F197">
        <v>106.67858579999999</v>
      </c>
      <c r="G197" t="s">
        <v>3181</v>
      </c>
      <c r="H197">
        <v>10145</v>
      </c>
      <c r="I197" t="s">
        <v>3182</v>
      </c>
    </row>
    <row r="198" spans="1:9" x14ac:dyDescent="0.25">
      <c r="A198" t="s">
        <v>3179</v>
      </c>
      <c r="B198" t="s">
        <v>3994</v>
      </c>
      <c r="C198" t="s">
        <v>3183</v>
      </c>
      <c r="D198">
        <v>39.006108210000001</v>
      </c>
      <c r="E198" t="s">
        <v>3180</v>
      </c>
      <c r="F198">
        <v>110.9784399</v>
      </c>
      <c r="G198" t="s">
        <v>3181</v>
      </c>
      <c r="H198">
        <v>119394</v>
      </c>
      <c r="I198" t="s">
        <v>3182</v>
      </c>
    </row>
    <row r="199" spans="1:9" x14ac:dyDescent="0.25">
      <c r="A199" t="s">
        <v>3179</v>
      </c>
      <c r="B199" t="s">
        <v>3849</v>
      </c>
      <c r="C199" t="s">
        <v>3183</v>
      </c>
      <c r="D199">
        <v>34.1910983</v>
      </c>
      <c r="E199" t="s">
        <v>3180</v>
      </c>
      <c r="F199">
        <v>108.3330788</v>
      </c>
      <c r="G199" t="s">
        <v>3181</v>
      </c>
      <c r="H199">
        <v>38855</v>
      </c>
      <c r="I199" t="s">
        <v>3182</v>
      </c>
    </row>
    <row r="200" spans="1:9" x14ac:dyDescent="0.25">
      <c r="A200" t="s">
        <v>3179</v>
      </c>
      <c r="B200" t="s">
        <v>3566</v>
      </c>
      <c r="C200" t="s">
        <v>3183</v>
      </c>
      <c r="D200">
        <v>33.509569259999999</v>
      </c>
      <c r="E200" t="s">
        <v>3180</v>
      </c>
      <c r="F200">
        <v>110.9631509</v>
      </c>
      <c r="G200" t="s">
        <v>3181</v>
      </c>
      <c r="H200">
        <v>21753</v>
      </c>
      <c r="I200" t="s">
        <v>3182</v>
      </c>
    </row>
    <row r="201" spans="1:9" x14ac:dyDescent="0.25">
      <c r="A201" t="s">
        <v>3179</v>
      </c>
      <c r="B201" t="s">
        <v>3773</v>
      </c>
      <c r="C201" t="s">
        <v>3183</v>
      </c>
      <c r="D201">
        <v>34.258010489999997</v>
      </c>
      <c r="E201" t="s">
        <v>3180</v>
      </c>
      <c r="F201">
        <v>108.5523669</v>
      </c>
      <c r="G201" t="s">
        <v>3181</v>
      </c>
      <c r="H201">
        <v>40299</v>
      </c>
      <c r="I201" t="s">
        <v>3182</v>
      </c>
    </row>
    <row r="202" spans="1:9" x14ac:dyDescent="0.25">
      <c r="A202" t="s">
        <v>3179</v>
      </c>
      <c r="B202" t="s">
        <v>3900</v>
      </c>
      <c r="C202" t="s">
        <v>3183</v>
      </c>
      <c r="D202">
        <v>36.761257389999997</v>
      </c>
      <c r="E202" t="s">
        <v>3180</v>
      </c>
      <c r="F202">
        <v>109.82174329999999</v>
      </c>
      <c r="G202" t="s">
        <v>3181</v>
      </c>
      <c r="H202">
        <v>9167</v>
      </c>
      <c r="I202" t="s">
        <v>3182</v>
      </c>
    </row>
    <row r="203" spans="1:9" x14ac:dyDescent="0.25">
      <c r="A203" t="s">
        <v>3179</v>
      </c>
      <c r="B203" t="s">
        <v>3850</v>
      </c>
      <c r="C203" t="s">
        <v>3183</v>
      </c>
      <c r="D203">
        <v>34.160467920000002</v>
      </c>
      <c r="E203" t="s">
        <v>3180</v>
      </c>
      <c r="F203">
        <v>108.5114384</v>
      </c>
      <c r="G203" t="s">
        <v>3181</v>
      </c>
      <c r="H203">
        <v>27354</v>
      </c>
      <c r="I203" t="s">
        <v>3182</v>
      </c>
    </row>
    <row r="204" spans="1:9" x14ac:dyDescent="0.25">
      <c r="A204" t="s">
        <v>3179</v>
      </c>
      <c r="B204" t="s">
        <v>5678</v>
      </c>
      <c r="C204" t="s">
        <v>3183</v>
      </c>
      <c r="D204">
        <v>35.338387949999998</v>
      </c>
      <c r="E204" t="s">
        <v>3180</v>
      </c>
      <c r="F204">
        <v>110.1030731</v>
      </c>
      <c r="G204" t="s">
        <v>3181</v>
      </c>
      <c r="H204">
        <v>26224</v>
      </c>
      <c r="I204" t="s">
        <v>3182</v>
      </c>
    </row>
    <row r="205" spans="1:9" x14ac:dyDescent="0.25">
      <c r="A205" t="s">
        <v>3179</v>
      </c>
      <c r="B205" t="s">
        <v>5679</v>
      </c>
      <c r="C205" t="s">
        <v>3183</v>
      </c>
      <c r="D205">
        <v>34.72668195</v>
      </c>
      <c r="E205" t="s">
        <v>3180</v>
      </c>
      <c r="F205">
        <v>108.04142349999999</v>
      </c>
      <c r="G205" t="s">
        <v>3181</v>
      </c>
      <c r="H205">
        <v>15539</v>
      </c>
      <c r="I205" t="s">
        <v>3182</v>
      </c>
    </row>
    <row r="206" spans="1:9" x14ac:dyDescent="0.25">
      <c r="A206" t="s">
        <v>3179</v>
      </c>
      <c r="B206" t="s">
        <v>3200</v>
      </c>
      <c r="C206" t="s">
        <v>3183</v>
      </c>
      <c r="D206">
        <v>32.911832599999997</v>
      </c>
      <c r="E206" t="s">
        <v>3180</v>
      </c>
      <c r="F206">
        <v>109.2436282</v>
      </c>
      <c r="G206" t="s">
        <v>3181</v>
      </c>
      <c r="H206">
        <v>16106</v>
      </c>
      <c r="I206" t="s">
        <v>3182</v>
      </c>
    </row>
    <row r="207" spans="1:9" x14ac:dyDescent="0.25">
      <c r="A207" t="s">
        <v>3179</v>
      </c>
      <c r="B207" t="s">
        <v>3997</v>
      </c>
      <c r="C207" t="s">
        <v>3183</v>
      </c>
      <c r="D207">
        <v>37.662728620000003</v>
      </c>
      <c r="E207" t="s">
        <v>3180</v>
      </c>
      <c r="F207">
        <v>109.52389530000001</v>
      </c>
      <c r="G207" t="s">
        <v>3181</v>
      </c>
      <c r="H207">
        <v>17828</v>
      </c>
      <c r="I207" t="s">
        <v>3182</v>
      </c>
    </row>
    <row r="208" spans="1:9" x14ac:dyDescent="0.25">
      <c r="A208" t="s">
        <v>3179</v>
      </c>
      <c r="B208" t="s">
        <v>3567</v>
      </c>
      <c r="C208" t="s">
        <v>3183</v>
      </c>
      <c r="D208">
        <v>33.493568699999997</v>
      </c>
      <c r="E208" t="s">
        <v>3180</v>
      </c>
      <c r="F208">
        <v>110.0546117</v>
      </c>
      <c r="G208" t="s">
        <v>3181</v>
      </c>
      <c r="H208">
        <v>38703</v>
      </c>
      <c r="I208" t="s">
        <v>3182</v>
      </c>
    </row>
    <row r="209" spans="1:9" x14ac:dyDescent="0.25">
      <c r="A209" t="s">
        <v>3179</v>
      </c>
      <c r="B209" t="s">
        <v>3438</v>
      </c>
      <c r="C209" t="s">
        <v>3183</v>
      </c>
      <c r="D209">
        <v>32.837251440000003</v>
      </c>
      <c r="E209" t="s">
        <v>3180</v>
      </c>
      <c r="F209">
        <v>108.0493633</v>
      </c>
      <c r="G209" t="s">
        <v>3181</v>
      </c>
      <c r="H209">
        <v>21071</v>
      </c>
      <c r="I209" t="s">
        <v>3182</v>
      </c>
    </row>
    <row r="210" spans="1:9" x14ac:dyDescent="0.25">
      <c r="A210" t="s">
        <v>3179</v>
      </c>
      <c r="B210" t="s">
        <v>3568</v>
      </c>
      <c r="C210" t="s">
        <v>3183</v>
      </c>
      <c r="D210">
        <v>33.308412500000003</v>
      </c>
      <c r="E210" t="s">
        <v>3180</v>
      </c>
      <c r="F210">
        <v>109.2574891</v>
      </c>
      <c r="G210" t="s">
        <v>3181</v>
      </c>
      <c r="H210">
        <v>17707</v>
      </c>
      <c r="I210" t="s">
        <v>3182</v>
      </c>
    </row>
    <row r="211" spans="1:9" x14ac:dyDescent="0.25">
      <c r="A211" t="s">
        <v>3179</v>
      </c>
      <c r="B211" t="s">
        <v>3332</v>
      </c>
      <c r="C211" t="s">
        <v>3183</v>
      </c>
      <c r="D211">
        <v>34.359852500000002</v>
      </c>
      <c r="E211" t="s">
        <v>3180</v>
      </c>
      <c r="F211">
        <v>106.9824102</v>
      </c>
      <c r="G211" t="s">
        <v>3181</v>
      </c>
      <c r="H211">
        <v>31118</v>
      </c>
      <c r="I211" t="s">
        <v>3182</v>
      </c>
    </row>
    <row r="212" spans="1:9" x14ac:dyDescent="0.25">
      <c r="A212" t="s">
        <v>3179</v>
      </c>
      <c r="B212" t="s">
        <v>3995</v>
      </c>
      <c r="C212" t="s">
        <v>3183</v>
      </c>
      <c r="D212">
        <v>38.577076220000002</v>
      </c>
      <c r="E212" t="s">
        <v>3180</v>
      </c>
      <c r="F212">
        <v>110.3056579</v>
      </c>
      <c r="G212" t="s">
        <v>3181</v>
      </c>
      <c r="H212">
        <v>13851</v>
      </c>
      <c r="I212" t="s">
        <v>3182</v>
      </c>
    </row>
    <row r="213" spans="1:9" x14ac:dyDescent="0.25">
      <c r="A213" t="s">
        <v>3179</v>
      </c>
      <c r="B213" t="s">
        <v>3996</v>
      </c>
      <c r="C213" t="s">
        <v>3183</v>
      </c>
      <c r="D213">
        <v>37.122652389999999</v>
      </c>
      <c r="E213" t="s">
        <v>3180</v>
      </c>
      <c r="F213">
        <v>110.4666945</v>
      </c>
      <c r="G213" t="s">
        <v>3181</v>
      </c>
      <c r="H213">
        <v>7611</v>
      </c>
      <c r="I213" t="s">
        <v>3182</v>
      </c>
    </row>
    <row r="214" spans="1:9" x14ac:dyDescent="0.25">
      <c r="A214" t="s">
        <v>3179</v>
      </c>
      <c r="B214" t="s">
        <v>5680</v>
      </c>
      <c r="C214" t="s">
        <v>3183</v>
      </c>
      <c r="D214">
        <v>32.376880929999999</v>
      </c>
      <c r="E214" t="s">
        <v>3180</v>
      </c>
      <c r="F214">
        <v>108.4376242</v>
      </c>
      <c r="G214" t="s">
        <v>3181</v>
      </c>
      <c r="H214">
        <v>18493</v>
      </c>
      <c r="I214" t="s">
        <v>3182</v>
      </c>
    </row>
    <row r="215" spans="1:9" x14ac:dyDescent="0.25">
      <c r="A215" t="s">
        <v>3179</v>
      </c>
      <c r="B215" t="s">
        <v>5681</v>
      </c>
      <c r="C215" t="s">
        <v>3183</v>
      </c>
      <c r="D215">
        <v>36.605716459999996</v>
      </c>
      <c r="E215" t="s">
        <v>3180</v>
      </c>
      <c r="F215">
        <v>109.2069966</v>
      </c>
      <c r="G215" t="s">
        <v>3181</v>
      </c>
      <c r="H215">
        <v>6623</v>
      </c>
      <c r="I215" t="s">
        <v>3182</v>
      </c>
    </row>
    <row r="216" spans="1:9" x14ac:dyDescent="0.25">
      <c r="A216" t="s">
        <v>3179</v>
      </c>
      <c r="B216" t="s">
        <v>3439</v>
      </c>
      <c r="C216" t="s">
        <v>3183</v>
      </c>
      <c r="D216">
        <v>33.052695620000001</v>
      </c>
      <c r="E216" t="s">
        <v>3180</v>
      </c>
      <c r="F216">
        <v>106.841477</v>
      </c>
      <c r="G216" t="s">
        <v>3181</v>
      </c>
      <c r="H216">
        <v>21101</v>
      </c>
      <c r="I216" t="s">
        <v>3182</v>
      </c>
    </row>
    <row r="217" spans="1:9" x14ac:dyDescent="0.25">
      <c r="A217" t="s">
        <v>3179</v>
      </c>
      <c r="B217" t="s">
        <v>3201</v>
      </c>
      <c r="C217" t="s">
        <v>3183</v>
      </c>
      <c r="D217">
        <v>32.408421310000001</v>
      </c>
      <c r="E217" t="s">
        <v>3180</v>
      </c>
      <c r="F217">
        <v>108.2752967</v>
      </c>
      <c r="G217" t="s">
        <v>3181</v>
      </c>
      <c r="H217">
        <v>28149</v>
      </c>
      <c r="I217" t="s">
        <v>3182</v>
      </c>
    </row>
    <row r="218" spans="1:9" x14ac:dyDescent="0.25">
      <c r="A218" t="s">
        <v>3179</v>
      </c>
      <c r="B218" t="s">
        <v>3675</v>
      </c>
      <c r="C218" t="s">
        <v>3183</v>
      </c>
      <c r="D218">
        <v>34.33216951</v>
      </c>
      <c r="E218" t="s">
        <v>3180</v>
      </c>
      <c r="F218">
        <v>109.69341129999999</v>
      </c>
      <c r="G218" t="s">
        <v>3181</v>
      </c>
      <c r="H218">
        <v>25467</v>
      </c>
      <c r="I218" t="s">
        <v>3182</v>
      </c>
    </row>
    <row r="219" spans="1:9" x14ac:dyDescent="0.25">
      <c r="A219" t="s">
        <v>3179</v>
      </c>
      <c r="B219" t="s">
        <v>3333</v>
      </c>
      <c r="C219" t="s">
        <v>3183</v>
      </c>
      <c r="D219">
        <v>34.850750380000001</v>
      </c>
      <c r="E219" t="s">
        <v>3180</v>
      </c>
      <c r="F219">
        <v>107.3000888</v>
      </c>
      <c r="G219" t="s">
        <v>3181</v>
      </c>
      <c r="H219">
        <v>4026</v>
      </c>
      <c r="I219" t="s">
        <v>3182</v>
      </c>
    </row>
    <row r="220" spans="1:9" x14ac:dyDescent="0.25">
      <c r="A220" t="s">
        <v>3179</v>
      </c>
      <c r="B220" t="s">
        <v>3676</v>
      </c>
      <c r="C220" t="s">
        <v>3183</v>
      </c>
      <c r="D220">
        <v>35.130371029999999</v>
      </c>
      <c r="E220" t="s">
        <v>3180</v>
      </c>
      <c r="F220">
        <v>109.48701440000001</v>
      </c>
      <c r="G220" t="s">
        <v>3181</v>
      </c>
      <c r="H220">
        <v>17997</v>
      </c>
      <c r="I220" t="s">
        <v>3182</v>
      </c>
    </row>
    <row r="221" spans="1:9" x14ac:dyDescent="0.25">
      <c r="A221" t="s">
        <v>3179</v>
      </c>
      <c r="B221" t="s">
        <v>3569</v>
      </c>
      <c r="C221" t="s">
        <v>3183</v>
      </c>
      <c r="D221">
        <v>33.9466015</v>
      </c>
      <c r="E221" t="s">
        <v>3180</v>
      </c>
      <c r="F221">
        <v>110.5750638</v>
      </c>
      <c r="G221" t="s">
        <v>3181</v>
      </c>
      <c r="H221">
        <v>11081</v>
      </c>
      <c r="I221" t="s">
        <v>3182</v>
      </c>
    </row>
    <row r="222" spans="1:9" x14ac:dyDescent="0.25">
      <c r="A222" t="s">
        <v>3179</v>
      </c>
      <c r="B222" t="s">
        <v>3851</v>
      </c>
      <c r="C222" t="s">
        <v>3183</v>
      </c>
      <c r="D222">
        <v>34.474369410000001</v>
      </c>
      <c r="E222" t="s">
        <v>3180</v>
      </c>
      <c r="F222">
        <v>108.8889137</v>
      </c>
      <c r="G222" t="s">
        <v>3181</v>
      </c>
      <c r="H222">
        <v>28915</v>
      </c>
      <c r="I222" t="s">
        <v>3182</v>
      </c>
    </row>
    <row r="223" spans="1:9" x14ac:dyDescent="0.25">
      <c r="A223" t="s">
        <v>3179</v>
      </c>
      <c r="B223" t="s">
        <v>3852</v>
      </c>
      <c r="C223" t="s">
        <v>3183</v>
      </c>
      <c r="D223">
        <v>33.931891630000003</v>
      </c>
      <c r="E223" t="s">
        <v>3180</v>
      </c>
      <c r="F223">
        <v>109.4969962</v>
      </c>
      <c r="G223" t="s">
        <v>3181</v>
      </c>
      <c r="H223">
        <v>11451</v>
      </c>
      <c r="I223" t="s">
        <v>3182</v>
      </c>
    </row>
    <row r="224" spans="1:9" x14ac:dyDescent="0.25">
      <c r="A224" t="s">
        <v>3179</v>
      </c>
      <c r="B224" t="s">
        <v>3677</v>
      </c>
      <c r="C224" t="s">
        <v>3183</v>
      </c>
      <c r="D224">
        <v>34.870771509999997</v>
      </c>
      <c r="E224" t="s">
        <v>3180</v>
      </c>
      <c r="F224">
        <v>109.15582980000001</v>
      </c>
      <c r="G224" t="s">
        <v>3181</v>
      </c>
      <c r="H224">
        <v>34582</v>
      </c>
      <c r="I224" t="s">
        <v>3182</v>
      </c>
    </row>
    <row r="225" spans="1:9" x14ac:dyDescent="0.25">
      <c r="A225" t="s">
        <v>3179</v>
      </c>
      <c r="B225" t="s">
        <v>3202</v>
      </c>
      <c r="C225" t="s">
        <v>3183</v>
      </c>
      <c r="D225">
        <v>32.720790289999997</v>
      </c>
      <c r="E225" t="s">
        <v>3180</v>
      </c>
      <c r="F225">
        <v>110.0453511</v>
      </c>
      <c r="G225" t="s">
        <v>3181</v>
      </c>
      <c r="H225">
        <v>8071</v>
      </c>
      <c r="I225" t="s">
        <v>3182</v>
      </c>
    </row>
    <row r="226" spans="1:9" x14ac:dyDescent="0.25">
      <c r="A226" t="s">
        <v>3179</v>
      </c>
      <c r="B226" t="s">
        <v>3203</v>
      </c>
      <c r="C226" t="s">
        <v>3183</v>
      </c>
      <c r="D226">
        <v>32.936034980000002</v>
      </c>
      <c r="E226" t="s">
        <v>3180</v>
      </c>
      <c r="F226">
        <v>109.4373411</v>
      </c>
      <c r="G226" t="s">
        <v>3181</v>
      </c>
      <c r="H226">
        <v>11462</v>
      </c>
      <c r="I226" t="s">
        <v>3182</v>
      </c>
    </row>
    <row r="227" spans="1:9" x14ac:dyDescent="0.25">
      <c r="A227" t="s">
        <v>3179</v>
      </c>
      <c r="B227" t="s">
        <v>3678</v>
      </c>
      <c r="C227" t="s">
        <v>3183</v>
      </c>
      <c r="D227">
        <v>34.710293780000001</v>
      </c>
      <c r="E227" t="s">
        <v>3180</v>
      </c>
      <c r="F227">
        <v>109.9377966</v>
      </c>
      <c r="G227" t="s">
        <v>3181</v>
      </c>
      <c r="H227">
        <v>26659</v>
      </c>
      <c r="I227" t="s">
        <v>3182</v>
      </c>
    </row>
    <row r="228" spans="1:9" x14ac:dyDescent="0.25">
      <c r="A228" t="s">
        <v>3179</v>
      </c>
      <c r="B228" t="s">
        <v>3679</v>
      </c>
      <c r="C228" t="s">
        <v>3183</v>
      </c>
      <c r="D228">
        <v>34.632515089999998</v>
      </c>
      <c r="E228" t="s">
        <v>3180</v>
      </c>
      <c r="F228">
        <v>109.4724969</v>
      </c>
      <c r="G228" t="s">
        <v>3181</v>
      </c>
      <c r="H228">
        <v>26884</v>
      </c>
      <c r="I228" t="s">
        <v>3182</v>
      </c>
    </row>
    <row r="229" spans="1:9" x14ac:dyDescent="0.25">
      <c r="A229" t="s">
        <v>3179</v>
      </c>
      <c r="B229" t="s">
        <v>3440</v>
      </c>
      <c r="C229" t="s">
        <v>3183</v>
      </c>
      <c r="D229">
        <v>33.440378170000002</v>
      </c>
      <c r="E229" t="s">
        <v>3180</v>
      </c>
      <c r="F229">
        <v>107.4668388</v>
      </c>
      <c r="G229" t="s">
        <v>3181</v>
      </c>
      <c r="H229">
        <v>5849</v>
      </c>
      <c r="I229" t="s">
        <v>3182</v>
      </c>
    </row>
    <row r="230" spans="1:9" x14ac:dyDescent="0.25">
      <c r="A230" t="s">
        <v>3179</v>
      </c>
      <c r="B230" t="s">
        <v>3680</v>
      </c>
      <c r="C230" t="s">
        <v>3183</v>
      </c>
      <c r="D230">
        <v>34.727448959999997</v>
      </c>
      <c r="E230" t="s">
        <v>3180</v>
      </c>
      <c r="F230">
        <v>109.4468585</v>
      </c>
      <c r="G230" t="s">
        <v>3181</v>
      </c>
      <c r="H230">
        <v>32240</v>
      </c>
      <c r="I230" t="s">
        <v>3182</v>
      </c>
    </row>
    <row r="231" spans="1:9" x14ac:dyDescent="0.25">
      <c r="A231" t="s">
        <v>3179</v>
      </c>
      <c r="B231" t="s">
        <v>3204</v>
      </c>
      <c r="C231" t="s">
        <v>3183</v>
      </c>
      <c r="D231">
        <v>32.22622638</v>
      </c>
      <c r="E231" t="s">
        <v>3180</v>
      </c>
      <c r="F231">
        <v>109.3713474</v>
      </c>
      <c r="G231" t="s">
        <v>3181</v>
      </c>
      <c r="H231">
        <v>20637</v>
      </c>
      <c r="I231" t="s">
        <v>3182</v>
      </c>
    </row>
    <row r="232" spans="1:9" x14ac:dyDescent="0.25">
      <c r="A232" t="s">
        <v>3179</v>
      </c>
      <c r="B232" t="s">
        <v>3205</v>
      </c>
      <c r="C232" t="s">
        <v>3183</v>
      </c>
      <c r="D232">
        <v>33.763301230000003</v>
      </c>
      <c r="E232" t="s">
        <v>3180</v>
      </c>
      <c r="F232">
        <v>108.7463984</v>
      </c>
      <c r="G232" t="s">
        <v>3181</v>
      </c>
      <c r="H232">
        <v>4968</v>
      </c>
      <c r="I232" t="s">
        <v>3182</v>
      </c>
    </row>
    <row r="233" spans="1:9" x14ac:dyDescent="0.25">
      <c r="A233" t="s">
        <v>3179</v>
      </c>
      <c r="B233" t="s">
        <v>3853</v>
      </c>
      <c r="C233" t="s">
        <v>3183</v>
      </c>
      <c r="D233">
        <v>34.111127920000001</v>
      </c>
      <c r="E233" t="s">
        <v>3180</v>
      </c>
      <c r="F233">
        <v>108.1377952</v>
      </c>
      <c r="G233" t="s">
        <v>3181</v>
      </c>
      <c r="H233">
        <v>35223</v>
      </c>
      <c r="I233" t="s">
        <v>3182</v>
      </c>
    </row>
    <row r="234" spans="1:9" x14ac:dyDescent="0.25">
      <c r="A234" t="s">
        <v>3179</v>
      </c>
      <c r="B234" t="s">
        <v>3441</v>
      </c>
      <c r="C234" t="s">
        <v>3183</v>
      </c>
      <c r="D234">
        <v>32.77762559</v>
      </c>
      <c r="E234" t="s">
        <v>3180</v>
      </c>
      <c r="F234">
        <v>105.65960920000001</v>
      </c>
      <c r="G234" t="s">
        <v>3181</v>
      </c>
      <c r="H234">
        <v>9225</v>
      </c>
      <c r="I234" t="s">
        <v>3182</v>
      </c>
    </row>
    <row r="235" spans="1:9" x14ac:dyDescent="0.25">
      <c r="A235" t="s">
        <v>3179</v>
      </c>
      <c r="B235" t="s">
        <v>3638</v>
      </c>
      <c r="C235" t="s">
        <v>3183</v>
      </c>
      <c r="D235">
        <v>35.125207340000003</v>
      </c>
      <c r="E235" t="s">
        <v>3180</v>
      </c>
      <c r="F235">
        <v>109.334057</v>
      </c>
      <c r="G235" t="s">
        <v>3181</v>
      </c>
      <c r="H235">
        <v>39841</v>
      </c>
      <c r="I235" t="s">
        <v>3182</v>
      </c>
    </row>
    <row r="236" spans="1:9" x14ac:dyDescent="0.25">
      <c r="A236" t="s">
        <v>3179</v>
      </c>
      <c r="B236" t="s">
        <v>3206</v>
      </c>
      <c r="C236" t="s">
        <v>3183</v>
      </c>
      <c r="D236">
        <v>32.669178719999998</v>
      </c>
      <c r="E236" t="s">
        <v>3180</v>
      </c>
      <c r="F236">
        <v>109.1963983</v>
      </c>
      <c r="G236" t="s">
        <v>3181</v>
      </c>
      <c r="H236">
        <v>15743</v>
      </c>
      <c r="I236" t="s">
        <v>3182</v>
      </c>
    </row>
    <row r="237" spans="1:9" x14ac:dyDescent="0.25">
      <c r="A237" t="s">
        <v>3179</v>
      </c>
      <c r="B237" t="s">
        <v>3207</v>
      </c>
      <c r="C237" t="s">
        <v>3183</v>
      </c>
      <c r="D237">
        <v>32.931839840000002</v>
      </c>
      <c r="E237" t="s">
        <v>3180</v>
      </c>
      <c r="F237">
        <v>109.5624799</v>
      </c>
      <c r="G237" t="s">
        <v>3181</v>
      </c>
      <c r="H237">
        <v>14352</v>
      </c>
      <c r="I237" t="s">
        <v>3182</v>
      </c>
    </row>
    <row r="238" spans="1:9" x14ac:dyDescent="0.25">
      <c r="A238" t="s">
        <v>3179</v>
      </c>
      <c r="B238" t="s">
        <v>3681</v>
      </c>
      <c r="C238" t="s">
        <v>3183</v>
      </c>
      <c r="D238">
        <v>34.743006569999999</v>
      </c>
      <c r="E238" t="s">
        <v>3180</v>
      </c>
      <c r="F238">
        <v>109.714224</v>
      </c>
      <c r="G238" t="s">
        <v>3181</v>
      </c>
      <c r="H238">
        <v>20193</v>
      </c>
      <c r="I238" t="s">
        <v>3182</v>
      </c>
    </row>
    <row r="239" spans="1:9" x14ac:dyDescent="0.25">
      <c r="A239" t="s">
        <v>3179</v>
      </c>
      <c r="B239" t="s">
        <v>3208</v>
      </c>
      <c r="C239" t="s">
        <v>3183</v>
      </c>
      <c r="D239">
        <v>32.767071219999998</v>
      </c>
      <c r="E239" t="s">
        <v>3180</v>
      </c>
      <c r="F239">
        <v>109.0526605</v>
      </c>
      <c r="G239" t="s">
        <v>3181</v>
      </c>
      <c r="H239">
        <v>42200</v>
      </c>
      <c r="I239" t="s">
        <v>3182</v>
      </c>
    </row>
    <row r="240" spans="1:9" x14ac:dyDescent="0.25">
      <c r="A240" t="s">
        <v>3179</v>
      </c>
      <c r="B240" t="s">
        <v>3442</v>
      </c>
      <c r="C240" t="s">
        <v>3183</v>
      </c>
      <c r="D240">
        <v>33.219349999999999</v>
      </c>
      <c r="E240" t="s">
        <v>3180</v>
      </c>
      <c r="F240">
        <v>107.565774</v>
      </c>
      <c r="G240" t="s">
        <v>3181</v>
      </c>
      <c r="H240">
        <v>16285</v>
      </c>
      <c r="I240" t="s">
        <v>3182</v>
      </c>
    </row>
    <row r="241" spans="1:9" x14ac:dyDescent="0.25">
      <c r="A241" t="s">
        <v>3179</v>
      </c>
      <c r="B241" t="s">
        <v>3444</v>
      </c>
      <c r="C241" t="s">
        <v>3183</v>
      </c>
      <c r="D241">
        <v>32.49698695</v>
      </c>
      <c r="E241" t="s">
        <v>3180</v>
      </c>
      <c r="F241">
        <v>108.11647139999999</v>
      </c>
      <c r="G241" t="s">
        <v>3181</v>
      </c>
      <c r="H241">
        <v>10785</v>
      </c>
      <c r="I241" t="s">
        <v>3182</v>
      </c>
    </row>
    <row r="242" spans="1:9" x14ac:dyDescent="0.25">
      <c r="A242" t="s">
        <v>3179</v>
      </c>
      <c r="B242" t="s">
        <v>3209</v>
      </c>
      <c r="C242" t="s">
        <v>3183</v>
      </c>
      <c r="D242">
        <v>33.035308909999998</v>
      </c>
      <c r="E242" t="s">
        <v>3180</v>
      </c>
      <c r="F242">
        <v>108.5103731</v>
      </c>
      <c r="G242" t="s">
        <v>3181</v>
      </c>
      <c r="H242">
        <v>7292</v>
      </c>
      <c r="I242" t="s">
        <v>3182</v>
      </c>
    </row>
    <row r="243" spans="1:9" x14ac:dyDescent="0.25">
      <c r="A243" t="s">
        <v>3179</v>
      </c>
      <c r="B243" t="s">
        <v>3443</v>
      </c>
      <c r="C243" t="s">
        <v>3183</v>
      </c>
      <c r="D243">
        <v>33.365643319999997</v>
      </c>
      <c r="E243" t="s">
        <v>3180</v>
      </c>
      <c r="F243">
        <v>106.4586638</v>
      </c>
      <c r="G243" t="s">
        <v>3181</v>
      </c>
      <c r="H243">
        <v>3207</v>
      </c>
      <c r="I243" t="s">
        <v>3182</v>
      </c>
    </row>
    <row r="244" spans="1:9" x14ac:dyDescent="0.25">
      <c r="A244" t="s">
        <v>3179</v>
      </c>
      <c r="B244" t="s">
        <v>3210</v>
      </c>
      <c r="C244" t="s">
        <v>3183</v>
      </c>
      <c r="D244">
        <v>32.19671366</v>
      </c>
      <c r="E244" t="s">
        <v>3180</v>
      </c>
      <c r="F244">
        <v>108.6975527</v>
      </c>
      <c r="G244" t="s">
        <v>3181</v>
      </c>
      <c r="H244">
        <v>6590</v>
      </c>
      <c r="I244" t="s">
        <v>3182</v>
      </c>
    </row>
    <row r="245" spans="1:9" x14ac:dyDescent="0.25">
      <c r="A245" t="s">
        <v>3179</v>
      </c>
      <c r="B245" t="s">
        <v>5682</v>
      </c>
      <c r="C245" t="s">
        <v>3183</v>
      </c>
      <c r="D245">
        <v>34.983099260000003</v>
      </c>
      <c r="E245" t="s">
        <v>3180</v>
      </c>
      <c r="F245">
        <v>108.8271469</v>
      </c>
      <c r="G245" t="s">
        <v>3181</v>
      </c>
      <c r="H245">
        <v>19229</v>
      </c>
      <c r="I245" t="s">
        <v>3182</v>
      </c>
    </row>
    <row r="246" spans="1:9" x14ac:dyDescent="0.25">
      <c r="A246" t="s">
        <v>3179</v>
      </c>
      <c r="B246" t="s">
        <v>5683</v>
      </c>
      <c r="C246" t="s">
        <v>3183</v>
      </c>
      <c r="D246">
        <v>36.90814529</v>
      </c>
      <c r="E246" t="s">
        <v>3180</v>
      </c>
      <c r="F246">
        <v>109.8983594</v>
      </c>
      <c r="G246" t="s">
        <v>3181</v>
      </c>
      <c r="H246">
        <v>7038</v>
      </c>
      <c r="I246" t="s">
        <v>3182</v>
      </c>
    </row>
    <row r="247" spans="1:9" x14ac:dyDescent="0.25">
      <c r="A247" t="s">
        <v>3179</v>
      </c>
      <c r="B247" t="s">
        <v>3639</v>
      </c>
      <c r="C247" t="s">
        <v>3183</v>
      </c>
      <c r="D247">
        <v>34.872497629999998</v>
      </c>
      <c r="E247" t="s">
        <v>3180</v>
      </c>
      <c r="F247">
        <v>108.3948103</v>
      </c>
      <c r="G247" t="s">
        <v>3181</v>
      </c>
      <c r="H247">
        <v>33041</v>
      </c>
      <c r="I247" t="s">
        <v>3182</v>
      </c>
    </row>
    <row r="248" spans="1:9" x14ac:dyDescent="0.25">
      <c r="A248" t="s">
        <v>3179</v>
      </c>
      <c r="B248" t="s">
        <v>3682</v>
      </c>
      <c r="C248" t="s">
        <v>3183</v>
      </c>
      <c r="D248">
        <v>34.477319459999997</v>
      </c>
      <c r="E248" t="s">
        <v>3180</v>
      </c>
      <c r="F248">
        <v>109.7098982</v>
      </c>
      <c r="G248" t="s">
        <v>3181</v>
      </c>
      <c r="H248">
        <v>29217</v>
      </c>
      <c r="I248" t="s">
        <v>3182</v>
      </c>
    </row>
    <row r="249" spans="1:9" x14ac:dyDescent="0.25">
      <c r="A249" t="s">
        <v>3179</v>
      </c>
      <c r="B249" t="s">
        <v>5684</v>
      </c>
      <c r="C249" t="s">
        <v>3183</v>
      </c>
      <c r="D249">
        <v>32.991600099999999</v>
      </c>
      <c r="E249" t="s">
        <v>3180</v>
      </c>
      <c r="F249">
        <v>107.8273164</v>
      </c>
      <c r="G249" t="s">
        <v>3181</v>
      </c>
      <c r="H249">
        <v>15184</v>
      </c>
      <c r="I249" t="s">
        <v>3182</v>
      </c>
    </row>
    <row r="250" spans="1:9" x14ac:dyDescent="0.25">
      <c r="A250" t="s">
        <v>3179</v>
      </c>
      <c r="B250" t="s">
        <v>5685</v>
      </c>
      <c r="C250" t="s">
        <v>3183</v>
      </c>
      <c r="D250">
        <v>39.504684419999997</v>
      </c>
      <c r="E250" t="s">
        <v>3180</v>
      </c>
      <c r="F250">
        <v>111.0332477</v>
      </c>
      <c r="G250" t="s">
        <v>3181</v>
      </c>
      <c r="H250">
        <v>5693</v>
      </c>
      <c r="I250" t="s">
        <v>3182</v>
      </c>
    </row>
    <row r="251" spans="1:9" x14ac:dyDescent="0.25">
      <c r="A251" t="s">
        <v>3179</v>
      </c>
      <c r="B251" t="s">
        <v>3445</v>
      </c>
      <c r="C251" t="s">
        <v>3183</v>
      </c>
      <c r="D251">
        <v>34.028663289999997</v>
      </c>
      <c r="E251" t="s">
        <v>3180</v>
      </c>
      <c r="F251">
        <v>110.3561895</v>
      </c>
      <c r="G251" t="s">
        <v>3181</v>
      </c>
      <c r="H251">
        <v>37771</v>
      </c>
      <c r="I251" t="s">
        <v>3182</v>
      </c>
    </row>
    <row r="252" spans="1:9" x14ac:dyDescent="0.25">
      <c r="A252" t="s">
        <v>3179</v>
      </c>
      <c r="B252" t="s">
        <v>3334</v>
      </c>
      <c r="C252" t="s">
        <v>3183</v>
      </c>
      <c r="D252">
        <v>34.959573749999997</v>
      </c>
      <c r="E252" t="s">
        <v>3180</v>
      </c>
      <c r="F252">
        <v>106.5698131</v>
      </c>
      <c r="G252" t="s">
        <v>3181</v>
      </c>
      <c r="H252">
        <v>8482</v>
      </c>
      <c r="I252" t="s">
        <v>3182</v>
      </c>
    </row>
    <row r="253" spans="1:9" x14ac:dyDescent="0.25">
      <c r="A253" t="s">
        <v>3179</v>
      </c>
      <c r="B253" t="s">
        <v>3335</v>
      </c>
      <c r="C253" t="s">
        <v>3183</v>
      </c>
      <c r="D253">
        <v>34.52122129</v>
      </c>
      <c r="E253" t="s">
        <v>3180</v>
      </c>
      <c r="F253">
        <v>107.6620831</v>
      </c>
      <c r="G253" t="s">
        <v>3181</v>
      </c>
      <c r="H253">
        <v>19565</v>
      </c>
      <c r="I253" t="s">
        <v>3182</v>
      </c>
    </row>
    <row r="254" spans="1:9" x14ac:dyDescent="0.25">
      <c r="A254" t="s">
        <v>3179</v>
      </c>
      <c r="B254" t="s">
        <v>3446</v>
      </c>
      <c r="C254" t="s">
        <v>3183</v>
      </c>
      <c r="D254">
        <v>33.327930209999998</v>
      </c>
      <c r="E254" t="s">
        <v>3180</v>
      </c>
      <c r="F254">
        <v>105.82493650000001</v>
      </c>
      <c r="G254" t="s">
        <v>3181</v>
      </c>
      <c r="H254">
        <v>11337</v>
      </c>
      <c r="I254" t="s">
        <v>3182</v>
      </c>
    </row>
    <row r="255" spans="1:9" x14ac:dyDescent="0.25">
      <c r="A255" t="s">
        <v>3179</v>
      </c>
      <c r="B255" t="s">
        <v>3336</v>
      </c>
      <c r="C255" t="s">
        <v>3183</v>
      </c>
      <c r="D255">
        <v>34.456042600000004</v>
      </c>
      <c r="E255" t="s">
        <v>3180</v>
      </c>
      <c r="F255">
        <v>107.4280239</v>
      </c>
      <c r="G255" t="s">
        <v>3181</v>
      </c>
      <c r="H255">
        <v>25146</v>
      </c>
      <c r="I255" t="s">
        <v>3182</v>
      </c>
    </row>
    <row r="256" spans="1:9" x14ac:dyDescent="0.25">
      <c r="A256" t="s">
        <v>3179</v>
      </c>
      <c r="B256" t="s">
        <v>3570</v>
      </c>
      <c r="C256" t="s">
        <v>3183</v>
      </c>
      <c r="D256">
        <v>33.427419800000003</v>
      </c>
      <c r="E256" t="s">
        <v>3180</v>
      </c>
      <c r="F256">
        <v>110.75915910000001</v>
      </c>
      <c r="G256" t="s">
        <v>3181</v>
      </c>
      <c r="H256">
        <v>20178</v>
      </c>
      <c r="I256" t="s">
        <v>3182</v>
      </c>
    </row>
    <row r="257" spans="1:9" x14ac:dyDescent="0.25">
      <c r="A257" t="s">
        <v>3179</v>
      </c>
      <c r="B257" t="s">
        <v>3998</v>
      </c>
      <c r="C257" t="s">
        <v>3183</v>
      </c>
      <c r="D257">
        <v>37.622995039999999</v>
      </c>
      <c r="E257" t="s">
        <v>3180</v>
      </c>
      <c r="F257">
        <v>110.6834101</v>
      </c>
      <c r="G257" t="s">
        <v>3181</v>
      </c>
      <c r="H257">
        <v>7876</v>
      </c>
      <c r="I257" t="s">
        <v>3182</v>
      </c>
    </row>
    <row r="258" spans="1:9" x14ac:dyDescent="0.25">
      <c r="A258" t="s">
        <v>3179</v>
      </c>
      <c r="B258" t="s">
        <v>3337</v>
      </c>
      <c r="C258" t="s">
        <v>3183</v>
      </c>
      <c r="D258">
        <v>34.379579079999999</v>
      </c>
      <c r="E258" t="s">
        <v>3180</v>
      </c>
      <c r="F258">
        <v>107.5294715</v>
      </c>
      <c r="G258" t="s">
        <v>3181</v>
      </c>
      <c r="H258">
        <v>31061</v>
      </c>
      <c r="I258" t="s">
        <v>3182</v>
      </c>
    </row>
    <row r="259" spans="1:9" x14ac:dyDescent="0.25">
      <c r="A259" t="s">
        <v>3179</v>
      </c>
      <c r="B259" t="s">
        <v>3999</v>
      </c>
      <c r="C259" t="s">
        <v>3183</v>
      </c>
      <c r="D259">
        <v>37.827889200000001</v>
      </c>
      <c r="E259" t="s">
        <v>3180</v>
      </c>
      <c r="F259">
        <v>109.89086020000001</v>
      </c>
      <c r="G259" t="s">
        <v>3181</v>
      </c>
      <c r="H259">
        <v>5576</v>
      </c>
      <c r="I259" t="s">
        <v>3182</v>
      </c>
    </row>
    <row r="260" spans="1:9" x14ac:dyDescent="0.25">
      <c r="A260" t="s">
        <v>3179</v>
      </c>
      <c r="B260" t="s">
        <v>4000</v>
      </c>
      <c r="C260" t="s">
        <v>3183</v>
      </c>
      <c r="D260">
        <v>39.098615170000002</v>
      </c>
      <c r="E260" t="s">
        <v>3180</v>
      </c>
      <c r="F260">
        <v>110.897809</v>
      </c>
      <c r="G260" t="s">
        <v>3181</v>
      </c>
      <c r="H260">
        <v>9630</v>
      </c>
      <c r="I260" t="s">
        <v>3182</v>
      </c>
    </row>
    <row r="261" spans="1:9" x14ac:dyDescent="0.25">
      <c r="A261" t="s">
        <v>3179</v>
      </c>
      <c r="B261" t="s">
        <v>3683</v>
      </c>
      <c r="C261" t="s">
        <v>3183</v>
      </c>
      <c r="D261">
        <v>34.65273054</v>
      </c>
      <c r="E261" t="s">
        <v>3180</v>
      </c>
      <c r="F261">
        <v>109.59798189999999</v>
      </c>
      <c r="G261" t="s">
        <v>3181</v>
      </c>
      <c r="H261">
        <v>28281</v>
      </c>
      <c r="I261" t="s">
        <v>3182</v>
      </c>
    </row>
    <row r="262" spans="1:9" x14ac:dyDescent="0.25">
      <c r="A262" t="s">
        <v>3179</v>
      </c>
      <c r="B262" t="s">
        <v>4001</v>
      </c>
      <c r="C262" t="s">
        <v>3183</v>
      </c>
      <c r="D262">
        <v>38.173285129999996</v>
      </c>
      <c r="E262" t="s">
        <v>3180</v>
      </c>
      <c r="F262">
        <v>109.9141095</v>
      </c>
      <c r="G262" t="s">
        <v>3181</v>
      </c>
      <c r="H262">
        <v>6660</v>
      </c>
      <c r="I262" t="s">
        <v>3182</v>
      </c>
    </row>
    <row r="263" spans="1:9" x14ac:dyDescent="0.25">
      <c r="A263" t="s">
        <v>3179</v>
      </c>
      <c r="B263" t="s">
        <v>4005</v>
      </c>
      <c r="C263" t="s">
        <v>3183</v>
      </c>
      <c r="D263">
        <v>39.395794109999997</v>
      </c>
      <c r="E263" t="s">
        <v>3180</v>
      </c>
      <c r="F263">
        <v>110.9151829</v>
      </c>
      <c r="G263" t="s">
        <v>3181</v>
      </c>
      <c r="H263">
        <v>5232</v>
      </c>
      <c r="I263" t="s">
        <v>3182</v>
      </c>
    </row>
    <row r="264" spans="1:9" x14ac:dyDescent="0.25">
      <c r="A264" t="s">
        <v>3179</v>
      </c>
      <c r="B264" t="s">
        <v>4002</v>
      </c>
      <c r="C264" t="s">
        <v>3183</v>
      </c>
      <c r="D264">
        <v>37.730170940000001</v>
      </c>
      <c r="E264" t="s">
        <v>3180</v>
      </c>
      <c r="F264">
        <v>108.9116856</v>
      </c>
      <c r="G264" t="s">
        <v>3181</v>
      </c>
      <c r="H264">
        <v>6009</v>
      </c>
      <c r="I264" t="s">
        <v>3182</v>
      </c>
    </row>
    <row r="265" spans="1:9" x14ac:dyDescent="0.25">
      <c r="A265" t="s">
        <v>3179</v>
      </c>
      <c r="B265" t="s">
        <v>4003</v>
      </c>
      <c r="C265" t="s">
        <v>3183</v>
      </c>
      <c r="D265">
        <v>37.78913094</v>
      </c>
      <c r="E265" t="s">
        <v>3180</v>
      </c>
      <c r="F265">
        <v>109.56373019999999</v>
      </c>
      <c r="G265" t="s">
        <v>3181</v>
      </c>
      <c r="H265">
        <v>12226</v>
      </c>
      <c r="I265" t="s">
        <v>3182</v>
      </c>
    </row>
    <row r="266" spans="1:9" x14ac:dyDescent="0.25">
      <c r="A266" t="s">
        <v>3179</v>
      </c>
      <c r="B266" t="s">
        <v>3774</v>
      </c>
      <c r="C266" t="s">
        <v>3183</v>
      </c>
      <c r="D266">
        <v>34.963846779999997</v>
      </c>
      <c r="E266" t="s">
        <v>3180</v>
      </c>
      <c r="F266">
        <v>107.8902172</v>
      </c>
      <c r="G266" t="s">
        <v>3181</v>
      </c>
      <c r="H266">
        <v>16726</v>
      </c>
      <c r="I266" t="s">
        <v>3182</v>
      </c>
    </row>
    <row r="267" spans="1:9" x14ac:dyDescent="0.25">
      <c r="A267" t="s">
        <v>3179</v>
      </c>
      <c r="B267" t="s">
        <v>3684</v>
      </c>
      <c r="C267" t="s">
        <v>3183</v>
      </c>
      <c r="D267">
        <v>35.10694702</v>
      </c>
      <c r="E267" t="s">
        <v>3180</v>
      </c>
      <c r="F267">
        <v>109.5820277</v>
      </c>
      <c r="G267" t="s">
        <v>3181</v>
      </c>
      <c r="H267">
        <v>45610</v>
      </c>
      <c r="I267" t="s">
        <v>3182</v>
      </c>
    </row>
    <row r="268" spans="1:9" x14ac:dyDescent="0.25">
      <c r="A268" t="s">
        <v>3179</v>
      </c>
      <c r="B268" t="s">
        <v>5686</v>
      </c>
      <c r="C268" t="s">
        <v>3183</v>
      </c>
      <c r="D268">
        <v>32.737188760000002</v>
      </c>
      <c r="E268" t="s">
        <v>3180</v>
      </c>
      <c r="F268">
        <v>108.4672439</v>
      </c>
      <c r="G268" t="s">
        <v>3181</v>
      </c>
      <c r="H268">
        <v>11800</v>
      </c>
      <c r="I268" t="s">
        <v>3182</v>
      </c>
    </row>
    <row r="269" spans="1:9" x14ac:dyDescent="0.25">
      <c r="A269" t="s">
        <v>3179</v>
      </c>
      <c r="B269" t="s">
        <v>5687</v>
      </c>
      <c r="C269" t="s">
        <v>3183</v>
      </c>
      <c r="D269">
        <v>33.21977553</v>
      </c>
      <c r="E269" t="s">
        <v>3180</v>
      </c>
      <c r="F269">
        <v>107.0987081</v>
      </c>
      <c r="G269" t="s">
        <v>3181</v>
      </c>
      <c r="H269">
        <v>11391</v>
      </c>
      <c r="I269" t="s">
        <v>3182</v>
      </c>
    </row>
    <row r="270" spans="1:9" x14ac:dyDescent="0.25">
      <c r="A270" t="s">
        <v>3179</v>
      </c>
      <c r="B270" t="s">
        <v>3211</v>
      </c>
      <c r="C270" t="s">
        <v>3183</v>
      </c>
      <c r="D270">
        <v>32.787725209999998</v>
      </c>
      <c r="E270" t="s">
        <v>3180</v>
      </c>
      <c r="F270">
        <v>108.2771281</v>
      </c>
      <c r="G270" t="s">
        <v>3181</v>
      </c>
      <c r="H270">
        <v>20400</v>
      </c>
      <c r="I270" t="s">
        <v>3182</v>
      </c>
    </row>
    <row r="271" spans="1:9" x14ac:dyDescent="0.25">
      <c r="A271" t="s">
        <v>3179</v>
      </c>
      <c r="B271" t="s">
        <v>3212</v>
      </c>
      <c r="C271" t="s">
        <v>3183</v>
      </c>
      <c r="D271">
        <v>32.607191329999999</v>
      </c>
      <c r="E271" t="s">
        <v>3180</v>
      </c>
      <c r="F271">
        <v>108.5922461</v>
      </c>
      <c r="G271" t="s">
        <v>3181</v>
      </c>
      <c r="H271">
        <v>25903</v>
      </c>
      <c r="I271" t="s">
        <v>3182</v>
      </c>
    </row>
    <row r="272" spans="1:9" x14ac:dyDescent="0.25">
      <c r="A272" t="s">
        <v>3179</v>
      </c>
      <c r="B272" t="s">
        <v>4004</v>
      </c>
      <c r="C272" t="s">
        <v>3183</v>
      </c>
      <c r="D272">
        <v>37.455577679999998</v>
      </c>
      <c r="E272" t="s">
        <v>3180</v>
      </c>
      <c r="F272">
        <v>108.2683925</v>
      </c>
      <c r="G272" t="s">
        <v>3181</v>
      </c>
      <c r="H272">
        <v>14469</v>
      </c>
      <c r="I272" t="s">
        <v>3182</v>
      </c>
    </row>
    <row r="273" spans="1:9" x14ac:dyDescent="0.25">
      <c r="A273" t="s">
        <v>3179</v>
      </c>
      <c r="B273" t="s">
        <v>3338</v>
      </c>
      <c r="C273" t="s">
        <v>3183</v>
      </c>
      <c r="D273">
        <v>34.988999020000001</v>
      </c>
      <c r="E273" t="s">
        <v>3180</v>
      </c>
      <c r="F273">
        <v>106.9984316</v>
      </c>
      <c r="G273" t="s">
        <v>3181</v>
      </c>
      <c r="H273">
        <v>10256</v>
      </c>
      <c r="I273" t="s">
        <v>3182</v>
      </c>
    </row>
    <row r="274" spans="1:9" x14ac:dyDescent="0.25">
      <c r="A274" t="s">
        <v>3179</v>
      </c>
      <c r="B274" t="s">
        <v>3447</v>
      </c>
      <c r="C274" t="s">
        <v>3183</v>
      </c>
      <c r="D274">
        <v>33.270090519999997</v>
      </c>
      <c r="E274" t="s">
        <v>3180</v>
      </c>
      <c r="F274">
        <v>106.9704352</v>
      </c>
      <c r="G274" t="s">
        <v>3181</v>
      </c>
      <c r="H274">
        <v>25588</v>
      </c>
      <c r="I274" t="s">
        <v>3182</v>
      </c>
    </row>
    <row r="275" spans="1:9" x14ac:dyDescent="0.25">
      <c r="A275" t="s">
        <v>3179</v>
      </c>
      <c r="B275" t="s">
        <v>3685</v>
      </c>
      <c r="C275" t="s">
        <v>3183</v>
      </c>
      <c r="D275">
        <v>35.049222200000003</v>
      </c>
      <c r="E275" t="s">
        <v>3180</v>
      </c>
      <c r="F275">
        <v>110.2436855</v>
      </c>
      <c r="G275" t="s">
        <v>3181</v>
      </c>
      <c r="H275">
        <v>29293</v>
      </c>
      <c r="I275" t="s">
        <v>3182</v>
      </c>
    </row>
    <row r="276" spans="1:9" x14ac:dyDescent="0.25">
      <c r="A276" t="s">
        <v>3179</v>
      </c>
      <c r="B276" t="s">
        <v>3448</v>
      </c>
      <c r="C276" t="s">
        <v>3183</v>
      </c>
      <c r="D276">
        <v>33.289927900000002</v>
      </c>
      <c r="E276" t="s">
        <v>3180</v>
      </c>
      <c r="F276">
        <v>106.3733379</v>
      </c>
      <c r="G276" t="s">
        <v>3181</v>
      </c>
      <c r="H276">
        <v>5627</v>
      </c>
      <c r="I276" t="s">
        <v>3182</v>
      </c>
    </row>
    <row r="277" spans="1:9" x14ac:dyDescent="0.25">
      <c r="A277" t="s">
        <v>3179</v>
      </c>
      <c r="B277" t="s">
        <v>3901</v>
      </c>
      <c r="C277" t="s">
        <v>3183</v>
      </c>
      <c r="D277">
        <v>36.678615139999998</v>
      </c>
      <c r="E277" t="s">
        <v>3180</v>
      </c>
      <c r="F277">
        <v>109.8862706</v>
      </c>
      <c r="G277" t="s">
        <v>3181</v>
      </c>
      <c r="H277">
        <v>8196</v>
      </c>
      <c r="I277" t="s">
        <v>3182</v>
      </c>
    </row>
    <row r="278" spans="1:9" x14ac:dyDescent="0.25">
      <c r="A278" t="s">
        <v>3179</v>
      </c>
      <c r="B278" t="s">
        <v>3571</v>
      </c>
      <c r="C278" t="s">
        <v>3183</v>
      </c>
      <c r="D278">
        <v>33.72407467</v>
      </c>
      <c r="E278" t="s">
        <v>3180</v>
      </c>
      <c r="F278">
        <v>109.7525488</v>
      </c>
      <c r="G278" t="s">
        <v>3181</v>
      </c>
      <c r="H278">
        <v>12670</v>
      </c>
      <c r="I278" t="s">
        <v>3182</v>
      </c>
    </row>
    <row r="279" spans="1:9" x14ac:dyDescent="0.25">
      <c r="A279" t="s">
        <v>3179</v>
      </c>
      <c r="B279" t="s">
        <v>4006</v>
      </c>
      <c r="C279" t="s">
        <v>3183</v>
      </c>
      <c r="D279">
        <v>38.496318559999999</v>
      </c>
      <c r="E279" t="s">
        <v>3180</v>
      </c>
      <c r="F279">
        <v>110.658547</v>
      </c>
      <c r="G279" t="s">
        <v>3181</v>
      </c>
      <c r="H279">
        <v>3427</v>
      </c>
      <c r="I279" t="s">
        <v>3182</v>
      </c>
    </row>
    <row r="280" spans="1:9" x14ac:dyDescent="0.25">
      <c r="A280" t="s">
        <v>3179</v>
      </c>
      <c r="B280" t="s">
        <v>4007</v>
      </c>
      <c r="C280" t="s">
        <v>3183</v>
      </c>
      <c r="D280">
        <v>37.350682450000001</v>
      </c>
      <c r="E280" t="s">
        <v>3180</v>
      </c>
      <c r="F280">
        <v>109.8181716</v>
      </c>
      <c r="G280" t="s">
        <v>3181</v>
      </c>
      <c r="H280">
        <v>11382</v>
      </c>
      <c r="I280" t="s">
        <v>3182</v>
      </c>
    </row>
    <row r="281" spans="1:9" x14ac:dyDescent="0.25">
      <c r="A281" t="s">
        <v>3179</v>
      </c>
      <c r="B281" t="s">
        <v>3686</v>
      </c>
      <c r="C281" t="s">
        <v>3183</v>
      </c>
      <c r="D281">
        <v>35.133934660000001</v>
      </c>
      <c r="E281" t="s">
        <v>3180</v>
      </c>
      <c r="F281">
        <v>110.0722379</v>
      </c>
      <c r="G281" t="s">
        <v>3181</v>
      </c>
      <c r="H281">
        <v>25435</v>
      </c>
      <c r="I281" t="s">
        <v>3182</v>
      </c>
    </row>
    <row r="282" spans="1:9" x14ac:dyDescent="0.25">
      <c r="A282" t="s">
        <v>3179</v>
      </c>
      <c r="B282" t="s">
        <v>3339</v>
      </c>
      <c r="C282" t="s">
        <v>3183</v>
      </c>
      <c r="D282">
        <v>34.038817620000003</v>
      </c>
      <c r="E282" t="s">
        <v>3180</v>
      </c>
      <c r="F282">
        <v>106.9080719</v>
      </c>
      <c r="G282" t="s">
        <v>3181</v>
      </c>
      <c r="H282">
        <v>6506</v>
      </c>
      <c r="I282" t="s">
        <v>3182</v>
      </c>
    </row>
    <row r="283" spans="1:9" x14ac:dyDescent="0.25">
      <c r="A283" t="s">
        <v>3179</v>
      </c>
      <c r="B283" t="s">
        <v>3213</v>
      </c>
      <c r="C283" t="s">
        <v>3183</v>
      </c>
      <c r="D283">
        <v>32.778750430000002</v>
      </c>
      <c r="E283" t="s">
        <v>3180</v>
      </c>
      <c r="F283">
        <v>108.73866150000001</v>
      </c>
      <c r="G283" t="s">
        <v>3181</v>
      </c>
      <c r="H283">
        <v>81086</v>
      </c>
      <c r="I283" t="s">
        <v>3182</v>
      </c>
    </row>
    <row r="284" spans="1:9" x14ac:dyDescent="0.25">
      <c r="A284" t="s">
        <v>3179</v>
      </c>
      <c r="B284" t="s">
        <v>3340</v>
      </c>
      <c r="C284" t="s">
        <v>3183</v>
      </c>
      <c r="D284">
        <v>34.137497879999998</v>
      </c>
      <c r="E284" t="s">
        <v>3180</v>
      </c>
      <c r="F284">
        <v>107.9563746</v>
      </c>
      <c r="G284" t="s">
        <v>3181</v>
      </c>
      <c r="H284">
        <v>29020</v>
      </c>
      <c r="I284" t="s">
        <v>3182</v>
      </c>
    </row>
    <row r="285" spans="1:9" x14ac:dyDescent="0.25">
      <c r="A285" t="s">
        <v>3179</v>
      </c>
      <c r="B285" t="s">
        <v>3341</v>
      </c>
      <c r="C285" t="s">
        <v>3183</v>
      </c>
      <c r="D285">
        <v>34.479582809999997</v>
      </c>
      <c r="E285" t="s">
        <v>3180</v>
      </c>
      <c r="F285">
        <v>107.5473116</v>
      </c>
      <c r="G285" t="s">
        <v>3181</v>
      </c>
      <c r="H285">
        <v>39802</v>
      </c>
      <c r="I285" t="s">
        <v>3182</v>
      </c>
    </row>
    <row r="286" spans="1:9" x14ac:dyDescent="0.25">
      <c r="A286" t="s">
        <v>3179</v>
      </c>
      <c r="B286" t="s">
        <v>4008</v>
      </c>
      <c r="C286" t="s">
        <v>3183</v>
      </c>
      <c r="D286">
        <v>37.50341332</v>
      </c>
      <c r="E286" t="s">
        <v>3180</v>
      </c>
      <c r="F286">
        <v>107.5827833</v>
      </c>
      <c r="G286" t="s">
        <v>3181</v>
      </c>
      <c r="H286">
        <v>33178</v>
      </c>
      <c r="I286" t="s">
        <v>3182</v>
      </c>
    </row>
    <row r="287" spans="1:9" x14ac:dyDescent="0.25">
      <c r="A287" t="s">
        <v>3179</v>
      </c>
      <c r="B287" t="s">
        <v>3214</v>
      </c>
      <c r="C287" t="s">
        <v>3183</v>
      </c>
      <c r="D287">
        <v>32.7375221</v>
      </c>
      <c r="E287" t="s">
        <v>3180</v>
      </c>
      <c r="F287">
        <v>108.9582616</v>
      </c>
      <c r="G287" t="s">
        <v>3181</v>
      </c>
      <c r="H287">
        <v>23678</v>
      </c>
      <c r="I287" t="s">
        <v>3182</v>
      </c>
    </row>
    <row r="288" spans="1:9" x14ac:dyDescent="0.25">
      <c r="A288" t="s">
        <v>3179</v>
      </c>
      <c r="B288" t="s">
        <v>3902</v>
      </c>
      <c r="C288" t="s">
        <v>3183</v>
      </c>
      <c r="D288">
        <v>36.689052279999999</v>
      </c>
      <c r="E288" t="s">
        <v>3180</v>
      </c>
      <c r="F288">
        <v>109.41394459999999</v>
      </c>
      <c r="G288" t="s">
        <v>3181</v>
      </c>
      <c r="H288">
        <v>19085</v>
      </c>
      <c r="I288" t="s">
        <v>3182</v>
      </c>
    </row>
    <row r="289" spans="1:9" x14ac:dyDescent="0.25">
      <c r="A289" t="s">
        <v>3179</v>
      </c>
      <c r="B289" t="s">
        <v>3215</v>
      </c>
      <c r="C289" t="s">
        <v>3183</v>
      </c>
      <c r="D289">
        <v>32.527674769999997</v>
      </c>
      <c r="E289" t="s">
        <v>3180</v>
      </c>
      <c r="F289">
        <v>108.33163070000001</v>
      </c>
      <c r="G289" t="s">
        <v>3181</v>
      </c>
      <c r="H289">
        <v>14193</v>
      </c>
      <c r="I289" t="s">
        <v>3182</v>
      </c>
    </row>
    <row r="290" spans="1:9" x14ac:dyDescent="0.25">
      <c r="A290" t="s">
        <v>3179</v>
      </c>
      <c r="B290" t="s">
        <v>4009</v>
      </c>
      <c r="C290" t="s">
        <v>3183</v>
      </c>
      <c r="D290">
        <v>37.905461389999999</v>
      </c>
      <c r="E290" t="s">
        <v>3180</v>
      </c>
      <c r="F290">
        <v>108.86075200000001</v>
      </c>
      <c r="G290" t="s">
        <v>3181</v>
      </c>
      <c r="H290">
        <v>5539</v>
      </c>
      <c r="I290" t="s">
        <v>3182</v>
      </c>
    </row>
    <row r="291" spans="1:9" x14ac:dyDescent="0.25">
      <c r="A291" t="s">
        <v>3179</v>
      </c>
      <c r="B291" t="s">
        <v>3342</v>
      </c>
      <c r="C291" t="s">
        <v>3183</v>
      </c>
      <c r="D291">
        <v>34.097234039999996</v>
      </c>
      <c r="E291" t="s">
        <v>3180</v>
      </c>
      <c r="F291">
        <v>106.7397582</v>
      </c>
      <c r="G291" t="s">
        <v>3181</v>
      </c>
      <c r="H291">
        <v>3729</v>
      </c>
      <c r="I291" t="s">
        <v>3182</v>
      </c>
    </row>
    <row r="292" spans="1:9" x14ac:dyDescent="0.25">
      <c r="A292" t="s">
        <v>3179</v>
      </c>
      <c r="B292" t="s">
        <v>3775</v>
      </c>
      <c r="C292" t="s">
        <v>3183</v>
      </c>
      <c r="D292">
        <v>35.242909140000002</v>
      </c>
      <c r="E292" t="s">
        <v>3180</v>
      </c>
      <c r="F292">
        <v>107.7103242</v>
      </c>
      <c r="G292" t="s">
        <v>3181</v>
      </c>
      <c r="H292">
        <v>12603</v>
      </c>
      <c r="I292" t="s">
        <v>3182</v>
      </c>
    </row>
    <row r="293" spans="1:9" x14ac:dyDescent="0.25">
      <c r="A293" t="s">
        <v>3179</v>
      </c>
      <c r="B293" t="s">
        <v>3216</v>
      </c>
      <c r="C293" t="s">
        <v>3183</v>
      </c>
      <c r="D293">
        <v>33.098130410000003</v>
      </c>
      <c r="E293" t="s">
        <v>3180</v>
      </c>
      <c r="F293">
        <v>109.4803689</v>
      </c>
      <c r="G293" t="s">
        <v>3181</v>
      </c>
      <c r="H293">
        <v>10986</v>
      </c>
      <c r="I293" t="s">
        <v>3182</v>
      </c>
    </row>
    <row r="294" spans="1:9" x14ac:dyDescent="0.25">
      <c r="A294" t="s">
        <v>3179</v>
      </c>
      <c r="B294" t="s">
        <v>4010</v>
      </c>
      <c r="C294" t="s">
        <v>3183</v>
      </c>
      <c r="D294">
        <v>37.439006800000001</v>
      </c>
      <c r="E294" t="s">
        <v>3180</v>
      </c>
      <c r="F294">
        <v>107.3804009</v>
      </c>
      <c r="G294" t="s">
        <v>3181</v>
      </c>
      <c r="H294">
        <v>10228</v>
      </c>
      <c r="I294" t="s">
        <v>3182</v>
      </c>
    </row>
    <row r="295" spans="1:9" x14ac:dyDescent="0.25">
      <c r="A295" t="s">
        <v>3179</v>
      </c>
      <c r="B295" t="s">
        <v>3449</v>
      </c>
      <c r="C295" t="s">
        <v>3183</v>
      </c>
      <c r="D295">
        <v>32.812315779999999</v>
      </c>
      <c r="E295" t="s">
        <v>3180</v>
      </c>
      <c r="F295">
        <v>106.89488160000001</v>
      </c>
      <c r="G295" t="s">
        <v>3181</v>
      </c>
      <c r="H295">
        <v>22166</v>
      </c>
      <c r="I295" t="s">
        <v>3182</v>
      </c>
    </row>
    <row r="296" spans="1:9" x14ac:dyDescent="0.25">
      <c r="A296" t="s">
        <v>3179</v>
      </c>
      <c r="B296" t="s">
        <v>3217</v>
      </c>
      <c r="C296" t="s">
        <v>3183</v>
      </c>
      <c r="D296">
        <v>32.634089340000003</v>
      </c>
      <c r="E296" t="s">
        <v>3180</v>
      </c>
      <c r="F296">
        <v>108.6786694</v>
      </c>
      <c r="G296" t="s">
        <v>3181</v>
      </c>
      <c r="H296">
        <v>21378</v>
      </c>
      <c r="I296" t="s">
        <v>3182</v>
      </c>
    </row>
    <row r="297" spans="1:9" x14ac:dyDescent="0.25">
      <c r="A297" t="s">
        <v>3179</v>
      </c>
      <c r="B297" t="s">
        <v>3640</v>
      </c>
      <c r="C297" t="s">
        <v>3183</v>
      </c>
      <c r="D297">
        <v>35.143752380000002</v>
      </c>
      <c r="E297" t="s">
        <v>3180</v>
      </c>
      <c r="F297">
        <v>109.23590590000001</v>
      </c>
      <c r="G297" t="s">
        <v>3181</v>
      </c>
      <c r="H297">
        <v>22086</v>
      </c>
      <c r="I297" t="s">
        <v>3182</v>
      </c>
    </row>
    <row r="298" spans="1:9" x14ac:dyDescent="0.25">
      <c r="A298" t="s">
        <v>3179</v>
      </c>
      <c r="B298" t="s">
        <v>3572</v>
      </c>
      <c r="C298" t="s">
        <v>3183</v>
      </c>
      <c r="D298">
        <v>33.697494720000002</v>
      </c>
      <c r="E298" t="s">
        <v>3180</v>
      </c>
      <c r="F298">
        <v>109.53652820000001</v>
      </c>
      <c r="G298" t="s">
        <v>3181</v>
      </c>
      <c r="H298">
        <v>13677</v>
      </c>
      <c r="I298" t="s">
        <v>3182</v>
      </c>
    </row>
    <row r="299" spans="1:9" x14ac:dyDescent="0.25">
      <c r="A299" t="s">
        <v>3179</v>
      </c>
      <c r="B299" t="s">
        <v>3854</v>
      </c>
      <c r="C299" t="s">
        <v>3183</v>
      </c>
      <c r="D299">
        <v>34.24024137</v>
      </c>
      <c r="E299" t="s">
        <v>3180</v>
      </c>
      <c r="F299">
        <v>109.5559507</v>
      </c>
      <c r="G299" t="s">
        <v>3181</v>
      </c>
      <c r="H299">
        <v>14537</v>
      </c>
      <c r="I299" t="s">
        <v>3182</v>
      </c>
    </row>
    <row r="300" spans="1:9" x14ac:dyDescent="0.25">
      <c r="A300" t="s">
        <v>3179</v>
      </c>
      <c r="B300" t="s">
        <v>3218</v>
      </c>
      <c r="C300" t="s">
        <v>3183</v>
      </c>
      <c r="D300">
        <v>32.924748370000003</v>
      </c>
      <c r="E300" t="s">
        <v>3180</v>
      </c>
      <c r="F300">
        <v>108.1784559</v>
      </c>
      <c r="G300" t="s">
        <v>3181</v>
      </c>
      <c r="H300">
        <v>13214</v>
      </c>
      <c r="I300" t="s">
        <v>3182</v>
      </c>
    </row>
    <row r="301" spans="1:9" x14ac:dyDescent="0.25">
      <c r="A301" t="s">
        <v>3179</v>
      </c>
      <c r="B301" t="s">
        <v>3855</v>
      </c>
      <c r="C301" t="s">
        <v>3183</v>
      </c>
      <c r="D301">
        <v>33.855722309999997</v>
      </c>
      <c r="E301" t="s">
        <v>3180</v>
      </c>
      <c r="F301">
        <v>107.8348161</v>
      </c>
      <c r="G301" t="s">
        <v>3181</v>
      </c>
      <c r="H301">
        <v>2512</v>
      </c>
      <c r="I301" t="s">
        <v>3182</v>
      </c>
    </row>
    <row r="302" spans="1:9" x14ac:dyDescent="0.25">
      <c r="A302" t="s">
        <v>3179</v>
      </c>
      <c r="B302" t="s">
        <v>3903</v>
      </c>
      <c r="C302" t="s">
        <v>3183</v>
      </c>
      <c r="D302">
        <v>35.685662000000001</v>
      </c>
      <c r="E302" t="s">
        <v>3180</v>
      </c>
      <c r="F302">
        <v>109.59395379999999</v>
      </c>
      <c r="G302" t="s">
        <v>3181</v>
      </c>
      <c r="H302">
        <v>17638</v>
      </c>
      <c r="I302" t="s">
        <v>3182</v>
      </c>
    </row>
    <row r="303" spans="1:9" x14ac:dyDescent="0.25">
      <c r="A303" t="s">
        <v>3179</v>
      </c>
      <c r="B303" t="s">
        <v>4011</v>
      </c>
      <c r="C303" t="s">
        <v>3183</v>
      </c>
      <c r="D303">
        <v>37.440671899999998</v>
      </c>
      <c r="E303" t="s">
        <v>3180</v>
      </c>
      <c r="F303">
        <v>110.03097150000001</v>
      </c>
      <c r="G303" t="s">
        <v>3181</v>
      </c>
      <c r="H303">
        <v>8288</v>
      </c>
      <c r="I303" t="s">
        <v>3182</v>
      </c>
    </row>
    <row r="304" spans="1:9" x14ac:dyDescent="0.25">
      <c r="A304" t="s">
        <v>3179</v>
      </c>
      <c r="B304" t="s">
        <v>3450</v>
      </c>
      <c r="C304" t="s">
        <v>3183</v>
      </c>
      <c r="D304">
        <v>33.295723180000003</v>
      </c>
      <c r="E304" t="s">
        <v>3180</v>
      </c>
      <c r="F304">
        <v>107.7331817</v>
      </c>
      <c r="G304" t="s">
        <v>3181</v>
      </c>
      <c r="H304">
        <v>25643</v>
      </c>
      <c r="I304" t="s">
        <v>3182</v>
      </c>
    </row>
    <row r="305" spans="1:9" x14ac:dyDescent="0.25">
      <c r="A305" t="s">
        <v>3179</v>
      </c>
      <c r="B305" t="s">
        <v>3343</v>
      </c>
      <c r="C305" t="s">
        <v>3183</v>
      </c>
      <c r="D305">
        <v>34.208780349999998</v>
      </c>
      <c r="E305" t="s">
        <v>3180</v>
      </c>
      <c r="F305">
        <v>107.8779837</v>
      </c>
      <c r="G305" t="s">
        <v>3181</v>
      </c>
      <c r="H305">
        <v>21487</v>
      </c>
      <c r="I305" t="s">
        <v>3182</v>
      </c>
    </row>
    <row r="306" spans="1:9" x14ac:dyDescent="0.25">
      <c r="A306" t="s">
        <v>3179</v>
      </c>
      <c r="B306" t="s">
        <v>3451</v>
      </c>
      <c r="C306" t="s">
        <v>3183</v>
      </c>
      <c r="D306">
        <v>33.135489560000003</v>
      </c>
      <c r="E306" t="s">
        <v>3180</v>
      </c>
      <c r="F306">
        <v>107.5966911</v>
      </c>
      <c r="G306" t="s">
        <v>3181</v>
      </c>
      <c r="H306">
        <v>15306</v>
      </c>
      <c r="I306" t="s">
        <v>3182</v>
      </c>
    </row>
    <row r="307" spans="1:9" x14ac:dyDescent="0.25">
      <c r="A307" t="s">
        <v>3179</v>
      </c>
      <c r="B307" t="s">
        <v>3344</v>
      </c>
      <c r="C307" t="s">
        <v>3183</v>
      </c>
      <c r="D307">
        <v>33.80292919</v>
      </c>
      <c r="E307" t="s">
        <v>3180</v>
      </c>
      <c r="F307">
        <v>107.5072904</v>
      </c>
      <c r="G307" t="s">
        <v>3181</v>
      </c>
      <c r="H307">
        <v>1768</v>
      </c>
      <c r="I307" t="s">
        <v>3182</v>
      </c>
    </row>
    <row r="308" spans="1:9" x14ac:dyDescent="0.25">
      <c r="A308" t="s">
        <v>3179</v>
      </c>
      <c r="B308" t="s">
        <v>3641</v>
      </c>
      <c r="C308" t="s">
        <v>3183</v>
      </c>
      <c r="D308">
        <v>35.005443659999997</v>
      </c>
      <c r="E308" t="s">
        <v>3180</v>
      </c>
      <c r="F308">
        <v>109.0626031</v>
      </c>
      <c r="G308" t="s">
        <v>3181</v>
      </c>
      <c r="H308">
        <v>33528</v>
      </c>
      <c r="I308" t="s">
        <v>3182</v>
      </c>
    </row>
    <row r="309" spans="1:9" x14ac:dyDescent="0.25">
      <c r="A309" t="s">
        <v>3179</v>
      </c>
      <c r="B309" t="s">
        <v>4012</v>
      </c>
      <c r="C309" t="s">
        <v>3183</v>
      </c>
      <c r="D309">
        <v>39.2733262</v>
      </c>
      <c r="E309" t="s">
        <v>3180</v>
      </c>
      <c r="F309">
        <v>111.14116799999999</v>
      </c>
      <c r="G309" t="s">
        <v>3181</v>
      </c>
      <c r="H309">
        <v>10516</v>
      </c>
      <c r="I309" t="s">
        <v>3182</v>
      </c>
    </row>
    <row r="310" spans="1:9" x14ac:dyDescent="0.25">
      <c r="A310" t="s">
        <v>3179</v>
      </c>
      <c r="B310" t="s">
        <v>3219</v>
      </c>
      <c r="C310" t="s">
        <v>3183</v>
      </c>
      <c r="D310">
        <v>33.573993559999998</v>
      </c>
      <c r="E310" t="s">
        <v>3180</v>
      </c>
      <c r="F310">
        <v>108.39916220000001</v>
      </c>
      <c r="G310" t="s">
        <v>3181</v>
      </c>
      <c r="H310">
        <v>2791</v>
      </c>
      <c r="I310" t="s">
        <v>3182</v>
      </c>
    </row>
    <row r="311" spans="1:9" x14ac:dyDescent="0.25">
      <c r="A311" t="s">
        <v>3179</v>
      </c>
      <c r="B311" t="s">
        <v>3219</v>
      </c>
      <c r="C311" t="s">
        <v>3183</v>
      </c>
      <c r="D311">
        <v>32.814968219999997</v>
      </c>
      <c r="E311" t="s">
        <v>3180</v>
      </c>
      <c r="F311">
        <v>106.7840291</v>
      </c>
      <c r="G311" t="s">
        <v>3181</v>
      </c>
      <c r="H311">
        <v>21849</v>
      </c>
      <c r="I311" t="s">
        <v>3182</v>
      </c>
    </row>
    <row r="312" spans="1:9" x14ac:dyDescent="0.25">
      <c r="A312" t="s">
        <v>3179</v>
      </c>
      <c r="B312" t="s">
        <v>4013</v>
      </c>
      <c r="C312" t="s">
        <v>3183</v>
      </c>
      <c r="D312">
        <v>37.824242750000003</v>
      </c>
      <c r="E312" t="s">
        <v>3180</v>
      </c>
      <c r="F312">
        <v>109.023087</v>
      </c>
      <c r="G312" t="s">
        <v>3181</v>
      </c>
      <c r="H312">
        <v>4465</v>
      </c>
      <c r="I312" t="s">
        <v>3182</v>
      </c>
    </row>
    <row r="313" spans="1:9" x14ac:dyDescent="0.25">
      <c r="A313" t="s">
        <v>3179</v>
      </c>
      <c r="B313" t="s">
        <v>3452</v>
      </c>
      <c r="C313" t="s">
        <v>3183</v>
      </c>
      <c r="D313">
        <v>33.138773899999997</v>
      </c>
      <c r="E313" t="s">
        <v>3180</v>
      </c>
      <c r="F313">
        <v>107.70376400000001</v>
      </c>
      <c r="G313" t="s">
        <v>3181</v>
      </c>
      <c r="H313">
        <v>13035</v>
      </c>
      <c r="I313" t="s">
        <v>3182</v>
      </c>
    </row>
    <row r="314" spans="1:9" x14ac:dyDescent="0.25">
      <c r="A314" t="s">
        <v>3179</v>
      </c>
      <c r="B314" t="s">
        <v>3453</v>
      </c>
      <c r="C314" t="s">
        <v>3183</v>
      </c>
      <c r="D314">
        <v>33.20235933</v>
      </c>
      <c r="E314" t="s">
        <v>3180</v>
      </c>
      <c r="F314">
        <v>107.8594973</v>
      </c>
      <c r="G314" t="s">
        <v>3181</v>
      </c>
      <c r="H314">
        <v>9788</v>
      </c>
      <c r="I314" t="s">
        <v>3182</v>
      </c>
    </row>
    <row r="315" spans="1:9" x14ac:dyDescent="0.25">
      <c r="A315" t="s">
        <v>3179</v>
      </c>
      <c r="B315" t="s">
        <v>3345</v>
      </c>
      <c r="C315" t="s">
        <v>3183</v>
      </c>
      <c r="D315">
        <v>34.21860942</v>
      </c>
      <c r="E315" t="s">
        <v>3180</v>
      </c>
      <c r="F315">
        <v>106.8425474</v>
      </c>
      <c r="G315" t="s">
        <v>3181</v>
      </c>
      <c r="H315">
        <v>6957</v>
      </c>
      <c r="I315" t="s">
        <v>3182</v>
      </c>
    </row>
    <row r="316" spans="1:9" x14ac:dyDescent="0.25">
      <c r="A316" t="s">
        <v>3179</v>
      </c>
      <c r="B316" t="s">
        <v>3454</v>
      </c>
      <c r="C316" t="s">
        <v>3183</v>
      </c>
      <c r="D316">
        <v>33.133014000000003</v>
      </c>
      <c r="E316" t="s">
        <v>3180</v>
      </c>
      <c r="F316">
        <v>106.786879</v>
      </c>
      <c r="G316" t="s">
        <v>3181</v>
      </c>
      <c r="H316">
        <v>9871</v>
      </c>
      <c r="I316" t="s">
        <v>3182</v>
      </c>
    </row>
    <row r="317" spans="1:9" x14ac:dyDescent="0.25">
      <c r="A317" t="s">
        <v>3179</v>
      </c>
      <c r="B317" t="s">
        <v>3220</v>
      </c>
      <c r="C317" t="s">
        <v>3183</v>
      </c>
      <c r="D317">
        <v>32.615559019999999</v>
      </c>
      <c r="E317" t="s">
        <v>3180</v>
      </c>
      <c r="F317">
        <v>108.4231527</v>
      </c>
      <c r="G317" t="s">
        <v>3181</v>
      </c>
      <c r="H317">
        <v>9907</v>
      </c>
      <c r="I317" t="s">
        <v>3182</v>
      </c>
    </row>
    <row r="318" spans="1:9" x14ac:dyDescent="0.25">
      <c r="A318" t="s">
        <v>3179</v>
      </c>
      <c r="B318" t="s">
        <v>3221</v>
      </c>
      <c r="C318" t="s">
        <v>3183</v>
      </c>
      <c r="D318">
        <v>31.745519860000002</v>
      </c>
      <c r="E318" t="s">
        <v>3180</v>
      </c>
      <c r="F318">
        <v>109.3786976</v>
      </c>
      <c r="G318" t="s">
        <v>3181</v>
      </c>
      <c r="H318">
        <v>2701</v>
      </c>
      <c r="I318" t="s">
        <v>3182</v>
      </c>
    </row>
    <row r="319" spans="1:9" x14ac:dyDescent="0.25">
      <c r="A319" t="s">
        <v>3179</v>
      </c>
      <c r="B319" t="s">
        <v>3573</v>
      </c>
      <c r="C319" t="s">
        <v>3183</v>
      </c>
      <c r="D319">
        <v>33.56422233</v>
      </c>
      <c r="E319" t="s">
        <v>3180</v>
      </c>
      <c r="F319">
        <v>110.49581240000001</v>
      </c>
      <c r="G319" t="s">
        <v>3181</v>
      </c>
      <c r="H319">
        <v>8879</v>
      </c>
      <c r="I319" t="s">
        <v>3182</v>
      </c>
    </row>
    <row r="320" spans="1:9" x14ac:dyDescent="0.25">
      <c r="A320" t="s">
        <v>3179</v>
      </c>
      <c r="B320" t="s">
        <v>3687</v>
      </c>
      <c r="C320" t="s">
        <v>3183</v>
      </c>
      <c r="D320">
        <v>34.489328720000003</v>
      </c>
      <c r="E320" t="s">
        <v>3180</v>
      </c>
      <c r="F320">
        <v>110.05828270000001</v>
      </c>
      <c r="G320" t="s">
        <v>3181</v>
      </c>
      <c r="H320">
        <v>60791</v>
      </c>
      <c r="I320" t="s">
        <v>3182</v>
      </c>
    </row>
    <row r="321" spans="1:9" x14ac:dyDescent="0.25">
      <c r="A321" t="s">
        <v>3179</v>
      </c>
      <c r="B321" t="s">
        <v>4014</v>
      </c>
      <c r="C321" t="s">
        <v>3183</v>
      </c>
      <c r="D321">
        <v>38.424273739999997</v>
      </c>
      <c r="E321" t="s">
        <v>3180</v>
      </c>
      <c r="F321">
        <v>110.5267288</v>
      </c>
      <c r="G321" t="s">
        <v>3181</v>
      </c>
      <c r="H321">
        <v>2504</v>
      </c>
      <c r="I321" t="s">
        <v>3182</v>
      </c>
    </row>
    <row r="322" spans="1:9" x14ac:dyDescent="0.25">
      <c r="A322" t="s">
        <v>3179</v>
      </c>
      <c r="B322" t="s">
        <v>3688</v>
      </c>
      <c r="C322" t="s">
        <v>3183</v>
      </c>
      <c r="D322">
        <v>34.602890940000002</v>
      </c>
      <c r="E322" t="s">
        <v>3180</v>
      </c>
      <c r="F322">
        <v>109.9740529</v>
      </c>
      <c r="G322" t="s">
        <v>3181</v>
      </c>
      <c r="H322">
        <v>16989</v>
      </c>
      <c r="I322" t="s">
        <v>3182</v>
      </c>
    </row>
    <row r="323" spans="1:9" x14ac:dyDescent="0.25">
      <c r="A323" t="s">
        <v>3179</v>
      </c>
      <c r="B323" t="s">
        <v>3856</v>
      </c>
      <c r="C323" t="s">
        <v>3183</v>
      </c>
      <c r="D323">
        <v>34.261673909999999</v>
      </c>
      <c r="E323" t="s">
        <v>3180</v>
      </c>
      <c r="F323">
        <v>109.21323599999999</v>
      </c>
      <c r="G323" t="s">
        <v>3181</v>
      </c>
      <c r="H323">
        <v>29530</v>
      </c>
      <c r="I323" t="s">
        <v>3182</v>
      </c>
    </row>
    <row r="324" spans="1:9" x14ac:dyDescent="0.25">
      <c r="A324" t="s">
        <v>3179</v>
      </c>
      <c r="B324" t="s">
        <v>3455</v>
      </c>
      <c r="C324" t="s">
        <v>3183</v>
      </c>
      <c r="D324">
        <v>33.621630590000002</v>
      </c>
      <c r="E324" t="s">
        <v>3180</v>
      </c>
      <c r="F324">
        <v>107.47198710000001</v>
      </c>
      <c r="G324" t="s">
        <v>3181</v>
      </c>
      <c r="H324">
        <v>6766</v>
      </c>
      <c r="I324" t="s">
        <v>3182</v>
      </c>
    </row>
    <row r="325" spans="1:9" x14ac:dyDescent="0.25">
      <c r="A325" t="s">
        <v>3179</v>
      </c>
      <c r="B325" t="s">
        <v>3904</v>
      </c>
      <c r="C325" t="s">
        <v>3183</v>
      </c>
      <c r="D325">
        <v>37.07147475</v>
      </c>
      <c r="E325" t="s">
        <v>3180</v>
      </c>
      <c r="F325">
        <v>109.0588001</v>
      </c>
      <c r="G325" t="s">
        <v>3181</v>
      </c>
      <c r="H325">
        <v>14939</v>
      </c>
      <c r="I325" t="s">
        <v>3182</v>
      </c>
    </row>
    <row r="326" spans="1:9" x14ac:dyDescent="0.25">
      <c r="A326" t="s">
        <v>3179</v>
      </c>
      <c r="B326" t="s">
        <v>3574</v>
      </c>
      <c r="C326" t="s">
        <v>3183</v>
      </c>
      <c r="D326">
        <v>33.520081439999998</v>
      </c>
      <c r="E326" t="s">
        <v>3180</v>
      </c>
      <c r="F326">
        <v>109.1475207</v>
      </c>
      <c r="G326" t="s">
        <v>3181</v>
      </c>
      <c r="H326">
        <v>10464</v>
      </c>
      <c r="I326" t="s">
        <v>3182</v>
      </c>
    </row>
    <row r="327" spans="1:9" x14ac:dyDescent="0.25">
      <c r="A327" t="s">
        <v>3179</v>
      </c>
      <c r="B327" t="s">
        <v>3222</v>
      </c>
      <c r="C327" t="s">
        <v>3183</v>
      </c>
      <c r="D327">
        <v>32.376055909999998</v>
      </c>
      <c r="E327" t="s">
        <v>3180</v>
      </c>
      <c r="F327">
        <v>108.62631039999999</v>
      </c>
      <c r="G327" t="s">
        <v>3181</v>
      </c>
      <c r="H327">
        <v>7119</v>
      </c>
      <c r="I327" t="s">
        <v>3182</v>
      </c>
    </row>
    <row r="328" spans="1:9" x14ac:dyDescent="0.25">
      <c r="A328" t="s">
        <v>3179</v>
      </c>
      <c r="B328" t="s">
        <v>3456</v>
      </c>
      <c r="C328" t="s">
        <v>3183</v>
      </c>
      <c r="D328">
        <v>32.976161949999998</v>
      </c>
      <c r="E328" t="s">
        <v>3180</v>
      </c>
      <c r="F328">
        <v>106.45954380000001</v>
      </c>
      <c r="G328" t="s">
        <v>3181</v>
      </c>
      <c r="H328">
        <v>15232</v>
      </c>
      <c r="I328" t="s">
        <v>3182</v>
      </c>
    </row>
    <row r="329" spans="1:9" x14ac:dyDescent="0.25">
      <c r="A329" t="s">
        <v>3179</v>
      </c>
      <c r="B329" t="s">
        <v>3457</v>
      </c>
      <c r="C329" t="s">
        <v>3183</v>
      </c>
      <c r="D329">
        <v>32.995484619999999</v>
      </c>
      <c r="E329" t="s">
        <v>3180</v>
      </c>
      <c r="F329">
        <v>107.0603132</v>
      </c>
      <c r="G329" t="s">
        <v>3181</v>
      </c>
      <c r="H329">
        <v>18467</v>
      </c>
      <c r="I329" t="s">
        <v>3182</v>
      </c>
    </row>
    <row r="330" spans="1:9" x14ac:dyDescent="0.25">
      <c r="A330" t="s">
        <v>3179</v>
      </c>
      <c r="B330" t="s">
        <v>3575</v>
      </c>
      <c r="C330" t="s">
        <v>3183</v>
      </c>
      <c r="D330">
        <v>33.398720830000002</v>
      </c>
      <c r="E330" t="s">
        <v>3180</v>
      </c>
      <c r="F330">
        <v>109.62994310000001</v>
      </c>
      <c r="G330" t="s">
        <v>3181</v>
      </c>
      <c r="H330">
        <v>27167</v>
      </c>
      <c r="I330" t="s">
        <v>3182</v>
      </c>
    </row>
    <row r="331" spans="1:9" x14ac:dyDescent="0.25">
      <c r="A331" t="s">
        <v>3179</v>
      </c>
      <c r="B331" t="s">
        <v>3905</v>
      </c>
      <c r="C331" t="s">
        <v>3183</v>
      </c>
      <c r="D331">
        <v>36.148874640000003</v>
      </c>
      <c r="E331" t="s">
        <v>3180</v>
      </c>
      <c r="F331">
        <v>110.3844151</v>
      </c>
      <c r="G331" t="s">
        <v>3181</v>
      </c>
      <c r="H331">
        <v>4152</v>
      </c>
      <c r="I331" t="s">
        <v>3182</v>
      </c>
    </row>
    <row r="332" spans="1:9" x14ac:dyDescent="0.25">
      <c r="A332" t="s">
        <v>3179</v>
      </c>
      <c r="B332" t="s">
        <v>3458</v>
      </c>
      <c r="C332" t="s">
        <v>3183</v>
      </c>
      <c r="D332">
        <v>33.564851709999999</v>
      </c>
      <c r="E332" t="s">
        <v>3180</v>
      </c>
      <c r="F332">
        <v>106.8426461</v>
      </c>
      <c r="G332" t="s">
        <v>3181</v>
      </c>
      <c r="H332">
        <v>3070</v>
      </c>
      <c r="I332" t="s">
        <v>3182</v>
      </c>
    </row>
    <row r="333" spans="1:9" x14ac:dyDescent="0.25">
      <c r="A333" t="s">
        <v>3179</v>
      </c>
      <c r="B333" t="s">
        <v>4020</v>
      </c>
      <c r="C333" t="s">
        <v>3183</v>
      </c>
      <c r="D333">
        <v>37.710208659999999</v>
      </c>
      <c r="E333" t="s">
        <v>3180</v>
      </c>
      <c r="F333">
        <v>110.4718889</v>
      </c>
      <c r="G333" t="s">
        <v>3181</v>
      </c>
      <c r="H333">
        <v>10099</v>
      </c>
      <c r="I333" t="s">
        <v>3182</v>
      </c>
    </row>
    <row r="334" spans="1:9" x14ac:dyDescent="0.25">
      <c r="A334" t="s">
        <v>3179</v>
      </c>
      <c r="B334" t="s">
        <v>3346</v>
      </c>
      <c r="C334" t="s">
        <v>3183</v>
      </c>
      <c r="D334">
        <v>34.500188909999999</v>
      </c>
      <c r="E334" t="s">
        <v>3180</v>
      </c>
      <c r="F334">
        <v>107.1669751</v>
      </c>
      <c r="G334" t="s">
        <v>3181</v>
      </c>
      <c r="H334">
        <v>25795</v>
      </c>
      <c r="I334" t="s">
        <v>3182</v>
      </c>
    </row>
    <row r="335" spans="1:9" x14ac:dyDescent="0.25">
      <c r="A335" t="s">
        <v>3179</v>
      </c>
      <c r="B335" t="s">
        <v>3906</v>
      </c>
      <c r="C335" t="s">
        <v>3183</v>
      </c>
      <c r="D335">
        <v>37.00003538</v>
      </c>
      <c r="E335" t="s">
        <v>3180</v>
      </c>
      <c r="F335">
        <v>110.0129192</v>
      </c>
      <c r="G335" t="s">
        <v>3181</v>
      </c>
      <c r="H335">
        <v>5602</v>
      </c>
      <c r="I335" t="s">
        <v>3182</v>
      </c>
    </row>
    <row r="336" spans="1:9" x14ac:dyDescent="0.25">
      <c r="A336" t="s">
        <v>3179</v>
      </c>
      <c r="B336" t="s">
        <v>3223</v>
      </c>
      <c r="C336" t="s">
        <v>3183</v>
      </c>
      <c r="D336">
        <v>32.847390849999996</v>
      </c>
      <c r="E336" t="s">
        <v>3180</v>
      </c>
      <c r="F336">
        <v>108.5809709</v>
      </c>
      <c r="G336" t="s">
        <v>3181</v>
      </c>
      <c r="H336">
        <v>21048</v>
      </c>
      <c r="I336" t="s">
        <v>3182</v>
      </c>
    </row>
    <row r="337" spans="1:9" x14ac:dyDescent="0.25">
      <c r="A337" t="s">
        <v>3179</v>
      </c>
      <c r="B337" t="s">
        <v>3459</v>
      </c>
      <c r="C337" t="s">
        <v>3183</v>
      </c>
      <c r="D337">
        <v>32.43585968</v>
      </c>
      <c r="E337" t="s">
        <v>3180</v>
      </c>
      <c r="F337">
        <v>107.5393286</v>
      </c>
      <c r="G337" t="s">
        <v>3181</v>
      </c>
      <c r="H337">
        <v>11935</v>
      </c>
      <c r="I337" t="s">
        <v>3182</v>
      </c>
    </row>
    <row r="338" spans="1:9" x14ac:dyDescent="0.25">
      <c r="A338" t="s">
        <v>3179</v>
      </c>
      <c r="B338" t="s">
        <v>3857</v>
      </c>
      <c r="C338" t="s">
        <v>3183</v>
      </c>
      <c r="D338">
        <v>34.011693000000001</v>
      </c>
      <c r="E338" t="s">
        <v>3180</v>
      </c>
      <c r="F338">
        <v>108.4761589</v>
      </c>
      <c r="G338" t="s">
        <v>3181</v>
      </c>
      <c r="H338">
        <v>32821</v>
      </c>
      <c r="I338" t="s">
        <v>3182</v>
      </c>
    </row>
    <row r="339" spans="1:9" x14ac:dyDescent="0.25">
      <c r="A339" t="s">
        <v>3179</v>
      </c>
      <c r="B339" t="s">
        <v>3776</v>
      </c>
      <c r="C339" t="s">
        <v>3183</v>
      </c>
      <c r="D339">
        <v>34.39844866</v>
      </c>
      <c r="E339" t="s">
        <v>3180</v>
      </c>
      <c r="F339">
        <v>108.2648157</v>
      </c>
      <c r="G339" t="s">
        <v>3181</v>
      </c>
      <c r="H339">
        <v>27813</v>
      </c>
      <c r="I339" t="s">
        <v>3182</v>
      </c>
    </row>
    <row r="340" spans="1:9" x14ac:dyDescent="0.25">
      <c r="A340" t="s">
        <v>3179</v>
      </c>
      <c r="B340" t="s">
        <v>5688</v>
      </c>
      <c r="C340" t="s">
        <v>3183</v>
      </c>
      <c r="D340">
        <v>33.677992740000001</v>
      </c>
      <c r="E340" t="s">
        <v>3180</v>
      </c>
      <c r="F340">
        <v>108.5775024</v>
      </c>
      <c r="G340" t="s">
        <v>3181</v>
      </c>
      <c r="H340">
        <v>8694</v>
      </c>
      <c r="I340" t="s">
        <v>3182</v>
      </c>
    </row>
    <row r="341" spans="1:9" x14ac:dyDescent="0.25">
      <c r="A341" t="s">
        <v>3179</v>
      </c>
      <c r="B341" t="s">
        <v>5689</v>
      </c>
      <c r="C341" t="s">
        <v>3183</v>
      </c>
      <c r="D341">
        <v>33.724805019999998</v>
      </c>
      <c r="E341" t="s">
        <v>3180</v>
      </c>
      <c r="F341">
        <v>107.11684390000001</v>
      </c>
      <c r="G341" t="s">
        <v>3181</v>
      </c>
      <c r="H341">
        <v>7171</v>
      </c>
      <c r="I341" t="s">
        <v>3182</v>
      </c>
    </row>
    <row r="342" spans="1:9" x14ac:dyDescent="0.25">
      <c r="A342" t="s">
        <v>3179</v>
      </c>
      <c r="B342" t="s">
        <v>3347</v>
      </c>
      <c r="C342" t="s">
        <v>3183</v>
      </c>
      <c r="D342">
        <v>34.254612960000003</v>
      </c>
      <c r="E342" t="s">
        <v>3180</v>
      </c>
      <c r="F342">
        <v>107.9183286</v>
      </c>
      <c r="G342" t="s">
        <v>3181</v>
      </c>
      <c r="H342">
        <v>76441</v>
      </c>
      <c r="I342" t="s">
        <v>3182</v>
      </c>
    </row>
    <row r="343" spans="1:9" x14ac:dyDescent="0.25">
      <c r="A343" t="s">
        <v>3179</v>
      </c>
      <c r="B343" t="s">
        <v>3907</v>
      </c>
      <c r="C343" t="s">
        <v>3183</v>
      </c>
      <c r="D343">
        <v>36.99393276</v>
      </c>
      <c r="E343" t="s">
        <v>3180</v>
      </c>
      <c r="F343">
        <v>109.271297</v>
      </c>
      <c r="G343" t="s">
        <v>3181</v>
      </c>
      <c r="H343">
        <v>14188</v>
      </c>
      <c r="I343" t="s">
        <v>3182</v>
      </c>
    </row>
    <row r="344" spans="1:9" x14ac:dyDescent="0.25">
      <c r="A344" t="s">
        <v>3179</v>
      </c>
      <c r="B344" t="s">
        <v>3908</v>
      </c>
      <c r="C344" t="s">
        <v>3183</v>
      </c>
      <c r="D344">
        <v>37.37488664</v>
      </c>
      <c r="E344" t="s">
        <v>3180</v>
      </c>
      <c r="F344">
        <v>109.54346870000001</v>
      </c>
      <c r="G344" t="s">
        <v>3181</v>
      </c>
      <c r="H344">
        <v>10857</v>
      </c>
      <c r="I344" t="s">
        <v>3182</v>
      </c>
    </row>
    <row r="345" spans="1:9" x14ac:dyDescent="0.25">
      <c r="A345" t="s">
        <v>3179</v>
      </c>
      <c r="B345" t="s">
        <v>3858</v>
      </c>
      <c r="C345" t="s">
        <v>3183</v>
      </c>
      <c r="D345">
        <v>34.040892069999998</v>
      </c>
      <c r="E345" t="s">
        <v>3180</v>
      </c>
      <c r="F345">
        <v>109.2393503</v>
      </c>
      <c r="G345" t="s">
        <v>3181</v>
      </c>
      <c r="H345">
        <v>20902</v>
      </c>
      <c r="I345" t="s">
        <v>3182</v>
      </c>
    </row>
    <row r="346" spans="1:9" x14ac:dyDescent="0.25">
      <c r="A346" t="s">
        <v>3179</v>
      </c>
      <c r="B346" t="s">
        <v>3689</v>
      </c>
      <c r="C346" t="s">
        <v>3183</v>
      </c>
      <c r="D346">
        <v>35.074774550000001</v>
      </c>
      <c r="E346" t="s">
        <v>3180</v>
      </c>
      <c r="F346">
        <v>109.9033311</v>
      </c>
      <c r="G346" t="s">
        <v>3181</v>
      </c>
      <c r="H346">
        <v>18283</v>
      </c>
      <c r="I346" t="s">
        <v>3182</v>
      </c>
    </row>
    <row r="347" spans="1:9" x14ac:dyDescent="0.25">
      <c r="A347" t="s">
        <v>3179</v>
      </c>
      <c r="B347" t="s">
        <v>3910</v>
      </c>
      <c r="C347" t="s">
        <v>3183</v>
      </c>
      <c r="D347">
        <v>36.678664189999999</v>
      </c>
      <c r="E347" t="s">
        <v>3180</v>
      </c>
      <c r="F347">
        <v>110.0973863</v>
      </c>
      <c r="G347" t="s">
        <v>3181</v>
      </c>
      <c r="H347">
        <v>11372</v>
      </c>
      <c r="I347" t="s">
        <v>3182</v>
      </c>
    </row>
    <row r="348" spans="1:9" x14ac:dyDescent="0.25">
      <c r="A348" t="s">
        <v>3179</v>
      </c>
      <c r="B348" t="s">
        <v>3909</v>
      </c>
      <c r="C348" t="s">
        <v>3183</v>
      </c>
      <c r="D348">
        <v>35.677054900000002</v>
      </c>
      <c r="E348" t="s">
        <v>3180</v>
      </c>
      <c r="F348">
        <v>109.3796282</v>
      </c>
      <c r="G348" t="s">
        <v>3181</v>
      </c>
      <c r="H348">
        <v>13692</v>
      </c>
      <c r="I348" t="s">
        <v>3182</v>
      </c>
    </row>
    <row r="349" spans="1:9" x14ac:dyDescent="0.25">
      <c r="A349" t="s">
        <v>3179</v>
      </c>
      <c r="B349" t="s">
        <v>3690</v>
      </c>
      <c r="C349" t="s">
        <v>3183</v>
      </c>
      <c r="D349">
        <v>34.675270140000002</v>
      </c>
      <c r="E349" t="s">
        <v>3180</v>
      </c>
      <c r="F349">
        <v>109.692972</v>
      </c>
      <c r="G349" t="s">
        <v>3181</v>
      </c>
      <c r="H349">
        <v>24668</v>
      </c>
      <c r="I349" t="s">
        <v>3182</v>
      </c>
    </row>
    <row r="350" spans="1:9" x14ac:dyDescent="0.25">
      <c r="A350" t="s">
        <v>3179</v>
      </c>
      <c r="B350" t="s">
        <v>3460</v>
      </c>
      <c r="C350" t="s">
        <v>3183</v>
      </c>
      <c r="D350">
        <v>33.239805079999996</v>
      </c>
      <c r="E350" t="s">
        <v>3180</v>
      </c>
      <c r="F350">
        <v>106.2489851</v>
      </c>
      <c r="G350" t="s">
        <v>3181</v>
      </c>
      <c r="H350">
        <v>14734</v>
      </c>
      <c r="I350" t="s">
        <v>3182</v>
      </c>
    </row>
    <row r="351" spans="1:9" x14ac:dyDescent="0.25">
      <c r="A351" t="s">
        <v>3179</v>
      </c>
      <c r="B351" t="s">
        <v>4015</v>
      </c>
      <c r="C351" t="s">
        <v>3183</v>
      </c>
      <c r="D351">
        <v>37.22880438</v>
      </c>
      <c r="E351" t="s">
        <v>3180</v>
      </c>
      <c r="F351">
        <v>110.5090191</v>
      </c>
      <c r="G351" t="s">
        <v>3181</v>
      </c>
      <c r="H351">
        <v>15379</v>
      </c>
      <c r="I351" t="s">
        <v>3182</v>
      </c>
    </row>
    <row r="352" spans="1:9" x14ac:dyDescent="0.25">
      <c r="A352" t="s">
        <v>3179</v>
      </c>
      <c r="B352" t="s">
        <v>3224</v>
      </c>
      <c r="C352" t="s">
        <v>3183</v>
      </c>
      <c r="D352">
        <v>32.214993229999997</v>
      </c>
      <c r="E352" t="s">
        <v>3180</v>
      </c>
      <c r="F352">
        <v>108.5909417</v>
      </c>
      <c r="G352" t="s">
        <v>3181</v>
      </c>
      <c r="H352">
        <v>5020</v>
      </c>
      <c r="I352" t="s">
        <v>3182</v>
      </c>
    </row>
    <row r="353" spans="1:9" x14ac:dyDescent="0.25">
      <c r="A353" t="s">
        <v>3179</v>
      </c>
      <c r="B353" t="s">
        <v>3911</v>
      </c>
      <c r="C353" t="s">
        <v>3183</v>
      </c>
      <c r="D353">
        <v>35.482887400000003</v>
      </c>
      <c r="E353" t="s">
        <v>3180</v>
      </c>
      <c r="F353">
        <v>109.8042028</v>
      </c>
      <c r="G353" t="s">
        <v>3181</v>
      </c>
      <c r="H353">
        <v>5146</v>
      </c>
      <c r="I353" t="s">
        <v>3182</v>
      </c>
    </row>
    <row r="354" spans="1:9" x14ac:dyDescent="0.25">
      <c r="A354" t="s">
        <v>3179</v>
      </c>
      <c r="B354" t="s">
        <v>3461</v>
      </c>
      <c r="C354" t="s">
        <v>3183</v>
      </c>
      <c r="D354">
        <v>33.31101906</v>
      </c>
      <c r="E354" t="s">
        <v>3180</v>
      </c>
      <c r="F354">
        <v>107.2678341</v>
      </c>
      <c r="G354" t="s">
        <v>3181</v>
      </c>
      <c r="H354">
        <v>33179</v>
      </c>
      <c r="I354" t="s">
        <v>3182</v>
      </c>
    </row>
    <row r="355" spans="1:9" x14ac:dyDescent="0.25">
      <c r="A355" t="s">
        <v>3179</v>
      </c>
      <c r="B355" t="s">
        <v>3225</v>
      </c>
      <c r="C355" t="s">
        <v>3183</v>
      </c>
      <c r="D355">
        <v>32.6220067</v>
      </c>
      <c r="E355" t="s">
        <v>3180</v>
      </c>
      <c r="F355">
        <v>108.98351649999999</v>
      </c>
      <c r="G355" t="s">
        <v>3181</v>
      </c>
      <c r="H355">
        <v>13367</v>
      </c>
      <c r="I355" t="s">
        <v>3182</v>
      </c>
    </row>
    <row r="356" spans="1:9" x14ac:dyDescent="0.25">
      <c r="A356" t="s">
        <v>3179</v>
      </c>
      <c r="B356" t="s">
        <v>3226</v>
      </c>
      <c r="C356" t="s">
        <v>3183</v>
      </c>
      <c r="D356">
        <v>33.593815739999997</v>
      </c>
      <c r="E356" t="s">
        <v>3180</v>
      </c>
      <c r="F356">
        <v>108.74464039999999</v>
      </c>
      <c r="G356" t="s">
        <v>3181</v>
      </c>
      <c r="H356">
        <v>3400</v>
      </c>
      <c r="I356" t="s">
        <v>3182</v>
      </c>
    </row>
    <row r="357" spans="1:9" x14ac:dyDescent="0.25">
      <c r="A357" t="s">
        <v>3179</v>
      </c>
      <c r="B357" t="s">
        <v>3912</v>
      </c>
      <c r="C357" t="s">
        <v>3183</v>
      </c>
      <c r="D357">
        <v>36.787198400000001</v>
      </c>
      <c r="E357" t="s">
        <v>3180</v>
      </c>
      <c r="F357">
        <v>108.38764329999999</v>
      </c>
      <c r="G357" t="s">
        <v>3181</v>
      </c>
      <c r="H357">
        <v>8895</v>
      </c>
      <c r="I357" t="s">
        <v>3182</v>
      </c>
    </row>
    <row r="358" spans="1:9" x14ac:dyDescent="0.25">
      <c r="A358" t="s">
        <v>3179</v>
      </c>
      <c r="B358" t="s">
        <v>3691</v>
      </c>
      <c r="C358" t="s">
        <v>3183</v>
      </c>
      <c r="D358">
        <v>34.30283171</v>
      </c>
      <c r="E358" t="s">
        <v>3180</v>
      </c>
      <c r="F358">
        <v>109.9370794</v>
      </c>
      <c r="G358" t="s">
        <v>3181</v>
      </c>
      <c r="H358">
        <v>22744</v>
      </c>
      <c r="I358" t="s">
        <v>3182</v>
      </c>
    </row>
    <row r="359" spans="1:9" x14ac:dyDescent="0.25">
      <c r="A359" t="s">
        <v>3179</v>
      </c>
      <c r="B359" t="s">
        <v>3576</v>
      </c>
      <c r="C359" t="s">
        <v>3183</v>
      </c>
      <c r="D359">
        <v>34.011120150000004</v>
      </c>
      <c r="E359" t="s">
        <v>3180</v>
      </c>
      <c r="F359">
        <v>110.2550044</v>
      </c>
      <c r="G359" t="s">
        <v>3181</v>
      </c>
      <c r="H359">
        <v>38721</v>
      </c>
      <c r="I359" t="s">
        <v>3182</v>
      </c>
    </row>
    <row r="360" spans="1:9" x14ac:dyDescent="0.25">
      <c r="A360" t="s">
        <v>3179</v>
      </c>
      <c r="B360" t="s">
        <v>3348</v>
      </c>
      <c r="C360" t="s">
        <v>3183</v>
      </c>
      <c r="D360">
        <v>34.529105299999998</v>
      </c>
      <c r="E360" t="s">
        <v>3180</v>
      </c>
      <c r="F360">
        <v>107.80436570000001</v>
      </c>
      <c r="G360" t="s">
        <v>3181</v>
      </c>
      <c r="H360">
        <v>31687</v>
      </c>
      <c r="I360" t="s">
        <v>3182</v>
      </c>
    </row>
    <row r="361" spans="1:9" x14ac:dyDescent="0.25">
      <c r="A361" t="s">
        <v>3179</v>
      </c>
      <c r="B361" t="s">
        <v>3349</v>
      </c>
      <c r="C361" t="s">
        <v>3183</v>
      </c>
      <c r="D361">
        <v>34.065662330000002</v>
      </c>
      <c r="E361" t="s">
        <v>3180</v>
      </c>
      <c r="F361">
        <v>107.14661630000001</v>
      </c>
      <c r="G361" t="s">
        <v>3181</v>
      </c>
      <c r="H361">
        <v>3260</v>
      </c>
      <c r="I361" t="s">
        <v>3182</v>
      </c>
    </row>
    <row r="362" spans="1:9" x14ac:dyDescent="0.25">
      <c r="A362" t="s">
        <v>3179</v>
      </c>
      <c r="B362" t="s">
        <v>3692</v>
      </c>
      <c r="C362" t="s">
        <v>3183</v>
      </c>
      <c r="D362">
        <v>34.832811630000002</v>
      </c>
      <c r="E362" t="s">
        <v>3180</v>
      </c>
      <c r="F362">
        <v>109.4610175</v>
      </c>
      <c r="G362" t="s">
        <v>3181</v>
      </c>
      <c r="H362">
        <v>56650</v>
      </c>
      <c r="I362" t="s">
        <v>3182</v>
      </c>
    </row>
    <row r="363" spans="1:9" x14ac:dyDescent="0.25">
      <c r="A363" t="s">
        <v>3179</v>
      </c>
      <c r="B363" t="s">
        <v>3350</v>
      </c>
      <c r="C363" t="s">
        <v>3183</v>
      </c>
      <c r="D363">
        <v>34.433816049999997</v>
      </c>
      <c r="E363" t="s">
        <v>3180</v>
      </c>
      <c r="F363">
        <v>107.1169665</v>
      </c>
      <c r="G363" t="s">
        <v>3181</v>
      </c>
      <c r="H363">
        <v>30465</v>
      </c>
      <c r="I363" t="s">
        <v>3182</v>
      </c>
    </row>
    <row r="364" spans="1:9" x14ac:dyDescent="0.25">
      <c r="A364" t="s">
        <v>3179</v>
      </c>
      <c r="B364" t="s">
        <v>3462</v>
      </c>
      <c r="C364" t="s">
        <v>3183</v>
      </c>
      <c r="D364">
        <v>33.345931190000002</v>
      </c>
      <c r="E364" t="s">
        <v>3180</v>
      </c>
      <c r="F364">
        <v>105.933542</v>
      </c>
      <c r="G364" t="s">
        <v>3181</v>
      </c>
      <c r="H364">
        <v>5424</v>
      </c>
      <c r="I364" t="s">
        <v>3182</v>
      </c>
    </row>
    <row r="365" spans="1:9" x14ac:dyDescent="0.25">
      <c r="A365" t="s">
        <v>3179</v>
      </c>
      <c r="B365" t="s">
        <v>4016</v>
      </c>
      <c r="C365" t="s">
        <v>3183</v>
      </c>
      <c r="D365">
        <v>38.858858810000001</v>
      </c>
      <c r="E365" t="s">
        <v>3180</v>
      </c>
      <c r="F365">
        <v>110.07786830000001</v>
      </c>
      <c r="G365" t="s">
        <v>3181</v>
      </c>
      <c r="H365">
        <v>25561</v>
      </c>
      <c r="I365" t="s">
        <v>3182</v>
      </c>
    </row>
    <row r="366" spans="1:9" x14ac:dyDescent="0.25">
      <c r="A366" t="s">
        <v>3179</v>
      </c>
      <c r="B366" t="s">
        <v>4017</v>
      </c>
      <c r="C366" t="s">
        <v>3183</v>
      </c>
      <c r="D366">
        <v>38.506826930000003</v>
      </c>
      <c r="E366" t="s">
        <v>3180</v>
      </c>
      <c r="F366">
        <v>109.8164668</v>
      </c>
      <c r="G366" t="s">
        <v>3181</v>
      </c>
      <c r="H366">
        <v>13672</v>
      </c>
      <c r="I366" t="s">
        <v>3182</v>
      </c>
    </row>
    <row r="367" spans="1:9" x14ac:dyDescent="0.25">
      <c r="A367" t="s">
        <v>3179</v>
      </c>
      <c r="B367" t="s">
        <v>3577</v>
      </c>
      <c r="C367" t="s">
        <v>3183</v>
      </c>
      <c r="D367">
        <v>33.908514709999999</v>
      </c>
      <c r="E367" t="s">
        <v>3180</v>
      </c>
      <c r="F367">
        <v>109.7545207</v>
      </c>
      <c r="G367" t="s">
        <v>3181</v>
      </c>
      <c r="H367">
        <v>20196</v>
      </c>
      <c r="I367" t="s">
        <v>3182</v>
      </c>
    </row>
    <row r="368" spans="1:9" x14ac:dyDescent="0.25">
      <c r="A368" t="s">
        <v>3179</v>
      </c>
      <c r="B368" t="s">
        <v>4018</v>
      </c>
      <c r="C368" t="s">
        <v>3183</v>
      </c>
      <c r="D368">
        <v>38.044812380000003</v>
      </c>
      <c r="E368" t="s">
        <v>3180</v>
      </c>
      <c r="F368">
        <v>110.2495617</v>
      </c>
      <c r="G368" t="s">
        <v>3181</v>
      </c>
      <c r="H368">
        <v>6904</v>
      </c>
      <c r="I368" t="s">
        <v>3182</v>
      </c>
    </row>
    <row r="369" spans="1:9" x14ac:dyDescent="0.25">
      <c r="A369" t="s">
        <v>3179</v>
      </c>
      <c r="B369" t="s">
        <v>3351</v>
      </c>
      <c r="C369" t="s">
        <v>3183</v>
      </c>
      <c r="D369">
        <v>34.218736550000003</v>
      </c>
      <c r="E369" t="s">
        <v>3180</v>
      </c>
      <c r="F369">
        <v>107.7875757</v>
      </c>
      <c r="G369" t="s">
        <v>3181</v>
      </c>
      <c r="H369">
        <v>33058</v>
      </c>
      <c r="I369" t="s">
        <v>3182</v>
      </c>
    </row>
    <row r="370" spans="1:9" x14ac:dyDescent="0.25">
      <c r="A370" t="s">
        <v>3179</v>
      </c>
      <c r="B370" t="s">
        <v>3463</v>
      </c>
      <c r="C370" t="s">
        <v>3183</v>
      </c>
      <c r="D370">
        <v>33.126547700000003</v>
      </c>
      <c r="E370" t="s">
        <v>3180</v>
      </c>
      <c r="F370">
        <v>106.8461147</v>
      </c>
      <c r="G370" t="s">
        <v>3181</v>
      </c>
      <c r="H370">
        <v>13363</v>
      </c>
      <c r="I370" t="s">
        <v>3182</v>
      </c>
    </row>
    <row r="371" spans="1:9" x14ac:dyDescent="0.25">
      <c r="A371" t="s">
        <v>3179</v>
      </c>
      <c r="B371" t="s">
        <v>3464</v>
      </c>
      <c r="C371" t="s">
        <v>3183</v>
      </c>
      <c r="D371">
        <v>33.34692123</v>
      </c>
      <c r="E371" t="s">
        <v>3180</v>
      </c>
      <c r="F371">
        <v>107.8431981</v>
      </c>
      <c r="G371" t="s">
        <v>3181</v>
      </c>
      <c r="H371">
        <v>8889</v>
      </c>
      <c r="I371" t="s">
        <v>3182</v>
      </c>
    </row>
    <row r="372" spans="1:9" x14ac:dyDescent="0.25">
      <c r="A372" t="s">
        <v>3179</v>
      </c>
      <c r="B372" t="s">
        <v>3578</v>
      </c>
      <c r="C372" t="s">
        <v>3183</v>
      </c>
      <c r="D372">
        <v>33.428383060000002</v>
      </c>
      <c r="E372" t="s">
        <v>3180</v>
      </c>
      <c r="F372">
        <v>110.58387759999999</v>
      </c>
      <c r="G372" t="s">
        <v>3181</v>
      </c>
      <c r="H372">
        <v>23160</v>
      </c>
      <c r="I372" t="s">
        <v>3182</v>
      </c>
    </row>
    <row r="373" spans="1:9" x14ac:dyDescent="0.25">
      <c r="A373" t="s">
        <v>3179</v>
      </c>
      <c r="B373" t="s">
        <v>3642</v>
      </c>
      <c r="C373" t="s">
        <v>3183</v>
      </c>
      <c r="D373">
        <v>35.258228670000001</v>
      </c>
      <c r="E373" t="s">
        <v>3180</v>
      </c>
      <c r="F373">
        <v>108.962341</v>
      </c>
      <c r="G373" t="s">
        <v>3181</v>
      </c>
      <c r="H373">
        <v>40670</v>
      </c>
      <c r="I373" t="s">
        <v>3182</v>
      </c>
    </row>
    <row r="374" spans="1:9" x14ac:dyDescent="0.25">
      <c r="A374" t="s">
        <v>3179</v>
      </c>
      <c r="B374" t="s">
        <v>3693</v>
      </c>
      <c r="C374" t="s">
        <v>3183</v>
      </c>
      <c r="D374">
        <v>35.32560282</v>
      </c>
      <c r="E374" t="s">
        <v>3180</v>
      </c>
      <c r="F374">
        <v>110.0290768</v>
      </c>
      <c r="G374" t="s">
        <v>3181</v>
      </c>
      <c r="H374">
        <v>23829</v>
      </c>
      <c r="I374" t="s">
        <v>3182</v>
      </c>
    </row>
    <row r="375" spans="1:9" x14ac:dyDescent="0.25">
      <c r="A375" t="s">
        <v>3179</v>
      </c>
      <c r="B375" t="s">
        <v>3227</v>
      </c>
      <c r="C375" t="s">
        <v>3183</v>
      </c>
      <c r="D375">
        <v>32.724502559999998</v>
      </c>
      <c r="E375" t="s">
        <v>3180</v>
      </c>
      <c r="F375">
        <v>109.55855560000001</v>
      </c>
      <c r="G375" t="s">
        <v>3181</v>
      </c>
      <c r="H375">
        <v>13739</v>
      </c>
      <c r="I375" t="s">
        <v>3182</v>
      </c>
    </row>
    <row r="376" spans="1:9" x14ac:dyDescent="0.25">
      <c r="A376" t="s">
        <v>3179</v>
      </c>
      <c r="B376" t="s">
        <v>3352</v>
      </c>
      <c r="C376" t="s">
        <v>3183</v>
      </c>
      <c r="D376">
        <v>34.680200050000003</v>
      </c>
      <c r="E376" t="s">
        <v>3180</v>
      </c>
      <c r="F376">
        <v>107.77018409999999</v>
      </c>
      <c r="G376" t="s">
        <v>3181</v>
      </c>
      <c r="H376">
        <v>30180</v>
      </c>
      <c r="I376" t="s">
        <v>3182</v>
      </c>
    </row>
    <row r="377" spans="1:9" x14ac:dyDescent="0.25">
      <c r="A377" t="s">
        <v>3179</v>
      </c>
      <c r="B377" t="s">
        <v>3353</v>
      </c>
      <c r="C377" t="s">
        <v>3183</v>
      </c>
      <c r="D377">
        <v>34.82924225</v>
      </c>
      <c r="E377" t="s">
        <v>3180</v>
      </c>
      <c r="F377">
        <v>107.39667710000001</v>
      </c>
      <c r="G377" t="s">
        <v>3181</v>
      </c>
      <c r="H377">
        <v>8207</v>
      </c>
      <c r="I377" t="s">
        <v>3182</v>
      </c>
    </row>
    <row r="378" spans="1:9" x14ac:dyDescent="0.25">
      <c r="A378" t="s">
        <v>3179</v>
      </c>
      <c r="B378" t="s">
        <v>3859</v>
      </c>
      <c r="C378" t="s">
        <v>3183</v>
      </c>
      <c r="D378">
        <v>34.038915090000003</v>
      </c>
      <c r="E378" t="s">
        <v>3180</v>
      </c>
      <c r="F378">
        <v>108.4208725</v>
      </c>
      <c r="G378" t="s">
        <v>3181</v>
      </c>
      <c r="H378">
        <v>23901</v>
      </c>
      <c r="I378" t="s">
        <v>3182</v>
      </c>
    </row>
    <row r="379" spans="1:9" x14ac:dyDescent="0.25">
      <c r="A379" t="s">
        <v>3179</v>
      </c>
      <c r="B379" t="s">
        <v>3860</v>
      </c>
      <c r="C379" t="s">
        <v>3183</v>
      </c>
      <c r="D379">
        <v>34.136118209999999</v>
      </c>
      <c r="E379" t="s">
        <v>3180</v>
      </c>
      <c r="F379">
        <v>109.5601521</v>
      </c>
      <c r="G379" t="s">
        <v>3181</v>
      </c>
      <c r="H379">
        <v>13915</v>
      </c>
      <c r="I379" t="s">
        <v>3182</v>
      </c>
    </row>
    <row r="380" spans="1:9" x14ac:dyDescent="0.25">
      <c r="A380" t="s">
        <v>3179</v>
      </c>
      <c r="B380" t="s">
        <v>3913</v>
      </c>
      <c r="C380" t="s">
        <v>3183</v>
      </c>
      <c r="D380">
        <v>35.899611729999997</v>
      </c>
      <c r="E380" t="s">
        <v>3180</v>
      </c>
      <c r="F380">
        <v>109.6145489</v>
      </c>
      <c r="G380" t="s">
        <v>3181</v>
      </c>
      <c r="H380">
        <v>15467</v>
      </c>
      <c r="I380" t="s">
        <v>3182</v>
      </c>
    </row>
    <row r="381" spans="1:9" x14ac:dyDescent="0.25">
      <c r="A381" t="s">
        <v>3179</v>
      </c>
      <c r="B381" t="s">
        <v>3861</v>
      </c>
      <c r="C381" t="s">
        <v>3183</v>
      </c>
      <c r="D381">
        <v>33.944498260000003</v>
      </c>
      <c r="E381" t="s">
        <v>3180</v>
      </c>
      <c r="F381">
        <v>108.3562506</v>
      </c>
      <c r="G381" t="s">
        <v>3181</v>
      </c>
      <c r="H381">
        <v>26167</v>
      </c>
      <c r="I381" t="s">
        <v>3182</v>
      </c>
    </row>
    <row r="382" spans="1:9" x14ac:dyDescent="0.25">
      <c r="A382" t="s">
        <v>3179</v>
      </c>
      <c r="B382" t="s">
        <v>3914</v>
      </c>
      <c r="C382" t="s">
        <v>3183</v>
      </c>
      <c r="D382">
        <v>35.869789599999997</v>
      </c>
      <c r="E382" t="s">
        <v>3180</v>
      </c>
      <c r="F382">
        <v>110.3247793</v>
      </c>
      <c r="G382" t="s">
        <v>3181</v>
      </c>
      <c r="H382">
        <v>6983</v>
      </c>
      <c r="I382" t="s">
        <v>3182</v>
      </c>
    </row>
    <row r="383" spans="1:9" x14ac:dyDescent="0.25">
      <c r="A383" t="s">
        <v>3179</v>
      </c>
      <c r="B383" t="s">
        <v>4019</v>
      </c>
      <c r="C383" t="s">
        <v>3183</v>
      </c>
      <c r="D383">
        <v>37.08362674</v>
      </c>
      <c r="E383" t="s">
        <v>3180</v>
      </c>
      <c r="F383">
        <v>107.4071508</v>
      </c>
      <c r="G383" t="s">
        <v>3181</v>
      </c>
      <c r="H383">
        <v>11341</v>
      </c>
      <c r="I383" t="s">
        <v>3182</v>
      </c>
    </row>
    <row r="384" spans="1:9" x14ac:dyDescent="0.25">
      <c r="A384" t="s">
        <v>3179</v>
      </c>
      <c r="B384" t="s">
        <v>3777</v>
      </c>
      <c r="C384" t="s">
        <v>3183</v>
      </c>
      <c r="D384">
        <v>35.082939189999998</v>
      </c>
      <c r="E384" t="s">
        <v>3180</v>
      </c>
      <c r="F384">
        <v>107.8077713</v>
      </c>
      <c r="G384" t="s">
        <v>3181</v>
      </c>
      <c r="H384">
        <v>14647</v>
      </c>
      <c r="I384" t="s">
        <v>3182</v>
      </c>
    </row>
    <row r="385" spans="1:9" x14ac:dyDescent="0.25">
      <c r="A385" t="s">
        <v>3179</v>
      </c>
      <c r="B385" t="s">
        <v>3778</v>
      </c>
      <c r="C385" t="s">
        <v>3183</v>
      </c>
      <c r="D385">
        <v>34.462283460000002</v>
      </c>
      <c r="E385" t="s">
        <v>3180</v>
      </c>
      <c r="F385">
        <v>108.57224669999999</v>
      </c>
      <c r="G385" t="s">
        <v>3181</v>
      </c>
      <c r="H385">
        <v>24986</v>
      </c>
      <c r="I385" t="s">
        <v>3182</v>
      </c>
    </row>
    <row r="386" spans="1:9" x14ac:dyDescent="0.25">
      <c r="A386" t="s">
        <v>3179</v>
      </c>
      <c r="B386" t="s">
        <v>3465</v>
      </c>
      <c r="C386" t="s">
        <v>3183</v>
      </c>
      <c r="D386">
        <v>33.101428839999997</v>
      </c>
      <c r="E386" t="s">
        <v>3180</v>
      </c>
      <c r="F386">
        <v>106.0962541</v>
      </c>
      <c r="G386" t="s">
        <v>3181</v>
      </c>
      <c r="H386">
        <v>3161</v>
      </c>
      <c r="I386" t="s">
        <v>3182</v>
      </c>
    </row>
    <row r="387" spans="1:9" x14ac:dyDescent="0.25">
      <c r="A387" t="s">
        <v>3179</v>
      </c>
      <c r="B387" t="s">
        <v>3354</v>
      </c>
      <c r="C387" t="s">
        <v>3183</v>
      </c>
      <c r="D387">
        <v>34.029716260000001</v>
      </c>
      <c r="E387" t="s">
        <v>3180</v>
      </c>
      <c r="F387">
        <v>107.31046809999999</v>
      </c>
      <c r="G387" t="s">
        <v>3181</v>
      </c>
      <c r="H387">
        <v>26948</v>
      </c>
      <c r="I387" t="s">
        <v>3182</v>
      </c>
    </row>
    <row r="388" spans="1:9" x14ac:dyDescent="0.25">
      <c r="A388" t="s">
        <v>3179</v>
      </c>
      <c r="B388" t="s">
        <v>3228</v>
      </c>
      <c r="C388" t="s">
        <v>3183</v>
      </c>
      <c r="D388">
        <v>32.622058430000003</v>
      </c>
      <c r="E388" t="s">
        <v>3180</v>
      </c>
      <c r="F388">
        <v>110.02409849999999</v>
      </c>
      <c r="G388" t="s">
        <v>3181</v>
      </c>
      <c r="H388">
        <v>9689</v>
      </c>
      <c r="I388" t="s">
        <v>3182</v>
      </c>
    </row>
    <row r="389" spans="1:9" x14ac:dyDescent="0.25">
      <c r="A389" t="s">
        <v>3179</v>
      </c>
      <c r="B389" t="s">
        <v>4021</v>
      </c>
      <c r="C389" t="s">
        <v>3183</v>
      </c>
      <c r="D389">
        <v>37.809937609999999</v>
      </c>
      <c r="E389" t="s">
        <v>3180</v>
      </c>
      <c r="F389">
        <v>110.59471019999999</v>
      </c>
      <c r="G389" t="s">
        <v>3181</v>
      </c>
      <c r="H389">
        <v>19357</v>
      </c>
      <c r="I389" t="s">
        <v>3182</v>
      </c>
    </row>
    <row r="390" spans="1:9" x14ac:dyDescent="0.25">
      <c r="A390" t="s">
        <v>3179</v>
      </c>
      <c r="B390" t="s">
        <v>3779</v>
      </c>
      <c r="C390" t="s">
        <v>3183</v>
      </c>
      <c r="D390">
        <v>34.684151200000002</v>
      </c>
      <c r="E390" t="s">
        <v>3180</v>
      </c>
      <c r="F390">
        <v>108.73074149999999</v>
      </c>
      <c r="G390" t="s">
        <v>3181</v>
      </c>
      <c r="H390">
        <v>22814</v>
      </c>
      <c r="I390" t="s">
        <v>3182</v>
      </c>
    </row>
    <row r="391" spans="1:9" x14ac:dyDescent="0.25">
      <c r="A391" t="s">
        <v>3179</v>
      </c>
      <c r="B391" t="s">
        <v>4022</v>
      </c>
      <c r="C391" t="s">
        <v>3183</v>
      </c>
      <c r="D391">
        <v>37.551350939999999</v>
      </c>
      <c r="E391" t="s">
        <v>3180</v>
      </c>
      <c r="F391">
        <v>110.72246699999999</v>
      </c>
      <c r="G391" t="s">
        <v>3181</v>
      </c>
      <c r="H391">
        <v>7665</v>
      </c>
      <c r="I391" t="s">
        <v>3182</v>
      </c>
    </row>
    <row r="392" spans="1:9" x14ac:dyDescent="0.25">
      <c r="A392" t="s">
        <v>3179</v>
      </c>
      <c r="B392" t="s">
        <v>4023</v>
      </c>
      <c r="C392" t="s">
        <v>3183</v>
      </c>
      <c r="D392">
        <v>37.151551920000003</v>
      </c>
      <c r="E392" t="s">
        <v>3180</v>
      </c>
      <c r="F392">
        <v>110.13053069999999</v>
      </c>
      <c r="G392" t="s">
        <v>3181</v>
      </c>
      <c r="H392">
        <v>50519</v>
      </c>
      <c r="I392" t="s">
        <v>3182</v>
      </c>
    </row>
    <row r="393" spans="1:9" x14ac:dyDescent="0.25">
      <c r="A393" t="s">
        <v>3179</v>
      </c>
      <c r="B393" t="s">
        <v>3643</v>
      </c>
      <c r="C393" t="s">
        <v>3183</v>
      </c>
      <c r="D393">
        <v>35.29256882</v>
      </c>
      <c r="E393" t="s">
        <v>3180</v>
      </c>
      <c r="F393">
        <v>109.0878017</v>
      </c>
      <c r="G393" t="s">
        <v>3181</v>
      </c>
      <c r="H393">
        <v>4579</v>
      </c>
      <c r="I393" t="s">
        <v>3182</v>
      </c>
    </row>
    <row r="394" spans="1:9" x14ac:dyDescent="0.25">
      <c r="A394" t="s">
        <v>3179</v>
      </c>
      <c r="B394" t="s">
        <v>4024</v>
      </c>
      <c r="C394" t="s">
        <v>3183</v>
      </c>
      <c r="D394">
        <v>38.799034769999999</v>
      </c>
      <c r="E394" t="s">
        <v>3180</v>
      </c>
      <c r="F394">
        <v>110.706108</v>
      </c>
      <c r="G394" t="s">
        <v>3181</v>
      </c>
      <c r="H394">
        <v>4157</v>
      </c>
      <c r="I394" t="s">
        <v>3182</v>
      </c>
    </row>
    <row r="395" spans="1:9" x14ac:dyDescent="0.25">
      <c r="A395" t="s">
        <v>3179</v>
      </c>
      <c r="B395" t="s">
        <v>3862</v>
      </c>
      <c r="C395" t="s">
        <v>3183</v>
      </c>
      <c r="D395">
        <v>34.054025539999998</v>
      </c>
      <c r="E395" t="s">
        <v>3180</v>
      </c>
      <c r="F395">
        <v>109.4998946</v>
      </c>
      <c r="G395" t="s">
        <v>3181</v>
      </c>
      <c r="H395">
        <v>8991</v>
      </c>
      <c r="I395" t="s">
        <v>3182</v>
      </c>
    </row>
    <row r="396" spans="1:9" x14ac:dyDescent="0.25">
      <c r="A396" t="s">
        <v>3179</v>
      </c>
      <c r="B396" t="s">
        <v>3466</v>
      </c>
      <c r="C396" t="s">
        <v>3183</v>
      </c>
      <c r="D396">
        <v>33.190909300000001</v>
      </c>
      <c r="E396" t="s">
        <v>3180</v>
      </c>
      <c r="F396">
        <v>106.88339240000001</v>
      </c>
      <c r="G396" t="s">
        <v>3181</v>
      </c>
      <c r="H396">
        <v>34121</v>
      </c>
      <c r="I396" t="s">
        <v>3182</v>
      </c>
    </row>
    <row r="397" spans="1:9" x14ac:dyDescent="0.25">
      <c r="A397" t="s">
        <v>3179</v>
      </c>
      <c r="B397" t="s">
        <v>3863</v>
      </c>
      <c r="C397" t="s">
        <v>3183</v>
      </c>
      <c r="D397">
        <v>34.193472849999999</v>
      </c>
      <c r="E397" t="s">
        <v>3180</v>
      </c>
      <c r="F397">
        <v>108.54921059999999</v>
      </c>
      <c r="G397" t="s">
        <v>3181</v>
      </c>
      <c r="H397">
        <v>32346</v>
      </c>
      <c r="I397" t="s">
        <v>3182</v>
      </c>
    </row>
    <row r="398" spans="1:9" x14ac:dyDescent="0.25">
      <c r="A398" t="s">
        <v>3179</v>
      </c>
      <c r="B398" t="s">
        <v>4025</v>
      </c>
      <c r="C398" t="s">
        <v>3183</v>
      </c>
      <c r="D398">
        <v>39.188619610000003</v>
      </c>
      <c r="E398" t="s">
        <v>3180</v>
      </c>
      <c r="F398">
        <v>110.550273</v>
      </c>
      <c r="G398" t="s">
        <v>3181</v>
      </c>
      <c r="H398">
        <v>14909</v>
      </c>
      <c r="I398" t="s">
        <v>3182</v>
      </c>
    </row>
    <row r="399" spans="1:9" x14ac:dyDescent="0.25">
      <c r="A399" t="s">
        <v>3179</v>
      </c>
      <c r="B399" t="s">
        <v>3467</v>
      </c>
      <c r="C399" t="s">
        <v>3183</v>
      </c>
      <c r="D399">
        <v>33.131556260000004</v>
      </c>
      <c r="E399" t="s">
        <v>3180</v>
      </c>
      <c r="F399">
        <v>107.0552177</v>
      </c>
      <c r="G399" t="s">
        <v>3181</v>
      </c>
      <c r="H399">
        <v>26089</v>
      </c>
      <c r="I399" t="s">
        <v>3182</v>
      </c>
    </row>
    <row r="400" spans="1:9" x14ac:dyDescent="0.25">
      <c r="A400" t="s">
        <v>3179</v>
      </c>
      <c r="B400" t="s">
        <v>4026</v>
      </c>
      <c r="C400" t="s">
        <v>3183</v>
      </c>
      <c r="D400">
        <v>37.365792579999997</v>
      </c>
      <c r="E400" t="s">
        <v>3180</v>
      </c>
      <c r="F400">
        <v>109.9208438</v>
      </c>
      <c r="G400" t="s">
        <v>3181</v>
      </c>
      <c r="H400">
        <v>9403</v>
      </c>
      <c r="I400" t="s">
        <v>3182</v>
      </c>
    </row>
    <row r="401" spans="1:9" x14ac:dyDescent="0.25">
      <c r="A401" t="s">
        <v>3179</v>
      </c>
      <c r="B401" t="s">
        <v>3694</v>
      </c>
      <c r="C401" t="s">
        <v>3183</v>
      </c>
      <c r="D401">
        <v>35.037779469999997</v>
      </c>
      <c r="E401" t="s">
        <v>3180</v>
      </c>
      <c r="F401">
        <v>109.37793120000001</v>
      </c>
      <c r="G401" t="s">
        <v>3181</v>
      </c>
      <c r="H401">
        <v>33657</v>
      </c>
      <c r="I401" t="s">
        <v>3182</v>
      </c>
    </row>
    <row r="402" spans="1:9" x14ac:dyDescent="0.25">
      <c r="A402" t="s">
        <v>3179</v>
      </c>
      <c r="B402" t="s">
        <v>3694</v>
      </c>
      <c r="C402" t="s">
        <v>3183</v>
      </c>
      <c r="D402">
        <v>35.650669610000001</v>
      </c>
      <c r="E402" t="s">
        <v>3180</v>
      </c>
      <c r="F402">
        <v>109.4936785</v>
      </c>
      <c r="G402" t="s">
        <v>3181</v>
      </c>
      <c r="H402">
        <v>28019</v>
      </c>
      <c r="I402" t="s">
        <v>3182</v>
      </c>
    </row>
    <row r="403" spans="1:9" x14ac:dyDescent="0.25">
      <c r="A403" t="s">
        <v>3179</v>
      </c>
      <c r="B403" t="s">
        <v>3229</v>
      </c>
      <c r="C403" t="s">
        <v>3183</v>
      </c>
      <c r="D403">
        <v>32.546269649999999</v>
      </c>
      <c r="E403" t="s">
        <v>3180</v>
      </c>
      <c r="F403">
        <v>109.1780819</v>
      </c>
      <c r="G403" t="s">
        <v>3181</v>
      </c>
      <c r="H403">
        <v>14150</v>
      </c>
      <c r="I403" t="s">
        <v>3182</v>
      </c>
    </row>
    <row r="404" spans="1:9" x14ac:dyDescent="0.25">
      <c r="A404" t="s">
        <v>3179</v>
      </c>
      <c r="B404" t="s">
        <v>3468</v>
      </c>
      <c r="C404" t="s">
        <v>3183</v>
      </c>
      <c r="D404">
        <v>33.288974420000002</v>
      </c>
      <c r="E404" t="s">
        <v>3180</v>
      </c>
      <c r="F404">
        <v>107.12255399999999</v>
      </c>
      <c r="G404" t="s">
        <v>3181</v>
      </c>
      <c r="H404">
        <v>28605</v>
      </c>
      <c r="I404" t="s">
        <v>3182</v>
      </c>
    </row>
    <row r="405" spans="1:9" x14ac:dyDescent="0.25">
      <c r="A405" t="s">
        <v>3179</v>
      </c>
      <c r="B405" t="s">
        <v>3915</v>
      </c>
      <c r="C405" t="s">
        <v>3183</v>
      </c>
      <c r="D405">
        <v>36.363012189999999</v>
      </c>
      <c r="E405" t="s">
        <v>3180</v>
      </c>
      <c r="F405">
        <v>110.3408026</v>
      </c>
      <c r="G405" t="s">
        <v>3181</v>
      </c>
      <c r="H405">
        <v>4978</v>
      </c>
      <c r="I405" t="s">
        <v>3182</v>
      </c>
    </row>
    <row r="406" spans="1:9" x14ac:dyDescent="0.25">
      <c r="A406" t="s">
        <v>3179</v>
      </c>
      <c r="B406" t="s">
        <v>4027</v>
      </c>
      <c r="C406" t="s">
        <v>3183</v>
      </c>
      <c r="D406">
        <v>37.979851340000003</v>
      </c>
      <c r="E406" t="s">
        <v>3180</v>
      </c>
      <c r="F406">
        <v>109.0928332</v>
      </c>
      <c r="G406" t="s">
        <v>3181</v>
      </c>
      <c r="H406">
        <v>7792</v>
      </c>
      <c r="I406" t="s">
        <v>3182</v>
      </c>
    </row>
    <row r="407" spans="1:9" x14ac:dyDescent="0.25">
      <c r="A407" t="s">
        <v>3179</v>
      </c>
      <c r="B407" t="s">
        <v>3695</v>
      </c>
      <c r="C407" t="s">
        <v>3183</v>
      </c>
      <c r="D407">
        <v>35.244508629999999</v>
      </c>
      <c r="E407" t="s">
        <v>3180</v>
      </c>
      <c r="F407">
        <v>109.61941160000001</v>
      </c>
      <c r="G407" t="s">
        <v>3181</v>
      </c>
      <c r="H407">
        <v>11324</v>
      </c>
      <c r="I407" t="s">
        <v>3182</v>
      </c>
    </row>
    <row r="408" spans="1:9" x14ac:dyDescent="0.25">
      <c r="A408" t="s">
        <v>3179</v>
      </c>
      <c r="B408" t="s">
        <v>3355</v>
      </c>
      <c r="C408" t="s">
        <v>3183</v>
      </c>
      <c r="D408">
        <v>34.8827274</v>
      </c>
      <c r="E408" t="s">
        <v>3180</v>
      </c>
      <c r="F408">
        <v>106.8161631</v>
      </c>
      <c r="G408" t="s">
        <v>3181</v>
      </c>
      <c r="H408">
        <v>14714</v>
      </c>
      <c r="I408" t="s">
        <v>3182</v>
      </c>
    </row>
    <row r="409" spans="1:9" x14ac:dyDescent="0.25">
      <c r="A409" t="s">
        <v>3179</v>
      </c>
      <c r="B409" t="s">
        <v>3230</v>
      </c>
      <c r="C409" t="s">
        <v>3183</v>
      </c>
      <c r="D409">
        <v>32.852922210000003</v>
      </c>
      <c r="E409" t="s">
        <v>3180</v>
      </c>
      <c r="F409">
        <v>109.8841259</v>
      </c>
      <c r="G409" t="s">
        <v>3181</v>
      </c>
      <c r="H409">
        <v>16172</v>
      </c>
      <c r="I409" t="s">
        <v>3182</v>
      </c>
    </row>
    <row r="410" spans="1:9" x14ac:dyDescent="0.25">
      <c r="A410" t="s">
        <v>3179</v>
      </c>
      <c r="B410" t="s">
        <v>3469</v>
      </c>
      <c r="C410" t="s">
        <v>3183</v>
      </c>
      <c r="D410">
        <v>33.194448979999997</v>
      </c>
      <c r="E410" t="s">
        <v>3180</v>
      </c>
      <c r="F410">
        <v>105.989868</v>
      </c>
      <c r="G410" t="s">
        <v>3181</v>
      </c>
      <c r="H410">
        <v>6892</v>
      </c>
      <c r="I410" t="s">
        <v>3182</v>
      </c>
    </row>
    <row r="411" spans="1:9" x14ac:dyDescent="0.25">
      <c r="A411" t="s">
        <v>3179</v>
      </c>
      <c r="B411" t="s">
        <v>3916</v>
      </c>
      <c r="C411" t="s">
        <v>3183</v>
      </c>
      <c r="D411">
        <v>37.205612549999998</v>
      </c>
      <c r="E411" t="s">
        <v>3180</v>
      </c>
      <c r="F411">
        <v>108.9955076</v>
      </c>
      <c r="G411" t="s">
        <v>3181</v>
      </c>
      <c r="H411">
        <v>7591</v>
      </c>
      <c r="I411" t="s">
        <v>3182</v>
      </c>
    </row>
    <row r="412" spans="1:9" x14ac:dyDescent="0.25">
      <c r="A412" t="s">
        <v>3179</v>
      </c>
      <c r="B412" t="s">
        <v>3780</v>
      </c>
      <c r="C412" t="s">
        <v>3183</v>
      </c>
      <c r="D412">
        <v>34.434256249999997</v>
      </c>
      <c r="E412" t="s">
        <v>3180</v>
      </c>
      <c r="F412">
        <v>108.1788274</v>
      </c>
      <c r="G412" t="s">
        <v>3181</v>
      </c>
      <c r="H412">
        <v>32159</v>
      </c>
      <c r="I412" t="s">
        <v>3182</v>
      </c>
    </row>
    <row r="413" spans="1:9" x14ac:dyDescent="0.25">
      <c r="A413" t="s">
        <v>3179</v>
      </c>
      <c r="B413" t="s">
        <v>5690</v>
      </c>
      <c r="C413" t="s">
        <v>3183</v>
      </c>
      <c r="D413">
        <v>33.275342420000001</v>
      </c>
      <c r="E413" t="s">
        <v>3180</v>
      </c>
      <c r="F413">
        <v>108.1179776</v>
      </c>
      <c r="G413" t="s">
        <v>3181</v>
      </c>
      <c r="H413">
        <v>8662</v>
      </c>
      <c r="I413" t="s">
        <v>3182</v>
      </c>
    </row>
    <row r="414" spans="1:9" x14ac:dyDescent="0.25">
      <c r="A414" t="s">
        <v>3179</v>
      </c>
      <c r="B414" t="s">
        <v>5691</v>
      </c>
      <c r="C414" t="s">
        <v>3183</v>
      </c>
      <c r="D414">
        <v>32.89524308</v>
      </c>
      <c r="E414" t="s">
        <v>3180</v>
      </c>
      <c r="F414">
        <v>106.7318016</v>
      </c>
      <c r="G414" t="s">
        <v>3181</v>
      </c>
      <c r="H414">
        <v>6354</v>
      </c>
      <c r="I414" t="s">
        <v>3182</v>
      </c>
    </row>
    <row r="415" spans="1:9" x14ac:dyDescent="0.25">
      <c r="A415" t="s">
        <v>3179</v>
      </c>
      <c r="B415" t="s">
        <v>5692</v>
      </c>
      <c r="C415" t="s">
        <v>3183</v>
      </c>
      <c r="D415">
        <v>32.726684400000003</v>
      </c>
      <c r="E415" t="s">
        <v>3180</v>
      </c>
      <c r="F415">
        <v>108.15905069999999</v>
      </c>
      <c r="G415" t="s">
        <v>3181</v>
      </c>
      <c r="H415">
        <v>13058</v>
      </c>
      <c r="I415" t="s">
        <v>3182</v>
      </c>
    </row>
    <row r="416" spans="1:9" x14ac:dyDescent="0.25">
      <c r="A416" t="s">
        <v>3179</v>
      </c>
      <c r="B416" t="s">
        <v>5693</v>
      </c>
      <c r="C416" t="s">
        <v>3183</v>
      </c>
      <c r="D416">
        <v>33.46379366</v>
      </c>
      <c r="E416" t="s">
        <v>3180</v>
      </c>
      <c r="F416">
        <v>106.34267319999999</v>
      </c>
      <c r="G416" t="s">
        <v>3181</v>
      </c>
      <c r="H416">
        <v>4296</v>
      </c>
      <c r="I416" t="s">
        <v>3182</v>
      </c>
    </row>
    <row r="417" spans="1:9" x14ac:dyDescent="0.25">
      <c r="A417" t="s">
        <v>3179</v>
      </c>
      <c r="B417" t="s">
        <v>3579</v>
      </c>
      <c r="C417" t="s">
        <v>3183</v>
      </c>
      <c r="D417">
        <v>33.609304229999999</v>
      </c>
      <c r="E417" t="s">
        <v>3180</v>
      </c>
      <c r="F417">
        <v>110.097264</v>
      </c>
      <c r="G417" t="s">
        <v>3181</v>
      </c>
      <c r="H417">
        <v>10635</v>
      </c>
      <c r="I417" t="s">
        <v>3182</v>
      </c>
    </row>
    <row r="418" spans="1:9" x14ac:dyDescent="0.25">
      <c r="A418" t="s">
        <v>3179</v>
      </c>
      <c r="B418" t="s">
        <v>3470</v>
      </c>
      <c r="C418" t="s">
        <v>3183</v>
      </c>
      <c r="D418">
        <v>34.633447439999998</v>
      </c>
      <c r="E418" t="s">
        <v>3180</v>
      </c>
      <c r="F418">
        <v>108.116764</v>
      </c>
      <c r="G418" t="s">
        <v>3181</v>
      </c>
      <c r="H418">
        <v>24901</v>
      </c>
      <c r="I418" t="s">
        <v>3182</v>
      </c>
    </row>
    <row r="419" spans="1:9" x14ac:dyDescent="0.25">
      <c r="A419" t="s">
        <v>3179</v>
      </c>
      <c r="B419" t="s">
        <v>3470</v>
      </c>
      <c r="C419" t="s">
        <v>3183</v>
      </c>
      <c r="D419">
        <v>33.067541390000002</v>
      </c>
      <c r="E419" t="s">
        <v>3180</v>
      </c>
      <c r="F419">
        <v>106.9437547</v>
      </c>
      <c r="G419" t="s">
        <v>3181</v>
      </c>
      <c r="H419">
        <v>27736</v>
      </c>
      <c r="I419" t="s">
        <v>3182</v>
      </c>
    </row>
    <row r="420" spans="1:9" x14ac:dyDescent="0.25">
      <c r="A420" t="s">
        <v>3179</v>
      </c>
      <c r="B420" t="s">
        <v>3356</v>
      </c>
      <c r="C420" t="s">
        <v>3183</v>
      </c>
      <c r="D420">
        <v>34.8544792</v>
      </c>
      <c r="E420" t="s">
        <v>3180</v>
      </c>
      <c r="F420">
        <v>107.5236589</v>
      </c>
      <c r="G420" t="s">
        <v>3181</v>
      </c>
      <c r="H420">
        <v>6778</v>
      </c>
      <c r="I420" t="s">
        <v>3182</v>
      </c>
    </row>
    <row r="421" spans="1:9" x14ac:dyDescent="0.25">
      <c r="A421" t="s">
        <v>3179</v>
      </c>
      <c r="B421" t="s">
        <v>3696</v>
      </c>
      <c r="C421" t="s">
        <v>3183</v>
      </c>
      <c r="D421">
        <v>34.944038339999999</v>
      </c>
      <c r="E421" t="s">
        <v>3180</v>
      </c>
      <c r="F421">
        <v>110.1099936</v>
      </c>
      <c r="G421" t="s">
        <v>3181</v>
      </c>
      <c r="H421">
        <v>44774</v>
      </c>
      <c r="I421" t="s">
        <v>3182</v>
      </c>
    </row>
    <row r="422" spans="1:9" x14ac:dyDescent="0.25">
      <c r="A422" t="s">
        <v>3179</v>
      </c>
      <c r="B422" t="s">
        <v>3697</v>
      </c>
      <c r="C422" t="s">
        <v>3183</v>
      </c>
      <c r="D422">
        <v>34.468860030000002</v>
      </c>
      <c r="E422" t="s">
        <v>3180</v>
      </c>
      <c r="F422">
        <v>109.83922509999999</v>
      </c>
      <c r="G422" t="s">
        <v>3181</v>
      </c>
      <c r="H422">
        <v>25383</v>
      </c>
      <c r="I422" t="s">
        <v>3182</v>
      </c>
    </row>
    <row r="423" spans="1:9" x14ac:dyDescent="0.25">
      <c r="A423" t="s">
        <v>3179</v>
      </c>
      <c r="B423" t="s">
        <v>3471</v>
      </c>
      <c r="C423" t="s">
        <v>3183</v>
      </c>
      <c r="D423">
        <v>32.935376560000002</v>
      </c>
      <c r="E423" t="s">
        <v>3180</v>
      </c>
      <c r="F423">
        <v>106.84577640000001</v>
      </c>
      <c r="G423" t="s">
        <v>3181</v>
      </c>
      <c r="H423">
        <v>14462</v>
      </c>
      <c r="I423" t="s">
        <v>3182</v>
      </c>
    </row>
    <row r="424" spans="1:9" x14ac:dyDescent="0.25">
      <c r="A424" t="s">
        <v>3179</v>
      </c>
      <c r="B424" t="s">
        <v>3472</v>
      </c>
      <c r="C424" t="s">
        <v>3183</v>
      </c>
      <c r="D424">
        <v>32.387300740000001</v>
      </c>
      <c r="E424" t="s">
        <v>3180</v>
      </c>
      <c r="F424">
        <v>107.7410047</v>
      </c>
      <c r="G424" t="s">
        <v>3181</v>
      </c>
      <c r="H424">
        <v>7744</v>
      </c>
      <c r="I424" t="s">
        <v>3182</v>
      </c>
    </row>
    <row r="425" spans="1:9" x14ac:dyDescent="0.25">
      <c r="A425" t="s">
        <v>3179</v>
      </c>
      <c r="B425" t="s">
        <v>3917</v>
      </c>
      <c r="C425" t="s">
        <v>3183</v>
      </c>
      <c r="D425">
        <v>37.299059290000002</v>
      </c>
      <c r="E425" t="s">
        <v>3180</v>
      </c>
      <c r="F425">
        <v>109.3651399</v>
      </c>
      <c r="G425" t="s">
        <v>3181</v>
      </c>
      <c r="H425">
        <v>11381</v>
      </c>
      <c r="I425" t="s">
        <v>3182</v>
      </c>
    </row>
    <row r="426" spans="1:9" x14ac:dyDescent="0.25">
      <c r="A426" t="s">
        <v>3179</v>
      </c>
      <c r="B426" t="s">
        <v>4028</v>
      </c>
      <c r="C426" t="s">
        <v>3183</v>
      </c>
      <c r="D426">
        <v>37.207049949999998</v>
      </c>
      <c r="E426" t="s">
        <v>3180</v>
      </c>
      <c r="F426">
        <v>110.30396039999999</v>
      </c>
      <c r="G426" t="s">
        <v>3181</v>
      </c>
      <c r="H426">
        <v>7615</v>
      </c>
      <c r="I426" t="s">
        <v>3182</v>
      </c>
    </row>
    <row r="427" spans="1:9" x14ac:dyDescent="0.25">
      <c r="A427" t="s">
        <v>3179</v>
      </c>
      <c r="B427" t="s">
        <v>3918</v>
      </c>
      <c r="C427" t="s">
        <v>3183</v>
      </c>
      <c r="D427">
        <v>36.299472299999998</v>
      </c>
      <c r="E427" t="s">
        <v>3180</v>
      </c>
      <c r="F427">
        <v>109.9055755</v>
      </c>
      <c r="G427" t="s">
        <v>3181</v>
      </c>
      <c r="H427">
        <v>7762</v>
      </c>
      <c r="I427" t="s">
        <v>3182</v>
      </c>
    </row>
    <row r="428" spans="1:9" x14ac:dyDescent="0.25">
      <c r="A428" t="s">
        <v>3179</v>
      </c>
      <c r="B428" t="s">
        <v>3698</v>
      </c>
      <c r="C428" t="s">
        <v>3183</v>
      </c>
      <c r="D428">
        <v>34.737368500000002</v>
      </c>
      <c r="E428" t="s">
        <v>3180</v>
      </c>
      <c r="F428">
        <v>109.6244221</v>
      </c>
      <c r="G428" t="s">
        <v>3181</v>
      </c>
      <c r="H428">
        <v>25064</v>
      </c>
      <c r="I428" t="s">
        <v>3182</v>
      </c>
    </row>
    <row r="429" spans="1:9" x14ac:dyDescent="0.25">
      <c r="A429" t="s">
        <v>3179</v>
      </c>
      <c r="B429" t="s">
        <v>3699</v>
      </c>
      <c r="C429" t="s">
        <v>3183</v>
      </c>
      <c r="D429">
        <v>35.215040930000001</v>
      </c>
      <c r="E429" t="s">
        <v>3180</v>
      </c>
      <c r="F429">
        <v>109.40891360000001</v>
      </c>
      <c r="G429" t="s">
        <v>3181</v>
      </c>
      <c r="H429">
        <v>33014</v>
      </c>
      <c r="I429" t="s">
        <v>3182</v>
      </c>
    </row>
    <row r="430" spans="1:9" x14ac:dyDescent="0.25">
      <c r="A430" t="s">
        <v>3179</v>
      </c>
      <c r="B430" t="s">
        <v>3580</v>
      </c>
      <c r="C430" t="s">
        <v>3183</v>
      </c>
      <c r="D430">
        <v>34.130895539999997</v>
      </c>
      <c r="E430" t="s">
        <v>3180</v>
      </c>
      <c r="F430">
        <v>110.4970344</v>
      </c>
      <c r="G430" t="s">
        <v>3181</v>
      </c>
      <c r="H430">
        <v>28308</v>
      </c>
      <c r="I430" t="s">
        <v>3182</v>
      </c>
    </row>
    <row r="431" spans="1:9" x14ac:dyDescent="0.25">
      <c r="A431" t="s">
        <v>3179</v>
      </c>
      <c r="B431" t="s">
        <v>3781</v>
      </c>
      <c r="C431" t="s">
        <v>3183</v>
      </c>
      <c r="D431">
        <v>34.767460190000001</v>
      </c>
      <c r="E431" t="s">
        <v>3180</v>
      </c>
      <c r="F431">
        <v>108.9730545</v>
      </c>
      <c r="G431" t="s">
        <v>3181</v>
      </c>
      <c r="H431">
        <v>43935</v>
      </c>
      <c r="I431" t="s">
        <v>3182</v>
      </c>
    </row>
    <row r="432" spans="1:9" x14ac:dyDescent="0.25">
      <c r="A432" t="s">
        <v>3179</v>
      </c>
      <c r="B432" t="s">
        <v>3782</v>
      </c>
      <c r="C432" t="s">
        <v>3183</v>
      </c>
      <c r="D432">
        <v>34.491505650000001</v>
      </c>
      <c r="E432" t="s">
        <v>3180</v>
      </c>
      <c r="F432">
        <v>108.3667251</v>
      </c>
      <c r="G432" t="s">
        <v>3181</v>
      </c>
      <c r="H432">
        <v>21852</v>
      </c>
      <c r="I432" t="s">
        <v>3182</v>
      </c>
    </row>
    <row r="433" spans="1:9" x14ac:dyDescent="0.25">
      <c r="A433" t="s">
        <v>3179</v>
      </c>
      <c r="B433" t="s">
        <v>3231</v>
      </c>
      <c r="C433" t="s">
        <v>3183</v>
      </c>
      <c r="D433">
        <v>32.33262405</v>
      </c>
      <c r="E433" t="s">
        <v>3180</v>
      </c>
      <c r="F433">
        <v>109.0005839</v>
      </c>
      <c r="G433" t="s">
        <v>3181</v>
      </c>
      <c r="H433">
        <v>7668</v>
      </c>
      <c r="I433" t="s">
        <v>3182</v>
      </c>
    </row>
    <row r="434" spans="1:9" x14ac:dyDescent="0.25">
      <c r="A434" t="s">
        <v>3179</v>
      </c>
      <c r="B434" t="s">
        <v>3783</v>
      </c>
      <c r="C434" t="s">
        <v>3183</v>
      </c>
      <c r="D434">
        <v>34.489123300000003</v>
      </c>
      <c r="E434" t="s">
        <v>3180</v>
      </c>
      <c r="F434">
        <v>108.0627563</v>
      </c>
      <c r="G434" t="s">
        <v>3181</v>
      </c>
      <c r="H434">
        <v>40017</v>
      </c>
      <c r="I434" t="s">
        <v>3182</v>
      </c>
    </row>
    <row r="435" spans="1:9" x14ac:dyDescent="0.25">
      <c r="A435" t="s">
        <v>3179</v>
      </c>
      <c r="B435" t="s">
        <v>3473</v>
      </c>
      <c r="C435" t="s">
        <v>3183</v>
      </c>
      <c r="D435">
        <v>32.793105779999998</v>
      </c>
      <c r="E435" t="s">
        <v>3180</v>
      </c>
      <c r="F435">
        <v>106.60157100000001</v>
      </c>
      <c r="G435" t="s">
        <v>3181</v>
      </c>
      <c r="H435">
        <v>6502</v>
      </c>
      <c r="I435" t="s">
        <v>3182</v>
      </c>
    </row>
    <row r="436" spans="1:9" x14ac:dyDescent="0.25">
      <c r="A436" t="s">
        <v>3179</v>
      </c>
      <c r="B436" t="s">
        <v>3919</v>
      </c>
      <c r="C436" t="s">
        <v>3183</v>
      </c>
      <c r="D436">
        <v>36.673660470000002</v>
      </c>
      <c r="E436" t="s">
        <v>3180</v>
      </c>
      <c r="F436">
        <v>109.57582600000001</v>
      </c>
      <c r="G436" t="s">
        <v>3181</v>
      </c>
      <c r="H436">
        <v>21167</v>
      </c>
      <c r="I436" t="s">
        <v>3182</v>
      </c>
    </row>
    <row r="437" spans="1:9" x14ac:dyDescent="0.25">
      <c r="A437" t="s">
        <v>3179</v>
      </c>
      <c r="B437" t="s">
        <v>3357</v>
      </c>
      <c r="C437" t="s">
        <v>3183</v>
      </c>
      <c r="D437">
        <v>33.771717099999996</v>
      </c>
      <c r="E437" t="s">
        <v>3180</v>
      </c>
      <c r="F437">
        <v>106.65174639999999</v>
      </c>
      <c r="G437" t="s">
        <v>3181</v>
      </c>
      <c r="H437">
        <v>14127</v>
      </c>
      <c r="I437" t="s">
        <v>3182</v>
      </c>
    </row>
    <row r="438" spans="1:9" x14ac:dyDescent="0.25">
      <c r="A438" t="s">
        <v>3179</v>
      </c>
      <c r="B438" t="s">
        <v>3700</v>
      </c>
      <c r="C438" t="s">
        <v>3183</v>
      </c>
      <c r="D438">
        <v>34.731110950000001</v>
      </c>
      <c r="E438" t="s">
        <v>3180</v>
      </c>
      <c r="F438">
        <v>109.2828689</v>
      </c>
      <c r="G438" t="s">
        <v>3181</v>
      </c>
      <c r="H438">
        <v>29642</v>
      </c>
      <c r="I438" t="s">
        <v>3182</v>
      </c>
    </row>
    <row r="439" spans="1:9" x14ac:dyDescent="0.25">
      <c r="A439" t="s">
        <v>3179</v>
      </c>
      <c r="B439" t="s">
        <v>4029</v>
      </c>
      <c r="C439" t="s">
        <v>3183</v>
      </c>
      <c r="D439">
        <v>38.270165990000002</v>
      </c>
      <c r="E439" t="s">
        <v>3180</v>
      </c>
      <c r="F439">
        <v>110.37070300000001</v>
      </c>
      <c r="G439" t="s">
        <v>3181</v>
      </c>
      <c r="H439">
        <v>16929</v>
      </c>
      <c r="I439" t="s">
        <v>3182</v>
      </c>
    </row>
    <row r="440" spans="1:9" x14ac:dyDescent="0.25">
      <c r="A440" t="s">
        <v>3179</v>
      </c>
      <c r="B440" t="s">
        <v>3474</v>
      </c>
      <c r="C440" t="s">
        <v>3183</v>
      </c>
      <c r="D440">
        <v>33.613903520000001</v>
      </c>
      <c r="E440" t="s">
        <v>3180</v>
      </c>
      <c r="F440">
        <v>106.74608189999999</v>
      </c>
      <c r="G440" t="s">
        <v>3181</v>
      </c>
      <c r="H440">
        <v>2988</v>
      </c>
      <c r="I440" t="s">
        <v>3182</v>
      </c>
    </row>
    <row r="441" spans="1:9" x14ac:dyDescent="0.25">
      <c r="A441" t="s">
        <v>3179</v>
      </c>
      <c r="B441" t="s">
        <v>3701</v>
      </c>
      <c r="C441" t="s">
        <v>3183</v>
      </c>
      <c r="D441">
        <v>34.803147879999997</v>
      </c>
      <c r="E441" t="s">
        <v>3180</v>
      </c>
      <c r="F441">
        <v>109.3236313</v>
      </c>
      <c r="G441" t="s">
        <v>3181</v>
      </c>
      <c r="H441">
        <v>40169</v>
      </c>
      <c r="I441" t="s">
        <v>3182</v>
      </c>
    </row>
    <row r="442" spans="1:9" x14ac:dyDescent="0.25">
      <c r="A442" t="s">
        <v>3179</v>
      </c>
      <c r="B442" t="s">
        <v>5694</v>
      </c>
      <c r="C442" t="s">
        <v>3183</v>
      </c>
      <c r="D442">
        <v>34.599986690000001</v>
      </c>
      <c r="E442" t="s">
        <v>3180</v>
      </c>
      <c r="F442">
        <v>107.289557</v>
      </c>
      <c r="G442" t="s">
        <v>3181</v>
      </c>
      <c r="H442">
        <v>28545</v>
      </c>
      <c r="I442" t="s">
        <v>3182</v>
      </c>
    </row>
    <row r="443" spans="1:9" x14ac:dyDescent="0.25">
      <c r="A443" t="s">
        <v>3179</v>
      </c>
      <c r="B443" t="s">
        <v>5695</v>
      </c>
      <c r="C443" t="s">
        <v>3183</v>
      </c>
      <c r="D443">
        <v>36.475778679999998</v>
      </c>
      <c r="E443" t="s">
        <v>3180</v>
      </c>
      <c r="F443">
        <v>109.4668008</v>
      </c>
      <c r="G443" t="s">
        <v>3181</v>
      </c>
      <c r="H443">
        <v>46991</v>
      </c>
      <c r="I443" t="s">
        <v>3182</v>
      </c>
    </row>
    <row r="444" spans="1:9" x14ac:dyDescent="0.25">
      <c r="A444" t="s">
        <v>3179</v>
      </c>
      <c r="B444" t="s">
        <v>3358</v>
      </c>
      <c r="C444" t="s">
        <v>3183</v>
      </c>
      <c r="D444">
        <v>33.128874959999997</v>
      </c>
      <c r="E444" t="s">
        <v>3180</v>
      </c>
      <c r="F444">
        <v>107.2031121</v>
      </c>
      <c r="G444" t="s">
        <v>3181</v>
      </c>
      <c r="H444">
        <v>35762</v>
      </c>
      <c r="I444" t="s">
        <v>3182</v>
      </c>
    </row>
    <row r="445" spans="1:9" x14ac:dyDescent="0.25">
      <c r="A445" t="s">
        <v>3179</v>
      </c>
      <c r="B445" t="s">
        <v>3702</v>
      </c>
      <c r="C445" t="s">
        <v>3183</v>
      </c>
      <c r="D445">
        <v>34.857576760000001</v>
      </c>
      <c r="E445" t="s">
        <v>3180</v>
      </c>
      <c r="F445">
        <v>109.2555272</v>
      </c>
      <c r="G445" t="s">
        <v>3181</v>
      </c>
      <c r="H445">
        <v>59393</v>
      </c>
      <c r="I445" t="s">
        <v>3182</v>
      </c>
    </row>
    <row r="446" spans="1:9" x14ac:dyDescent="0.25">
      <c r="A446" t="s">
        <v>3179</v>
      </c>
      <c r="B446" t="s">
        <v>3475</v>
      </c>
      <c r="C446" t="s">
        <v>3183</v>
      </c>
      <c r="D446">
        <v>32.904050570000003</v>
      </c>
      <c r="E446" t="s">
        <v>3180</v>
      </c>
      <c r="F446">
        <v>107.6427669</v>
      </c>
      <c r="G446" t="s">
        <v>3181</v>
      </c>
      <c r="H446">
        <v>20126</v>
      </c>
      <c r="I446" t="s">
        <v>3182</v>
      </c>
    </row>
    <row r="447" spans="1:9" x14ac:dyDescent="0.25">
      <c r="A447" t="s">
        <v>3179</v>
      </c>
      <c r="B447" t="s">
        <v>3232</v>
      </c>
      <c r="C447" t="s">
        <v>3183</v>
      </c>
      <c r="D447">
        <v>32.611464589999997</v>
      </c>
      <c r="E447" t="s">
        <v>3180</v>
      </c>
      <c r="F447">
        <v>108.74815150000001</v>
      </c>
      <c r="G447" t="s">
        <v>3181</v>
      </c>
      <c r="H447">
        <v>11744</v>
      </c>
      <c r="I447" t="s">
        <v>3182</v>
      </c>
    </row>
    <row r="448" spans="1:9" x14ac:dyDescent="0.25">
      <c r="A448" t="s">
        <v>3179</v>
      </c>
      <c r="B448" t="s">
        <v>3703</v>
      </c>
      <c r="C448" t="s">
        <v>3183</v>
      </c>
      <c r="D448">
        <v>34.51612652</v>
      </c>
      <c r="E448" t="s">
        <v>3180</v>
      </c>
      <c r="F448">
        <v>109.8792655</v>
      </c>
      <c r="G448" t="s">
        <v>3181</v>
      </c>
      <c r="H448">
        <v>14215</v>
      </c>
      <c r="I448" t="s">
        <v>3182</v>
      </c>
    </row>
    <row r="449" spans="1:9" x14ac:dyDescent="0.25">
      <c r="A449" t="s">
        <v>3179</v>
      </c>
      <c r="B449" t="s">
        <v>4030</v>
      </c>
      <c r="C449" t="s">
        <v>3183</v>
      </c>
      <c r="D449">
        <v>37.827781180000002</v>
      </c>
      <c r="E449" t="s">
        <v>3180</v>
      </c>
      <c r="F449">
        <v>109.9858866</v>
      </c>
      <c r="G449" t="s">
        <v>3181</v>
      </c>
      <c r="H449">
        <v>11365</v>
      </c>
      <c r="I449" t="s">
        <v>3182</v>
      </c>
    </row>
    <row r="450" spans="1:9" x14ac:dyDescent="0.25">
      <c r="A450" t="s">
        <v>3179</v>
      </c>
      <c r="B450" t="s">
        <v>3704</v>
      </c>
      <c r="C450" t="s">
        <v>3183</v>
      </c>
      <c r="D450">
        <v>34.810900400000001</v>
      </c>
      <c r="E450" t="s">
        <v>3180</v>
      </c>
      <c r="F450">
        <v>109.70701889999999</v>
      </c>
      <c r="G450" t="s">
        <v>3181</v>
      </c>
      <c r="H450">
        <v>33574</v>
      </c>
      <c r="I450" t="s">
        <v>3182</v>
      </c>
    </row>
    <row r="451" spans="1:9" x14ac:dyDescent="0.25">
      <c r="A451" t="s">
        <v>3179</v>
      </c>
      <c r="B451" t="s">
        <v>3920</v>
      </c>
      <c r="C451" t="s">
        <v>3183</v>
      </c>
      <c r="D451">
        <v>35.712472820000002</v>
      </c>
      <c r="E451" t="s">
        <v>3180</v>
      </c>
      <c r="F451">
        <v>109.1823055</v>
      </c>
      <c r="G451" t="s">
        <v>3181</v>
      </c>
      <c r="H451">
        <v>20188</v>
      </c>
      <c r="I451" t="s">
        <v>3182</v>
      </c>
    </row>
    <row r="452" spans="1:9" x14ac:dyDescent="0.25">
      <c r="A452" t="s">
        <v>3179</v>
      </c>
      <c r="B452" t="s">
        <v>3784</v>
      </c>
      <c r="C452" t="s">
        <v>3183</v>
      </c>
      <c r="D452">
        <v>34.924726020000001</v>
      </c>
      <c r="E452" t="s">
        <v>3180</v>
      </c>
      <c r="F452">
        <v>108.2884725</v>
      </c>
      <c r="G452" t="s">
        <v>3181</v>
      </c>
      <c r="H452">
        <v>28358</v>
      </c>
      <c r="I452" t="s">
        <v>3182</v>
      </c>
    </row>
    <row r="453" spans="1:9" x14ac:dyDescent="0.25">
      <c r="A453" t="s">
        <v>3179</v>
      </c>
      <c r="B453" t="s">
        <v>3705</v>
      </c>
      <c r="C453" t="s">
        <v>3183</v>
      </c>
      <c r="D453">
        <v>35.604056010000001</v>
      </c>
      <c r="E453" t="s">
        <v>3180</v>
      </c>
      <c r="F453">
        <v>110.5465418</v>
      </c>
      <c r="G453" t="s">
        <v>3181</v>
      </c>
      <c r="H453">
        <v>55847</v>
      </c>
      <c r="I453" t="s">
        <v>3182</v>
      </c>
    </row>
    <row r="454" spans="1:9" x14ac:dyDescent="0.25">
      <c r="A454" t="s">
        <v>3179</v>
      </c>
      <c r="B454" t="s">
        <v>3476</v>
      </c>
      <c r="C454" t="s">
        <v>3183</v>
      </c>
      <c r="D454">
        <v>33.230943689999997</v>
      </c>
      <c r="E454" t="s">
        <v>3180</v>
      </c>
      <c r="F454">
        <v>107.63914870000001</v>
      </c>
      <c r="G454" t="s">
        <v>3181</v>
      </c>
      <c r="H454">
        <v>29391</v>
      </c>
      <c r="I454" t="s">
        <v>3182</v>
      </c>
    </row>
    <row r="455" spans="1:9" x14ac:dyDescent="0.25">
      <c r="A455" t="s">
        <v>3179</v>
      </c>
      <c r="B455" t="s">
        <v>3477</v>
      </c>
      <c r="C455" t="s">
        <v>3183</v>
      </c>
      <c r="D455">
        <v>33.179697040000001</v>
      </c>
      <c r="E455" t="s">
        <v>3180</v>
      </c>
      <c r="F455">
        <v>107.23173199999999</v>
      </c>
      <c r="G455" t="s">
        <v>3181</v>
      </c>
      <c r="H455">
        <v>26277</v>
      </c>
      <c r="I455" t="s">
        <v>3182</v>
      </c>
    </row>
    <row r="456" spans="1:9" x14ac:dyDescent="0.25">
      <c r="A456" t="s">
        <v>3179</v>
      </c>
      <c r="B456" t="s">
        <v>3233</v>
      </c>
      <c r="C456" t="s">
        <v>3183</v>
      </c>
      <c r="D456">
        <v>33.205626410000001</v>
      </c>
      <c r="E456" t="s">
        <v>3180</v>
      </c>
      <c r="F456">
        <v>108.4992732</v>
      </c>
      <c r="G456" t="s">
        <v>3181</v>
      </c>
      <c r="H456">
        <v>4683</v>
      </c>
      <c r="I456" t="s">
        <v>3182</v>
      </c>
    </row>
    <row r="457" spans="1:9" x14ac:dyDescent="0.25">
      <c r="A457" t="s">
        <v>3179</v>
      </c>
      <c r="B457" t="s">
        <v>3706</v>
      </c>
      <c r="C457" t="s">
        <v>3183</v>
      </c>
      <c r="D457">
        <v>34.859072759999997</v>
      </c>
      <c r="E457" t="s">
        <v>3180</v>
      </c>
      <c r="F457">
        <v>109.6851034</v>
      </c>
      <c r="G457" t="s">
        <v>3181</v>
      </c>
      <c r="H457">
        <v>25218</v>
      </c>
      <c r="I457" t="s">
        <v>3182</v>
      </c>
    </row>
    <row r="458" spans="1:9" x14ac:dyDescent="0.25">
      <c r="A458" t="s">
        <v>3179</v>
      </c>
      <c r="B458" t="s">
        <v>4031</v>
      </c>
      <c r="C458" t="s">
        <v>3183</v>
      </c>
      <c r="D458">
        <v>37.502859280000003</v>
      </c>
      <c r="E458" t="s">
        <v>3180</v>
      </c>
      <c r="F458">
        <v>109.0299964</v>
      </c>
      <c r="G458" t="s">
        <v>3181</v>
      </c>
      <c r="H458">
        <v>5572</v>
      </c>
      <c r="I458" t="s">
        <v>3182</v>
      </c>
    </row>
    <row r="459" spans="1:9" x14ac:dyDescent="0.25">
      <c r="A459" t="s">
        <v>3179</v>
      </c>
      <c r="B459" t="s">
        <v>3864</v>
      </c>
      <c r="C459" t="s">
        <v>3183</v>
      </c>
      <c r="D459">
        <v>34.029963860000002</v>
      </c>
      <c r="E459" t="s">
        <v>3180</v>
      </c>
      <c r="F459">
        <v>108.2695061</v>
      </c>
      <c r="G459" t="s">
        <v>3181</v>
      </c>
      <c r="H459">
        <v>46642</v>
      </c>
      <c r="I459" t="s">
        <v>3182</v>
      </c>
    </row>
    <row r="460" spans="1:9" x14ac:dyDescent="0.25">
      <c r="A460" t="s">
        <v>3179</v>
      </c>
      <c r="B460" t="s">
        <v>3581</v>
      </c>
      <c r="C460" t="s">
        <v>3183</v>
      </c>
      <c r="D460">
        <v>33.79764634</v>
      </c>
      <c r="E460" t="s">
        <v>3180</v>
      </c>
      <c r="F460">
        <v>110.556133</v>
      </c>
      <c r="G460" t="s">
        <v>3181</v>
      </c>
      <c r="H460">
        <v>21044</v>
      </c>
      <c r="I460" t="s">
        <v>3182</v>
      </c>
    </row>
    <row r="461" spans="1:9" x14ac:dyDescent="0.25">
      <c r="A461" t="s">
        <v>3179</v>
      </c>
      <c r="B461" t="s">
        <v>3234</v>
      </c>
      <c r="C461" t="s">
        <v>3183</v>
      </c>
      <c r="D461">
        <v>32.730216579999997</v>
      </c>
      <c r="E461" t="s">
        <v>3180</v>
      </c>
      <c r="F461">
        <v>109.3727234</v>
      </c>
      <c r="G461" t="s">
        <v>3181</v>
      </c>
      <c r="H461">
        <v>25506</v>
      </c>
      <c r="I461" t="s">
        <v>3182</v>
      </c>
    </row>
    <row r="462" spans="1:9" x14ac:dyDescent="0.25">
      <c r="A462" t="s">
        <v>3179</v>
      </c>
      <c r="B462" t="s">
        <v>3707</v>
      </c>
      <c r="C462" t="s">
        <v>3183</v>
      </c>
      <c r="D462">
        <v>35.073386970000001</v>
      </c>
      <c r="E462" t="s">
        <v>3180</v>
      </c>
      <c r="F462">
        <v>110.1037535</v>
      </c>
      <c r="G462" t="s">
        <v>3181</v>
      </c>
      <c r="H462">
        <v>38573</v>
      </c>
      <c r="I462" t="s">
        <v>3182</v>
      </c>
    </row>
    <row r="463" spans="1:9" x14ac:dyDescent="0.25">
      <c r="A463" t="s">
        <v>3179</v>
      </c>
      <c r="B463" t="s">
        <v>3708</v>
      </c>
      <c r="C463" t="s">
        <v>3183</v>
      </c>
      <c r="D463">
        <v>35.095357530000001</v>
      </c>
      <c r="E463" t="s">
        <v>3180</v>
      </c>
      <c r="F463">
        <v>109.7954865</v>
      </c>
      <c r="G463" t="s">
        <v>3181</v>
      </c>
      <c r="H463">
        <v>27946</v>
      </c>
      <c r="I463" t="s">
        <v>3182</v>
      </c>
    </row>
    <row r="464" spans="1:9" x14ac:dyDescent="0.25">
      <c r="A464" t="s">
        <v>3179</v>
      </c>
      <c r="B464" t="s">
        <v>3709</v>
      </c>
      <c r="C464" t="s">
        <v>3183</v>
      </c>
      <c r="D464">
        <v>34.470883950000001</v>
      </c>
      <c r="E464" t="s">
        <v>3180</v>
      </c>
      <c r="F464">
        <v>109.9630861</v>
      </c>
      <c r="G464" t="s">
        <v>3181</v>
      </c>
      <c r="H464">
        <v>28794</v>
      </c>
      <c r="I464" t="s">
        <v>3182</v>
      </c>
    </row>
    <row r="465" spans="1:9" x14ac:dyDescent="0.25">
      <c r="A465" t="s">
        <v>3179</v>
      </c>
      <c r="B465" t="s">
        <v>3235</v>
      </c>
      <c r="C465" t="s">
        <v>3183</v>
      </c>
      <c r="D465">
        <v>32.296221469999999</v>
      </c>
      <c r="E465" t="s">
        <v>3180</v>
      </c>
      <c r="F465">
        <v>109.1740217</v>
      </c>
      <c r="G465" t="s">
        <v>3181</v>
      </c>
      <c r="H465">
        <v>13101</v>
      </c>
      <c r="I465" t="s">
        <v>3182</v>
      </c>
    </row>
    <row r="466" spans="1:9" x14ac:dyDescent="0.25">
      <c r="A466" t="s">
        <v>3179</v>
      </c>
      <c r="B466" t="s">
        <v>3478</v>
      </c>
      <c r="C466" t="s">
        <v>3183</v>
      </c>
      <c r="D466">
        <v>32.786956369999999</v>
      </c>
      <c r="E466" t="s">
        <v>3180</v>
      </c>
      <c r="F466">
        <v>107.4411405</v>
      </c>
      <c r="G466" t="s">
        <v>3181</v>
      </c>
      <c r="H466">
        <v>7892</v>
      </c>
      <c r="I466" t="s">
        <v>3182</v>
      </c>
    </row>
    <row r="467" spans="1:9" x14ac:dyDescent="0.25">
      <c r="A467" t="s">
        <v>3179</v>
      </c>
      <c r="B467" t="s">
        <v>3865</v>
      </c>
      <c r="C467" t="s">
        <v>3183</v>
      </c>
      <c r="D467">
        <v>34.033054970000002</v>
      </c>
      <c r="E467" t="s">
        <v>3180</v>
      </c>
      <c r="F467">
        <v>108.05646830000001</v>
      </c>
      <c r="G467" t="s">
        <v>3181</v>
      </c>
      <c r="H467">
        <v>5393</v>
      </c>
      <c r="I467" t="s">
        <v>3182</v>
      </c>
    </row>
    <row r="468" spans="1:9" x14ac:dyDescent="0.25">
      <c r="A468" t="s">
        <v>3179</v>
      </c>
      <c r="B468" t="s">
        <v>3582</v>
      </c>
      <c r="C468" t="s">
        <v>3183</v>
      </c>
      <c r="D468">
        <v>34.219316990000003</v>
      </c>
      <c r="E468" t="s">
        <v>3180</v>
      </c>
      <c r="F468">
        <v>109.8304351</v>
      </c>
      <c r="G468" t="s">
        <v>3181</v>
      </c>
      <c r="H468">
        <v>16672</v>
      </c>
      <c r="I468" t="s">
        <v>3182</v>
      </c>
    </row>
    <row r="469" spans="1:9" x14ac:dyDescent="0.25">
      <c r="A469" t="s">
        <v>3179</v>
      </c>
      <c r="B469" t="s">
        <v>3921</v>
      </c>
      <c r="C469" t="s">
        <v>3183</v>
      </c>
      <c r="D469">
        <v>36.541917849999997</v>
      </c>
      <c r="E469" t="s">
        <v>3180</v>
      </c>
      <c r="F469">
        <v>110.3803485</v>
      </c>
      <c r="G469" t="s">
        <v>3181</v>
      </c>
      <c r="H469">
        <v>4947</v>
      </c>
      <c r="I469" t="s">
        <v>3182</v>
      </c>
    </row>
    <row r="470" spans="1:9" x14ac:dyDescent="0.25">
      <c r="A470" t="s">
        <v>3179</v>
      </c>
      <c r="B470" t="s">
        <v>3785</v>
      </c>
      <c r="C470" t="s">
        <v>3183</v>
      </c>
      <c r="D470">
        <v>34.672292259999999</v>
      </c>
      <c r="E470" t="s">
        <v>3180</v>
      </c>
      <c r="F470">
        <v>108.9263412</v>
      </c>
      <c r="G470" t="s">
        <v>3181</v>
      </c>
      <c r="H470">
        <v>24871</v>
      </c>
      <c r="I470" t="s">
        <v>3182</v>
      </c>
    </row>
    <row r="471" spans="1:9" x14ac:dyDescent="0.25">
      <c r="A471" t="s">
        <v>3179</v>
      </c>
      <c r="B471" t="s">
        <v>4037</v>
      </c>
      <c r="C471" t="s">
        <v>3183</v>
      </c>
      <c r="D471">
        <v>38.640693120000002</v>
      </c>
      <c r="E471" t="s">
        <v>3180</v>
      </c>
      <c r="F471">
        <v>110.85155520000001</v>
      </c>
      <c r="G471" t="s">
        <v>3181</v>
      </c>
      <c r="H471">
        <v>4605</v>
      </c>
      <c r="I471" t="s">
        <v>3182</v>
      </c>
    </row>
    <row r="472" spans="1:9" x14ac:dyDescent="0.25">
      <c r="A472" t="s">
        <v>3179</v>
      </c>
      <c r="B472" t="s">
        <v>4032</v>
      </c>
      <c r="C472" t="s">
        <v>3183</v>
      </c>
      <c r="D472">
        <v>37.572037739999999</v>
      </c>
      <c r="E472" t="s">
        <v>3180</v>
      </c>
      <c r="F472">
        <v>109.64222460000001</v>
      </c>
      <c r="G472" t="s">
        <v>3181</v>
      </c>
      <c r="H472">
        <v>15128</v>
      </c>
      <c r="I472" t="s">
        <v>3182</v>
      </c>
    </row>
    <row r="473" spans="1:9" x14ac:dyDescent="0.25">
      <c r="A473" t="s">
        <v>3179</v>
      </c>
      <c r="B473" t="s">
        <v>3479</v>
      </c>
      <c r="C473" t="s">
        <v>3183</v>
      </c>
      <c r="D473">
        <v>33.247651150000003</v>
      </c>
      <c r="E473" t="s">
        <v>3180</v>
      </c>
      <c r="F473">
        <v>107.3674735</v>
      </c>
      <c r="G473" t="s">
        <v>3181</v>
      </c>
      <c r="H473">
        <v>15552</v>
      </c>
      <c r="I473" t="s">
        <v>3182</v>
      </c>
    </row>
    <row r="474" spans="1:9" x14ac:dyDescent="0.25">
      <c r="A474" t="s">
        <v>3179</v>
      </c>
      <c r="B474" t="s">
        <v>3480</v>
      </c>
      <c r="C474" t="s">
        <v>3183</v>
      </c>
      <c r="D474">
        <v>33.420911019999998</v>
      </c>
      <c r="E474" t="s">
        <v>3180</v>
      </c>
      <c r="F474">
        <v>106.9680863</v>
      </c>
      <c r="G474" t="s">
        <v>3181</v>
      </c>
      <c r="H474">
        <v>5094</v>
      </c>
      <c r="I474" t="s">
        <v>3182</v>
      </c>
    </row>
    <row r="475" spans="1:9" x14ac:dyDescent="0.25">
      <c r="A475" t="s">
        <v>3179</v>
      </c>
      <c r="B475" t="s">
        <v>3922</v>
      </c>
      <c r="C475" t="s">
        <v>3183</v>
      </c>
      <c r="D475">
        <v>36.416994070000001</v>
      </c>
      <c r="E475" t="s">
        <v>3180</v>
      </c>
      <c r="F475">
        <v>109.8104979</v>
      </c>
      <c r="G475" t="s">
        <v>3181</v>
      </c>
      <c r="H475">
        <v>6544</v>
      </c>
      <c r="I475" t="s">
        <v>3182</v>
      </c>
    </row>
    <row r="476" spans="1:9" x14ac:dyDescent="0.25">
      <c r="A476" t="s">
        <v>3179</v>
      </c>
      <c r="B476" t="s">
        <v>3786</v>
      </c>
      <c r="C476" t="s">
        <v>3183</v>
      </c>
      <c r="D476">
        <v>34.796271349999998</v>
      </c>
      <c r="E476" t="s">
        <v>3180</v>
      </c>
      <c r="F476">
        <v>108.1630572</v>
      </c>
      <c r="G476" t="s">
        <v>3181</v>
      </c>
      <c r="H476">
        <v>26072</v>
      </c>
      <c r="I476" t="s">
        <v>3182</v>
      </c>
    </row>
    <row r="477" spans="1:9" x14ac:dyDescent="0.25">
      <c r="A477" t="s">
        <v>3179</v>
      </c>
      <c r="B477" t="s">
        <v>4033</v>
      </c>
      <c r="C477" t="s">
        <v>3183</v>
      </c>
      <c r="D477">
        <v>38.532422789999998</v>
      </c>
      <c r="E477" t="s">
        <v>3180</v>
      </c>
      <c r="F477">
        <v>109.3349394</v>
      </c>
      <c r="G477" t="s">
        <v>3181</v>
      </c>
      <c r="H477">
        <v>9435</v>
      </c>
      <c r="I477" t="s">
        <v>3182</v>
      </c>
    </row>
    <row r="478" spans="1:9" x14ac:dyDescent="0.25">
      <c r="A478" t="s">
        <v>3179</v>
      </c>
      <c r="B478" t="s">
        <v>3236</v>
      </c>
      <c r="C478" t="s">
        <v>3183</v>
      </c>
      <c r="D478">
        <v>32.815062230000002</v>
      </c>
      <c r="E478" t="s">
        <v>3180</v>
      </c>
      <c r="F478">
        <v>109.9718949</v>
      </c>
      <c r="G478" t="s">
        <v>3181</v>
      </c>
      <c r="H478">
        <v>7944</v>
      </c>
      <c r="I478" t="s">
        <v>3182</v>
      </c>
    </row>
    <row r="479" spans="1:9" x14ac:dyDescent="0.25">
      <c r="A479" t="s">
        <v>3179</v>
      </c>
      <c r="B479" t="s">
        <v>4034</v>
      </c>
      <c r="C479" t="s">
        <v>3183</v>
      </c>
      <c r="D479">
        <v>38.435310800000003</v>
      </c>
      <c r="E479" t="s">
        <v>3180</v>
      </c>
      <c r="F479">
        <v>109.990538</v>
      </c>
      <c r="G479" t="s">
        <v>3181</v>
      </c>
      <c r="H479">
        <v>9136</v>
      </c>
      <c r="I479" t="s">
        <v>3182</v>
      </c>
    </row>
    <row r="480" spans="1:9" x14ac:dyDescent="0.25">
      <c r="A480" t="s">
        <v>3179</v>
      </c>
      <c r="B480" t="s">
        <v>3923</v>
      </c>
      <c r="C480" t="s">
        <v>3183</v>
      </c>
      <c r="D480">
        <v>37.180530910000002</v>
      </c>
      <c r="E480" t="s">
        <v>3180</v>
      </c>
      <c r="F480">
        <v>109.9519942</v>
      </c>
      <c r="G480" t="s">
        <v>3181</v>
      </c>
      <c r="H480">
        <v>9394</v>
      </c>
      <c r="I480" t="s">
        <v>3182</v>
      </c>
    </row>
    <row r="481" spans="1:9" x14ac:dyDescent="0.25">
      <c r="A481" t="s">
        <v>3179</v>
      </c>
      <c r="B481" t="s">
        <v>3583</v>
      </c>
      <c r="C481" t="s">
        <v>3183</v>
      </c>
      <c r="D481">
        <v>33.958653550000001</v>
      </c>
      <c r="E481" t="s">
        <v>3180</v>
      </c>
      <c r="F481">
        <v>109.8489728</v>
      </c>
      <c r="G481" t="s">
        <v>3181</v>
      </c>
      <c r="H481">
        <v>14537</v>
      </c>
      <c r="I481" t="s">
        <v>3182</v>
      </c>
    </row>
    <row r="482" spans="1:9" x14ac:dyDescent="0.25">
      <c r="A482" t="s">
        <v>3179</v>
      </c>
      <c r="B482" t="s">
        <v>3787</v>
      </c>
      <c r="C482" t="s">
        <v>3183</v>
      </c>
      <c r="D482">
        <v>35.329525510000003</v>
      </c>
      <c r="E482" t="s">
        <v>3180</v>
      </c>
      <c r="F482">
        <v>108.64654</v>
      </c>
      <c r="G482" t="s">
        <v>3181</v>
      </c>
      <c r="H482">
        <v>12608</v>
      </c>
      <c r="I482" t="s">
        <v>3182</v>
      </c>
    </row>
    <row r="483" spans="1:9" x14ac:dyDescent="0.25">
      <c r="A483" t="s">
        <v>3179</v>
      </c>
      <c r="B483" t="s">
        <v>3788</v>
      </c>
      <c r="C483" t="s">
        <v>3183</v>
      </c>
      <c r="D483">
        <v>34.36503518</v>
      </c>
      <c r="E483" t="s">
        <v>3180</v>
      </c>
      <c r="F483">
        <v>108.3406499</v>
      </c>
      <c r="G483" t="s">
        <v>3181</v>
      </c>
      <c r="H483">
        <v>26192</v>
      </c>
      <c r="I483" t="s">
        <v>3182</v>
      </c>
    </row>
    <row r="484" spans="1:9" x14ac:dyDescent="0.25">
      <c r="A484" t="s">
        <v>3179</v>
      </c>
      <c r="B484" t="s">
        <v>3237</v>
      </c>
      <c r="C484" t="s">
        <v>3183</v>
      </c>
      <c r="D484">
        <v>32.293606390000001</v>
      </c>
      <c r="E484" t="s">
        <v>3180</v>
      </c>
      <c r="F484">
        <v>108.183763</v>
      </c>
      <c r="G484" t="s">
        <v>3181</v>
      </c>
      <c r="H484">
        <v>11912</v>
      </c>
      <c r="I484" t="s">
        <v>3182</v>
      </c>
    </row>
    <row r="485" spans="1:9" x14ac:dyDescent="0.25">
      <c r="A485" t="s">
        <v>3179</v>
      </c>
      <c r="B485" t="s">
        <v>3584</v>
      </c>
      <c r="C485" t="s">
        <v>3183</v>
      </c>
      <c r="D485">
        <v>33.276446929999999</v>
      </c>
      <c r="E485" t="s">
        <v>3180</v>
      </c>
      <c r="F485">
        <v>110.0069479</v>
      </c>
      <c r="G485" t="s">
        <v>3181</v>
      </c>
      <c r="H485">
        <v>17098</v>
      </c>
      <c r="I485" t="s">
        <v>3182</v>
      </c>
    </row>
    <row r="486" spans="1:9" x14ac:dyDescent="0.25">
      <c r="A486" t="s">
        <v>3179</v>
      </c>
      <c r="B486" t="s">
        <v>4035</v>
      </c>
      <c r="C486" t="s">
        <v>3183</v>
      </c>
      <c r="D486">
        <v>37.557252060000003</v>
      </c>
      <c r="E486" t="s">
        <v>3180</v>
      </c>
      <c r="F486">
        <v>110.4111805</v>
      </c>
      <c r="G486" t="s">
        <v>3181</v>
      </c>
      <c r="H486">
        <v>17750</v>
      </c>
      <c r="I486" t="s">
        <v>3182</v>
      </c>
    </row>
    <row r="487" spans="1:9" x14ac:dyDescent="0.25">
      <c r="A487" t="s">
        <v>3179</v>
      </c>
      <c r="B487" t="s">
        <v>3238</v>
      </c>
      <c r="C487" t="s">
        <v>3183</v>
      </c>
      <c r="D487">
        <v>32.312372209999999</v>
      </c>
      <c r="E487" t="s">
        <v>3180</v>
      </c>
      <c r="F487">
        <v>108.2768927</v>
      </c>
      <c r="G487" t="s">
        <v>3181</v>
      </c>
      <c r="H487">
        <v>19008</v>
      </c>
      <c r="I487" t="s">
        <v>3182</v>
      </c>
    </row>
    <row r="488" spans="1:9" x14ac:dyDescent="0.25">
      <c r="A488" t="s">
        <v>3179</v>
      </c>
      <c r="B488" t="s">
        <v>3481</v>
      </c>
      <c r="C488" t="s">
        <v>3183</v>
      </c>
      <c r="D488">
        <v>32.695589290000001</v>
      </c>
      <c r="E488" t="s">
        <v>3180</v>
      </c>
      <c r="F488">
        <v>106.3975926</v>
      </c>
      <c r="G488" t="s">
        <v>3181</v>
      </c>
      <c r="H488">
        <v>11783</v>
      </c>
      <c r="I488" t="s">
        <v>3182</v>
      </c>
    </row>
    <row r="489" spans="1:9" x14ac:dyDescent="0.25">
      <c r="A489" t="s">
        <v>3179</v>
      </c>
      <c r="B489" t="s">
        <v>3585</v>
      </c>
      <c r="C489" t="s">
        <v>3183</v>
      </c>
      <c r="D489">
        <v>33.190279750000002</v>
      </c>
      <c r="E489" t="s">
        <v>3180</v>
      </c>
      <c r="F489">
        <v>109.4171138</v>
      </c>
      <c r="G489" t="s">
        <v>3181</v>
      </c>
      <c r="H489">
        <v>7991</v>
      </c>
      <c r="I489" t="s">
        <v>3182</v>
      </c>
    </row>
    <row r="490" spans="1:9" x14ac:dyDescent="0.25">
      <c r="A490" t="s">
        <v>3179</v>
      </c>
      <c r="B490" t="s">
        <v>5696</v>
      </c>
      <c r="C490" t="s">
        <v>3183</v>
      </c>
      <c r="D490">
        <v>32.689042909999998</v>
      </c>
      <c r="E490" t="s">
        <v>3180</v>
      </c>
      <c r="F490">
        <v>109.9237445</v>
      </c>
      <c r="G490" t="s">
        <v>3181</v>
      </c>
      <c r="H490">
        <v>15293</v>
      </c>
      <c r="I490" t="s">
        <v>3182</v>
      </c>
    </row>
    <row r="491" spans="1:9" x14ac:dyDescent="0.25">
      <c r="A491" t="s">
        <v>3179</v>
      </c>
      <c r="B491" t="s">
        <v>5697</v>
      </c>
      <c r="C491" t="s">
        <v>3183</v>
      </c>
      <c r="D491">
        <v>33.506575310000002</v>
      </c>
      <c r="E491" t="s">
        <v>3180</v>
      </c>
      <c r="F491">
        <v>107.6785951</v>
      </c>
      <c r="G491" t="s">
        <v>3181</v>
      </c>
      <c r="H491">
        <v>5907</v>
      </c>
      <c r="I491" t="s">
        <v>3182</v>
      </c>
    </row>
    <row r="492" spans="1:9" x14ac:dyDescent="0.25">
      <c r="A492" t="s">
        <v>3179</v>
      </c>
      <c r="B492" t="s">
        <v>5698</v>
      </c>
      <c r="C492" t="s">
        <v>3183</v>
      </c>
      <c r="D492">
        <v>32.943537810000002</v>
      </c>
      <c r="E492" t="s">
        <v>3180</v>
      </c>
      <c r="F492">
        <v>109.1092226</v>
      </c>
      <c r="G492" t="s">
        <v>3181</v>
      </c>
      <c r="H492">
        <v>11385</v>
      </c>
      <c r="I492" t="s">
        <v>3182</v>
      </c>
    </row>
    <row r="493" spans="1:9" x14ac:dyDescent="0.25">
      <c r="A493" t="s">
        <v>3179</v>
      </c>
      <c r="B493" t="s">
        <v>5699</v>
      </c>
      <c r="C493" t="s">
        <v>3183</v>
      </c>
      <c r="D493">
        <v>34.221756849999998</v>
      </c>
      <c r="E493" t="s">
        <v>3180</v>
      </c>
      <c r="F493">
        <v>110.0686616</v>
      </c>
      <c r="G493" t="s">
        <v>3181</v>
      </c>
      <c r="H493">
        <v>15763</v>
      </c>
      <c r="I493" t="s">
        <v>3182</v>
      </c>
    </row>
    <row r="494" spans="1:9" x14ac:dyDescent="0.25">
      <c r="A494" t="s">
        <v>3179</v>
      </c>
      <c r="B494" t="s">
        <v>4036</v>
      </c>
      <c r="C494" t="s">
        <v>3183</v>
      </c>
      <c r="D494">
        <v>37.631856759999998</v>
      </c>
      <c r="E494" t="s">
        <v>3180</v>
      </c>
      <c r="F494">
        <v>109.8673253</v>
      </c>
      <c r="G494" t="s">
        <v>3181</v>
      </c>
      <c r="H494">
        <v>13895</v>
      </c>
      <c r="I494" t="s">
        <v>3182</v>
      </c>
    </row>
    <row r="495" spans="1:9" x14ac:dyDescent="0.25">
      <c r="A495" t="s">
        <v>3179</v>
      </c>
      <c r="B495" t="s">
        <v>3482</v>
      </c>
      <c r="C495" t="s">
        <v>3183</v>
      </c>
      <c r="D495">
        <v>33.493942240000003</v>
      </c>
      <c r="E495" t="s">
        <v>3180</v>
      </c>
      <c r="F495">
        <v>106.04034660000001</v>
      </c>
      <c r="G495" t="s">
        <v>3181</v>
      </c>
      <c r="H495">
        <v>4982</v>
      </c>
      <c r="I495" t="s">
        <v>3182</v>
      </c>
    </row>
    <row r="496" spans="1:9" x14ac:dyDescent="0.25">
      <c r="A496" t="s">
        <v>3179</v>
      </c>
      <c r="B496" t="s">
        <v>3359</v>
      </c>
      <c r="C496" t="s">
        <v>3183</v>
      </c>
      <c r="D496">
        <v>34.24464837</v>
      </c>
      <c r="E496" t="s">
        <v>3180</v>
      </c>
      <c r="F496">
        <v>107.216177</v>
      </c>
      <c r="G496" t="s">
        <v>3181</v>
      </c>
      <c r="H496">
        <v>56854</v>
      </c>
      <c r="I496" t="s">
        <v>3182</v>
      </c>
    </row>
    <row r="497" spans="1:9" x14ac:dyDescent="0.25">
      <c r="A497" t="s">
        <v>3179</v>
      </c>
      <c r="B497" t="s">
        <v>3866</v>
      </c>
      <c r="C497" t="s">
        <v>3183</v>
      </c>
      <c r="D497">
        <v>34.070970029999998</v>
      </c>
      <c r="E497" t="s">
        <v>3180</v>
      </c>
      <c r="F497">
        <v>108.17712659999999</v>
      </c>
      <c r="G497" t="s">
        <v>3181</v>
      </c>
      <c r="H497">
        <v>32023</v>
      </c>
      <c r="I497" t="s">
        <v>3182</v>
      </c>
    </row>
    <row r="498" spans="1:9" x14ac:dyDescent="0.25">
      <c r="A498" t="s">
        <v>3179</v>
      </c>
      <c r="B498" t="s">
        <v>3710</v>
      </c>
      <c r="C498" t="s">
        <v>3183</v>
      </c>
      <c r="D498">
        <v>34.855929830000001</v>
      </c>
      <c r="E498" t="s">
        <v>3180</v>
      </c>
      <c r="F498">
        <v>108.99351350000001</v>
      </c>
      <c r="G498" t="s">
        <v>3181</v>
      </c>
      <c r="H498">
        <v>30232</v>
      </c>
      <c r="I498" t="s">
        <v>3182</v>
      </c>
    </row>
    <row r="499" spans="1:9" x14ac:dyDescent="0.25">
      <c r="A499" t="s">
        <v>3179</v>
      </c>
      <c r="B499" t="s">
        <v>3711</v>
      </c>
      <c r="C499" t="s">
        <v>3183</v>
      </c>
      <c r="D499">
        <v>34.958942780000001</v>
      </c>
      <c r="E499" t="s">
        <v>3180</v>
      </c>
      <c r="F499">
        <v>109.3461259</v>
      </c>
      <c r="G499" t="s">
        <v>3181</v>
      </c>
      <c r="H499">
        <v>47520</v>
      </c>
      <c r="I499" t="s">
        <v>3182</v>
      </c>
    </row>
    <row r="500" spans="1:9" x14ac:dyDescent="0.25">
      <c r="A500" t="s">
        <v>3179</v>
      </c>
      <c r="B500" t="s">
        <v>3239</v>
      </c>
      <c r="C500" t="s">
        <v>3183</v>
      </c>
      <c r="D500">
        <v>33.350736529999999</v>
      </c>
      <c r="E500" t="s">
        <v>3180</v>
      </c>
      <c r="F500">
        <v>108.10397500000001</v>
      </c>
      <c r="G500" t="s">
        <v>3181</v>
      </c>
      <c r="H500">
        <v>2401</v>
      </c>
      <c r="I500" t="s">
        <v>3182</v>
      </c>
    </row>
    <row r="501" spans="1:9" x14ac:dyDescent="0.25">
      <c r="A501" t="s">
        <v>3179</v>
      </c>
      <c r="B501" t="s">
        <v>3867</v>
      </c>
      <c r="C501" t="s">
        <v>3183</v>
      </c>
      <c r="D501">
        <v>34.178838050000003</v>
      </c>
      <c r="E501" t="s">
        <v>3180</v>
      </c>
      <c r="F501">
        <v>109.206506</v>
      </c>
      <c r="G501" t="s">
        <v>3181</v>
      </c>
      <c r="H501">
        <v>21779</v>
      </c>
      <c r="I501" t="s">
        <v>3182</v>
      </c>
    </row>
    <row r="502" spans="1:9" x14ac:dyDescent="0.25">
      <c r="A502" t="s">
        <v>3179</v>
      </c>
      <c r="B502" t="s">
        <v>3240</v>
      </c>
      <c r="C502" t="s">
        <v>3183</v>
      </c>
      <c r="D502">
        <v>32.162142920000001</v>
      </c>
      <c r="E502" t="s">
        <v>3180</v>
      </c>
      <c r="F502">
        <v>109.08096140000001</v>
      </c>
      <c r="G502" t="s">
        <v>3181</v>
      </c>
      <c r="H502">
        <v>9113</v>
      </c>
      <c r="I502" t="s">
        <v>3182</v>
      </c>
    </row>
    <row r="503" spans="1:9" x14ac:dyDescent="0.25">
      <c r="A503" t="s">
        <v>3179</v>
      </c>
      <c r="B503" t="s">
        <v>3712</v>
      </c>
      <c r="C503" t="s">
        <v>3183</v>
      </c>
      <c r="D503">
        <v>34.515622880000002</v>
      </c>
      <c r="E503" t="s">
        <v>3180</v>
      </c>
      <c r="F503">
        <v>110.1628369</v>
      </c>
      <c r="G503" t="s">
        <v>3181</v>
      </c>
      <c r="H503">
        <v>24687</v>
      </c>
      <c r="I503" t="s">
        <v>3182</v>
      </c>
    </row>
    <row r="504" spans="1:9" x14ac:dyDescent="0.25">
      <c r="A504" t="s">
        <v>3179</v>
      </c>
      <c r="B504" t="s">
        <v>5700</v>
      </c>
      <c r="C504" t="s">
        <v>3183</v>
      </c>
      <c r="D504">
        <v>33.397983789999998</v>
      </c>
      <c r="E504" t="s">
        <v>3180</v>
      </c>
      <c r="F504">
        <v>108.9559364</v>
      </c>
      <c r="G504" t="s">
        <v>3181</v>
      </c>
      <c r="H504">
        <v>8995</v>
      </c>
      <c r="I504" t="s">
        <v>3182</v>
      </c>
    </row>
    <row r="505" spans="1:9" x14ac:dyDescent="0.25">
      <c r="A505" t="s">
        <v>3179</v>
      </c>
      <c r="B505" t="s">
        <v>5701</v>
      </c>
      <c r="C505" t="s">
        <v>3183</v>
      </c>
      <c r="D505">
        <v>36.844977149999998</v>
      </c>
      <c r="E505" t="s">
        <v>3180</v>
      </c>
      <c r="F505">
        <v>107.8777472</v>
      </c>
      <c r="G505" t="s">
        <v>3181</v>
      </c>
      <c r="H505">
        <v>5957</v>
      </c>
      <c r="I505" t="s">
        <v>3182</v>
      </c>
    </row>
    <row r="506" spans="1:9" x14ac:dyDescent="0.25">
      <c r="A506" t="s">
        <v>3179</v>
      </c>
      <c r="B506" t="s">
        <v>4038</v>
      </c>
      <c r="C506" t="s">
        <v>3183</v>
      </c>
      <c r="D506">
        <v>39.281899670000001</v>
      </c>
      <c r="E506" t="s">
        <v>3180</v>
      </c>
      <c r="F506">
        <v>110.7866811</v>
      </c>
      <c r="G506" t="s">
        <v>3181</v>
      </c>
      <c r="H506">
        <v>16149</v>
      </c>
      <c r="I506" t="s">
        <v>3182</v>
      </c>
    </row>
    <row r="507" spans="1:9" x14ac:dyDescent="0.25">
      <c r="A507" t="s">
        <v>3179</v>
      </c>
      <c r="B507" t="s">
        <v>4039</v>
      </c>
      <c r="C507" t="s">
        <v>3183</v>
      </c>
      <c r="D507">
        <v>37.549158460000001</v>
      </c>
      <c r="E507" t="s">
        <v>3180</v>
      </c>
      <c r="F507">
        <v>110.0342388</v>
      </c>
      <c r="G507" t="s">
        <v>3181</v>
      </c>
      <c r="H507">
        <v>17689</v>
      </c>
      <c r="I507" t="s">
        <v>3182</v>
      </c>
    </row>
    <row r="508" spans="1:9" x14ac:dyDescent="0.25">
      <c r="A508" t="s">
        <v>3179</v>
      </c>
      <c r="B508" t="s">
        <v>3644</v>
      </c>
      <c r="C508" t="s">
        <v>3183</v>
      </c>
      <c r="D508">
        <v>35.176670090000002</v>
      </c>
      <c r="E508" t="s">
        <v>3180</v>
      </c>
      <c r="F508">
        <v>108.7615405</v>
      </c>
      <c r="G508" t="s">
        <v>3181</v>
      </c>
      <c r="H508">
        <v>28032</v>
      </c>
      <c r="I508" t="s">
        <v>3182</v>
      </c>
    </row>
    <row r="509" spans="1:9" x14ac:dyDescent="0.25">
      <c r="A509" t="s">
        <v>3179</v>
      </c>
      <c r="B509" t="s">
        <v>3360</v>
      </c>
      <c r="C509" t="s">
        <v>3183</v>
      </c>
      <c r="D509">
        <v>34.637696409999997</v>
      </c>
      <c r="E509" t="s">
        <v>3180</v>
      </c>
      <c r="F509">
        <v>107.46047419999999</v>
      </c>
      <c r="G509" t="s">
        <v>3181</v>
      </c>
      <c r="H509">
        <v>32429</v>
      </c>
      <c r="I509" t="s">
        <v>3182</v>
      </c>
    </row>
    <row r="510" spans="1:9" x14ac:dyDescent="0.25">
      <c r="A510" t="s">
        <v>3179</v>
      </c>
      <c r="B510" t="s">
        <v>3586</v>
      </c>
      <c r="C510" t="s">
        <v>3183</v>
      </c>
      <c r="D510">
        <v>33.286282020000002</v>
      </c>
      <c r="E510" t="s">
        <v>3180</v>
      </c>
      <c r="F510">
        <v>109.50749260000001</v>
      </c>
      <c r="G510" t="s">
        <v>3181</v>
      </c>
      <c r="H510">
        <v>18795</v>
      </c>
      <c r="I510" t="s">
        <v>3182</v>
      </c>
    </row>
    <row r="511" spans="1:9" x14ac:dyDescent="0.25">
      <c r="A511" t="s">
        <v>3179</v>
      </c>
      <c r="B511" t="s">
        <v>4040</v>
      </c>
      <c r="C511" t="s">
        <v>3183</v>
      </c>
      <c r="D511">
        <v>37.50892442</v>
      </c>
      <c r="E511" t="s">
        <v>3180</v>
      </c>
      <c r="F511">
        <v>110.2879812</v>
      </c>
      <c r="G511" t="s">
        <v>3181</v>
      </c>
      <c r="H511">
        <v>62842</v>
      </c>
      <c r="I511" t="s">
        <v>3182</v>
      </c>
    </row>
    <row r="512" spans="1:9" x14ac:dyDescent="0.25">
      <c r="A512" t="s">
        <v>3179</v>
      </c>
      <c r="B512" t="s">
        <v>3241</v>
      </c>
      <c r="C512" t="s">
        <v>3183</v>
      </c>
      <c r="D512">
        <v>32.379433310000003</v>
      </c>
      <c r="E512" t="s">
        <v>3180</v>
      </c>
      <c r="F512">
        <v>108.7511791</v>
      </c>
      <c r="G512" t="s">
        <v>3181</v>
      </c>
      <c r="H512">
        <v>25786</v>
      </c>
      <c r="I512" t="s">
        <v>3182</v>
      </c>
    </row>
    <row r="513" spans="1:9" x14ac:dyDescent="0.25">
      <c r="A513" t="s">
        <v>3179</v>
      </c>
      <c r="B513" t="s">
        <v>3483</v>
      </c>
      <c r="C513" t="s">
        <v>3183</v>
      </c>
      <c r="D513">
        <v>32.902726340000001</v>
      </c>
      <c r="E513" t="s">
        <v>3180</v>
      </c>
      <c r="F513">
        <v>107.0101767</v>
      </c>
      <c r="G513" t="s">
        <v>3181</v>
      </c>
      <c r="H513">
        <v>22894</v>
      </c>
      <c r="I513" t="s">
        <v>3182</v>
      </c>
    </row>
    <row r="514" spans="1:9" x14ac:dyDescent="0.25">
      <c r="A514" t="s">
        <v>3179</v>
      </c>
      <c r="B514" t="s">
        <v>3484</v>
      </c>
      <c r="C514" t="s">
        <v>3183</v>
      </c>
      <c r="D514">
        <v>33.120531190000001</v>
      </c>
      <c r="E514" t="s">
        <v>3180</v>
      </c>
      <c r="F514">
        <v>107.4949397</v>
      </c>
      <c r="G514" t="s">
        <v>3181</v>
      </c>
      <c r="H514">
        <v>26667</v>
      </c>
      <c r="I514" t="s">
        <v>3182</v>
      </c>
    </row>
    <row r="515" spans="1:9" x14ac:dyDescent="0.25">
      <c r="A515" t="s">
        <v>3179</v>
      </c>
      <c r="B515" t="s">
        <v>4041</v>
      </c>
      <c r="C515" t="s">
        <v>3183</v>
      </c>
      <c r="D515">
        <v>39.205554839999998</v>
      </c>
      <c r="E515" t="s">
        <v>3180</v>
      </c>
      <c r="F515">
        <v>110.9345373</v>
      </c>
      <c r="G515" t="s">
        <v>3181</v>
      </c>
      <c r="H515">
        <v>4063</v>
      </c>
      <c r="I515" t="s">
        <v>3182</v>
      </c>
    </row>
    <row r="516" spans="1:9" x14ac:dyDescent="0.25">
      <c r="A516" t="s">
        <v>3179</v>
      </c>
      <c r="B516" t="s">
        <v>3587</v>
      </c>
      <c r="C516" t="s">
        <v>3183</v>
      </c>
      <c r="D516">
        <v>34.017035589999999</v>
      </c>
      <c r="E516" t="s">
        <v>3180</v>
      </c>
      <c r="F516">
        <v>109.5805194</v>
      </c>
      <c r="G516" t="s">
        <v>3181</v>
      </c>
      <c r="H516">
        <v>26328</v>
      </c>
      <c r="I516" t="s">
        <v>3182</v>
      </c>
    </row>
    <row r="517" spans="1:9" x14ac:dyDescent="0.25">
      <c r="A517" t="s">
        <v>3179</v>
      </c>
      <c r="B517" t="s">
        <v>4042</v>
      </c>
      <c r="C517" t="s">
        <v>3183</v>
      </c>
      <c r="D517">
        <v>37.89692265</v>
      </c>
      <c r="E517" t="s">
        <v>3180</v>
      </c>
      <c r="F517">
        <v>110.55534160000001</v>
      </c>
      <c r="G517" t="s">
        <v>3181</v>
      </c>
      <c r="H517">
        <v>8734</v>
      </c>
      <c r="I517" t="s">
        <v>3182</v>
      </c>
    </row>
    <row r="518" spans="1:9" x14ac:dyDescent="0.25">
      <c r="A518" t="s">
        <v>3179</v>
      </c>
      <c r="B518" t="s">
        <v>3588</v>
      </c>
      <c r="C518" t="s">
        <v>3183</v>
      </c>
      <c r="D518">
        <v>33.331896110000002</v>
      </c>
      <c r="E518" t="s">
        <v>3180</v>
      </c>
      <c r="F518">
        <v>108.69136020000001</v>
      </c>
      <c r="G518" t="s">
        <v>3181</v>
      </c>
      <c r="H518">
        <v>9556</v>
      </c>
      <c r="I518" t="s">
        <v>3182</v>
      </c>
    </row>
    <row r="519" spans="1:9" x14ac:dyDescent="0.25">
      <c r="A519" t="s">
        <v>3179</v>
      </c>
      <c r="B519" t="s">
        <v>3361</v>
      </c>
      <c r="C519" t="s">
        <v>3183</v>
      </c>
      <c r="D519">
        <v>34.39555704</v>
      </c>
      <c r="E519" t="s">
        <v>3180</v>
      </c>
      <c r="F519">
        <v>107.4416463</v>
      </c>
      <c r="G519" t="s">
        <v>3181</v>
      </c>
      <c r="H519">
        <v>36483</v>
      </c>
      <c r="I519" t="s">
        <v>3182</v>
      </c>
    </row>
    <row r="520" spans="1:9" x14ac:dyDescent="0.25">
      <c r="A520" t="s">
        <v>3179</v>
      </c>
      <c r="B520" t="s">
        <v>3789</v>
      </c>
      <c r="C520" t="s">
        <v>3183</v>
      </c>
      <c r="D520">
        <v>34.744316470000001</v>
      </c>
      <c r="E520" t="s">
        <v>3180</v>
      </c>
      <c r="F520">
        <v>108.3501033</v>
      </c>
      <c r="G520" t="s">
        <v>3181</v>
      </c>
      <c r="H520">
        <v>22654</v>
      </c>
      <c r="I520" t="s">
        <v>3182</v>
      </c>
    </row>
    <row r="521" spans="1:9" x14ac:dyDescent="0.25">
      <c r="A521" t="s">
        <v>3179</v>
      </c>
      <c r="B521" t="s">
        <v>3242</v>
      </c>
      <c r="C521" t="s">
        <v>3183</v>
      </c>
      <c r="D521">
        <v>32.257911669999999</v>
      </c>
      <c r="E521" t="s">
        <v>3180</v>
      </c>
      <c r="F521">
        <v>109.0011422</v>
      </c>
      <c r="G521" t="s">
        <v>3181</v>
      </c>
      <c r="H521">
        <v>12228</v>
      </c>
      <c r="I521" t="s">
        <v>3182</v>
      </c>
    </row>
    <row r="522" spans="1:9" x14ac:dyDescent="0.25">
      <c r="A522" t="s">
        <v>3179</v>
      </c>
      <c r="B522" t="s">
        <v>3924</v>
      </c>
      <c r="C522" t="s">
        <v>3183</v>
      </c>
      <c r="D522">
        <v>37.351595099999997</v>
      </c>
      <c r="E522" t="s">
        <v>3180</v>
      </c>
      <c r="F522">
        <v>109.7201523</v>
      </c>
      <c r="G522" t="s">
        <v>3181</v>
      </c>
      <c r="H522">
        <v>8400</v>
      </c>
      <c r="I522" t="s">
        <v>3182</v>
      </c>
    </row>
    <row r="523" spans="1:9" x14ac:dyDescent="0.25">
      <c r="A523" t="s">
        <v>3179</v>
      </c>
      <c r="B523" t="s">
        <v>3589</v>
      </c>
      <c r="C523" t="s">
        <v>3183</v>
      </c>
      <c r="D523">
        <v>33.300635229999997</v>
      </c>
      <c r="E523" t="s">
        <v>3180</v>
      </c>
      <c r="F523">
        <v>109.8497641</v>
      </c>
      <c r="G523" t="s">
        <v>3181</v>
      </c>
      <c r="H523">
        <v>17112</v>
      </c>
      <c r="I523" t="s">
        <v>3182</v>
      </c>
    </row>
    <row r="524" spans="1:9" x14ac:dyDescent="0.25">
      <c r="A524" t="s">
        <v>3179</v>
      </c>
      <c r="B524" t="s">
        <v>3925</v>
      </c>
      <c r="C524" t="s">
        <v>3183</v>
      </c>
      <c r="D524">
        <v>36.342389339999997</v>
      </c>
      <c r="E524" t="s">
        <v>3180</v>
      </c>
      <c r="F524">
        <v>109.6405364</v>
      </c>
      <c r="G524" t="s">
        <v>3181</v>
      </c>
      <c r="H524">
        <v>4960</v>
      </c>
      <c r="I524" t="s">
        <v>3182</v>
      </c>
    </row>
    <row r="525" spans="1:9" x14ac:dyDescent="0.25">
      <c r="A525" t="s">
        <v>3179</v>
      </c>
      <c r="B525" t="s">
        <v>3790</v>
      </c>
      <c r="C525" t="s">
        <v>3183</v>
      </c>
      <c r="D525">
        <v>34.35265613</v>
      </c>
      <c r="E525" t="s">
        <v>3180</v>
      </c>
      <c r="F525">
        <v>108.4587322</v>
      </c>
      <c r="G525" t="s">
        <v>3181</v>
      </c>
      <c r="H525">
        <v>33631</v>
      </c>
      <c r="I525" t="s">
        <v>3182</v>
      </c>
    </row>
    <row r="526" spans="1:9" x14ac:dyDescent="0.25">
      <c r="A526" t="s">
        <v>3179</v>
      </c>
      <c r="B526" t="s">
        <v>3868</v>
      </c>
      <c r="C526" t="s">
        <v>3183</v>
      </c>
      <c r="D526">
        <v>34.355460649999998</v>
      </c>
      <c r="E526" t="s">
        <v>3180</v>
      </c>
      <c r="F526">
        <v>108.5509</v>
      </c>
      <c r="G526" t="s">
        <v>3181</v>
      </c>
      <c r="H526">
        <v>33982</v>
      </c>
      <c r="I526" t="s">
        <v>3182</v>
      </c>
    </row>
    <row r="527" spans="1:9" x14ac:dyDescent="0.25">
      <c r="A527" t="s">
        <v>3179</v>
      </c>
      <c r="B527" t="s">
        <v>3362</v>
      </c>
      <c r="C527" t="s">
        <v>3183</v>
      </c>
      <c r="D527">
        <v>34.472299999999997</v>
      </c>
      <c r="E527" t="s">
        <v>3180</v>
      </c>
      <c r="F527">
        <v>107.904</v>
      </c>
      <c r="G527" t="s">
        <v>3181</v>
      </c>
      <c r="H527">
        <v>20880</v>
      </c>
      <c r="I527" t="s">
        <v>3182</v>
      </c>
    </row>
    <row r="528" spans="1:9" x14ac:dyDescent="0.25">
      <c r="A528" t="s">
        <v>3179</v>
      </c>
      <c r="B528" t="s">
        <v>3363</v>
      </c>
      <c r="C528" t="s">
        <v>3183</v>
      </c>
      <c r="D528">
        <v>34.719387220000002</v>
      </c>
      <c r="E528" t="s">
        <v>3180</v>
      </c>
      <c r="F528">
        <v>107.225999</v>
      </c>
      <c r="G528" t="s">
        <v>3181</v>
      </c>
      <c r="H528">
        <v>20234</v>
      </c>
      <c r="I528" t="s">
        <v>3182</v>
      </c>
    </row>
    <row r="529" spans="1:9" x14ac:dyDescent="0.25">
      <c r="A529" t="s">
        <v>3179</v>
      </c>
      <c r="B529" t="s">
        <v>3364</v>
      </c>
      <c r="C529" t="s">
        <v>3183</v>
      </c>
      <c r="D529">
        <v>34.463179879999998</v>
      </c>
      <c r="E529" t="s">
        <v>3180</v>
      </c>
      <c r="F529">
        <v>107.3604563</v>
      </c>
      <c r="G529" t="s">
        <v>3181</v>
      </c>
      <c r="H529">
        <v>33178</v>
      </c>
      <c r="I529" t="s">
        <v>3182</v>
      </c>
    </row>
    <row r="530" spans="1:9" x14ac:dyDescent="0.25">
      <c r="A530" t="s">
        <v>3179</v>
      </c>
      <c r="B530" t="s">
        <v>3713</v>
      </c>
      <c r="C530" t="s">
        <v>3183</v>
      </c>
      <c r="D530">
        <v>34.809547760000001</v>
      </c>
      <c r="E530" t="s">
        <v>3180</v>
      </c>
      <c r="F530">
        <v>109.8582756</v>
      </c>
      <c r="G530" t="s">
        <v>3181</v>
      </c>
      <c r="H530">
        <v>27182</v>
      </c>
      <c r="I530" t="s">
        <v>3182</v>
      </c>
    </row>
    <row r="531" spans="1:9" x14ac:dyDescent="0.25">
      <c r="A531" t="s">
        <v>3179</v>
      </c>
      <c r="B531" t="s">
        <v>3485</v>
      </c>
      <c r="C531" t="s">
        <v>3183</v>
      </c>
      <c r="D531">
        <v>32.647775690000003</v>
      </c>
      <c r="E531" t="s">
        <v>3180</v>
      </c>
      <c r="F531">
        <v>108.192297</v>
      </c>
      <c r="G531" t="s">
        <v>3181</v>
      </c>
      <c r="H531">
        <v>10207</v>
      </c>
      <c r="I531" t="s">
        <v>3182</v>
      </c>
    </row>
    <row r="532" spans="1:9" x14ac:dyDescent="0.25">
      <c r="A532" t="s">
        <v>3179</v>
      </c>
      <c r="B532" t="s">
        <v>4043</v>
      </c>
      <c r="C532" t="s">
        <v>3183</v>
      </c>
      <c r="D532">
        <v>37.548163440000003</v>
      </c>
      <c r="E532" t="s">
        <v>3180</v>
      </c>
      <c r="F532">
        <v>108.3867786</v>
      </c>
      <c r="G532" t="s">
        <v>3181</v>
      </c>
      <c r="H532">
        <v>17542</v>
      </c>
      <c r="I532" t="s">
        <v>3182</v>
      </c>
    </row>
    <row r="533" spans="1:9" x14ac:dyDescent="0.25">
      <c r="A533" t="s">
        <v>3179</v>
      </c>
      <c r="B533" t="s">
        <v>4044</v>
      </c>
      <c r="C533" t="s">
        <v>3183</v>
      </c>
      <c r="D533">
        <v>38.396201249999997</v>
      </c>
      <c r="E533" t="s">
        <v>3180</v>
      </c>
      <c r="F533">
        <v>109.7581634</v>
      </c>
      <c r="G533" t="s">
        <v>3181</v>
      </c>
      <c r="H533">
        <v>17352</v>
      </c>
      <c r="I533" t="s">
        <v>3182</v>
      </c>
    </row>
    <row r="534" spans="1:9" x14ac:dyDescent="0.25">
      <c r="A534" t="s">
        <v>3179</v>
      </c>
      <c r="B534" t="s">
        <v>3243</v>
      </c>
      <c r="C534" t="s">
        <v>3183</v>
      </c>
      <c r="D534">
        <v>32.723091680000003</v>
      </c>
      <c r="E534" t="s">
        <v>3180</v>
      </c>
      <c r="F534">
        <v>108.5425631</v>
      </c>
      <c r="G534" t="s">
        <v>3181</v>
      </c>
      <c r="H534">
        <v>5999</v>
      </c>
      <c r="I534" t="s">
        <v>3182</v>
      </c>
    </row>
    <row r="535" spans="1:9" x14ac:dyDescent="0.25">
      <c r="A535" t="s">
        <v>3179</v>
      </c>
      <c r="B535" t="s">
        <v>3244</v>
      </c>
      <c r="C535" t="s">
        <v>3183</v>
      </c>
      <c r="D535">
        <v>32.054651620000001</v>
      </c>
      <c r="E535" t="s">
        <v>3180</v>
      </c>
      <c r="F535">
        <v>109.4968377</v>
      </c>
      <c r="G535" t="s">
        <v>3181</v>
      </c>
      <c r="H535">
        <v>4386</v>
      </c>
      <c r="I535" t="s">
        <v>3182</v>
      </c>
    </row>
    <row r="536" spans="1:9" x14ac:dyDescent="0.25">
      <c r="A536" t="s">
        <v>3179</v>
      </c>
      <c r="B536" t="s">
        <v>3926</v>
      </c>
      <c r="C536" t="s">
        <v>3183</v>
      </c>
      <c r="D536">
        <v>36.121829679999998</v>
      </c>
      <c r="E536" t="s">
        <v>3180</v>
      </c>
      <c r="F536">
        <v>109.57188189999999</v>
      </c>
      <c r="G536" t="s">
        <v>3181</v>
      </c>
      <c r="H536">
        <v>7121</v>
      </c>
      <c r="I536" t="s">
        <v>3182</v>
      </c>
    </row>
    <row r="537" spans="1:9" x14ac:dyDescent="0.25">
      <c r="A537" t="s">
        <v>3179</v>
      </c>
      <c r="B537" t="s">
        <v>5702</v>
      </c>
      <c r="C537" t="s">
        <v>3183</v>
      </c>
      <c r="D537">
        <v>34.404532439999997</v>
      </c>
      <c r="E537" t="s">
        <v>3180</v>
      </c>
      <c r="F537">
        <v>107.2045926</v>
      </c>
      <c r="G537" t="s">
        <v>3181</v>
      </c>
      <c r="H537">
        <v>37902</v>
      </c>
      <c r="I537" t="s">
        <v>3182</v>
      </c>
    </row>
    <row r="538" spans="1:9" x14ac:dyDescent="0.25">
      <c r="A538" t="s">
        <v>3179</v>
      </c>
      <c r="B538" t="s">
        <v>5703</v>
      </c>
      <c r="C538" t="s">
        <v>3183</v>
      </c>
      <c r="D538">
        <v>36.945813139999998</v>
      </c>
      <c r="E538" t="s">
        <v>3180</v>
      </c>
      <c r="F538">
        <v>109.5541905</v>
      </c>
      <c r="G538" t="s">
        <v>3181</v>
      </c>
      <c r="H538">
        <v>7351</v>
      </c>
      <c r="I538" t="s">
        <v>3182</v>
      </c>
    </row>
    <row r="539" spans="1:9" x14ac:dyDescent="0.25">
      <c r="A539" t="s">
        <v>3179</v>
      </c>
      <c r="B539" t="s">
        <v>3365</v>
      </c>
      <c r="C539" t="s">
        <v>3183</v>
      </c>
      <c r="D539">
        <v>34.25423464</v>
      </c>
      <c r="E539" t="s">
        <v>3180</v>
      </c>
      <c r="F539">
        <v>107.358457</v>
      </c>
      <c r="G539" t="s">
        <v>3181</v>
      </c>
      <c r="H539">
        <v>44211</v>
      </c>
      <c r="I539" t="s">
        <v>3182</v>
      </c>
    </row>
    <row r="540" spans="1:9" x14ac:dyDescent="0.25">
      <c r="A540" t="s">
        <v>3179</v>
      </c>
      <c r="B540" t="s">
        <v>4045</v>
      </c>
      <c r="C540" t="s">
        <v>3183</v>
      </c>
      <c r="D540">
        <v>37.343862979999997</v>
      </c>
      <c r="E540" t="s">
        <v>3180</v>
      </c>
      <c r="F540">
        <v>110.0163017</v>
      </c>
      <c r="G540" t="s">
        <v>3181</v>
      </c>
      <c r="H540">
        <v>9402</v>
      </c>
      <c r="I540" t="s">
        <v>3182</v>
      </c>
    </row>
    <row r="541" spans="1:9" x14ac:dyDescent="0.25">
      <c r="A541" t="s">
        <v>3179</v>
      </c>
      <c r="B541" t="s">
        <v>3645</v>
      </c>
      <c r="C541" t="s">
        <v>3183</v>
      </c>
      <c r="D541">
        <v>35.501519829999999</v>
      </c>
      <c r="E541" t="s">
        <v>3180</v>
      </c>
      <c r="F541">
        <v>109.12862</v>
      </c>
      <c r="G541" t="s">
        <v>3181</v>
      </c>
      <c r="H541">
        <v>12966</v>
      </c>
      <c r="I541" t="s">
        <v>3182</v>
      </c>
    </row>
    <row r="542" spans="1:9" x14ac:dyDescent="0.25">
      <c r="A542" t="s">
        <v>3179</v>
      </c>
      <c r="B542" t="s">
        <v>3791</v>
      </c>
      <c r="C542" t="s">
        <v>3183</v>
      </c>
      <c r="D542">
        <v>35.227621720000002</v>
      </c>
      <c r="E542" t="s">
        <v>3180</v>
      </c>
      <c r="F542">
        <v>107.84425349999999</v>
      </c>
      <c r="G542" t="s">
        <v>3181</v>
      </c>
      <c r="H542">
        <v>15224</v>
      </c>
      <c r="I542" t="s">
        <v>3182</v>
      </c>
    </row>
    <row r="543" spans="1:9" x14ac:dyDescent="0.25">
      <c r="A543" t="s">
        <v>3179</v>
      </c>
      <c r="B543" t="s">
        <v>3486</v>
      </c>
      <c r="C543" t="s">
        <v>3183</v>
      </c>
      <c r="D543">
        <v>32.764630240000002</v>
      </c>
      <c r="E543" t="s">
        <v>3180</v>
      </c>
      <c r="F543">
        <v>107.9815657</v>
      </c>
      <c r="G543" t="s">
        <v>3181</v>
      </c>
      <c r="H543">
        <v>8796</v>
      </c>
      <c r="I543" t="s">
        <v>3182</v>
      </c>
    </row>
    <row r="544" spans="1:9" x14ac:dyDescent="0.25">
      <c r="A544" t="s">
        <v>3179</v>
      </c>
      <c r="B544" t="s">
        <v>3366</v>
      </c>
      <c r="C544" t="s">
        <v>3183</v>
      </c>
      <c r="D544">
        <v>33.87526192</v>
      </c>
      <c r="E544" t="s">
        <v>3180</v>
      </c>
      <c r="F544">
        <v>106.95833</v>
      </c>
      <c r="G544" t="s">
        <v>3181</v>
      </c>
      <c r="H544">
        <v>4042</v>
      </c>
      <c r="I544" t="s">
        <v>3182</v>
      </c>
    </row>
    <row r="545" spans="1:9" x14ac:dyDescent="0.25">
      <c r="A545" t="s">
        <v>3179</v>
      </c>
      <c r="B545" t="s">
        <v>3245</v>
      </c>
      <c r="C545" t="s">
        <v>3183</v>
      </c>
      <c r="D545">
        <v>32.930118649999997</v>
      </c>
      <c r="E545" t="s">
        <v>3180</v>
      </c>
      <c r="F545">
        <v>108.4221752</v>
      </c>
      <c r="G545" t="s">
        <v>3181</v>
      </c>
      <c r="H545">
        <v>28237</v>
      </c>
      <c r="I545" t="s">
        <v>3182</v>
      </c>
    </row>
    <row r="546" spans="1:9" x14ac:dyDescent="0.25">
      <c r="A546" t="s">
        <v>3179</v>
      </c>
      <c r="B546" t="s">
        <v>3367</v>
      </c>
      <c r="C546" t="s">
        <v>3183</v>
      </c>
      <c r="D546">
        <v>34.022949609999998</v>
      </c>
      <c r="E546" t="s">
        <v>3180</v>
      </c>
      <c r="F546">
        <v>107.0486822</v>
      </c>
      <c r="G546" t="s">
        <v>3181</v>
      </c>
      <c r="H546">
        <v>8794</v>
      </c>
      <c r="I546" t="s">
        <v>3182</v>
      </c>
    </row>
    <row r="547" spans="1:9" x14ac:dyDescent="0.25">
      <c r="A547" t="s">
        <v>3179</v>
      </c>
      <c r="B547" t="s">
        <v>3927</v>
      </c>
      <c r="C547" t="s">
        <v>3183</v>
      </c>
      <c r="D547">
        <v>37.182366049999999</v>
      </c>
      <c r="E547" t="s">
        <v>3180</v>
      </c>
      <c r="F547">
        <v>109.2063874</v>
      </c>
      <c r="G547" t="s">
        <v>3181</v>
      </c>
      <c r="H547">
        <v>10497</v>
      </c>
      <c r="I547" t="s">
        <v>3182</v>
      </c>
    </row>
    <row r="548" spans="1:9" x14ac:dyDescent="0.25">
      <c r="A548" t="s">
        <v>3179</v>
      </c>
      <c r="B548" t="s">
        <v>3368</v>
      </c>
      <c r="C548" t="s">
        <v>3183</v>
      </c>
      <c r="D548">
        <v>34.38828092</v>
      </c>
      <c r="E548" t="s">
        <v>3180</v>
      </c>
      <c r="F548">
        <v>106.82659959999999</v>
      </c>
      <c r="G548" t="s">
        <v>3181</v>
      </c>
      <c r="H548">
        <v>15161</v>
      </c>
      <c r="I548" t="s">
        <v>3182</v>
      </c>
    </row>
    <row r="549" spans="1:9" x14ac:dyDescent="0.25">
      <c r="A549" t="s">
        <v>3179</v>
      </c>
      <c r="B549" t="s">
        <v>3714</v>
      </c>
      <c r="C549" t="s">
        <v>3183</v>
      </c>
      <c r="D549">
        <v>34.971074899999998</v>
      </c>
      <c r="E549" t="s">
        <v>3180</v>
      </c>
      <c r="F549">
        <v>109.44806149999999</v>
      </c>
      <c r="G549" t="s">
        <v>3181</v>
      </c>
      <c r="H549">
        <v>24579</v>
      </c>
      <c r="I549" t="s">
        <v>3182</v>
      </c>
    </row>
    <row r="550" spans="1:9" x14ac:dyDescent="0.25">
      <c r="A550" t="s">
        <v>3179</v>
      </c>
      <c r="B550" t="s">
        <v>3792</v>
      </c>
      <c r="C550" t="s">
        <v>3183</v>
      </c>
      <c r="D550">
        <v>34.604374669999999</v>
      </c>
      <c r="E550" t="s">
        <v>3180</v>
      </c>
      <c r="F550">
        <v>109.0966305</v>
      </c>
      <c r="G550" t="s">
        <v>3181</v>
      </c>
      <c r="H550">
        <v>43086</v>
      </c>
      <c r="I550" t="s">
        <v>3182</v>
      </c>
    </row>
    <row r="551" spans="1:9" x14ac:dyDescent="0.25">
      <c r="A551" t="s">
        <v>3179</v>
      </c>
      <c r="B551" t="s">
        <v>3487</v>
      </c>
      <c r="C551" t="s">
        <v>3183</v>
      </c>
      <c r="D551">
        <v>33.099233179999999</v>
      </c>
      <c r="E551" t="s">
        <v>3180</v>
      </c>
      <c r="F551">
        <v>107.1312724</v>
      </c>
      <c r="G551" t="s">
        <v>3181</v>
      </c>
      <c r="H551">
        <v>46300</v>
      </c>
      <c r="I551" t="s">
        <v>3182</v>
      </c>
    </row>
    <row r="552" spans="1:9" x14ac:dyDescent="0.25">
      <c r="A552" t="s">
        <v>3179</v>
      </c>
      <c r="B552" t="s">
        <v>3369</v>
      </c>
      <c r="C552" t="s">
        <v>3183</v>
      </c>
      <c r="D552">
        <v>34.506613639999998</v>
      </c>
      <c r="E552" t="s">
        <v>3180</v>
      </c>
      <c r="F552">
        <v>107.7252603</v>
      </c>
      <c r="G552" t="s">
        <v>3181</v>
      </c>
      <c r="H552">
        <v>24236</v>
      </c>
      <c r="I552" t="s">
        <v>3182</v>
      </c>
    </row>
    <row r="553" spans="1:9" x14ac:dyDescent="0.25">
      <c r="A553" t="s">
        <v>3179</v>
      </c>
      <c r="B553" t="s">
        <v>3869</v>
      </c>
      <c r="C553" t="s">
        <v>3183</v>
      </c>
      <c r="D553">
        <v>34.152204279999999</v>
      </c>
      <c r="E553" t="s">
        <v>3180</v>
      </c>
      <c r="F553">
        <v>109.436865</v>
      </c>
      <c r="G553" t="s">
        <v>3181</v>
      </c>
      <c r="H553">
        <v>45116</v>
      </c>
      <c r="I553" t="s">
        <v>3182</v>
      </c>
    </row>
    <row r="554" spans="1:9" x14ac:dyDescent="0.25">
      <c r="A554" t="s">
        <v>3179</v>
      </c>
      <c r="B554" t="s">
        <v>3928</v>
      </c>
      <c r="C554" t="s">
        <v>3183</v>
      </c>
      <c r="D554">
        <v>35.995732160000003</v>
      </c>
      <c r="E554" t="s">
        <v>3180</v>
      </c>
      <c r="F554">
        <v>109.58787940000001</v>
      </c>
      <c r="G554" t="s">
        <v>3181</v>
      </c>
      <c r="H554">
        <v>6682</v>
      </c>
      <c r="I554" t="s">
        <v>3182</v>
      </c>
    </row>
    <row r="555" spans="1:9" x14ac:dyDescent="0.25">
      <c r="A555" t="s">
        <v>3179</v>
      </c>
      <c r="B555" t="s">
        <v>3246</v>
      </c>
      <c r="C555" t="s">
        <v>3183</v>
      </c>
      <c r="D555">
        <v>32.842852090000001</v>
      </c>
      <c r="E555" t="s">
        <v>3180</v>
      </c>
      <c r="F555">
        <v>108.6445542</v>
      </c>
      <c r="G555" t="s">
        <v>3181</v>
      </c>
      <c r="H555">
        <v>18898</v>
      </c>
      <c r="I555" t="s">
        <v>3182</v>
      </c>
    </row>
    <row r="556" spans="1:9" x14ac:dyDescent="0.25">
      <c r="A556" t="s">
        <v>3179</v>
      </c>
      <c r="B556" t="s">
        <v>3372</v>
      </c>
      <c r="C556" t="s">
        <v>3183</v>
      </c>
      <c r="D556">
        <v>34.192107020000002</v>
      </c>
      <c r="E556" t="s">
        <v>3180</v>
      </c>
      <c r="F556">
        <v>107.69917959999999</v>
      </c>
      <c r="G556" t="s">
        <v>3181</v>
      </c>
      <c r="H556">
        <v>29683</v>
      </c>
      <c r="I556" t="s">
        <v>3182</v>
      </c>
    </row>
    <row r="557" spans="1:9" x14ac:dyDescent="0.25">
      <c r="A557" t="s">
        <v>3179</v>
      </c>
      <c r="B557" t="s">
        <v>3715</v>
      </c>
      <c r="C557" t="s">
        <v>3183</v>
      </c>
      <c r="D557">
        <v>35.131975930000003</v>
      </c>
      <c r="E557" t="s">
        <v>3180</v>
      </c>
      <c r="F557">
        <v>110.32829719999999</v>
      </c>
      <c r="G557" t="s">
        <v>3181</v>
      </c>
      <c r="H557">
        <v>8593</v>
      </c>
      <c r="I557" t="s">
        <v>3182</v>
      </c>
    </row>
    <row r="558" spans="1:9" x14ac:dyDescent="0.25">
      <c r="A558" t="s">
        <v>3179</v>
      </c>
      <c r="B558" t="s">
        <v>3793</v>
      </c>
      <c r="C558" t="s">
        <v>3183</v>
      </c>
      <c r="D558">
        <v>34.510839930000003</v>
      </c>
      <c r="E558" t="s">
        <v>3180</v>
      </c>
      <c r="F558">
        <v>108.6510677</v>
      </c>
      <c r="G558" t="s">
        <v>3181</v>
      </c>
      <c r="H558">
        <v>30862</v>
      </c>
      <c r="I558" t="s">
        <v>3182</v>
      </c>
    </row>
    <row r="559" spans="1:9" x14ac:dyDescent="0.25">
      <c r="A559" t="s">
        <v>3179</v>
      </c>
      <c r="B559" t="s">
        <v>3716</v>
      </c>
      <c r="C559" t="s">
        <v>3183</v>
      </c>
      <c r="D559">
        <v>34.737648399999998</v>
      </c>
      <c r="E559" t="s">
        <v>3180</v>
      </c>
      <c r="F559">
        <v>109.82386169999999</v>
      </c>
      <c r="G559" t="s">
        <v>3181</v>
      </c>
      <c r="H559">
        <v>56431</v>
      </c>
      <c r="I559" t="s">
        <v>3182</v>
      </c>
    </row>
    <row r="560" spans="1:9" x14ac:dyDescent="0.25">
      <c r="A560" t="s">
        <v>3179</v>
      </c>
      <c r="B560" t="s">
        <v>3370</v>
      </c>
      <c r="C560" t="s">
        <v>3183</v>
      </c>
      <c r="D560">
        <v>34.397714069999999</v>
      </c>
      <c r="E560" t="s">
        <v>3180</v>
      </c>
      <c r="F560">
        <v>107.28513839999999</v>
      </c>
      <c r="G560" t="s">
        <v>3181</v>
      </c>
      <c r="H560">
        <v>45793</v>
      </c>
      <c r="I560" t="s">
        <v>3182</v>
      </c>
    </row>
    <row r="561" spans="1:9" x14ac:dyDescent="0.25">
      <c r="A561" t="s">
        <v>3179</v>
      </c>
      <c r="B561" t="s">
        <v>3929</v>
      </c>
      <c r="C561" t="s">
        <v>3183</v>
      </c>
      <c r="D561">
        <v>36.690267499999997</v>
      </c>
      <c r="E561" t="s">
        <v>3180</v>
      </c>
      <c r="F561">
        <v>110.3539924</v>
      </c>
      <c r="G561" t="s">
        <v>3181</v>
      </c>
      <c r="H561">
        <v>3388</v>
      </c>
      <c r="I561" t="s">
        <v>3182</v>
      </c>
    </row>
    <row r="562" spans="1:9" x14ac:dyDescent="0.25">
      <c r="A562" t="s">
        <v>3179</v>
      </c>
      <c r="B562" t="s">
        <v>3870</v>
      </c>
      <c r="C562" t="s">
        <v>3183</v>
      </c>
      <c r="D562">
        <v>34.117998550000003</v>
      </c>
      <c r="E562" t="s">
        <v>3180</v>
      </c>
      <c r="F562">
        <v>109.22225829999999</v>
      </c>
      <c r="G562" t="s">
        <v>3181</v>
      </c>
      <c r="H562">
        <v>26579</v>
      </c>
      <c r="I562" t="s">
        <v>3182</v>
      </c>
    </row>
    <row r="563" spans="1:9" x14ac:dyDescent="0.25">
      <c r="A563" t="s">
        <v>3179</v>
      </c>
      <c r="B563" t="s">
        <v>3371</v>
      </c>
      <c r="C563" t="s">
        <v>3183</v>
      </c>
      <c r="D563">
        <v>34.4851338</v>
      </c>
      <c r="E563" t="s">
        <v>3180</v>
      </c>
      <c r="F563">
        <v>107.1384834</v>
      </c>
      <c r="G563" t="s">
        <v>3181</v>
      </c>
      <c r="H563">
        <v>25763</v>
      </c>
      <c r="I563" t="s">
        <v>3182</v>
      </c>
    </row>
    <row r="564" spans="1:9" x14ac:dyDescent="0.25">
      <c r="A564" t="s">
        <v>3179</v>
      </c>
      <c r="B564" t="s">
        <v>3794</v>
      </c>
      <c r="C564" t="s">
        <v>3183</v>
      </c>
      <c r="D564">
        <v>34.583202909999997</v>
      </c>
      <c r="E564" t="s">
        <v>3180</v>
      </c>
      <c r="F564">
        <v>108.7162873</v>
      </c>
      <c r="G564" t="s">
        <v>3181</v>
      </c>
      <c r="H564">
        <v>28920</v>
      </c>
      <c r="I564" t="s">
        <v>3182</v>
      </c>
    </row>
    <row r="565" spans="1:9" x14ac:dyDescent="0.25">
      <c r="A565" t="s">
        <v>3179</v>
      </c>
      <c r="B565" t="s">
        <v>3717</v>
      </c>
      <c r="C565" t="s">
        <v>3183</v>
      </c>
      <c r="D565">
        <v>35.009651679999997</v>
      </c>
      <c r="E565" t="s">
        <v>3180</v>
      </c>
      <c r="F565">
        <v>109.4794256</v>
      </c>
      <c r="G565" t="s">
        <v>3181</v>
      </c>
      <c r="H565">
        <v>39550</v>
      </c>
      <c r="I565" t="s">
        <v>3182</v>
      </c>
    </row>
    <row r="566" spans="1:9" x14ac:dyDescent="0.25">
      <c r="A566" t="s">
        <v>3179</v>
      </c>
      <c r="B566" t="s">
        <v>3718</v>
      </c>
      <c r="C566" t="s">
        <v>3183</v>
      </c>
      <c r="D566">
        <v>34.303301480000002</v>
      </c>
      <c r="E566" t="s">
        <v>3180</v>
      </c>
      <c r="F566">
        <v>109.6013265</v>
      </c>
      <c r="G566" t="s">
        <v>3181</v>
      </c>
      <c r="H566">
        <v>21267</v>
      </c>
      <c r="I566" t="s">
        <v>3182</v>
      </c>
    </row>
    <row r="567" spans="1:9" x14ac:dyDescent="0.25">
      <c r="A567" t="s">
        <v>3179</v>
      </c>
      <c r="B567" t="s">
        <v>3719</v>
      </c>
      <c r="C567" t="s">
        <v>3183</v>
      </c>
      <c r="D567">
        <v>34.827364760000002</v>
      </c>
      <c r="E567" t="s">
        <v>3180</v>
      </c>
      <c r="F567">
        <v>109.1130246</v>
      </c>
      <c r="G567" t="s">
        <v>3181</v>
      </c>
      <c r="H567">
        <v>32194</v>
      </c>
      <c r="I567" t="s">
        <v>3182</v>
      </c>
    </row>
    <row r="568" spans="1:9" x14ac:dyDescent="0.25">
      <c r="A568" t="s">
        <v>3179</v>
      </c>
      <c r="B568" t="s">
        <v>3720</v>
      </c>
      <c r="C568" t="s">
        <v>3183</v>
      </c>
      <c r="D568">
        <v>34.604906800000002</v>
      </c>
      <c r="E568" t="s">
        <v>3180</v>
      </c>
      <c r="F568">
        <v>110.2638025</v>
      </c>
      <c r="G568" t="s">
        <v>3181</v>
      </c>
      <c r="H568">
        <v>17866</v>
      </c>
      <c r="I568" t="s">
        <v>3182</v>
      </c>
    </row>
    <row r="569" spans="1:9" x14ac:dyDescent="0.25">
      <c r="A569" t="s">
        <v>3179</v>
      </c>
      <c r="B569" t="s">
        <v>5704</v>
      </c>
      <c r="C569" t="s">
        <v>3183</v>
      </c>
      <c r="D569">
        <v>34.428479350000003</v>
      </c>
      <c r="E569" t="s">
        <v>3180</v>
      </c>
      <c r="F569">
        <v>107.836572</v>
      </c>
      <c r="G569" t="s">
        <v>3181</v>
      </c>
      <c r="H569">
        <v>26637</v>
      </c>
      <c r="I569" t="s">
        <v>3182</v>
      </c>
    </row>
    <row r="570" spans="1:9" x14ac:dyDescent="0.25">
      <c r="A570" t="s">
        <v>3179</v>
      </c>
      <c r="B570" t="s">
        <v>5705</v>
      </c>
      <c r="C570" t="s">
        <v>3183</v>
      </c>
      <c r="D570">
        <v>34.201797409999998</v>
      </c>
      <c r="E570" t="s">
        <v>3180</v>
      </c>
      <c r="F570">
        <v>108.05059660000001</v>
      </c>
      <c r="G570" t="s">
        <v>3181</v>
      </c>
      <c r="H570">
        <v>21204</v>
      </c>
      <c r="I570" t="s">
        <v>3182</v>
      </c>
    </row>
    <row r="571" spans="1:9" x14ac:dyDescent="0.25">
      <c r="A571" t="s">
        <v>3179</v>
      </c>
      <c r="B571" t="s">
        <v>3930</v>
      </c>
      <c r="C571" t="s">
        <v>3183</v>
      </c>
      <c r="D571">
        <v>36.78573686</v>
      </c>
      <c r="E571" t="s">
        <v>3180</v>
      </c>
      <c r="F571">
        <v>109.63973420000001</v>
      </c>
      <c r="G571" t="s">
        <v>3181</v>
      </c>
      <c r="H571">
        <v>18016</v>
      </c>
      <c r="I571" t="s">
        <v>3182</v>
      </c>
    </row>
    <row r="572" spans="1:9" x14ac:dyDescent="0.25">
      <c r="A572" t="s">
        <v>3179</v>
      </c>
      <c r="B572" t="s">
        <v>3488</v>
      </c>
      <c r="C572" t="s">
        <v>3183</v>
      </c>
      <c r="D572">
        <v>32.855162610000001</v>
      </c>
      <c r="E572" t="s">
        <v>3180</v>
      </c>
      <c r="F572">
        <v>105.5998579</v>
      </c>
      <c r="G572" t="s">
        <v>3181</v>
      </c>
      <c r="H572">
        <v>6648</v>
      </c>
      <c r="I572" t="s">
        <v>3182</v>
      </c>
    </row>
    <row r="573" spans="1:9" x14ac:dyDescent="0.25">
      <c r="A573" t="s">
        <v>3179</v>
      </c>
      <c r="B573" t="s">
        <v>3489</v>
      </c>
      <c r="C573" t="s">
        <v>3183</v>
      </c>
      <c r="D573">
        <v>33.343476600000002</v>
      </c>
      <c r="E573" t="s">
        <v>3180</v>
      </c>
      <c r="F573">
        <v>106.9231959</v>
      </c>
      <c r="G573" t="s">
        <v>3181</v>
      </c>
      <c r="H573">
        <v>1947</v>
      </c>
      <c r="I573" t="s">
        <v>3182</v>
      </c>
    </row>
    <row r="574" spans="1:9" x14ac:dyDescent="0.25">
      <c r="A574" t="s">
        <v>3179</v>
      </c>
      <c r="B574" t="s">
        <v>3590</v>
      </c>
      <c r="C574" t="s">
        <v>3183</v>
      </c>
      <c r="D574">
        <v>33.405249259999998</v>
      </c>
      <c r="E574" t="s">
        <v>3180</v>
      </c>
      <c r="F574">
        <v>110.92256020000001</v>
      </c>
      <c r="G574" t="s">
        <v>3181</v>
      </c>
      <c r="H574">
        <v>10153</v>
      </c>
      <c r="I574" t="s">
        <v>3182</v>
      </c>
    </row>
    <row r="575" spans="1:9" x14ac:dyDescent="0.25">
      <c r="A575" t="s">
        <v>3179</v>
      </c>
      <c r="B575" t="s">
        <v>3490</v>
      </c>
      <c r="C575" t="s">
        <v>3183</v>
      </c>
      <c r="D575">
        <v>32.920556730000001</v>
      </c>
      <c r="E575" t="s">
        <v>3180</v>
      </c>
      <c r="F575">
        <v>106.9165745</v>
      </c>
      <c r="G575" t="s">
        <v>3181</v>
      </c>
      <c r="H575">
        <v>23386</v>
      </c>
      <c r="I575" t="s">
        <v>3182</v>
      </c>
    </row>
    <row r="576" spans="1:9" x14ac:dyDescent="0.25">
      <c r="A576" t="s">
        <v>3179</v>
      </c>
      <c r="B576" t="s">
        <v>5706</v>
      </c>
      <c r="C576" t="s">
        <v>3183</v>
      </c>
      <c r="D576">
        <v>32.685215450000001</v>
      </c>
      <c r="E576" t="s">
        <v>3180</v>
      </c>
      <c r="F576">
        <v>107.75238950000001</v>
      </c>
      <c r="G576" t="s">
        <v>3181</v>
      </c>
      <c r="H576">
        <v>7183</v>
      </c>
      <c r="I576" t="s">
        <v>3182</v>
      </c>
    </row>
    <row r="577" spans="1:9" x14ac:dyDescent="0.25">
      <c r="A577" t="s">
        <v>3179</v>
      </c>
      <c r="B577" t="s">
        <v>5707</v>
      </c>
      <c r="C577" t="s">
        <v>3183</v>
      </c>
      <c r="D577">
        <v>39.209523220000001</v>
      </c>
      <c r="E577" t="s">
        <v>3180</v>
      </c>
      <c r="F577">
        <v>111.05624</v>
      </c>
      <c r="G577" t="s">
        <v>3181</v>
      </c>
      <c r="H577">
        <v>5279</v>
      </c>
      <c r="I577" t="s">
        <v>3182</v>
      </c>
    </row>
    <row r="578" spans="1:9" x14ac:dyDescent="0.25">
      <c r="A578" t="s">
        <v>3179</v>
      </c>
      <c r="B578" t="s">
        <v>3591</v>
      </c>
      <c r="C578" t="s">
        <v>3183</v>
      </c>
      <c r="D578">
        <v>33.243793959999998</v>
      </c>
      <c r="E578" t="s">
        <v>3180</v>
      </c>
      <c r="F578">
        <v>109.1552686</v>
      </c>
      <c r="G578" t="s">
        <v>3181</v>
      </c>
      <c r="H578">
        <v>16548</v>
      </c>
      <c r="I578" t="s">
        <v>3182</v>
      </c>
    </row>
    <row r="579" spans="1:9" x14ac:dyDescent="0.25">
      <c r="A579" t="s">
        <v>3179</v>
      </c>
      <c r="B579" t="s">
        <v>4046</v>
      </c>
      <c r="C579" t="s">
        <v>3183</v>
      </c>
      <c r="D579">
        <v>37.406104669999998</v>
      </c>
      <c r="E579" t="s">
        <v>3180</v>
      </c>
      <c r="F579">
        <v>109.20252410000001</v>
      </c>
      <c r="G579" t="s">
        <v>3181</v>
      </c>
      <c r="H579">
        <v>8181</v>
      </c>
      <c r="I579" t="s">
        <v>3182</v>
      </c>
    </row>
    <row r="580" spans="1:9" x14ac:dyDescent="0.25">
      <c r="A580" t="s">
        <v>3179</v>
      </c>
      <c r="B580" t="s">
        <v>3592</v>
      </c>
      <c r="C580" t="s">
        <v>3183</v>
      </c>
      <c r="D580">
        <v>33.651382150000003</v>
      </c>
      <c r="E580" t="s">
        <v>3180</v>
      </c>
      <c r="F580">
        <v>110.741328</v>
      </c>
      <c r="G580" t="s">
        <v>3181</v>
      </c>
      <c r="H580">
        <v>11657</v>
      </c>
      <c r="I580" t="s">
        <v>3182</v>
      </c>
    </row>
    <row r="581" spans="1:9" x14ac:dyDescent="0.25">
      <c r="A581" t="s">
        <v>3179</v>
      </c>
      <c r="B581" t="s">
        <v>3795</v>
      </c>
      <c r="C581" t="s">
        <v>3183</v>
      </c>
      <c r="D581">
        <v>35.095027199999997</v>
      </c>
      <c r="E581" t="s">
        <v>3180</v>
      </c>
      <c r="F581">
        <v>108.50298890000001</v>
      </c>
      <c r="G581" t="s">
        <v>3181</v>
      </c>
      <c r="H581">
        <v>10087</v>
      </c>
      <c r="I581" t="s">
        <v>3182</v>
      </c>
    </row>
    <row r="582" spans="1:9" x14ac:dyDescent="0.25">
      <c r="A582" t="s">
        <v>3179</v>
      </c>
      <c r="B582" t="s">
        <v>4047</v>
      </c>
      <c r="C582" t="s">
        <v>3183</v>
      </c>
      <c r="D582">
        <v>38.289281870000003</v>
      </c>
      <c r="E582" t="s">
        <v>3180</v>
      </c>
      <c r="F582">
        <v>109.9345486</v>
      </c>
      <c r="G582" t="s">
        <v>3181</v>
      </c>
      <c r="H582">
        <v>15428</v>
      </c>
      <c r="I582" t="s">
        <v>3182</v>
      </c>
    </row>
    <row r="583" spans="1:9" x14ac:dyDescent="0.25">
      <c r="A583" t="s">
        <v>3179</v>
      </c>
      <c r="B583" t="s">
        <v>4048</v>
      </c>
      <c r="C583" t="s">
        <v>3183</v>
      </c>
      <c r="D583">
        <v>38.258774729999999</v>
      </c>
      <c r="E583" t="s">
        <v>3180</v>
      </c>
      <c r="F583">
        <v>109.5547541</v>
      </c>
      <c r="G583" t="s">
        <v>3181</v>
      </c>
      <c r="H583">
        <v>16724</v>
      </c>
      <c r="I583" t="s">
        <v>3182</v>
      </c>
    </row>
    <row r="584" spans="1:9" x14ac:dyDescent="0.25">
      <c r="A584" t="s">
        <v>3179</v>
      </c>
      <c r="B584" t="s">
        <v>3646</v>
      </c>
      <c r="C584" t="s">
        <v>3183</v>
      </c>
      <c r="D584">
        <v>35.312023959999998</v>
      </c>
      <c r="E584" t="s">
        <v>3180</v>
      </c>
      <c r="F584">
        <v>109.22663009999999</v>
      </c>
      <c r="G584" t="s">
        <v>3181</v>
      </c>
      <c r="H584">
        <v>7596</v>
      </c>
      <c r="I584" t="s">
        <v>3182</v>
      </c>
    </row>
    <row r="585" spans="1:9" x14ac:dyDescent="0.25">
      <c r="A585" t="s">
        <v>3179</v>
      </c>
      <c r="B585" t="s">
        <v>3491</v>
      </c>
      <c r="C585" t="s">
        <v>3183</v>
      </c>
      <c r="D585">
        <v>32.943472509999999</v>
      </c>
      <c r="E585" t="s">
        <v>3180</v>
      </c>
      <c r="F585">
        <v>106.5706799</v>
      </c>
      <c r="G585" t="s">
        <v>3181</v>
      </c>
      <c r="H585">
        <v>4913</v>
      </c>
      <c r="I585" t="s">
        <v>3182</v>
      </c>
    </row>
    <row r="586" spans="1:9" x14ac:dyDescent="0.25">
      <c r="A586" t="s">
        <v>3179</v>
      </c>
      <c r="B586" t="s">
        <v>3931</v>
      </c>
      <c r="C586" t="s">
        <v>3183</v>
      </c>
      <c r="D586">
        <v>36.057191359999997</v>
      </c>
      <c r="E586" t="s">
        <v>3180</v>
      </c>
      <c r="F586">
        <v>110.3142319</v>
      </c>
      <c r="G586" t="s">
        <v>3181</v>
      </c>
      <c r="H586">
        <v>16233</v>
      </c>
      <c r="I586" t="s">
        <v>3182</v>
      </c>
    </row>
    <row r="587" spans="1:9" x14ac:dyDescent="0.25">
      <c r="A587" t="s">
        <v>3179</v>
      </c>
      <c r="B587" t="s">
        <v>3796</v>
      </c>
      <c r="C587" t="s">
        <v>3183</v>
      </c>
      <c r="D587">
        <v>35.228577469999998</v>
      </c>
      <c r="E587" t="s">
        <v>3180</v>
      </c>
      <c r="F587">
        <v>108.27906710000001</v>
      </c>
      <c r="G587" t="s">
        <v>3181</v>
      </c>
      <c r="H587">
        <v>22495</v>
      </c>
      <c r="I587" t="s">
        <v>3182</v>
      </c>
    </row>
    <row r="588" spans="1:9" x14ac:dyDescent="0.25">
      <c r="A588" t="s">
        <v>3179</v>
      </c>
      <c r="B588" t="s">
        <v>3797</v>
      </c>
      <c r="C588" t="s">
        <v>3183</v>
      </c>
      <c r="D588">
        <v>34.625256530000001</v>
      </c>
      <c r="E588" t="s">
        <v>3180</v>
      </c>
      <c r="F588">
        <v>108.9944892</v>
      </c>
      <c r="G588" t="s">
        <v>3181</v>
      </c>
      <c r="H588">
        <v>30928</v>
      </c>
      <c r="I588" t="s">
        <v>3182</v>
      </c>
    </row>
    <row r="589" spans="1:9" x14ac:dyDescent="0.25">
      <c r="A589" t="s">
        <v>3179</v>
      </c>
      <c r="B589" t="s">
        <v>3798</v>
      </c>
      <c r="C589" t="s">
        <v>3183</v>
      </c>
      <c r="D589">
        <v>34.869976170000001</v>
      </c>
      <c r="E589" t="s">
        <v>3180</v>
      </c>
      <c r="F589">
        <v>108.17627160000001</v>
      </c>
      <c r="G589" t="s">
        <v>3181</v>
      </c>
      <c r="H589">
        <v>13971</v>
      </c>
      <c r="I589" t="s">
        <v>3182</v>
      </c>
    </row>
    <row r="590" spans="1:9" x14ac:dyDescent="0.25">
      <c r="A590" t="s">
        <v>3179</v>
      </c>
      <c r="B590" t="s">
        <v>3247</v>
      </c>
      <c r="C590" t="s">
        <v>3183</v>
      </c>
      <c r="D590">
        <v>33.195221119999999</v>
      </c>
      <c r="E590" t="s">
        <v>3180</v>
      </c>
      <c r="F590">
        <v>108.1680345</v>
      </c>
      <c r="G590" t="s">
        <v>3181</v>
      </c>
      <c r="H590">
        <v>10586</v>
      </c>
      <c r="I590" t="s">
        <v>3182</v>
      </c>
    </row>
    <row r="591" spans="1:9" x14ac:dyDescent="0.25">
      <c r="A591" t="s">
        <v>3179</v>
      </c>
      <c r="B591" t="s">
        <v>3492</v>
      </c>
      <c r="C591" t="s">
        <v>3183</v>
      </c>
      <c r="D591">
        <v>32.316275869999998</v>
      </c>
      <c r="E591" t="s">
        <v>3180</v>
      </c>
      <c r="F591">
        <v>107.8181601</v>
      </c>
      <c r="G591" t="s">
        <v>3181</v>
      </c>
      <c r="H591">
        <v>5898</v>
      </c>
      <c r="I591" t="s">
        <v>3182</v>
      </c>
    </row>
    <row r="592" spans="1:9" x14ac:dyDescent="0.25">
      <c r="A592" t="s">
        <v>3179</v>
      </c>
      <c r="B592" t="s">
        <v>3248</v>
      </c>
      <c r="C592" t="s">
        <v>3183</v>
      </c>
      <c r="D592">
        <v>33.158041420000004</v>
      </c>
      <c r="E592" t="s">
        <v>3180</v>
      </c>
      <c r="F592">
        <v>109.04593319999999</v>
      </c>
      <c r="G592" t="s">
        <v>3181</v>
      </c>
      <c r="H592">
        <v>6486</v>
      </c>
      <c r="I592" t="s">
        <v>3182</v>
      </c>
    </row>
    <row r="593" spans="1:9" x14ac:dyDescent="0.25">
      <c r="A593" t="s">
        <v>3179</v>
      </c>
      <c r="B593" t="s">
        <v>3799</v>
      </c>
      <c r="C593" t="s">
        <v>3183</v>
      </c>
      <c r="D593">
        <v>34.257240359999997</v>
      </c>
      <c r="E593" t="s">
        <v>3180</v>
      </c>
      <c r="F593">
        <v>108.0158462</v>
      </c>
      <c r="G593" t="s">
        <v>3181</v>
      </c>
      <c r="H593">
        <v>31261</v>
      </c>
      <c r="I593" t="s">
        <v>3182</v>
      </c>
    </row>
    <row r="594" spans="1:9" x14ac:dyDescent="0.25">
      <c r="A594" t="s">
        <v>3179</v>
      </c>
      <c r="B594" t="s">
        <v>3800</v>
      </c>
      <c r="C594" t="s">
        <v>3183</v>
      </c>
      <c r="D594">
        <v>34.866112729999998</v>
      </c>
      <c r="E594" t="s">
        <v>3180</v>
      </c>
      <c r="F594">
        <v>108.5257589</v>
      </c>
      <c r="G594" t="s">
        <v>3181</v>
      </c>
      <c r="H594">
        <v>25828</v>
      </c>
      <c r="I594" t="s">
        <v>3182</v>
      </c>
    </row>
    <row r="595" spans="1:9" x14ac:dyDescent="0.25">
      <c r="A595" t="s">
        <v>3179</v>
      </c>
      <c r="B595" t="s">
        <v>3932</v>
      </c>
      <c r="C595" t="s">
        <v>3183</v>
      </c>
      <c r="D595">
        <v>35.620406959999997</v>
      </c>
      <c r="E595" t="s">
        <v>3180</v>
      </c>
      <c r="F595">
        <v>109.7358926</v>
      </c>
      <c r="G595" t="s">
        <v>3181</v>
      </c>
      <c r="H595">
        <v>7795</v>
      </c>
      <c r="I595" t="s">
        <v>3182</v>
      </c>
    </row>
    <row r="596" spans="1:9" x14ac:dyDescent="0.25">
      <c r="A596" t="s">
        <v>3179</v>
      </c>
      <c r="B596" t="s">
        <v>3593</v>
      </c>
      <c r="C596" t="s">
        <v>3183</v>
      </c>
      <c r="D596">
        <v>33.965589889999997</v>
      </c>
      <c r="E596" t="s">
        <v>3180</v>
      </c>
      <c r="F596">
        <v>109.6771421</v>
      </c>
      <c r="G596" t="s">
        <v>3181</v>
      </c>
      <c r="H596">
        <v>11410</v>
      </c>
      <c r="I596" t="s">
        <v>3182</v>
      </c>
    </row>
    <row r="597" spans="1:9" x14ac:dyDescent="0.25">
      <c r="A597" t="s">
        <v>3179</v>
      </c>
      <c r="B597" t="s">
        <v>4049</v>
      </c>
      <c r="C597" t="s">
        <v>3183</v>
      </c>
      <c r="D597">
        <v>37.711633859999999</v>
      </c>
      <c r="E597" t="s">
        <v>3180</v>
      </c>
      <c r="F597">
        <v>109.9182397</v>
      </c>
      <c r="G597" t="s">
        <v>3181</v>
      </c>
      <c r="H597">
        <v>9165</v>
      </c>
      <c r="I597" t="s">
        <v>3182</v>
      </c>
    </row>
    <row r="598" spans="1:9" x14ac:dyDescent="0.25">
      <c r="A598" t="s">
        <v>3179</v>
      </c>
      <c r="B598" t="s">
        <v>4050</v>
      </c>
      <c r="C598" t="s">
        <v>3183</v>
      </c>
      <c r="D598">
        <v>39.170532860000002</v>
      </c>
      <c r="E598" t="s">
        <v>3180</v>
      </c>
      <c r="F598">
        <v>110.7057782</v>
      </c>
      <c r="G598" t="s">
        <v>3181</v>
      </c>
      <c r="H598">
        <v>12137</v>
      </c>
      <c r="I598" t="s">
        <v>3182</v>
      </c>
    </row>
    <row r="599" spans="1:9" x14ac:dyDescent="0.25">
      <c r="A599" t="s">
        <v>3179</v>
      </c>
      <c r="B599" t="s">
        <v>3801</v>
      </c>
      <c r="C599" t="s">
        <v>3183</v>
      </c>
      <c r="D599">
        <v>34.238309940000001</v>
      </c>
      <c r="E599" t="s">
        <v>3180</v>
      </c>
      <c r="F599">
        <v>108.32907729999999</v>
      </c>
      <c r="G599" t="s">
        <v>3181</v>
      </c>
      <c r="H599">
        <v>26083</v>
      </c>
      <c r="I599" t="s">
        <v>3182</v>
      </c>
    </row>
    <row r="600" spans="1:9" x14ac:dyDescent="0.25">
      <c r="A600" t="s">
        <v>3179</v>
      </c>
      <c r="B600" t="s">
        <v>3721</v>
      </c>
      <c r="C600" t="s">
        <v>3183</v>
      </c>
      <c r="D600">
        <v>35.768361929999998</v>
      </c>
      <c r="E600" t="s">
        <v>3180</v>
      </c>
      <c r="F600">
        <v>110.5009989</v>
      </c>
      <c r="G600" t="s">
        <v>3181</v>
      </c>
      <c r="H600">
        <v>32677</v>
      </c>
      <c r="I600" t="s">
        <v>3182</v>
      </c>
    </row>
    <row r="601" spans="1:9" x14ac:dyDescent="0.25">
      <c r="A601" t="s">
        <v>3179</v>
      </c>
      <c r="B601" t="s">
        <v>3871</v>
      </c>
      <c r="C601" t="s">
        <v>3183</v>
      </c>
      <c r="D601">
        <v>34.240432050000003</v>
      </c>
      <c r="E601" t="s">
        <v>3180</v>
      </c>
      <c r="F601">
        <v>109.4123019</v>
      </c>
      <c r="G601" t="s">
        <v>3181</v>
      </c>
      <c r="H601">
        <v>29111</v>
      </c>
      <c r="I601" t="s">
        <v>3182</v>
      </c>
    </row>
    <row r="602" spans="1:9" x14ac:dyDescent="0.25">
      <c r="A602" t="s">
        <v>3179</v>
      </c>
      <c r="B602" t="s">
        <v>3493</v>
      </c>
      <c r="C602" t="s">
        <v>3183</v>
      </c>
      <c r="D602">
        <v>33.251952660000001</v>
      </c>
      <c r="E602" t="s">
        <v>3180</v>
      </c>
      <c r="F602">
        <v>107.9605275</v>
      </c>
      <c r="G602" t="s">
        <v>3181</v>
      </c>
      <c r="H602">
        <v>7713</v>
      </c>
      <c r="I602" t="s">
        <v>3182</v>
      </c>
    </row>
    <row r="603" spans="1:9" x14ac:dyDescent="0.25">
      <c r="A603" t="s">
        <v>3179</v>
      </c>
      <c r="B603" t="s">
        <v>3494</v>
      </c>
      <c r="C603" t="s">
        <v>3183</v>
      </c>
      <c r="D603">
        <v>33.046222849999999</v>
      </c>
      <c r="E603" t="s">
        <v>3180</v>
      </c>
      <c r="F603">
        <v>107.6427824</v>
      </c>
      <c r="G603" t="s">
        <v>3181</v>
      </c>
      <c r="H603">
        <v>9605</v>
      </c>
      <c r="I603" t="s">
        <v>3182</v>
      </c>
    </row>
    <row r="604" spans="1:9" x14ac:dyDescent="0.25">
      <c r="A604" t="s">
        <v>3179</v>
      </c>
      <c r="B604" t="s">
        <v>3495</v>
      </c>
      <c r="C604" t="s">
        <v>3183</v>
      </c>
      <c r="D604">
        <v>33.10003107</v>
      </c>
      <c r="E604" t="s">
        <v>3180</v>
      </c>
      <c r="F604">
        <v>107.3638188</v>
      </c>
      <c r="G604" t="s">
        <v>3181</v>
      </c>
      <c r="H604">
        <v>17142</v>
      </c>
      <c r="I604" t="s">
        <v>3182</v>
      </c>
    </row>
    <row r="605" spans="1:9" x14ac:dyDescent="0.25">
      <c r="A605" t="s">
        <v>3179</v>
      </c>
      <c r="B605" t="s">
        <v>3872</v>
      </c>
      <c r="C605" t="s">
        <v>3183</v>
      </c>
      <c r="D605">
        <v>34.189084299999998</v>
      </c>
      <c r="E605" t="s">
        <v>3180</v>
      </c>
      <c r="F605">
        <v>109.3444853</v>
      </c>
      <c r="G605" t="s">
        <v>3181</v>
      </c>
      <c r="H605">
        <v>43364</v>
      </c>
      <c r="I605" t="s">
        <v>3182</v>
      </c>
    </row>
    <row r="606" spans="1:9" x14ac:dyDescent="0.25">
      <c r="A606" t="s">
        <v>3179</v>
      </c>
      <c r="B606" t="s">
        <v>3802</v>
      </c>
      <c r="C606" t="s">
        <v>3183</v>
      </c>
      <c r="D606">
        <v>34.571184129999999</v>
      </c>
      <c r="E606" t="s">
        <v>3180</v>
      </c>
      <c r="F606">
        <v>108.8839251</v>
      </c>
      <c r="G606" t="s">
        <v>3181</v>
      </c>
      <c r="H606">
        <v>39000</v>
      </c>
      <c r="I606" t="s">
        <v>3182</v>
      </c>
    </row>
    <row r="607" spans="1:9" x14ac:dyDescent="0.25">
      <c r="A607" t="s">
        <v>3179</v>
      </c>
      <c r="B607" t="s">
        <v>3249</v>
      </c>
      <c r="C607" t="s">
        <v>3183</v>
      </c>
      <c r="D607">
        <v>32.441504999999999</v>
      </c>
      <c r="E607" t="s">
        <v>3180</v>
      </c>
      <c r="F607">
        <v>109.0578336</v>
      </c>
      <c r="G607" t="s">
        <v>3181</v>
      </c>
      <c r="H607">
        <v>11318</v>
      </c>
      <c r="I607" t="s">
        <v>3182</v>
      </c>
    </row>
    <row r="608" spans="1:9" x14ac:dyDescent="0.25">
      <c r="A608" t="s">
        <v>3179</v>
      </c>
      <c r="B608" t="s">
        <v>3594</v>
      </c>
      <c r="C608" t="s">
        <v>3183</v>
      </c>
      <c r="D608">
        <v>34.003658459999997</v>
      </c>
      <c r="E608" t="s">
        <v>3180</v>
      </c>
      <c r="F608">
        <v>110.51347560000001</v>
      </c>
      <c r="G608" t="s">
        <v>3181</v>
      </c>
      <c r="H608">
        <v>14027</v>
      </c>
      <c r="I608" t="s">
        <v>3182</v>
      </c>
    </row>
    <row r="609" spans="1:9" x14ac:dyDescent="0.25">
      <c r="A609" t="s">
        <v>3179</v>
      </c>
      <c r="B609" t="s">
        <v>3496</v>
      </c>
      <c r="C609" t="s">
        <v>3183</v>
      </c>
      <c r="D609">
        <v>32.570209570000003</v>
      </c>
      <c r="E609" t="s">
        <v>3180</v>
      </c>
      <c r="F609">
        <v>107.688607</v>
      </c>
      <c r="G609" t="s">
        <v>3181</v>
      </c>
      <c r="H609">
        <v>14256</v>
      </c>
      <c r="I609" t="s">
        <v>3182</v>
      </c>
    </row>
    <row r="610" spans="1:9" x14ac:dyDescent="0.25">
      <c r="A610" t="s">
        <v>3179</v>
      </c>
      <c r="B610" t="s">
        <v>3722</v>
      </c>
      <c r="C610" t="s">
        <v>3183</v>
      </c>
      <c r="D610">
        <v>34.444260749999998</v>
      </c>
      <c r="E610" t="s">
        <v>3180</v>
      </c>
      <c r="F610">
        <v>109.44907980000001</v>
      </c>
      <c r="G610" t="s">
        <v>3181</v>
      </c>
      <c r="H610">
        <v>26809</v>
      </c>
      <c r="I610" t="s">
        <v>3182</v>
      </c>
    </row>
    <row r="611" spans="1:9" x14ac:dyDescent="0.25">
      <c r="A611" t="s">
        <v>3179</v>
      </c>
      <c r="B611" t="s">
        <v>3595</v>
      </c>
      <c r="C611" t="s">
        <v>3183</v>
      </c>
      <c r="D611">
        <v>33.510321419999997</v>
      </c>
      <c r="E611" t="s">
        <v>3180</v>
      </c>
      <c r="F611">
        <v>109.7324742</v>
      </c>
      <c r="G611" t="s">
        <v>3181</v>
      </c>
      <c r="H611">
        <v>22344</v>
      </c>
      <c r="I611" t="s">
        <v>3182</v>
      </c>
    </row>
    <row r="612" spans="1:9" x14ac:dyDescent="0.25">
      <c r="A612" t="s">
        <v>3179</v>
      </c>
      <c r="B612" t="s">
        <v>3498</v>
      </c>
      <c r="C612" t="s">
        <v>3183</v>
      </c>
      <c r="D612">
        <v>32.966298340000002</v>
      </c>
      <c r="E612" t="s">
        <v>3180</v>
      </c>
      <c r="F612">
        <v>107.5456471</v>
      </c>
      <c r="G612" t="s">
        <v>3181</v>
      </c>
      <c r="H612">
        <v>25100</v>
      </c>
      <c r="I612" t="s">
        <v>3182</v>
      </c>
    </row>
    <row r="613" spans="1:9" x14ac:dyDescent="0.25">
      <c r="A613" t="s">
        <v>3179</v>
      </c>
      <c r="B613" t="s">
        <v>3497</v>
      </c>
      <c r="C613" t="s">
        <v>3183</v>
      </c>
      <c r="D613">
        <v>33.136801329999997</v>
      </c>
      <c r="E613" t="s">
        <v>3180</v>
      </c>
      <c r="F613">
        <v>107.259488</v>
      </c>
      <c r="G613" t="s">
        <v>3181</v>
      </c>
      <c r="H613">
        <v>16224</v>
      </c>
      <c r="I613" t="s">
        <v>3182</v>
      </c>
    </row>
    <row r="614" spans="1:9" x14ac:dyDescent="0.25">
      <c r="A614" t="s">
        <v>3179</v>
      </c>
      <c r="B614" t="s">
        <v>3596</v>
      </c>
      <c r="C614" t="s">
        <v>3183</v>
      </c>
      <c r="D614">
        <v>33.833286809999997</v>
      </c>
      <c r="E614" t="s">
        <v>3180</v>
      </c>
      <c r="F614">
        <v>110.0393189</v>
      </c>
      <c r="G614" t="s">
        <v>3181</v>
      </c>
      <c r="H614">
        <v>27381</v>
      </c>
      <c r="I614" t="s">
        <v>3182</v>
      </c>
    </row>
    <row r="615" spans="1:9" x14ac:dyDescent="0.25">
      <c r="A615" t="s">
        <v>3179</v>
      </c>
      <c r="B615" t="s">
        <v>4051</v>
      </c>
      <c r="C615" t="s">
        <v>3183</v>
      </c>
      <c r="D615">
        <v>37.9520749</v>
      </c>
      <c r="E615" t="s">
        <v>3180</v>
      </c>
      <c r="F615">
        <v>110.15734500000001</v>
      </c>
      <c r="G615" t="s">
        <v>3181</v>
      </c>
      <c r="H615">
        <v>7727</v>
      </c>
      <c r="I615" t="s">
        <v>3182</v>
      </c>
    </row>
    <row r="616" spans="1:9" x14ac:dyDescent="0.25">
      <c r="A616" t="s">
        <v>3179</v>
      </c>
      <c r="B616" t="s">
        <v>4052</v>
      </c>
      <c r="C616" t="s">
        <v>3183</v>
      </c>
      <c r="D616">
        <v>38.589081729999997</v>
      </c>
      <c r="E616" t="s">
        <v>3180</v>
      </c>
      <c r="F616">
        <v>110.7413382</v>
      </c>
      <c r="G616" t="s">
        <v>3181</v>
      </c>
      <c r="H616">
        <v>5517</v>
      </c>
      <c r="I616" t="s">
        <v>3182</v>
      </c>
    </row>
    <row r="617" spans="1:9" x14ac:dyDescent="0.25">
      <c r="A617" t="s">
        <v>3179</v>
      </c>
      <c r="B617" t="s">
        <v>3597</v>
      </c>
      <c r="C617" t="s">
        <v>3183</v>
      </c>
      <c r="D617">
        <v>33.747596600000001</v>
      </c>
      <c r="E617" t="s">
        <v>3180</v>
      </c>
      <c r="F617">
        <v>110.2389872</v>
      </c>
      <c r="G617" t="s">
        <v>3181</v>
      </c>
      <c r="H617">
        <v>28728</v>
      </c>
      <c r="I617" t="s">
        <v>3182</v>
      </c>
    </row>
    <row r="618" spans="1:9" x14ac:dyDescent="0.25">
      <c r="A618" t="s">
        <v>3179</v>
      </c>
      <c r="B618" t="s">
        <v>3873</v>
      </c>
      <c r="C618" t="s">
        <v>3183</v>
      </c>
      <c r="D618">
        <v>34.17308878</v>
      </c>
      <c r="E618" t="s">
        <v>3180</v>
      </c>
      <c r="F618">
        <v>108.452697</v>
      </c>
      <c r="G618" t="s">
        <v>3181</v>
      </c>
      <c r="H618">
        <v>46037</v>
      </c>
      <c r="I618" t="s">
        <v>3182</v>
      </c>
    </row>
    <row r="619" spans="1:9" x14ac:dyDescent="0.25">
      <c r="A619" t="s">
        <v>3179</v>
      </c>
      <c r="B619" t="s">
        <v>4053</v>
      </c>
      <c r="C619" t="s">
        <v>3183</v>
      </c>
      <c r="D619">
        <v>37.962442160000002</v>
      </c>
      <c r="E619" t="s">
        <v>3180</v>
      </c>
      <c r="F619">
        <v>110.02377199999999</v>
      </c>
      <c r="G619" t="s">
        <v>3181</v>
      </c>
      <c r="H619">
        <v>11499</v>
      </c>
      <c r="I619" t="s">
        <v>3182</v>
      </c>
    </row>
    <row r="620" spans="1:9" x14ac:dyDescent="0.25">
      <c r="A620" t="s">
        <v>3179</v>
      </c>
      <c r="B620" t="s">
        <v>3499</v>
      </c>
      <c r="C620" t="s">
        <v>3183</v>
      </c>
      <c r="D620">
        <v>33.070640480000002</v>
      </c>
      <c r="E620" t="s">
        <v>3180</v>
      </c>
      <c r="F620">
        <v>107.2127721</v>
      </c>
      <c r="G620" t="s">
        <v>3181</v>
      </c>
      <c r="H620">
        <v>29395</v>
      </c>
      <c r="I620" t="s">
        <v>3182</v>
      </c>
    </row>
    <row r="621" spans="1:9" x14ac:dyDescent="0.25">
      <c r="A621" t="s">
        <v>3179</v>
      </c>
      <c r="B621" t="s">
        <v>3250</v>
      </c>
      <c r="C621" t="s">
        <v>3183</v>
      </c>
      <c r="D621">
        <v>31.945503590000001</v>
      </c>
      <c r="E621" t="s">
        <v>3180</v>
      </c>
      <c r="F621">
        <v>109.4039556</v>
      </c>
      <c r="G621" t="s">
        <v>3181</v>
      </c>
      <c r="H621">
        <v>3668</v>
      </c>
      <c r="I621" t="s">
        <v>3182</v>
      </c>
    </row>
    <row r="622" spans="1:9" x14ac:dyDescent="0.25">
      <c r="A622" t="s">
        <v>3179</v>
      </c>
      <c r="B622" t="s">
        <v>3251</v>
      </c>
      <c r="C622" t="s">
        <v>3183</v>
      </c>
      <c r="D622">
        <v>32.984311030000001</v>
      </c>
      <c r="E622" t="s">
        <v>3180</v>
      </c>
      <c r="F622">
        <v>108.67118790000001</v>
      </c>
      <c r="G622" t="s">
        <v>3181</v>
      </c>
      <c r="H622">
        <v>10413</v>
      </c>
      <c r="I622" t="s">
        <v>3182</v>
      </c>
    </row>
    <row r="623" spans="1:9" x14ac:dyDescent="0.25">
      <c r="A623" t="s">
        <v>3179</v>
      </c>
      <c r="B623" t="s">
        <v>3500</v>
      </c>
      <c r="C623" t="s">
        <v>3183</v>
      </c>
      <c r="D623">
        <v>33.04280207</v>
      </c>
      <c r="E623" t="s">
        <v>3180</v>
      </c>
      <c r="F623">
        <v>107.1394263</v>
      </c>
      <c r="G623" t="s">
        <v>3181</v>
      </c>
      <c r="H623">
        <v>21947</v>
      </c>
      <c r="I623" t="s">
        <v>3182</v>
      </c>
    </row>
    <row r="624" spans="1:9" x14ac:dyDescent="0.25">
      <c r="A624" t="s">
        <v>3179</v>
      </c>
      <c r="B624" t="s">
        <v>3252</v>
      </c>
      <c r="C624" t="s">
        <v>3183</v>
      </c>
      <c r="D624">
        <v>32.670168490000002</v>
      </c>
      <c r="E624" t="s">
        <v>3180</v>
      </c>
      <c r="F624">
        <v>109.43701059999999</v>
      </c>
      <c r="G624" t="s">
        <v>3181</v>
      </c>
      <c r="H624">
        <v>18384</v>
      </c>
      <c r="I624" t="s">
        <v>3182</v>
      </c>
    </row>
    <row r="625" spans="1:9" x14ac:dyDescent="0.25">
      <c r="A625" t="s">
        <v>3179</v>
      </c>
      <c r="B625" t="s">
        <v>4054</v>
      </c>
      <c r="C625" t="s">
        <v>3183</v>
      </c>
      <c r="D625">
        <v>38.834459109999997</v>
      </c>
      <c r="E625" t="s">
        <v>3180</v>
      </c>
      <c r="F625">
        <v>110.43094000000001</v>
      </c>
      <c r="G625" t="s">
        <v>3181</v>
      </c>
      <c r="H625">
        <v>204525</v>
      </c>
      <c r="I625" t="s">
        <v>3182</v>
      </c>
    </row>
    <row r="626" spans="1:9" x14ac:dyDescent="0.25">
      <c r="A626" t="s">
        <v>3179</v>
      </c>
      <c r="B626" t="s">
        <v>3373</v>
      </c>
      <c r="C626" t="s">
        <v>3183</v>
      </c>
      <c r="D626">
        <v>34.238855309999998</v>
      </c>
      <c r="E626" t="s">
        <v>3180</v>
      </c>
      <c r="F626">
        <v>107.0709785</v>
      </c>
      <c r="G626" t="s">
        <v>3181</v>
      </c>
      <c r="H626">
        <v>23277</v>
      </c>
      <c r="I626" t="s">
        <v>3182</v>
      </c>
    </row>
    <row r="627" spans="1:9" x14ac:dyDescent="0.25">
      <c r="A627" t="s">
        <v>3179</v>
      </c>
      <c r="B627" t="s">
        <v>3933</v>
      </c>
      <c r="C627" t="s">
        <v>3183</v>
      </c>
      <c r="D627">
        <v>35.579251229999997</v>
      </c>
      <c r="E627" t="s">
        <v>3180</v>
      </c>
      <c r="F627">
        <v>109.9244751</v>
      </c>
      <c r="G627" t="s">
        <v>3181</v>
      </c>
      <c r="H627">
        <v>21028</v>
      </c>
      <c r="I627" t="s">
        <v>3182</v>
      </c>
    </row>
    <row r="628" spans="1:9" x14ac:dyDescent="0.25">
      <c r="A628" t="s">
        <v>3179</v>
      </c>
      <c r="B628" t="s">
        <v>3803</v>
      </c>
      <c r="C628" t="s">
        <v>3183</v>
      </c>
      <c r="D628">
        <v>34.394352769999998</v>
      </c>
      <c r="E628" t="s">
        <v>3180</v>
      </c>
      <c r="F628">
        <v>108.42689369999999</v>
      </c>
      <c r="G628" t="s">
        <v>3181</v>
      </c>
      <c r="H628">
        <v>36633</v>
      </c>
      <c r="I628" t="s">
        <v>3182</v>
      </c>
    </row>
    <row r="629" spans="1:9" x14ac:dyDescent="0.25">
      <c r="A629" t="s">
        <v>3179</v>
      </c>
      <c r="B629" t="s">
        <v>4055</v>
      </c>
      <c r="C629" t="s">
        <v>3183</v>
      </c>
      <c r="D629">
        <v>37.557898029999997</v>
      </c>
      <c r="E629" t="s">
        <v>3180</v>
      </c>
      <c r="F629">
        <v>108.1354376</v>
      </c>
      <c r="G629" t="s">
        <v>3181</v>
      </c>
      <c r="H629">
        <v>11437</v>
      </c>
      <c r="I629" t="s">
        <v>3182</v>
      </c>
    </row>
    <row r="630" spans="1:9" x14ac:dyDescent="0.25">
      <c r="A630" t="s">
        <v>3179</v>
      </c>
      <c r="B630" t="s">
        <v>3501</v>
      </c>
      <c r="C630" t="s">
        <v>3183</v>
      </c>
      <c r="D630">
        <v>33.405798150000003</v>
      </c>
      <c r="E630" t="s">
        <v>3180</v>
      </c>
      <c r="F630">
        <v>108.0700866</v>
      </c>
      <c r="G630" t="s">
        <v>3181</v>
      </c>
      <c r="H630">
        <v>1658</v>
      </c>
      <c r="I630" t="s">
        <v>3182</v>
      </c>
    </row>
    <row r="631" spans="1:9" x14ac:dyDescent="0.25">
      <c r="A631" t="s">
        <v>3179</v>
      </c>
      <c r="B631" t="s">
        <v>3374</v>
      </c>
      <c r="C631" t="s">
        <v>3183</v>
      </c>
      <c r="D631">
        <v>34.292756410000003</v>
      </c>
      <c r="E631" t="s">
        <v>3180</v>
      </c>
      <c r="F631">
        <v>107.1594994</v>
      </c>
      <c r="G631" t="s">
        <v>3181</v>
      </c>
      <c r="H631">
        <v>23871</v>
      </c>
      <c r="I631" t="s">
        <v>3182</v>
      </c>
    </row>
    <row r="632" spans="1:9" x14ac:dyDescent="0.25">
      <c r="A632" t="s">
        <v>3179</v>
      </c>
      <c r="B632" t="s">
        <v>3723</v>
      </c>
      <c r="C632" t="s">
        <v>3183</v>
      </c>
      <c r="D632">
        <v>35.368054899999997</v>
      </c>
      <c r="E632" t="s">
        <v>3180</v>
      </c>
      <c r="F632">
        <v>109.6673728</v>
      </c>
      <c r="G632" t="s">
        <v>3181</v>
      </c>
      <c r="H632">
        <v>14674</v>
      </c>
      <c r="I632" t="s">
        <v>3182</v>
      </c>
    </row>
    <row r="633" spans="1:9" x14ac:dyDescent="0.25">
      <c r="A633" t="s">
        <v>3179</v>
      </c>
      <c r="B633" t="s">
        <v>4056</v>
      </c>
      <c r="C633" t="s">
        <v>3183</v>
      </c>
      <c r="D633">
        <v>37.567067889999997</v>
      </c>
      <c r="E633" t="s">
        <v>3180</v>
      </c>
      <c r="F633">
        <v>110.1490605</v>
      </c>
      <c r="G633" t="s">
        <v>3181</v>
      </c>
      <c r="H633">
        <v>14214</v>
      </c>
      <c r="I633" t="s">
        <v>3182</v>
      </c>
    </row>
    <row r="634" spans="1:9" x14ac:dyDescent="0.25">
      <c r="A634" t="s">
        <v>3179</v>
      </c>
      <c r="B634" t="s">
        <v>3874</v>
      </c>
      <c r="C634" t="s">
        <v>3183</v>
      </c>
      <c r="D634">
        <v>33.895565150000003</v>
      </c>
      <c r="E634" t="s">
        <v>3180</v>
      </c>
      <c r="F634">
        <v>108.5217109</v>
      </c>
      <c r="G634" t="s">
        <v>3181</v>
      </c>
      <c r="H634">
        <v>25584</v>
      </c>
      <c r="I634" t="s">
        <v>3182</v>
      </c>
    </row>
    <row r="635" spans="1:9" x14ac:dyDescent="0.25">
      <c r="A635" t="s">
        <v>3179</v>
      </c>
      <c r="B635" t="s">
        <v>4057</v>
      </c>
      <c r="C635" t="s">
        <v>3183</v>
      </c>
      <c r="D635">
        <v>37.334528550000002</v>
      </c>
      <c r="E635" t="s">
        <v>3180</v>
      </c>
      <c r="F635">
        <v>110.1781793</v>
      </c>
      <c r="G635" t="s">
        <v>3181</v>
      </c>
      <c r="H635">
        <v>7341</v>
      </c>
      <c r="I635" t="s">
        <v>3182</v>
      </c>
    </row>
    <row r="636" spans="1:9" x14ac:dyDescent="0.25">
      <c r="A636" t="s">
        <v>3179</v>
      </c>
      <c r="B636" t="s">
        <v>3598</v>
      </c>
      <c r="C636" t="s">
        <v>3183</v>
      </c>
      <c r="D636">
        <v>33.277590070000002</v>
      </c>
      <c r="E636" t="s">
        <v>3180</v>
      </c>
      <c r="F636">
        <v>110.57526180000001</v>
      </c>
      <c r="G636" t="s">
        <v>3181</v>
      </c>
      <c r="H636">
        <v>11487</v>
      </c>
      <c r="I636" t="s">
        <v>3182</v>
      </c>
    </row>
    <row r="637" spans="1:9" x14ac:dyDescent="0.25">
      <c r="A637" t="s">
        <v>3179</v>
      </c>
      <c r="B637" t="s">
        <v>3804</v>
      </c>
      <c r="C637" t="s">
        <v>3183</v>
      </c>
      <c r="D637">
        <v>34.949081</v>
      </c>
      <c r="E637" t="s">
        <v>3180</v>
      </c>
      <c r="F637">
        <v>108.4768356</v>
      </c>
      <c r="G637" t="s">
        <v>3181</v>
      </c>
      <c r="H637">
        <v>29592</v>
      </c>
      <c r="I637" t="s">
        <v>3182</v>
      </c>
    </row>
    <row r="638" spans="1:9" x14ac:dyDescent="0.25">
      <c r="A638" t="s">
        <v>3179</v>
      </c>
      <c r="B638" t="s">
        <v>3599</v>
      </c>
      <c r="C638" t="s">
        <v>3183</v>
      </c>
      <c r="D638">
        <v>33.539618169999997</v>
      </c>
      <c r="E638" t="s">
        <v>3180</v>
      </c>
      <c r="F638">
        <v>110.7548984</v>
      </c>
      <c r="G638" t="s">
        <v>3181</v>
      </c>
      <c r="H638">
        <v>15310</v>
      </c>
      <c r="I638" t="s">
        <v>3182</v>
      </c>
    </row>
    <row r="639" spans="1:9" x14ac:dyDescent="0.25">
      <c r="A639" t="s">
        <v>3179</v>
      </c>
      <c r="B639" t="s">
        <v>5708</v>
      </c>
      <c r="C639" t="s">
        <v>3183</v>
      </c>
      <c r="D639">
        <v>32.5692418</v>
      </c>
      <c r="E639" t="s">
        <v>3180</v>
      </c>
      <c r="F639">
        <v>109.4521331</v>
      </c>
      <c r="G639" t="s">
        <v>3181</v>
      </c>
      <c r="H639">
        <v>11553</v>
      </c>
      <c r="I639" t="s">
        <v>3182</v>
      </c>
    </row>
    <row r="640" spans="1:9" x14ac:dyDescent="0.25">
      <c r="A640" t="s">
        <v>3179</v>
      </c>
      <c r="B640" t="s">
        <v>5709</v>
      </c>
      <c r="C640" t="s">
        <v>3183</v>
      </c>
      <c r="D640">
        <v>34.264258900000002</v>
      </c>
      <c r="E640" t="s">
        <v>3180</v>
      </c>
      <c r="F640">
        <v>110.12482420000001</v>
      </c>
      <c r="G640" t="s">
        <v>3181</v>
      </c>
      <c r="H640">
        <v>25742</v>
      </c>
      <c r="I640" t="s">
        <v>3182</v>
      </c>
    </row>
    <row r="641" spans="1:9" x14ac:dyDescent="0.25">
      <c r="A641" t="s">
        <v>3179</v>
      </c>
      <c r="B641" t="s">
        <v>5710</v>
      </c>
      <c r="C641" t="s">
        <v>3183</v>
      </c>
      <c r="D641">
        <v>36.416116119999998</v>
      </c>
      <c r="E641" t="s">
        <v>3180</v>
      </c>
      <c r="F641">
        <v>109.18180169999999</v>
      </c>
      <c r="G641" t="s">
        <v>3181</v>
      </c>
      <c r="H641">
        <v>4708</v>
      </c>
      <c r="I641" t="s">
        <v>3182</v>
      </c>
    </row>
    <row r="642" spans="1:9" x14ac:dyDescent="0.25">
      <c r="A642" t="s">
        <v>3179</v>
      </c>
      <c r="B642" t="s">
        <v>3253</v>
      </c>
      <c r="C642" t="s">
        <v>3183</v>
      </c>
      <c r="D642">
        <v>32.25246482</v>
      </c>
      <c r="E642" t="s">
        <v>3180</v>
      </c>
      <c r="F642">
        <v>108.77494609999999</v>
      </c>
      <c r="G642" t="s">
        <v>3181</v>
      </c>
      <c r="H642">
        <v>12978</v>
      </c>
      <c r="I642" t="s">
        <v>3182</v>
      </c>
    </row>
    <row r="643" spans="1:9" x14ac:dyDescent="0.25">
      <c r="A643" t="s">
        <v>3179</v>
      </c>
      <c r="B643" t="s">
        <v>3600</v>
      </c>
      <c r="C643" t="s">
        <v>3183</v>
      </c>
      <c r="D643">
        <v>34.224454459999997</v>
      </c>
      <c r="E643" t="s">
        <v>3180</v>
      </c>
      <c r="F643">
        <v>110.2846631</v>
      </c>
      <c r="G643" t="s">
        <v>3181</v>
      </c>
      <c r="H643">
        <v>25086</v>
      </c>
      <c r="I643" t="s">
        <v>3182</v>
      </c>
    </row>
    <row r="644" spans="1:9" x14ac:dyDescent="0.25">
      <c r="A644" t="s">
        <v>3179</v>
      </c>
      <c r="B644" t="s">
        <v>3805</v>
      </c>
      <c r="C644" t="s">
        <v>3183</v>
      </c>
      <c r="D644">
        <v>34.769663540000003</v>
      </c>
      <c r="E644" t="s">
        <v>3180</v>
      </c>
      <c r="F644">
        <v>108.6665232</v>
      </c>
      <c r="G644" t="s">
        <v>3181</v>
      </c>
      <c r="H644">
        <v>14503</v>
      </c>
      <c r="I644" t="s">
        <v>3182</v>
      </c>
    </row>
    <row r="645" spans="1:9" x14ac:dyDescent="0.25">
      <c r="A645" t="s">
        <v>3179</v>
      </c>
      <c r="B645" t="s">
        <v>3806</v>
      </c>
      <c r="C645" t="s">
        <v>3183</v>
      </c>
      <c r="D645">
        <v>34.580001320000001</v>
      </c>
      <c r="E645" t="s">
        <v>3180</v>
      </c>
      <c r="F645">
        <v>108.3671373</v>
      </c>
      <c r="G645" t="s">
        <v>3181</v>
      </c>
      <c r="H645">
        <v>24135</v>
      </c>
      <c r="I645" t="s">
        <v>3182</v>
      </c>
    </row>
    <row r="646" spans="1:9" x14ac:dyDescent="0.25">
      <c r="A646" t="s">
        <v>3179</v>
      </c>
      <c r="B646" t="s">
        <v>3254</v>
      </c>
      <c r="C646" t="s">
        <v>3183</v>
      </c>
      <c r="D646">
        <v>32.749922679999997</v>
      </c>
      <c r="E646" t="s">
        <v>3180</v>
      </c>
      <c r="F646">
        <v>109.16386439999999</v>
      </c>
      <c r="G646" t="s">
        <v>3181</v>
      </c>
      <c r="H646">
        <v>14976</v>
      </c>
      <c r="I646" t="s">
        <v>3182</v>
      </c>
    </row>
    <row r="647" spans="1:9" x14ac:dyDescent="0.25">
      <c r="A647" t="s">
        <v>3179</v>
      </c>
      <c r="B647" t="s">
        <v>3934</v>
      </c>
      <c r="C647" t="s">
        <v>3183</v>
      </c>
      <c r="D647">
        <v>35.507628029999999</v>
      </c>
      <c r="E647" t="s">
        <v>3180</v>
      </c>
      <c r="F647">
        <v>109.6357474</v>
      </c>
      <c r="G647" t="s">
        <v>3181</v>
      </c>
      <c r="H647">
        <v>22864</v>
      </c>
      <c r="I647" t="s">
        <v>3182</v>
      </c>
    </row>
    <row r="648" spans="1:9" x14ac:dyDescent="0.25">
      <c r="A648" t="s">
        <v>3179</v>
      </c>
      <c r="B648" t="s">
        <v>4058</v>
      </c>
      <c r="C648" t="s">
        <v>3183</v>
      </c>
      <c r="D648">
        <v>37.469503179999997</v>
      </c>
      <c r="E648" t="s">
        <v>3180</v>
      </c>
      <c r="F648">
        <v>109.3805998</v>
      </c>
      <c r="G648" t="s">
        <v>3181</v>
      </c>
      <c r="H648">
        <v>12942</v>
      </c>
      <c r="I648" t="s">
        <v>3182</v>
      </c>
    </row>
    <row r="649" spans="1:9" x14ac:dyDescent="0.25">
      <c r="A649" t="s">
        <v>3179</v>
      </c>
      <c r="B649" t="s">
        <v>3647</v>
      </c>
      <c r="C649" t="s">
        <v>3183</v>
      </c>
      <c r="D649">
        <v>35.064771260000001</v>
      </c>
      <c r="E649" t="s">
        <v>3180</v>
      </c>
      <c r="F649">
        <v>108.9223308</v>
      </c>
      <c r="G649" t="s">
        <v>3181</v>
      </c>
      <c r="H649">
        <v>26065</v>
      </c>
      <c r="I649" t="s">
        <v>3182</v>
      </c>
    </row>
    <row r="650" spans="1:9" x14ac:dyDescent="0.25">
      <c r="A650" t="s">
        <v>3179</v>
      </c>
      <c r="B650" t="s">
        <v>3255</v>
      </c>
      <c r="C650" t="s">
        <v>3183</v>
      </c>
      <c r="D650">
        <v>32.665157059999999</v>
      </c>
      <c r="E650" t="s">
        <v>3180</v>
      </c>
      <c r="F650">
        <v>108.50017459999999</v>
      </c>
      <c r="G650" t="s">
        <v>3181</v>
      </c>
      <c r="H650">
        <v>10823</v>
      </c>
      <c r="I650" t="s">
        <v>3182</v>
      </c>
    </row>
    <row r="651" spans="1:9" x14ac:dyDescent="0.25">
      <c r="A651" t="s">
        <v>3179</v>
      </c>
      <c r="B651" t="s">
        <v>3256</v>
      </c>
      <c r="C651" t="s">
        <v>3183</v>
      </c>
      <c r="D651">
        <v>32.674732990000003</v>
      </c>
      <c r="E651" t="s">
        <v>3180</v>
      </c>
      <c r="F651">
        <v>109.7236487</v>
      </c>
      <c r="G651" t="s">
        <v>3181</v>
      </c>
      <c r="H651">
        <v>6977</v>
      </c>
      <c r="I651" t="s">
        <v>3182</v>
      </c>
    </row>
    <row r="652" spans="1:9" x14ac:dyDescent="0.25">
      <c r="A652" t="s">
        <v>3179</v>
      </c>
      <c r="B652" t="s">
        <v>3258</v>
      </c>
      <c r="C652" t="s">
        <v>3183</v>
      </c>
      <c r="D652">
        <v>36.725550009999999</v>
      </c>
      <c r="E652" t="s">
        <v>3180</v>
      </c>
      <c r="F652">
        <v>108.7995323</v>
      </c>
      <c r="G652" t="s">
        <v>3181</v>
      </c>
      <c r="H652">
        <v>8384</v>
      </c>
      <c r="I652" t="s">
        <v>3182</v>
      </c>
    </row>
    <row r="653" spans="1:9" x14ac:dyDescent="0.25">
      <c r="A653" t="s">
        <v>3179</v>
      </c>
      <c r="B653" t="s">
        <v>3258</v>
      </c>
      <c r="C653" t="s">
        <v>3183</v>
      </c>
      <c r="D653">
        <v>33.038577629999999</v>
      </c>
      <c r="E653" t="s">
        <v>3180</v>
      </c>
      <c r="F653">
        <v>109.56339199999999</v>
      </c>
      <c r="G653" t="s">
        <v>3181</v>
      </c>
      <c r="H653">
        <v>26171</v>
      </c>
      <c r="I653" t="s">
        <v>3182</v>
      </c>
    </row>
    <row r="654" spans="1:9" x14ac:dyDescent="0.25">
      <c r="A654" t="s">
        <v>3179</v>
      </c>
      <c r="B654" t="s">
        <v>3257</v>
      </c>
      <c r="C654" t="s">
        <v>3183</v>
      </c>
      <c r="D654">
        <v>33.103089509999997</v>
      </c>
      <c r="E654" t="s">
        <v>3180</v>
      </c>
      <c r="F654">
        <v>108.57602869999999</v>
      </c>
      <c r="G654" t="s">
        <v>3181</v>
      </c>
      <c r="H654">
        <v>12995</v>
      </c>
      <c r="I654" t="s">
        <v>3182</v>
      </c>
    </row>
    <row r="655" spans="1:9" x14ac:dyDescent="0.25">
      <c r="A655" t="s">
        <v>3179</v>
      </c>
      <c r="B655" t="s">
        <v>5711</v>
      </c>
      <c r="C655" t="s">
        <v>3183</v>
      </c>
      <c r="D655">
        <v>32.447855939999997</v>
      </c>
      <c r="E655" t="s">
        <v>3180</v>
      </c>
      <c r="F655">
        <v>108.945244</v>
      </c>
      <c r="G655" t="s">
        <v>3181</v>
      </c>
      <c r="H655">
        <v>14667</v>
      </c>
      <c r="I655" t="s">
        <v>3182</v>
      </c>
    </row>
    <row r="656" spans="1:9" x14ac:dyDescent="0.25">
      <c r="A656" t="s">
        <v>3179</v>
      </c>
      <c r="B656" t="s">
        <v>5712</v>
      </c>
      <c r="C656" t="s">
        <v>3183</v>
      </c>
      <c r="D656">
        <v>35.656798629999997</v>
      </c>
      <c r="E656" t="s">
        <v>3180</v>
      </c>
      <c r="F656">
        <v>108.7636641</v>
      </c>
      <c r="G656" t="s">
        <v>3181</v>
      </c>
      <c r="H656">
        <v>6435</v>
      </c>
      <c r="I656" t="s">
        <v>3182</v>
      </c>
    </row>
    <row r="657" spans="1:9" x14ac:dyDescent="0.25">
      <c r="A657" t="s">
        <v>3179</v>
      </c>
      <c r="B657" t="s">
        <v>3259</v>
      </c>
      <c r="C657" t="s">
        <v>3183</v>
      </c>
      <c r="D657">
        <v>32.34646343</v>
      </c>
      <c r="E657" t="s">
        <v>3180</v>
      </c>
      <c r="F657">
        <v>108.5304447</v>
      </c>
      <c r="G657" t="s">
        <v>3181</v>
      </c>
      <c r="H657">
        <v>11275</v>
      </c>
      <c r="I657" t="s">
        <v>3182</v>
      </c>
    </row>
    <row r="658" spans="1:9" x14ac:dyDescent="0.25">
      <c r="A658" t="s">
        <v>3179</v>
      </c>
      <c r="B658" t="s">
        <v>3724</v>
      </c>
      <c r="C658" t="s">
        <v>3183</v>
      </c>
      <c r="D658">
        <v>34.92844221</v>
      </c>
      <c r="E658" t="s">
        <v>3180</v>
      </c>
      <c r="F658">
        <v>110.0313779</v>
      </c>
      <c r="G658" t="s">
        <v>3181</v>
      </c>
      <c r="H658">
        <v>26875</v>
      </c>
      <c r="I658" t="s">
        <v>3182</v>
      </c>
    </row>
    <row r="659" spans="1:9" x14ac:dyDescent="0.25">
      <c r="A659" t="s">
        <v>3179</v>
      </c>
      <c r="B659" t="s">
        <v>3260</v>
      </c>
      <c r="C659" t="s">
        <v>3183</v>
      </c>
      <c r="D659">
        <v>32.800466890000003</v>
      </c>
      <c r="E659" t="s">
        <v>3180</v>
      </c>
      <c r="F659">
        <v>108.6602778</v>
      </c>
      <c r="G659" t="s">
        <v>3181</v>
      </c>
      <c r="H659">
        <v>11950</v>
      </c>
      <c r="I659" t="s">
        <v>3182</v>
      </c>
    </row>
    <row r="660" spans="1:9" x14ac:dyDescent="0.25">
      <c r="A660" t="s">
        <v>3179</v>
      </c>
      <c r="B660" t="s">
        <v>3375</v>
      </c>
      <c r="C660" t="s">
        <v>3183</v>
      </c>
      <c r="D660">
        <v>33.924545510000002</v>
      </c>
      <c r="E660" t="s">
        <v>3180</v>
      </c>
      <c r="F660">
        <v>106.5134207</v>
      </c>
      <c r="G660" t="s">
        <v>3181</v>
      </c>
      <c r="H660">
        <v>36030</v>
      </c>
      <c r="I660" t="s">
        <v>3182</v>
      </c>
    </row>
    <row r="661" spans="1:9" x14ac:dyDescent="0.25">
      <c r="A661" t="s">
        <v>3179</v>
      </c>
      <c r="B661" t="s">
        <v>3502</v>
      </c>
      <c r="C661" t="s">
        <v>3183</v>
      </c>
      <c r="D661">
        <v>33.398740099999998</v>
      </c>
      <c r="E661" t="s">
        <v>3180</v>
      </c>
      <c r="F661">
        <v>107.2009893</v>
      </c>
      <c r="G661" t="s">
        <v>3181</v>
      </c>
      <c r="H661">
        <v>2890</v>
      </c>
      <c r="I661" t="s">
        <v>3182</v>
      </c>
    </row>
    <row r="662" spans="1:9" x14ac:dyDescent="0.25">
      <c r="A662" t="s">
        <v>3179</v>
      </c>
      <c r="B662" t="s">
        <v>3261</v>
      </c>
      <c r="C662" t="s">
        <v>3183</v>
      </c>
      <c r="D662">
        <v>32.923654569999997</v>
      </c>
      <c r="E662" t="s">
        <v>3180</v>
      </c>
      <c r="F662">
        <v>109.69653289999999</v>
      </c>
      <c r="G662" t="s">
        <v>3181</v>
      </c>
      <c r="H662">
        <v>37059</v>
      </c>
      <c r="I662" t="s">
        <v>3182</v>
      </c>
    </row>
    <row r="663" spans="1:9" x14ac:dyDescent="0.25">
      <c r="A663" t="s">
        <v>3179</v>
      </c>
      <c r="B663" t="s">
        <v>3376</v>
      </c>
      <c r="C663" t="s">
        <v>3183</v>
      </c>
      <c r="D663">
        <v>34.732274369999999</v>
      </c>
      <c r="E663" t="s">
        <v>3180</v>
      </c>
      <c r="F663">
        <v>106.99304480000001</v>
      </c>
      <c r="G663" t="s">
        <v>3181</v>
      </c>
      <c r="H663">
        <v>18304</v>
      </c>
      <c r="I663" t="s">
        <v>3182</v>
      </c>
    </row>
    <row r="664" spans="1:9" x14ac:dyDescent="0.25">
      <c r="A664" t="s">
        <v>3179</v>
      </c>
      <c r="B664" t="s">
        <v>3807</v>
      </c>
      <c r="C664" t="s">
        <v>3183</v>
      </c>
      <c r="D664">
        <v>34.981944810000002</v>
      </c>
      <c r="E664" t="s">
        <v>3180</v>
      </c>
      <c r="F664">
        <v>108.0043585</v>
      </c>
      <c r="G664" t="s">
        <v>3181</v>
      </c>
      <c r="H664">
        <v>25407</v>
      </c>
      <c r="I664" t="s">
        <v>3182</v>
      </c>
    </row>
    <row r="665" spans="1:9" x14ac:dyDescent="0.25">
      <c r="A665" t="s">
        <v>3179</v>
      </c>
      <c r="B665" t="s">
        <v>3503</v>
      </c>
      <c r="C665" t="s">
        <v>3183</v>
      </c>
      <c r="D665">
        <v>33.348300000000002</v>
      </c>
      <c r="E665" t="s">
        <v>3180</v>
      </c>
      <c r="F665">
        <v>107.194</v>
      </c>
      <c r="G665" t="s">
        <v>3181</v>
      </c>
      <c r="H665">
        <v>3875</v>
      </c>
      <c r="I665" t="s">
        <v>3182</v>
      </c>
    </row>
    <row r="666" spans="1:9" x14ac:dyDescent="0.25">
      <c r="A666" t="s">
        <v>3179</v>
      </c>
      <c r="B666" t="s">
        <v>3504</v>
      </c>
      <c r="C666" t="s">
        <v>3183</v>
      </c>
      <c r="D666">
        <v>32.876686720000002</v>
      </c>
      <c r="E666" t="s">
        <v>3180</v>
      </c>
      <c r="F666">
        <v>106.166043</v>
      </c>
      <c r="G666" t="s">
        <v>3181</v>
      </c>
      <c r="H666">
        <v>7576</v>
      </c>
      <c r="I666" t="s">
        <v>3182</v>
      </c>
    </row>
    <row r="667" spans="1:9" x14ac:dyDescent="0.25">
      <c r="A667" t="s">
        <v>3179</v>
      </c>
      <c r="B667" t="s">
        <v>3935</v>
      </c>
      <c r="C667" t="s">
        <v>3183</v>
      </c>
      <c r="D667">
        <v>36.909338599999998</v>
      </c>
      <c r="E667" t="s">
        <v>3180</v>
      </c>
      <c r="F667">
        <v>108.6032515</v>
      </c>
      <c r="G667" t="s">
        <v>3181</v>
      </c>
      <c r="H667">
        <v>8860</v>
      </c>
      <c r="I667" t="s">
        <v>3182</v>
      </c>
    </row>
    <row r="668" spans="1:9" x14ac:dyDescent="0.25">
      <c r="A668" t="s">
        <v>3179</v>
      </c>
      <c r="B668" t="s">
        <v>3262</v>
      </c>
      <c r="C668" t="s">
        <v>3183</v>
      </c>
      <c r="D668">
        <v>31.860647400000001</v>
      </c>
      <c r="E668" t="s">
        <v>3180</v>
      </c>
      <c r="F668">
        <v>109.3218364</v>
      </c>
      <c r="G668" t="s">
        <v>3181</v>
      </c>
      <c r="H668">
        <v>7744</v>
      </c>
      <c r="I668" t="s">
        <v>3182</v>
      </c>
    </row>
    <row r="669" spans="1:9" x14ac:dyDescent="0.25">
      <c r="A669" t="s">
        <v>3179</v>
      </c>
      <c r="B669" t="s">
        <v>3505</v>
      </c>
      <c r="C669" t="s">
        <v>3183</v>
      </c>
      <c r="D669">
        <v>32.909579020000002</v>
      </c>
      <c r="E669" t="s">
        <v>3180</v>
      </c>
      <c r="F669">
        <v>107.3956917</v>
      </c>
      <c r="G669" t="s">
        <v>3181</v>
      </c>
      <c r="H669">
        <v>8111</v>
      </c>
      <c r="I669" t="s">
        <v>3182</v>
      </c>
    </row>
    <row r="670" spans="1:9" x14ac:dyDescent="0.25">
      <c r="A670" t="s">
        <v>3179</v>
      </c>
      <c r="B670" t="s">
        <v>3601</v>
      </c>
      <c r="C670" t="s">
        <v>3183</v>
      </c>
      <c r="D670">
        <v>34.336040609999998</v>
      </c>
      <c r="E670" t="s">
        <v>3180</v>
      </c>
      <c r="F670">
        <v>110.3862476</v>
      </c>
      <c r="G670" t="s">
        <v>3181</v>
      </c>
      <c r="H670">
        <v>8135</v>
      </c>
      <c r="I670" t="s">
        <v>3182</v>
      </c>
    </row>
    <row r="671" spans="1:9" x14ac:dyDescent="0.25">
      <c r="A671" t="s">
        <v>3179</v>
      </c>
      <c r="B671" t="s">
        <v>3263</v>
      </c>
      <c r="C671" t="s">
        <v>3183</v>
      </c>
      <c r="D671">
        <v>32.18754294</v>
      </c>
      <c r="E671" t="s">
        <v>3180</v>
      </c>
      <c r="F671">
        <v>108.8663822</v>
      </c>
      <c r="G671" t="s">
        <v>3181</v>
      </c>
      <c r="H671">
        <v>5410</v>
      </c>
      <c r="I671" t="s">
        <v>3182</v>
      </c>
    </row>
    <row r="672" spans="1:9" x14ac:dyDescent="0.25">
      <c r="A672" t="s">
        <v>3179</v>
      </c>
      <c r="B672" t="s">
        <v>3264</v>
      </c>
      <c r="C672" t="s">
        <v>3183</v>
      </c>
      <c r="D672">
        <v>33.606667450000003</v>
      </c>
      <c r="E672" t="s">
        <v>3180</v>
      </c>
      <c r="F672">
        <v>108.132695</v>
      </c>
      <c r="G672" t="s">
        <v>3181</v>
      </c>
      <c r="H672">
        <v>4070</v>
      </c>
      <c r="I672" t="s">
        <v>3182</v>
      </c>
    </row>
    <row r="673" spans="1:9" x14ac:dyDescent="0.25">
      <c r="A673" t="s">
        <v>3179</v>
      </c>
      <c r="B673" t="s">
        <v>3602</v>
      </c>
      <c r="C673" t="s">
        <v>3183</v>
      </c>
      <c r="D673">
        <v>33.562689480000003</v>
      </c>
      <c r="E673" t="s">
        <v>3180</v>
      </c>
      <c r="F673">
        <v>110.24719260000001</v>
      </c>
      <c r="G673" t="s">
        <v>3181</v>
      </c>
      <c r="H673">
        <v>8652</v>
      </c>
      <c r="I673" t="s">
        <v>3182</v>
      </c>
    </row>
    <row r="674" spans="1:9" x14ac:dyDescent="0.25">
      <c r="A674" t="s">
        <v>3179</v>
      </c>
      <c r="B674" t="s">
        <v>3725</v>
      </c>
      <c r="C674" t="s">
        <v>3183</v>
      </c>
      <c r="D674">
        <v>35.028555679999997</v>
      </c>
      <c r="E674" t="s">
        <v>3180</v>
      </c>
      <c r="F674">
        <v>109.9995971</v>
      </c>
      <c r="G674" t="s">
        <v>3181</v>
      </c>
      <c r="H674">
        <v>31553</v>
      </c>
      <c r="I674" t="s">
        <v>3182</v>
      </c>
    </row>
    <row r="675" spans="1:9" x14ac:dyDescent="0.25">
      <c r="A675" t="s">
        <v>3179</v>
      </c>
      <c r="B675" t="s">
        <v>4059</v>
      </c>
      <c r="C675" t="s">
        <v>3183</v>
      </c>
      <c r="D675">
        <v>37.639232159999999</v>
      </c>
      <c r="E675" t="s">
        <v>3180</v>
      </c>
      <c r="F675">
        <v>110.2019774</v>
      </c>
      <c r="G675" t="s">
        <v>3181</v>
      </c>
      <c r="H675">
        <v>28952</v>
      </c>
      <c r="I675" t="s">
        <v>3182</v>
      </c>
    </row>
    <row r="676" spans="1:9" x14ac:dyDescent="0.25">
      <c r="A676" t="s">
        <v>3179</v>
      </c>
      <c r="B676" t="s">
        <v>3875</v>
      </c>
      <c r="C676" t="s">
        <v>3183</v>
      </c>
      <c r="D676">
        <v>34.189397820000003</v>
      </c>
      <c r="E676" t="s">
        <v>3180</v>
      </c>
      <c r="F676">
        <v>108.1482743</v>
      </c>
      <c r="G676" t="s">
        <v>3181</v>
      </c>
      <c r="H676">
        <v>35757</v>
      </c>
      <c r="I676" t="s">
        <v>3182</v>
      </c>
    </row>
    <row r="677" spans="1:9" x14ac:dyDescent="0.25">
      <c r="A677" t="s">
        <v>3179</v>
      </c>
      <c r="B677" t="s">
        <v>3936</v>
      </c>
      <c r="C677" t="s">
        <v>3183</v>
      </c>
      <c r="D677">
        <v>35.788768400000002</v>
      </c>
      <c r="E677" t="s">
        <v>3180</v>
      </c>
      <c r="F677">
        <v>109.1685039</v>
      </c>
      <c r="G677" t="s">
        <v>3181</v>
      </c>
      <c r="H677">
        <v>4666</v>
      </c>
      <c r="I677" t="s">
        <v>3182</v>
      </c>
    </row>
    <row r="678" spans="1:9" x14ac:dyDescent="0.25">
      <c r="A678" t="s">
        <v>3179</v>
      </c>
      <c r="B678" t="s">
        <v>3876</v>
      </c>
      <c r="C678" t="s">
        <v>3183</v>
      </c>
      <c r="D678">
        <v>34.150897350000001</v>
      </c>
      <c r="E678" t="s">
        <v>3180</v>
      </c>
      <c r="F678">
        <v>108.2865966</v>
      </c>
      <c r="G678" t="s">
        <v>3181</v>
      </c>
      <c r="H678">
        <v>21868</v>
      </c>
      <c r="I678" t="s">
        <v>3182</v>
      </c>
    </row>
    <row r="679" spans="1:9" x14ac:dyDescent="0.25">
      <c r="A679" t="s">
        <v>3179</v>
      </c>
      <c r="B679" t="s">
        <v>3265</v>
      </c>
      <c r="C679" t="s">
        <v>3183</v>
      </c>
      <c r="D679">
        <v>32.638416839999998</v>
      </c>
      <c r="E679" t="s">
        <v>3180</v>
      </c>
      <c r="F679">
        <v>109.8212975</v>
      </c>
      <c r="G679" t="s">
        <v>3181</v>
      </c>
      <c r="H679">
        <v>13329</v>
      </c>
      <c r="I679" t="s">
        <v>3182</v>
      </c>
    </row>
    <row r="680" spans="1:9" x14ac:dyDescent="0.25">
      <c r="A680" t="s">
        <v>3179</v>
      </c>
      <c r="B680" t="s">
        <v>3726</v>
      </c>
      <c r="C680" t="s">
        <v>3183</v>
      </c>
      <c r="D680">
        <v>34.637220020000001</v>
      </c>
      <c r="E680" t="s">
        <v>3180</v>
      </c>
      <c r="F680">
        <v>109.86288380000001</v>
      </c>
      <c r="G680" t="s">
        <v>3181</v>
      </c>
      <c r="H680">
        <v>26916</v>
      </c>
      <c r="I680" t="s">
        <v>3182</v>
      </c>
    </row>
    <row r="681" spans="1:9" x14ac:dyDescent="0.25">
      <c r="A681" t="s">
        <v>3179</v>
      </c>
      <c r="B681" t="s">
        <v>5713</v>
      </c>
      <c r="C681" t="s">
        <v>3183</v>
      </c>
      <c r="D681">
        <v>34.87749762</v>
      </c>
      <c r="E681" t="s">
        <v>3180</v>
      </c>
      <c r="F681">
        <v>109.38201859999999</v>
      </c>
      <c r="G681" t="s">
        <v>3181</v>
      </c>
      <c r="H681">
        <v>30659</v>
      </c>
      <c r="I681" t="s">
        <v>3182</v>
      </c>
    </row>
    <row r="682" spans="1:9" x14ac:dyDescent="0.25">
      <c r="A682" t="s">
        <v>3179</v>
      </c>
      <c r="B682" t="s">
        <v>5714</v>
      </c>
      <c r="C682" t="s">
        <v>3183</v>
      </c>
      <c r="D682">
        <v>34.393343649999998</v>
      </c>
      <c r="E682" t="s">
        <v>3180</v>
      </c>
      <c r="F682">
        <v>108.08867909999999</v>
      </c>
      <c r="G682" t="s">
        <v>3181</v>
      </c>
      <c r="H682">
        <v>26829</v>
      </c>
      <c r="I682" t="s">
        <v>3182</v>
      </c>
    </row>
    <row r="683" spans="1:9" x14ac:dyDescent="0.25">
      <c r="A683" t="s">
        <v>3179</v>
      </c>
      <c r="B683" t="s">
        <v>3727</v>
      </c>
      <c r="C683" t="s">
        <v>3183</v>
      </c>
      <c r="D683">
        <v>34.970408280000001</v>
      </c>
      <c r="E683" t="s">
        <v>3180</v>
      </c>
      <c r="F683">
        <v>109.7701678</v>
      </c>
      <c r="G683" t="s">
        <v>3181</v>
      </c>
      <c r="H683">
        <v>52193</v>
      </c>
      <c r="I683" t="s">
        <v>3182</v>
      </c>
    </row>
    <row r="684" spans="1:9" x14ac:dyDescent="0.25">
      <c r="A684" t="s">
        <v>3179</v>
      </c>
      <c r="B684" t="s">
        <v>4060</v>
      </c>
      <c r="C684" t="s">
        <v>3183</v>
      </c>
      <c r="D684">
        <v>39.103685650000003</v>
      </c>
      <c r="E684" t="s">
        <v>3180</v>
      </c>
      <c r="F684">
        <v>110.2638145</v>
      </c>
      <c r="G684" t="s">
        <v>3181</v>
      </c>
      <c r="H684">
        <v>19583</v>
      </c>
      <c r="I684" t="s">
        <v>3182</v>
      </c>
    </row>
    <row r="685" spans="1:9" x14ac:dyDescent="0.25">
      <c r="A685" t="s">
        <v>3179</v>
      </c>
      <c r="B685" t="s">
        <v>3506</v>
      </c>
      <c r="C685" t="s">
        <v>3183</v>
      </c>
      <c r="D685">
        <v>32.972548000000003</v>
      </c>
      <c r="E685" t="s">
        <v>3180</v>
      </c>
      <c r="F685">
        <v>107.422494</v>
      </c>
      <c r="G685" t="s">
        <v>3181</v>
      </c>
      <c r="H685">
        <v>7574</v>
      </c>
      <c r="I685" t="s">
        <v>3182</v>
      </c>
    </row>
    <row r="686" spans="1:9" x14ac:dyDescent="0.25">
      <c r="A686" t="s">
        <v>3179</v>
      </c>
      <c r="B686" t="s">
        <v>3648</v>
      </c>
      <c r="C686" t="s">
        <v>3183</v>
      </c>
      <c r="D686">
        <v>34.944437000000001</v>
      </c>
      <c r="E686" t="s">
        <v>3180</v>
      </c>
      <c r="F686">
        <v>109.02506</v>
      </c>
      <c r="G686" t="s">
        <v>3181</v>
      </c>
      <c r="H686">
        <v>18791</v>
      </c>
      <c r="I686" t="s">
        <v>3182</v>
      </c>
    </row>
    <row r="687" spans="1:9" x14ac:dyDescent="0.25">
      <c r="A687" t="s">
        <v>3179</v>
      </c>
      <c r="B687" t="s">
        <v>3649</v>
      </c>
      <c r="C687" t="s">
        <v>3183</v>
      </c>
      <c r="D687">
        <v>35.352895459999999</v>
      </c>
      <c r="E687" t="s">
        <v>3180</v>
      </c>
      <c r="F687">
        <v>109.0018858</v>
      </c>
      <c r="G687" t="s">
        <v>3181</v>
      </c>
      <c r="H687">
        <v>10201</v>
      </c>
      <c r="I687" t="s">
        <v>3182</v>
      </c>
    </row>
    <row r="688" spans="1:9" x14ac:dyDescent="0.25">
      <c r="A688" t="s">
        <v>3179</v>
      </c>
      <c r="B688" t="s">
        <v>3377</v>
      </c>
      <c r="C688" t="s">
        <v>3183</v>
      </c>
      <c r="D688">
        <v>33.849848969999996</v>
      </c>
      <c r="E688" t="s">
        <v>3180</v>
      </c>
      <c r="F688">
        <v>107.2488894</v>
      </c>
      <c r="G688" t="s">
        <v>3181</v>
      </c>
      <c r="H688">
        <v>2338</v>
      </c>
      <c r="I688" t="s">
        <v>3182</v>
      </c>
    </row>
    <row r="689" spans="1:9" x14ac:dyDescent="0.25">
      <c r="A689" t="s">
        <v>3179</v>
      </c>
      <c r="B689" t="s">
        <v>3808</v>
      </c>
      <c r="C689" t="s">
        <v>3183</v>
      </c>
      <c r="D689">
        <v>35.139160449999999</v>
      </c>
      <c r="E689" t="s">
        <v>3180</v>
      </c>
      <c r="F689">
        <v>108.28454069999999</v>
      </c>
      <c r="G689" t="s">
        <v>3181</v>
      </c>
      <c r="H689">
        <v>45436</v>
      </c>
      <c r="I689" t="s">
        <v>3182</v>
      </c>
    </row>
    <row r="690" spans="1:9" x14ac:dyDescent="0.25">
      <c r="A690" t="s">
        <v>3179</v>
      </c>
      <c r="B690" t="s">
        <v>3877</v>
      </c>
      <c r="C690" t="s">
        <v>3183</v>
      </c>
      <c r="D690">
        <v>34.505823820000003</v>
      </c>
      <c r="E690" t="s">
        <v>3180</v>
      </c>
      <c r="F690">
        <v>108.73047680000001</v>
      </c>
      <c r="G690" t="s">
        <v>3181</v>
      </c>
      <c r="H690">
        <v>27853</v>
      </c>
      <c r="I690" t="s">
        <v>3182</v>
      </c>
    </row>
    <row r="691" spans="1:9" x14ac:dyDescent="0.25">
      <c r="A691" t="s">
        <v>3179</v>
      </c>
      <c r="B691" t="s">
        <v>3266</v>
      </c>
      <c r="C691" t="s">
        <v>3183</v>
      </c>
      <c r="D691">
        <v>33.338655070000002</v>
      </c>
      <c r="E691" t="s">
        <v>3180</v>
      </c>
      <c r="F691">
        <v>108.55283729999999</v>
      </c>
      <c r="G691" t="s">
        <v>3181</v>
      </c>
      <c r="H691">
        <v>5194</v>
      </c>
      <c r="I691" t="s">
        <v>3182</v>
      </c>
    </row>
    <row r="692" spans="1:9" x14ac:dyDescent="0.25">
      <c r="A692" t="s">
        <v>3179</v>
      </c>
      <c r="B692" t="s">
        <v>3507</v>
      </c>
      <c r="C692" t="s">
        <v>3183</v>
      </c>
      <c r="D692">
        <v>33.030752640000003</v>
      </c>
      <c r="E692" t="s">
        <v>3180</v>
      </c>
      <c r="F692">
        <v>105.98832229999999</v>
      </c>
      <c r="G692" t="s">
        <v>3181</v>
      </c>
      <c r="H692">
        <v>9920</v>
      </c>
      <c r="I692" t="s">
        <v>3182</v>
      </c>
    </row>
    <row r="693" spans="1:9" x14ac:dyDescent="0.25">
      <c r="A693" t="s">
        <v>3179</v>
      </c>
      <c r="B693" t="s">
        <v>3728</v>
      </c>
      <c r="C693" t="s">
        <v>3183</v>
      </c>
      <c r="D693">
        <v>34.463110540000002</v>
      </c>
      <c r="E693" t="s">
        <v>3180</v>
      </c>
      <c r="F693">
        <v>110.2879013</v>
      </c>
      <c r="G693" t="s">
        <v>3181</v>
      </c>
      <c r="H693">
        <v>25632</v>
      </c>
      <c r="I693" t="s">
        <v>3182</v>
      </c>
    </row>
    <row r="694" spans="1:9" x14ac:dyDescent="0.25">
      <c r="A694" t="s">
        <v>3179</v>
      </c>
      <c r="B694" t="s">
        <v>3809</v>
      </c>
      <c r="C694" t="s">
        <v>3183</v>
      </c>
      <c r="D694">
        <v>34.956658590000004</v>
      </c>
      <c r="E694" t="s">
        <v>3180</v>
      </c>
      <c r="F694">
        <v>108.0852873</v>
      </c>
      <c r="G694" t="s">
        <v>3181</v>
      </c>
      <c r="H694">
        <v>11513</v>
      </c>
      <c r="I694" t="s">
        <v>3182</v>
      </c>
    </row>
    <row r="695" spans="1:9" x14ac:dyDescent="0.25">
      <c r="A695" t="s">
        <v>3179</v>
      </c>
      <c r="B695" t="s">
        <v>3267</v>
      </c>
      <c r="C695" t="s">
        <v>3183</v>
      </c>
      <c r="D695">
        <v>32.883432980000002</v>
      </c>
      <c r="E695" t="s">
        <v>3180</v>
      </c>
      <c r="F695">
        <v>108.9367645</v>
      </c>
      <c r="G695" t="s">
        <v>3181</v>
      </c>
      <c r="H695">
        <v>10962</v>
      </c>
      <c r="I695" t="s">
        <v>3182</v>
      </c>
    </row>
    <row r="696" spans="1:9" x14ac:dyDescent="0.25">
      <c r="A696" t="s">
        <v>3179</v>
      </c>
      <c r="B696" t="s">
        <v>3810</v>
      </c>
      <c r="C696" t="s">
        <v>3183</v>
      </c>
      <c r="D696">
        <v>34.234872719999998</v>
      </c>
      <c r="E696" t="s">
        <v>3180</v>
      </c>
      <c r="F696">
        <v>108.3686458</v>
      </c>
      <c r="G696" t="s">
        <v>3181</v>
      </c>
      <c r="H696">
        <v>26739</v>
      </c>
      <c r="I696" t="s">
        <v>3182</v>
      </c>
    </row>
    <row r="697" spans="1:9" x14ac:dyDescent="0.25">
      <c r="A697" t="s">
        <v>3179</v>
      </c>
      <c r="B697" t="s">
        <v>3268</v>
      </c>
      <c r="C697" t="s">
        <v>3183</v>
      </c>
      <c r="D697">
        <v>33.319883500000003</v>
      </c>
      <c r="E697" t="s">
        <v>3180</v>
      </c>
      <c r="F697">
        <v>108.2411005</v>
      </c>
      <c r="G697" t="s">
        <v>3181</v>
      </c>
      <c r="H697">
        <v>5516</v>
      </c>
      <c r="I697" t="s">
        <v>3182</v>
      </c>
    </row>
    <row r="698" spans="1:9" x14ac:dyDescent="0.25">
      <c r="A698" t="s">
        <v>3179</v>
      </c>
      <c r="B698" t="s">
        <v>3378</v>
      </c>
      <c r="C698" t="s">
        <v>3183</v>
      </c>
      <c r="D698">
        <v>34.087589379999997</v>
      </c>
      <c r="E698" t="s">
        <v>3180</v>
      </c>
      <c r="F698">
        <v>107.8485606</v>
      </c>
      <c r="G698" t="s">
        <v>3181</v>
      </c>
      <c r="H698">
        <v>36604</v>
      </c>
      <c r="I698" t="s">
        <v>3182</v>
      </c>
    </row>
    <row r="699" spans="1:9" x14ac:dyDescent="0.25">
      <c r="A699" t="s">
        <v>3179</v>
      </c>
      <c r="B699" t="s">
        <v>3378</v>
      </c>
      <c r="C699" t="s">
        <v>3183</v>
      </c>
      <c r="D699">
        <v>33.967273859999999</v>
      </c>
      <c r="E699" t="s">
        <v>3180</v>
      </c>
      <c r="F699">
        <v>109.23001379999999</v>
      </c>
      <c r="G699" t="s">
        <v>3181</v>
      </c>
      <c r="H699">
        <v>39919</v>
      </c>
      <c r="I699" t="s">
        <v>3182</v>
      </c>
    </row>
    <row r="700" spans="1:9" x14ac:dyDescent="0.25">
      <c r="A700" t="s">
        <v>3179</v>
      </c>
      <c r="B700" t="s">
        <v>3379</v>
      </c>
      <c r="C700" t="s">
        <v>3183</v>
      </c>
      <c r="D700">
        <v>34.126848670000001</v>
      </c>
      <c r="E700" t="s">
        <v>3180</v>
      </c>
      <c r="F700">
        <v>106.60840779999999</v>
      </c>
      <c r="G700" t="s">
        <v>3181</v>
      </c>
      <c r="H700">
        <v>4720</v>
      </c>
      <c r="I700" t="s">
        <v>3182</v>
      </c>
    </row>
    <row r="701" spans="1:9" x14ac:dyDescent="0.25">
      <c r="A701" t="s">
        <v>3179</v>
      </c>
      <c r="B701" t="s">
        <v>4061</v>
      </c>
      <c r="C701" t="s">
        <v>3183</v>
      </c>
      <c r="D701">
        <v>37.804845129999997</v>
      </c>
      <c r="E701" t="s">
        <v>3180</v>
      </c>
      <c r="F701">
        <v>110.39802349999999</v>
      </c>
      <c r="G701" t="s">
        <v>3181</v>
      </c>
      <c r="H701">
        <v>6698</v>
      </c>
      <c r="I701" t="s">
        <v>3182</v>
      </c>
    </row>
    <row r="702" spans="1:9" x14ac:dyDescent="0.25">
      <c r="A702" t="s">
        <v>3179</v>
      </c>
      <c r="B702" t="s">
        <v>3380</v>
      </c>
      <c r="C702" t="s">
        <v>3183</v>
      </c>
      <c r="D702">
        <v>34.008681039999999</v>
      </c>
      <c r="E702" t="s">
        <v>3180</v>
      </c>
      <c r="F702">
        <v>107.52592199999999</v>
      </c>
      <c r="G702" t="s">
        <v>3181</v>
      </c>
      <c r="H702">
        <v>6106</v>
      </c>
      <c r="I702" t="s">
        <v>3182</v>
      </c>
    </row>
    <row r="703" spans="1:9" x14ac:dyDescent="0.25">
      <c r="A703" t="s">
        <v>3179</v>
      </c>
      <c r="B703" t="s">
        <v>3269</v>
      </c>
      <c r="C703" t="s">
        <v>3183</v>
      </c>
      <c r="D703">
        <v>32.07491641</v>
      </c>
      <c r="E703" t="s">
        <v>3180</v>
      </c>
      <c r="F703">
        <v>108.9594721</v>
      </c>
      <c r="G703" t="s">
        <v>3181</v>
      </c>
      <c r="H703">
        <v>5902</v>
      </c>
      <c r="I703" t="s">
        <v>3182</v>
      </c>
    </row>
    <row r="704" spans="1:9" x14ac:dyDescent="0.25">
      <c r="A704" t="s">
        <v>3179</v>
      </c>
      <c r="B704" t="s">
        <v>3729</v>
      </c>
      <c r="C704" t="s">
        <v>3183</v>
      </c>
      <c r="D704">
        <v>34.543370000000003</v>
      </c>
      <c r="E704" t="s">
        <v>3180</v>
      </c>
      <c r="F704">
        <v>109.978387</v>
      </c>
      <c r="G704" t="s">
        <v>3181</v>
      </c>
      <c r="H704">
        <v>26011</v>
      </c>
      <c r="I704" t="s">
        <v>3182</v>
      </c>
    </row>
    <row r="705" spans="1:9" x14ac:dyDescent="0.25">
      <c r="A705" t="s">
        <v>3179</v>
      </c>
      <c r="B705" t="s">
        <v>4062</v>
      </c>
      <c r="C705" t="s">
        <v>3183</v>
      </c>
      <c r="D705">
        <v>37.695301379999997</v>
      </c>
      <c r="E705" t="s">
        <v>3180</v>
      </c>
      <c r="F705">
        <v>109.18239869999999</v>
      </c>
      <c r="G705" t="s">
        <v>3181</v>
      </c>
      <c r="H705">
        <v>8634</v>
      </c>
      <c r="I705" t="s">
        <v>3182</v>
      </c>
    </row>
    <row r="706" spans="1:9" x14ac:dyDescent="0.25">
      <c r="A706" t="s">
        <v>3179</v>
      </c>
      <c r="B706" t="s">
        <v>3381</v>
      </c>
      <c r="C706" t="s">
        <v>3183</v>
      </c>
      <c r="D706">
        <v>34.727828449999997</v>
      </c>
      <c r="E706" t="s">
        <v>3180</v>
      </c>
      <c r="F706">
        <v>106.6207994</v>
      </c>
      <c r="G706" t="s">
        <v>3181</v>
      </c>
      <c r="H706">
        <v>12641</v>
      </c>
      <c r="I706" t="s">
        <v>3182</v>
      </c>
    </row>
    <row r="707" spans="1:9" x14ac:dyDescent="0.25">
      <c r="A707" t="s">
        <v>3179</v>
      </c>
      <c r="B707" t="s">
        <v>4063</v>
      </c>
      <c r="C707" t="s">
        <v>3183</v>
      </c>
      <c r="D707">
        <v>37.384313489999997</v>
      </c>
      <c r="E707" t="s">
        <v>3180</v>
      </c>
      <c r="F707">
        <v>108.9044748</v>
      </c>
      <c r="G707" t="s">
        <v>3181</v>
      </c>
      <c r="H707">
        <v>6198</v>
      </c>
      <c r="I707" t="s">
        <v>3182</v>
      </c>
    </row>
    <row r="708" spans="1:9" x14ac:dyDescent="0.25">
      <c r="A708" t="s">
        <v>3179</v>
      </c>
      <c r="B708" t="s">
        <v>3382</v>
      </c>
      <c r="C708" t="s">
        <v>3183</v>
      </c>
      <c r="D708">
        <v>34.54382932</v>
      </c>
      <c r="E708" t="s">
        <v>3180</v>
      </c>
      <c r="F708">
        <v>107.935976</v>
      </c>
      <c r="G708" t="s">
        <v>3181</v>
      </c>
      <c r="H708">
        <v>20948</v>
      </c>
      <c r="I708" t="s">
        <v>3182</v>
      </c>
    </row>
    <row r="709" spans="1:9" x14ac:dyDescent="0.25">
      <c r="A709" t="s">
        <v>3179</v>
      </c>
      <c r="B709" t="s">
        <v>4064</v>
      </c>
      <c r="C709" t="s">
        <v>3183</v>
      </c>
      <c r="D709">
        <v>38.972733179999999</v>
      </c>
      <c r="E709" t="s">
        <v>3180</v>
      </c>
      <c r="F709">
        <v>110.7638068</v>
      </c>
      <c r="G709" t="s">
        <v>3181</v>
      </c>
      <c r="H709">
        <v>8861</v>
      </c>
      <c r="I709" t="s">
        <v>3182</v>
      </c>
    </row>
    <row r="710" spans="1:9" x14ac:dyDescent="0.25">
      <c r="A710" t="s">
        <v>3179</v>
      </c>
      <c r="B710" t="s">
        <v>3383</v>
      </c>
      <c r="C710" t="s">
        <v>3183</v>
      </c>
      <c r="D710">
        <v>34.513462449999999</v>
      </c>
      <c r="E710" t="s">
        <v>3180</v>
      </c>
      <c r="F710">
        <v>107.4971539</v>
      </c>
      <c r="G710" t="s">
        <v>3181</v>
      </c>
      <c r="H710">
        <v>22193</v>
      </c>
      <c r="I710" t="s">
        <v>3182</v>
      </c>
    </row>
    <row r="711" spans="1:9" x14ac:dyDescent="0.25">
      <c r="A711" t="s">
        <v>3179</v>
      </c>
      <c r="B711" t="s">
        <v>3508</v>
      </c>
      <c r="C711" t="s">
        <v>3183</v>
      </c>
      <c r="D711">
        <v>32.972663109999999</v>
      </c>
      <c r="E711" t="s">
        <v>3180</v>
      </c>
      <c r="F711">
        <v>107.2966431</v>
      </c>
      <c r="G711" t="s">
        <v>3181</v>
      </c>
      <c r="H711">
        <v>18434</v>
      </c>
      <c r="I711" t="s">
        <v>3182</v>
      </c>
    </row>
    <row r="712" spans="1:9" x14ac:dyDescent="0.25">
      <c r="A712" t="s">
        <v>3179</v>
      </c>
      <c r="B712" t="s">
        <v>3730</v>
      </c>
      <c r="C712" t="s">
        <v>3183</v>
      </c>
      <c r="D712">
        <v>34.619994300000002</v>
      </c>
      <c r="E712" t="s">
        <v>3180</v>
      </c>
      <c r="F712">
        <v>109.4309299</v>
      </c>
      <c r="G712" t="s">
        <v>3181</v>
      </c>
      <c r="H712">
        <v>21795</v>
      </c>
      <c r="I712" t="s">
        <v>3182</v>
      </c>
    </row>
    <row r="713" spans="1:9" x14ac:dyDescent="0.25">
      <c r="A713" t="s">
        <v>3179</v>
      </c>
      <c r="B713" t="s">
        <v>3384</v>
      </c>
      <c r="C713" t="s">
        <v>3183</v>
      </c>
      <c r="D713">
        <v>34.921764899999999</v>
      </c>
      <c r="E713" t="s">
        <v>3180</v>
      </c>
      <c r="F713">
        <v>107.5515151</v>
      </c>
      <c r="G713" t="s">
        <v>3181</v>
      </c>
      <c r="H713">
        <v>5908</v>
      </c>
      <c r="I713" t="s">
        <v>3182</v>
      </c>
    </row>
    <row r="714" spans="1:9" x14ac:dyDescent="0.25">
      <c r="A714" t="s">
        <v>3179</v>
      </c>
      <c r="B714" t="s">
        <v>3385</v>
      </c>
      <c r="C714" t="s">
        <v>3183</v>
      </c>
      <c r="D714">
        <v>34.230786770000002</v>
      </c>
      <c r="E714" t="s">
        <v>3180</v>
      </c>
      <c r="F714">
        <v>107.4448893</v>
      </c>
      <c r="G714" t="s">
        <v>3181</v>
      </c>
      <c r="H714">
        <v>31365</v>
      </c>
      <c r="I714" t="s">
        <v>3182</v>
      </c>
    </row>
    <row r="715" spans="1:9" x14ac:dyDescent="0.25">
      <c r="A715" t="s">
        <v>3179</v>
      </c>
      <c r="B715" t="s">
        <v>3937</v>
      </c>
      <c r="C715" t="s">
        <v>3183</v>
      </c>
      <c r="D715">
        <v>37.433546139999997</v>
      </c>
      <c r="E715" t="s">
        <v>3180</v>
      </c>
      <c r="F715">
        <v>110.18284180000001</v>
      </c>
      <c r="G715" t="s">
        <v>3181</v>
      </c>
      <c r="H715">
        <v>10331</v>
      </c>
      <c r="I715" t="s">
        <v>3182</v>
      </c>
    </row>
    <row r="716" spans="1:9" x14ac:dyDescent="0.25">
      <c r="A716" t="s">
        <v>3179</v>
      </c>
      <c r="B716" t="s">
        <v>3937</v>
      </c>
      <c r="C716" t="s">
        <v>3183</v>
      </c>
      <c r="D716">
        <v>35.543443259999997</v>
      </c>
      <c r="E716" t="s">
        <v>3180</v>
      </c>
      <c r="F716">
        <v>109.3382737</v>
      </c>
      <c r="G716" t="s">
        <v>3181</v>
      </c>
      <c r="H716">
        <v>10592</v>
      </c>
      <c r="I716" t="s">
        <v>3182</v>
      </c>
    </row>
    <row r="717" spans="1:9" x14ac:dyDescent="0.25">
      <c r="A717" t="s">
        <v>3179</v>
      </c>
      <c r="B717" t="s">
        <v>3603</v>
      </c>
      <c r="C717" t="s">
        <v>3183</v>
      </c>
      <c r="D717">
        <v>33.417741749999998</v>
      </c>
      <c r="E717" t="s">
        <v>3180</v>
      </c>
      <c r="F717">
        <v>109.9612456</v>
      </c>
      <c r="G717" t="s">
        <v>3181</v>
      </c>
      <c r="H717">
        <v>11770</v>
      </c>
      <c r="I717" t="s">
        <v>3182</v>
      </c>
    </row>
    <row r="718" spans="1:9" x14ac:dyDescent="0.25">
      <c r="A718" t="s">
        <v>3179</v>
      </c>
      <c r="B718" t="s">
        <v>3938</v>
      </c>
      <c r="C718" t="s">
        <v>3183</v>
      </c>
      <c r="D718">
        <v>37.047975299999997</v>
      </c>
      <c r="E718" t="s">
        <v>3180</v>
      </c>
      <c r="F718">
        <v>107.80091590000001</v>
      </c>
      <c r="G718" t="s">
        <v>3181</v>
      </c>
      <c r="H718">
        <v>5879</v>
      </c>
      <c r="I718" t="s">
        <v>3182</v>
      </c>
    </row>
    <row r="719" spans="1:9" x14ac:dyDescent="0.25">
      <c r="A719" t="s">
        <v>3179</v>
      </c>
      <c r="B719" t="s">
        <v>3604</v>
      </c>
      <c r="C719" t="s">
        <v>3183</v>
      </c>
      <c r="D719">
        <v>33.405404660000002</v>
      </c>
      <c r="E719" t="s">
        <v>3180</v>
      </c>
      <c r="F719">
        <v>109.3016473</v>
      </c>
      <c r="G719" t="s">
        <v>3181</v>
      </c>
      <c r="H719">
        <v>12368</v>
      </c>
      <c r="I719" t="s">
        <v>3182</v>
      </c>
    </row>
    <row r="720" spans="1:9" x14ac:dyDescent="0.25">
      <c r="A720" t="s">
        <v>3179</v>
      </c>
      <c r="B720" t="s">
        <v>3270</v>
      </c>
      <c r="C720" t="s">
        <v>3183</v>
      </c>
      <c r="D720">
        <v>33.0514729</v>
      </c>
      <c r="E720" t="s">
        <v>3180</v>
      </c>
      <c r="F720">
        <v>108.6307814</v>
      </c>
      <c r="G720" t="s">
        <v>3181</v>
      </c>
      <c r="H720">
        <v>9097</v>
      </c>
      <c r="I720" t="s">
        <v>3182</v>
      </c>
    </row>
    <row r="721" spans="1:9" x14ac:dyDescent="0.25">
      <c r="A721" t="s">
        <v>3179</v>
      </c>
      <c r="B721" t="s">
        <v>3509</v>
      </c>
      <c r="C721" t="s">
        <v>3183</v>
      </c>
      <c r="D721">
        <v>32.905164499999998</v>
      </c>
      <c r="E721" t="s">
        <v>3180</v>
      </c>
      <c r="F721">
        <v>106.4166257</v>
      </c>
      <c r="G721" t="s">
        <v>3181</v>
      </c>
      <c r="H721">
        <v>14818</v>
      </c>
      <c r="I721" t="s">
        <v>3182</v>
      </c>
    </row>
    <row r="722" spans="1:9" x14ac:dyDescent="0.25">
      <c r="A722" t="s">
        <v>3179</v>
      </c>
      <c r="B722" t="s">
        <v>3811</v>
      </c>
      <c r="C722" t="s">
        <v>3183</v>
      </c>
      <c r="D722">
        <v>34.951187140000002</v>
      </c>
      <c r="E722" t="s">
        <v>3180</v>
      </c>
      <c r="F722">
        <v>108.5869689</v>
      </c>
      <c r="G722" t="s">
        <v>3181</v>
      </c>
      <c r="H722">
        <v>15202</v>
      </c>
      <c r="I722" t="s">
        <v>3182</v>
      </c>
    </row>
    <row r="723" spans="1:9" x14ac:dyDescent="0.25">
      <c r="A723" t="s">
        <v>3179</v>
      </c>
      <c r="B723" t="s">
        <v>3605</v>
      </c>
      <c r="C723" t="s">
        <v>3183</v>
      </c>
      <c r="D723">
        <v>33.633373659999997</v>
      </c>
      <c r="E723" t="s">
        <v>3180</v>
      </c>
      <c r="F723">
        <v>110.4945927</v>
      </c>
      <c r="G723" t="s">
        <v>3181</v>
      </c>
      <c r="H723">
        <v>16116</v>
      </c>
      <c r="I723" t="s">
        <v>3182</v>
      </c>
    </row>
    <row r="724" spans="1:9" x14ac:dyDescent="0.25">
      <c r="A724" t="s">
        <v>3179</v>
      </c>
      <c r="B724" t="s">
        <v>3812</v>
      </c>
      <c r="C724" t="s">
        <v>3183</v>
      </c>
      <c r="D724">
        <v>35.09373866</v>
      </c>
      <c r="E724" t="s">
        <v>3180</v>
      </c>
      <c r="F724">
        <v>107.88998410000001</v>
      </c>
      <c r="G724" t="s">
        <v>3181</v>
      </c>
      <c r="H724">
        <v>31110</v>
      </c>
      <c r="I724" t="s">
        <v>3182</v>
      </c>
    </row>
    <row r="725" spans="1:9" x14ac:dyDescent="0.25">
      <c r="A725" t="s">
        <v>3179</v>
      </c>
      <c r="B725" t="s">
        <v>4065</v>
      </c>
      <c r="C725" t="s">
        <v>3183</v>
      </c>
      <c r="D725">
        <v>38.127898539999997</v>
      </c>
      <c r="E725" t="s">
        <v>3180</v>
      </c>
      <c r="F725">
        <v>110.3975152</v>
      </c>
      <c r="G725" t="s">
        <v>3181</v>
      </c>
      <c r="H725">
        <v>20247</v>
      </c>
      <c r="I725" t="s">
        <v>3182</v>
      </c>
    </row>
    <row r="726" spans="1:9" x14ac:dyDescent="0.25">
      <c r="A726" t="s">
        <v>3179</v>
      </c>
      <c r="B726" t="s">
        <v>3271</v>
      </c>
      <c r="C726" t="s">
        <v>3183</v>
      </c>
      <c r="D726">
        <v>33.423849789999998</v>
      </c>
      <c r="E726" t="s">
        <v>3180</v>
      </c>
      <c r="F726">
        <v>108.2080593</v>
      </c>
      <c r="G726" t="s">
        <v>3181</v>
      </c>
      <c r="H726">
        <v>5355</v>
      </c>
      <c r="I726" t="s">
        <v>3182</v>
      </c>
    </row>
    <row r="727" spans="1:9" x14ac:dyDescent="0.25">
      <c r="A727" t="s">
        <v>3179</v>
      </c>
      <c r="B727" t="s">
        <v>3510</v>
      </c>
      <c r="C727" t="s">
        <v>3183</v>
      </c>
      <c r="D727">
        <v>33.307109859999997</v>
      </c>
      <c r="E727" t="s">
        <v>3180</v>
      </c>
      <c r="F727">
        <v>106.7661835</v>
      </c>
      <c r="G727" t="s">
        <v>3181</v>
      </c>
      <c r="H727">
        <v>16649</v>
      </c>
      <c r="I727" t="s">
        <v>3182</v>
      </c>
    </row>
    <row r="728" spans="1:9" x14ac:dyDescent="0.25">
      <c r="A728" t="s">
        <v>3179</v>
      </c>
      <c r="B728" t="s">
        <v>3731</v>
      </c>
      <c r="C728" t="s">
        <v>3183</v>
      </c>
      <c r="D728">
        <v>35.338173699999999</v>
      </c>
      <c r="E728" t="s">
        <v>3180</v>
      </c>
      <c r="F728">
        <v>110.200203</v>
      </c>
      <c r="G728" t="s">
        <v>3181</v>
      </c>
      <c r="H728">
        <v>20102</v>
      </c>
      <c r="I728" t="s">
        <v>3182</v>
      </c>
    </row>
    <row r="729" spans="1:9" x14ac:dyDescent="0.25">
      <c r="A729" t="s">
        <v>3179</v>
      </c>
      <c r="B729" t="s">
        <v>3272</v>
      </c>
      <c r="C729" t="s">
        <v>3183</v>
      </c>
      <c r="D729">
        <v>33.081090369999998</v>
      </c>
      <c r="E729" t="s">
        <v>3180</v>
      </c>
      <c r="F729">
        <v>109.05776539999999</v>
      </c>
      <c r="G729" t="s">
        <v>3181</v>
      </c>
      <c r="H729">
        <v>12676</v>
      </c>
      <c r="I729" t="s">
        <v>3182</v>
      </c>
    </row>
    <row r="730" spans="1:9" x14ac:dyDescent="0.25">
      <c r="A730" t="s">
        <v>3179</v>
      </c>
      <c r="B730" t="s">
        <v>3273</v>
      </c>
      <c r="C730" t="s">
        <v>3183</v>
      </c>
      <c r="D730">
        <v>32.554174760000002</v>
      </c>
      <c r="E730" t="s">
        <v>3180</v>
      </c>
      <c r="F730">
        <v>109.57716000000001</v>
      </c>
      <c r="G730" t="s">
        <v>3181</v>
      </c>
      <c r="H730">
        <v>24042</v>
      </c>
      <c r="I730" t="s">
        <v>3182</v>
      </c>
    </row>
    <row r="731" spans="1:9" x14ac:dyDescent="0.25">
      <c r="A731" t="s">
        <v>3179</v>
      </c>
      <c r="B731" t="s">
        <v>3732</v>
      </c>
      <c r="C731" t="s">
        <v>3183</v>
      </c>
      <c r="D731">
        <v>34.445126590000001</v>
      </c>
      <c r="E731" t="s">
        <v>3180</v>
      </c>
      <c r="F731">
        <v>110.34927089999999</v>
      </c>
      <c r="G731" t="s">
        <v>3181</v>
      </c>
      <c r="H731">
        <v>12628</v>
      </c>
      <c r="I731" t="s">
        <v>3182</v>
      </c>
    </row>
    <row r="732" spans="1:9" x14ac:dyDescent="0.25">
      <c r="A732" t="s">
        <v>3179</v>
      </c>
      <c r="B732" t="s">
        <v>3939</v>
      </c>
      <c r="C732" t="s">
        <v>3183</v>
      </c>
      <c r="D732">
        <v>35.579887360000001</v>
      </c>
      <c r="E732" t="s">
        <v>3180</v>
      </c>
      <c r="F732">
        <v>109.57291549999999</v>
      </c>
      <c r="G732" t="s">
        <v>3181</v>
      </c>
      <c r="H732">
        <v>10042</v>
      </c>
      <c r="I732" t="s">
        <v>3182</v>
      </c>
    </row>
    <row r="733" spans="1:9" x14ac:dyDescent="0.25">
      <c r="A733" t="s">
        <v>3179</v>
      </c>
      <c r="B733" t="s">
        <v>3606</v>
      </c>
      <c r="C733" t="s">
        <v>3183</v>
      </c>
      <c r="D733">
        <v>33.448892549999997</v>
      </c>
      <c r="E733" t="s">
        <v>3180</v>
      </c>
      <c r="F733">
        <v>110.33581890000001</v>
      </c>
      <c r="G733" t="s">
        <v>3181</v>
      </c>
      <c r="H733">
        <v>13293</v>
      </c>
      <c r="I733" t="s">
        <v>3182</v>
      </c>
    </row>
    <row r="734" spans="1:9" x14ac:dyDescent="0.25">
      <c r="A734" t="s">
        <v>3179</v>
      </c>
      <c r="B734" t="s">
        <v>3386</v>
      </c>
      <c r="C734" t="s">
        <v>3183</v>
      </c>
      <c r="D734">
        <v>34.509376070000002</v>
      </c>
      <c r="E734" t="s">
        <v>3180</v>
      </c>
      <c r="F734">
        <v>106.6046406</v>
      </c>
      <c r="G734" t="s">
        <v>3181</v>
      </c>
      <c r="H734">
        <v>12904</v>
      </c>
      <c r="I734" t="s">
        <v>3182</v>
      </c>
    </row>
    <row r="735" spans="1:9" x14ac:dyDescent="0.25">
      <c r="A735" t="s">
        <v>3179</v>
      </c>
      <c r="B735" t="s">
        <v>3813</v>
      </c>
      <c r="C735" t="s">
        <v>3183</v>
      </c>
      <c r="D735">
        <v>35.028878570000003</v>
      </c>
      <c r="E735" t="s">
        <v>3180</v>
      </c>
      <c r="F735">
        <v>108.4165349</v>
      </c>
      <c r="G735" t="s">
        <v>3181</v>
      </c>
      <c r="H735">
        <v>44575</v>
      </c>
      <c r="I735" t="s">
        <v>3182</v>
      </c>
    </row>
    <row r="736" spans="1:9" x14ac:dyDescent="0.25">
      <c r="A736" t="s">
        <v>3179</v>
      </c>
      <c r="B736" t="s">
        <v>3607</v>
      </c>
      <c r="C736" t="s">
        <v>3183</v>
      </c>
      <c r="D736">
        <v>33.660783780000003</v>
      </c>
      <c r="E736" t="s">
        <v>3180</v>
      </c>
      <c r="F736">
        <v>109.4353229</v>
      </c>
      <c r="G736" t="s">
        <v>3181</v>
      </c>
      <c r="H736">
        <v>7361</v>
      </c>
      <c r="I736" t="s">
        <v>3182</v>
      </c>
    </row>
    <row r="737" spans="1:9" x14ac:dyDescent="0.25">
      <c r="A737" t="s">
        <v>3179</v>
      </c>
      <c r="B737" t="s">
        <v>3274</v>
      </c>
      <c r="C737" t="s">
        <v>3183</v>
      </c>
      <c r="D737">
        <v>32.383843830000004</v>
      </c>
      <c r="E737" t="s">
        <v>3180</v>
      </c>
      <c r="F737">
        <v>108.16123829999999</v>
      </c>
      <c r="G737" t="s">
        <v>3181</v>
      </c>
      <c r="H737">
        <v>11814</v>
      </c>
      <c r="I737" t="s">
        <v>3182</v>
      </c>
    </row>
    <row r="738" spans="1:9" x14ac:dyDescent="0.25">
      <c r="A738" t="s">
        <v>3179</v>
      </c>
      <c r="B738" t="s">
        <v>4068</v>
      </c>
      <c r="C738" t="s">
        <v>3183</v>
      </c>
      <c r="D738">
        <v>38.31452676</v>
      </c>
      <c r="E738" t="s">
        <v>3180</v>
      </c>
      <c r="F738">
        <v>110.54839680000001</v>
      </c>
      <c r="G738" t="s">
        <v>3181</v>
      </c>
      <c r="H738">
        <v>4144</v>
      </c>
      <c r="I738" t="s">
        <v>3182</v>
      </c>
    </row>
    <row r="739" spans="1:9" x14ac:dyDescent="0.25">
      <c r="A739" t="s">
        <v>3179</v>
      </c>
      <c r="B739" t="s">
        <v>3878</v>
      </c>
      <c r="C739" t="s">
        <v>3183</v>
      </c>
      <c r="D739">
        <v>34.055081770000001</v>
      </c>
      <c r="E739" t="s">
        <v>3180</v>
      </c>
      <c r="F739">
        <v>109.38389220000001</v>
      </c>
      <c r="G739" t="s">
        <v>3181</v>
      </c>
      <c r="H739">
        <v>17185</v>
      </c>
      <c r="I739" t="s">
        <v>3182</v>
      </c>
    </row>
    <row r="740" spans="1:9" x14ac:dyDescent="0.25">
      <c r="A740" t="s">
        <v>3179</v>
      </c>
      <c r="B740" t="s">
        <v>5715</v>
      </c>
      <c r="C740" t="s">
        <v>3183</v>
      </c>
      <c r="D740">
        <v>35.212975159999999</v>
      </c>
      <c r="E740" t="s">
        <v>3180</v>
      </c>
      <c r="F740">
        <v>110.0615358</v>
      </c>
      <c r="G740" t="s">
        <v>3181</v>
      </c>
      <c r="H740">
        <v>28029</v>
      </c>
      <c r="I740" t="s">
        <v>3182</v>
      </c>
    </row>
    <row r="741" spans="1:9" x14ac:dyDescent="0.25">
      <c r="A741" t="s">
        <v>3179</v>
      </c>
      <c r="B741" t="s">
        <v>5716</v>
      </c>
      <c r="C741" t="s">
        <v>3183</v>
      </c>
      <c r="D741">
        <v>34.383974850000001</v>
      </c>
      <c r="E741" t="s">
        <v>3180</v>
      </c>
      <c r="F741">
        <v>108.1895219</v>
      </c>
      <c r="G741" t="s">
        <v>3181</v>
      </c>
      <c r="H741">
        <v>28173</v>
      </c>
      <c r="I741" t="s">
        <v>3182</v>
      </c>
    </row>
    <row r="742" spans="1:9" x14ac:dyDescent="0.25">
      <c r="A742" t="s">
        <v>3179</v>
      </c>
      <c r="B742" t="s">
        <v>4066</v>
      </c>
      <c r="C742" t="s">
        <v>3183</v>
      </c>
      <c r="D742">
        <v>38.23260664</v>
      </c>
      <c r="E742" t="s">
        <v>3180</v>
      </c>
      <c r="F742">
        <v>110.2279777</v>
      </c>
      <c r="G742" t="s">
        <v>3181</v>
      </c>
      <c r="H742">
        <v>11050</v>
      </c>
      <c r="I742" t="s">
        <v>3182</v>
      </c>
    </row>
    <row r="743" spans="1:9" x14ac:dyDescent="0.25">
      <c r="A743" t="s">
        <v>3179</v>
      </c>
      <c r="B743" t="s">
        <v>3879</v>
      </c>
      <c r="C743" t="s">
        <v>3183</v>
      </c>
      <c r="D743">
        <v>33.832291120000001</v>
      </c>
      <c r="E743" t="s">
        <v>3180</v>
      </c>
      <c r="F743">
        <v>108.2235807</v>
      </c>
      <c r="G743" t="s">
        <v>3181</v>
      </c>
      <c r="H743">
        <v>2313</v>
      </c>
      <c r="I743" t="s">
        <v>3182</v>
      </c>
    </row>
    <row r="744" spans="1:9" x14ac:dyDescent="0.25">
      <c r="A744" t="s">
        <v>3179</v>
      </c>
      <c r="B744" t="s">
        <v>3387</v>
      </c>
      <c r="C744" t="s">
        <v>3183</v>
      </c>
      <c r="D744">
        <v>33.885180650000002</v>
      </c>
      <c r="E744" t="s">
        <v>3180</v>
      </c>
      <c r="F744">
        <v>107.11810250000001</v>
      </c>
      <c r="G744" t="s">
        <v>3181</v>
      </c>
      <c r="H744">
        <v>1460</v>
      </c>
      <c r="I744" t="s">
        <v>3182</v>
      </c>
    </row>
    <row r="745" spans="1:9" x14ac:dyDescent="0.25">
      <c r="A745" t="s">
        <v>3179</v>
      </c>
      <c r="B745" t="s">
        <v>3814</v>
      </c>
      <c r="C745" t="s">
        <v>3183</v>
      </c>
      <c r="D745">
        <v>34.617015909999999</v>
      </c>
      <c r="E745" t="s">
        <v>3180</v>
      </c>
      <c r="F745">
        <v>108.6400498</v>
      </c>
      <c r="G745" t="s">
        <v>3181</v>
      </c>
      <c r="H745">
        <v>24982</v>
      </c>
      <c r="I745" t="s">
        <v>3182</v>
      </c>
    </row>
    <row r="746" spans="1:9" x14ac:dyDescent="0.25">
      <c r="A746" t="s">
        <v>3179</v>
      </c>
      <c r="B746" t="s">
        <v>4067</v>
      </c>
      <c r="C746" t="s">
        <v>3183</v>
      </c>
      <c r="D746">
        <v>37.306628859999996</v>
      </c>
      <c r="E746" t="s">
        <v>3180</v>
      </c>
      <c r="F746">
        <v>108.64173409999999</v>
      </c>
      <c r="G746" t="s">
        <v>3181</v>
      </c>
      <c r="H746">
        <v>6937</v>
      </c>
      <c r="I746" t="s">
        <v>3182</v>
      </c>
    </row>
    <row r="747" spans="1:9" x14ac:dyDescent="0.25">
      <c r="A747" t="s">
        <v>3179</v>
      </c>
      <c r="B747" t="s">
        <v>3608</v>
      </c>
      <c r="C747" t="s">
        <v>3183</v>
      </c>
      <c r="D747">
        <v>33.330369400000002</v>
      </c>
      <c r="E747" t="s">
        <v>3180</v>
      </c>
      <c r="F747">
        <v>110.39354830000001</v>
      </c>
      <c r="G747" t="s">
        <v>3181</v>
      </c>
      <c r="H747">
        <v>11330</v>
      </c>
      <c r="I747" t="s">
        <v>3182</v>
      </c>
    </row>
    <row r="748" spans="1:9" x14ac:dyDescent="0.25">
      <c r="A748" t="s">
        <v>3179</v>
      </c>
      <c r="B748" t="s">
        <v>3733</v>
      </c>
      <c r="C748" t="s">
        <v>3183</v>
      </c>
      <c r="D748">
        <v>35.319617340000001</v>
      </c>
      <c r="E748" t="s">
        <v>3180</v>
      </c>
      <c r="F748">
        <v>109.8634938</v>
      </c>
      <c r="G748" t="s">
        <v>3181</v>
      </c>
      <c r="H748">
        <v>42554</v>
      </c>
      <c r="I748" t="s">
        <v>3182</v>
      </c>
    </row>
    <row r="749" spans="1:9" x14ac:dyDescent="0.25">
      <c r="A749" t="s">
        <v>3179</v>
      </c>
      <c r="B749" t="s">
        <v>3940</v>
      </c>
      <c r="C749" t="s">
        <v>3183</v>
      </c>
      <c r="D749">
        <v>36.530784509999997</v>
      </c>
      <c r="E749" t="s">
        <v>3180</v>
      </c>
      <c r="F749">
        <v>109.341674</v>
      </c>
      <c r="G749" t="s">
        <v>3181</v>
      </c>
      <c r="H749">
        <v>26425</v>
      </c>
      <c r="I749" t="s">
        <v>3182</v>
      </c>
    </row>
    <row r="750" spans="1:9" x14ac:dyDescent="0.25">
      <c r="A750" t="s">
        <v>3179</v>
      </c>
      <c r="B750" t="s">
        <v>3941</v>
      </c>
      <c r="C750" t="s">
        <v>3183</v>
      </c>
      <c r="D750">
        <v>35.942874770000003</v>
      </c>
      <c r="E750" t="s">
        <v>3180</v>
      </c>
      <c r="F750">
        <v>109.89643479999999</v>
      </c>
      <c r="G750" t="s">
        <v>3181</v>
      </c>
      <c r="H750">
        <v>1700</v>
      </c>
      <c r="I750" t="s">
        <v>3182</v>
      </c>
    </row>
    <row r="751" spans="1:9" x14ac:dyDescent="0.25">
      <c r="A751" t="s">
        <v>3179</v>
      </c>
      <c r="B751" t="s">
        <v>3880</v>
      </c>
      <c r="C751" t="s">
        <v>3183</v>
      </c>
      <c r="D751">
        <v>34.217787870000002</v>
      </c>
      <c r="E751" t="s">
        <v>3180</v>
      </c>
      <c r="F751">
        <v>108.6024714</v>
      </c>
      <c r="G751" t="s">
        <v>3181</v>
      </c>
      <c r="H751">
        <v>25157</v>
      </c>
      <c r="I751" t="s">
        <v>3182</v>
      </c>
    </row>
    <row r="752" spans="1:9" x14ac:dyDescent="0.25">
      <c r="A752" t="s">
        <v>3179</v>
      </c>
      <c r="B752" t="s">
        <v>4069</v>
      </c>
      <c r="C752" t="s">
        <v>3183</v>
      </c>
      <c r="D752">
        <v>37.555509540000003</v>
      </c>
      <c r="E752" t="s">
        <v>3180</v>
      </c>
      <c r="F752">
        <v>109.3952682</v>
      </c>
      <c r="G752" t="s">
        <v>3181</v>
      </c>
      <c r="H752">
        <v>7798</v>
      </c>
      <c r="I752" t="s">
        <v>3182</v>
      </c>
    </row>
    <row r="753" spans="1:9" x14ac:dyDescent="0.25">
      <c r="A753" t="s">
        <v>3179</v>
      </c>
      <c r="B753" t="s">
        <v>3734</v>
      </c>
      <c r="C753" t="s">
        <v>3183</v>
      </c>
      <c r="D753">
        <v>34.685864639999998</v>
      </c>
      <c r="E753" t="s">
        <v>3180</v>
      </c>
      <c r="F753">
        <v>110.0433276</v>
      </c>
      <c r="G753" t="s">
        <v>3181</v>
      </c>
      <c r="H753">
        <v>22028</v>
      </c>
      <c r="I753" t="s">
        <v>3182</v>
      </c>
    </row>
    <row r="754" spans="1:9" x14ac:dyDescent="0.25">
      <c r="A754" t="s">
        <v>3179</v>
      </c>
      <c r="B754" t="s">
        <v>3735</v>
      </c>
      <c r="C754" t="s">
        <v>3183</v>
      </c>
      <c r="D754">
        <v>34.973122259999997</v>
      </c>
      <c r="E754" t="s">
        <v>3180</v>
      </c>
      <c r="F754">
        <v>109.9541625</v>
      </c>
      <c r="G754" t="s">
        <v>3181</v>
      </c>
      <c r="H754">
        <v>35479</v>
      </c>
      <c r="I754" t="s">
        <v>3182</v>
      </c>
    </row>
    <row r="755" spans="1:9" x14ac:dyDescent="0.25">
      <c r="A755" t="s">
        <v>3179</v>
      </c>
      <c r="B755" t="s">
        <v>3942</v>
      </c>
      <c r="C755" t="s">
        <v>3183</v>
      </c>
      <c r="D755">
        <v>36.843853109999998</v>
      </c>
      <c r="E755" t="s">
        <v>3180</v>
      </c>
      <c r="F755">
        <v>110.06165470000001</v>
      </c>
      <c r="G755" t="s">
        <v>3181</v>
      </c>
      <c r="H755">
        <v>11075</v>
      </c>
      <c r="I755" t="s">
        <v>3182</v>
      </c>
    </row>
    <row r="756" spans="1:9" x14ac:dyDescent="0.25">
      <c r="A756" t="s">
        <v>3179</v>
      </c>
      <c r="B756" t="s">
        <v>3511</v>
      </c>
      <c r="C756" t="s">
        <v>3183</v>
      </c>
      <c r="D756">
        <v>33.192573369999998</v>
      </c>
      <c r="E756" t="s">
        <v>3180</v>
      </c>
      <c r="F756">
        <v>107.15701009999999</v>
      </c>
      <c r="G756" t="s">
        <v>3181</v>
      </c>
      <c r="H756">
        <v>14660</v>
      </c>
      <c r="I756" t="s">
        <v>3182</v>
      </c>
    </row>
    <row r="757" spans="1:9" x14ac:dyDescent="0.25">
      <c r="A757" t="s">
        <v>3179</v>
      </c>
      <c r="B757" t="s">
        <v>3512</v>
      </c>
      <c r="C757" t="s">
        <v>3183</v>
      </c>
      <c r="D757">
        <v>33.116154379999998</v>
      </c>
      <c r="E757" t="s">
        <v>3180</v>
      </c>
      <c r="F757">
        <v>106.7232547</v>
      </c>
      <c r="G757" t="s">
        <v>3181</v>
      </c>
      <c r="H757">
        <v>16128</v>
      </c>
      <c r="I757" t="s">
        <v>3182</v>
      </c>
    </row>
    <row r="758" spans="1:9" x14ac:dyDescent="0.25">
      <c r="A758" t="s">
        <v>3179</v>
      </c>
      <c r="B758" t="s">
        <v>3388</v>
      </c>
      <c r="C758" t="s">
        <v>3183</v>
      </c>
      <c r="D758">
        <v>34.977562839999997</v>
      </c>
      <c r="E758" t="s">
        <v>3180</v>
      </c>
      <c r="F758">
        <v>106.77489679999999</v>
      </c>
      <c r="G758" t="s">
        <v>3181</v>
      </c>
      <c r="H758">
        <v>36153</v>
      </c>
      <c r="I758" t="s">
        <v>3182</v>
      </c>
    </row>
    <row r="759" spans="1:9" x14ac:dyDescent="0.25">
      <c r="A759" t="s">
        <v>3179</v>
      </c>
      <c r="B759" t="s">
        <v>4071</v>
      </c>
      <c r="C759" t="s">
        <v>3183</v>
      </c>
      <c r="D759">
        <v>37.849230910000003</v>
      </c>
      <c r="E759" t="s">
        <v>3180</v>
      </c>
      <c r="F759">
        <v>109.793526</v>
      </c>
      <c r="G759" t="s">
        <v>3181</v>
      </c>
      <c r="H759">
        <v>14367</v>
      </c>
      <c r="I759" t="s">
        <v>3182</v>
      </c>
    </row>
    <row r="760" spans="1:9" x14ac:dyDescent="0.25">
      <c r="A760" t="s">
        <v>3179</v>
      </c>
      <c r="B760" t="s">
        <v>4072</v>
      </c>
      <c r="C760" t="s">
        <v>3183</v>
      </c>
      <c r="D760">
        <v>37.954983660000003</v>
      </c>
      <c r="E760" t="s">
        <v>3180</v>
      </c>
      <c r="F760">
        <v>110.36215799999999</v>
      </c>
      <c r="G760" t="s">
        <v>3181</v>
      </c>
      <c r="H760">
        <v>22910</v>
      </c>
      <c r="I760" t="s">
        <v>3182</v>
      </c>
    </row>
    <row r="761" spans="1:9" x14ac:dyDescent="0.25">
      <c r="A761" t="s">
        <v>3179</v>
      </c>
      <c r="B761" t="s">
        <v>3943</v>
      </c>
      <c r="C761" t="s">
        <v>3183</v>
      </c>
      <c r="D761">
        <v>37.08204156</v>
      </c>
      <c r="E761" t="s">
        <v>3180</v>
      </c>
      <c r="F761">
        <v>108.1434509</v>
      </c>
      <c r="G761" t="s">
        <v>3181</v>
      </c>
      <c r="H761">
        <v>7831</v>
      </c>
      <c r="I761" t="s">
        <v>3182</v>
      </c>
    </row>
    <row r="762" spans="1:9" x14ac:dyDescent="0.25">
      <c r="A762" t="s">
        <v>3179</v>
      </c>
      <c r="B762" t="s">
        <v>3513</v>
      </c>
      <c r="C762" t="s">
        <v>3183</v>
      </c>
      <c r="D762">
        <v>33.01679214</v>
      </c>
      <c r="E762" t="s">
        <v>3180</v>
      </c>
      <c r="F762">
        <v>107.41923559999999</v>
      </c>
      <c r="G762" t="s">
        <v>3181</v>
      </c>
      <c r="H762">
        <v>10596</v>
      </c>
      <c r="I762" t="s">
        <v>3182</v>
      </c>
    </row>
    <row r="763" spans="1:9" x14ac:dyDescent="0.25">
      <c r="A763" t="s">
        <v>3179</v>
      </c>
      <c r="B763" t="s">
        <v>3815</v>
      </c>
      <c r="C763" t="s">
        <v>3183</v>
      </c>
      <c r="D763">
        <v>34.334163779999997</v>
      </c>
      <c r="E763" t="s">
        <v>3180</v>
      </c>
      <c r="F763">
        <v>108.09052490000001</v>
      </c>
      <c r="G763" t="s">
        <v>3181</v>
      </c>
      <c r="H763">
        <v>43512</v>
      </c>
      <c r="I763" t="s">
        <v>3182</v>
      </c>
    </row>
    <row r="764" spans="1:9" x14ac:dyDescent="0.25">
      <c r="A764" t="s">
        <v>3179</v>
      </c>
      <c r="B764" t="s">
        <v>3609</v>
      </c>
      <c r="C764" t="s">
        <v>3183</v>
      </c>
      <c r="D764">
        <v>33.56904823</v>
      </c>
      <c r="E764" t="s">
        <v>3180</v>
      </c>
      <c r="F764">
        <v>110.6210866</v>
      </c>
      <c r="G764" t="s">
        <v>3181</v>
      </c>
      <c r="H764">
        <v>20942</v>
      </c>
      <c r="I764" t="s">
        <v>3182</v>
      </c>
    </row>
    <row r="765" spans="1:9" x14ac:dyDescent="0.25">
      <c r="A765" t="s">
        <v>3179</v>
      </c>
      <c r="B765" t="s">
        <v>3514</v>
      </c>
      <c r="C765" t="s">
        <v>3183</v>
      </c>
      <c r="D765">
        <v>33.549734479999998</v>
      </c>
      <c r="E765" t="s">
        <v>3180</v>
      </c>
      <c r="F765">
        <v>107.00550490000001</v>
      </c>
      <c r="G765" t="s">
        <v>3181</v>
      </c>
      <c r="H765">
        <v>5145</v>
      </c>
      <c r="I765" t="s">
        <v>3182</v>
      </c>
    </row>
    <row r="766" spans="1:9" x14ac:dyDescent="0.25">
      <c r="A766" t="s">
        <v>3179</v>
      </c>
      <c r="B766" t="s">
        <v>3944</v>
      </c>
      <c r="C766" t="s">
        <v>3183</v>
      </c>
      <c r="D766">
        <v>37.110500139999999</v>
      </c>
      <c r="E766" t="s">
        <v>3180</v>
      </c>
      <c r="F766">
        <v>108.3831168</v>
      </c>
      <c r="G766" t="s">
        <v>3181</v>
      </c>
      <c r="H766">
        <v>8281</v>
      </c>
      <c r="I766" t="s">
        <v>3182</v>
      </c>
    </row>
    <row r="767" spans="1:9" x14ac:dyDescent="0.25">
      <c r="A767" t="s">
        <v>3179</v>
      </c>
      <c r="B767" t="s">
        <v>3515</v>
      </c>
      <c r="C767" t="s">
        <v>3183</v>
      </c>
      <c r="D767">
        <v>33.164002099999998</v>
      </c>
      <c r="E767" t="s">
        <v>3180</v>
      </c>
      <c r="F767">
        <v>106.569153</v>
      </c>
      <c r="G767" t="s">
        <v>3181</v>
      </c>
      <c r="H767">
        <v>18640</v>
      </c>
      <c r="I767" t="s">
        <v>3182</v>
      </c>
    </row>
    <row r="768" spans="1:9" x14ac:dyDescent="0.25">
      <c r="A768" t="s">
        <v>3179</v>
      </c>
      <c r="B768" t="s">
        <v>4070</v>
      </c>
      <c r="C768" t="s">
        <v>3183</v>
      </c>
      <c r="D768">
        <v>38.82810465</v>
      </c>
      <c r="E768" t="s">
        <v>3180</v>
      </c>
      <c r="F768">
        <v>110.8966248</v>
      </c>
      <c r="G768" t="s">
        <v>3181</v>
      </c>
      <c r="H768">
        <v>3018</v>
      </c>
      <c r="I768" t="s">
        <v>3182</v>
      </c>
    </row>
    <row r="769" spans="1:9" x14ac:dyDescent="0.25">
      <c r="A769" t="s">
        <v>3179</v>
      </c>
      <c r="B769" t="s">
        <v>3389</v>
      </c>
      <c r="C769" t="s">
        <v>3183</v>
      </c>
      <c r="D769">
        <v>34.320331269999997</v>
      </c>
      <c r="E769" t="s">
        <v>3180</v>
      </c>
      <c r="F769">
        <v>107.8166253</v>
      </c>
      <c r="G769" t="s">
        <v>3181</v>
      </c>
      <c r="H769">
        <v>35697</v>
      </c>
      <c r="I769" t="s">
        <v>3182</v>
      </c>
    </row>
    <row r="770" spans="1:9" x14ac:dyDescent="0.25">
      <c r="A770" t="s">
        <v>3179</v>
      </c>
      <c r="B770" t="s">
        <v>3275</v>
      </c>
      <c r="C770" t="s">
        <v>3183</v>
      </c>
      <c r="D770">
        <v>32.752110590000001</v>
      </c>
      <c r="E770" t="s">
        <v>3180</v>
      </c>
      <c r="F770">
        <v>108.8925928</v>
      </c>
      <c r="G770" t="s">
        <v>3181</v>
      </c>
      <c r="H770">
        <v>57083</v>
      </c>
      <c r="I770" t="s">
        <v>3182</v>
      </c>
    </row>
    <row r="771" spans="1:9" x14ac:dyDescent="0.25">
      <c r="A771" t="s">
        <v>3179</v>
      </c>
      <c r="B771" t="s">
        <v>3275</v>
      </c>
      <c r="C771" t="s">
        <v>3183</v>
      </c>
      <c r="D771">
        <v>35.43382484</v>
      </c>
      <c r="E771" t="s">
        <v>3180</v>
      </c>
      <c r="F771">
        <v>109.2741813</v>
      </c>
      <c r="G771" t="s">
        <v>3181</v>
      </c>
      <c r="H771">
        <v>13147</v>
      </c>
      <c r="I771" t="s">
        <v>3182</v>
      </c>
    </row>
    <row r="772" spans="1:9" x14ac:dyDescent="0.25">
      <c r="A772" t="s">
        <v>3179</v>
      </c>
      <c r="B772" t="s">
        <v>3516</v>
      </c>
      <c r="C772" t="s">
        <v>3183</v>
      </c>
      <c r="D772">
        <v>33.515380530000002</v>
      </c>
      <c r="E772" t="s">
        <v>3180</v>
      </c>
      <c r="F772">
        <v>106.239014</v>
      </c>
      <c r="G772" t="s">
        <v>3181</v>
      </c>
      <c r="H772">
        <v>4589</v>
      </c>
      <c r="I772" t="s">
        <v>3182</v>
      </c>
    </row>
    <row r="773" spans="1:9" x14ac:dyDescent="0.25">
      <c r="A773" t="s">
        <v>3179</v>
      </c>
      <c r="B773" t="s">
        <v>3816</v>
      </c>
      <c r="C773" t="s">
        <v>3183</v>
      </c>
      <c r="D773">
        <v>34.302716449999998</v>
      </c>
      <c r="E773" t="s">
        <v>3180</v>
      </c>
      <c r="F773">
        <v>107.9832625</v>
      </c>
      <c r="G773" t="s">
        <v>3181</v>
      </c>
      <c r="H773">
        <v>19010</v>
      </c>
      <c r="I773" t="s">
        <v>3182</v>
      </c>
    </row>
    <row r="774" spans="1:9" x14ac:dyDescent="0.25">
      <c r="A774" t="s">
        <v>3179</v>
      </c>
      <c r="B774" t="s">
        <v>3517</v>
      </c>
      <c r="C774" t="s">
        <v>3183</v>
      </c>
      <c r="D774">
        <v>33.226952300000001</v>
      </c>
      <c r="E774" t="s">
        <v>3180</v>
      </c>
      <c r="F774">
        <v>107.05028</v>
      </c>
      <c r="G774" t="s">
        <v>3181</v>
      </c>
      <c r="H774">
        <v>24861</v>
      </c>
      <c r="I774" t="s">
        <v>3182</v>
      </c>
    </row>
    <row r="775" spans="1:9" x14ac:dyDescent="0.25">
      <c r="A775" t="s">
        <v>3179</v>
      </c>
      <c r="B775" t="s">
        <v>3390</v>
      </c>
      <c r="C775" t="s">
        <v>3183</v>
      </c>
      <c r="D775">
        <v>34.285136799999997</v>
      </c>
      <c r="E775" t="s">
        <v>3180</v>
      </c>
      <c r="F775">
        <v>107.6124607</v>
      </c>
      <c r="G775" t="s">
        <v>3181</v>
      </c>
      <c r="H775">
        <v>28328</v>
      </c>
      <c r="I775" t="s">
        <v>3182</v>
      </c>
    </row>
    <row r="776" spans="1:9" x14ac:dyDescent="0.25">
      <c r="A776" t="s">
        <v>3179</v>
      </c>
      <c r="B776" t="s">
        <v>4079</v>
      </c>
      <c r="C776" t="s">
        <v>3183</v>
      </c>
      <c r="D776">
        <v>37.749691079999998</v>
      </c>
      <c r="E776" t="s">
        <v>3180</v>
      </c>
      <c r="F776">
        <v>110.6811247</v>
      </c>
      <c r="G776" t="s">
        <v>3181</v>
      </c>
      <c r="H776">
        <v>17565</v>
      </c>
      <c r="I776" t="s">
        <v>3182</v>
      </c>
    </row>
    <row r="777" spans="1:9" x14ac:dyDescent="0.25">
      <c r="A777" t="s">
        <v>3179</v>
      </c>
      <c r="B777" t="s">
        <v>3736</v>
      </c>
      <c r="C777" t="s">
        <v>3183</v>
      </c>
      <c r="D777">
        <v>34.720702430000003</v>
      </c>
      <c r="E777" t="s">
        <v>3180</v>
      </c>
      <c r="F777">
        <v>109.51191799999999</v>
      </c>
      <c r="G777" t="s">
        <v>3181</v>
      </c>
      <c r="H777">
        <v>43222</v>
      </c>
      <c r="I777" t="s">
        <v>3182</v>
      </c>
    </row>
    <row r="778" spans="1:9" x14ac:dyDescent="0.25">
      <c r="A778" t="s">
        <v>3179</v>
      </c>
      <c r="B778" t="s">
        <v>3519</v>
      </c>
      <c r="C778" t="s">
        <v>3183</v>
      </c>
      <c r="D778">
        <v>32.802790389999998</v>
      </c>
      <c r="E778" t="s">
        <v>3180</v>
      </c>
      <c r="F778">
        <v>107.58471969999999</v>
      </c>
      <c r="G778" t="s">
        <v>3181</v>
      </c>
      <c r="H778">
        <v>12479</v>
      </c>
      <c r="I778" t="s">
        <v>3182</v>
      </c>
    </row>
    <row r="779" spans="1:9" x14ac:dyDescent="0.25">
      <c r="A779" t="s">
        <v>3179</v>
      </c>
      <c r="B779" t="s">
        <v>3518</v>
      </c>
      <c r="C779" t="s">
        <v>3183</v>
      </c>
      <c r="D779">
        <v>33.198024230000001</v>
      </c>
      <c r="E779" t="s">
        <v>3180</v>
      </c>
      <c r="F779">
        <v>106.38353960000001</v>
      </c>
      <c r="G779" t="s">
        <v>3181</v>
      </c>
      <c r="H779">
        <v>10587</v>
      </c>
      <c r="I779" t="s">
        <v>3182</v>
      </c>
    </row>
    <row r="780" spans="1:9" x14ac:dyDescent="0.25">
      <c r="A780" t="s">
        <v>3179</v>
      </c>
      <c r="B780" t="s">
        <v>3610</v>
      </c>
      <c r="C780" t="s">
        <v>3183</v>
      </c>
      <c r="D780">
        <v>33.703318680000002</v>
      </c>
      <c r="E780" t="s">
        <v>3180</v>
      </c>
      <c r="F780">
        <v>109.17053970000001</v>
      </c>
      <c r="G780" t="s">
        <v>3181</v>
      </c>
      <c r="H780">
        <v>20273</v>
      </c>
      <c r="I780" t="s">
        <v>3182</v>
      </c>
    </row>
    <row r="781" spans="1:9" x14ac:dyDescent="0.25">
      <c r="A781" t="s">
        <v>3179</v>
      </c>
      <c r="B781" t="s">
        <v>3737</v>
      </c>
      <c r="C781" t="s">
        <v>3183</v>
      </c>
      <c r="D781">
        <v>34.574885530000003</v>
      </c>
      <c r="E781" t="s">
        <v>3180</v>
      </c>
      <c r="F781">
        <v>109.7802465</v>
      </c>
      <c r="G781" t="s">
        <v>3181</v>
      </c>
      <c r="H781">
        <v>21895</v>
      </c>
      <c r="I781" t="s">
        <v>3182</v>
      </c>
    </row>
    <row r="782" spans="1:9" x14ac:dyDescent="0.25">
      <c r="A782" t="s">
        <v>3179</v>
      </c>
      <c r="B782" t="s">
        <v>3817</v>
      </c>
      <c r="C782" t="s">
        <v>3183</v>
      </c>
      <c r="D782">
        <v>35.218898330000002</v>
      </c>
      <c r="E782" t="s">
        <v>3180</v>
      </c>
      <c r="F782">
        <v>107.91260490000001</v>
      </c>
      <c r="G782" t="s">
        <v>3181</v>
      </c>
      <c r="H782">
        <v>12399</v>
      </c>
      <c r="I782" t="s">
        <v>3182</v>
      </c>
    </row>
    <row r="783" spans="1:9" x14ac:dyDescent="0.25">
      <c r="A783" t="s">
        <v>3179</v>
      </c>
      <c r="B783" t="s">
        <v>3611</v>
      </c>
      <c r="C783" t="s">
        <v>3183</v>
      </c>
      <c r="D783">
        <v>33.323387660000002</v>
      </c>
      <c r="E783" t="s">
        <v>3180</v>
      </c>
      <c r="F783">
        <v>110.9191928</v>
      </c>
      <c r="G783" t="s">
        <v>3181</v>
      </c>
      <c r="H783">
        <v>17393</v>
      </c>
      <c r="I783" t="s">
        <v>3182</v>
      </c>
    </row>
    <row r="784" spans="1:9" x14ac:dyDescent="0.25">
      <c r="A784" t="s">
        <v>3179</v>
      </c>
      <c r="B784" t="s">
        <v>3391</v>
      </c>
      <c r="C784" t="s">
        <v>3183</v>
      </c>
      <c r="D784">
        <v>34.55803117</v>
      </c>
      <c r="E784" t="s">
        <v>3180</v>
      </c>
      <c r="F784">
        <v>106.99439750000001</v>
      </c>
      <c r="G784" t="s">
        <v>3181</v>
      </c>
      <c r="H784">
        <v>49189</v>
      </c>
      <c r="I784" t="s">
        <v>3182</v>
      </c>
    </row>
    <row r="785" spans="1:9" x14ac:dyDescent="0.25">
      <c r="A785" t="s">
        <v>3179</v>
      </c>
      <c r="B785" t="s">
        <v>3392</v>
      </c>
      <c r="C785" t="s">
        <v>3183</v>
      </c>
      <c r="D785">
        <v>34.545613779999996</v>
      </c>
      <c r="E785" t="s">
        <v>3180</v>
      </c>
      <c r="F785">
        <v>106.7679273</v>
      </c>
      <c r="G785" t="s">
        <v>3181</v>
      </c>
      <c r="H785">
        <v>12244</v>
      </c>
      <c r="I785" t="s">
        <v>3182</v>
      </c>
    </row>
    <row r="786" spans="1:9" x14ac:dyDescent="0.25">
      <c r="A786" t="s">
        <v>3179</v>
      </c>
      <c r="B786" t="s">
        <v>4073</v>
      </c>
      <c r="C786" t="s">
        <v>3183</v>
      </c>
      <c r="D786">
        <v>37.958975899999999</v>
      </c>
      <c r="E786" t="s">
        <v>3180</v>
      </c>
      <c r="F786">
        <v>109.66257760000001</v>
      </c>
      <c r="G786" t="s">
        <v>3181</v>
      </c>
      <c r="H786">
        <v>10319</v>
      </c>
      <c r="I786" t="s">
        <v>3182</v>
      </c>
    </row>
    <row r="787" spans="1:9" x14ac:dyDescent="0.25">
      <c r="A787" t="s">
        <v>3179</v>
      </c>
      <c r="B787" t="s">
        <v>3520</v>
      </c>
      <c r="C787" t="s">
        <v>3183</v>
      </c>
      <c r="D787">
        <v>32.946455100000001</v>
      </c>
      <c r="E787" t="s">
        <v>3180</v>
      </c>
      <c r="F787">
        <v>107.10737810000001</v>
      </c>
      <c r="G787" t="s">
        <v>3181</v>
      </c>
      <c r="H787">
        <v>11389</v>
      </c>
      <c r="I787" t="s">
        <v>3182</v>
      </c>
    </row>
    <row r="788" spans="1:9" x14ac:dyDescent="0.25">
      <c r="A788" t="s">
        <v>3179</v>
      </c>
      <c r="B788" t="s">
        <v>3276</v>
      </c>
      <c r="C788" t="s">
        <v>3183</v>
      </c>
      <c r="D788">
        <v>32.479284589999999</v>
      </c>
      <c r="E788" t="s">
        <v>3180</v>
      </c>
      <c r="F788">
        <v>108.443078</v>
      </c>
      <c r="G788" t="s">
        <v>3181</v>
      </c>
      <c r="H788">
        <v>12708</v>
      </c>
      <c r="I788" t="s">
        <v>3182</v>
      </c>
    </row>
    <row r="789" spans="1:9" x14ac:dyDescent="0.25">
      <c r="A789" t="s">
        <v>3179</v>
      </c>
      <c r="B789" t="s">
        <v>3277</v>
      </c>
      <c r="C789" t="s">
        <v>3183</v>
      </c>
      <c r="D789">
        <v>32.59793698</v>
      </c>
      <c r="E789" t="s">
        <v>3180</v>
      </c>
      <c r="F789">
        <v>109.08890700000001</v>
      </c>
      <c r="G789" t="s">
        <v>3181</v>
      </c>
      <c r="H789">
        <v>12451</v>
      </c>
      <c r="I789" t="s">
        <v>3182</v>
      </c>
    </row>
    <row r="790" spans="1:9" x14ac:dyDescent="0.25">
      <c r="A790" t="s">
        <v>3179</v>
      </c>
      <c r="B790" t="s">
        <v>3278</v>
      </c>
      <c r="C790" t="s">
        <v>3183</v>
      </c>
      <c r="D790">
        <v>33.012970330000002</v>
      </c>
      <c r="E790" t="s">
        <v>3180</v>
      </c>
      <c r="F790">
        <v>109.74562</v>
      </c>
      <c r="G790" t="s">
        <v>3181</v>
      </c>
      <c r="H790">
        <v>21619</v>
      </c>
      <c r="I790" t="s">
        <v>3182</v>
      </c>
    </row>
    <row r="791" spans="1:9" x14ac:dyDescent="0.25">
      <c r="A791" t="s">
        <v>3179</v>
      </c>
      <c r="B791" t="s">
        <v>4074</v>
      </c>
      <c r="C791" t="s">
        <v>3183</v>
      </c>
      <c r="D791">
        <v>37.030670409999999</v>
      </c>
      <c r="E791" t="s">
        <v>3180</v>
      </c>
      <c r="F791">
        <v>110.1480847</v>
      </c>
      <c r="G791" t="s">
        <v>3181</v>
      </c>
      <c r="H791">
        <v>10686</v>
      </c>
      <c r="I791" t="s">
        <v>3182</v>
      </c>
    </row>
    <row r="792" spans="1:9" x14ac:dyDescent="0.25">
      <c r="A792" t="s">
        <v>3179</v>
      </c>
      <c r="B792" t="s">
        <v>3521</v>
      </c>
      <c r="C792" t="s">
        <v>3183</v>
      </c>
      <c r="D792">
        <v>33.469770629999999</v>
      </c>
      <c r="E792" t="s">
        <v>3180</v>
      </c>
      <c r="F792">
        <v>106.41500310000001</v>
      </c>
      <c r="G792" t="s">
        <v>3181</v>
      </c>
      <c r="H792">
        <v>3484</v>
      </c>
      <c r="I792" t="s">
        <v>3182</v>
      </c>
    </row>
    <row r="793" spans="1:9" x14ac:dyDescent="0.25">
      <c r="A793" t="s">
        <v>3179</v>
      </c>
      <c r="B793" t="s">
        <v>3818</v>
      </c>
      <c r="C793" t="s">
        <v>3183</v>
      </c>
      <c r="D793">
        <v>34.236738899999999</v>
      </c>
      <c r="E793" t="s">
        <v>3180</v>
      </c>
      <c r="F793">
        <v>108.2662127</v>
      </c>
      <c r="G793" t="s">
        <v>3181</v>
      </c>
      <c r="H793">
        <v>71665</v>
      </c>
      <c r="I793" t="s">
        <v>3182</v>
      </c>
    </row>
    <row r="794" spans="1:9" x14ac:dyDescent="0.25">
      <c r="A794" t="s">
        <v>3179</v>
      </c>
      <c r="B794" t="s">
        <v>5717</v>
      </c>
      <c r="C794" t="s">
        <v>3183</v>
      </c>
      <c r="D794">
        <v>33.54000533</v>
      </c>
      <c r="E794" t="s">
        <v>3180</v>
      </c>
      <c r="F794">
        <v>107.21498320000001</v>
      </c>
      <c r="G794" t="s">
        <v>3181</v>
      </c>
      <c r="H794">
        <v>4215</v>
      </c>
      <c r="I794" t="s">
        <v>3182</v>
      </c>
    </row>
    <row r="795" spans="1:9" x14ac:dyDescent="0.25">
      <c r="A795" t="s">
        <v>3179</v>
      </c>
      <c r="B795" t="s">
        <v>5718</v>
      </c>
      <c r="C795" t="s">
        <v>3183</v>
      </c>
      <c r="D795">
        <v>37.353068299999997</v>
      </c>
      <c r="E795" t="s">
        <v>3180</v>
      </c>
      <c r="F795">
        <v>109.0288245</v>
      </c>
      <c r="G795" t="s">
        <v>3181</v>
      </c>
      <c r="H795">
        <v>5905</v>
      </c>
      <c r="I795" t="s">
        <v>3182</v>
      </c>
    </row>
    <row r="796" spans="1:9" x14ac:dyDescent="0.25">
      <c r="A796" t="s">
        <v>3179</v>
      </c>
      <c r="B796" t="s">
        <v>3279</v>
      </c>
      <c r="C796" t="s">
        <v>3183</v>
      </c>
      <c r="D796">
        <v>33.115652089999998</v>
      </c>
      <c r="E796" t="s">
        <v>3180</v>
      </c>
      <c r="F796">
        <v>109.2491151</v>
      </c>
      <c r="G796" t="s">
        <v>3181</v>
      </c>
      <c r="H796">
        <v>24306</v>
      </c>
      <c r="I796" t="s">
        <v>3182</v>
      </c>
    </row>
    <row r="797" spans="1:9" x14ac:dyDescent="0.25">
      <c r="A797" t="s">
        <v>3179</v>
      </c>
      <c r="B797" t="s">
        <v>3612</v>
      </c>
      <c r="C797" t="s">
        <v>3183</v>
      </c>
      <c r="D797">
        <v>33.614057840000001</v>
      </c>
      <c r="E797" t="s">
        <v>3180</v>
      </c>
      <c r="F797">
        <v>109.66146209999999</v>
      </c>
      <c r="G797" t="s">
        <v>3181</v>
      </c>
      <c r="H797">
        <v>20020</v>
      </c>
      <c r="I797" t="s">
        <v>3182</v>
      </c>
    </row>
    <row r="798" spans="1:9" x14ac:dyDescent="0.25">
      <c r="A798" t="s">
        <v>3179</v>
      </c>
      <c r="B798" t="s">
        <v>4075</v>
      </c>
      <c r="C798" t="s">
        <v>3183</v>
      </c>
      <c r="D798">
        <v>38.415869620000002</v>
      </c>
      <c r="E798" t="s">
        <v>3180</v>
      </c>
      <c r="F798">
        <v>109.4457178</v>
      </c>
      <c r="G798" t="s">
        <v>3181</v>
      </c>
      <c r="H798">
        <v>11232</v>
      </c>
      <c r="I798" t="s">
        <v>3182</v>
      </c>
    </row>
    <row r="799" spans="1:9" x14ac:dyDescent="0.25">
      <c r="A799" t="s">
        <v>3179</v>
      </c>
      <c r="B799" t="s">
        <v>3613</v>
      </c>
      <c r="C799" t="s">
        <v>3183</v>
      </c>
      <c r="D799">
        <v>33.574653249999997</v>
      </c>
      <c r="E799" t="s">
        <v>3180</v>
      </c>
      <c r="F799">
        <v>109.2857425</v>
      </c>
      <c r="G799" t="s">
        <v>3181</v>
      </c>
      <c r="H799">
        <v>11412</v>
      </c>
      <c r="I799" t="s">
        <v>3182</v>
      </c>
    </row>
    <row r="800" spans="1:9" x14ac:dyDescent="0.25">
      <c r="A800" t="s">
        <v>3179</v>
      </c>
      <c r="B800" t="s">
        <v>3522</v>
      </c>
      <c r="C800" t="s">
        <v>3183</v>
      </c>
      <c r="D800">
        <v>32.774038480000002</v>
      </c>
      <c r="E800" t="s">
        <v>3180</v>
      </c>
      <c r="F800">
        <v>107.0112412</v>
      </c>
      <c r="G800" t="s">
        <v>3181</v>
      </c>
      <c r="H800">
        <v>10297</v>
      </c>
      <c r="I800" t="s">
        <v>3182</v>
      </c>
    </row>
    <row r="801" spans="1:9" x14ac:dyDescent="0.25">
      <c r="A801" t="s">
        <v>3179</v>
      </c>
      <c r="B801" t="s">
        <v>3650</v>
      </c>
      <c r="C801" t="s">
        <v>3183</v>
      </c>
      <c r="D801">
        <v>34.905906180000002</v>
      </c>
      <c r="E801" t="s">
        <v>3180</v>
      </c>
      <c r="F801">
        <v>108.7566271</v>
      </c>
      <c r="G801" t="s">
        <v>3181</v>
      </c>
      <c r="H801">
        <v>27467</v>
      </c>
      <c r="I801" t="s">
        <v>3182</v>
      </c>
    </row>
    <row r="802" spans="1:9" x14ac:dyDescent="0.25">
      <c r="A802" t="s">
        <v>3179</v>
      </c>
      <c r="B802" t="s">
        <v>3523</v>
      </c>
      <c r="C802" t="s">
        <v>3183</v>
      </c>
      <c r="D802">
        <v>32.44666496</v>
      </c>
      <c r="E802" t="s">
        <v>3180</v>
      </c>
      <c r="F802">
        <v>107.9984649</v>
      </c>
      <c r="G802" t="s">
        <v>3181</v>
      </c>
      <c r="H802">
        <v>9231</v>
      </c>
      <c r="I802" t="s">
        <v>3182</v>
      </c>
    </row>
    <row r="803" spans="1:9" x14ac:dyDescent="0.25">
      <c r="A803" t="s">
        <v>3179</v>
      </c>
      <c r="B803" t="s">
        <v>5719</v>
      </c>
      <c r="C803" t="s">
        <v>3183</v>
      </c>
      <c r="D803">
        <v>33.738888500000002</v>
      </c>
      <c r="E803" t="s">
        <v>3180</v>
      </c>
      <c r="F803">
        <v>110.1540806</v>
      </c>
      <c r="G803" t="s">
        <v>3181</v>
      </c>
      <c r="H803">
        <v>13754</v>
      </c>
      <c r="I803" t="s">
        <v>3182</v>
      </c>
    </row>
    <row r="804" spans="1:9" x14ac:dyDescent="0.25">
      <c r="A804" t="s">
        <v>3179</v>
      </c>
      <c r="B804" t="s">
        <v>5720</v>
      </c>
      <c r="C804" t="s">
        <v>3183</v>
      </c>
      <c r="D804">
        <v>34.611374939999997</v>
      </c>
      <c r="E804" t="s">
        <v>3180</v>
      </c>
      <c r="F804">
        <v>109.6732794</v>
      </c>
      <c r="G804" t="s">
        <v>3181</v>
      </c>
      <c r="H804">
        <v>21423</v>
      </c>
      <c r="I804" t="s">
        <v>3182</v>
      </c>
    </row>
    <row r="805" spans="1:9" x14ac:dyDescent="0.25">
      <c r="A805" t="s">
        <v>3179</v>
      </c>
      <c r="B805" t="s">
        <v>3881</v>
      </c>
      <c r="C805" t="s">
        <v>3183</v>
      </c>
      <c r="D805">
        <v>34.001145020000003</v>
      </c>
      <c r="E805" t="s">
        <v>3180</v>
      </c>
      <c r="F805">
        <v>109.2994992</v>
      </c>
      <c r="G805" t="s">
        <v>3181</v>
      </c>
      <c r="H805">
        <v>18249</v>
      </c>
      <c r="I805" t="s">
        <v>3182</v>
      </c>
    </row>
    <row r="806" spans="1:9" x14ac:dyDescent="0.25">
      <c r="A806" t="s">
        <v>3179</v>
      </c>
      <c r="B806" t="s">
        <v>3393</v>
      </c>
      <c r="C806" t="s">
        <v>3183</v>
      </c>
      <c r="D806">
        <v>34.46576031</v>
      </c>
      <c r="E806" t="s">
        <v>3180</v>
      </c>
      <c r="F806">
        <v>107.00632640000001</v>
      </c>
      <c r="G806" t="s">
        <v>3181</v>
      </c>
      <c r="H806">
        <v>16745</v>
      </c>
      <c r="I806" t="s">
        <v>3182</v>
      </c>
    </row>
    <row r="807" spans="1:9" x14ac:dyDescent="0.25">
      <c r="A807" t="s">
        <v>3179</v>
      </c>
      <c r="B807" t="s">
        <v>3945</v>
      </c>
      <c r="C807" t="s">
        <v>3183</v>
      </c>
      <c r="D807">
        <v>36.465553249999999</v>
      </c>
      <c r="E807" t="s">
        <v>3180</v>
      </c>
      <c r="F807">
        <v>109.0320177</v>
      </c>
      <c r="G807" t="s">
        <v>3181</v>
      </c>
      <c r="H807">
        <v>10751</v>
      </c>
      <c r="I807" t="s">
        <v>3182</v>
      </c>
    </row>
    <row r="808" spans="1:9" x14ac:dyDescent="0.25">
      <c r="A808" t="s">
        <v>3179</v>
      </c>
      <c r="B808" t="s">
        <v>3738</v>
      </c>
      <c r="C808" t="s">
        <v>3183</v>
      </c>
      <c r="D808">
        <v>34.655828669999998</v>
      </c>
      <c r="E808" t="s">
        <v>3180</v>
      </c>
      <c r="F808">
        <v>109.75888430000001</v>
      </c>
      <c r="G808" t="s">
        <v>3181</v>
      </c>
      <c r="H808">
        <v>17231</v>
      </c>
      <c r="I808" t="s">
        <v>3182</v>
      </c>
    </row>
    <row r="809" spans="1:9" x14ac:dyDescent="0.25">
      <c r="A809" t="s">
        <v>3179</v>
      </c>
      <c r="B809" t="s">
        <v>3524</v>
      </c>
      <c r="C809" t="s">
        <v>3183</v>
      </c>
      <c r="D809">
        <v>33.436025729999997</v>
      </c>
      <c r="E809" t="s">
        <v>3180</v>
      </c>
      <c r="F809">
        <v>107.96506429999999</v>
      </c>
      <c r="G809" t="s">
        <v>3181</v>
      </c>
      <c r="H809">
        <v>3266</v>
      </c>
      <c r="I809" t="s">
        <v>3182</v>
      </c>
    </row>
    <row r="810" spans="1:9" x14ac:dyDescent="0.25">
      <c r="A810" t="s">
        <v>3179</v>
      </c>
      <c r="B810" t="s">
        <v>3525</v>
      </c>
      <c r="C810" t="s">
        <v>3183</v>
      </c>
      <c r="D810">
        <v>33.201887790000001</v>
      </c>
      <c r="E810" t="s">
        <v>3180</v>
      </c>
      <c r="F810">
        <v>107.4201619</v>
      </c>
      <c r="G810" t="s">
        <v>3181</v>
      </c>
      <c r="H810">
        <v>38466</v>
      </c>
      <c r="I810" t="s">
        <v>3182</v>
      </c>
    </row>
    <row r="811" spans="1:9" x14ac:dyDescent="0.25">
      <c r="A811" t="s">
        <v>3179</v>
      </c>
      <c r="B811" t="s">
        <v>3882</v>
      </c>
      <c r="C811" t="s">
        <v>3183</v>
      </c>
      <c r="D811">
        <v>34.204174999999999</v>
      </c>
      <c r="E811" t="s">
        <v>3180</v>
      </c>
      <c r="F811">
        <v>109.245608</v>
      </c>
      <c r="G811" t="s">
        <v>3181</v>
      </c>
      <c r="H811">
        <v>33681</v>
      </c>
      <c r="I811" t="s">
        <v>3182</v>
      </c>
    </row>
    <row r="812" spans="1:9" x14ac:dyDescent="0.25">
      <c r="A812" t="s">
        <v>3179</v>
      </c>
      <c r="B812" t="s">
        <v>3526</v>
      </c>
      <c r="C812" t="s">
        <v>3183</v>
      </c>
      <c r="D812">
        <v>32.992310410000002</v>
      </c>
      <c r="E812" t="s">
        <v>3180</v>
      </c>
      <c r="F812">
        <v>106.88484440000001</v>
      </c>
      <c r="G812" t="s">
        <v>3181</v>
      </c>
      <c r="H812">
        <v>16676</v>
      </c>
      <c r="I812" t="s">
        <v>3182</v>
      </c>
    </row>
    <row r="813" spans="1:9" x14ac:dyDescent="0.25">
      <c r="A813" t="s">
        <v>3179</v>
      </c>
      <c r="B813" t="s">
        <v>3739</v>
      </c>
      <c r="C813" t="s">
        <v>3183</v>
      </c>
      <c r="D813">
        <v>35.152627680000002</v>
      </c>
      <c r="E813" t="s">
        <v>3180</v>
      </c>
      <c r="F813">
        <v>109.71535780000001</v>
      </c>
      <c r="G813" t="s">
        <v>3181</v>
      </c>
      <c r="H813">
        <v>16725</v>
      </c>
      <c r="I813" t="s">
        <v>3182</v>
      </c>
    </row>
    <row r="814" spans="1:9" x14ac:dyDescent="0.25">
      <c r="A814" t="s">
        <v>3179</v>
      </c>
      <c r="B814" t="s">
        <v>3280</v>
      </c>
      <c r="C814" t="s">
        <v>3183</v>
      </c>
      <c r="D814">
        <v>32.857926139999996</v>
      </c>
      <c r="E814" t="s">
        <v>3180</v>
      </c>
      <c r="F814">
        <v>108.2481658</v>
      </c>
      <c r="G814" t="s">
        <v>3181</v>
      </c>
      <c r="H814">
        <v>8010</v>
      </c>
      <c r="I814" t="s">
        <v>3182</v>
      </c>
    </row>
    <row r="815" spans="1:9" x14ac:dyDescent="0.25">
      <c r="A815" t="s">
        <v>3179</v>
      </c>
      <c r="B815" t="s">
        <v>3281</v>
      </c>
      <c r="C815" t="s">
        <v>3183</v>
      </c>
      <c r="D815">
        <v>32.563634729999997</v>
      </c>
      <c r="E815" t="s">
        <v>3180</v>
      </c>
      <c r="F815">
        <v>109.2835766</v>
      </c>
      <c r="G815" t="s">
        <v>3181</v>
      </c>
      <c r="H815">
        <v>8386</v>
      </c>
      <c r="I815" t="s">
        <v>3182</v>
      </c>
    </row>
    <row r="816" spans="1:9" x14ac:dyDescent="0.25">
      <c r="A816" t="s">
        <v>3179</v>
      </c>
      <c r="B816" t="s">
        <v>3527</v>
      </c>
      <c r="C816" t="s">
        <v>3183</v>
      </c>
      <c r="D816">
        <v>33.496921810000003</v>
      </c>
      <c r="E816" t="s">
        <v>3180</v>
      </c>
      <c r="F816">
        <v>105.9077817</v>
      </c>
      <c r="G816" t="s">
        <v>3181</v>
      </c>
      <c r="H816">
        <v>3388</v>
      </c>
      <c r="I816" t="s">
        <v>3182</v>
      </c>
    </row>
    <row r="817" spans="1:9" x14ac:dyDescent="0.25">
      <c r="A817" t="s">
        <v>3179</v>
      </c>
      <c r="B817" t="s">
        <v>3614</v>
      </c>
      <c r="C817" t="s">
        <v>3183</v>
      </c>
      <c r="D817">
        <v>33.234601499999997</v>
      </c>
      <c r="E817" t="s">
        <v>3180</v>
      </c>
      <c r="F817">
        <v>109.3431339</v>
      </c>
      <c r="G817" t="s">
        <v>3181</v>
      </c>
      <c r="H817">
        <v>10842</v>
      </c>
      <c r="I817" t="s">
        <v>3182</v>
      </c>
    </row>
    <row r="818" spans="1:9" x14ac:dyDescent="0.25">
      <c r="A818" t="s">
        <v>3179</v>
      </c>
      <c r="B818" t="s">
        <v>4076</v>
      </c>
      <c r="C818" t="s">
        <v>3183</v>
      </c>
      <c r="D818">
        <v>37.464115829999997</v>
      </c>
      <c r="E818" t="s">
        <v>3180</v>
      </c>
      <c r="F818">
        <v>108.671808</v>
      </c>
      <c r="G818" t="s">
        <v>3181</v>
      </c>
      <c r="H818">
        <v>10177</v>
      </c>
      <c r="I818" t="s">
        <v>3182</v>
      </c>
    </row>
    <row r="819" spans="1:9" x14ac:dyDescent="0.25">
      <c r="A819" t="s">
        <v>3179</v>
      </c>
      <c r="B819" t="s">
        <v>4077</v>
      </c>
      <c r="C819" t="s">
        <v>3183</v>
      </c>
      <c r="D819">
        <v>37.17275033</v>
      </c>
      <c r="E819" t="s">
        <v>3180</v>
      </c>
      <c r="F819">
        <v>107.98268419999999</v>
      </c>
      <c r="G819" t="s">
        <v>3181</v>
      </c>
      <c r="H819">
        <v>6283</v>
      </c>
      <c r="I819" t="s">
        <v>3182</v>
      </c>
    </row>
    <row r="820" spans="1:9" x14ac:dyDescent="0.25">
      <c r="A820" t="s">
        <v>3179</v>
      </c>
      <c r="B820" t="s">
        <v>3282</v>
      </c>
      <c r="C820" t="s">
        <v>3183</v>
      </c>
      <c r="D820">
        <v>33.651067500000003</v>
      </c>
      <c r="E820" t="s">
        <v>3180</v>
      </c>
      <c r="F820">
        <v>108.285053</v>
      </c>
      <c r="G820" t="s">
        <v>3181</v>
      </c>
      <c r="H820">
        <v>865</v>
      </c>
      <c r="I820" t="s">
        <v>3182</v>
      </c>
    </row>
    <row r="821" spans="1:9" x14ac:dyDescent="0.25">
      <c r="A821" t="s">
        <v>3179</v>
      </c>
      <c r="B821" t="s">
        <v>3740</v>
      </c>
      <c r="C821" t="s">
        <v>3183</v>
      </c>
      <c r="D821">
        <v>35.13869588</v>
      </c>
      <c r="E821" t="s">
        <v>3180</v>
      </c>
      <c r="F821">
        <v>110.2328746</v>
      </c>
      <c r="G821" t="s">
        <v>3181</v>
      </c>
      <c r="H821">
        <v>27855</v>
      </c>
      <c r="I821" t="s">
        <v>3182</v>
      </c>
    </row>
    <row r="822" spans="1:9" x14ac:dyDescent="0.25">
      <c r="A822" t="s">
        <v>3179</v>
      </c>
      <c r="B822" t="s">
        <v>3741</v>
      </c>
      <c r="C822" t="s">
        <v>3183</v>
      </c>
      <c r="D822">
        <v>34.91782517</v>
      </c>
      <c r="E822" t="s">
        <v>3180</v>
      </c>
      <c r="F822">
        <v>109.45301980000001</v>
      </c>
      <c r="G822" t="s">
        <v>3181</v>
      </c>
      <c r="H822">
        <v>28835</v>
      </c>
      <c r="I822" t="s">
        <v>3182</v>
      </c>
    </row>
    <row r="823" spans="1:9" x14ac:dyDescent="0.25">
      <c r="A823" t="s">
        <v>3179</v>
      </c>
      <c r="B823" t="s">
        <v>3946</v>
      </c>
      <c r="C823" t="s">
        <v>3183</v>
      </c>
      <c r="D823">
        <v>36.980496789999997</v>
      </c>
      <c r="E823" t="s">
        <v>3180</v>
      </c>
      <c r="F823">
        <v>108.8995999</v>
      </c>
      <c r="G823" t="s">
        <v>3181</v>
      </c>
      <c r="H823">
        <v>13213</v>
      </c>
      <c r="I823" t="s">
        <v>3182</v>
      </c>
    </row>
    <row r="824" spans="1:9" x14ac:dyDescent="0.25">
      <c r="A824" t="s">
        <v>3179</v>
      </c>
      <c r="B824" t="s">
        <v>5721</v>
      </c>
      <c r="C824" t="s">
        <v>3183</v>
      </c>
      <c r="D824">
        <v>34.350844610000003</v>
      </c>
      <c r="E824" t="s">
        <v>3180</v>
      </c>
      <c r="F824">
        <v>107.98250299999999</v>
      </c>
      <c r="G824" t="s">
        <v>3181</v>
      </c>
      <c r="H824">
        <v>24866</v>
      </c>
      <c r="I824" t="s">
        <v>3182</v>
      </c>
    </row>
    <row r="825" spans="1:9" x14ac:dyDescent="0.25">
      <c r="A825" t="s">
        <v>3179</v>
      </c>
      <c r="B825" t="s">
        <v>5722</v>
      </c>
      <c r="C825" t="s">
        <v>3183</v>
      </c>
      <c r="D825">
        <v>34.41808434</v>
      </c>
      <c r="E825" t="s">
        <v>3180</v>
      </c>
      <c r="F825">
        <v>109.8073042</v>
      </c>
      <c r="G825" t="s">
        <v>3181</v>
      </c>
      <c r="H825">
        <v>26356</v>
      </c>
      <c r="I825" t="s">
        <v>3182</v>
      </c>
    </row>
    <row r="826" spans="1:9" x14ac:dyDescent="0.25">
      <c r="A826" t="s">
        <v>3179</v>
      </c>
      <c r="B826" t="s">
        <v>5723</v>
      </c>
      <c r="C826" t="s">
        <v>3183</v>
      </c>
      <c r="D826">
        <v>32.502307180000003</v>
      </c>
      <c r="E826" t="s">
        <v>3180</v>
      </c>
      <c r="F826">
        <v>109.39144400000001</v>
      </c>
      <c r="G826" t="s">
        <v>3181</v>
      </c>
      <c r="H826">
        <v>11017</v>
      </c>
      <c r="I826" t="s">
        <v>3182</v>
      </c>
    </row>
    <row r="827" spans="1:9" x14ac:dyDescent="0.25">
      <c r="A827" t="s">
        <v>3179</v>
      </c>
      <c r="B827" t="s">
        <v>5724</v>
      </c>
      <c r="C827" t="s">
        <v>3183</v>
      </c>
      <c r="D827">
        <v>32.61005686</v>
      </c>
      <c r="E827" t="s">
        <v>3180</v>
      </c>
      <c r="F827">
        <v>108.01728300000001</v>
      </c>
      <c r="G827" t="s">
        <v>3181</v>
      </c>
      <c r="H827">
        <v>11840</v>
      </c>
      <c r="I827" t="s">
        <v>3182</v>
      </c>
    </row>
    <row r="828" spans="1:9" x14ac:dyDescent="0.25">
      <c r="A828" t="s">
        <v>3179</v>
      </c>
      <c r="B828" t="s">
        <v>3283</v>
      </c>
      <c r="C828" t="s">
        <v>3183</v>
      </c>
      <c r="D828">
        <v>34.682144039999997</v>
      </c>
      <c r="E828" t="s">
        <v>3180</v>
      </c>
      <c r="F828">
        <v>108.6243358</v>
      </c>
      <c r="G828" t="s">
        <v>3181</v>
      </c>
      <c r="H828">
        <v>35102</v>
      </c>
      <c r="I828" t="s">
        <v>3182</v>
      </c>
    </row>
    <row r="829" spans="1:9" x14ac:dyDescent="0.25">
      <c r="A829" t="s">
        <v>3179</v>
      </c>
      <c r="B829" t="s">
        <v>3615</v>
      </c>
      <c r="C829" t="s">
        <v>3183</v>
      </c>
      <c r="D829">
        <v>33.514443819999997</v>
      </c>
      <c r="E829" t="s">
        <v>3180</v>
      </c>
      <c r="F829">
        <v>109.4814186</v>
      </c>
      <c r="G829" t="s">
        <v>3181</v>
      </c>
      <c r="H829">
        <v>22977</v>
      </c>
      <c r="I829" t="s">
        <v>3182</v>
      </c>
    </row>
    <row r="830" spans="1:9" x14ac:dyDescent="0.25">
      <c r="A830" t="s">
        <v>3179</v>
      </c>
      <c r="B830" t="s">
        <v>3529</v>
      </c>
      <c r="C830" t="s">
        <v>3183</v>
      </c>
      <c r="D830">
        <v>32.989999079999997</v>
      </c>
      <c r="E830" t="s">
        <v>3180</v>
      </c>
      <c r="F830">
        <v>106.78021099999999</v>
      </c>
      <c r="G830" t="s">
        <v>3181</v>
      </c>
      <c r="H830">
        <v>39286</v>
      </c>
      <c r="I830" t="s">
        <v>3182</v>
      </c>
    </row>
    <row r="831" spans="1:9" x14ac:dyDescent="0.25">
      <c r="A831" t="s">
        <v>3179</v>
      </c>
      <c r="B831" t="s">
        <v>4078</v>
      </c>
      <c r="C831" t="s">
        <v>3183</v>
      </c>
      <c r="D831">
        <v>37.580627300000003</v>
      </c>
      <c r="E831" t="s">
        <v>3180</v>
      </c>
      <c r="F831">
        <v>110.6319383</v>
      </c>
      <c r="G831" t="s">
        <v>3181</v>
      </c>
      <c r="H831">
        <v>5671</v>
      </c>
      <c r="I831" t="s">
        <v>3182</v>
      </c>
    </row>
    <row r="832" spans="1:9" x14ac:dyDescent="0.25">
      <c r="A832" t="s">
        <v>3179</v>
      </c>
      <c r="B832" t="s">
        <v>3394</v>
      </c>
      <c r="C832" t="s">
        <v>3183</v>
      </c>
      <c r="D832">
        <v>35.049790989999998</v>
      </c>
      <c r="E832" t="s">
        <v>3180</v>
      </c>
      <c r="F832">
        <v>106.6381607</v>
      </c>
      <c r="G832" t="s">
        <v>3181</v>
      </c>
      <c r="H832">
        <v>5538</v>
      </c>
      <c r="I832" t="s">
        <v>3182</v>
      </c>
    </row>
    <row r="833" spans="1:9" x14ac:dyDescent="0.25">
      <c r="A833" t="s">
        <v>3179</v>
      </c>
      <c r="B833" t="s">
        <v>3395</v>
      </c>
      <c r="C833" t="s">
        <v>3183</v>
      </c>
      <c r="D833">
        <v>34.658021820000002</v>
      </c>
      <c r="E833" t="s">
        <v>3180</v>
      </c>
      <c r="F833">
        <v>106.9123378</v>
      </c>
      <c r="G833" t="s">
        <v>3181</v>
      </c>
      <c r="H833">
        <v>15679</v>
      </c>
      <c r="I833" t="s">
        <v>3182</v>
      </c>
    </row>
    <row r="834" spans="1:9" x14ac:dyDescent="0.25">
      <c r="A834" t="s">
        <v>3179</v>
      </c>
      <c r="B834" t="s">
        <v>3528</v>
      </c>
      <c r="C834" t="s">
        <v>3183</v>
      </c>
      <c r="D834">
        <v>33.287675530000001</v>
      </c>
      <c r="E834" t="s">
        <v>3180</v>
      </c>
      <c r="F834">
        <v>106.8265619</v>
      </c>
      <c r="G834" t="s">
        <v>3181</v>
      </c>
      <c r="H834">
        <v>21531</v>
      </c>
      <c r="I834" t="s">
        <v>3182</v>
      </c>
    </row>
    <row r="835" spans="1:9" x14ac:dyDescent="0.25">
      <c r="A835" t="s">
        <v>3179</v>
      </c>
      <c r="B835" t="s">
        <v>3819</v>
      </c>
      <c r="C835" t="s">
        <v>3183</v>
      </c>
      <c r="D835">
        <v>39.076173570000002</v>
      </c>
      <c r="E835" t="s">
        <v>3180</v>
      </c>
      <c r="F835">
        <v>110.7223906</v>
      </c>
      <c r="G835" t="s">
        <v>3181</v>
      </c>
      <c r="H835">
        <v>18371</v>
      </c>
      <c r="I835" t="s">
        <v>3182</v>
      </c>
    </row>
    <row r="836" spans="1:9" x14ac:dyDescent="0.25">
      <c r="A836" t="s">
        <v>3179</v>
      </c>
      <c r="B836" t="s">
        <v>3819</v>
      </c>
      <c r="C836" t="s">
        <v>3183</v>
      </c>
      <c r="D836">
        <v>35.14998533</v>
      </c>
      <c r="E836" t="s">
        <v>3180</v>
      </c>
      <c r="F836">
        <v>108.1632173</v>
      </c>
      <c r="G836" t="s">
        <v>3181</v>
      </c>
      <c r="H836">
        <v>61441</v>
      </c>
      <c r="I836" t="s">
        <v>3182</v>
      </c>
    </row>
    <row r="837" spans="1:9" x14ac:dyDescent="0.25">
      <c r="A837" t="s">
        <v>3179</v>
      </c>
      <c r="B837" t="s">
        <v>3530</v>
      </c>
      <c r="C837" t="s">
        <v>3183</v>
      </c>
      <c r="D837">
        <v>33.100070629999998</v>
      </c>
      <c r="E837" t="s">
        <v>3180</v>
      </c>
      <c r="F837">
        <v>106.46121840000001</v>
      </c>
      <c r="G837" t="s">
        <v>3181</v>
      </c>
      <c r="H837">
        <v>23481</v>
      </c>
      <c r="I837" t="s">
        <v>3182</v>
      </c>
    </row>
    <row r="838" spans="1:9" x14ac:dyDescent="0.25">
      <c r="A838" t="s">
        <v>3179</v>
      </c>
      <c r="B838" t="s">
        <v>3820</v>
      </c>
      <c r="C838" t="s">
        <v>3183</v>
      </c>
      <c r="D838">
        <v>34.764157109999999</v>
      </c>
      <c r="E838" t="s">
        <v>3180</v>
      </c>
      <c r="F838">
        <v>108.89674050000001</v>
      </c>
      <c r="G838" t="s">
        <v>3181</v>
      </c>
      <c r="H838">
        <v>27865</v>
      </c>
      <c r="I838" t="s">
        <v>3182</v>
      </c>
    </row>
    <row r="839" spans="1:9" x14ac:dyDescent="0.25">
      <c r="A839" t="s">
        <v>3179</v>
      </c>
      <c r="B839" t="s">
        <v>3821</v>
      </c>
      <c r="C839" t="s">
        <v>3183</v>
      </c>
      <c r="D839">
        <v>34.496454059999998</v>
      </c>
      <c r="E839" t="s">
        <v>3180</v>
      </c>
      <c r="F839">
        <v>108.14074119999999</v>
      </c>
      <c r="G839" t="s">
        <v>3181</v>
      </c>
      <c r="H839">
        <v>22406</v>
      </c>
      <c r="I839" t="s">
        <v>3182</v>
      </c>
    </row>
    <row r="840" spans="1:9" x14ac:dyDescent="0.25">
      <c r="A840" t="s">
        <v>3179</v>
      </c>
      <c r="B840" t="s">
        <v>3822</v>
      </c>
      <c r="C840" t="s">
        <v>3183</v>
      </c>
      <c r="D840">
        <v>34.676192210000004</v>
      </c>
      <c r="E840" t="s">
        <v>3180</v>
      </c>
      <c r="F840">
        <v>109.0068493</v>
      </c>
      <c r="G840" t="s">
        <v>3181</v>
      </c>
      <c r="H840">
        <v>22684</v>
      </c>
      <c r="I840" t="s">
        <v>3182</v>
      </c>
    </row>
    <row r="841" spans="1:9" x14ac:dyDescent="0.25">
      <c r="A841" t="s">
        <v>3179</v>
      </c>
      <c r="B841" t="s">
        <v>3284</v>
      </c>
      <c r="C841" t="s">
        <v>3183</v>
      </c>
      <c r="D841">
        <v>32.742904559999999</v>
      </c>
      <c r="E841" t="s">
        <v>3180</v>
      </c>
      <c r="F841">
        <v>109.7173964</v>
      </c>
      <c r="G841" t="s">
        <v>3181</v>
      </c>
      <c r="H841">
        <v>12872</v>
      </c>
      <c r="I841" t="s">
        <v>3182</v>
      </c>
    </row>
    <row r="842" spans="1:9" x14ac:dyDescent="0.25">
      <c r="A842" t="s">
        <v>3179</v>
      </c>
      <c r="B842" t="s">
        <v>3823</v>
      </c>
      <c r="C842" t="s">
        <v>3183</v>
      </c>
      <c r="D842">
        <v>34.516446209999998</v>
      </c>
      <c r="E842" t="s">
        <v>3180</v>
      </c>
      <c r="F842">
        <v>108.55989</v>
      </c>
      <c r="G842" t="s">
        <v>3181</v>
      </c>
      <c r="H842">
        <v>22887</v>
      </c>
      <c r="I842" t="s">
        <v>3182</v>
      </c>
    </row>
    <row r="843" spans="1:9" x14ac:dyDescent="0.25">
      <c r="A843" t="s">
        <v>3179</v>
      </c>
      <c r="B843" t="s">
        <v>3616</v>
      </c>
      <c r="C843" t="s">
        <v>3183</v>
      </c>
      <c r="D843">
        <v>33.231151400000002</v>
      </c>
      <c r="E843" t="s">
        <v>3180</v>
      </c>
      <c r="F843">
        <v>110.36207039999999</v>
      </c>
      <c r="G843" t="s">
        <v>3181</v>
      </c>
      <c r="H843">
        <v>11081</v>
      </c>
      <c r="I843" t="s">
        <v>3182</v>
      </c>
    </row>
    <row r="844" spans="1:9" x14ac:dyDescent="0.25">
      <c r="A844" t="s">
        <v>3179</v>
      </c>
      <c r="B844" t="s">
        <v>3742</v>
      </c>
      <c r="C844" t="s">
        <v>3183</v>
      </c>
      <c r="D844">
        <v>35.607043930000003</v>
      </c>
      <c r="E844" t="s">
        <v>3180</v>
      </c>
      <c r="F844">
        <v>110.39689850000001</v>
      </c>
      <c r="G844" t="s">
        <v>3181</v>
      </c>
      <c r="H844">
        <v>39605</v>
      </c>
      <c r="I844" t="s">
        <v>3182</v>
      </c>
    </row>
    <row r="845" spans="1:9" x14ac:dyDescent="0.25">
      <c r="A845" t="s">
        <v>3179</v>
      </c>
      <c r="B845" t="s">
        <v>3285</v>
      </c>
      <c r="C845" t="s">
        <v>3183</v>
      </c>
      <c r="D845">
        <v>32.771797050000004</v>
      </c>
      <c r="E845" t="s">
        <v>3180</v>
      </c>
      <c r="F845">
        <v>108.3851447</v>
      </c>
      <c r="G845" t="s">
        <v>3181</v>
      </c>
      <c r="H845">
        <v>28276</v>
      </c>
      <c r="I845" t="s">
        <v>3182</v>
      </c>
    </row>
    <row r="846" spans="1:9" x14ac:dyDescent="0.25">
      <c r="A846" t="s">
        <v>3179</v>
      </c>
      <c r="B846" t="s">
        <v>3743</v>
      </c>
      <c r="C846" t="s">
        <v>3183</v>
      </c>
      <c r="D846">
        <v>35.003535790000001</v>
      </c>
      <c r="E846" t="s">
        <v>3180</v>
      </c>
      <c r="F846">
        <v>109.2670834</v>
      </c>
      <c r="G846" t="s">
        <v>3181</v>
      </c>
      <c r="H846">
        <v>36699</v>
      </c>
      <c r="I846" t="s">
        <v>3182</v>
      </c>
    </row>
    <row r="847" spans="1:9" x14ac:dyDescent="0.25">
      <c r="A847" t="s">
        <v>3179</v>
      </c>
      <c r="B847" t="s">
        <v>4080</v>
      </c>
      <c r="C847" t="s">
        <v>3183</v>
      </c>
      <c r="D847">
        <v>37.672136010000003</v>
      </c>
      <c r="E847" t="s">
        <v>3180</v>
      </c>
      <c r="F847">
        <v>110.34403210000001</v>
      </c>
      <c r="G847" t="s">
        <v>3181</v>
      </c>
      <c r="H847">
        <v>10438</v>
      </c>
      <c r="I847" t="s">
        <v>3182</v>
      </c>
    </row>
    <row r="848" spans="1:9" x14ac:dyDescent="0.25">
      <c r="A848" t="s">
        <v>3179</v>
      </c>
      <c r="B848" t="s">
        <v>4081</v>
      </c>
      <c r="C848" t="s">
        <v>3183</v>
      </c>
      <c r="D848">
        <v>37.390225710000003</v>
      </c>
      <c r="E848" t="s">
        <v>3180</v>
      </c>
      <c r="F848">
        <v>110.3594023</v>
      </c>
      <c r="G848" t="s">
        <v>3181</v>
      </c>
      <c r="H848">
        <v>9540</v>
      </c>
      <c r="I848" t="s">
        <v>3182</v>
      </c>
    </row>
    <row r="849" spans="1:9" x14ac:dyDescent="0.25">
      <c r="A849" t="s">
        <v>3179</v>
      </c>
      <c r="B849" t="s">
        <v>3824</v>
      </c>
      <c r="C849" t="s">
        <v>3183</v>
      </c>
      <c r="D849">
        <v>34.423553720000001</v>
      </c>
      <c r="E849" t="s">
        <v>3180</v>
      </c>
      <c r="F849">
        <v>108.33743509999999</v>
      </c>
      <c r="G849" t="s">
        <v>3181</v>
      </c>
      <c r="H849">
        <v>38942</v>
      </c>
      <c r="I849" t="s">
        <v>3182</v>
      </c>
    </row>
    <row r="850" spans="1:9" x14ac:dyDescent="0.25">
      <c r="A850" t="s">
        <v>3179</v>
      </c>
      <c r="B850" t="s">
        <v>3531</v>
      </c>
      <c r="C850" t="s">
        <v>3183</v>
      </c>
      <c r="D850">
        <v>33.41915564</v>
      </c>
      <c r="E850" t="s">
        <v>3180</v>
      </c>
      <c r="F850">
        <v>105.9901199</v>
      </c>
      <c r="G850" t="s">
        <v>3181</v>
      </c>
      <c r="H850">
        <v>12496</v>
      </c>
      <c r="I850" t="s">
        <v>3182</v>
      </c>
    </row>
    <row r="851" spans="1:9" x14ac:dyDescent="0.25">
      <c r="A851" t="s">
        <v>3179</v>
      </c>
      <c r="B851" t="s">
        <v>3617</v>
      </c>
      <c r="C851" t="s">
        <v>3183</v>
      </c>
      <c r="D851">
        <v>34.362444369999999</v>
      </c>
      <c r="E851" t="s">
        <v>3180</v>
      </c>
      <c r="F851">
        <v>110.17929580000001</v>
      </c>
      <c r="G851" t="s">
        <v>3181</v>
      </c>
      <c r="H851">
        <v>8092</v>
      </c>
      <c r="I851" t="s">
        <v>3182</v>
      </c>
    </row>
    <row r="852" spans="1:9" x14ac:dyDescent="0.25">
      <c r="A852" t="s">
        <v>3179</v>
      </c>
      <c r="B852" t="s">
        <v>3286</v>
      </c>
      <c r="C852" t="s">
        <v>3183</v>
      </c>
      <c r="D852">
        <v>33.5512321</v>
      </c>
      <c r="E852" t="s">
        <v>3180</v>
      </c>
      <c r="F852">
        <v>108.54440390000001</v>
      </c>
      <c r="G852" t="s">
        <v>3181</v>
      </c>
      <c r="H852">
        <v>1983</v>
      </c>
      <c r="I852" t="s">
        <v>3182</v>
      </c>
    </row>
    <row r="853" spans="1:9" x14ac:dyDescent="0.25">
      <c r="A853" t="s">
        <v>3179</v>
      </c>
      <c r="B853" t="s">
        <v>3532</v>
      </c>
      <c r="C853" t="s">
        <v>3183</v>
      </c>
      <c r="D853">
        <v>33.159752400000002</v>
      </c>
      <c r="E853" t="s">
        <v>3180</v>
      </c>
      <c r="F853">
        <v>107.4014042</v>
      </c>
      <c r="G853" t="s">
        <v>3181</v>
      </c>
      <c r="H853">
        <v>18332</v>
      </c>
      <c r="I853" t="s">
        <v>3182</v>
      </c>
    </row>
    <row r="854" spans="1:9" x14ac:dyDescent="0.25">
      <c r="A854" t="s">
        <v>3179</v>
      </c>
      <c r="B854" t="s">
        <v>3533</v>
      </c>
      <c r="C854" t="s">
        <v>3183</v>
      </c>
      <c r="D854">
        <v>33.157465870000003</v>
      </c>
      <c r="E854" t="s">
        <v>3180</v>
      </c>
      <c r="F854">
        <v>107.11699659999999</v>
      </c>
      <c r="G854" t="s">
        <v>3181</v>
      </c>
      <c r="H854">
        <v>13038</v>
      </c>
      <c r="I854" t="s">
        <v>3182</v>
      </c>
    </row>
    <row r="855" spans="1:9" x14ac:dyDescent="0.25">
      <c r="A855" t="s">
        <v>3179</v>
      </c>
      <c r="B855" t="s">
        <v>3744</v>
      </c>
      <c r="C855" t="s">
        <v>3183</v>
      </c>
      <c r="D855">
        <v>34.878398869999998</v>
      </c>
      <c r="E855" t="s">
        <v>3180</v>
      </c>
      <c r="F855">
        <v>109.9462454</v>
      </c>
      <c r="G855" t="s">
        <v>3181</v>
      </c>
      <c r="H855">
        <v>39860</v>
      </c>
      <c r="I855" t="s">
        <v>3182</v>
      </c>
    </row>
    <row r="856" spans="1:9" x14ac:dyDescent="0.25">
      <c r="A856" t="s">
        <v>3179</v>
      </c>
      <c r="B856" t="s">
        <v>3883</v>
      </c>
      <c r="C856" t="s">
        <v>3183</v>
      </c>
      <c r="D856">
        <v>34.18899674</v>
      </c>
      <c r="E856" t="s">
        <v>3180</v>
      </c>
      <c r="F856">
        <v>108.0989806</v>
      </c>
      <c r="G856" t="s">
        <v>3181</v>
      </c>
      <c r="H856">
        <v>45591</v>
      </c>
      <c r="I856" t="s">
        <v>3182</v>
      </c>
    </row>
    <row r="857" spans="1:9" x14ac:dyDescent="0.25">
      <c r="A857" t="s">
        <v>3179</v>
      </c>
      <c r="B857" t="s">
        <v>3287</v>
      </c>
      <c r="C857" t="s">
        <v>3183</v>
      </c>
      <c r="D857">
        <v>32.533763960000002</v>
      </c>
      <c r="E857" t="s">
        <v>3180</v>
      </c>
      <c r="F857">
        <v>108.940141</v>
      </c>
      <c r="G857" t="s">
        <v>3181</v>
      </c>
      <c r="H857">
        <v>8573</v>
      </c>
      <c r="I857" t="s">
        <v>3182</v>
      </c>
    </row>
    <row r="858" spans="1:9" x14ac:dyDescent="0.25">
      <c r="A858" t="s">
        <v>3179</v>
      </c>
      <c r="B858" t="s">
        <v>3534</v>
      </c>
      <c r="C858" t="s">
        <v>3183</v>
      </c>
      <c r="D858">
        <v>32.230435890000003</v>
      </c>
      <c r="E858" t="s">
        <v>3180</v>
      </c>
      <c r="F858">
        <v>108.0037884</v>
      </c>
      <c r="G858" t="s">
        <v>3181</v>
      </c>
      <c r="H858">
        <v>15466</v>
      </c>
      <c r="I858" t="s">
        <v>3182</v>
      </c>
    </row>
    <row r="859" spans="1:9" x14ac:dyDescent="0.25">
      <c r="A859" t="s">
        <v>3179</v>
      </c>
      <c r="B859" t="s">
        <v>4082</v>
      </c>
      <c r="C859" t="s">
        <v>3183</v>
      </c>
      <c r="D859">
        <v>37.662974820000002</v>
      </c>
      <c r="E859" t="s">
        <v>3180</v>
      </c>
      <c r="F859">
        <v>107.52208280000001</v>
      </c>
      <c r="G859" t="s">
        <v>3181</v>
      </c>
      <c r="H859">
        <v>4228</v>
      </c>
      <c r="I859" t="s">
        <v>3182</v>
      </c>
    </row>
    <row r="860" spans="1:9" x14ac:dyDescent="0.25">
      <c r="A860" t="s">
        <v>3179</v>
      </c>
      <c r="B860" t="s">
        <v>3618</v>
      </c>
      <c r="C860" t="s">
        <v>3183</v>
      </c>
      <c r="D860">
        <v>34.421971499999998</v>
      </c>
      <c r="E860" t="s">
        <v>3180</v>
      </c>
      <c r="F860">
        <v>109.5080404</v>
      </c>
      <c r="G860" t="s">
        <v>3181</v>
      </c>
      <c r="H860">
        <v>18307</v>
      </c>
      <c r="I860" t="s">
        <v>3182</v>
      </c>
    </row>
    <row r="861" spans="1:9" x14ac:dyDescent="0.25">
      <c r="A861" t="s">
        <v>3179</v>
      </c>
      <c r="B861" t="s">
        <v>3618</v>
      </c>
      <c r="C861" t="s">
        <v>3183</v>
      </c>
      <c r="D861">
        <v>33.702603840000002</v>
      </c>
      <c r="E861" t="s">
        <v>3180</v>
      </c>
      <c r="F861">
        <v>109.8366053</v>
      </c>
      <c r="G861" t="s">
        <v>3181</v>
      </c>
      <c r="H861">
        <v>9300</v>
      </c>
      <c r="I861" t="s">
        <v>3182</v>
      </c>
    </row>
    <row r="862" spans="1:9" x14ac:dyDescent="0.25">
      <c r="A862" t="s">
        <v>3179</v>
      </c>
      <c r="B862" t="s">
        <v>3535</v>
      </c>
      <c r="C862" t="s">
        <v>3183</v>
      </c>
      <c r="D862">
        <v>33.068554839999997</v>
      </c>
      <c r="E862" t="s">
        <v>3180</v>
      </c>
      <c r="F862">
        <v>106.8881738</v>
      </c>
      <c r="G862" t="s">
        <v>3181</v>
      </c>
      <c r="H862">
        <v>13271</v>
      </c>
      <c r="I862" t="s">
        <v>3182</v>
      </c>
    </row>
    <row r="863" spans="1:9" x14ac:dyDescent="0.25">
      <c r="A863" t="s">
        <v>3179</v>
      </c>
      <c r="B863" t="s">
        <v>3619</v>
      </c>
      <c r="C863" t="s">
        <v>3183</v>
      </c>
      <c r="D863">
        <v>33.306758799999997</v>
      </c>
      <c r="E863" t="s">
        <v>3180</v>
      </c>
      <c r="F863">
        <v>109.68152790000001</v>
      </c>
      <c r="G863" t="s">
        <v>3181</v>
      </c>
      <c r="H863">
        <v>21081</v>
      </c>
      <c r="I863" t="s">
        <v>3182</v>
      </c>
    </row>
    <row r="864" spans="1:9" x14ac:dyDescent="0.25">
      <c r="A864" t="s">
        <v>3179</v>
      </c>
      <c r="B864" t="s">
        <v>3745</v>
      </c>
      <c r="C864" t="s">
        <v>3183</v>
      </c>
      <c r="D864">
        <v>34.332913820000002</v>
      </c>
      <c r="E864" t="s">
        <v>3180</v>
      </c>
      <c r="F864">
        <v>109.4983616</v>
      </c>
      <c r="G864" t="s">
        <v>3181</v>
      </c>
      <c r="H864">
        <v>28923</v>
      </c>
      <c r="I864" t="s">
        <v>3182</v>
      </c>
    </row>
    <row r="865" spans="1:9" x14ac:dyDescent="0.25">
      <c r="A865" t="s">
        <v>3179</v>
      </c>
      <c r="B865" t="s">
        <v>3536</v>
      </c>
      <c r="C865" t="s">
        <v>3183</v>
      </c>
      <c r="D865">
        <v>32.892944720000003</v>
      </c>
      <c r="E865" t="s">
        <v>3180</v>
      </c>
      <c r="F865">
        <v>107.7338998</v>
      </c>
      <c r="G865" t="s">
        <v>3181</v>
      </c>
      <c r="H865">
        <v>25668</v>
      </c>
      <c r="I865" t="s">
        <v>3182</v>
      </c>
    </row>
    <row r="866" spans="1:9" x14ac:dyDescent="0.25">
      <c r="A866" t="s">
        <v>3179</v>
      </c>
      <c r="B866" t="s">
        <v>3825</v>
      </c>
      <c r="C866" t="s">
        <v>3183</v>
      </c>
      <c r="D866">
        <v>34.529321400000001</v>
      </c>
      <c r="E866" t="s">
        <v>3180</v>
      </c>
      <c r="F866">
        <v>108.3113353</v>
      </c>
      <c r="G866" t="s">
        <v>3181</v>
      </c>
      <c r="H866">
        <v>20930</v>
      </c>
      <c r="I866" t="s">
        <v>3182</v>
      </c>
    </row>
    <row r="867" spans="1:9" x14ac:dyDescent="0.25">
      <c r="A867" t="s">
        <v>3179</v>
      </c>
      <c r="B867" t="s">
        <v>3947</v>
      </c>
      <c r="C867" t="s">
        <v>3183</v>
      </c>
      <c r="D867">
        <v>36.748601710000003</v>
      </c>
      <c r="E867" t="s">
        <v>3180</v>
      </c>
      <c r="F867">
        <v>110.2092844</v>
      </c>
      <c r="G867" t="s">
        <v>3181</v>
      </c>
      <c r="H867">
        <v>6909</v>
      </c>
      <c r="I867" t="s">
        <v>3182</v>
      </c>
    </row>
    <row r="868" spans="1:9" x14ac:dyDescent="0.25">
      <c r="A868" t="s">
        <v>3179</v>
      </c>
      <c r="B868" t="s">
        <v>4083</v>
      </c>
      <c r="C868" t="s">
        <v>3183</v>
      </c>
      <c r="D868">
        <v>37.736148440000001</v>
      </c>
      <c r="E868" t="s">
        <v>3180</v>
      </c>
      <c r="F868">
        <v>110.3322174</v>
      </c>
      <c r="G868" t="s">
        <v>3181</v>
      </c>
      <c r="H868">
        <v>9259</v>
      </c>
      <c r="I868" t="s">
        <v>3182</v>
      </c>
    </row>
    <row r="869" spans="1:9" x14ac:dyDescent="0.25">
      <c r="A869" t="s">
        <v>3179</v>
      </c>
      <c r="B869" t="s">
        <v>3537</v>
      </c>
      <c r="C869" t="s">
        <v>3183</v>
      </c>
      <c r="D869">
        <v>32.714992189999997</v>
      </c>
      <c r="E869" t="s">
        <v>3180</v>
      </c>
      <c r="F869">
        <v>107.8742567</v>
      </c>
      <c r="G869" t="s">
        <v>3181</v>
      </c>
      <c r="H869">
        <v>4513</v>
      </c>
      <c r="I869" t="s">
        <v>3182</v>
      </c>
    </row>
    <row r="870" spans="1:9" x14ac:dyDescent="0.25">
      <c r="A870" t="s">
        <v>3179</v>
      </c>
      <c r="B870" t="s">
        <v>3948</v>
      </c>
      <c r="C870" t="s">
        <v>3183</v>
      </c>
      <c r="D870">
        <v>37.20214447</v>
      </c>
      <c r="E870" t="s">
        <v>3180</v>
      </c>
      <c r="F870">
        <v>109.8586093</v>
      </c>
      <c r="G870" t="s">
        <v>3181</v>
      </c>
      <c r="H870">
        <v>19272</v>
      </c>
      <c r="I870" t="s">
        <v>3182</v>
      </c>
    </row>
    <row r="871" spans="1:9" x14ac:dyDescent="0.25">
      <c r="A871" t="s">
        <v>3179</v>
      </c>
      <c r="B871" t="s">
        <v>4084</v>
      </c>
      <c r="C871" t="s">
        <v>3183</v>
      </c>
      <c r="D871">
        <v>37.311395269999998</v>
      </c>
      <c r="E871" t="s">
        <v>3180</v>
      </c>
      <c r="F871">
        <v>107.9414957</v>
      </c>
      <c r="G871" t="s">
        <v>3181</v>
      </c>
      <c r="H871">
        <v>9480</v>
      </c>
      <c r="I871" t="s">
        <v>3182</v>
      </c>
    </row>
    <row r="872" spans="1:9" x14ac:dyDescent="0.25">
      <c r="A872" t="s">
        <v>3179</v>
      </c>
      <c r="B872" t="s">
        <v>4085</v>
      </c>
      <c r="C872" t="s">
        <v>3183</v>
      </c>
      <c r="D872">
        <v>37.253107730000004</v>
      </c>
      <c r="E872" t="s">
        <v>3180</v>
      </c>
      <c r="F872">
        <v>108.7816196</v>
      </c>
      <c r="G872" t="s">
        <v>3181</v>
      </c>
      <c r="H872">
        <v>4357</v>
      </c>
      <c r="I872" t="s">
        <v>3182</v>
      </c>
    </row>
    <row r="873" spans="1:9" x14ac:dyDescent="0.25">
      <c r="A873" t="s">
        <v>3179</v>
      </c>
      <c r="B873" t="s">
        <v>3396</v>
      </c>
      <c r="C873" t="s">
        <v>3183</v>
      </c>
      <c r="D873">
        <v>34.327535330000003</v>
      </c>
      <c r="E873" t="s">
        <v>3180</v>
      </c>
      <c r="F873">
        <v>107.5359261</v>
      </c>
      <c r="G873" t="s">
        <v>3181</v>
      </c>
      <c r="H873">
        <v>42824</v>
      </c>
      <c r="I873" t="s">
        <v>3182</v>
      </c>
    </row>
    <row r="874" spans="1:9" x14ac:dyDescent="0.25">
      <c r="A874" t="s">
        <v>3179</v>
      </c>
      <c r="B874" t="s">
        <v>3538</v>
      </c>
      <c r="C874" t="s">
        <v>3183</v>
      </c>
      <c r="D874">
        <v>32.919627120000001</v>
      </c>
      <c r="E874" t="s">
        <v>3180</v>
      </c>
      <c r="F874">
        <v>106.0567456</v>
      </c>
      <c r="G874" t="s">
        <v>3181</v>
      </c>
      <c r="H874">
        <v>29487</v>
      </c>
      <c r="I874" t="s">
        <v>3182</v>
      </c>
    </row>
    <row r="875" spans="1:9" x14ac:dyDescent="0.25">
      <c r="A875" t="s">
        <v>3179</v>
      </c>
      <c r="B875" t="s">
        <v>4086</v>
      </c>
      <c r="C875" t="s">
        <v>3183</v>
      </c>
      <c r="D875">
        <v>37.590260219999998</v>
      </c>
      <c r="E875" t="s">
        <v>3180</v>
      </c>
      <c r="F875">
        <v>109.0659769</v>
      </c>
      <c r="G875" t="s">
        <v>3181</v>
      </c>
      <c r="H875">
        <v>10749</v>
      </c>
      <c r="I875" t="s">
        <v>3182</v>
      </c>
    </row>
    <row r="876" spans="1:9" x14ac:dyDescent="0.25">
      <c r="A876" t="s">
        <v>3179</v>
      </c>
      <c r="B876" t="s">
        <v>3949</v>
      </c>
      <c r="C876" t="s">
        <v>3183</v>
      </c>
      <c r="D876">
        <v>35.954452439999997</v>
      </c>
      <c r="E876" t="s">
        <v>3180</v>
      </c>
      <c r="F876">
        <v>109.2671481</v>
      </c>
      <c r="G876" t="s">
        <v>3181</v>
      </c>
      <c r="H876">
        <v>23168</v>
      </c>
      <c r="I876" t="s">
        <v>3182</v>
      </c>
    </row>
    <row r="877" spans="1:9" x14ac:dyDescent="0.25">
      <c r="A877" t="s">
        <v>3179</v>
      </c>
      <c r="B877" t="s">
        <v>3620</v>
      </c>
      <c r="C877" t="s">
        <v>3183</v>
      </c>
      <c r="D877">
        <v>33.856094949999999</v>
      </c>
      <c r="E877" t="s">
        <v>3180</v>
      </c>
      <c r="F877">
        <v>109.6163403</v>
      </c>
      <c r="G877" t="s">
        <v>3181</v>
      </c>
      <c r="H877">
        <v>35206</v>
      </c>
      <c r="I877" t="s">
        <v>3182</v>
      </c>
    </row>
    <row r="878" spans="1:9" x14ac:dyDescent="0.25">
      <c r="A878" t="s">
        <v>3179</v>
      </c>
      <c r="B878" t="s">
        <v>3826</v>
      </c>
      <c r="C878" t="s">
        <v>3183</v>
      </c>
      <c r="D878">
        <v>34.613995369999998</v>
      </c>
      <c r="E878" t="s">
        <v>3180</v>
      </c>
      <c r="F878">
        <v>108.2372933</v>
      </c>
      <c r="G878" t="s">
        <v>3181</v>
      </c>
      <c r="H878">
        <v>30274</v>
      </c>
      <c r="I878" t="s">
        <v>3182</v>
      </c>
    </row>
    <row r="879" spans="1:9" x14ac:dyDescent="0.25">
      <c r="A879" t="s">
        <v>3179</v>
      </c>
      <c r="B879" t="s">
        <v>3621</v>
      </c>
      <c r="C879" t="s">
        <v>3183</v>
      </c>
      <c r="D879">
        <v>33.830443070000001</v>
      </c>
      <c r="E879" t="s">
        <v>3180</v>
      </c>
      <c r="F879">
        <v>109.8290982</v>
      </c>
      <c r="G879" t="s">
        <v>3181</v>
      </c>
      <c r="H879">
        <v>27971</v>
      </c>
      <c r="I879" t="s">
        <v>3182</v>
      </c>
    </row>
    <row r="880" spans="1:9" x14ac:dyDescent="0.25">
      <c r="A880" t="s">
        <v>3179</v>
      </c>
      <c r="B880" t="s">
        <v>3950</v>
      </c>
      <c r="C880" t="s">
        <v>3183</v>
      </c>
      <c r="D880">
        <v>36.763546359999999</v>
      </c>
      <c r="E880" t="s">
        <v>3180</v>
      </c>
      <c r="F880">
        <v>109.33584759999999</v>
      </c>
      <c r="G880" t="s">
        <v>3181</v>
      </c>
      <c r="H880">
        <v>14499</v>
      </c>
      <c r="I880" t="s">
        <v>3182</v>
      </c>
    </row>
    <row r="881" spans="1:9" x14ac:dyDescent="0.25">
      <c r="A881" t="s">
        <v>3179</v>
      </c>
      <c r="B881" t="s">
        <v>3539</v>
      </c>
      <c r="C881" t="s">
        <v>3183</v>
      </c>
      <c r="D881">
        <v>32.984351799999999</v>
      </c>
      <c r="E881" t="s">
        <v>3180</v>
      </c>
      <c r="F881">
        <v>107.87183589999999</v>
      </c>
      <c r="G881" t="s">
        <v>3181</v>
      </c>
      <c r="H881">
        <v>28758</v>
      </c>
      <c r="I881" t="s">
        <v>3182</v>
      </c>
    </row>
    <row r="882" spans="1:9" x14ac:dyDescent="0.25">
      <c r="A882" t="s">
        <v>3179</v>
      </c>
      <c r="B882" t="s">
        <v>3288</v>
      </c>
      <c r="C882" t="s">
        <v>3183</v>
      </c>
      <c r="D882">
        <v>32.385695640000002</v>
      </c>
      <c r="E882" t="s">
        <v>3180</v>
      </c>
      <c r="F882">
        <v>108.6766484</v>
      </c>
      <c r="G882" t="s">
        <v>3181</v>
      </c>
      <c r="H882">
        <v>8369</v>
      </c>
      <c r="I882" t="s">
        <v>3182</v>
      </c>
    </row>
    <row r="883" spans="1:9" x14ac:dyDescent="0.25">
      <c r="A883" t="s">
        <v>3179</v>
      </c>
      <c r="B883" t="s">
        <v>3622</v>
      </c>
      <c r="C883" t="s">
        <v>3183</v>
      </c>
      <c r="D883">
        <v>33.333380929999997</v>
      </c>
      <c r="E883" t="s">
        <v>3180</v>
      </c>
      <c r="F883">
        <v>110.1586065</v>
      </c>
      <c r="G883" t="s">
        <v>3181</v>
      </c>
      <c r="H883">
        <v>5851</v>
      </c>
      <c r="I883" t="s">
        <v>3182</v>
      </c>
    </row>
    <row r="884" spans="1:9" x14ac:dyDescent="0.25">
      <c r="A884" t="s">
        <v>3179</v>
      </c>
      <c r="B884" t="s">
        <v>3951</v>
      </c>
      <c r="C884" t="s">
        <v>3183</v>
      </c>
      <c r="D884">
        <v>36.82988297</v>
      </c>
      <c r="E884" t="s">
        <v>3180</v>
      </c>
      <c r="F884">
        <v>110.35869219999999</v>
      </c>
      <c r="G884" t="s">
        <v>3181</v>
      </c>
      <c r="H884">
        <v>7557</v>
      </c>
      <c r="I884" t="s">
        <v>3182</v>
      </c>
    </row>
    <row r="885" spans="1:9" x14ac:dyDescent="0.25">
      <c r="A885" t="s">
        <v>3179</v>
      </c>
      <c r="B885" t="s">
        <v>3827</v>
      </c>
      <c r="C885" t="s">
        <v>3183</v>
      </c>
      <c r="D885">
        <v>34.609051280000003</v>
      </c>
      <c r="E885" t="s">
        <v>3180</v>
      </c>
      <c r="F885">
        <v>108.54909600000001</v>
      </c>
      <c r="G885" t="s">
        <v>3181</v>
      </c>
      <c r="H885">
        <v>27711</v>
      </c>
      <c r="I885" t="s">
        <v>3182</v>
      </c>
    </row>
    <row r="886" spans="1:9" x14ac:dyDescent="0.25">
      <c r="A886" t="s">
        <v>3179</v>
      </c>
      <c r="B886" t="s">
        <v>3540</v>
      </c>
      <c r="C886" t="s">
        <v>3183</v>
      </c>
      <c r="D886">
        <v>32.909796530000001</v>
      </c>
      <c r="E886" t="s">
        <v>3180</v>
      </c>
      <c r="F886">
        <v>105.905552</v>
      </c>
      <c r="G886" t="s">
        <v>3181</v>
      </c>
      <c r="H886">
        <v>26042</v>
      </c>
      <c r="I886" t="s">
        <v>3182</v>
      </c>
    </row>
    <row r="887" spans="1:9" x14ac:dyDescent="0.25">
      <c r="A887" t="s">
        <v>3179</v>
      </c>
      <c r="B887" t="s">
        <v>3952</v>
      </c>
      <c r="C887" t="s">
        <v>3183</v>
      </c>
      <c r="D887">
        <v>36.740713479999997</v>
      </c>
      <c r="E887" t="s">
        <v>3180</v>
      </c>
      <c r="F887">
        <v>109.712675</v>
      </c>
      <c r="G887" t="s">
        <v>3181</v>
      </c>
      <c r="H887">
        <v>20012</v>
      </c>
      <c r="I887" t="s">
        <v>3182</v>
      </c>
    </row>
    <row r="888" spans="1:9" x14ac:dyDescent="0.25">
      <c r="A888" t="s">
        <v>3179</v>
      </c>
      <c r="B888" t="s">
        <v>3746</v>
      </c>
      <c r="C888" t="s">
        <v>3183</v>
      </c>
      <c r="D888">
        <v>35.289546919999999</v>
      </c>
      <c r="E888" t="s">
        <v>3180</v>
      </c>
      <c r="F888">
        <v>109.49234060000001</v>
      </c>
      <c r="G888" t="s">
        <v>3181</v>
      </c>
      <c r="H888">
        <v>29098</v>
      </c>
      <c r="I888" t="s">
        <v>3182</v>
      </c>
    </row>
    <row r="889" spans="1:9" x14ac:dyDescent="0.25">
      <c r="A889" t="s">
        <v>3179</v>
      </c>
      <c r="B889" t="s">
        <v>3397</v>
      </c>
      <c r="C889" t="s">
        <v>3183</v>
      </c>
      <c r="D889">
        <v>34.646096329999999</v>
      </c>
      <c r="E889" t="s">
        <v>3180</v>
      </c>
      <c r="F889">
        <v>107.5588305</v>
      </c>
      <c r="G889" t="s">
        <v>3181</v>
      </c>
      <c r="H889">
        <v>5958</v>
      </c>
      <c r="I889" t="s">
        <v>3182</v>
      </c>
    </row>
    <row r="890" spans="1:9" x14ac:dyDescent="0.25">
      <c r="A890" t="s">
        <v>3179</v>
      </c>
      <c r="B890" t="s">
        <v>3651</v>
      </c>
      <c r="C890" t="s">
        <v>3183</v>
      </c>
      <c r="D890">
        <v>35.211055729999998</v>
      </c>
      <c r="E890" t="s">
        <v>3180</v>
      </c>
      <c r="F890">
        <v>108.8752728</v>
      </c>
      <c r="G890" t="s">
        <v>3181</v>
      </c>
      <c r="H890">
        <v>20895</v>
      </c>
      <c r="I890" t="s">
        <v>3182</v>
      </c>
    </row>
    <row r="891" spans="1:9" x14ac:dyDescent="0.25">
      <c r="A891" t="s">
        <v>3179</v>
      </c>
      <c r="B891" t="s">
        <v>3747</v>
      </c>
      <c r="C891" t="s">
        <v>3183</v>
      </c>
      <c r="D891">
        <v>35.070036559999998</v>
      </c>
      <c r="E891" t="s">
        <v>3180</v>
      </c>
      <c r="F891">
        <v>109.6409379</v>
      </c>
      <c r="G891" t="s">
        <v>3181</v>
      </c>
      <c r="H891">
        <v>48048</v>
      </c>
      <c r="I891" t="s">
        <v>3182</v>
      </c>
    </row>
    <row r="892" spans="1:9" x14ac:dyDescent="0.25">
      <c r="A892" t="s">
        <v>3179</v>
      </c>
      <c r="B892" t="s">
        <v>3652</v>
      </c>
      <c r="C892" t="s">
        <v>3183</v>
      </c>
      <c r="D892">
        <v>35.380125460000002</v>
      </c>
      <c r="E892" t="s">
        <v>3180</v>
      </c>
      <c r="F892">
        <v>109.38412510000001</v>
      </c>
      <c r="G892" t="s">
        <v>3181</v>
      </c>
      <c r="H892">
        <v>11848</v>
      </c>
      <c r="I892" t="s">
        <v>3182</v>
      </c>
    </row>
    <row r="893" spans="1:9" x14ac:dyDescent="0.25">
      <c r="A893" t="s">
        <v>3179</v>
      </c>
      <c r="B893" t="s">
        <v>3623</v>
      </c>
      <c r="C893" t="s">
        <v>3183</v>
      </c>
      <c r="D893">
        <v>34.101225030000002</v>
      </c>
      <c r="E893" t="s">
        <v>3180</v>
      </c>
      <c r="F893">
        <v>109.9087384</v>
      </c>
      <c r="G893" t="s">
        <v>3181</v>
      </c>
      <c r="H893">
        <v>20144</v>
      </c>
      <c r="I893" t="s">
        <v>3182</v>
      </c>
    </row>
    <row r="894" spans="1:9" x14ac:dyDescent="0.25">
      <c r="A894" t="s">
        <v>3179</v>
      </c>
      <c r="B894" t="s">
        <v>3748</v>
      </c>
      <c r="C894" t="s">
        <v>3183</v>
      </c>
      <c r="D894">
        <v>35.157390380000002</v>
      </c>
      <c r="E894" t="s">
        <v>3180</v>
      </c>
      <c r="F894">
        <v>109.8390757</v>
      </c>
      <c r="G894" t="s">
        <v>3181</v>
      </c>
      <c r="H894">
        <v>20610</v>
      </c>
      <c r="I894" t="s">
        <v>3182</v>
      </c>
    </row>
    <row r="895" spans="1:9" x14ac:dyDescent="0.25">
      <c r="A895" t="s">
        <v>3179</v>
      </c>
      <c r="B895" t="s">
        <v>3624</v>
      </c>
      <c r="C895" t="s">
        <v>3183</v>
      </c>
      <c r="D895">
        <v>33.755177320000001</v>
      </c>
      <c r="E895" t="s">
        <v>3180</v>
      </c>
      <c r="F895">
        <v>110.0995154</v>
      </c>
      <c r="G895" t="s">
        <v>3181</v>
      </c>
      <c r="H895">
        <v>15163</v>
      </c>
      <c r="I895" t="s">
        <v>3182</v>
      </c>
    </row>
    <row r="896" spans="1:9" x14ac:dyDescent="0.25">
      <c r="A896" t="s">
        <v>3179</v>
      </c>
      <c r="B896" t="s">
        <v>3289</v>
      </c>
      <c r="C896" t="s">
        <v>3183</v>
      </c>
      <c r="D896">
        <v>33.207727949999999</v>
      </c>
      <c r="E896" t="s">
        <v>3180</v>
      </c>
      <c r="F896">
        <v>108.6763278</v>
      </c>
      <c r="G896" t="s">
        <v>3181</v>
      </c>
      <c r="H896">
        <v>3962</v>
      </c>
      <c r="I896" t="s">
        <v>3182</v>
      </c>
    </row>
    <row r="897" spans="1:9" x14ac:dyDescent="0.25">
      <c r="A897" t="s">
        <v>3179</v>
      </c>
      <c r="B897" t="s">
        <v>3398</v>
      </c>
      <c r="C897" t="s">
        <v>3183</v>
      </c>
      <c r="D897">
        <v>34.406003060000003</v>
      </c>
      <c r="E897" t="s">
        <v>3180</v>
      </c>
      <c r="F897">
        <v>107.7563067</v>
      </c>
      <c r="G897" t="s">
        <v>3181</v>
      </c>
      <c r="H897">
        <v>33906</v>
      </c>
      <c r="I897" t="s">
        <v>3182</v>
      </c>
    </row>
    <row r="898" spans="1:9" x14ac:dyDescent="0.25">
      <c r="A898" t="s">
        <v>3179</v>
      </c>
      <c r="B898" t="s">
        <v>4087</v>
      </c>
      <c r="C898" t="s">
        <v>3183</v>
      </c>
      <c r="D898">
        <v>37.499499870000001</v>
      </c>
      <c r="E898" t="s">
        <v>3180</v>
      </c>
      <c r="F898">
        <v>110.5235854</v>
      </c>
      <c r="G898" t="s">
        <v>3181</v>
      </c>
      <c r="H898">
        <v>22029</v>
      </c>
      <c r="I898" t="s">
        <v>3182</v>
      </c>
    </row>
    <row r="899" spans="1:9" x14ac:dyDescent="0.25">
      <c r="A899" t="s">
        <v>3179</v>
      </c>
      <c r="B899" t="s">
        <v>3828</v>
      </c>
      <c r="C899" t="s">
        <v>3183</v>
      </c>
      <c r="D899">
        <v>35.13445952</v>
      </c>
      <c r="E899" t="s">
        <v>3180</v>
      </c>
      <c r="F899">
        <v>107.9857413</v>
      </c>
      <c r="G899" t="s">
        <v>3181</v>
      </c>
      <c r="H899">
        <v>33968</v>
      </c>
      <c r="I899" t="s">
        <v>3182</v>
      </c>
    </row>
    <row r="900" spans="1:9" x14ac:dyDescent="0.25">
      <c r="A900" t="s">
        <v>3179</v>
      </c>
      <c r="B900" t="s">
        <v>4088</v>
      </c>
      <c r="C900" t="s">
        <v>3183</v>
      </c>
      <c r="D900">
        <v>37.892396179999999</v>
      </c>
      <c r="E900" t="s">
        <v>3180</v>
      </c>
      <c r="F900">
        <v>110.2849507</v>
      </c>
      <c r="G900" t="s">
        <v>3181</v>
      </c>
      <c r="H900">
        <v>16554</v>
      </c>
      <c r="I900" t="s">
        <v>3182</v>
      </c>
    </row>
    <row r="901" spans="1:9" x14ac:dyDescent="0.25">
      <c r="A901" t="s">
        <v>3179</v>
      </c>
      <c r="B901" t="s">
        <v>3290</v>
      </c>
      <c r="C901" t="s">
        <v>3183</v>
      </c>
      <c r="D901">
        <v>33.150944320000001</v>
      </c>
      <c r="E901" t="s">
        <v>3180</v>
      </c>
      <c r="F901">
        <v>108.3952044</v>
      </c>
      <c r="G901" t="s">
        <v>3181</v>
      </c>
      <c r="H901">
        <v>6940</v>
      </c>
      <c r="I901" t="s">
        <v>3182</v>
      </c>
    </row>
    <row r="902" spans="1:9" x14ac:dyDescent="0.25">
      <c r="A902" t="s">
        <v>3179</v>
      </c>
      <c r="B902" t="s">
        <v>3399</v>
      </c>
      <c r="C902" t="s">
        <v>3183</v>
      </c>
      <c r="D902">
        <v>34.056309800000001</v>
      </c>
      <c r="E902" t="s">
        <v>3180</v>
      </c>
      <c r="F902">
        <v>107.6327833</v>
      </c>
      <c r="G902" t="s">
        <v>3181</v>
      </c>
      <c r="H902">
        <v>6904</v>
      </c>
      <c r="I902" t="s">
        <v>3182</v>
      </c>
    </row>
    <row r="903" spans="1:9" x14ac:dyDescent="0.25">
      <c r="A903" t="s">
        <v>3179</v>
      </c>
      <c r="B903" t="s">
        <v>3291</v>
      </c>
      <c r="C903" t="s">
        <v>3183</v>
      </c>
      <c r="D903">
        <v>32.592162039999998</v>
      </c>
      <c r="E903" t="s">
        <v>3180</v>
      </c>
      <c r="F903">
        <v>108.8566204</v>
      </c>
      <c r="G903" t="s">
        <v>3181</v>
      </c>
      <c r="H903">
        <v>15759</v>
      </c>
      <c r="I903" t="s">
        <v>3182</v>
      </c>
    </row>
    <row r="904" spans="1:9" x14ac:dyDescent="0.25">
      <c r="A904" t="s">
        <v>3179</v>
      </c>
      <c r="B904" t="s">
        <v>3625</v>
      </c>
      <c r="C904" t="s">
        <v>3183</v>
      </c>
      <c r="D904">
        <v>33.800790390000003</v>
      </c>
      <c r="E904" t="s">
        <v>3180</v>
      </c>
      <c r="F904">
        <v>108.9987991</v>
      </c>
      <c r="G904" t="s">
        <v>3181</v>
      </c>
      <c r="H904">
        <v>11750</v>
      </c>
      <c r="I904" t="s">
        <v>3182</v>
      </c>
    </row>
    <row r="905" spans="1:9" x14ac:dyDescent="0.25">
      <c r="A905" t="s">
        <v>3179</v>
      </c>
      <c r="B905" t="s">
        <v>3400</v>
      </c>
      <c r="C905" t="s">
        <v>3183</v>
      </c>
      <c r="D905">
        <v>34.091967390000001</v>
      </c>
      <c r="E905" t="s">
        <v>3180</v>
      </c>
      <c r="F905">
        <v>107.7444035</v>
      </c>
      <c r="G905" t="s">
        <v>3181</v>
      </c>
      <c r="H905">
        <v>20415</v>
      </c>
      <c r="I905" t="s">
        <v>3182</v>
      </c>
    </row>
    <row r="906" spans="1:9" x14ac:dyDescent="0.25">
      <c r="A906" t="s">
        <v>3179</v>
      </c>
      <c r="B906" t="s">
        <v>3626</v>
      </c>
      <c r="C906" t="s">
        <v>3183</v>
      </c>
      <c r="D906">
        <v>33.437599040000002</v>
      </c>
      <c r="E906" t="s">
        <v>3180</v>
      </c>
      <c r="F906">
        <v>110.25814990000001</v>
      </c>
      <c r="G906" t="s">
        <v>3181</v>
      </c>
      <c r="H906">
        <v>14999</v>
      </c>
      <c r="I906" t="s">
        <v>3182</v>
      </c>
    </row>
    <row r="907" spans="1:9" x14ac:dyDescent="0.25">
      <c r="A907" t="s">
        <v>3179</v>
      </c>
      <c r="B907" t="s">
        <v>3541</v>
      </c>
      <c r="C907" t="s">
        <v>3183</v>
      </c>
      <c r="D907">
        <v>33.375765950000002</v>
      </c>
      <c r="E907" t="s">
        <v>3180</v>
      </c>
      <c r="F907">
        <v>107.39768599999999</v>
      </c>
      <c r="G907" t="s">
        <v>3181</v>
      </c>
      <c r="H907">
        <v>10796</v>
      </c>
      <c r="I907" t="s">
        <v>3182</v>
      </c>
    </row>
    <row r="908" spans="1:9" x14ac:dyDescent="0.25">
      <c r="A908" t="s">
        <v>3179</v>
      </c>
      <c r="B908" t="s">
        <v>3953</v>
      </c>
      <c r="C908" t="s">
        <v>3183</v>
      </c>
      <c r="D908">
        <v>36.573838209999998</v>
      </c>
      <c r="E908" t="s">
        <v>3180</v>
      </c>
      <c r="F908">
        <v>108.413121</v>
      </c>
      <c r="G908" t="s">
        <v>3181</v>
      </c>
      <c r="H908">
        <v>7196</v>
      </c>
      <c r="I908" t="s">
        <v>3182</v>
      </c>
    </row>
    <row r="909" spans="1:9" x14ac:dyDescent="0.25">
      <c r="A909" t="s">
        <v>3179</v>
      </c>
      <c r="B909" t="s">
        <v>3401</v>
      </c>
      <c r="C909" t="s">
        <v>3183</v>
      </c>
      <c r="D909">
        <v>34.364496699999997</v>
      </c>
      <c r="E909" t="s">
        <v>3180</v>
      </c>
      <c r="F909">
        <v>107.6175649</v>
      </c>
      <c r="G909" t="s">
        <v>3181</v>
      </c>
      <c r="H909">
        <v>48983</v>
      </c>
      <c r="I909" t="s">
        <v>3182</v>
      </c>
    </row>
    <row r="910" spans="1:9" x14ac:dyDescent="0.25">
      <c r="A910" t="s">
        <v>3179</v>
      </c>
      <c r="B910" t="s">
        <v>3627</v>
      </c>
      <c r="C910" t="s">
        <v>3183</v>
      </c>
      <c r="D910">
        <v>34.984104780000003</v>
      </c>
      <c r="E910" t="s">
        <v>3180</v>
      </c>
      <c r="F910">
        <v>109.8729258</v>
      </c>
      <c r="G910" t="s">
        <v>3181</v>
      </c>
      <c r="H910">
        <v>26063</v>
      </c>
      <c r="I910" t="s">
        <v>3182</v>
      </c>
    </row>
    <row r="911" spans="1:9" x14ac:dyDescent="0.25">
      <c r="A911" t="s">
        <v>3179</v>
      </c>
      <c r="B911" t="s">
        <v>3627</v>
      </c>
      <c r="C911" t="s">
        <v>3183</v>
      </c>
      <c r="D911">
        <v>34.11766222</v>
      </c>
      <c r="E911" t="s">
        <v>3180</v>
      </c>
      <c r="F911">
        <v>110.0575324</v>
      </c>
      <c r="G911" t="s">
        <v>3181</v>
      </c>
      <c r="H911">
        <v>33666</v>
      </c>
      <c r="I911" t="s">
        <v>3182</v>
      </c>
    </row>
    <row r="912" spans="1:9" x14ac:dyDescent="0.25">
      <c r="A912" t="s">
        <v>3179</v>
      </c>
      <c r="B912" t="s">
        <v>5725</v>
      </c>
      <c r="C912" t="s">
        <v>3183</v>
      </c>
      <c r="D912">
        <v>32.509376840000002</v>
      </c>
      <c r="E912" t="s">
        <v>3180</v>
      </c>
      <c r="F912">
        <v>107.48103159999999</v>
      </c>
      <c r="G912" t="s">
        <v>3181</v>
      </c>
      <c r="H912">
        <v>5756</v>
      </c>
      <c r="I912" t="s">
        <v>3182</v>
      </c>
    </row>
    <row r="913" spans="1:9" x14ac:dyDescent="0.25">
      <c r="A913" t="s">
        <v>3179</v>
      </c>
      <c r="B913" t="s">
        <v>5726</v>
      </c>
      <c r="C913" t="s">
        <v>3183</v>
      </c>
      <c r="D913">
        <v>35.227614639999999</v>
      </c>
      <c r="E913" t="s">
        <v>3180</v>
      </c>
      <c r="F913">
        <v>108.119629</v>
      </c>
      <c r="G913" t="s">
        <v>3181</v>
      </c>
      <c r="H913">
        <v>17451</v>
      </c>
      <c r="I913" t="s">
        <v>3182</v>
      </c>
    </row>
    <row r="914" spans="1:9" x14ac:dyDescent="0.25">
      <c r="A914" t="s">
        <v>3179</v>
      </c>
      <c r="B914" t="s">
        <v>5727</v>
      </c>
      <c r="C914" t="s">
        <v>3183</v>
      </c>
      <c r="D914">
        <v>34.533768299999998</v>
      </c>
      <c r="E914" t="s">
        <v>3180</v>
      </c>
      <c r="F914">
        <v>108.9362407</v>
      </c>
      <c r="G914" t="s">
        <v>3181</v>
      </c>
      <c r="H914">
        <v>31014</v>
      </c>
      <c r="I914" t="s">
        <v>3182</v>
      </c>
    </row>
    <row r="915" spans="1:9" x14ac:dyDescent="0.25">
      <c r="A915" t="s">
        <v>3179</v>
      </c>
      <c r="B915" t="s">
        <v>3954</v>
      </c>
      <c r="C915" t="s">
        <v>3183</v>
      </c>
      <c r="D915">
        <v>36.534001070000002</v>
      </c>
      <c r="E915" t="s">
        <v>3180</v>
      </c>
      <c r="F915">
        <v>108.7253728</v>
      </c>
      <c r="G915" t="s">
        <v>3181</v>
      </c>
      <c r="H915">
        <v>9533</v>
      </c>
      <c r="I915" t="s">
        <v>3182</v>
      </c>
    </row>
    <row r="916" spans="1:9" x14ac:dyDescent="0.25">
      <c r="A916" t="s">
        <v>3179</v>
      </c>
      <c r="B916" t="s">
        <v>3829</v>
      </c>
      <c r="C916" t="s">
        <v>3183</v>
      </c>
      <c r="D916">
        <v>34.842513349999997</v>
      </c>
      <c r="E916" t="s">
        <v>3180</v>
      </c>
      <c r="F916">
        <v>108.0283718</v>
      </c>
      <c r="G916" t="s">
        <v>3181</v>
      </c>
      <c r="H916">
        <v>4695</v>
      </c>
      <c r="I916" t="s">
        <v>3182</v>
      </c>
    </row>
    <row r="917" spans="1:9" x14ac:dyDescent="0.25">
      <c r="A917" t="s">
        <v>3179</v>
      </c>
      <c r="B917" t="s">
        <v>3829</v>
      </c>
      <c r="C917" t="s">
        <v>3183</v>
      </c>
      <c r="D917">
        <v>36.978025840000001</v>
      </c>
      <c r="E917" t="s">
        <v>3180</v>
      </c>
      <c r="F917">
        <v>109.77817520000001</v>
      </c>
      <c r="G917" t="s">
        <v>3181</v>
      </c>
      <c r="H917">
        <v>47990</v>
      </c>
      <c r="I917" t="s">
        <v>3182</v>
      </c>
    </row>
    <row r="918" spans="1:9" x14ac:dyDescent="0.25">
      <c r="A918" t="s">
        <v>3179</v>
      </c>
      <c r="B918" t="s">
        <v>3955</v>
      </c>
      <c r="C918" t="s">
        <v>3183</v>
      </c>
      <c r="D918">
        <v>35.818782820000003</v>
      </c>
      <c r="E918" t="s">
        <v>3180</v>
      </c>
      <c r="F918">
        <v>109.44742119999999</v>
      </c>
      <c r="G918" t="s">
        <v>3181</v>
      </c>
      <c r="H918">
        <v>21579</v>
      </c>
      <c r="I918" t="s">
        <v>3182</v>
      </c>
    </row>
    <row r="919" spans="1:9" x14ac:dyDescent="0.25">
      <c r="A919" t="s">
        <v>3179</v>
      </c>
      <c r="B919" t="s">
        <v>3830</v>
      </c>
      <c r="C919" t="s">
        <v>3183</v>
      </c>
      <c r="D919">
        <v>34.394618770000001</v>
      </c>
      <c r="E919" t="s">
        <v>3180</v>
      </c>
      <c r="F919">
        <v>108.046069</v>
      </c>
      <c r="G919" t="s">
        <v>3181</v>
      </c>
      <c r="H919">
        <v>19077</v>
      </c>
      <c r="I919" t="s">
        <v>3182</v>
      </c>
    </row>
    <row r="920" spans="1:9" x14ac:dyDescent="0.25">
      <c r="A920" t="s">
        <v>3179</v>
      </c>
      <c r="B920" t="s">
        <v>3542</v>
      </c>
      <c r="C920" t="s">
        <v>3183</v>
      </c>
      <c r="D920">
        <v>33.035500050000003</v>
      </c>
      <c r="E920" t="s">
        <v>3180</v>
      </c>
      <c r="F920">
        <v>106.60040720000001</v>
      </c>
      <c r="G920" t="s">
        <v>3181</v>
      </c>
      <c r="H920">
        <v>12710</v>
      </c>
      <c r="I920" t="s">
        <v>3182</v>
      </c>
    </row>
    <row r="921" spans="1:9" x14ac:dyDescent="0.25">
      <c r="A921" t="s">
        <v>3179</v>
      </c>
      <c r="B921" t="s">
        <v>3543</v>
      </c>
      <c r="C921" t="s">
        <v>3183</v>
      </c>
      <c r="D921">
        <v>33.238246889999999</v>
      </c>
      <c r="E921" t="s">
        <v>3180</v>
      </c>
      <c r="F921">
        <v>107.3127303</v>
      </c>
      <c r="G921" t="s">
        <v>3181</v>
      </c>
      <c r="H921">
        <v>18859</v>
      </c>
      <c r="I921" t="s">
        <v>3182</v>
      </c>
    </row>
    <row r="922" spans="1:9" x14ac:dyDescent="0.25">
      <c r="A922" t="s">
        <v>3179</v>
      </c>
      <c r="B922" t="s">
        <v>3544</v>
      </c>
      <c r="C922" t="s">
        <v>3183</v>
      </c>
      <c r="D922">
        <v>32.344092719999999</v>
      </c>
      <c r="E922" t="s">
        <v>3180</v>
      </c>
      <c r="F922">
        <v>107.95940640000001</v>
      </c>
      <c r="G922" t="s">
        <v>3181</v>
      </c>
      <c r="H922">
        <v>12433</v>
      </c>
      <c r="I922" t="s">
        <v>3182</v>
      </c>
    </row>
    <row r="923" spans="1:9" x14ac:dyDescent="0.25">
      <c r="A923" t="s">
        <v>3179</v>
      </c>
      <c r="B923" t="s">
        <v>3545</v>
      </c>
      <c r="C923" t="s">
        <v>3183</v>
      </c>
      <c r="D923">
        <v>33.58015193</v>
      </c>
      <c r="E923" t="s">
        <v>3180</v>
      </c>
      <c r="F923">
        <v>107.80433429999999</v>
      </c>
      <c r="G923" t="s">
        <v>3181</v>
      </c>
      <c r="H923">
        <v>1488</v>
      </c>
      <c r="I923" t="s">
        <v>3182</v>
      </c>
    </row>
    <row r="924" spans="1:9" x14ac:dyDescent="0.25">
      <c r="A924" t="s">
        <v>3179</v>
      </c>
      <c r="B924" t="s">
        <v>3628</v>
      </c>
      <c r="C924" t="s">
        <v>3183</v>
      </c>
      <c r="D924">
        <v>33.50448385</v>
      </c>
      <c r="E924" t="s">
        <v>3180</v>
      </c>
      <c r="F924">
        <v>108.71077029999999</v>
      </c>
      <c r="G924" t="s">
        <v>3181</v>
      </c>
      <c r="H924">
        <v>7125</v>
      </c>
      <c r="I924" t="s">
        <v>3182</v>
      </c>
    </row>
    <row r="925" spans="1:9" x14ac:dyDescent="0.25">
      <c r="A925" t="s">
        <v>3179</v>
      </c>
      <c r="B925" t="s">
        <v>4090</v>
      </c>
      <c r="C925" t="s">
        <v>3183</v>
      </c>
      <c r="D925">
        <v>38.03126323</v>
      </c>
      <c r="E925" t="s">
        <v>3180</v>
      </c>
      <c r="F925">
        <v>109.8408759</v>
      </c>
      <c r="G925" t="s">
        <v>3181</v>
      </c>
      <c r="H925">
        <v>15728</v>
      </c>
      <c r="I925" t="s">
        <v>3182</v>
      </c>
    </row>
    <row r="926" spans="1:9" x14ac:dyDescent="0.25">
      <c r="A926" t="s">
        <v>3179</v>
      </c>
      <c r="B926" t="s">
        <v>4089</v>
      </c>
      <c r="C926" t="s">
        <v>3183</v>
      </c>
      <c r="D926">
        <v>38.058890980000001</v>
      </c>
      <c r="E926" t="s">
        <v>3180</v>
      </c>
      <c r="F926">
        <v>109.9587166</v>
      </c>
      <c r="G926" t="s">
        <v>3181</v>
      </c>
      <c r="H926">
        <v>8805</v>
      </c>
      <c r="I926" t="s">
        <v>3182</v>
      </c>
    </row>
    <row r="927" spans="1:9" x14ac:dyDescent="0.25">
      <c r="A927" t="s">
        <v>3179</v>
      </c>
      <c r="B927" t="s">
        <v>3546</v>
      </c>
      <c r="C927" t="s">
        <v>3183</v>
      </c>
      <c r="D927">
        <v>33.765813360000003</v>
      </c>
      <c r="E927" t="s">
        <v>3180</v>
      </c>
      <c r="F927">
        <v>106.905218</v>
      </c>
      <c r="G927" t="s">
        <v>3181</v>
      </c>
      <c r="H927">
        <v>5140</v>
      </c>
      <c r="I927" t="s">
        <v>3182</v>
      </c>
    </row>
    <row r="928" spans="1:9" x14ac:dyDescent="0.25">
      <c r="A928" t="s">
        <v>3179</v>
      </c>
      <c r="B928" t="s">
        <v>4091</v>
      </c>
      <c r="C928" t="s">
        <v>3183</v>
      </c>
      <c r="D928">
        <v>37.06447533</v>
      </c>
      <c r="E928" t="s">
        <v>3180</v>
      </c>
      <c r="F928">
        <v>110.35774720000001</v>
      </c>
      <c r="G928" t="s">
        <v>3181</v>
      </c>
      <c r="H928">
        <v>10678</v>
      </c>
      <c r="I928" t="s">
        <v>3182</v>
      </c>
    </row>
    <row r="929" spans="1:9" x14ac:dyDescent="0.25">
      <c r="A929" t="s">
        <v>3179</v>
      </c>
      <c r="B929" t="s">
        <v>3956</v>
      </c>
      <c r="C929" t="s">
        <v>3183</v>
      </c>
      <c r="D929">
        <v>37.062807079999999</v>
      </c>
      <c r="E929" t="s">
        <v>3180</v>
      </c>
      <c r="F929">
        <v>109.5573083</v>
      </c>
      <c r="G929" t="s">
        <v>3181</v>
      </c>
      <c r="H929">
        <v>6659</v>
      </c>
      <c r="I929" t="s">
        <v>3182</v>
      </c>
    </row>
    <row r="930" spans="1:9" x14ac:dyDescent="0.25">
      <c r="A930" t="s">
        <v>3179</v>
      </c>
      <c r="B930" t="s">
        <v>3957</v>
      </c>
      <c r="C930" t="s">
        <v>3183</v>
      </c>
      <c r="D930">
        <v>37.247359660000001</v>
      </c>
      <c r="E930" t="s">
        <v>3180</v>
      </c>
      <c r="F930">
        <v>109.67772669999999</v>
      </c>
      <c r="G930" t="s">
        <v>3181</v>
      </c>
      <c r="H930">
        <v>6331</v>
      </c>
      <c r="I930" t="s">
        <v>3182</v>
      </c>
    </row>
    <row r="931" spans="1:9" x14ac:dyDescent="0.25">
      <c r="A931" t="s">
        <v>3179</v>
      </c>
      <c r="B931" t="s">
        <v>3629</v>
      </c>
      <c r="C931" t="s">
        <v>3183</v>
      </c>
      <c r="D931">
        <v>33.884996989999998</v>
      </c>
      <c r="E931" t="s">
        <v>3180</v>
      </c>
      <c r="F931">
        <v>110.452753</v>
      </c>
      <c r="G931" t="s">
        <v>3181</v>
      </c>
      <c r="H931">
        <v>15797</v>
      </c>
      <c r="I931" t="s">
        <v>3182</v>
      </c>
    </row>
    <row r="932" spans="1:9" x14ac:dyDescent="0.25">
      <c r="A932" t="s">
        <v>3179</v>
      </c>
      <c r="B932" t="s">
        <v>3292</v>
      </c>
      <c r="C932" t="s">
        <v>3183</v>
      </c>
      <c r="D932">
        <v>32.82321014</v>
      </c>
      <c r="E932" t="s">
        <v>3180</v>
      </c>
      <c r="F932">
        <v>108.1485069</v>
      </c>
      <c r="G932" t="s">
        <v>3181</v>
      </c>
      <c r="H932">
        <v>12491</v>
      </c>
      <c r="I932" t="s">
        <v>3182</v>
      </c>
    </row>
    <row r="933" spans="1:9" x14ac:dyDescent="0.25">
      <c r="A933" t="s">
        <v>3179</v>
      </c>
      <c r="B933" t="s">
        <v>3630</v>
      </c>
      <c r="C933" t="s">
        <v>3183</v>
      </c>
      <c r="D933">
        <v>33.534865150000002</v>
      </c>
      <c r="E933" t="s">
        <v>3180</v>
      </c>
      <c r="F933">
        <v>108.98891399999999</v>
      </c>
      <c r="G933" t="s">
        <v>3181</v>
      </c>
      <c r="H933">
        <v>13079</v>
      </c>
      <c r="I933" t="s">
        <v>3182</v>
      </c>
    </row>
    <row r="934" spans="1:9" x14ac:dyDescent="0.25">
      <c r="A934" t="s">
        <v>3179</v>
      </c>
      <c r="B934" t="s">
        <v>3293</v>
      </c>
      <c r="C934" t="s">
        <v>3183</v>
      </c>
      <c r="D934">
        <v>33.152058619999998</v>
      </c>
      <c r="E934" t="s">
        <v>3180</v>
      </c>
      <c r="F934">
        <v>108.2953207</v>
      </c>
      <c r="G934" t="s">
        <v>3181</v>
      </c>
      <c r="H934">
        <v>8676</v>
      </c>
      <c r="I934" t="s">
        <v>3182</v>
      </c>
    </row>
    <row r="935" spans="1:9" x14ac:dyDescent="0.25">
      <c r="A935" t="s">
        <v>3179</v>
      </c>
      <c r="B935" t="s">
        <v>3958</v>
      </c>
      <c r="C935" t="s">
        <v>3183</v>
      </c>
      <c r="D935">
        <v>36.275184619999997</v>
      </c>
      <c r="E935" t="s">
        <v>3180</v>
      </c>
      <c r="F935">
        <v>110.16584880000001</v>
      </c>
      <c r="G935" t="s">
        <v>3181</v>
      </c>
      <c r="H935">
        <v>17672</v>
      </c>
      <c r="I935" t="s">
        <v>3182</v>
      </c>
    </row>
    <row r="936" spans="1:9" x14ac:dyDescent="0.25">
      <c r="A936" t="s">
        <v>3179</v>
      </c>
      <c r="B936" t="s">
        <v>3831</v>
      </c>
      <c r="C936" t="s">
        <v>3183</v>
      </c>
      <c r="D936">
        <v>34.620300039999996</v>
      </c>
      <c r="E936" t="s">
        <v>3180</v>
      </c>
      <c r="F936">
        <v>108.8091822</v>
      </c>
      <c r="G936" t="s">
        <v>3181</v>
      </c>
      <c r="H936">
        <v>54539</v>
      </c>
      <c r="I936" t="s">
        <v>3182</v>
      </c>
    </row>
    <row r="937" spans="1:9" x14ac:dyDescent="0.25">
      <c r="A937" t="s">
        <v>3179</v>
      </c>
      <c r="B937" t="s">
        <v>3884</v>
      </c>
      <c r="C937" t="s">
        <v>3183</v>
      </c>
      <c r="D937">
        <v>34.214958469999999</v>
      </c>
      <c r="E937" t="s">
        <v>3180</v>
      </c>
      <c r="F937">
        <v>109.5258414</v>
      </c>
      <c r="G937" t="s">
        <v>3181</v>
      </c>
      <c r="H937">
        <v>23314</v>
      </c>
      <c r="I937" t="s">
        <v>3182</v>
      </c>
    </row>
    <row r="938" spans="1:9" x14ac:dyDescent="0.25">
      <c r="A938" t="s">
        <v>3179</v>
      </c>
      <c r="B938" t="s">
        <v>3402</v>
      </c>
      <c r="C938" t="s">
        <v>3183</v>
      </c>
      <c r="D938">
        <v>34.34799838</v>
      </c>
      <c r="E938" t="s">
        <v>3180</v>
      </c>
      <c r="F938">
        <v>107.7135231</v>
      </c>
      <c r="G938" t="s">
        <v>3181</v>
      </c>
      <c r="H938">
        <v>32626</v>
      </c>
      <c r="I938" t="s">
        <v>3182</v>
      </c>
    </row>
    <row r="939" spans="1:9" x14ac:dyDescent="0.25">
      <c r="A939" t="s">
        <v>3179</v>
      </c>
      <c r="B939" t="s">
        <v>4092</v>
      </c>
      <c r="C939" t="s">
        <v>3183</v>
      </c>
      <c r="D939">
        <v>37.405950279999999</v>
      </c>
      <c r="E939" t="s">
        <v>3180</v>
      </c>
      <c r="F939">
        <v>110.598163</v>
      </c>
      <c r="G939" t="s">
        <v>3181</v>
      </c>
      <c r="H939">
        <v>8012</v>
      </c>
      <c r="I939" t="s">
        <v>3182</v>
      </c>
    </row>
    <row r="940" spans="1:9" x14ac:dyDescent="0.25">
      <c r="A940" t="s">
        <v>3179</v>
      </c>
      <c r="B940" t="s">
        <v>3294</v>
      </c>
      <c r="C940" t="s">
        <v>3183</v>
      </c>
      <c r="D940">
        <v>32.854904070000003</v>
      </c>
      <c r="E940" t="s">
        <v>3180</v>
      </c>
      <c r="F940">
        <v>109.1198404</v>
      </c>
      <c r="G940" t="s">
        <v>3181</v>
      </c>
      <c r="H940">
        <v>22493</v>
      </c>
      <c r="I940" t="s">
        <v>3182</v>
      </c>
    </row>
    <row r="941" spans="1:9" x14ac:dyDescent="0.25">
      <c r="A941" t="s">
        <v>3179</v>
      </c>
      <c r="B941" t="s">
        <v>3832</v>
      </c>
      <c r="C941" t="s">
        <v>3183</v>
      </c>
      <c r="D941">
        <v>35.13834662</v>
      </c>
      <c r="E941" t="s">
        <v>3180</v>
      </c>
      <c r="F941">
        <v>107.7607075</v>
      </c>
      <c r="G941" t="s">
        <v>3181</v>
      </c>
      <c r="H941">
        <v>7912</v>
      </c>
      <c r="I941" t="s">
        <v>3182</v>
      </c>
    </row>
    <row r="942" spans="1:9" x14ac:dyDescent="0.25">
      <c r="A942" t="s">
        <v>3179</v>
      </c>
      <c r="B942" t="s">
        <v>3295</v>
      </c>
      <c r="C942" t="s">
        <v>3183</v>
      </c>
      <c r="D942">
        <v>32.109987169999997</v>
      </c>
      <c r="E942" t="s">
        <v>3180</v>
      </c>
      <c r="F942">
        <v>109.4049354</v>
      </c>
      <c r="G942" t="s">
        <v>3181</v>
      </c>
      <c r="H942">
        <v>9708</v>
      </c>
      <c r="I942" t="s">
        <v>3182</v>
      </c>
    </row>
    <row r="943" spans="1:9" x14ac:dyDescent="0.25">
      <c r="A943" t="s">
        <v>3179</v>
      </c>
      <c r="B943" t="s">
        <v>3296</v>
      </c>
      <c r="C943" t="s">
        <v>3183</v>
      </c>
      <c r="D943">
        <v>33.035779830000003</v>
      </c>
      <c r="E943" t="s">
        <v>3180</v>
      </c>
      <c r="F943">
        <v>108.1415837</v>
      </c>
      <c r="G943" t="s">
        <v>3181</v>
      </c>
      <c r="H943">
        <v>5715</v>
      </c>
      <c r="I943" t="s">
        <v>3182</v>
      </c>
    </row>
    <row r="944" spans="1:9" x14ac:dyDescent="0.25">
      <c r="A944" t="s">
        <v>3179</v>
      </c>
      <c r="B944" t="s">
        <v>3403</v>
      </c>
      <c r="C944" t="s">
        <v>3183</v>
      </c>
      <c r="D944">
        <v>34.894775809999999</v>
      </c>
      <c r="E944" t="s">
        <v>3180</v>
      </c>
      <c r="F944">
        <v>107.6590099</v>
      </c>
      <c r="G944" t="s">
        <v>3181</v>
      </c>
      <c r="H944">
        <v>6165</v>
      </c>
      <c r="I944" t="s">
        <v>3182</v>
      </c>
    </row>
    <row r="945" spans="1:9" x14ac:dyDescent="0.25">
      <c r="A945" t="s">
        <v>3179</v>
      </c>
      <c r="B945" t="s">
        <v>3631</v>
      </c>
      <c r="C945" t="s">
        <v>3183</v>
      </c>
      <c r="D945">
        <v>33.805900000000001</v>
      </c>
      <c r="E945" t="s">
        <v>3180</v>
      </c>
      <c r="F945">
        <v>110.0634</v>
      </c>
      <c r="G945" t="s">
        <v>3181</v>
      </c>
      <c r="H945">
        <v>16146</v>
      </c>
      <c r="I945" t="s">
        <v>3182</v>
      </c>
    </row>
    <row r="946" spans="1:9" x14ac:dyDescent="0.25">
      <c r="A946" t="s">
        <v>3179</v>
      </c>
      <c r="B946" t="s">
        <v>3959</v>
      </c>
      <c r="C946" t="s">
        <v>3183</v>
      </c>
      <c r="D946">
        <v>35.863250129999997</v>
      </c>
      <c r="E946" t="s">
        <v>3180</v>
      </c>
      <c r="F946">
        <v>109.07172060000001</v>
      </c>
      <c r="G946" t="s">
        <v>3181</v>
      </c>
      <c r="H946">
        <v>10748</v>
      </c>
      <c r="I946" t="s">
        <v>3182</v>
      </c>
    </row>
    <row r="947" spans="1:9" x14ac:dyDescent="0.25">
      <c r="A947" t="s">
        <v>3179</v>
      </c>
      <c r="B947" t="s">
        <v>3833</v>
      </c>
      <c r="C947" t="s">
        <v>3183</v>
      </c>
      <c r="D947">
        <v>35.042620110000001</v>
      </c>
      <c r="E947" t="s">
        <v>3180</v>
      </c>
      <c r="F947">
        <v>108.24249090000001</v>
      </c>
      <c r="G947" t="s">
        <v>3181</v>
      </c>
      <c r="H947">
        <v>31928</v>
      </c>
      <c r="I947" t="s">
        <v>3182</v>
      </c>
    </row>
    <row r="948" spans="1:9" x14ac:dyDescent="0.25">
      <c r="A948" t="s">
        <v>3179</v>
      </c>
      <c r="B948" t="s">
        <v>4093</v>
      </c>
      <c r="C948" t="s">
        <v>3183</v>
      </c>
      <c r="D948">
        <v>37.505947419999998</v>
      </c>
      <c r="E948" t="s">
        <v>3180</v>
      </c>
      <c r="F948">
        <v>110.1851393</v>
      </c>
      <c r="G948" t="s">
        <v>3181</v>
      </c>
      <c r="H948">
        <v>21951</v>
      </c>
      <c r="I948" t="s">
        <v>3182</v>
      </c>
    </row>
    <row r="949" spans="1:9" x14ac:dyDescent="0.25">
      <c r="A949" t="s">
        <v>3179</v>
      </c>
      <c r="B949" t="s">
        <v>3547</v>
      </c>
      <c r="C949" t="s">
        <v>3183</v>
      </c>
      <c r="D949">
        <v>33.490544839999998</v>
      </c>
      <c r="E949" t="s">
        <v>3180</v>
      </c>
      <c r="F949">
        <v>106.5816057</v>
      </c>
      <c r="G949" t="s">
        <v>3181</v>
      </c>
      <c r="H949">
        <v>5338</v>
      </c>
      <c r="I949" t="s">
        <v>3182</v>
      </c>
    </row>
    <row r="950" spans="1:9" x14ac:dyDescent="0.25">
      <c r="A950" t="s">
        <v>3179</v>
      </c>
      <c r="B950" t="s">
        <v>4094</v>
      </c>
      <c r="C950" t="s">
        <v>3183</v>
      </c>
      <c r="D950">
        <v>37.68149468</v>
      </c>
      <c r="E950" t="s">
        <v>3180</v>
      </c>
      <c r="F950">
        <v>110.5926302</v>
      </c>
      <c r="G950" t="s">
        <v>3181</v>
      </c>
      <c r="H950">
        <v>5382</v>
      </c>
      <c r="I950" t="s">
        <v>3182</v>
      </c>
    </row>
    <row r="951" spans="1:9" x14ac:dyDescent="0.25">
      <c r="A951" t="s">
        <v>3179</v>
      </c>
      <c r="B951" t="s">
        <v>3960</v>
      </c>
      <c r="C951" t="s">
        <v>3183</v>
      </c>
      <c r="D951">
        <v>36.500540379999997</v>
      </c>
      <c r="E951" t="s">
        <v>3180</v>
      </c>
      <c r="F951">
        <v>110.2094142</v>
      </c>
      <c r="G951" t="s">
        <v>3181</v>
      </c>
      <c r="H951">
        <v>11629</v>
      </c>
      <c r="I951" t="s">
        <v>3182</v>
      </c>
    </row>
    <row r="952" spans="1:9" x14ac:dyDescent="0.25">
      <c r="A952" t="s">
        <v>3179</v>
      </c>
      <c r="B952" t="s">
        <v>3961</v>
      </c>
      <c r="C952" t="s">
        <v>3183</v>
      </c>
      <c r="D952">
        <v>36.164969919999997</v>
      </c>
      <c r="E952" t="s">
        <v>3180</v>
      </c>
      <c r="F952">
        <v>108.829598</v>
      </c>
      <c r="G952" t="s">
        <v>3181</v>
      </c>
      <c r="H952">
        <v>9865</v>
      </c>
      <c r="I952" t="s">
        <v>3182</v>
      </c>
    </row>
    <row r="953" spans="1:9" x14ac:dyDescent="0.25">
      <c r="A953" t="s">
        <v>3179</v>
      </c>
      <c r="B953" t="s">
        <v>3404</v>
      </c>
      <c r="C953" t="s">
        <v>3183</v>
      </c>
      <c r="D953">
        <v>34.795209319999998</v>
      </c>
      <c r="E953" t="s">
        <v>3180</v>
      </c>
      <c r="F953">
        <v>107.1597517</v>
      </c>
      <c r="G953" t="s">
        <v>3181</v>
      </c>
      <c r="H953">
        <v>8898</v>
      </c>
      <c r="I953" t="s">
        <v>3182</v>
      </c>
    </row>
    <row r="954" spans="1:9" x14ac:dyDescent="0.25">
      <c r="A954" t="s">
        <v>3179</v>
      </c>
      <c r="B954" t="s">
        <v>3749</v>
      </c>
      <c r="C954" t="s">
        <v>3183</v>
      </c>
      <c r="D954">
        <v>34.756025399999999</v>
      </c>
      <c r="E954" t="s">
        <v>3180</v>
      </c>
      <c r="F954">
        <v>109.35880349999999</v>
      </c>
      <c r="G954" t="s">
        <v>3181</v>
      </c>
      <c r="H954">
        <v>32667</v>
      </c>
      <c r="I954" t="s">
        <v>3182</v>
      </c>
    </row>
    <row r="955" spans="1:9" x14ac:dyDescent="0.25">
      <c r="A955" t="s">
        <v>3179</v>
      </c>
      <c r="B955" t="s">
        <v>3297</v>
      </c>
      <c r="C955" t="s">
        <v>3183</v>
      </c>
      <c r="D955">
        <v>32.681691229999998</v>
      </c>
      <c r="E955" t="s">
        <v>3180</v>
      </c>
      <c r="F955">
        <v>109.1228357</v>
      </c>
      <c r="G955" t="s">
        <v>3181</v>
      </c>
      <c r="H955">
        <v>28079</v>
      </c>
      <c r="I955" t="s">
        <v>3182</v>
      </c>
    </row>
    <row r="956" spans="1:9" x14ac:dyDescent="0.25">
      <c r="A956" t="s">
        <v>3179</v>
      </c>
      <c r="B956" t="s">
        <v>4095</v>
      </c>
      <c r="C956" t="s">
        <v>3183</v>
      </c>
      <c r="D956">
        <v>36.93019082</v>
      </c>
      <c r="E956" t="s">
        <v>3180</v>
      </c>
      <c r="F956">
        <v>107.5600905</v>
      </c>
      <c r="G956" t="s">
        <v>3181</v>
      </c>
      <c r="H956">
        <v>8449</v>
      </c>
      <c r="I956" t="s">
        <v>3182</v>
      </c>
    </row>
    <row r="957" spans="1:9" x14ac:dyDescent="0.25">
      <c r="A957" t="s">
        <v>3179</v>
      </c>
      <c r="B957" t="s">
        <v>3836</v>
      </c>
      <c r="C957" t="s">
        <v>3183</v>
      </c>
      <c r="D957">
        <v>34.5415694</v>
      </c>
      <c r="E957" t="s">
        <v>3180</v>
      </c>
      <c r="F957">
        <v>108.4748889</v>
      </c>
      <c r="G957" t="s">
        <v>3181</v>
      </c>
      <c r="H957">
        <v>26901</v>
      </c>
      <c r="I957" t="s">
        <v>3182</v>
      </c>
    </row>
    <row r="958" spans="1:9" x14ac:dyDescent="0.25">
      <c r="A958" t="s">
        <v>3179</v>
      </c>
      <c r="B958" t="s">
        <v>3962</v>
      </c>
      <c r="C958" t="s">
        <v>3183</v>
      </c>
      <c r="D958">
        <v>36.839260979999999</v>
      </c>
      <c r="E958" t="s">
        <v>3180</v>
      </c>
      <c r="F958">
        <v>109.1129967</v>
      </c>
      <c r="G958" t="s">
        <v>3181</v>
      </c>
      <c r="H958">
        <v>12779</v>
      </c>
      <c r="I958" t="s">
        <v>3182</v>
      </c>
    </row>
    <row r="959" spans="1:9" x14ac:dyDescent="0.25">
      <c r="A959" t="s">
        <v>3179</v>
      </c>
      <c r="B959" t="s">
        <v>3632</v>
      </c>
      <c r="C959" t="s">
        <v>3183</v>
      </c>
      <c r="D959">
        <v>33.180692839999999</v>
      </c>
      <c r="E959" t="s">
        <v>3180</v>
      </c>
      <c r="F959">
        <v>110.71323700000001</v>
      </c>
      <c r="G959" t="s">
        <v>3181</v>
      </c>
      <c r="H959">
        <v>17480</v>
      </c>
      <c r="I959" t="s">
        <v>3182</v>
      </c>
    </row>
    <row r="960" spans="1:9" x14ac:dyDescent="0.25">
      <c r="A960" t="s">
        <v>3179</v>
      </c>
      <c r="B960" t="s">
        <v>3834</v>
      </c>
      <c r="C960" t="s">
        <v>3183</v>
      </c>
      <c r="D960">
        <v>34.287069019999997</v>
      </c>
      <c r="E960" t="s">
        <v>3180</v>
      </c>
      <c r="F960">
        <v>108.3378129</v>
      </c>
      <c r="G960" t="s">
        <v>3181</v>
      </c>
      <c r="H960">
        <v>27980</v>
      </c>
      <c r="I960" t="s">
        <v>3182</v>
      </c>
    </row>
    <row r="961" spans="1:9" x14ac:dyDescent="0.25">
      <c r="A961" t="s">
        <v>3179</v>
      </c>
      <c r="B961" t="s">
        <v>3750</v>
      </c>
      <c r="C961" t="s">
        <v>3183</v>
      </c>
      <c r="D961">
        <v>34.711705559999999</v>
      </c>
      <c r="E961" t="s">
        <v>3180</v>
      </c>
      <c r="F961">
        <v>110.1937975</v>
      </c>
      <c r="G961" t="s">
        <v>3181</v>
      </c>
      <c r="H961">
        <v>29645</v>
      </c>
      <c r="I961" t="s">
        <v>3182</v>
      </c>
    </row>
    <row r="962" spans="1:9" x14ac:dyDescent="0.25">
      <c r="A962" t="s">
        <v>3179</v>
      </c>
      <c r="B962" t="s">
        <v>3405</v>
      </c>
      <c r="C962" t="s">
        <v>3183</v>
      </c>
      <c r="D962">
        <v>34.418281620000002</v>
      </c>
      <c r="E962" t="s">
        <v>3180</v>
      </c>
      <c r="F962">
        <v>107.98873089999999</v>
      </c>
      <c r="G962" t="s">
        <v>3181</v>
      </c>
      <c r="H962">
        <v>31295</v>
      </c>
      <c r="I962" t="s">
        <v>3182</v>
      </c>
    </row>
    <row r="963" spans="1:9" x14ac:dyDescent="0.25">
      <c r="A963" t="s">
        <v>3179</v>
      </c>
      <c r="B963" t="s">
        <v>3653</v>
      </c>
      <c r="C963" t="s">
        <v>3183</v>
      </c>
      <c r="D963">
        <v>35.058887480000003</v>
      </c>
      <c r="E963" t="s">
        <v>3180</v>
      </c>
      <c r="F963">
        <v>108.6910342</v>
      </c>
      <c r="G963" t="s">
        <v>3181</v>
      </c>
      <c r="H963">
        <v>8973</v>
      </c>
      <c r="I963" t="s">
        <v>3182</v>
      </c>
    </row>
    <row r="964" spans="1:9" x14ac:dyDescent="0.25">
      <c r="A964" t="s">
        <v>3179</v>
      </c>
      <c r="B964" t="s">
        <v>3835</v>
      </c>
      <c r="C964" t="s">
        <v>3183</v>
      </c>
      <c r="D964">
        <v>34.614428289999999</v>
      </c>
      <c r="E964" t="s">
        <v>3180</v>
      </c>
      <c r="F964">
        <v>108.4352038</v>
      </c>
      <c r="G964" t="s">
        <v>3181</v>
      </c>
      <c r="H964">
        <v>39519</v>
      </c>
      <c r="I964" t="s">
        <v>3182</v>
      </c>
    </row>
    <row r="965" spans="1:9" x14ac:dyDescent="0.25">
      <c r="A965" t="s">
        <v>3179</v>
      </c>
      <c r="B965" t="s">
        <v>4096</v>
      </c>
      <c r="C965" t="s">
        <v>3183</v>
      </c>
      <c r="D965">
        <v>37.760357579999997</v>
      </c>
      <c r="E965" t="s">
        <v>3180</v>
      </c>
      <c r="F965">
        <v>109.3050944</v>
      </c>
      <c r="G965" t="s">
        <v>3181</v>
      </c>
      <c r="H965">
        <v>7885</v>
      </c>
      <c r="I965" t="s">
        <v>3182</v>
      </c>
    </row>
    <row r="966" spans="1:9" x14ac:dyDescent="0.25">
      <c r="A966" t="s">
        <v>3179</v>
      </c>
      <c r="B966" t="s">
        <v>3298</v>
      </c>
      <c r="C966" t="s">
        <v>3183</v>
      </c>
      <c r="D966">
        <v>33.010353309999999</v>
      </c>
      <c r="E966" t="s">
        <v>3180</v>
      </c>
      <c r="F966">
        <v>109.1688114</v>
      </c>
      <c r="G966" t="s">
        <v>3181</v>
      </c>
      <c r="H966">
        <v>16329</v>
      </c>
      <c r="I966" t="s">
        <v>3182</v>
      </c>
    </row>
    <row r="967" spans="1:9" x14ac:dyDescent="0.25">
      <c r="A967" t="s">
        <v>3179</v>
      </c>
      <c r="B967" t="s">
        <v>3406</v>
      </c>
      <c r="C967" t="s">
        <v>3183</v>
      </c>
      <c r="D967">
        <v>34.789852029999999</v>
      </c>
      <c r="E967" t="s">
        <v>3180</v>
      </c>
      <c r="F967">
        <v>107.6446826</v>
      </c>
      <c r="G967" t="s">
        <v>3181</v>
      </c>
      <c r="H967">
        <v>9672</v>
      </c>
      <c r="I967" t="s">
        <v>3182</v>
      </c>
    </row>
    <row r="968" spans="1:9" x14ac:dyDescent="0.25">
      <c r="A968" t="s">
        <v>3179</v>
      </c>
      <c r="B968" t="s">
        <v>3751</v>
      </c>
      <c r="C968" t="s">
        <v>3183</v>
      </c>
      <c r="D968">
        <v>35.331865980000003</v>
      </c>
      <c r="E968" t="s">
        <v>3180</v>
      </c>
      <c r="F968">
        <v>109.9542634</v>
      </c>
      <c r="G968" t="s">
        <v>3181</v>
      </c>
      <c r="H968">
        <v>15443</v>
      </c>
      <c r="I968" t="s">
        <v>3182</v>
      </c>
    </row>
    <row r="969" spans="1:9" x14ac:dyDescent="0.25">
      <c r="A969" t="s">
        <v>3179</v>
      </c>
      <c r="B969" t="s">
        <v>4097</v>
      </c>
      <c r="C969" t="s">
        <v>3183</v>
      </c>
      <c r="D969">
        <v>37.185930169999999</v>
      </c>
      <c r="E969" t="s">
        <v>3180</v>
      </c>
      <c r="F969">
        <v>110.0376041</v>
      </c>
      <c r="G969" t="s">
        <v>3181</v>
      </c>
      <c r="H969">
        <v>9563</v>
      </c>
      <c r="I969" t="s">
        <v>3182</v>
      </c>
    </row>
    <row r="970" spans="1:9" x14ac:dyDescent="0.25">
      <c r="A970" t="s">
        <v>3179</v>
      </c>
      <c r="B970" t="s">
        <v>5728</v>
      </c>
      <c r="C970" t="s">
        <v>3183</v>
      </c>
      <c r="D970">
        <v>33.086150150000002</v>
      </c>
      <c r="E970" t="s">
        <v>3180</v>
      </c>
      <c r="F970">
        <v>106.74608310000001</v>
      </c>
      <c r="G970" t="s">
        <v>3181</v>
      </c>
      <c r="H970">
        <v>15037</v>
      </c>
      <c r="I970" t="s">
        <v>3182</v>
      </c>
    </row>
    <row r="971" spans="1:9" x14ac:dyDescent="0.25">
      <c r="A971" t="s">
        <v>3179</v>
      </c>
      <c r="B971" t="s">
        <v>5729</v>
      </c>
      <c r="C971" t="s">
        <v>3183</v>
      </c>
      <c r="D971">
        <v>37.86785399</v>
      </c>
      <c r="E971" t="s">
        <v>3180</v>
      </c>
      <c r="F971">
        <v>110.1001935</v>
      </c>
      <c r="G971" t="s">
        <v>3181</v>
      </c>
      <c r="H971">
        <v>23946</v>
      </c>
      <c r="I971" t="s">
        <v>3182</v>
      </c>
    </row>
    <row r="972" spans="1:9" x14ac:dyDescent="0.25">
      <c r="A972" t="s">
        <v>3179</v>
      </c>
      <c r="B972" t="s">
        <v>3837</v>
      </c>
      <c r="C972" t="s">
        <v>3183</v>
      </c>
      <c r="D972">
        <v>35.113645839999997</v>
      </c>
      <c r="E972" t="s">
        <v>3180</v>
      </c>
      <c r="F972">
        <v>108.2329749</v>
      </c>
      <c r="G972" t="s">
        <v>3181</v>
      </c>
      <c r="H972">
        <v>19439</v>
      </c>
      <c r="I972" t="s">
        <v>3182</v>
      </c>
    </row>
    <row r="973" spans="1:9" x14ac:dyDescent="0.25">
      <c r="A973" t="s">
        <v>3179</v>
      </c>
      <c r="B973" t="s">
        <v>3299</v>
      </c>
      <c r="C973" t="s">
        <v>3183</v>
      </c>
      <c r="D973">
        <v>31.976960770000002</v>
      </c>
      <c r="E973" t="s">
        <v>3180</v>
      </c>
      <c r="F973">
        <v>109.19961979999999</v>
      </c>
      <c r="G973" t="s">
        <v>3181</v>
      </c>
      <c r="H973">
        <v>7404</v>
      </c>
      <c r="I973" t="s">
        <v>3182</v>
      </c>
    </row>
    <row r="974" spans="1:9" x14ac:dyDescent="0.25">
      <c r="A974" t="s">
        <v>3179</v>
      </c>
      <c r="B974" t="s">
        <v>3963</v>
      </c>
      <c r="C974" t="s">
        <v>3183</v>
      </c>
      <c r="D974">
        <v>36.529774770000003</v>
      </c>
      <c r="E974" t="s">
        <v>3180</v>
      </c>
      <c r="F974">
        <v>109.79738330000001</v>
      </c>
      <c r="G974" t="s">
        <v>3181</v>
      </c>
      <c r="H974">
        <v>10704</v>
      </c>
      <c r="I974" t="s">
        <v>3182</v>
      </c>
    </row>
    <row r="975" spans="1:9" x14ac:dyDescent="0.25">
      <c r="A975" t="s">
        <v>3179</v>
      </c>
      <c r="B975" t="s">
        <v>4098</v>
      </c>
      <c r="C975" t="s">
        <v>3183</v>
      </c>
      <c r="D975">
        <v>37.498697489999998</v>
      </c>
      <c r="E975" t="s">
        <v>3180</v>
      </c>
      <c r="F975">
        <v>108.78934839999999</v>
      </c>
      <c r="G975" t="s">
        <v>3181</v>
      </c>
      <c r="H975">
        <v>8260</v>
      </c>
      <c r="I975" t="s">
        <v>3182</v>
      </c>
    </row>
    <row r="976" spans="1:9" x14ac:dyDescent="0.25">
      <c r="A976" t="s">
        <v>3179</v>
      </c>
      <c r="B976" t="s">
        <v>3838</v>
      </c>
      <c r="C976" t="s">
        <v>3183</v>
      </c>
      <c r="D976">
        <v>34.33216908</v>
      </c>
      <c r="E976" t="s">
        <v>3180</v>
      </c>
      <c r="F976">
        <v>108.1905397</v>
      </c>
      <c r="G976" t="s">
        <v>3181</v>
      </c>
      <c r="H976">
        <v>34178</v>
      </c>
      <c r="I976" t="s">
        <v>3182</v>
      </c>
    </row>
    <row r="977" spans="1:9" x14ac:dyDescent="0.25">
      <c r="A977" t="s">
        <v>3179</v>
      </c>
      <c r="B977" t="s">
        <v>3752</v>
      </c>
      <c r="C977" t="s">
        <v>3183</v>
      </c>
      <c r="D977">
        <v>35.385808410000003</v>
      </c>
      <c r="E977" t="s">
        <v>3180</v>
      </c>
      <c r="F977">
        <v>110.4189591</v>
      </c>
      <c r="G977" t="s">
        <v>3181</v>
      </c>
      <c r="H977">
        <v>47224</v>
      </c>
      <c r="I977" t="s">
        <v>3182</v>
      </c>
    </row>
    <row r="978" spans="1:9" x14ac:dyDescent="0.25">
      <c r="A978" t="s">
        <v>3179</v>
      </c>
      <c r="B978" t="s">
        <v>3964</v>
      </c>
      <c r="C978" t="s">
        <v>3183</v>
      </c>
      <c r="D978">
        <v>35.896282069999998</v>
      </c>
      <c r="E978" t="s">
        <v>3180</v>
      </c>
      <c r="F978">
        <v>108.7897217</v>
      </c>
      <c r="G978" t="s">
        <v>3181</v>
      </c>
      <c r="H978">
        <v>8633</v>
      </c>
      <c r="I978" t="s">
        <v>3182</v>
      </c>
    </row>
    <row r="979" spans="1:9" x14ac:dyDescent="0.25">
      <c r="A979" t="s">
        <v>3179</v>
      </c>
      <c r="B979" t="s">
        <v>3839</v>
      </c>
      <c r="C979" t="s">
        <v>3183</v>
      </c>
      <c r="D979">
        <v>35.222242510000001</v>
      </c>
      <c r="E979" t="s">
        <v>3180</v>
      </c>
      <c r="F979">
        <v>108.38620709999999</v>
      </c>
      <c r="G979" t="s">
        <v>3181</v>
      </c>
      <c r="H979">
        <v>24335</v>
      </c>
      <c r="I979" t="s">
        <v>3182</v>
      </c>
    </row>
    <row r="980" spans="1:9" x14ac:dyDescent="0.25">
      <c r="A980" t="s">
        <v>3179</v>
      </c>
      <c r="B980" t="s">
        <v>3753</v>
      </c>
      <c r="C980" t="s">
        <v>3183</v>
      </c>
      <c r="D980">
        <v>35.406569959999999</v>
      </c>
      <c r="E980" t="s">
        <v>3180</v>
      </c>
      <c r="F980">
        <v>110.2436209</v>
      </c>
      <c r="G980" t="s">
        <v>3181</v>
      </c>
      <c r="H980">
        <v>27568</v>
      </c>
      <c r="I980" t="s">
        <v>3182</v>
      </c>
    </row>
    <row r="981" spans="1:9" x14ac:dyDescent="0.25">
      <c r="A981" t="s">
        <v>3179</v>
      </c>
      <c r="B981" t="s">
        <v>3300</v>
      </c>
      <c r="C981" t="s">
        <v>3183</v>
      </c>
      <c r="D981">
        <v>31.797196670000002</v>
      </c>
      <c r="E981" t="s">
        <v>3180</v>
      </c>
      <c r="F981">
        <v>109.5453061</v>
      </c>
      <c r="G981" t="s">
        <v>3181</v>
      </c>
      <c r="H981">
        <v>7232</v>
      </c>
      <c r="I981" t="s">
        <v>3182</v>
      </c>
    </row>
    <row r="982" spans="1:9" x14ac:dyDescent="0.25">
      <c r="A982" t="s">
        <v>3179</v>
      </c>
      <c r="B982" t="s">
        <v>3301</v>
      </c>
      <c r="C982" t="s">
        <v>3183</v>
      </c>
      <c r="D982">
        <v>32.692622489999998</v>
      </c>
      <c r="E982" t="s">
        <v>3180</v>
      </c>
      <c r="F982">
        <v>110.1271594</v>
      </c>
      <c r="G982" t="s">
        <v>3181</v>
      </c>
      <c r="H982">
        <v>12485</v>
      </c>
      <c r="I982" t="s">
        <v>3182</v>
      </c>
    </row>
    <row r="983" spans="1:9" x14ac:dyDescent="0.25">
      <c r="A983" t="s">
        <v>3179</v>
      </c>
      <c r="B983" t="s">
        <v>3302</v>
      </c>
      <c r="C983" t="s">
        <v>3183</v>
      </c>
      <c r="D983">
        <v>33.034291699999997</v>
      </c>
      <c r="E983" t="s">
        <v>3180</v>
      </c>
      <c r="F983">
        <v>108.3785608</v>
      </c>
      <c r="G983" t="s">
        <v>3181</v>
      </c>
      <c r="H983">
        <v>10985</v>
      </c>
      <c r="I983" t="s">
        <v>3182</v>
      </c>
    </row>
    <row r="984" spans="1:9" x14ac:dyDescent="0.25">
      <c r="A984" t="s">
        <v>3179</v>
      </c>
      <c r="B984" t="s">
        <v>3633</v>
      </c>
      <c r="C984" t="s">
        <v>3183</v>
      </c>
      <c r="D984">
        <v>33.48836463</v>
      </c>
      <c r="E984" t="s">
        <v>3180</v>
      </c>
      <c r="F984">
        <v>110.1674168</v>
      </c>
      <c r="G984" t="s">
        <v>3181</v>
      </c>
      <c r="H984">
        <v>21522</v>
      </c>
      <c r="I984" t="s">
        <v>3182</v>
      </c>
    </row>
    <row r="985" spans="1:9" x14ac:dyDescent="0.25">
      <c r="A985" t="s">
        <v>3179</v>
      </c>
      <c r="B985" t="s">
        <v>4100</v>
      </c>
      <c r="C985" t="s">
        <v>3183</v>
      </c>
      <c r="D985">
        <v>39.16290729</v>
      </c>
      <c r="E985" t="s">
        <v>3180</v>
      </c>
      <c r="F985">
        <v>110.0705411</v>
      </c>
      <c r="G985" t="s">
        <v>3181</v>
      </c>
      <c r="H985">
        <v>18004</v>
      </c>
      <c r="I985" t="s">
        <v>3182</v>
      </c>
    </row>
    <row r="986" spans="1:9" x14ac:dyDescent="0.25">
      <c r="A986" t="s">
        <v>3179</v>
      </c>
      <c r="B986" t="s">
        <v>4099</v>
      </c>
      <c r="C986" t="s">
        <v>3183</v>
      </c>
      <c r="D986">
        <v>37.613402579999999</v>
      </c>
      <c r="E986" t="s">
        <v>3180</v>
      </c>
      <c r="F986">
        <v>110.52687229999999</v>
      </c>
      <c r="G986" t="s">
        <v>3181</v>
      </c>
      <c r="H986">
        <v>9147</v>
      </c>
      <c r="I986" t="s">
        <v>3182</v>
      </c>
    </row>
    <row r="987" spans="1:9" x14ac:dyDescent="0.25">
      <c r="A987" t="s">
        <v>3179</v>
      </c>
      <c r="B987" t="s">
        <v>3885</v>
      </c>
      <c r="C987" t="s">
        <v>3183</v>
      </c>
      <c r="D987">
        <v>34.140701219999997</v>
      </c>
      <c r="E987" t="s">
        <v>3180</v>
      </c>
      <c r="F987">
        <v>108.36153400000001</v>
      </c>
      <c r="G987" t="s">
        <v>3181</v>
      </c>
      <c r="H987">
        <v>57054</v>
      </c>
      <c r="I987" t="s">
        <v>3182</v>
      </c>
    </row>
    <row r="988" spans="1:9" x14ac:dyDescent="0.25">
      <c r="A988" t="s">
        <v>3179</v>
      </c>
      <c r="B988" t="s">
        <v>4101</v>
      </c>
      <c r="C988" t="s">
        <v>3183</v>
      </c>
      <c r="D988">
        <v>37.295547089999999</v>
      </c>
      <c r="E988" t="s">
        <v>3180</v>
      </c>
      <c r="F988">
        <v>108.5129963</v>
      </c>
      <c r="G988" t="s">
        <v>3181</v>
      </c>
      <c r="H988">
        <v>6535</v>
      </c>
      <c r="I988" t="s">
        <v>3182</v>
      </c>
    </row>
    <row r="989" spans="1:9" x14ac:dyDescent="0.25">
      <c r="A989" t="s">
        <v>3179</v>
      </c>
      <c r="B989" t="s">
        <v>3303</v>
      </c>
      <c r="C989" t="s">
        <v>3183</v>
      </c>
      <c r="D989">
        <v>33.147715470000001</v>
      </c>
      <c r="E989" t="s">
        <v>3180</v>
      </c>
      <c r="F989">
        <v>108.7751518</v>
      </c>
      <c r="G989" t="s">
        <v>3181</v>
      </c>
      <c r="H989">
        <v>11898</v>
      </c>
      <c r="I989" t="s">
        <v>3182</v>
      </c>
    </row>
    <row r="990" spans="1:9" x14ac:dyDescent="0.25">
      <c r="A990" t="s">
        <v>3179</v>
      </c>
      <c r="B990" t="s">
        <v>3840</v>
      </c>
      <c r="C990" t="s">
        <v>3183</v>
      </c>
      <c r="D990">
        <v>34.55344521</v>
      </c>
      <c r="E990" t="s">
        <v>3180</v>
      </c>
      <c r="F990">
        <v>108.778813</v>
      </c>
      <c r="G990" t="s">
        <v>3181</v>
      </c>
      <c r="H990">
        <v>37112</v>
      </c>
      <c r="I990" t="s">
        <v>3182</v>
      </c>
    </row>
    <row r="991" spans="1:9" x14ac:dyDescent="0.25">
      <c r="A991" t="s">
        <v>3179</v>
      </c>
      <c r="B991" t="s">
        <v>3841</v>
      </c>
      <c r="C991" t="s">
        <v>3183</v>
      </c>
      <c r="D991">
        <v>34.429428170000001</v>
      </c>
      <c r="E991" t="s">
        <v>3180</v>
      </c>
      <c r="F991">
        <v>108.1200217</v>
      </c>
      <c r="G991" t="s">
        <v>3181</v>
      </c>
      <c r="H991">
        <v>24764</v>
      </c>
      <c r="I991" t="s">
        <v>3182</v>
      </c>
    </row>
    <row r="992" spans="1:9" x14ac:dyDescent="0.25">
      <c r="A992" t="s">
        <v>3179</v>
      </c>
      <c r="B992" t="s">
        <v>4102</v>
      </c>
      <c r="C992" t="s">
        <v>3183</v>
      </c>
      <c r="D992">
        <v>37.072495160000003</v>
      </c>
      <c r="E992" t="s">
        <v>3180</v>
      </c>
      <c r="F992">
        <v>108.6448532</v>
      </c>
      <c r="G992" t="s">
        <v>3181</v>
      </c>
      <c r="H992">
        <v>9476</v>
      </c>
      <c r="I992" t="s">
        <v>3182</v>
      </c>
    </row>
    <row r="993" spans="1:9" x14ac:dyDescent="0.25">
      <c r="A993" t="s">
        <v>3179</v>
      </c>
      <c r="B993" t="s">
        <v>4103</v>
      </c>
      <c r="C993" t="s">
        <v>3183</v>
      </c>
      <c r="D993">
        <v>37.523406680000001</v>
      </c>
      <c r="E993" t="s">
        <v>3180</v>
      </c>
      <c r="F993">
        <v>109.7188068</v>
      </c>
      <c r="G993" t="s">
        <v>3181</v>
      </c>
      <c r="H993">
        <v>7118</v>
      </c>
      <c r="I993" t="s">
        <v>3182</v>
      </c>
    </row>
    <row r="994" spans="1:9" x14ac:dyDescent="0.25">
      <c r="A994" t="s">
        <v>3179</v>
      </c>
      <c r="B994" t="s">
        <v>3548</v>
      </c>
      <c r="C994" t="s">
        <v>3183</v>
      </c>
      <c r="D994">
        <v>33.175346509999997</v>
      </c>
      <c r="E994" t="s">
        <v>3180</v>
      </c>
      <c r="F994">
        <v>106.73785049999999</v>
      </c>
      <c r="G994" t="s">
        <v>3181</v>
      </c>
      <c r="H994">
        <v>19237</v>
      </c>
      <c r="I994" t="s">
        <v>3182</v>
      </c>
    </row>
    <row r="995" spans="1:9" x14ac:dyDescent="0.25">
      <c r="A995" t="s">
        <v>3179</v>
      </c>
      <c r="B995" t="s">
        <v>3965</v>
      </c>
      <c r="C995" t="s">
        <v>3183</v>
      </c>
      <c r="D995">
        <v>37.24583088</v>
      </c>
      <c r="E995" t="s">
        <v>3180</v>
      </c>
      <c r="F995">
        <v>108.30179459999999</v>
      </c>
      <c r="G995" t="s">
        <v>3181</v>
      </c>
      <c r="H995">
        <v>5893</v>
      </c>
      <c r="I995" t="s">
        <v>3182</v>
      </c>
    </row>
    <row r="996" spans="1:9" x14ac:dyDescent="0.25">
      <c r="A996" t="s">
        <v>3179</v>
      </c>
      <c r="B996" t="s">
        <v>3407</v>
      </c>
      <c r="C996" t="s">
        <v>3183</v>
      </c>
      <c r="D996">
        <v>34.40069999</v>
      </c>
      <c r="E996" t="s">
        <v>3180</v>
      </c>
      <c r="F996">
        <v>107.3675327</v>
      </c>
      <c r="G996" t="s">
        <v>3181</v>
      </c>
      <c r="H996">
        <v>43025</v>
      </c>
      <c r="I996" t="s">
        <v>3182</v>
      </c>
    </row>
    <row r="997" spans="1:9" x14ac:dyDescent="0.25">
      <c r="A997" t="s">
        <v>3179</v>
      </c>
      <c r="B997" t="s">
        <v>3754</v>
      </c>
      <c r="C997" t="s">
        <v>3183</v>
      </c>
      <c r="D997">
        <v>34.841469760000003</v>
      </c>
      <c r="E997" t="s">
        <v>3180</v>
      </c>
      <c r="F997">
        <v>109.051878</v>
      </c>
      <c r="G997" t="s">
        <v>3181</v>
      </c>
      <c r="H997">
        <v>59983</v>
      </c>
      <c r="I997" t="s">
        <v>3182</v>
      </c>
    </row>
    <row r="998" spans="1:9" x14ac:dyDescent="0.25">
      <c r="A998" t="s">
        <v>3179</v>
      </c>
      <c r="B998" t="s">
        <v>5730</v>
      </c>
      <c r="C998" t="s">
        <v>3183</v>
      </c>
      <c r="D998">
        <v>35.175036679999998</v>
      </c>
      <c r="E998" t="s">
        <v>3180</v>
      </c>
      <c r="F998">
        <v>109.9812089</v>
      </c>
      <c r="G998" t="s">
        <v>3181</v>
      </c>
      <c r="H998">
        <v>21138</v>
      </c>
      <c r="I998" t="s">
        <v>3182</v>
      </c>
    </row>
    <row r="999" spans="1:9" x14ac:dyDescent="0.25">
      <c r="A999" t="s">
        <v>3179</v>
      </c>
      <c r="B999" t="s">
        <v>5731</v>
      </c>
      <c r="C999" t="s">
        <v>3183</v>
      </c>
      <c r="D999">
        <v>34.243726520000003</v>
      </c>
      <c r="E999" t="s">
        <v>3180</v>
      </c>
      <c r="F999">
        <v>108.46020040000001</v>
      </c>
      <c r="G999" t="s">
        <v>3181</v>
      </c>
      <c r="H999">
        <v>28993</v>
      </c>
      <c r="I999" t="s">
        <v>3182</v>
      </c>
    </row>
    <row r="1000" spans="1:9" x14ac:dyDescent="0.25">
      <c r="A1000" t="s">
        <v>3179</v>
      </c>
      <c r="B1000" t="s">
        <v>4104</v>
      </c>
      <c r="C1000" t="s">
        <v>3183</v>
      </c>
      <c r="D1000">
        <v>37.525009259999997</v>
      </c>
      <c r="E1000" t="s">
        <v>3180</v>
      </c>
      <c r="F1000">
        <v>107.87532400000001</v>
      </c>
      <c r="G1000" t="s">
        <v>3181</v>
      </c>
      <c r="H1000">
        <v>15351</v>
      </c>
      <c r="I1000" t="s">
        <v>3182</v>
      </c>
    </row>
    <row r="1001" spans="1:9" x14ac:dyDescent="0.25">
      <c r="A1001" t="s">
        <v>3179</v>
      </c>
      <c r="B1001" t="s">
        <v>4105</v>
      </c>
      <c r="C1001" t="s">
        <v>3183</v>
      </c>
      <c r="D1001">
        <v>37.479910590000003</v>
      </c>
      <c r="E1001" t="s">
        <v>3180</v>
      </c>
      <c r="F1001">
        <v>109.78901930000001</v>
      </c>
      <c r="G1001" t="s">
        <v>3181</v>
      </c>
      <c r="H1001">
        <v>5617</v>
      </c>
      <c r="I1001" t="s">
        <v>3182</v>
      </c>
    </row>
    <row r="1002" spans="1:9" x14ac:dyDescent="0.25">
      <c r="A1002" t="s">
        <v>3179</v>
      </c>
      <c r="B1002" t="s">
        <v>3966</v>
      </c>
      <c r="C1002" t="s">
        <v>3183</v>
      </c>
      <c r="D1002">
        <v>36.67633017</v>
      </c>
      <c r="E1002" t="s">
        <v>3180</v>
      </c>
      <c r="F1002">
        <v>109.02873080000001</v>
      </c>
      <c r="G1002" t="s">
        <v>3181</v>
      </c>
      <c r="H1002">
        <v>11860</v>
      </c>
      <c r="I1002" t="s">
        <v>3182</v>
      </c>
    </row>
    <row r="1003" spans="1:9" x14ac:dyDescent="0.25">
      <c r="A1003" t="s">
        <v>3179</v>
      </c>
      <c r="B1003" t="s">
        <v>3842</v>
      </c>
      <c r="C1003" t="s">
        <v>3183</v>
      </c>
      <c r="D1003">
        <v>34.607225759999999</v>
      </c>
      <c r="E1003" t="s">
        <v>3180</v>
      </c>
      <c r="F1003">
        <v>108.318634</v>
      </c>
      <c r="G1003" t="s">
        <v>3181</v>
      </c>
      <c r="H1003">
        <v>18040</v>
      </c>
      <c r="I1003" t="s">
        <v>3182</v>
      </c>
    </row>
    <row r="1004" spans="1:9" x14ac:dyDescent="0.25">
      <c r="A1004" t="s">
        <v>3179</v>
      </c>
      <c r="B1004" t="s">
        <v>4106</v>
      </c>
      <c r="C1004" t="s">
        <v>3183</v>
      </c>
      <c r="D1004">
        <v>38.125784029999998</v>
      </c>
      <c r="E1004" t="s">
        <v>3180</v>
      </c>
      <c r="F1004">
        <v>110.216945</v>
      </c>
      <c r="G1004" t="s">
        <v>3181</v>
      </c>
      <c r="H1004">
        <v>10414</v>
      </c>
      <c r="I1004" t="s">
        <v>3182</v>
      </c>
    </row>
    <row r="1005" spans="1:9" x14ac:dyDescent="0.25">
      <c r="A1005" t="s">
        <v>3179</v>
      </c>
      <c r="B1005" t="s">
        <v>4107</v>
      </c>
      <c r="C1005" t="s">
        <v>3183</v>
      </c>
      <c r="D1005">
        <v>38.213463879999999</v>
      </c>
      <c r="E1005" t="s">
        <v>3180</v>
      </c>
      <c r="F1005">
        <v>110.4395741</v>
      </c>
      <c r="G1005" t="s">
        <v>3181</v>
      </c>
      <c r="H1005">
        <v>8507</v>
      </c>
      <c r="I1005" t="s">
        <v>3182</v>
      </c>
    </row>
    <row r="1006" spans="1:9" x14ac:dyDescent="0.25">
      <c r="A1006" t="s">
        <v>3179</v>
      </c>
      <c r="B1006" t="s">
        <v>3634</v>
      </c>
      <c r="C1006" t="s">
        <v>3183</v>
      </c>
      <c r="D1006">
        <v>33.470031460000001</v>
      </c>
      <c r="E1006" t="s">
        <v>3180</v>
      </c>
      <c r="F1006">
        <v>110.431889</v>
      </c>
      <c r="G1006" t="s">
        <v>3181</v>
      </c>
      <c r="H1006">
        <v>22202</v>
      </c>
      <c r="I1006" t="s">
        <v>3182</v>
      </c>
    </row>
    <row r="1007" spans="1:9" x14ac:dyDescent="0.25">
      <c r="A1007" t="s">
        <v>3179</v>
      </c>
      <c r="B1007" t="s">
        <v>3886</v>
      </c>
      <c r="C1007" t="s">
        <v>3183</v>
      </c>
      <c r="D1007">
        <v>34.082296900000003</v>
      </c>
      <c r="E1007" t="s">
        <v>3180</v>
      </c>
      <c r="F1007">
        <v>107.9994208</v>
      </c>
      <c r="G1007" t="s">
        <v>3181</v>
      </c>
      <c r="H1007">
        <v>18824</v>
      </c>
      <c r="I1007" t="s">
        <v>3182</v>
      </c>
    </row>
    <row r="1008" spans="1:9" x14ac:dyDescent="0.25">
      <c r="A1008" t="s">
        <v>3179</v>
      </c>
      <c r="B1008" t="s">
        <v>3304</v>
      </c>
      <c r="C1008" t="s">
        <v>3183</v>
      </c>
      <c r="D1008">
        <v>33.076135839999999</v>
      </c>
      <c r="E1008" t="s">
        <v>3180</v>
      </c>
      <c r="F1008">
        <v>108.8657303</v>
      </c>
      <c r="G1008" t="s">
        <v>3181</v>
      </c>
      <c r="H1008">
        <v>7758</v>
      </c>
      <c r="I1008" t="s">
        <v>3182</v>
      </c>
    </row>
    <row r="1009" spans="1:9" x14ac:dyDescent="0.25">
      <c r="A1009" t="s">
        <v>3179</v>
      </c>
      <c r="B1009" t="s">
        <v>3549</v>
      </c>
      <c r="C1009" t="s">
        <v>3183</v>
      </c>
      <c r="D1009">
        <v>33.12485495</v>
      </c>
      <c r="E1009" t="s">
        <v>3180</v>
      </c>
      <c r="F1009">
        <v>108.01583979999999</v>
      </c>
      <c r="G1009" t="s">
        <v>3181</v>
      </c>
      <c r="H1009">
        <v>2169</v>
      </c>
      <c r="I1009" t="s">
        <v>3182</v>
      </c>
    </row>
    <row r="1010" spans="1:9" x14ac:dyDescent="0.25">
      <c r="A1010" t="s">
        <v>3179</v>
      </c>
      <c r="B1010" t="s">
        <v>3305</v>
      </c>
      <c r="C1010" t="s">
        <v>3183</v>
      </c>
      <c r="D1010">
        <v>32.833624659999998</v>
      </c>
      <c r="E1010" t="s">
        <v>3180</v>
      </c>
      <c r="F1010">
        <v>109.56628480000001</v>
      </c>
      <c r="G1010" t="s">
        <v>3181</v>
      </c>
      <c r="H1010">
        <v>25811</v>
      </c>
      <c r="I1010" t="s">
        <v>3182</v>
      </c>
    </row>
    <row r="1011" spans="1:9" x14ac:dyDescent="0.25">
      <c r="A1011" t="s">
        <v>3179</v>
      </c>
      <c r="B1011" t="s">
        <v>3550</v>
      </c>
      <c r="C1011" t="s">
        <v>3183</v>
      </c>
      <c r="D1011">
        <v>33.169210079999999</v>
      </c>
      <c r="E1011" t="s">
        <v>3180</v>
      </c>
      <c r="F1011">
        <v>106.9919064</v>
      </c>
      <c r="G1011" t="s">
        <v>3181</v>
      </c>
      <c r="H1011">
        <v>24909</v>
      </c>
      <c r="I1011" t="s">
        <v>3182</v>
      </c>
    </row>
    <row r="1012" spans="1:9" x14ac:dyDescent="0.25">
      <c r="A1012" t="s">
        <v>3179</v>
      </c>
      <c r="B1012" t="s">
        <v>3887</v>
      </c>
      <c r="C1012" t="s">
        <v>3183</v>
      </c>
      <c r="D1012">
        <v>34.11564834</v>
      </c>
      <c r="E1012" t="s">
        <v>3180</v>
      </c>
      <c r="F1012">
        <v>108.49738050000001</v>
      </c>
      <c r="G1012" t="s">
        <v>3181</v>
      </c>
      <c r="H1012">
        <v>27642</v>
      </c>
      <c r="I1012" t="s">
        <v>3182</v>
      </c>
    </row>
    <row r="1013" spans="1:9" x14ac:dyDescent="0.25">
      <c r="A1013" t="s">
        <v>3179</v>
      </c>
      <c r="B1013" t="s">
        <v>3306</v>
      </c>
      <c r="C1013" t="s">
        <v>3183</v>
      </c>
      <c r="D1013">
        <v>32.451775660000003</v>
      </c>
      <c r="E1013" t="s">
        <v>3180</v>
      </c>
      <c r="F1013">
        <v>108.8502106</v>
      </c>
      <c r="G1013" t="s">
        <v>3181</v>
      </c>
      <c r="H1013">
        <v>11590</v>
      </c>
      <c r="I1013" t="s">
        <v>3182</v>
      </c>
    </row>
    <row r="1014" spans="1:9" x14ac:dyDescent="0.25">
      <c r="A1014" t="s">
        <v>3179</v>
      </c>
      <c r="B1014" t="s">
        <v>4108</v>
      </c>
      <c r="C1014" t="s">
        <v>3183</v>
      </c>
      <c r="D1014">
        <v>34.321188800000002</v>
      </c>
      <c r="E1014" t="s">
        <v>3180</v>
      </c>
      <c r="F1014">
        <v>108.4588845</v>
      </c>
      <c r="G1014" t="s">
        <v>3181</v>
      </c>
      <c r="H1014">
        <v>298791</v>
      </c>
      <c r="I1014" t="s">
        <v>3182</v>
      </c>
    </row>
    <row r="1015" spans="1:9" x14ac:dyDescent="0.25">
      <c r="A1015" t="s">
        <v>3179</v>
      </c>
      <c r="B1015" t="s">
        <v>4109</v>
      </c>
      <c r="C1015" t="s">
        <v>3183</v>
      </c>
      <c r="D1015">
        <v>35.0623194</v>
      </c>
      <c r="E1015" t="s">
        <v>3180</v>
      </c>
      <c r="F1015">
        <v>108.08234040000001</v>
      </c>
      <c r="G1015" t="s">
        <v>3181</v>
      </c>
      <c r="H1015">
        <v>81787</v>
      </c>
      <c r="I1015" t="s">
        <v>3182</v>
      </c>
    </row>
    <row r="1016" spans="1:9" x14ac:dyDescent="0.25">
      <c r="A1016" t="s">
        <v>3179</v>
      </c>
      <c r="B1016" t="s">
        <v>4110</v>
      </c>
      <c r="C1016" t="s">
        <v>3183</v>
      </c>
      <c r="D1016">
        <v>34.871354199999999</v>
      </c>
      <c r="E1016" t="s">
        <v>3180</v>
      </c>
      <c r="F1016">
        <v>108.4141418</v>
      </c>
      <c r="G1016" t="s">
        <v>3181</v>
      </c>
      <c r="H1016">
        <v>1390690</v>
      </c>
      <c r="I1016" t="s">
        <v>3182</v>
      </c>
    </row>
    <row r="1017" spans="1:9" x14ac:dyDescent="0.25">
      <c r="A1017" t="s">
        <v>3179</v>
      </c>
      <c r="B1017" t="s">
        <v>4111</v>
      </c>
      <c r="C1017" t="s">
        <v>3183</v>
      </c>
      <c r="D1017">
        <v>33.765752599999999</v>
      </c>
      <c r="E1017" t="s">
        <v>3180</v>
      </c>
      <c r="F1017">
        <v>109.7945203</v>
      </c>
      <c r="G1017" t="s">
        <v>3181</v>
      </c>
      <c r="H1017">
        <v>612766</v>
      </c>
      <c r="I1017" t="s">
        <v>3182</v>
      </c>
    </row>
    <row r="1018" spans="1:9" x14ac:dyDescent="0.25">
      <c r="A1018" t="s">
        <v>3179</v>
      </c>
      <c r="B1018" t="s">
        <v>4112</v>
      </c>
      <c r="C1018" t="s">
        <v>3183</v>
      </c>
      <c r="D1018">
        <v>32.774179500000002</v>
      </c>
      <c r="E1018" t="s">
        <v>3180</v>
      </c>
      <c r="F1018">
        <v>109.1089487</v>
      </c>
      <c r="G1018" t="s">
        <v>3181</v>
      </c>
      <c r="H1018">
        <v>281668</v>
      </c>
      <c r="I1018" t="s">
        <v>3182</v>
      </c>
    </row>
    <row r="1019" spans="1:9" x14ac:dyDescent="0.25">
      <c r="A1019" t="s">
        <v>3179</v>
      </c>
      <c r="B1019" t="s">
        <v>4113</v>
      </c>
      <c r="C1019" t="s">
        <v>3183</v>
      </c>
      <c r="D1019">
        <v>34.342212199999999</v>
      </c>
      <c r="E1019" t="s">
        <v>3180</v>
      </c>
      <c r="F1019">
        <v>107.1794877</v>
      </c>
      <c r="G1019" t="s">
        <v>3181</v>
      </c>
      <c r="H1019">
        <v>823439</v>
      </c>
      <c r="I1019" t="s">
        <v>3182</v>
      </c>
    </row>
    <row r="1020" spans="1:9" x14ac:dyDescent="0.25">
      <c r="A1020" t="s">
        <v>3179</v>
      </c>
      <c r="B1020" t="s">
        <v>4114</v>
      </c>
      <c r="C1020" t="s">
        <v>3183</v>
      </c>
      <c r="D1020">
        <v>37.24841</v>
      </c>
      <c r="E1020" t="s">
        <v>3180</v>
      </c>
      <c r="F1020">
        <v>109.6229778</v>
      </c>
      <c r="G1020" t="s">
        <v>3181</v>
      </c>
      <c r="H1020">
        <v>113698</v>
      </c>
      <c r="I1020" t="s">
        <v>3182</v>
      </c>
    </row>
    <row r="1021" spans="1:9" x14ac:dyDescent="0.25">
      <c r="A1021" t="s">
        <v>3179</v>
      </c>
      <c r="B1021" t="s">
        <v>4115</v>
      </c>
      <c r="C1021" t="s">
        <v>3183</v>
      </c>
      <c r="D1021">
        <v>36.425512500000004</v>
      </c>
      <c r="E1021" t="s">
        <v>3180</v>
      </c>
      <c r="F1021">
        <v>109.0984711</v>
      </c>
      <c r="G1021" t="s">
        <v>3181</v>
      </c>
      <c r="H1021">
        <v>784913</v>
      </c>
      <c r="I1021" t="s">
        <v>3182</v>
      </c>
    </row>
    <row r="1022" spans="1:9" x14ac:dyDescent="0.25">
      <c r="A1022" t="s">
        <v>3179</v>
      </c>
      <c r="B1022" t="s">
        <v>4116</v>
      </c>
      <c r="C1022" t="s">
        <v>3183</v>
      </c>
      <c r="D1022">
        <v>38.200499100000002</v>
      </c>
      <c r="E1022" t="s">
        <v>3180</v>
      </c>
      <c r="F1022">
        <v>109.2467965</v>
      </c>
      <c r="G1022" t="s">
        <v>3181</v>
      </c>
      <c r="H1022">
        <v>956265</v>
      </c>
      <c r="I1022" t="s">
        <v>3182</v>
      </c>
    </row>
    <row r="1023" spans="1:9" x14ac:dyDescent="0.25">
      <c r="A1023" t="s">
        <v>3179</v>
      </c>
      <c r="B1023" t="s">
        <v>4117</v>
      </c>
      <c r="C1023" t="s">
        <v>3183</v>
      </c>
      <c r="D1023">
        <v>33.012416999999999</v>
      </c>
      <c r="E1023" t="s">
        <v>3180</v>
      </c>
      <c r="F1023">
        <v>106.8850585</v>
      </c>
      <c r="G1023" t="s">
        <v>3181</v>
      </c>
      <c r="H1023">
        <v>1046564</v>
      </c>
      <c r="I1023" t="s">
        <v>3182</v>
      </c>
    </row>
    <row r="1024" spans="1:9" x14ac:dyDescent="0.25">
      <c r="A1024" t="s">
        <v>3179</v>
      </c>
      <c r="B1024" t="s">
        <v>4118</v>
      </c>
      <c r="C1024" t="s">
        <v>3183</v>
      </c>
      <c r="D1024">
        <v>34.515313999999996</v>
      </c>
      <c r="E1024" t="s">
        <v>3180</v>
      </c>
      <c r="F1024">
        <v>110.0442702</v>
      </c>
      <c r="G1024" t="s">
        <v>3181</v>
      </c>
      <c r="H1024">
        <v>80665</v>
      </c>
      <c r="I1024" t="s">
        <v>3182</v>
      </c>
    </row>
    <row r="1025" spans="1:9" x14ac:dyDescent="0.25">
      <c r="A1025" t="s">
        <v>3179</v>
      </c>
      <c r="B1025" t="s">
        <v>4119</v>
      </c>
      <c r="C1025" t="s">
        <v>3183</v>
      </c>
      <c r="D1025">
        <v>35.581205099999998</v>
      </c>
      <c r="E1025" t="s">
        <v>3180</v>
      </c>
      <c r="F1025">
        <v>110.36142340000001</v>
      </c>
      <c r="G1025" t="s">
        <v>3181</v>
      </c>
      <c r="H1025">
        <v>164366</v>
      </c>
      <c r="I1025" t="s">
        <v>3182</v>
      </c>
    </row>
    <row r="1026" spans="1:9" x14ac:dyDescent="0.25">
      <c r="A1026" t="s">
        <v>3179</v>
      </c>
      <c r="B1026" t="s">
        <v>4120</v>
      </c>
      <c r="C1026" t="s">
        <v>3183</v>
      </c>
      <c r="D1026">
        <v>35.032702</v>
      </c>
      <c r="E1026" t="s">
        <v>3180</v>
      </c>
      <c r="F1026">
        <v>109.7803229</v>
      </c>
      <c r="G1026" t="s">
        <v>3181</v>
      </c>
      <c r="H1026">
        <v>1076612</v>
      </c>
      <c r="I1026" t="s">
        <v>3182</v>
      </c>
    </row>
    <row r="1027" spans="1:9" x14ac:dyDescent="0.25">
      <c r="A1027" t="s">
        <v>3179</v>
      </c>
      <c r="B1027" t="s">
        <v>4121</v>
      </c>
      <c r="C1027" t="s">
        <v>3183</v>
      </c>
      <c r="D1027">
        <v>34.220585700000001</v>
      </c>
      <c r="E1027" t="s">
        <v>3180</v>
      </c>
      <c r="F1027">
        <v>108.72352979999999</v>
      </c>
      <c r="G1027" t="s">
        <v>3181</v>
      </c>
      <c r="H1027">
        <v>7800003</v>
      </c>
      <c r="I1027" t="s">
        <v>4123</v>
      </c>
    </row>
    <row r="1028" spans="1:9" x14ac:dyDescent="0.25">
      <c r="A1028" t="s">
        <v>3179</v>
      </c>
      <c r="B1028" t="s">
        <v>4122</v>
      </c>
      <c r="C1028" t="s">
        <v>3183</v>
      </c>
      <c r="D1028">
        <v>35.1956846</v>
      </c>
      <c r="E1028" t="s">
        <v>3180</v>
      </c>
      <c r="F1028">
        <v>109.03832989999999</v>
      </c>
      <c r="G1028" t="s">
        <v>3181</v>
      </c>
      <c r="H1028">
        <v>440366</v>
      </c>
      <c r="I1028" t="s">
        <v>3182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5AF95-F569-424D-A204-045409B6A66E}">
  <dimension ref="A1:G120"/>
  <sheetViews>
    <sheetView workbookViewId="0">
      <selection activeCell="A2" sqref="A2:G120"/>
    </sheetView>
  </sheetViews>
  <sheetFormatPr defaultRowHeight="15" x14ac:dyDescent="0.25"/>
  <cols>
    <col min="4" max="4" width="12.85546875" customWidth="1"/>
    <col min="5" max="6" width="13.85546875" customWidth="1"/>
  </cols>
  <sheetData>
    <row r="1" spans="1:7" ht="15.75" thickBot="1" x14ac:dyDescent="0.3">
      <c r="A1" t="s">
        <v>0</v>
      </c>
      <c r="B1" t="s">
        <v>2</v>
      </c>
      <c r="C1" t="s">
        <v>1</v>
      </c>
      <c r="D1" t="s">
        <v>4</v>
      </c>
      <c r="E1" t="s">
        <v>3163</v>
      </c>
      <c r="F1" t="s">
        <v>3164</v>
      </c>
      <c r="G1" t="s">
        <v>3169</v>
      </c>
    </row>
    <row r="2" spans="1:7" ht="15.75" thickBot="1" x14ac:dyDescent="0.3">
      <c r="A2" t="s">
        <v>3029</v>
      </c>
      <c r="B2" s="3" t="s">
        <v>3030</v>
      </c>
      <c r="C2" s="3" t="s">
        <v>3031</v>
      </c>
      <c r="D2" s="4">
        <v>2613914</v>
      </c>
      <c r="E2" s="4">
        <v>2629906</v>
      </c>
      <c r="F2" s="4">
        <v>2493436</v>
      </c>
      <c r="G2" s="10" t="str" cm="1">
        <f t="array" aca="1" ref="G2" ca="1">IF(Background=36,C2,G1)</f>
        <v>安康市</v>
      </c>
    </row>
    <row r="3" spans="1:7" ht="15.75" thickBot="1" x14ac:dyDescent="0.3">
      <c r="A3" t="s">
        <v>26</v>
      </c>
      <c r="B3" s="1" t="s">
        <v>3032</v>
      </c>
      <c r="C3" s="1" t="s">
        <v>3033</v>
      </c>
      <c r="D3" s="2">
        <v>180235</v>
      </c>
      <c r="E3" s="2">
        <v>163395</v>
      </c>
      <c r="F3" s="2">
        <v>162774</v>
      </c>
      <c r="G3" s="2" t="str" cm="1">
        <f t="array" aca="1" ref="G3" ca="1">IF(Background=36,C3,G2)</f>
        <v>安康市</v>
      </c>
    </row>
    <row r="4" spans="1:7" ht="15.75" thickBot="1" x14ac:dyDescent="0.3">
      <c r="A4" t="s">
        <v>8</v>
      </c>
      <c r="B4" s="1" t="s">
        <v>3034</v>
      </c>
      <c r="C4" s="1" t="s">
        <v>3035</v>
      </c>
      <c r="D4" s="2">
        <v>843426</v>
      </c>
      <c r="E4" s="2">
        <v>870126</v>
      </c>
      <c r="F4" s="2">
        <v>894853</v>
      </c>
      <c r="G4" s="2" t="str" cm="1">
        <f t="array" aca="1" ref="G4" ca="1">IF(Background=36,C4,G3)</f>
        <v>安康市</v>
      </c>
    </row>
    <row r="5" spans="1:7" ht="15.75" thickBot="1" x14ac:dyDescent="0.3">
      <c r="A5" t="s">
        <v>34</v>
      </c>
      <c r="B5" s="1" t="s">
        <v>3032</v>
      </c>
      <c r="C5" s="1" t="s">
        <v>3036</v>
      </c>
      <c r="D5" s="2">
        <v>240359</v>
      </c>
      <c r="E5" s="2">
        <v>246147</v>
      </c>
      <c r="F5" s="2">
        <v>240188</v>
      </c>
      <c r="G5" s="2" t="str" cm="1">
        <f t="array" aca="1" ref="G5" ca="1">IF(Background=36,C5,G4)</f>
        <v>安康市</v>
      </c>
    </row>
    <row r="6" spans="1:7" ht="15.75" thickBot="1" x14ac:dyDescent="0.3">
      <c r="A6" t="s">
        <v>36</v>
      </c>
      <c r="B6" s="1" t="s">
        <v>3032</v>
      </c>
      <c r="C6" s="1" t="s">
        <v>3037</v>
      </c>
      <c r="D6" s="2">
        <v>148311</v>
      </c>
      <c r="E6" s="2">
        <v>154157</v>
      </c>
      <c r="F6" s="2">
        <v>135006</v>
      </c>
      <c r="G6" s="2" t="str" cm="1">
        <f t="array" aca="1" ref="G6" ca="1">IF(Background=36,C6,G5)</f>
        <v>安康市</v>
      </c>
    </row>
    <row r="7" spans="1:7" ht="15.75" thickBot="1" x14ac:dyDescent="0.3">
      <c r="A7" t="s">
        <v>35</v>
      </c>
      <c r="B7" s="1" t="s">
        <v>3032</v>
      </c>
      <c r="C7" s="1" t="s">
        <v>3038</v>
      </c>
      <c r="D7" s="2">
        <v>75778</v>
      </c>
      <c r="E7" s="2">
        <v>70435</v>
      </c>
      <c r="F7" s="2">
        <v>59905</v>
      </c>
      <c r="G7" s="2" t="str" cm="1">
        <f t="array" aca="1" ref="G7" ca="1">IF(Background=36,C7,G6)</f>
        <v>安康市</v>
      </c>
    </row>
    <row r="8" spans="1:7" ht="15.75" thickBot="1" x14ac:dyDescent="0.3">
      <c r="A8" t="s">
        <v>23</v>
      </c>
      <c r="B8" s="1" t="s">
        <v>3032</v>
      </c>
      <c r="C8" s="1" t="s">
        <v>3039</v>
      </c>
      <c r="D8" s="2">
        <v>201392</v>
      </c>
      <c r="E8" s="2">
        <v>192959</v>
      </c>
      <c r="F8" s="2">
        <v>181286</v>
      </c>
      <c r="G8" s="2" t="str" cm="1">
        <f t="array" aca="1" ref="G8" ca="1">IF(Background=36,C8,G7)</f>
        <v>安康市</v>
      </c>
    </row>
    <row r="9" spans="1:7" ht="15.75" thickBot="1" x14ac:dyDescent="0.3">
      <c r="A9" t="s">
        <v>31</v>
      </c>
      <c r="B9" s="1" t="s">
        <v>3032</v>
      </c>
      <c r="C9" s="1" t="s">
        <v>3040</v>
      </c>
      <c r="D9" s="2">
        <v>159503</v>
      </c>
      <c r="E9" s="2">
        <v>171097</v>
      </c>
      <c r="F9" s="2">
        <v>153221</v>
      </c>
      <c r="G9" s="2" t="str" cm="1">
        <f t="array" aca="1" ref="G9" ca="1">IF(Background=36,C9,G8)</f>
        <v>安康市</v>
      </c>
    </row>
    <row r="10" spans="1:7" ht="15.75" thickBot="1" x14ac:dyDescent="0.3">
      <c r="A10" t="s">
        <v>15</v>
      </c>
      <c r="B10" s="1" t="s">
        <v>3032</v>
      </c>
      <c r="C10" s="1" t="s">
        <v>3041</v>
      </c>
      <c r="D10" s="2">
        <v>426173</v>
      </c>
      <c r="E10" s="2">
        <v>426677</v>
      </c>
      <c r="F10" s="2">
        <v>357876</v>
      </c>
      <c r="G10" s="2" t="str" cm="1">
        <f t="array" aca="1" ref="G10" ca="1">IF(Background=36,C10,G9)</f>
        <v>安康市</v>
      </c>
    </row>
    <row r="11" spans="1:7" ht="15.75" thickBot="1" x14ac:dyDescent="0.3">
      <c r="A11" t="s">
        <v>12</v>
      </c>
      <c r="B11" s="1" t="s">
        <v>3032</v>
      </c>
      <c r="C11" s="1" t="s">
        <v>3042</v>
      </c>
      <c r="D11" s="2">
        <v>53719</v>
      </c>
      <c r="E11" s="2">
        <v>50966</v>
      </c>
      <c r="F11" s="2">
        <v>47356</v>
      </c>
      <c r="G11" s="2" t="str" cm="1">
        <f t="array" aca="1" ref="G11" ca="1">IF(Background=36,C11,G10)</f>
        <v>安康市</v>
      </c>
    </row>
    <row r="12" spans="1:7" ht="15.75" thickBot="1" x14ac:dyDescent="0.3">
      <c r="A12" t="s">
        <v>18</v>
      </c>
      <c r="B12" s="1" t="s">
        <v>3032</v>
      </c>
      <c r="C12" s="1" t="s">
        <v>3043</v>
      </c>
      <c r="D12" s="2">
        <v>285018</v>
      </c>
      <c r="E12" s="2">
        <v>283947</v>
      </c>
      <c r="F12" s="2">
        <v>260971</v>
      </c>
      <c r="G12" s="2" t="str" cm="1">
        <f t="array" aca="1" ref="G12" ca="1">IF(Background=36,C12,G11)</f>
        <v>安康市</v>
      </c>
    </row>
    <row r="13" spans="1:7" ht="15.75" thickBot="1" x14ac:dyDescent="0.3">
      <c r="A13" t="s">
        <v>3044</v>
      </c>
      <c r="B13" s="3" t="s">
        <v>3030</v>
      </c>
      <c r="C13" s="3" t="s">
        <v>3045</v>
      </c>
      <c r="D13" s="4">
        <v>3594215</v>
      </c>
      <c r="E13" s="4">
        <v>3716737</v>
      </c>
      <c r="F13" s="4">
        <v>3321853</v>
      </c>
      <c r="G13" s="2" t="str" cm="1">
        <f t="array" aca="1" ref="G13" ca="1">IF(Background=36,C13,G12)</f>
        <v>宝鸡市</v>
      </c>
    </row>
    <row r="14" spans="1:7" ht="15.75" thickBot="1" x14ac:dyDescent="0.3">
      <c r="A14" t="s">
        <v>378</v>
      </c>
      <c r="B14" s="1" t="s">
        <v>3034</v>
      </c>
      <c r="C14" s="1" t="s">
        <v>3046</v>
      </c>
      <c r="D14" s="2">
        <v>729126</v>
      </c>
      <c r="E14" s="2">
        <v>595075</v>
      </c>
      <c r="F14" s="2">
        <v>479179</v>
      </c>
      <c r="G14" s="2" t="str" cm="1">
        <f t="array" aca="1" ref="G14" ca="1">IF(Background=36,C14,G13)</f>
        <v>宝鸡市</v>
      </c>
    </row>
    <row r="15" spans="1:7" ht="15.75" thickBot="1" x14ac:dyDescent="0.3">
      <c r="A15" t="s">
        <v>409</v>
      </c>
      <c r="B15" s="1" t="s">
        <v>3032</v>
      </c>
      <c r="C15" s="1" t="s">
        <v>3047</v>
      </c>
      <c r="D15" s="2">
        <v>104633</v>
      </c>
      <c r="E15" s="2">
        <v>105492</v>
      </c>
      <c r="F15" s="2">
        <v>79165</v>
      </c>
      <c r="G15" s="2" t="str" cm="1">
        <f t="array" aca="1" ref="G15" ca="1">IF(Background=36,C15,G14)</f>
        <v>宝鸡市</v>
      </c>
    </row>
    <row r="16" spans="1:7" ht="15.75" thickBot="1" x14ac:dyDescent="0.3">
      <c r="A16" t="s">
        <v>350</v>
      </c>
      <c r="B16" s="1" t="s">
        <v>3034</v>
      </c>
      <c r="C16" s="1" t="s">
        <v>3048</v>
      </c>
      <c r="D16" s="2">
        <v>484464</v>
      </c>
      <c r="E16" s="2">
        <v>483471</v>
      </c>
      <c r="F16" s="2">
        <v>386156</v>
      </c>
      <c r="G16" s="2" t="str" cm="1">
        <f t="array" aca="1" ref="G16" ca="1">IF(Background=36,C16,G15)</f>
        <v>宝鸡市</v>
      </c>
    </row>
    <row r="17" spans="1:7" ht="15.75" thickBot="1" x14ac:dyDescent="0.3">
      <c r="A17" t="s">
        <v>375</v>
      </c>
      <c r="B17" s="1" t="s">
        <v>3032</v>
      </c>
      <c r="C17" s="1" t="s">
        <v>3049</v>
      </c>
      <c r="D17" s="2">
        <v>438324</v>
      </c>
      <c r="E17" s="2">
        <v>416402</v>
      </c>
      <c r="F17" s="2">
        <v>313231</v>
      </c>
      <c r="G17" s="2" t="str" cm="1">
        <f t="array" aca="1" ref="G17" ca="1">IF(Background=36,C17,G16)</f>
        <v>宝鸡市</v>
      </c>
    </row>
    <row r="18" spans="1:7" ht="15.75" thickBot="1" x14ac:dyDescent="0.3">
      <c r="A18" t="s">
        <v>370</v>
      </c>
      <c r="B18" s="1" t="s">
        <v>3034</v>
      </c>
      <c r="C18" s="1" t="s">
        <v>3050</v>
      </c>
      <c r="D18" s="2">
        <v>272193</v>
      </c>
      <c r="E18" s="2">
        <v>394538</v>
      </c>
      <c r="F18" s="2">
        <v>460950</v>
      </c>
      <c r="G18" s="2" t="str" cm="1">
        <f t="array" aca="1" ref="G18" ca="1">IF(Background=36,C18,G17)</f>
        <v>宝鸡市</v>
      </c>
    </row>
    <row r="19" spans="1:7" ht="15.75" thickBot="1" x14ac:dyDescent="0.3">
      <c r="A19" t="s">
        <v>362</v>
      </c>
      <c r="B19" s="1" t="s">
        <v>3032</v>
      </c>
      <c r="C19" s="1" t="s">
        <v>3051</v>
      </c>
      <c r="D19" s="2">
        <v>85782</v>
      </c>
      <c r="E19" s="2">
        <v>90728</v>
      </c>
      <c r="F19" s="2">
        <v>73297</v>
      </c>
      <c r="G19" s="2" t="str" cm="1">
        <f t="array" aca="1" ref="G19" ca="1">IF(Background=36,C19,G18)</f>
        <v>宝鸡市</v>
      </c>
    </row>
    <row r="20" spans="1:7" ht="15.75" thickBot="1" x14ac:dyDescent="0.3">
      <c r="A20" t="s">
        <v>344</v>
      </c>
      <c r="B20" s="1" t="s">
        <v>3032</v>
      </c>
      <c r="C20" s="1" t="s">
        <v>3052</v>
      </c>
      <c r="D20" s="2">
        <v>241751</v>
      </c>
      <c r="E20" s="2">
        <v>248901</v>
      </c>
      <c r="F20" s="2">
        <v>208482</v>
      </c>
      <c r="G20" s="2" t="str" cm="1">
        <f t="array" aca="1" ref="G20" ca="1">IF(Background=36,C20,G19)</f>
        <v>宝鸡市</v>
      </c>
    </row>
    <row r="21" spans="1:7" ht="15.75" thickBot="1" x14ac:dyDescent="0.3">
      <c r="A21" t="s">
        <v>367</v>
      </c>
      <c r="B21" s="1" t="s">
        <v>3032</v>
      </c>
      <c r="C21" s="1" t="s">
        <v>3053</v>
      </c>
      <c r="D21" s="2">
        <v>290315</v>
      </c>
      <c r="E21" s="2">
        <v>299990</v>
      </c>
      <c r="F21" s="2">
        <v>281211</v>
      </c>
      <c r="G21" s="2" t="str" cm="1">
        <f t="array" aca="1" ref="G21" ca="1">IF(Background=36,C21,G20)</f>
        <v>宝鸡市</v>
      </c>
    </row>
    <row r="22" spans="1:7" ht="15.75" thickBot="1" x14ac:dyDescent="0.3">
      <c r="A22" t="s">
        <v>355</v>
      </c>
      <c r="B22" s="1" t="s">
        <v>3032</v>
      </c>
      <c r="C22" s="1" t="s">
        <v>3054</v>
      </c>
      <c r="D22" s="2">
        <v>121532</v>
      </c>
      <c r="E22" s="2">
        <v>123959</v>
      </c>
      <c r="F22" s="2">
        <v>99510</v>
      </c>
      <c r="G22" s="2" t="str" cm="1">
        <f t="array" aca="1" ref="G22" ca="1">IF(Background=36,C22,G21)</f>
        <v>宝鸡市</v>
      </c>
    </row>
    <row r="23" spans="1:7" ht="15.75" thickBot="1" x14ac:dyDescent="0.3">
      <c r="A23" t="s">
        <v>341</v>
      </c>
      <c r="B23" s="1" t="s">
        <v>3032</v>
      </c>
      <c r="C23" s="1" t="s">
        <v>3055</v>
      </c>
      <c r="D23" s="2">
        <v>446579</v>
      </c>
      <c r="E23" s="2">
        <v>459064</v>
      </c>
      <c r="F23" s="2">
        <v>365209</v>
      </c>
      <c r="G23" s="2" t="str" cm="1">
        <f t="array" aca="1" ref="G23" ca="1">IF(Background=36,C23,G22)</f>
        <v>宝鸡市</v>
      </c>
    </row>
    <row r="24" spans="1:7" ht="15.75" thickBot="1" x14ac:dyDescent="0.3">
      <c r="A24" t="s">
        <v>414</v>
      </c>
      <c r="B24" s="1" t="s">
        <v>3032</v>
      </c>
      <c r="C24" s="1" t="s">
        <v>3056</v>
      </c>
      <c r="D24" s="2">
        <v>51332</v>
      </c>
      <c r="E24" s="2">
        <v>50928</v>
      </c>
      <c r="F24" s="2">
        <v>39630</v>
      </c>
      <c r="G24" s="2" t="str" cm="1">
        <f t="array" aca="1" ref="G24" ca="1">IF(Background=36,C24,G23)</f>
        <v>宝鸡市</v>
      </c>
    </row>
    <row r="25" spans="1:7" ht="15.75" thickBot="1" x14ac:dyDescent="0.3">
      <c r="A25" t="s">
        <v>347</v>
      </c>
      <c r="B25" s="1" t="s">
        <v>3034</v>
      </c>
      <c r="C25" s="1" t="s">
        <v>3057</v>
      </c>
      <c r="D25" s="2">
        <v>328184</v>
      </c>
      <c r="E25" s="2">
        <v>448189</v>
      </c>
      <c r="F25" s="2">
        <v>535833</v>
      </c>
      <c r="G25" s="2" t="str" cm="1">
        <f t="array" aca="1" ref="G25" ca="1">IF(Background=36,C25,G24)</f>
        <v>宝鸡市</v>
      </c>
    </row>
    <row r="26" spans="1:7" ht="15.75" thickBot="1" x14ac:dyDescent="0.3">
      <c r="A26" t="s">
        <v>3058</v>
      </c>
      <c r="B26" s="3" t="s">
        <v>3030</v>
      </c>
      <c r="C26" s="3" t="s">
        <v>3059</v>
      </c>
      <c r="D26" s="4">
        <v>3411044</v>
      </c>
      <c r="E26" s="4">
        <v>3416196</v>
      </c>
      <c r="F26" s="4">
        <v>3211462</v>
      </c>
      <c r="G26" s="2" t="str" cm="1">
        <f t="array" aca="1" ref="G26" ca="1">IF(Background=36,C26,G25)</f>
        <v>汉中市</v>
      </c>
    </row>
    <row r="27" spans="1:7" ht="15.75" thickBot="1" x14ac:dyDescent="0.3">
      <c r="A27" t="s">
        <v>652</v>
      </c>
      <c r="B27" s="1" t="s">
        <v>3032</v>
      </c>
      <c r="C27" s="1" t="s">
        <v>3060</v>
      </c>
      <c r="D27" s="2">
        <v>455408</v>
      </c>
      <c r="E27" s="2">
        <v>464903</v>
      </c>
      <c r="F27" s="2">
        <v>442035</v>
      </c>
      <c r="G27" s="2" t="str" cm="1">
        <f t="array" aca="1" ref="G27" ca="1">IF(Background=36,C27,G26)</f>
        <v>汉中市</v>
      </c>
    </row>
    <row r="28" spans="1:7" ht="15.75" thickBot="1" x14ac:dyDescent="0.3">
      <c r="A28" t="s">
        <v>670</v>
      </c>
      <c r="B28" s="1" t="s">
        <v>3032</v>
      </c>
      <c r="C28" s="1" t="s">
        <v>3061</v>
      </c>
      <c r="D28" s="2">
        <v>33695</v>
      </c>
      <c r="E28" s="2">
        <v>30075</v>
      </c>
      <c r="F28" s="2">
        <v>26597</v>
      </c>
      <c r="G28" s="2" t="str" cm="1">
        <f t="array" aca="1" ref="G28" ca="1">IF(Background=36,C28,G27)</f>
        <v>汉中市</v>
      </c>
    </row>
    <row r="29" spans="1:7" ht="15.75" thickBot="1" x14ac:dyDescent="0.3">
      <c r="A29" t="s">
        <v>659</v>
      </c>
      <c r="B29" s="1" t="s">
        <v>3034</v>
      </c>
      <c r="C29" s="1" t="s">
        <v>3062</v>
      </c>
      <c r="D29" s="2">
        <v>503871</v>
      </c>
      <c r="E29" s="2">
        <v>534923</v>
      </c>
      <c r="F29" s="2">
        <v>618204</v>
      </c>
      <c r="G29" s="2" t="str" cm="1">
        <f t="array" aca="1" ref="G29" ca="1">IF(Background=36,C29,G28)</f>
        <v>汉中市</v>
      </c>
    </row>
    <row r="30" spans="1:7" ht="15.75" thickBot="1" x14ac:dyDescent="0.3">
      <c r="A30" t="s">
        <v>773</v>
      </c>
      <c r="B30" s="1" t="s">
        <v>3032</v>
      </c>
      <c r="C30" s="1" t="s">
        <v>3063</v>
      </c>
      <c r="D30" s="2">
        <v>46294</v>
      </c>
      <c r="E30" s="2">
        <v>43398</v>
      </c>
      <c r="F30" s="2">
        <v>35325</v>
      </c>
      <c r="G30" s="2" t="str" cm="1">
        <f t="array" aca="1" ref="G30" ca="1">IF(Background=36,C30,G29)</f>
        <v>汉中市</v>
      </c>
    </row>
    <row r="31" spans="1:7" ht="15.75" thickBot="1" x14ac:dyDescent="0.3">
      <c r="A31" t="s">
        <v>633</v>
      </c>
      <c r="B31" s="1" t="s">
        <v>3032</v>
      </c>
      <c r="C31" s="1" t="s">
        <v>3064</v>
      </c>
      <c r="D31" s="2">
        <v>201498</v>
      </c>
      <c r="E31" s="2">
        <v>201645</v>
      </c>
      <c r="F31" s="2">
        <v>143989</v>
      </c>
      <c r="G31" s="2" t="str" cm="1">
        <f t="array" aca="1" ref="G31" ca="1">IF(Background=36,C31,G30)</f>
        <v>汉中市</v>
      </c>
    </row>
    <row r="32" spans="1:7" ht="15.75" thickBot="1" x14ac:dyDescent="0.3">
      <c r="A32" t="s">
        <v>649</v>
      </c>
      <c r="B32" s="1" t="s">
        <v>3032</v>
      </c>
      <c r="C32" s="1" t="s">
        <v>3065</v>
      </c>
      <c r="D32" s="2">
        <v>397131</v>
      </c>
      <c r="E32" s="2">
        <v>388123</v>
      </c>
      <c r="F32" s="2">
        <v>344935</v>
      </c>
      <c r="G32" s="2" t="str" cm="1">
        <f t="array" aca="1" ref="G32" ca="1">IF(Background=36,C32,G31)</f>
        <v>汉中市</v>
      </c>
    </row>
    <row r="33" spans="1:7" ht="15.75" thickBot="1" x14ac:dyDescent="0.3">
      <c r="A33" t="s">
        <v>640</v>
      </c>
      <c r="B33" s="1" t="s">
        <v>3034</v>
      </c>
      <c r="C33" s="1" t="s">
        <v>3066</v>
      </c>
      <c r="D33" s="2">
        <v>478782</v>
      </c>
      <c r="E33" s="2">
        <v>471634</v>
      </c>
      <c r="F33" s="2">
        <v>466244</v>
      </c>
      <c r="G33" s="2" t="str" cm="1">
        <f t="array" aca="1" ref="G33" ca="1">IF(Background=36,C33,G32)</f>
        <v>汉中市</v>
      </c>
    </row>
    <row r="34" spans="1:7" ht="15.75" thickBot="1" x14ac:dyDescent="0.3">
      <c r="A34" t="s">
        <v>625</v>
      </c>
      <c r="B34" s="1" t="s">
        <v>3032</v>
      </c>
      <c r="C34" s="1" t="s">
        <v>3067</v>
      </c>
      <c r="D34" s="2">
        <v>313395</v>
      </c>
      <c r="E34" s="2">
        <v>308885</v>
      </c>
      <c r="F34" s="2">
        <v>256373</v>
      </c>
      <c r="G34" s="2" t="str" cm="1">
        <f t="array" aca="1" ref="G34" ca="1">IF(Background=36,C34,G33)</f>
        <v>汉中市</v>
      </c>
    </row>
    <row r="35" spans="1:7" ht="15.75" thickBot="1" x14ac:dyDescent="0.3">
      <c r="A35" t="s">
        <v>628</v>
      </c>
      <c r="B35" s="1" t="s">
        <v>3032</v>
      </c>
      <c r="C35" s="1" t="s">
        <v>3068</v>
      </c>
      <c r="D35" s="2">
        <v>345074</v>
      </c>
      <c r="E35" s="2">
        <v>341812</v>
      </c>
      <c r="F35" s="2">
        <v>321535</v>
      </c>
      <c r="G35" s="2" t="str" cm="1">
        <f t="array" aca="1" ref="G35" ca="1">IF(Background=36,C35,G34)</f>
        <v>汉中市</v>
      </c>
    </row>
    <row r="36" spans="1:7" ht="15.75" thickBot="1" x14ac:dyDescent="0.3">
      <c r="A36" t="s">
        <v>643</v>
      </c>
      <c r="B36" s="1" t="s">
        <v>3032</v>
      </c>
      <c r="C36" s="1" t="s">
        <v>3069</v>
      </c>
      <c r="D36" s="2">
        <v>384374</v>
      </c>
      <c r="E36" s="2">
        <v>383981</v>
      </c>
      <c r="F36" s="2">
        <v>345354</v>
      </c>
      <c r="G36" s="2" t="str" cm="1">
        <f t="array" aca="1" ref="G36" ca="1">IF(Background=36,C36,G35)</f>
        <v>汉中市</v>
      </c>
    </row>
    <row r="37" spans="1:7" ht="15.75" thickBot="1" x14ac:dyDescent="0.3">
      <c r="A37" t="s">
        <v>646</v>
      </c>
      <c r="B37" s="1" t="s">
        <v>3032</v>
      </c>
      <c r="C37" s="1" t="s">
        <v>3070</v>
      </c>
      <c r="D37" s="2">
        <v>251522</v>
      </c>
      <c r="E37" s="2">
        <v>246817</v>
      </c>
      <c r="F37" s="2">
        <v>210871</v>
      </c>
      <c r="G37" s="2" t="str" cm="1">
        <f t="array" aca="1" ref="G37" ca="1">IF(Background=36,C37,G36)</f>
        <v>汉中市</v>
      </c>
    </row>
    <row r="38" spans="1:7" ht="15.75" thickBot="1" x14ac:dyDescent="0.3">
      <c r="A38" t="s">
        <v>3071</v>
      </c>
      <c r="B38" s="3" t="s">
        <v>3030</v>
      </c>
      <c r="C38" s="3" t="s">
        <v>3072</v>
      </c>
      <c r="D38" s="4">
        <v>2345437</v>
      </c>
      <c r="E38" s="4">
        <v>2341742</v>
      </c>
      <c r="F38" s="4">
        <v>2041231</v>
      </c>
      <c r="G38" s="2" t="str" cm="1">
        <f t="array" aca="1" ref="G38" ca="1">IF(Background=36,C38,G37)</f>
        <v>商洛市</v>
      </c>
    </row>
    <row r="39" spans="1:7" ht="15.75" thickBot="1" x14ac:dyDescent="0.3">
      <c r="A39" t="s">
        <v>1059</v>
      </c>
      <c r="B39" s="1" t="s">
        <v>3032</v>
      </c>
      <c r="C39" s="1" t="s">
        <v>3073</v>
      </c>
      <c r="D39" s="2">
        <v>295833</v>
      </c>
      <c r="E39" s="2">
        <v>295349</v>
      </c>
      <c r="F39" s="2">
        <v>247259</v>
      </c>
      <c r="G39" s="2" t="str" cm="1">
        <f t="array" aca="1" ref="G39" ca="1">IF(Background=36,C39,G38)</f>
        <v>商洛市</v>
      </c>
    </row>
    <row r="40" spans="1:7" ht="15.75" thickBot="1" x14ac:dyDescent="0.3">
      <c r="A40" t="s">
        <v>1047</v>
      </c>
      <c r="B40" s="1" t="s">
        <v>3032</v>
      </c>
      <c r="C40" s="1" t="s">
        <v>3074</v>
      </c>
      <c r="D40" s="2">
        <v>455183</v>
      </c>
      <c r="E40" s="2">
        <v>441613</v>
      </c>
      <c r="F40" s="2">
        <v>365736</v>
      </c>
      <c r="G40" s="2" t="str" cm="1">
        <f t="array" aca="1" ref="G40" ca="1">IF(Background=36,C40,G39)</f>
        <v>商洛市</v>
      </c>
    </row>
    <row r="41" spans="1:7" ht="15.75" thickBot="1" x14ac:dyDescent="0.3">
      <c r="A41" t="s">
        <v>1041</v>
      </c>
      <c r="B41" s="1" t="s">
        <v>3032</v>
      </c>
      <c r="C41" s="1" t="s">
        <v>3075</v>
      </c>
      <c r="D41" s="2">
        <v>227636</v>
      </c>
      <c r="E41" s="2">
        <v>221569</v>
      </c>
      <c r="F41" s="2">
        <v>203796</v>
      </c>
      <c r="G41" s="2" t="str" cm="1">
        <f t="array" aca="1" ref="G41" ca="1">IF(Background=36,C41,G40)</f>
        <v>商洛市</v>
      </c>
    </row>
    <row r="42" spans="1:7" ht="15.75" thickBot="1" x14ac:dyDescent="0.3">
      <c r="A42" t="s">
        <v>1044</v>
      </c>
      <c r="B42" s="1" t="s">
        <v>3034</v>
      </c>
      <c r="C42" s="1" t="s">
        <v>3076</v>
      </c>
      <c r="D42" s="2">
        <v>530883</v>
      </c>
      <c r="E42" s="2">
        <v>531696</v>
      </c>
      <c r="F42" s="2">
        <v>472978</v>
      </c>
      <c r="G42" s="2" t="str" cm="1">
        <f t="array" aca="1" ref="G42" ca="1">IF(Background=36,C42,G41)</f>
        <v>商洛市</v>
      </c>
    </row>
    <row r="43" spans="1:7" ht="15.75" thickBot="1" x14ac:dyDescent="0.3">
      <c r="A43" t="s">
        <v>1052</v>
      </c>
      <c r="B43" s="1" t="s">
        <v>3032</v>
      </c>
      <c r="C43" s="1" t="s">
        <v>3077</v>
      </c>
      <c r="D43" s="2">
        <v>400993</v>
      </c>
      <c r="E43" s="2">
        <v>422255</v>
      </c>
      <c r="F43" s="2">
        <v>359967</v>
      </c>
      <c r="G43" s="2" t="str" cm="1">
        <f t="array" aca="1" ref="G43" ca="1">IF(Background=36,C43,G42)</f>
        <v>商洛市</v>
      </c>
    </row>
    <row r="44" spans="1:7" ht="15.75" thickBot="1" x14ac:dyDescent="0.3">
      <c r="A44" t="s">
        <v>1062</v>
      </c>
      <c r="B44" s="1" t="s">
        <v>3032</v>
      </c>
      <c r="C44" s="1" t="s">
        <v>3078</v>
      </c>
      <c r="D44" s="2">
        <v>158421</v>
      </c>
      <c r="E44" s="2">
        <v>153398</v>
      </c>
      <c r="F44" s="2">
        <v>137709</v>
      </c>
      <c r="G44" s="2" t="str" cm="1">
        <f t="array" aca="1" ref="G44" ca="1">IF(Background=36,C44,G43)</f>
        <v>商洛市</v>
      </c>
    </row>
    <row r="45" spans="1:7" ht="15.75" thickBot="1" x14ac:dyDescent="0.3">
      <c r="A45" t="s">
        <v>1065</v>
      </c>
      <c r="B45" s="1" t="s">
        <v>3032</v>
      </c>
      <c r="C45" s="1" t="s">
        <v>3079</v>
      </c>
      <c r="D45" s="2">
        <v>276488</v>
      </c>
      <c r="E45" s="2">
        <v>275862</v>
      </c>
      <c r="F45" s="2">
        <v>253786</v>
      </c>
      <c r="G45" s="2" t="str" cm="1">
        <f t="array" aca="1" ref="G45" ca="1">IF(Background=36,C45,G44)</f>
        <v>商洛市</v>
      </c>
    </row>
    <row r="46" spans="1:7" ht="15.75" thickBot="1" x14ac:dyDescent="0.3">
      <c r="A46" t="s">
        <v>3080</v>
      </c>
      <c r="B46" s="3" t="s">
        <v>3030</v>
      </c>
      <c r="C46" s="3" t="s">
        <v>3081</v>
      </c>
      <c r="D46" s="4">
        <v>792600</v>
      </c>
      <c r="E46" s="4">
        <v>834437</v>
      </c>
      <c r="F46" s="4">
        <v>698322</v>
      </c>
      <c r="G46" s="2" t="str" cm="1">
        <f t="array" aca="1" ref="G46" ca="1">IF(Background=36,C46,G45)</f>
        <v>铜川市</v>
      </c>
    </row>
    <row r="47" spans="1:7" ht="15.75" thickBot="1" x14ac:dyDescent="0.3">
      <c r="A47" t="s">
        <v>1306</v>
      </c>
      <c r="B47" s="1" t="s">
        <v>3034</v>
      </c>
      <c r="C47" s="1" t="s">
        <v>3082</v>
      </c>
      <c r="D47" s="2">
        <v>190630</v>
      </c>
      <c r="E47" s="2">
        <v>200231</v>
      </c>
      <c r="F47" s="2">
        <v>135298</v>
      </c>
      <c r="G47" s="2" t="str" cm="1">
        <f t="array" aca="1" ref="G47" ca="1">IF(Background=36,C47,G46)</f>
        <v>铜川市</v>
      </c>
    </row>
    <row r="48" spans="1:7" ht="15.75" thickBot="1" x14ac:dyDescent="0.3">
      <c r="A48" t="s">
        <v>1299</v>
      </c>
      <c r="B48" s="1" t="s">
        <v>3034</v>
      </c>
      <c r="C48" s="1" t="s">
        <v>3083</v>
      </c>
      <c r="D48" s="2">
        <v>295202</v>
      </c>
      <c r="E48" s="2">
        <v>325537</v>
      </c>
      <c r="F48" s="2">
        <v>357370</v>
      </c>
      <c r="G48" s="2" t="str" cm="1">
        <f t="array" aca="1" ref="G48" ca="1">IF(Background=36,C48,G47)</f>
        <v>铜川市</v>
      </c>
    </row>
    <row r="49" spans="1:7" ht="15.75" thickBot="1" x14ac:dyDescent="0.3">
      <c r="A49" t="s">
        <v>1294</v>
      </c>
      <c r="B49" s="1" t="s">
        <v>3032</v>
      </c>
      <c r="C49" s="1" t="s">
        <v>3084</v>
      </c>
      <c r="D49" s="2">
        <v>93141</v>
      </c>
      <c r="E49" s="2">
        <v>91160</v>
      </c>
      <c r="F49" s="2">
        <v>71714</v>
      </c>
      <c r="G49" s="2" t="str" cm="1">
        <f t="array" aca="1" ref="G49" ca="1">IF(Background=36,C49,G48)</f>
        <v>铜川市</v>
      </c>
    </row>
    <row r="50" spans="1:7" ht="15.75" thickBot="1" x14ac:dyDescent="0.3">
      <c r="A50" t="s">
        <v>1292</v>
      </c>
      <c r="B50" s="1" t="s">
        <v>3034</v>
      </c>
      <c r="C50" s="1" t="s">
        <v>3085</v>
      </c>
      <c r="D50" s="2">
        <v>213627</v>
      </c>
      <c r="E50" s="2">
        <v>217509</v>
      </c>
      <c r="F50" s="2">
        <v>133940</v>
      </c>
      <c r="G50" s="2" t="str" cm="1">
        <f t="array" aca="1" ref="G50" ca="1">IF(Background=36,C50,G49)</f>
        <v>铜川市</v>
      </c>
    </row>
    <row r="51" spans="1:7" ht="15.75" thickBot="1" x14ac:dyDescent="0.3">
      <c r="A51" t="s">
        <v>3086</v>
      </c>
      <c r="B51" s="3" t="s">
        <v>3030</v>
      </c>
      <c r="C51" s="3" t="s">
        <v>3087</v>
      </c>
      <c r="D51" s="4">
        <v>5292200</v>
      </c>
      <c r="E51" s="4">
        <v>5286077</v>
      </c>
      <c r="F51" s="4">
        <v>4688744</v>
      </c>
      <c r="G51" s="2" t="str" cm="1">
        <f t="array" aca="1" ref="G51" ca="1">IF(Background=36,C51,G50)</f>
        <v>渭南市</v>
      </c>
    </row>
    <row r="52" spans="1:7" ht="15.75" thickBot="1" x14ac:dyDescent="0.3">
      <c r="A52" t="s">
        <v>1381</v>
      </c>
      <c r="B52" s="1" t="s">
        <v>3032</v>
      </c>
      <c r="C52" s="1" t="s">
        <v>3088</v>
      </c>
      <c r="D52" s="2">
        <v>277716</v>
      </c>
      <c r="E52" s="2">
        <v>279679</v>
      </c>
      <c r="F52" s="2">
        <v>223832</v>
      </c>
      <c r="G52" s="2" t="str" cm="1">
        <f t="array" aca="1" ref="G52" ca="1">IF(Background=36,C52,G51)</f>
        <v>渭南市</v>
      </c>
    </row>
    <row r="53" spans="1:7" ht="15.75" thickBot="1" x14ac:dyDescent="0.3">
      <c r="A53" t="s">
        <v>1368</v>
      </c>
      <c r="B53" s="1" t="s">
        <v>3032</v>
      </c>
      <c r="C53" s="1" t="s">
        <v>3089</v>
      </c>
      <c r="D53" s="2">
        <v>372150</v>
      </c>
      <c r="E53" s="2">
        <v>386150</v>
      </c>
      <c r="F53" s="2">
        <v>304089</v>
      </c>
      <c r="G53" s="2" t="str" cm="1">
        <f t="array" aca="1" ref="G53" ca="1">IF(Background=36,C53,G52)</f>
        <v>渭南市</v>
      </c>
    </row>
    <row r="54" spans="1:7" ht="15.75" thickBot="1" x14ac:dyDescent="0.3">
      <c r="A54" t="s">
        <v>1371</v>
      </c>
      <c r="B54" s="1" t="s">
        <v>3032</v>
      </c>
      <c r="C54" s="1" t="s">
        <v>3090</v>
      </c>
      <c r="D54" s="2">
        <v>706948</v>
      </c>
      <c r="E54" s="2">
        <v>693392</v>
      </c>
      <c r="F54" s="2">
        <v>592888</v>
      </c>
      <c r="G54" s="2" t="str" cm="1">
        <f t="array" aca="1" ref="G54" ca="1">IF(Background=36,C54,G53)</f>
        <v>渭南市</v>
      </c>
    </row>
    <row r="55" spans="1:7" ht="15.75" thickBot="1" x14ac:dyDescent="0.3">
      <c r="A55" t="s">
        <v>1377</v>
      </c>
      <c r="B55" s="1" t="s">
        <v>3032</v>
      </c>
      <c r="C55" s="1" t="s">
        <v>3091</v>
      </c>
      <c r="D55" s="2">
        <v>747942</v>
      </c>
      <c r="E55" s="2">
        <v>743385</v>
      </c>
      <c r="F55" s="2">
        <v>642452</v>
      </c>
      <c r="G55" s="2" t="str" cm="1">
        <f t="array" aca="1" ref="G55" ca="1">IF(Background=36,C55,G54)</f>
        <v>渭南市</v>
      </c>
    </row>
    <row r="56" spans="1:7" ht="15.75" thickBot="1" x14ac:dyDescent="0.3">
      <c r="A56" t="s">
        <v>1378</v>
      </c>
      <c r="B56" s="1" t="s">
        <v>3092</v>
      </c>
      <c r="C56" s="1" t="s">
        <v>3093</v>
      </c>
      <c r="D56" s="2">
        <v>387041</v>
      </c>
      <c r="E56" s="2">
        <v>391164</v>
      </c>
      <c r="F56" s="2">
        <v>383097</v>
      </c>
      <c r="G56" s="2" t="str" cm="1">
        <f t="array" aca="1" ref="G56" ca="1">IF(Background=36,C56,G55)</f>
        <v>渭南市</v>
      </c>
    </row>
    <row r="57" spans="1:7" ht="15.75" thickBot="1" x14ac:dyDescent="0.3">
      <c r="A57" t="s">
        <v>1374</v>
      </c>
      <c r="B57" s="1" t="s">
        <v>3032</v>
      </c>
      <c r="C57" s="1" t="s">
        <v>3094</v>
      </c>
      <c r="D57" s="2">
        <v>432313</v>
      </c>
      <c r="E57" s="2">
        <v>436441</v>
      </c>
      <c r="F57" s="2">
        <v>360683</v>
      </c>
      <c r="G57" s="2" t="str" cm="1">
        <f t="array" aca="1" ref="G57" ca="1">IF(Background=36,C57,G56)</f>
        <v>渭南市</v>
      </c>
    </row>
    <row r="58" spans="1:7" ht="15.75" thickBot="1" x14ac:dyDescent="0.3">
      <c r="A58" t="s">
        <v>1384</v>
      </c>
      <c r="B58" s="1" t="s">
        <v>3092</v>
      </c>
      <c r="C58" s="1" t="s">
        <v>3095</v>
      </c>
      <c r="D58" s="2">
        <v>242488</v>
      </c>
      <c r="E58" s="2">
        <v>258113</v>
      </c>
      <c r="F58" s="2">
        <v>205119</v>
      </c>
      <c r="G58" s="2" t="str" cm="1">
        <f t="array" aca="1" ref="G58" ca="1">IF(Background=36,C58,G57)</f>
        <v>渭南市</v>
      </c>
    </row>
    <row r="59" spans="1:7" ht="15.75" thickBot="1" x14ac:dyDescent="0.3">
      <c r="A59" t="s">
        <v>1389</v>
      </c>
      <c r="B59" s="1" t="s">
        <v>3034</v>
      </c>
      <c r="C59" s="1" t="s">
        <v>3096</v>
      </c>
      <c r="D59" s="2">
        <v>350228</v>
      </c>
      <c r="E59" s="2">
        <v>322148</v>
      </c>
      <c r="F59" s="2">
        <v>268620</v>
      </c>
      <c r="G59" s="2" t="str" cm="1">
        <f t="array" aca="1" ref="G59" ca="1">IF(Background=36,C59,G58)</f>
        <v>渭南市</v>
      </c>
    </row>
    <row r="60" spans="1:7" ht="15.75" thickBot="1" x14ac:dyDescent="0.3">
      <c r="A60" t="s">
        <v>1410</v>
      </c>
      <c r="B60" s="1" t="s">
        <v>3034</v>
      </c>
      <c r="C60" s="1" t="s">
        <v>3097</v>
      </c>
      <c r="D60" s="2">
        <v>888866</v>
      </c>
      <c r="E60" s="2">
        <v>877142</v>
      </c>
      <c r="F60" s="2">
        <v>920044</v>
      </c>
      <c r="G60" s="2" t="str" cm="1">
        <f t="array" aca="1" ref="G60" ca="1">IF(Background=36,C60,G59)</f>
        <v>渭南市</v>
      </c>
    </row>
    <row r="61" spans="1:7" ht="15.75" thickBot="1" x14ac:dyDescent="0.3">
      <c r="A61" t="s">
        <v>1403</v>
      </c>
      <c r="B61" s="1" t="s">
        <v>3032</v>
      </c>
      <c r="C61" s="1" t="s">
        <v>3098</v>
      </c>
      <c r="D61" s="2">
        <v>738675</v>
      </c>
      <c r="E61" s="2">
        <v>743000</v>
      </c>
      <c r="F61" s="2">
        <v>662603</v>
      </c>
      <c r="G61" s="2" t="str" cm="1">
        <f t="array" aca="1" ref="G61" ca="1">IF(Background=36,C61,G60)</f>
        <v>渭南市</v>
      </c>
    </row>
    <row r="62" spans="1:7" ht="15.75" thickBot="1" x14ac:dyDescent="0.3">
      <c r="A62" t="s">
        <v>1399</v>
      </c>
      <c r="B62" s="1" t="s">
        <v>3032</v>
      </c>
      <c r="C62" s="1" t="s">
        <v>3099</v>
      </c>
      <c r="D62" s="2">
        <v>147833</v>
      </c>
      <c r="E62" s="2">
        <v>155463</v>
      </c>
      <c r="F62" s="2">
        <v>125317</v>
      </c>
      <c r="G62" s="2" t="str" cm="1">
        <f t="array" aca="1" ref="G62" ca="1">IF(Background=36,C62,G61)</f>
        <v>渭南市</v>
      </c>
    </row>
    <row r="63" spans="1:7" ht="15.75" thickBot="1" x14ac:dyDescent="0.3">
      <c r="A63" t="s">
        <v>3100</v>
      </c>
      <c r="B63" s="3" t="s">
        <v>3101</v>
      </c>
      <c r="C63" s="3" t="s">
        <v>3102</v>
      </c>
      <c r="D63" s="4">
        <v>7274832</v>
      </c>
      <c r="E63" s="4">
        <v>8467838</v>
      </c>
      <c r="F63" s="4">
        <v>12183280</v>
      </c>
      <c r="G63" s="2" t="str" cm="1">
        <f t="array" aca="1" ref="G63" ca="1">IF(Background=36,C63,G62)</f>
        <v>西安市</v>
      </c>
    </row>
    <row r="64" spans="1:7" ht="15.75" thickBot="1" x14ac:dyDescent="0.3">
      <c r="A64" t="s">
        <v>1977</v>
      </c>
      <c r="B64" s="1" t="s">
        <v>3034</v>
      </c>
      <c r="C64" s="1" t="s">
        <v>3103</v>
      </c>
      <c r="D64" s="2">
        <v>494084</v>
      </c>
      <c r="E64" s="2">
        <v>595124</v>
      </c>
      <c r="F64" s="2">
        <v>1020259</v>
      </c>
      <c r="G64" s="2" t="str" cm="1">
        <f t="array" aca="1" ref="G64" ca="1">IF(Background=36,C64,G63)</f>
        <v>西安市</v>
      </c>
    </row>
    <row r="65" spans="1:7" ht="15.75" thickBot="1" x14ac:dyDescent="0.3">
      <c r="A65" t="s">
        <v>1971</v>
      </c>
      <c r="B65" s="1" t="s">
        <v>3034</v>
      </c>
      <c r="C65" s="1" t="s">
        <v>3104</v>
      </c>
      <c r="D65" s="2">
        <v>698755</v>
      </c>
      <c r="E65" s="2">
        <v>614710</v>
      </c>
      <c r="F65" s="2">
        <v>756840</v>
      </c>
      <c r="G65" s="2" t="str" cm="1">
        <f t="array" aca="1" ref="G65" ca="1">IF(Background=36,C65,G64)</f>
        <v>西安市</v>
      </c>
    </row>
    <row r="66" spans="1:7" ht="15.75" thickBot="1" x14ac:dyDescent="0.3">
      <c r="A66" t="s">
        <v>2031</v>
      </c>
      <c r="B66" s="1" t="s">
        <v>3034</v>
      </c>
      <c r="C66" s="1" t="s">
        <v>3105</v>
      </c>
      <c r="D66" s="2">
        <v>746910</v>
      </c>
      <c r="E66" s="2">
        <v>939545</v>
      </c>
      <c r="F66" s="2">
        <v>1751296</v>
      </c>
      <c r="G66" s="2" t="str" cm="1">
        <f t="array" aca="1" ref="G66" ca="1">IF(Background=36,C66,G65)</f>
        <v>西安市</v>
      </c>
    </row>
    <row r="67" spans="1:7" ht="15.75" thickBot="1" x14ac:dyDescent="0.3">
      <c r="A67" t="s">
        <v>2016</v>
      </c>
      <c r="B67" s="1" t="s">
        <v>3034</v>
      </c>
      <c r="C67" s="1" t="s">
        <v>3106</v>
      </c>
      <c r="D67" s="2">
        <v>222367</v>
      </c>
      <c r="E67" s="2">
        <v>333477</v>
      </c>
      <c r="F67" s="2">
        <v>441814</v>
      </c>
      <c r="G67" s="2" t="str" cm="1">
        <f t="array" aca="1" ref="G67" ca="1">IF(Background=36,C67,G66)</f>
        <v>西安市</v>
      </c>
    </row>
    <row r="68" spans="1:7" ht="15.75" thickBot="1" x14ac:dyDescent="0.3">
      <c r="A68" t="s">
        <v>1994</v>
      </c>
      <c r="B68" s="1" t="s">
        <v>3034</v>
      </c>
      <c r="C68" s="1" t="s">
        <v>3107</v>
      </c>
      <c r="D68" s="2">
        <v>518538</v>
      </c>
      <c r="E68" s="2">
        <v>527062</v>
      </c>
      <c r="F68" s="2">
        <v>609181</v>
      </c>
      <c r="G68" s="2" t="str" cm="1">
        <f t="array" aca="1" ref="G68" ca="1">IF(Background=36,C68,G67)</f>
        <v>西安市</v>
      </c>
    </row>
    <row r="69" spans="1:7" ht="15.75" thickBot="1" x14ac:dyDescent="0.3">
      <c r="A69" t="s">
        <v>1968</v>
      </c>
      <c r="B69" s="1" t="s">
        <v>3032</v>
      </c>
      <c r="C69" s="1" t="s">
        <v>3108</v>
      </c>
      <c r="D69" s="2">
        <v>560283</v>
      </c>
      <c r="E69" s="2">
        <v>514026</v>
      </c>
      <c r="F69" s="2">
        <v>491975</v>
      </c>
      <c r="G69" s="2" t="str" cm="1">
        <f t="array" aca="1" ref="G69" ca="1">IF(Background=36,C69,G68)</f>
        <v>西安市</v>
      </c>
    </row>
    <row r="70" spans="1:7" ht="15.75" thickBot="1" x14ac:dyDescent="0.3">
      <c r="A70" t="s">
        <v>1983</v>
      </c>
      <c r="B70" s="1" t="s">
        <v>3034</v>
      </c>
      <c r="C70" s="1" t="s">
        <v>3109</v>
      </c>
      <c r="D70" s="2">
        <v>631224</v>
      </c>
      <c r="E70" s="2">
        <v>698513</v>
      </c>
      <c r="F70" s="2">
        <v>1019102</v>
      </c>
      <c r="G70" s="2" t="str" cm="1">
        <f t="array" aca="1" ref="G70" ca="1">IF(Background=36,C70,G69)</f>
        <v>西安市</v>
      </c>
    </row>
    <row r="71" spans="1:7" ht="15.75" thickBot="1" x14ac:dyDescent="0.3">
      <c r="A71" t="s">
        <v>1986</v>
      </c>
      <c r="B71" s="1" t="s">
        <v>3034</v>
      </c>
      <c r="C71" s="1" t="s">
        <v>3110</v>
      </c>
      <c r="D71" s="2">
        <v>639581</v>
      </c>
      <c r="E71" s="2">
        <v>655875</v>
      </c>
      <c r="F71" s="2">
        <v>675961</v>
      </c>
      <c r="G71" s="2" t="str" cm="1">
        <f t="array" aca="1" ref="G71" ca="1">IF(Background=36,C71,G70)</f>
        <v>西安市</v>
      </c>
    </row>
    <row r="72" spans="1:7" ht="15.75" thickBot="1" x14ac:dyDescent="0.3">
      <c r="A72" t="s">
        <v>1997</v>
      </c>
      <c r="B72" s="1" t="s">
        <v>3034</v>
      </c>
      <c r="C72" s="1" t="s">
        <v>3111</v>
      </c>
      <c r="D72" s="2">
        <v>360620</v>
      </c>
      <c r="E72" s="2">
        <v>671038</v>
      </c>
      <c r="F72" s="2">
        <v>1891363</v>
      </c>
      <c r="G72" s="2" t="str" cm="1">
        <f t="array" aca="1" ref="G72" ca="1">IF(Background=36,C72,G71)</f>
        <v>西安市</v>
      </c>
    </row>
    <row r="73" spans="1:7" ht="15.75" thickBot="1" x14ac:dyDescent="0.3">
      <c r="A73" t="s">
        <v>2004</v>
      </c>
      <c r="B73" s="1" t="s">
        <v>3034</v>
      </c>
      <c r="C73" s="1" t="s">
        <v>3112</v>
      </c>
      <c r="D73" s="2">
        <v>526718</v>
      </c>
      <c r="E73" s="2">
        <v>589739</v>
      </c>
      <c r="F73" s="2">
        <v>617986</v>
      </c>
      <c r="G73" s="2" t="str" cm="1">
        <f t="array" aca="1" ref="G73" ca="1">IF(Background=36,C73,G72)</f>
        <v>西安市</v>
      </c>
    </row>
    <row r="74" spans="1:7" ht="15.75" thickBot="1" x14ac:dyDescent="0.3">
      <c r="A74" t="s">
        <v>1982</v>
      </c>
      <c r="B74" s="1" t="s">
        <v>3034</v>
      </c>
      <c r="C74" s="1" t="s">
        <v>3167</v>
      </c>
      <c r="D74" s="2" t="s">
        <v>3168</v>
      </c>
      <c r="E74" s="2">
        <v>879359</v>
      </c>
      <c r="F74" s="2" t="s">
        <v>3168</v>
      </c>
      <c r="G74" s="2" t="str" cm="1">
        <f t="array" aca="1" ref="G74" ca="1">IF(Background=36,C74,G73)</f>
        <v>西安市</v>
      </c>
    </row>
    <row r="75" spans="1:7" ht="15.75" thickBot="1" x14ac:dyDescent="0.3">
      <c r="A75" t="s">
        <v>1989</v>
      </c>
      <c r="B75" s="1" t="s">
        <v>3034</v>
      </c>
      <c r="C75" s="1" t="s">
        <v>3113</v>
      </c>
      <c r="D75" s="2">
        <v>235672</v>
      </c>
      <c r="E75" s="2">
        <v>278604</v>
      </c>
      <c r="F75" s="2">
        <v>303284</v>
      </c>
      <c r="G75" s="2" t="str" cm="1">
        <f t="array" aca="1" ref="G75" ca="1">IF(Background=36,C75,G74)</f>
        <v>西安市</v>
      </c>
    </row>
    <row r="76" spans="1:7" ht="15.75" thickBot="1" x14ac:dyDescent="0.3">
      <c r="A76" t="s">
        <v>2009</v>
      </c>
      <c r="B76" s="1" t="s">
        <v>3034</v>
      </c>
      <c r="C76" s="1" t="s">
        <v>3114</v>
      </c>
      <c r="D76" s="2">
        <v>795058</v>
      </c>
      <c r="E76" s="2">
        <v>1178529</v>
      </c>
      <c r="F76" s="2">
        <v>2046737</v>
      </c>
      <c r="G76" s="2" t="str" cm="1">
        <f t="array" aca="1" ref="G76" ca="1">IF(Background=36,C76,G75)</f>
        <v>西安市</v>
      </c>
    </row>
    <row r="77" spans="1:7" ht="15.75" thickBot="1" x14ac:dyDescent="0.3">
      <c r="A77" t="s">
        <v>1974</v>
      </c>
      <c r="B77" s="1" t="s">
        <v>3032</v>
      </c>
      <c r="C77" s="1" t="s">
        <v>3115</v>
      </c>
      <c r="D77" s="2">
        <v>597153</v>
      </c>
      <c r="E77" s="2">
        <v>562768</v>
      </c>
      <c r="F77" s="2">
        <v>557482</v>
      </c>
      <c r="G77" s="2" t="str" cm="1">
        <f t="array" aca="1" ref="G77" ca="1">IF(Background=36,C77,G76)</f>
        <v>西安市</v>
      </c>
    </row>
    <row r="78" spans="1:7" ht="15.75" thickBot="1" x14ac:dyDescent="0.3">
      <c r="A78" t="s">
        <v>3116</v>
      </c>
      <c r="B78" s="3" t="s">
        <v>3030</v>
      </c>
      <c r="C78" s="3" t="s">
        <v>3117</v>
      </c>
      <c r="D78" s="4">
        <v>4886003</v>
      </c>
      <c r="E78" s="4">
        <v>5096001</v>
      </c>
      <c r="F78" s="4">
        <v>4983340</v>
      </c>
      <c r="G78" s="2" t="str" cm="1">
        <f t="array" aca="1" ref="G78" ca="1">IF(Background=36,C78,G77)</f>
        <v>咸阳市</v>
      </c>
    </row>
    <row r="79" spans="1:7" ht="15.75" thickBot="1" x14ac:dyDescent="0.3">
      <c r="A79" t="s">
        <v>1716</v>
      </c>
      <c r="B79" s="1" t="s">
        <v>3092</v>
      </c>
      <c r="C79" s="1" t="s">
        <v>3118</v>
      </c>
      <c r="D79" s="2">
        <v>313216</v>
      </c>
      <c r="E79" s="2">
        <v>323256</v>
      </c>
      <c r="F79" s="2">
        <v>300226</v>
      </c>
      <c r="G79" s="2" t="str" cm="1">
        <f t="array" aca="1" ref="G79" ca="1">IF(Background=36,C79,G78)</f>
        <v>咸阳市</v>
      </c>
    </row>
    <row r="80" spans="1:7" ht="15.75" thickBot="1" x14ac:dyDescent="0.3">
      <c r="A80" t="s">
        <v>1759</v>
      </c>
      <c r="B80" s="1" t="s">
        <v>3032</v>
      </c>
      <c r="C80" s="1" t="s">
        <v>3119</v>
      </c>
      <c r="D80" s="2">
        <v>167274</v>
      </c>
      <c r="E80" s="2">
        <v>167570</v>
      </c>
      <c r="F80" s="2">
        <v>148404</v>
      </c>
      <c r="G80" s="2" t="str" cm="1">
        <f t="array" aca="1" ref="G80" ca="1">IF(Background=36,C80,G79)</f>
        <v>咸阳市</v>
      </c>
    </row>
    <row r="81" spans="1:7" ht="15.75" thickBot="1" x14ac:dyDescent="0.3">
      <c r="A81" t="s">
        <v>1730</v>
      </c>
      <c r="B81" s="1" t="s">
        <v>3032</v>
      </c>
      <c r="C81" s="1" t="s">
        <v>3120</v>
      </c>
      <c r="D81" s="2">
        <v>186867</v>
      </c>
      <c r="E81" s="2">
        <v>193377</v>
      </c>
      <c r="F81" s="2">
        <v>141756</v>
      </c>
      <c r="G81" s="2" t="str" cm="1">
        <f t="array" aca="1" ref="G81" ca="1">IF(Background=36,C81,G80)</f>
        <v>咸阳市</v>
      </c>
    </row>
    <row r="82" spans="1:7" ht="15.75" thickBot="1" x14ac:dyDescent="0.3">
      <c r="A82" t="s">
        <v>1713</v>
      </c>
      <c r="B82" s="1" t="s">
        <v>3032</v>
      </c>
      <c r="C82" s="1" t="s">
        <v>3121</v>
      </c>
      <c r="D82" s="2">
        <v>307908</v>
      </c>
      <c r="E82" s="2">
        <v>278934</v>
      </c>
      <c r="F82" s="2">
        <v>460108</v>
      </c>
      <c r="G82" s="2" t="str" cm="1">
        <f t="array" aca="1" ref="G82" ca="1">IF(Background=36,C82,G81)</f>
        <v>咸阳市</v>
      </c>
    </row>
    <row r="83" spans="1:7" ht="15.75" thickBot="1" x14ac:dyDescent="0.3">
      <c r="A83" t="s">
        <v>1728</v>
      </c>
      <c r="B83" s="1" t="s">
        <v>3032</v>
      </c>
      <c r="C83" s="1" t="s">
        <v>3122</v>
      </c>
      <c r="D83" s="2">
        <v>455278</v>
      </c>
      <c r="E83" s="2">
        <v>447771</v>
      </c>
      <c r="F83" s="2">
        <v>365555</v>
      </c>
      <c r="G83" s="2" t="str" cm="1">
        <f t="array" aca="1" ref="G83" ca="1">IF(Background=36,C83,G82)</f>
        <v>咸阳市</v>
      </c>
    </row>
    <row r="84" spans="1:7" ht="15.75" thickBot="1" x14ac:dyDescent="0.3">
      <c r="A84" t="s">
        <v>1726</v>
      </c>
      <c r="B84" s="1" t="s">
        <v>3032</v>
      </c>
      <c r="C84" s="1" t="s">
        <v>3123</v>
      </c>
      <c r="D84" s="2">
        <v>544846</v>
      </c>
      <c r="E84" s="2">
        <v>527088</v>
      </c>
      <c r="F84" s="2">
        <v>456680</v>
      </c>
      <c r="G84" s="2" t="str" cm="1">
        <f t="array" aca="1" ref="G84" ca="1">IF(Background=36,C84,G83)</f>
        <v>咸阳市</v>
      </c>
    </row>
    <row r="85" spans="1:7" ht="15.75" thickBot="1" x14ac:dyDescent="0.3">
      <c r="A85" t="s">
        <v>1781</v>
      </c>
      <c r="B85" s="1" t="s">
        <v>3034</v>
      </c>
      <c r="C85" s="1" t="s">
        <v>3124</v>
      </c>
      <c r="D85" s="2">
        <v>344844</v>
      </c>
      <c r="E85" s="2">
        <v>346847</v>
      </c>
      <c r="F85" s="2">
        <v>834374</v>
      </c>
      <c r="G85" s="2" t="str" cm="1">
        <f t="array" aca="1" ref="G85" ca="1">IF(Background=36,C85,G84)</f>
        <v>咸阳市</v>
      </c>
    </row>
    <row r="86" spans="1:7" ht="15.75" thickBot="1" x14ac:dyDescent="0.3">
      <c r="A86" t="s">
        <v>1724</v>
      </c>
      <c r="B86" s="1" t="s">
        <v>3032</v>
      </c>
      <c r="C86" s="1" t="s">
        <v>3125</v>
      </c>
      <c r="D86" s="2">
        <v>388842</v>
      </c>
      <c r="E86" s="2">
        <v>403524</v>
      </c>
      <c r="F86" s="2">
        <v>357250</v>
      </c>
      <c r="G86" s="2" t="str" cm="1">
        <f t="array" aca="1" ref="G86" ca="1">IF(Background=36,C86,G85)</f>
        <v>咸阳市</v>
      </c>
    </row>
    <row r="87" spans="1:7" ht="15.75" thickBot="1" x14ac:dyDescent="0.3">
      <c r="A87" t="s">
        <v>1883</v>
      </c>
      <c r="B87" s="1" t="s">
        <v>3034</v>
      </c>
      <c r="C87" s="1" t="s">
        <v>3126</v>
      </c>
      <c r="D87" s="2">
        <v>216561</v>
      </c>
      <c r="E87" s="2">
        <v>270839</v>
      </c>
      <c r="F87" s="2">
        <v>480334</v>
      </c>
      <c r="G87" s="2" t="str" cm="1">
        <f t="array" aca="1" ref="G87" ca="1">IF(Background=36,C87,G86)</f>
        <v>咸阳市</v>
      </c>
    </row>
    <row r="88" spans="1:7" ht="15.75" thickBot="1" x14ac:dyDescent="0.3">
      <c r="A88" t="s">
        <v>1722</v>
      </c>
      <c r="B88" s="1" t="s">
        <v>3032</v>
      </c>
      <c r="C88" s="1" t="s">
        <v>3127</v>
      </c>
      <c r="D88" s="2">
        <v>389394</v>
      </c>
      <c r="E88" s="2">
        <v>411312</v>
      </c>
      <c r="F88" s="2">
        <v>317733</v>
      </c>
      <c r="G88" s="2" t="str" cm="1">
        <f t="array" aca="1" ref="G88" ca="1">IF(Background=36,C88,G87)</f>
        <v>咸阳市</v>
      </c>
    </row>
    <row r="89" spans="1:7" ht="15.75" thickBot="1" x14ac:dyDescent="0.3">
      <c r="A89" t="s">
        <v>1754</v>
      </c>
      <c r="B89" s="1" t="s">
        <v>3092</v>
      </c>
      <c r="C89" s="1" t="s">
        <v>3128</v>
      </c>
      <c r="D89" s="2">
        <v>512415</v>
      </c>
      <c r="E89" s="2">
        <v>507572</v>
      </c>
      <c r="F89" s="2">
        <v>494887</v>
      </c>
      <c r="G89" s="2" t="str" cm="1">
        <f t="array" aca="1" ref="G89" ca="1">IF(Background=36,C89,G88)</f>
        <v>咸阳市</v>
      </c>
    </row>
    <row r="90" spans="1:7" ht="15.75" thickBot="1" x14ac:dyDescent="0.3">
      <c r="A90" t="s">
        <v>1729</v>
      </c>
      <c r="B90" s="1" t="s">
        <v>3032</v>
      </c>
      <c r="C90" s="1" t="s">
        <v>3129</v>
      </c>
      <c r="D90" s="2">
        <v>261666</v>
      </c>
      <c r="E90" s="2">
        <v>261566</v>
      </c>
      <c r="F90" s="2">
        <v>211932</v>
      </c>
      <c r="G90" s="2" t="str" cm="1">
        <f t="array" aca="1" ref="G90" ca="1">IF(Background=36,C90,G89)</f>
        <v>咸阳市</v>
      </c>
    </row>
    <row r="91" spans="1:7" ht="15.75" thickBot="1" x14ac:dyDescent="0.3">
      <c r="A91" t="s">
        <v>1747</v>
      </c>
      <c r="B91" s="1" t="s">
        <v>3034</v>
      </c>
      <c r="C91" s="1" t="s">
        <v>3130</v>
      </c>
      <c r="D91" s="2">
        <v>137941</v>
      </c>
      <c r="E91" s="2">
        <v>201172</v>
      </c>
      <c r="F91" s="2">
        <v>253871</v>
      </c>
      <c r="G91" s="2" t="str" cm="1">
        <f t="array" aca="1" ref="G91" ca="1">IF(Background=36,C91,G90)</f>
        <v>咸阳市</v>
      </c>
    </row>
    <row r="92" spans="1:7" ht="15.75" thickBot="1" x14ac:dyDescent="0.3">
      <c r="A92" t="s">
        <v>1719</v>
      </c>
      <c r="B92" s="1" t="s">
        <v>3032</v>
      </c>
      <c r="C92" s="1" t="s">
        <v>3131</v>
      </c>
      <c r="D92" s="2">
        <v>187446</v>
      </c>
      <c r="E92" s="2">
        <v>184642</v>
      </c>
      <c r="F92" s="2">
        <v>160230</v>
      </c>
      <c r="G92" s="2" t="str" cm="1">
        <f t="array" aca="1" ref="G92" ca="1">IF(Background=36,C92,G91)</f>
        <v>咸阳市</v>
      </c>
    </row>
    <row r="93" spans="1:7" ht="15.75" thickBot="1" x14ac:dyDescent="0.3">
      <c r="A93" t="s">
        <v>3132</v>
      </c>
      <c r="B93" s="3" t="s">
        <v>3030</v>
      </c>
      <c r="C93" s="3" t="s">
        <v>3133</v>
      </c>
      <c r="D93" s="4">
        <v>2016787</v>
      </c>
      <c r="E93" s="4">
        <v>2187009</v>
      </c>
      <c r="F93" s="4">
        <v>2282581</v>
      </c>
      <c r="G93" s="2" t="str" cm="1">
        <f t="array" aca="1" ref="G93" ca="1">IF(Background=36,C93,G92)</f>
        <v>延安市</v>
      </c>
    </row>
    <row r="94" spans="1:7" ht="15.75" thickBot="1" x14ac:dyDescent="0.3">
      <c r="A94" t="s">
        <v>2395</v>
      </c>
      <c r="B94" s="1" t="s">
        <v>3034</v>
      </c>
      <c r="C94" s="1" t="s">
        <v>3134</v>
      </c>
      <c r="D94" s="2">
        <v>160771</v>
      </c>
      <c r="E94" s="2">
        <v>171552</v>
      </c>
      <c r="F94" s="2">
        <v>163135</v>
      </c>
      <c r="G94" s="2" t="str" cm="1">
        <f t="array" aca="1" ref="G94" ca="1">IF(Background=36,C94,G93)</f>
        <v>延安市</v>
      </c>
    </row>
    <row r="95" spans="1:7" ht="15.75" thickBot="1" x14ac:dyDescent="0.3">
      <c r="A95" t="s">
        <v>2355</v>
      </c>
      <c r="B95" s="1" t="s">
        <v>3034</v>
      </c>
      <c r="C95" s="1" t="s">
        <v>3135</v>
      </c>
      <c r="D95" s="2">
        <v>403868</v>
      </c>
      <c r="E95" s="2">
        <v>475234</v>
      </c>
      <c r="F95" s="2">
        <v>640951</v>
      </c>
      <c r="G95" s="2" t="str" cm="1">
        <f t="array" aca="1" ref="G95" ca="1">IF(Background=36,C95,G94)</f>
        <v>延安市</v>
      </c>
    </row>
    <row r="96" spans="1:7" ht="15.75" thickBot="1" x14ac:dyDescent="0.3">
      <c r="A96" t="s">
        <v>2358</v>
      </c>
      <c r="B96" s="1" t="s">
        <v>3032</v>
      </c>
      <c r="C96" s="1" t="s">
        <v>3136</v>
      </c>
      <c r="D96" s="2">
        <v>141760</v>
      </c>
      <c r="E96" s="2">
        <v>149727</v>
      </c>
      <c r="F96" s="2">
        <v>142891</v>
      </c>
      <c r="G96" s="2" t="str" cm="1">
        <f t="array" aca="1" ref="G96" ca="1">IF(Background=36,C96,G95)</f>
        <v>延安市</v>
      </c>
    </row>
    <row r="97" spans="1:7" ht="15.75" thickBot="1" x14ac:dyDescent="0.3">
      <c r="A97" t="s">
        <v>2374</v>
      </c>
      <c r="B97" s="1" t="s">
        <v>3032</v>
      </c>
      <c r="C97" s="1" t="s">
        <v>3137</v>
      </c>
      <c r="D97" s="2">
        <v>76705</v>
      </c>
      <c r="E97" s="2">
        <v>77188</v>
      </c>
      <c r="F97" s="2">
        <v>76929</v>
      </c>
      <c r="G97" s="2" t="str" cm="1">
        <f t="array" aca="1" ref="G97" ca="1">IF(Background=36,C97,G96)</f>
        <v>延安市</v>
      </c>
    </row>
    <row r="98" spans="1:7" ht="15.75" thickBot="1" x14ac:dyDescent="0.3">
      <c r="A98" t="s">
        <v>2330</v>
      </c>
      <c r="B98" s="1" t="s">
        <v>3032</v>
      </c>
      <c r="C98" s="1" t="s">
        <v>3138</v>
      </c>
      <c r="D98" s="2">
        <v>133988</v>
      </c>
      <c r="E98" s="2">
        <v>129803</v>
      </c>
      <c r="F98" s="2">
        <v>127015</v>
      </c>
      <c r="G98" s="2" t="str" cm="1">
        <f t="array" aca="1" ref="G98" ca="1">IF(Background=36,C98,G97)</f>
        <v>延安市</v>
      </c>
    </row>
    <row r="99" spans="1:7" ht="15.75" thickBot="1" x14ac:dyDescent="0.3">
      <c r="A99" t="s">
        <v>2344</v>
      </c>
      <c r="B99" s="1" t="s">
        <v>3032</v>
      </c>
      <c r="C99" s="1" t="s">
        <v>3139</v>
      </c>
      <c r="D99" s="2">
        <v>49039</v>
      </c>
      <c r="E99" s="2">
        <v>49392</v>
      </c>
      <c r="F99" s="2">
        <v>41198</v>
      </c>
      <c r="G99" s="2" t="str" cm="1">
        <f t="array" aca="1" ref="G99" ca="1">IF(Background=36,C99,G98)</f>
        <v>延安市</v>
      </c>
    </row>
    <row r="100" spans="1:7" ht="15.75" thickBot="1" x14ac:dyDescent="0.3">
      <c r="A100" t="s">
        <v>2347</v>
      </c>
      <c r="B100" s="1" t="s">
        <v>3032</v>
      </c>
      <c r="C100" s="1" t="s">
        <v>3140</v>
      </c>
      <c r="D100" s="2">
        <v>200573</v>
      </c>
      <c r="E100" s="2">
        <v>220684</v>
      </c>
      <c r="F100" s="2">
        <v>201663</v>
      </c>
      <c r="G100" s="2" t="str" cm="1">
        <f t="array" aca="1" ref="G100" ca="1">IF(Background=36,C100,G99)</f>
        <v>延安市</v>
      </c>
    </row>
    <row r="101" spans="1:7" ht="15.75" thickBot="1" x14ac:dyDescent="0.3">
      <c r="A101" t="s">
        <v>2341</v>
      </c>
      <c r="B101" s="1" t="s">
        <v>3032</v>
      </c>
      <c r="C101" s="1" t="s">
        <v>3141</v>
      </c>
      <c r="D101" s="2">
        <v>112524</v>
      </c>
      <c r="E101" s="2">
        <v>145061</v>
      </c>
      <c r="F101" s="2">
        <v>146167</v>
      </c>
      <c r="G101" s="2" t="str" cm="1">
        <f t="array" aca="1" ref="G101" ca="1">IF(Background=36,C101,G100)</f>
        <v>延安市</v>
      </c>
    </row>
    <row r="102" spans="1:7" ht="15.75" thickBot="1" x14ac:dyDescent="0.3">
      <c r="A102" t="s">
        <v>2336</v>
      </c>
      <c r="B102" s="1" t="s">
        <v>3032</v>
      </c>
      <c r="C102" s="1" t="s">
        <v>3142</v>
      </c>
      <c r="D102" s="2">
        <v>128551</v>
      </c>
      <c r="E102" s="2">
        <v>125391</v>
      </c>
      <c r="F102" s="2">
        <v>117965</v>
      </c>
      <c r="G102" s="2" t="str" cm="1">
        <f t="array" aca="1" ref="G102" ca="1">IF(Background=36,C102,G101)</f>
        <v>延安市</v>
      </c>
    </row>
    <row r="103" spans="1:7" ht="15.75" thickBot="1" x14ac:dyDescent="0.3">
      <c r="A103" t="s">
        <v>2377</v>
      </c>
      <c r="B103" s="1" t="s">
        <v>3032</v>
      </c>
      <c r="C103" s="1" t="s">
        <v>3143</v>
      </c>
      <c r="D103" s="2">
        <v>164902</v>
      </c>
      <c r="E103" s="2">
        <v>168375</v>
      </c>
      <c r="F103" s="2">
        <v>139713</v>
      </c>
      <c r="G103" s="2" t="str" cm="1">
        <f t="array" aca="1" ref="G103" ca="1">IF(Background=36,C103,G102)</f>
        <v>延安市</v>
      </c>
    </row>
    <row r="104" spans="1:7" ht="15.75" thickBot="1" x14ac:dyDescent="0.3">
      <c r="A104" t="s">
        <v>2371</v>
      </c>
      <c r="B104" s="1" t="s">
        <v>3032</v>
      </c>
      <c r="C104" s="1" t="s">
        <v>3144</v>
      </c>
      <c r="D104" s="2">
        <v>111685</v>
      </c>
      <c r="E104" s="2">
        <v>117203</v>
      </c>
      <c r="F104" s="2">
        <v>112090</v>
      </c>
      <c r="G104" s="2" t="str" cm="1">
        <f t="array" aca="1" ref="G104" ca="1">IF(Background=36,C104,G103)</f>
        <v>延安市</v>
      </c>
    </row>
    <row r="105" spans="1:7" ht="15.75" thickBot="1" x14ac:dyDescent="0.3">
      <c r="A105" t="s">
        <v>2352</v>
      </c>
      <c r="B105" s="1" t="s">
        <v>3032</v>
      </c>
      <c r="C105" s="1" t="s">
        <v>3145</v>
      </c>
      <c r="D105" s="2">
        <v>124449</v>
      </c>
      <c r="E105" s="2">
        <v>140489</v>
      </c>
      <c r="F105" s="2">
        <v>155129</v>
      </c>
      <c r="G105" s="2" t="str" cm="1">
        <f t="array" aca="1" ref="G105" ca="1">IF(Background=36,C105,G104)</f>
        <v>延安市</v>
      </c>
    </row>
    <row r="106" spans="1:7" ht="15.75" thickBot="1" x14ac:dyDescent="0.3">
      <c r="A106" t="s">
        <v>2333</v>
      </c>
      <c r="B106" s="1" t="s">
        <v>3092</v>
      </c>
      <c r="C106" s="1" t="s">
        <v>3146</v>
      </c>
      <c r="D106" s="2">
        <v>207972</v>
      </c>
      <c r="E106" s="2">
        <v>216910</v>
      </c>
      <c r="F106" s="2">
        <v>217735</v>
      </c>
      <c r="G106" s="2" t="str" cm="1">
        <f t="array" aca="1" ref="G106" ca="1">IF(Background=36,C106,G105)</f>
        <v>延安市</v>
      </c>
    </row>
    <row r="107" spans="1:7" ht="15.75" thickBot="1" x14ac:dyDescent="0.3">
      <c r="A107" t="s">
        <v>3147</v>
      </c>
      <c r="B107" s="3" t="s">
        <v>3030</v>
      </c>
      <c r="C107" s="3" t="s">
        <v>3148</v>
      </c>
      <c r="D107" s="4">
        <v>3138040</v>
      </c>
      <c r="E107" s="4">
        <v>3351436</v>
      </c>
      <c r="F107" s="4">
        <v>3624750</v>
      </c>
      <c r="G107" s="2" t="str" cm="1">
        <f t="array" aca="1" ref="G107" ca="1">IF(Background=36,C107,G106)</f>
        <v>榆林市</v>
      </c>
    </row>
    <row r="108" spans="1:7" ht="15.75" thickBot="1" x14ac:dyDescent="0.3">
      <c r="A108" t="s">
        <v>2625</v>
      </c>
      <c r="B108" s="1" t="s">
        <v>3032</v>
      </c>
      <c r="C108" s="1" t="s">
        <v>3149</v>
      </c>
      <c r="D108" s="2">
        <v>285416</v>
      </c>
      <c r="E108" s="2">
        <v>319370</v>
      </c>
      <c r="F108" s="2">
        <v>339077</v>
      </c>
      <c r="G108" s="2" t="str" cm="1">
        <f t="array" aca="1" ref="G108" ca="1">IF(Background=36,C108,G107)</f>
        <v>榆林市</v>
      </c>
    </row>
    <row r="109" spans="1:7" ht="15.75" thickBot="1" x14ac:dyDescent="0.3">
      <c r="A109" t="s">
        <v>2664</v>
      </c>
      <c r="B109" s="1" t="s">
        <v>3032</v>
      </c>
      <c r="C109" s="1" t="s">
        <v>3150</v>
      </c>
      <c r="D109" s="2">
        <v>224957</v>
      </c>
      <c r="E109" s="2">
        <v>260585</v>
      </c>
      <c r="F109" s="2">
        <v>255397</v>
      </c>
      <c r="G109" s="2" t="str" cm="1">
        <f t="array" aca="1" ref="G109" ca="1">IF(Background=36,C109,G108)</f>
        <v>榆林市</v>
      </c>
    </row>
    <row r="110" spans="1:7" ht="15.75" thickBot="1" x14ac:dyDescent="0.3">
      <c r="A110" t="s">
        <v>2622</v>
      </c>
      <c r="B110" s="1" t="s">
        <v>3034</v>
      </c>
      <c r="C110" s="1" t="s">
        <v>3151</v>
      </c>
      <c r="D110" s="2">
        <v>294674</v>
      </c>
      <c r="E110" s="2">
        <v>288053</v>
      </c>
      <c r="F110" s="2">
        <v>283918</v>
      </c>
      <c r="G110" s="2" t="str" cm="1">
        <f t="array" aca="1" ref="G110" ca="1">IF(Background=36,C110,G109)</f>
        <v>榆林市</v>
      </c>
    </row>
    <row r="111" spans="1:7" ht="15.75" thickBot="1" x14ac:dyDescent="0.3">
      <c r="A111" t="s">
        <v>2685</v>
      </c>
      <c r="B111" s="1" t="s">
        <v>3032</v>
      </c>
      <c r="C111" s="1" t="s">
        <v>3152</v>
      </c>
      <c r="D111" s="2">
        <v>238496</v>
      </c>
      <c r="E111" s="2">
        <v>204666</v>
      </c>
      <c r="F111" s="2">
        <v>113035</v>
      </c>
      <c r="G111" s="2" t="str" cm="1">
        <f t="array" aca="1" ref="G111" ca="1">IF(Background=36,C111,G110)</f>
        <v>榆林市</v>
      </c>
    </row>
    <row r="112" spans="1:7" ht="15.75" thickBot="1" x14ac:dyDescent="0.3">
      <c r="A112" t="s">
        <v>2671</v>
      </c>
      <c r="B112" s="1" t="s">
        <v>3032</v>
      </c>
      <c r="C112" s="1" t="s">
        <v>3153</v>
      </c>
      <c r="D112" s="2">
        <v>272836</v>
      </c>
      <c r="E112" s="2">
        <v>355939</v>
      </c>
      <c r="F112" s="2">
        <v>389002</v>
      </c>
      <c r="G112" s="2" t="str" cm="1">
        <f t="array" aca="1" ref="G112" ca="1">IF(Background=36,C112,G111)</f>
        <v>榆林市</v>
      </c>
    </row>
    <row r="113" spans="1:7" ht="15.75" thickBot="1" x14ac:dyDescent="0.3">
      <c r="A113" t="s">
        <v>2654</v>
      </c>
      <c r="B113" s="1" t="s">
        <v>3032</v>
      </c>
      <c r="C113" s="1" t="s">
        <v>3154</v>
      </c>
      <c r="D113" s="2">
        <v>200626</v>
      </c>
      <c r="E113" s="2">
        <v>154953</v>
      </c>
      <c r="F113" s="2">
        <v>141324</v>
      </c>
      <c r="G113" s="2" t="str" cm="1">
        <f t="array" aca="1" ref="G113" ca="1">IF(Background=36,C113,G112)</f>
        <v>榆林市</v>
      </c>
    </row>
    <row r="114" spans="1:7" ht="15.75" thickBot="1" x14ac:dyDescent="0.3">
      <c r="A114" t="s">
        <v>2682</v>
      </c>
      <c r="B114" s="1" t="s">
        <v>3032</v>
      </c>
      <c r="C114" s="1" t="s">
        <v>3155</v>
      </c>
      <c r="D114" s="2">
        <v>176644</v>
      </c>
      <c r="E114" s="2">
        <v>128938</v>
      </c>
      <c r="F114" s="2">
        <v>115645</v>
      </c>
      <c r="G114" s="2" t="str" cm="1">
        <f t="array" aca="1" ref="G114" ca="1">IF(Background=36,C114,G113)</f>
        <v>榆林市</v>
      </c>
    </row>
    <row r="115" spans="1:7" ht="15.75" thickBot="1" x14ac:dyDescent="0.3">
      <c r="A115" t="s">
        <v>2661</v>
      </c>
      <c r="B115" s="1" t="s">
        <v>3092</v>
      </c>
      <c r="C115" s="1" t="s">
        <v>3156</v>
      </c>
      <c r="D115" s="2">
        <v>360774</v>
      </c>
      <c r="E115" s="2">
        <v>455493</v>
      </c>
      <c r="F115" s="2">
        <v>571869</v>
      </c>
      <c r="G115" s="2" t="str" cm="1">
        <f t="array" aca="1" ref="G115" ca="1">IF(Background=36,C115,G114)</f>
        <v>榆林市</v>
      </c>
    </row>
    <row r="116" spans="1:7" ht="15.75" thickBot="1" x14ac:dyDescent="0.3">
      <c r="A116" t="s">
        <v>2631</v>
      </c>
      <c r="B116" s="1" t="s">
        <v>3032</v>
      </c>
      <c r="C116" s="1" t="s">
        <v>3157</v>
      </c>
      <c r="D116" s="2">
        <v>310880</v>
      </c>
      <c r="E116" s="2">
        <v>296088</v>
      </c>
      <c r="F116" s="2">
        <v>255294</v>
      </c>
      <c r="G116" s="2" t="str" cm="1">
        <f t="array" aca="1" ref="G116" ca="1">IF(Background=36,C116,G115)</f>
        <v>榆林市</v>
      </c>
    </row>
    <row r="117" spans="1:7" ht="15.75" thickBot="1" x14ac:dyDescent="0.3">
      <c r="A117" t="s">
        <v>2650</v>
      </c>
      <c r="B117" s="1" t="s">
        <v>3032</v>
      </c>
      <c r="C117" s="1" t="s">
        <v>3158</v>
      </c>
      <c r="D117" s="2">
        <v>72781</v>
      </c>
      <c r="E117" s="2">
        <v>75748</v>
      </c>
      <c r="F117" s="2">
        <v>53938</v>
      </c>
      <c r="G117" s="2" t="str" cm="1">
        <f t="array" aca="1" ref="G117" ca="1">IF(Background=36,C117,G116)</f>
        <v>榆林市</v>
      </c>
    </row>
    <row r="118" spans="1:7" ht="15.75" thickBot="1" x14ac:dyDescent="0.3">
      <c r="A118" t="s">
        <v>2628</v>
      </c>
      <c r="B118" s="1" t="s">
        <v>3034</v>
      </c>
      <c r="C118" s="1" t="s">
        <v>3159</v>
      </c>
      <c r="D118" s="2">
        <v>451337</v>
      </c>
      <c r="E118" s="2">
        <v>637617</v>
      </c>
      <c r="F118" s="2">
        <v>967639</v>
      </c>
      <c r="G118" s="2" t="str" cm="1">
        <f t="array" aca="1" ref="G118" ca="1">IF(Background=36,C118,G117)</f>
        <v>榆林市</v>
      </c>
    </row>
    <row r="119" spans="1:7" ht="15.75" thickBot="1" x14ac:dyDescent="0.3">
      <c r="A119" t="s">
        <v>2677</v>
      </c>
      <c r="B119" s="1" t="s">
        <v>3032</v>
      </c>
      <c r="C119" s="1" t="s">
        <v>3160</v>
      </c>
      <c r="D119" s="2">
        <v>248619</v>
      </c>
      <c r="E119" s="2">
        <v>173986</v>
      </c>
      <c r="F119" s="2">
        <v>138612</v>
      </c>
      <c r="G119" s="2" t="str" cm="1">
        <f t="array" aca="1" ref="G119" ca="1">IF(Background=36,C119,G118)</f>
        <v>榆林市</v>
      </c>
    </row>
    <row r="120" spans="1:7" x14ac:dyDescent="0.25">
      <c r="A120" s="5" t="s">
        <v>3165</v>
      </c>
      <c r="B120" s="5" t="s">
        <v>3161</v>
      </c>
      <c r="C120" s="5" t="s">
        <v>3162</v>
      </c>
      <c r="D120" s="6">
        <v>35365072</v>
      </c>
      <c r="E120" s="6">
        <v>37327379</v>
      </c>
      <c r="F120" s="6">
        <v>39528999</v>
      </c>
      <c r="G120" s="11" t="str" cm="1">
        <f t="array" aca="1" ref="G120" ca="1">IF(Background=36,C120,G119)</f>
        <v>榆林市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ankang</vt:lpstr>
      <vt:lpstr>baoji</vt:lpstr>
      <vt:lpstr>hanzhong</vt:lpstr>
      <vt:lpstr>shangluo</vt:lpstr>
      <vt:lpstr>tongchuan</vt:lpstr>
      <vt:lpstr>weinan</vt:lpstr>
      <vt:lpstr>xianyang</vt:lpstr>
      <vt:lpstr>xi'an</vt:lpstr>
      <vt:lpstr>yan'an</vt:lpstr>
      <vt:lpstr>yulin</vt:lpstr>
      <vt:lpstr>main table</vt:lpstr>
      <vt:lpstr>cities</vt:lpstr>
      <vt:lpstr>json</vt:lpstr>
      <vt:lpstr>county-naming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Eisenberg</dc:creator>
  <cp:lastModifiedBy>Timothy Eisenberg</cp:lastModifiedBy>
  <dcterms:created xsi:type="dcterms:W3CDTF">2024-04-02T23:30:01Z</dcterms:created>
  <dcterms:modified xsi:type="dcterms:W3CDTF">2024-05-04T15:46:57Z</dcterms:modified>
</cp:coreProperties>
</file>